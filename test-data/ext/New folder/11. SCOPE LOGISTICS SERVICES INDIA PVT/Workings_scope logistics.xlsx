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1. SCOPE LOGISTICS SERVICES INDIA PVT\"/>
    </mc:Choice>
  </mc:AlternateContent>
  <xr:revisionPtr revIDLastSave="0" documentId="13_ncr:1_{F850CFFA-8245-41DC-928F-387D2B89622F}" xr6:coauthVersionLast="47" xr6:coauthVersionMax="47" xr10:uidLastSave="{00000000-0000-0000-0000-000000000000}"/>
  <bookViews>
    <workbookView xWindow="-110" yWindow="-110" windowWidth="21820" windowHeight="14020" tabRatio="935" activeTab="4" xr2:uid="{182151CF-2A58-4507-8BAC-F6DD78C3EB4D}"/>
  </bookViews>
  <sheets>
    <sheet name="Summary" sheetId="9" r:id="rId1"/>
    <sheet name="TDS" sheetId="7" r:id="rId2"/>
    <sheet name="Ascendus Data" sheetId="2" r:id="rId3"/>
    <sheet name="Difference in Invoice Value" sheetId="6" r:id="rId4"/>
    <sheet name="Invoice &amp; CN not in Customers" sheetId="5" r:id="rId5"/>
    <sheet name="Foreign Exchnage Gain loss" sheetId="14" state="hidden" r:id="rId6"/>
    <sheet name="Customer Data Vlookup" sheetId="8" r:id="rId7"/>
    <sheet name="DN &amp; CN in customer books" sheetId="11" r:id="rId8"/>
    <sheet name="DN Reversal with CN in customer" sheetId="3" r:id="rId9"/>
    <sheet name="Customer Data" sheetId="13" r:id="rId10"/>
    <sheet name="Customer Data Pivot" sheetId="1" r:id="rId11"/>
  </sheets>
  <definedNames>
    <definedName name="_xlnm._FilterDatabase" localSheetId="2" hidden="1">'Ascendus Data'!$A$2:$AP$476</definedName>
    <definedName name="_xlnm._FilterDatabase" localSheetId="10" hidden="1">'Customer Data Pivot'!$A$2:$I$378</definedName>
    <definedName name="_xlnm._FilterDatabase" localSheetId="6" hidden="1">'Customer Data Vlookup'!$A$2:$I$357</definedName>
    <definedName name="_xlnm._FilterDatabase" localSheetId="3" hidden="1">'Difference in Invoice Value'!$A$3:$N$78</definedName>
    <definedName name="_xlnm._FilterDatabase" localSheetId="5" hidden="1">'Foreign Exchnage Gain loss'!$A$1:$P$31</definedName>
    <definedName name="_xlnm._FilterDatabase" localSheetId="4" hidden="1">'Invoice &amp; CN not in Customers'!$A$2:$I$42</definedName>
    <definedName name="_xlnm._FilterDatabase" localSheetId="1" hidden="1">TDS!$A$3:$N$264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7" l="1"/>
  <c r="B4" i="9" s="1"/>
  <c r="L2" i="6"/>
  <c r="B6" i="9" s="1"/>
  <c r="M4" i="2" l="1" a="1"/>
  <c r="M4" i="2" s="1"/>
  <c r="M3" i="2" a="1"/>
  <c r="M3" i="2" s="1"/>
  <c r="M5" i="2" a="1"/>
  <c r="M5" i="2" s="1"/>
  <c r="B9" i="9"/>
  <c r="H1" i="5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/>
  <c r="M440" i="2" a="1"/>
  <c r="M440" i="2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/>
  <c r="K18" i="11"/>
  <c r="K17" i="11"/>
  <c r="K16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H31" i="14"/>
  <c r="B7" i="9" s="1"/>
  <c r="B3" i="9"/>
  <c r="C1" i="8" l="1"/>
  <c r="B1" i="8"/>
  <c r="B5" i="9"/>
  <c r="O5" i="2"/>
  <c r="P5" i="2" s="1"/>
  <c r="Q5" i="2" s="1"/>
  <c r="O7" i="2"/>
  <c r="P7" i="2" s="1"/>
  <c r="Q7" i="2" s="1"/>
  <c r="O11" i="2"/>
  <c r="P11" i="2" s="1"/>
  <c r="Q11" i="2" s="1"/>
  <c r="O18" i="2"/>
  <c r="P18" i="2" s="1"/>
  <c r="Q18" i="2" s="1"/>
  <c r="O19" i="2"/>
  <c r="P19" i="2" s="1"/>
  <c r="Q19" i="2" s="1"/>
  <c r="O22" i="2"/>
  <c r="P22" i="2" s="1"/>
  <c r="Q22" i="2" s="1"/>
  <c r="O24" i="2"/>
  <c r="P24" i="2" s="1"/>
  <c r="Q24" i="2" s="1"/>
  <c r="O27" i="2"/>
  <c r="P27" i="2" s="1"/>
  <c r="Q27" i="2" s="1"/>
  <c r="O28" i="2"/>
  <c r="P28" i="2" s="1"/>
  <c r="Q28" i="2" s="1"/>
  <c r="O29" i="2"/>
  <c r="P29" i="2" s="1"/>
  <c r="Q29" i="2" s="1"/>
  <c r="O33" i="2"/>
  <c r="P33" i="2" s="1"/>
  <c r="Q33" i="2" s="1"/>
  <c r="O38" i="2"/>
  <c r="P38" i="2" s="1"/>
  <c r="Q38" i="2" s="1"/>
  <c r="O40" i="2"/>
  <c r="P40" i="2" s="1"/>
  <c r="Q40" i="2" s="1"/>
  <c r="O41" i="2"/>
  <c r="P41" i="2" s="1"/>
  <c r="Q41" i="2" s="1"/>
  <c r="O49" i="2"/>
  <c r="P49" i="2" s="1"/>
  <c r="Q49" i="2" s="1"/>
  <c r="O50" i="2"/>
  <c r="P50" i="2" s="1"/>
  <c r="Q50" i="2" s="1"/>
  <c r="O52" i="2"/>
  <c r="P52" i="2" s="1"/>
  <c r="Q52" i="2" s="1"/>
  <c r="O54" i="2"/>
  <c r="P54" i="2" s="1"/>
  <c r="Q54" i="2" s="1"/>
  <c r="O55" i="2"/>
  <c r="P55" i="2" s="1"/>
  <c r="Q55" i="2" s="1"/>
  <c r="O59" i="2"/>
  <c r="P59" i="2" s="1"/>
  <c r="Q59" i="2" s="1"/>
  <c r="O60" i="2"/>
  <c r="P60" i="2" s="1"/>
  <c r="Q60" i="2" s="1"/>
  <c r="O62" i="2"/>
  <c r="P62" i="2" s="1"/>
  <c r="Q62" i="2" s="1"/>
  <c r="O63" i="2"/>
  <c r="P63" i="2" s="1"/>
  <c r="Q63" i="2" s="1"/>
  <c r="O64" i="2"/>
  <c r="P64" i="2" s="1"/>
  <c r="Q64" i="2" s="1"/>
  <c r="O66" i="2"/>
  <c r="P66" i="2" s="1"/>
  <c r="Q66" i="2" s="1"/>
  <c r="O67" i="2"/>
  <c r="P67" i="2" s="1"/>
  <c r="Q67" i="2" s="1"/>
  <c r="O70" i="2"/>
  <c r="P70" i="2" s="1"/>
  <c r="Q70" i="2" s="1"/>
  <c r="O72" i="2"/>
  <c r="P72" i="2" s="1"/>
  <c r="Q72" i="2" s="1"/>
  <c r="O73" i="2"/>
  <c r="P73" i="2" s="1"/>
  <c r="Q73" i="2" s="1"/>
  <c r="O74" i="2"/>
  <c r="P74" i="2" s="1"/>
  <c r="Q74" i="2" s="1"/>
  <c r="O78" i="2"/>
  <c r="P78" i="2" s="1"/>
  <c r="Q78" i="2" s="1"/>
  <c r="O79" i="2"/>
  <c r="P79" i="2" s="1"/>
  <c r="Q79" i="2" s="1"/>
  <c r="O80" i="2"/>
  <c r="P80" i="2" s="1"/>
  <c r="Q80" i="2" s="1"/>
  <c r="O81" i="2"/>
  <c r="P81" i="2" s="1"/>
  <c r="Q81" i="2" s="1"/>
  <c r="O95" i="2"/>
  <c r="P95" i="2" s="1"/>
  <c r="Q95" i="2" s="1"/>
  <c r="O96" i="2"/>
  <c r="P96" i="2" s="1"/>
  <c r="Q96" i="2" s="1"/>
  <c r="O98" i="2"/>
  <c r="P98" i="2" s="1"/>
  <c r="Q98" i="2" s="1"/>
  <c r="O102" i="2"/>
  <c r="P102" i="2" s="1"/>
  <c r="Q102" i="2" s="1"/>
  <c r="O106" i="2"/>
  <c r="P106" i="2" s="1"/>
  <c r="Q106" i="2" s="1"/>
  <c r="O110" i="2"/>
  <c r="P110" i="2" s="1"/>
  <c r="Q110" i="2" s="1"/>
  <c r="O113" i="2"/>
  <c r="P113" i="2" s="1"/>
  <c r="Q113" i="2" s="1"/>
  <c r="O115" i="2"/>
  <c r="P115" i="2" s="1"/>
  <c r="Q115" i="2" s="1"/>
  <c r="O120" i="2"/>
  <c r="P120" i="2" s="1"/>
  <c r="Q120" i="2" s="1"/>
  <c r="O125" i="2"/>
  <c r="P125" i="2" s="1"/>
  <c r="Q125" i="2" s="1"/>
  <c r="O128" i="2"/>
  <c r="P128" i="2" s="1"/>
  <c r="Q128" i="2" s="1"/>
  <c r="O130" i="2"/>
  <c r="P130" i="2" s="1"/>
  <c r="Q130" i="2" s="1"/>
  <c r="O134" i="2"/>
  <c r="P134" i="2" s="1"/>
  <c r="Q134" i="2" s="1"/>
  <c r="O137" i="2"/>
  <c r="P137" i="2" s="1"/>
  <c r="Q137" i="2" s="1"/>
  <c r="O138" i="2"/>
  <c r="P138" i="2" s="1"/>
  <c r="Q138" i="2" s="1"/>
  <c r="O148" i="2"/>
  <c r="P148" i="2" s="1"/>
  <c r="Q148" i="2" s="1"/>
  <c r="O152" i="2"/>
  <c r="P152" i="2" s="1"/>
  <c r="Q152" i="2" s="1"/>
  <c r="O157" i="2"/>
  <c r="P157" i="2" s="1"/>
  <c r="Q157" i="2" s="1"/>
  <c r="O162" i="2"/>
  <c r="P162" i="2" s="1"/>
  <c r="Q162" i="2" s="1"/>
  <c r="O169" i="2"/>
  <c r="P169" i="2" s="1"/>
  <c r="Q169" i="2" s="1"/>
  <c r="O174" i="2"/>
  <c r="P174" i="2" s="1"/>
  <c r="Q174" i="2" s="1"/>
  <c r="O180" i="2"/>
  <c r="P180" i="2" s="1"/>
  <c r="Q180" i="2" s="1"/>
  <c r="O193" i="2"/>
  <c r="P193" i="2" s="1"/>
  <c r="Q193" i="2" s="1"/>
  <c r="O195" i="2"/>
  <c r="P195" i="2" s="1"/>
  <c r="Q195" i="2" s="1"/>
  <c r="O211" i="2"/>
  <c r="P211" i="2" s="1"/>
  <c r="Q211" i="2" s="1"/>
  <c r="O212" i="2"/>
  <c r="P212" i="2" s="1"/>
  <c r="Q212" i="2" s="1"/>
  <c r="O215" i="2"/>
  <c r="P215" i="2" s="1"/>
  <c r="Q215" i="2" s="1"/>
  <c r="O217" i="2"/>
  <c r="P217" i="2" s="1"/>
  <c r="Q217" i="2" s="1"/>
  <c r="O228" i="2"/>
  <c r="P228" i="2" s="1"/>
  <c r="Q228" i="2" s="1"/>
  <c r="O229" i="2"/>
  <c r="P229" i="2" s="1"/>
  <c r="Q229" i="2" s="1"/>
  <c r="O230" i="2"/>
  <c r="P230" i="2" s="1"/>
  <c r="Q230" i="2" s="1"/>
  <c r="O232" i="2"/>
  <c r="P232" i="2" s="1"/>
  <c r="Q232" i="2" s="1"/>
  <c r="O276" i="2"/>
  <c r="P276" i="2" s="1"/>
  <c r="Q276" i="2" s="1"/>
  <c r="O281" i="2"/>
  <c r="P281" i="2" s="1"/>
  <c r="Q281" i="2" s="1"/>
  <c r="O290" i="2"/>
  <c r="P290" i="2" s="1"/>
  <c r="Q290" i="2" s="1"/>
  <c r="O339" i="2"/>
  <c r="P339" i="2" s="1"/>
  <c r="Q339" i="2" s="1"/>
  <c r="O361" i="2"/>
  <c r="P361" i="2" s="1"/>
  <c r="Q361" i="2" s="1"/>
  <c r="O403" i="2"/>
  <c r="P403" i="2" s="1"/>
  <c r="Q403" i="2" s="1"/>
  <c r="O404" i="2"/>
  <c r="P404" i="2" s="1"/>
  <c r="Q404" i="2" s="1"/>
  <c r="O405" i="2"/>
  <c r="P405" i="2" s="1"/>
  <c r="Q405" i="2" s="1"/>
  <c r="O406" i="2"/>
  <c r="P406" i="2" s="1"/>
  <c r="Q406" i="2" s="1"/>
  <c r="O408" i="2"/>
  <c r="P408" i="2" s="1"/>
  <c r="Q408" i="2" s="1"/>
  <c r="O411" i="2"/>
  <c r="P411" i="2" s="1"/>
  <c r="Q411" i="2" s="1"/>
  <c r="O412" i="2"/>
  <c r="P412" i="2" s="1"/>
  <c r="Q412" i="2" s="1"/>
  <c r="O413" i="2"/>
  <c r="P413" i="2" s="1"/>
  <c r="Q413" i="2" s="1"/>
  <c r="O414" i="2"/>
  <c r="P414" i="2" s="1"/>
  <c r="Q414" i="2" s="1"/>
  <c r="O415" i="2"/>
  <c r="P415" i="2" s="1"/>
  <c r="Q415" i="2" s="1"/>
  <c r="O416" i="2"/>
  <c r="P416" i="2" s="1"/>
  <c r="Q416" i="2" s="1"/>
  <c r="O419" i="2"/>
  <c r="P419" i="2" s="1"/>
  <c r="Q419" i="2" s="1"/>
  <c r="O420" i="2"/>
  <c r="P420" i="2" s="1"/>
  <c r="Q420" i="2" s="1"/>
  <c r="O421" i="2"/>
  <c r="P421" i="2" s="1"/>
  <c r="Q421" i="2" s="1"/>
  <c r="O422" i="2"/>
  <c r="P422" i="2" s="1"/>
  <c r="Q422" i="2" s="1"/>
  <c r="O423" i="2"/>
  <c r="P423" i="2" s="1"/>
  <c r="Q423" i="2" s="1"/>
  <c r="O425" i="2"/>
  <c r="P425" i="2" s="1"/>
  <c r="Q425" i="2" s="1"/>
  <c r="O426" i="2"/>
  <c r="P426" i="2" s="1"/>
  <c r="Q426" i="2" s="1"/>
  <c r="O427" i="2"/>
  <c r="P427" i="2" s="1"/>
  <c r="Q427" i="2" s="1"/>
  <c r="O428" i="2"/>
  <c r="P428" i="2" s="1"/>
  <c r="Q428" i="2" s="1"/>
  <c r="O429" i="2"/>
  <c r="P429" i="2" s="1"/>
  <c r="Q429" i="2" s="1"/>
  <c r="O430" i="2"/>
  <c r="P430" i="2" s="1"/>
  <c r="Q430" i="2" s="1"/>
  <c r="O432" i="2"/>
  <c r="P432" i="2" s="1"/>
  <c r="Q432" i="2" s="1"/>
  <c r="O433" i="2"/>
  <c r="P433" i="2" s="1"/>
  <c r="Q433" i="2" s="1"/>
  <c r="O434" i="2"/>
  <c r="P434" i="2" s="1"/>
  <c r="Q434" i="2" s="1"/>
  <c r="O435" i="2"/>
  <c r="P435" i="2" s="1"/>
  <c r="Q435" i="2" s="1"/>
  <c r="O436" i="2"/>
  <c r="P436" i="2" s="1"/>
  <c r="Q436" i="2" s="1"/>
  <c r="O437" i="2"/>
  <c r="P437" i="2" s="1"/>
  <c r="Q437" i="2" s="1"/>
  <c r="O438" i="2"/>
  <c r="P438" i="2" s="1"/>
  <c r="Q438" i="2" s="1"/>
  <c r="O439" i="2"/>
  <c r="P439" i="2" s="1"/>
  <c r="Q439" i="2" s="1"/>
  <c r="O440" i="2"/>
  <c r="P440" i="2" s="1"/>
  <c r="Q440" i="2" s="1"/>
  <c r="O441" i="2"/>
  <c r="P441" i="2" s="1"/>
  <c r="Q441" i="2" s="1"/>
  <c r="O442" i="2"/>
  <c r="P442" i="2" s="1"/>
  <c r="Q442" i="2" s="1"/>
  <c r="O443" i="2"/>
  <c r="P443" i="2" s="1"/>
  <c r="Q443" i="2" s="1"/>
  <c r="O444" i="2"/>
  <c r="P444" i="2" s="1"/>
  <c r="Q444" i="2" s="1"/>
  <c r="O445" i="2"/>
  <c r="P445" i="2" s="1"/>
  <c r="Q445" i="2" s="1"/>
  <c r="O446" i="2"/>
  <c r="P446" i="2" s="1"/>
  <c r="Q446" i="2" s="1"/>
  <c r="O447" i="2"/>
  <c r="P447" i="2" s="1"/>
  <c r="Q447" i="2" s="1"/>
  <c r="O448" i="2"/>
  <c r="P448" i="2" s="1"/>
  <c r="Q448" i="2" s="1"/>
  <c r="O449" i="2"/>
  <c r="P449" i="2" s="1"/>
  <c r="Q449" i="2" s="1"/>
  <c r="O450" i="2"/>
  <c r="P450" i="2" s="1"/>
  <c r="Q450" i="2" s="1"/>
  <c r="O451" i="2"/>
  <c r="P451" i="2" s="1"/>
  <c r="Q451" i="2" s="1"/>
  <c r="O452" i="2"/>
  <c r="P452" i="2" s="1"/>
  <c r="Q452" i="2" s="1"/>
  <c r="O454" i="2"/>
  <c r="P454" i="2" s="1"/>
  <c r="Q454" i="2" s="1"/>
  <c r="O455" i="2"/>
  <c r="P455" i="2" s="1"/>
  <c r="Q455" i="2" s="1"/>
  <c r="O456" i="2"/>
  <c r="P456" i="2" s="1"/>
  <c r="Q456" i="2" s="1"/>
  <c r="O457" i="2"/>
  <c r="P457" i="2" s="1"/>
  <c r="Q457" i="2" s="1"/>
  <c r="O458" i="2"/>
  <c r="P458" i="2" s="1"/>
  <c r="Q458" i="2" s="1"/>
  <c r="O459" i="2"/>
  <c r="P459" i="2" s="1"/>
  <c r="Q459" i="2" s="1"/>
  <c r="O460" i="2"/>
  <c r="P460" i="2" s="1"/>
  <c r="Q460" i="2" s="1"/>
  <c r="O461" i="2"/>
  <c r="P461" i="2" s="1"/>
  <c r="Q461" i="2" s="1"/>
  <c r="O462" i="2"/>
  <c r="P462" i="2" s="1"/>
  <c r="Q462" i="2" s="1"/>
  <c r="O463" i="2"/>
  <c r="P463" i="2" s="1"/>
  <c r="Q463" i="2" s="1"/>
  <c r="O464" i="2"/>
  <c r="P464" i="2" s="1"/>
  <c r="Q464" i="2" s="1"/>
  <c r="O465" i="2"/>
  <c r="P465" i="2" s="1"/>
  <c r="Q465" i="2" s="1"/>
  <c r="O466" i="2"/>
  <c r="P466" i="2" s="1"/>
  <c r="Q466" i="2" s="1"/>
  <c r="O467" i="2"/>
  <c r="P467" i="2" s="1"/>
  <c r="Q467" i="2" s="1"/>
  <c r="O468" i="2"/>
  <c r="P468" i="2" s="1"/>
  <c r="Q468" i="2" s="1"/>
  <c r="O469" i="2"/>
  <c r="P469" i="2" s="1"/>
  <c r="Q469" i="2" s="1"/>
  <c r="O470" i="2"/>
  <c r="P470" i="2" s="1"/>
  <c r="Q470" i="2" s="1"/>
  <c r="O471" i="2"/>
  <c r="P471" i="2" s="1"/>
  <c r="Q471" i="2" s="1"/>
  <c r="O472" i="2"/>
  <c r="P472" i="2" s="1"/>
  <c r="Q472" i="2" s="1"/>
  <c r="O473" i="2"/>
  <c r="P473" i="2" s="1"/>
  <c r="Q473" i="2" s="1"/>
  <c r="O474" i="2"/>
  <c r="P474" i="2" s="1"/>
  <c r="Q474" i="2" s="1"/>
  <c r="O475" i="2"/>
  <c r="P475" i="2" s="1"/>
  <c r="Q475" i="2" s="1"/>
  <c r="O476" i="2"/>
  <c r="P476" i="2" s="1"/>
  <c r="Q476" i="2" s="1"/>
  <c r="N346" i="1"/>
  <c r="N345" i="1"/>
  <c r="N344" i="1"/>
  <c r="N343" i="1"/>
  <c r="N342" i="1"/>
  <c r="N341" i="1"/>
  <c r="N340" i="1"/>
  <c r="N339" i="1"/>
  <c r="N338" i="1"/>
  <c r="N347" i="1"/>
  <c r="C1" i="1"/>
  <c r="B1" i="1"/>
  <c r="B8" i="9" l="1"/>
  <c r="B11" i="9" s="1"/>
  <c r="D1" i="8"/>
  <c r="O353" i="2"/>
  <c r="P353" i="2" s="1"/>
  <c r="Q353" i="2" s="1"/>
  <c r="O65" i="2"/>
  <c r="P65" i="2" s="1"/>
  <c r="Q65" i="2" s="1"/>
  <c r="O150" i="2"/>
  <c r="P150" i="2" s="1"/>
  <c r="Q150" i="2" s="1"/>
  <c r="O173" i="2"/>
  <c r="P173" i="2" s="1"/>
  <c r="Q173" i="2" s="1"/>
  <c r="O171" i="2"/>
  <c r="P171" i="2" s="1"/>
  <c r="Q171" i="2" s="1"/>
  <c r="O39" i="2"/>
  <c r="P39" i="2" s="1"/>
  <c r="Q39" i="2" s="1"/>
  <c r="O35" i="2"/>
  <c r="P35" i="2" s="1"/>
  <c r="Q35" i="2" s="1"/>
  <c r="O407" i="2"/>
  <c r="P407" i="2" s="1"/>
  <c r="Q407" i="2" s="1"/>
  <c r="O354" i="2"/>
  <c r="P354" i="2" s="1"/>
  <c r="Q354" i="2" s="1"/>
  <c r="O341" i="2"/>
  <c r="P341" i="2" s="1"/>
  <c r="Q341" i="2" s="1"/>
  <c r="O318" i="2"/>
  <c r="P318" i="2" s="1"/>
  <c r="Q318" i="2" s="1"/>
  <c r="O182" i="2"/>
  <c r="P182" i="2" s="1"/>
  <c r="Q182" i="2" s="1"/>
  <c r="O42" i="2"/>
  <c r="P42" i="2" s="1"/>
  <c r="Q42" i="2" s="1"/>
  <c r="O181" i="2"/>
  <c r="P181" i="2" s="1"/>
  <c r="Q181" i="2" s="1"/>
  <c r="O34" i="2"/>
  <c r="P34" i="2" s="1"/>
  <c r="Q34" i="2" s="1"/>
  <c r="O400" i="2"/>
  <c r="P400" i="2" s="1"/>
  <c r="Q400" i="2" s="1"/>
  <c r="O121" i="2"/>
  <c r="P121" i="2" s="1"/>
  <c r="Q121" i="2" s="1"/>
  <c r="O377" i="2"/>
  <c r="P377" i="2" s="1"/>
  <c r="Q377" i="2" s="1"/>
  <c r="O89" i="2"/>
  <c r="P89" i="2" s="1"/>
  <c r="Q89" i="2" s="1"/>
  <c r="O17" i="2"/>
  <c r="P17" i="2" s="1"/>
  <c r="Q17" i="2" s="1"/>
  <c r="O376" i="2"/>
  <c r="P376" i="2" s="1"/>
  <c r="Q376" i="2" s="1"/>
  <c r="O88" i="2"/>
  <c r="P88" i="2" s="1"/>
  <c r="Q88" i="2" s="1"/>
  <c r="O30" i="2"/>
  <c r="P30" i="2" s="1"/>
  <c r="Q30" i="2" s="1"/>
  <c r="O374" i="2"/>
  <c r="P374" i="2" s="1"/>
  <c r="Q374" i="2" s="1"/>
  <c r="O342" i="2"/>
  <c r="P342" i="2" s="1"/>
  <c r="Q342" i="2" s="1"/>
  <c r="O315" i="2"/>
  <c r="P315" i="2" s="1"/>
  <c r="Q315" i="2" s="1"/>
  <c r="O269" i="2"/>
  <c r="P269" i="2" s="1"/>
  <c r="Q269" i="2" s="1"/>
  <c r="O172" i="2"/>
  <c r="P172" i="2" s="1"/>
  <c r="Q172" i="2" s="1"/>
  <c r="O32" i="2"/>
  <c r="P32" i="2" s="1"/>
  <c r="Q32" i="2" s="1"/>
  <c r="O399" i="2"/>
  <c r="P399" i="2" s="1"/>
  <c r="Q399" i="2" s="1"/>
  <c r="O365" i="2"/>
  <c r="P365" i="2" s="1"/>
  <c r="Q365" i="2" s="1"/>
  <c r="O340" i="2"/>
  <c r="P340" i="2" s="1"/>
  <c r="Q340" i="2" s="1"/>
  <c r="O304" i="2"/>
  <c r="P304" i="2" s="1"/>
  <c r="Q304" i="2" s="1"/>
  <c r="O257" i="2"/>
  <c r="P257" i="2" s="1"/>
  <c r="Q257" i="2" s="1"/>
  <c r="O170" i="2"/>
  <c r="P170" i="2" s="1"/>
  <c r="Q170" i="2" s="1"/>
  <c r="O111" i="2"/>
  <c r="P111" i="2" s="1"/>
  <c r="Q111" i="2" s="1"/>
  <c r="O61" i="2"/>
  <c r="P61" i="2" s="1"/>
  <c r="Q61" i="2" s="1"/>
  <c r="O25" i="2"/>
  <c r="P25" i="2" s="1"/>
  <c r="Q25" i="2" s="1"/>
  <c r="O386" i="2"/>
  <c r="P386" i="2" s="1"/>
  <c r="Q386" i="2" s="1"/>
  <c r="O328" i="2"/>
  <c r="P328" i="2" s="1"/>
  <c r="Q328" i="2" s="1"/>
  <c r="O291" i="2"/>
  <c r="P291" i="2" s="1"/>
  <c r="Q291" i="2" s="1"/>
  <c r="O222" i="2"/>
  <c r="P222" i="2" s="1"/>
  <c r="Q222" i="2" s="1"/>
  <c r="O385" i="2"/>
  <c r="P385" i="2" s="1"/>
  <c r="Q385" i="2" s="1"/>
  <c r="O327" i="2"/>
  <c r="P327" i="2" s="1"/>
  <c r="Q327" i="2" s="1"/>
  <c r="O282" i="2"/>
  <c r="P282" i="2" s="1"/>
  <c r="Q282" i="2" s="1"/>
  <c r="O210" i="2"/>
  <c r="P210" i="2" s="1"/>
  <c r="Q210" i="2" s="1"/>
  <c r="O149" i="2"/>
  <c r="P149" i="2" s="1"/>
  <c r="Q149" i="2" s="1"/>
  <c r="O352" i="2"/>
  <c r="P352" i="2" s="1"/>
  <c r="Q352" i="2" s="1"/>
  <c r="O351" i="2"/>
  <c r="P351" i="2" s="1"/>
  <c r="Q351" i="2" s="1"/>
  <c r="O317" i="2"/>
  <c r="P317" i="2" s="1"/>
  <c r="Q317" i="2" s="1"/>
  <c r="O280" i="2"/>
  <c r="P280" i="2" s="1"/>
  <c r="Q280" i="2" s="1"/>
  <c r="O123" i="2"/>
  <c r="P123" i="2" s="1"/>
  <c r="Q123" i="2" s="1"/>
  <c r="O375" i="2"/>
  <c r="P375" i="2" s="1"/>
  <c r="Q375" i="2" s="1"/>
  <c r="O350" i="2"/>
  <c r="P350" i="2" s="1"/>
  <c r="Q350" i="2" s="1"/>
  <c r="O316" i="2"/>
  <c r="P316" i="2" s="1"/>
  <c r="Q316" i="2" s="1"/>
  <c r="O270" i="2"/>
  <c r="P270" i="2" s="1"/>
  <c r="Q270" i="2" s="1"/>
  <c r="O71" i="2"/>
  <c r="P71" i="2" s="1"/>
  <c r="Q71" i="2" s="1"/>
  <c r="O373" i="2"/>
  <c r="P373" i="2" s="1"/>
  <c r="Q373" i="2" s="1"/>
  <c r="O305" i="2"/>
  <c r="P305" i="2" s="1"/>
  <c r="Q305" i="2" s="1"/>
  <c r="O258" i="2"/>
  <c r="P258" i="2" s="1"/>
  <c r="Q258" i="2" s="1"/>
  <c r="O112" i="2"/>
  <c r="P112" i="2" s="1"/>
  <c r="Q112" i="2" s="1"/>
  <c r="O192" i="2"/>
  <c r="P192" i="2" s="1"/>
  <c r="Q192" i="2" s="1"/>
  <c r="O398" i="2"/>
  <c r="P398" i="2" s="1"/>
  <c r="Q398" i="2" s="1"/>
  <c r="O364" i="2"/>
  <c r="P364" i="2" s="1"/>
  <c r="Q364" i="2" s="1"/>
  <c r="O303" i="2"/>
  <c r="P303" i="2" s="1"/>
  <c r="Q303" i="2" s="1"/>
  <c r="O246" i="2"/>
  <c r="P246" i="2" s="1"/>
  <c r="Q246" i="2" s="1"/>
  <c r="O36" i="2"/>
  <c r="P36" i="2" s="1"/>
  <c r="Q36" i="2" s="1"/>
  <c r="O397" i="2"/>
  <c r="P397" i="2" s="1"/>
  <c r="Q397" i="2" s="1"/>
  <c r="O363" i="2"/>
  <c r="P363" i="2" s="1"/>
  <c r="Q363" i="2" s="1"/>
  <c r="O338" i="2"/>
  <c r="P338" i="2" s="1"/>
  <c r="Q338" i="2" s="1"/>
  <c r="O294" i="2"/>
  <c r="P294" i="2" s="1"/>
  <c r="Q294" i="2" s="1"/>
  <c r="O245" i="2"/>
  <c r="P245" i="2" s="1"/>
  <c r="Q245" i="2" s="1"/>
  <c r="O161" i="2"/>
  <c r="P161" i="2" s="1"/>
  <c r="Q161" i="2" s="1"/>
  <c r="O101" i="2"/>
  <c r="P101" i="2" s="1"/>
  <c r="Q101" i="2" s="1"/>
  <c r="O51" i="2"/>
  <c r="P51" i="2" s="1"/>
  <c r="Q51" i="2" s="1"/>
  <c r="O84" i="2"/>
  <c r="P84" i="2" s="1"/>
  <c r="Q84" i="2" s="1"/>
  <c r="O388" i="2"/>
  <c r="P388" i="2" s="1"/>
  <c r="Q388" i="2" s="1"/>
  <c r="O362" i="2"/>
  <c r="P362" i="2" s="1"/>
  <c r="Q362" i="2" s="1"/>
  <c r="O330" i="2"/>
  <c r="P330" i="2" s="1"/>
  <c r="Q330" i="2" s="1"/>
  <c r="O293" i="2"/>
  <c r="P293" i="2" s="1"/>
  <c r="Q293" i="2" s="1"/>
  <c r="O234" i="2"/>
  <c r="P234" i="2" s="1"/>
  <c r="Q234" i="2" s="1"/>
  <c r="O160" i="2"/>
  <c r="P160" i="2" s="1"/>
  <c r="Q160" i="2" s="1"/>
  <c r="O99" i="2"/>
  <c r="P99" i="2" s="1"/>
  <c r="Q99" i="2" s="1"/>
  <c r="O16" i="2"/>
  <c r="P16" i="2" s="1"/>
  <c r="Q16" i="2" s="1"/>
  <c r="O387" i="2"/>
  <c r="P387" i="2" s="1"/>
  <c r="Q387" i="2" s="1"/>
  <c r="O329" i="2"/>
  <c r="P329" i="2" s="1"/>
  <c r="Q329" i="2" s="1"/>
  <c r="O292" i="2"/>
  <c r="P292" i="2" s="1"/>
  <c r="Q292" i="2" s="1"/>
  <c r="O233" i="2"/>
  <c r="P233" i="2" s="1"/>
  <c r="Q233" i="2" s="1"/>
  <c r="O159" i="2"/>
  <c r="P159" i="2" s="1"/>
  <c r="Q159" i="2" s="1"/>
  <c r="O90" i="2"/>
  <c r="P90" i="2" s="1"/>
  <c r="Q90" i="2" s="1"/>
  <c r="O15" i="2"/>
  <c r="P15" i="2" s="1"/>
  <c r="Q15" i="2" s="1"/>
  <c r="O122" i="2"/>
  <c r="P122" i="2" s="1"/>
  <c r="Q122" i="2" s="1"/>
  <c r="O431" i="2"/>
  <c r="P431" i="2" s="1"/>
  <c r="Q431" i="2" s="1"/>
  <c r="O158" i="2"/>
  <c r="P158" i="2" s="1"/>
  <c r="Q158" i="2" s="1"/>
  <c r="O53" i="2"/>
  <c r="P53" i="2" s="1"/>
  <c r="Q53" i="2" s="1"/>
  <c r="O26" i="2"/>
  <c r="P26" i="2" s="1"/>
  <c r="Q26" i="2" s="1"/>
  <c r="O43" i="2"/>
  <c r="P43" i="2" s="1"/>
  <c r="Q43" i="2" s="1"/>
  <c r="O100" i="2"/>
  <c r="P100" i="2" s="1"/>
  <c r="Q100" i="2" s="1"/>
  <c r="O124" i="2"/>
  <c r="P124" i="2" s="1"/>
  <c r="Q124" i="2" s="1"/>
  <c r="O132" i="2"/>
  <c r="P132" i="2" s="1"/>
  <c r="Q132" i="2" s="1"/>
  <c r="O366" i="2"/>
  <c r="P366" i="2" s="1"/>
  <c r="Q366" i="2" s="1"/>
  <c r="O306" i="2"/>
  <c r="P306" i="2" s="1"/>
  <c r="Q306" i="2" s="1"/>
  <c r="O87" i="2"/>
  <c r="P87" i="2" s="1"/>
  <c r="Q87" i="2" s="1"/>
  <c r="O77" i="2"/>
  <c r="P77" i="2" s="1"/>
  <c r="Q77" i="2" s="1"/>
  <c r="O56" i="2"/>
  <c r="P56" i="2" s="1"/>
  <c r="Q56" i="2" s="1"/>
  <c r="O47" i="2"/>
  <c r="P47" i="2" s="1"/>
  <c r="Q47" i="2" s="1"/>
  <c r="O108" i="2"/>
  <c r="P108" i="2" s="1"/>
  <c r="Q108" i="2" s="1"/>
  <c r="O97" i="2"/>
  <c r="P97" i="2" s="1"/>
  <c r="Q97" i="2" s="1"/>
  <c r="O86" i="2"/>
  <c r="P86" i="2" s="1"/>
  <c r="Q86" i="2" s="1"/>
  <c r="O76" i="2"/>
  <c r="P76" i="2" s="1"/>
  <c r="Q76" i="2" s="1"/>
  <c r="O46" i="2"/>
  <c r="P46" i="2" s="1"/>
  <c r="Q46" i="2" s="1"/>
  <c r="O37" i="2"/>
  <c r="P37" i="2" s="1"/>
  <c r="Q37" i="2" s="1"/>
  <c r="O118" i="2"/>
  <c r="P118" i="2" s="1"/>
  <c r="Q118" i="2" s="1"/>
  <c r="O107" i="2"/>
  <c r="P107" i="2" s="1"/>
  <c r="Q107" i="2" s="1"/>
  <c r="O85" i="2"/>
  <c r="P85" i="2" s="1"/>
  <c r="Q85" i="2" s="1"/>
  <c r="O75" i="2"/>
  <c r="P75" i="2" s="1"/>
  <c r="Q75" i="2" s="1"/>
  <c r="O168" i="2"/>
  <c r="P168" i="2" s="1"/>
  <c r="Q168" i="2" s="1"/>
  <c r="O117" i="2"/>
  <c r="P117" i="2" s="1"/>
  <c r="Q117" i="2" s="1"/>
  <c r="O395" i="2"/>
  <c r="P395" i="2" s="1"/>
  <c r="Q395" i="2" s="1"/>
  <c r="O383" i="2"/>
  <c r="P383" i="2" s="1"/>
  <c r="Q383" i="2" s="1"/>
  <c r="O372" i="2"/>
  <c r="P372" i="2" s="1"/>
  <c r="Q372" i="2" s="1"/>
  <c r="O360" i="2"/>
  <c r="P360" i="2" s="1"/>
  <c r="Q360" i="2" s="1"/>
  <c r="O349" i="2"/>
  <c r="P349" i="2" s="1"/>
  <c r="Q349" i="2" s="1"/>
  <c r="O337" i="2"/>
  <c r="P337" i="2" s="1"/>
  <c r="Q337" i="2" s="1"/>
  <c r="O326" i="2"/>
  <c r="P326" i="2" s="1"/>
  <c r="Q326" i="2" s="1"/>
  <c r="O314" i="2"/>
  <c r="P314" i="2" s="1"/>
  <c r="Q314" i="2" s="1"/>
  <c r="O302" i="2"/>
  <c r="P302" i="2" s="1"/>
  <c r="Q302" i="2" s="1"/>
  <c r="O279" i="2"/>
  <c r="P279" i="2" s="1"/>
  <c r="Q279" i="2" s="1"/>
  <c r="O268" i="2"/>
  <c r="P268" i="2" s="1"/>
  <c r="Q268" i="2" s="1"/>
  <c r="O256" i="2"/>
  <c r="P256" i="2" s="1"/>
  <c r="Q256" i="2" s="1"/>
  <c r="O244" i="2"/>
  <c r="P244" i="2" s="1"/>
  <c r="Q244" i="2" s="1"/>
  <c r="O221" i="2"/>
  <c r="P221" i="2" s="1"/>
  <c r="Q221" i="2" s="1"/>
  <c r="O209" i="2"/>
  <c r="P209" i="2" s="1"/>
  <c r="Q209" i="2" s="1"/>
  <c r="O188" i="2"/>
  <c r="P188" i="2" s="1"/>
  <c r="Q188" i="2" s="1"/>
  <c r="O178" i="2"/>
  <c r="P178" i="2" s="1"/>
  <c r="Q178" i="2" s="1"/>
  <c r="O167" i="2"/>
  <c r="P167" i="2" s="1"/>
  <c r="Q167" i="2" s="1"/>
  <c r="O147" i="2"/>
  <c r="P147" i="2" s="1"/>
  <c r="Q147" i="2" s="1"/>
  <c r="O136" i="2"/>
  <c r="P136" i="2" s="1"/>
  <c r="Q136" i="2" s="1"/>
  <c r="O127" i="2"/>
  <c r="P127" i="2" s="1"/>
  <c r="Q127" i="2" s="1"/>
  <c r="O116" i="2"/>
  <c r="P116" i="2" s="1"/>
  <c r="Q116" i="2" s="1"/>
  <c r="O105" i="2"/>
  <c r="P105" i="2" s="1"/>
  <c r="Q105" i="2" s="1"/>
  <c r="O394" i="2"/>
  <c r="P394" i="2" s="1"/>
  <c r="Q394" i="2" s="1"/>
  <c r="O382" i="2"/>
  <c r="P382" i="2" s="1"/>
  <c r="Q382" i="2" s="1"/>
  <c r="O371" i="2"/>
  <c r="P371" i="2" s="1"/>
  <c r="Q371" i="2" s="1"/>
  <c r="O359" i="2"/>
  <c r="P359" i="2" s="1"/>
  <c r="Q359" i="2" s="1"/>
  <c r="O348" i="2"/>
  <c r="P348" i="2" s="1"/>
  <c r="Q348" i="2" s="1"/>
  <c r="O336" i="2"/>
  <c r="P336" i="2" s="1"/>
  <c r="Q336" i="2" s="1"/>
  <c r="O325" i="2"/>
  <c r="P325" i="2" s="1"/>
  <c r="Q325" i="2" s="1"/>
  <c r="O313" i="2"/>
  <c r="P313" i="2" s="1"/>
  <c r="Q313" i="2" s="1"/>
  <c r="O301" i="2"/>
  <c r="P301" i="2" s="1"/>
  <c r="Q301" i="2" s="1"/>
  <c r="O278" i="2"/>
  <c r="P278" i="2" s="1"/>
  <c r="Q278" i="2" s="1"/>
  <c r="O267" i="2"/>
  <c r="P267" i="2" s="1"/>
  <c r="Q267" i="2" s="1"/>
  <c r="O255" i="2"/>
  <c r="P255" i="2" s="1"/>
  <c r="Q255" i="2" s="1"/>
  <c r="O243" i="2"/>
  <c r="P243" i="2" s="1"/>
  <c r="Q243" i="2" s="1"/>
  <c r="O231" i="2"/>
  <c r="P231" i="2" s="1"/>
  <c r="Q231" i="2" s="1"/>
  <c r="O220" i="2"/>
  <c r="P220" i="2" s="1"/>
  <c r="Q220" i="2" s="1"/>
  <c r="O208" i="2"/>
  <c r="P208" i="2" s="1"/>
  <c r="Q208" i="2" s="1"/>
  <c r="O198" i="2"/>
  <c r="P198" i="2" s="1"/>
  <c r="Q198" i="2" s="1"/>
  <c r="O187" i="2"/>
  <c r="P187" i="2" s="1"/>
  <c r="Q187" i="2" s="1"/>
  <c r="O177" i="2"/>
  <c r="P177" i="2" s="1"/>
  <c r="Q177" i="2" s="1"/>
  <c r="O166" i="2"/>
  <c r="P166" i="2" s="1"/>
  <c r="Q166" i="2" s="1"/>
  <c r="O156" i="2"/>
  <c r="P156" i="2" s="1"/>
  <c r="Q156" i="2" s="1"/>
  <c r="O146" i="2"/>
  <c r="P146" i="2" s="1"/>
  <c r="Q146" i="2" s="1"/>
  <c r="O135" i="2"/>
  <c r="P135" i="2" s="1"/>
  <c r="Q135" i="2" s="1"/>
  <c r="O104" i="2"/>
  <c r="P104" i="2" s="1"/>
  <c r="Q104" i="2" s="1"/>
  <c r="O381" i="2"/>
  <c r="P381" i="2" s="1"/>
  <c r="Q381" i="2" s="1"/>
  <c r="O347" i="2"/>
  <c r="P347" i="2" s="1"/>
  <c r="Q347" i="2" s="1"/>
  <c r="O242" i="2"/>
  <c r="P242" i="2" s="1"/>
  <c r="Q242" i="2" s="1"/>
  <c r="O207" i="2"/>
  <c r="P207" i="2" s="1"/>
  <c r="Q207" i="2" s="1"/>
  <c r="O176" i="2"/>
  <c r="P176" i="2" s="1"/>
  <c r="Q176" i="2" s="1"/>
  <c r="O145" i="2"/>
  <c r="P145" i="2" s="1"/>
  <c r="Q145" i="2" s="1"/>
  <c r="O186" i="2"/>
  <c r="P186" i="2" s="1"/>
  <c r="Q186" i="2" s="1"/>
  <c r="O410" i="2"/>
  <c r="O393" i="2"/>
  <c r="P393" i="2" s="1"/>
  <c r="Q393" i="2" s="1"/>
  <c r="O335" i="2"/>
  <c r="P335" i="2" s="1"/>
  <c r="Q335" i="2" s="1"/>
  <c r="O312" i="2"/>
  <c r="P312" i="2" s="1"/>
  <c r="Q312" i="2" s="1"/>
  <c r="O277" i="2"/>
  <c r="P277" i="2" s="1"/>
  <c r="Q277" i="2" s="1"/>
  <c r="O254" i="2"/>
  <c r="P254" i="2" s="1"/>
  <c r="Q254" i="2" s="1"/>
  <c r="O165" i="2"/>
  <c r="P165" i="2" s="1"/>
  <c r="Q165" i="2" s="1"/>
  <c r="O324" i="2"/>
  <c r="P324" i="2" s="1"/>
  <c r="Q324" i="2" s="1"/>
  <c r="O126" i="2"/>
  <c r="P126" i="2" s="1"/>
  <c r="Q126" i="2" s="1"/>
  <c r="O370" i="2"/>
  <c r="P370" i="2" s="1"/>
  <c r="Q370" i="2" s="1"/>
  <c r="O358" i="2"/>
  <c r="P358" i="2" s="1"/>
  <c r="Q358" i="2" s="1"/>
  <c r="O300" i="2"/>
  <c r="P300" i="2" s="1"/>
  <c r="Q300" i="2" s="1"/>
  <c r="O289" i="2"/>
  <c r="P289" i="2" s="1"/>
  <c r="Q289" i="2" s="1"/>
  <c r="O266" i="2"/>
  <c r="P266" i="2" s="1"/>
  <c r="Q266" i="2" s="1"/>
  <c r="O219" i="2"/>
  <c r="P219" i="2" s="1"/>
  <c r="Q219" i="2" s="1"/>
  <c r="O197" i="2"/>
  <c r="P197" i="2" s="1"/>
  <c r="Q197" i="2" s="1"/>
  <c r="O155" i="2"/>
  <c r="P155" i="2" s="1"/>
  <c r="Q155" i="2" s="1"/>
  <c r="O114" i="2"/>
  <c r="P114" i="2" s="1"/>
  <c r="Q114" i="2" s="1"/>
  <c r="O48" i="2"/>
  <c r="P48" i="2" s="1"/>
  <c r="Q48" i="2" s="1"/>
  <c r="O392" i="2"/>
  <c r="P392" i="2" s="1"/>
  <c r="Q392" i="2" s="1"/>
  <c r="O369" i="2"/>
  <c r="P369" i="2" s="1"/>
  <c r="Q369" i="2" s="1"/>
  <c r="O357" i="2"/>
  <c r="P357" i="2" s="1"/>
  <c r="Q357" i="2" s="1"/>
  <c r="O346" i="2"/>
  <c r="P346" i="2" s="1"/>
  <c r="Q346" i="2" s="1"/>
  <c r="O334" i="2"/>
  <c r="P334" i="2" s="1"/>
  <c r="Q334" i="2" s="1"/>
  <c r="O323" i="2"/>
  <c r="P323" i="2" s="1"/>
  <c r="Q323" i="2" s="1"/>
  <c r="O311" i="2"/>
  <c r="P311" i="2" s="1"/>
  <c r="Q311" i="2" s="1"/>
  <c r="O299" i="2"/>
  <c r="P299" i="2" s="1"/>
  <c r="Q299" i="2" s="1"/>
  <c r="O288" i="2"/>
  <c r="P288" i="2" s="1"/>
  <c r="Q288" i="2" s="1"/>
  <c r="O175" i="2"/>
  <c r="P175" i="2" s="1"/>
  <c r="Q175" i="2" s="1"/>
  <c r="O164" i="2"/>
  <c r="P164" i="2" s="1"/>
  <c r="Q164" i="2" s="1"/>
  <c r="O154" i="2"/>
  <c r="P154" i="2" s="1"/>
  <c r="Q154" i="2" s="1"/>
  <c r="O418" i="2"/>
  <c r="P418" i="2" s="1"/>
  <c r="Q418" i="2" s="1"/>
  <c r="O206" i="2"/>
  <c r="P206" i="2" s="1"/>
  <c r="Q206" i="2" s="1"/>
  <c r="O391" i="2"/>
  <c r="P391" i="2" s="1"/>
  <c r="Q391" i="2" s="1"/>
  <c r="O380" i="2"/>
  <c r="P380" i="2" s="1"/>
  <c r="Q380" i="2" s="1"/>
  <c r="O368" i="2"/>
  <c r="P368" i="2" s="1"/>
  <c r="Q368" i="2" s="1"/>
  <c r="O345" i="2"/>
  <c r="P345" i="2" s="1"/>
  <c r="Q345" i="2" s="1"/>
  <c r="O333" i="2"/>
  <c r="P333" i="2" s="1"/>
  <c r="Q333" i="2" s="1"/>
  <c r="O322" i="2"/>
  <c r="P322" i="2" s="1"/>
  <c r="Q322" i="2" s="1"/>
  <c r="O310" i="2"/>
  <c r="P310" i="2" s="1"/>
  <c r="Q310" i="2" s="1"/>
  <c r="O298" i="2"/>
  <c r="P298" i="2" s="1"/>
  <c r="Q298" i="2" s="1"/>
  <c r="O287" i="2"/>
  <c r="P287" i="2" s="1"/>
  <c r="Q287" i="2" s="1"/>
  <c r="O264" i="2"/>
  <c r="P264" i="2" s="1"/>
  <c r="Q264" i="2" s="1"/>
  <c r="O252" i="2"/>
  <c r="P252" i="2" s="1"/>
  <c r="Q252" i="2" s="1"/>
  <c r="O240" i="2"/>
  <c r="P240" i="2" s="1"/>
  <c r="Q240" i="2" s="1"/>
  <c r="O163" i="2"/>
  <c r="P163" i="2" s="1"/>
  <c r="Q163" i="2" s="1"/>
  <c r="O153" i="2"/>
  <c r="P153" i="2" s="1"/>
  <c r="Q153" i="2" s="1"/>
  <c r="O144" i="2"/>
  <c r="P144" i="2" s="1"/>
  <c r="Q144" i="2" s="1"/>
  <c r="O133" i="2"/>
  <c r="P133" i="2" s="1"/>
  <c r="Q133" i="2" s="1"/>
  <c r="O417" i="2"/>
  <c r="P417" i="2" s="1"/>
  <c r="Q417" i="2" s="1"/>
  <c r="O253" i="2"/>
  <c r="P253" i="2" s="1"/>
  <c r="Q253" i="2" s="1"/>
  <c r="O205" i="2"/>
  <c r="P205" i="2" s="1"/>
  <c r="Q205" i="2" s="1"/>
  <c r="O379" i="2"/>
  <c r="P379" i="2" s="1"/>
  <c r="Q379" i="2" s="1"/>
  <c r="O367" i="2"/>
  <c r="P367" i="2" s="1"/>
  <c r="Q367" i="2" s="1"/>
  <c r="O356" i="2"/>
  <c r="P356" i="2" s="1"/>
  <c r="Q356" i="2" s="1"/>
  <c r="O344" i="2"/>
  <c r="P344" i="2" s="1"/>
  <c r="Q344" i="2" s="1"/>
  <c r="O321" i="2"/>
  <c r="P321" i="2" s="1"/>
  <c r="Q321" i="2" s="1"/>
  <c r="O309" i="2"/>
  <c r="P309" i="2" s="1"/>
  <c r="Q309" i="2" s="1"/>
  <c r="O297" i="2"/>
  <c r="P297" i="2" s="1"/>
  <c r="Q297" i="2" s="1"/>
  <c r="O286" i="2"/>
  <c r="P286" i="2" s="1"/>
  <c r="Q286" i="2" s="1"/>
  <c r="O275" i="2"/>
  <c r="P275" i="2" s="1"/>
  <c r="Q275" i="2" s="1"/>
  <c r="O263" i="2"/>
  <c r="P263" i="2" s="1"/>
  <c r="Q263" i="2" s="1"/>
  <c r="O251" i="2"/>
  <c r="P251" i="2" s="1"/>
  <c r="Q251" i="2" s="1"/>
  <c r="O239" i="2"/>
  <c r="P239" i="2" s="1"/>
  <c r="Q239" i="2" s="1"/>
  <c r="O216" i="2"/>
  <c r="P216" i="2" s="1"/>
  <c r="Q216" i="2" s="1"/>
  <c r="O143" i="2"/>
  <c r="P143" i="2" s="1"/>
  <c r="Q143" i="2" s="1"/>
  <c r="O390" i="2"/>
  <c r="P390" i="2" s="1"/>
  <c r="Q390" i="2" s="1"/>
  <c r="O355" i="2"/>
  <c r="P355" i="2" s="1"/>
  <c r="Q355" i="2" s="1"/>
  <c r="O343" i="2"/>
  <c r="P343" i="2" s="1"/>
  <c r="Q343" i="2" s="1"/>
  <c r="O332" i="2"/>
  <c r="P332" i="2" s="1"/>
  <c r="Q332" i="2" s="1"/>
  <c r="O320" i="2"/>
  <c r="P320" i="2" s="1"/>
  <c r="Q320" i="2" s="1"/>
  <c r="O308" i="2"/>
  <c r="P308" i="2" s="1"/>
  <c r="Q308" i="2" s="1"/>
  <c r="O296" i="2"/>
  <c r="P296" i="2" s="1"/>
  <c r="Q296" i="2" s="1"/>
  <c r="O285" i="2"/>
  <c r="P285" i="2" s="1"/>
  <c r="Q285" i="2" s="1"/>
  <c r="O274" i="2"/>
  <c r="P274" i="2" s="1"/>
  <c r="Q274" i="2" s="1"/>
  <c r="O262" i="2"/>
  <c r="P262" i="2" s="1"/>
  <c r="Q262" i="2" s="1"/>
  <c r="O250" i="2"/>
  <c r="P250" i="2" s="1"/>
  <c r="Q250" i="2" s="1"/>
  <c r="O238" i="2"/>
  <c r="P238" i="2" s="1"/>
  <c r="Q238" i="2" s="1"/>
  <c r="O227" i="2"/>
  <c r="P227" i="2" s="1"/>
  <c r="Q227" i="2" s="1"/>
  <c r="O204" i="2"/>
  <c r="P204" i="2" s="1"/>
  <c r="Q204" i="2" s="1"/>
  <c r="O409" i="2"/>
  <c r="P409" i="2" s="1"/>
  <c r="Q409" i="2" s="1"/>
  <c r="O389" i="2"/>
  <c r="P389" i="2" s="1"/>
  <c r="Q389" i="2" s="1"/>
  <c r="O424" i="2"/>
  <c r="P424" i="2" s="1"/>
  <c r="Q424" i="2" s="1"/>
  <c r="O23" i="2"/>
  <c r="P23" i="2" s="1"/>
  <c r="Q23" i="2" s="1"/>
  <c r="O196" i="2"/>
  <c r="P196" i="2" s="1"/>
  <c r="Q196" i="2" s="1"/>
  <c r="O109" i="2"/>
  <c r="P109" i="2" s="1"/>
  <c r="Q109" i="2" s="1"/>
  <c r="O69" i="2"/>
  <c r="P69" i="2" s="1"/>
  <c r="Q69" i="2" s="1"/>
  <c r="O58" i="2"/>
  <c r="P58" i="2" s="1"/>
  <c r="Q58" i="2" s="1"/>
  <c r="O31" i="2"/>
  <c r="P31" i="2" s="1"/>
  <c r="Q31" i="2" s="1"/>
  <c r="O13" i="2"/>
  <c r="P13" i="2" s="1"/>
  <c r="Q13" i="2" s="1"/>
  <c r="O3" i="2"/>
  <c r="P3" i="2" s="1"/>
  <c r="Q3" i="2" s="1"/>
  <c r="O119" i="2"/>
  <c r="P119" i="2" s="1"/>
  <c r="Q119" i="2" s="1"/>
  <c r="O68" i="2"/>
  <c r="P68" i="2" s="1"/>
  <c r="Q68" i="2" s="1"/>
  <c r="O57" i="2"/>
  <c r="P57" i="2" s="1"/>
  <c r="Q57" i="2" s="1"/>
  <c r="O21" i="2"/>
  <c r="P21" i="2" s="1"/>
  <c r="Q21" i="2" s="1"/>
  <c r="O218" i="2"/>
  <c r="P218" i="2" s="1"/>
  <c r="Q218" i="2" s="1"/>
  <c r="O194" i="2"/>
  <c r="P194" i="2" s="1"/>
  <c r="Q194" i="2" s="1"/>
  <c r="O20" i="2"/>
  <c r="P20" i="2" s="1"/>
  <c r="Q20" i="2" s="1"/>
  <c r="O12" i="2"/>
  <c r="P12" i="2" s="1"/>
  <c r="Q12" i="2" s="1"/>
  <c r="O453" i="2"/>
  <c r="P453" i="2" s="1"/>
  <c r="Q453" i="2" s="1"/>
  <c r="O265" i="2"/>
  <c r="P265" i="2" s="1"/>
  <c r="Q265" i="2" s="1"/>
  <c r="O241" i="2"/>
  <c r="P241" i="2" s="1"/>
  <c r="Q241" i="2" s="1"/>
  <c r="O14" i="2"/>
  <c r="P14" i="2" s="1"/>
  <c r="Q14" i="2" s="1"/>
  <c r="O402" i="2"/>
  <c r="P402" i="2" s="1"/>
  <c r="Q402" i="2" s="1"/>
  <c r="O378" i="2"/>
  <c r="P378" i="2" s="1"/>
  <c r="Q378" i="2" s="1"/>
  <c r="O185" i="2"/>
  <c r="P185" i="2" s="1"/>
  <c r="Q185" i="2" s="1"/>
  <c r="O6" i="2"/>
  <c r="P6" i="2" s="1"/>
  <c r="Q6" i="2" s="1"/>
  <c r="O401" i="2"/>
  <c r="P401" i="2" s="1"/>
  <c r="Q401" i="2" s="1"/>
  <c r="O184" i="2"/>
  <c r="P184" i="2" s="1"/>
  <c r="Q184" i="2" s="1"/>
  <c r="O183" i="2"/>
  <c r="P183" i="2" s="1"/>
  <c r="Q183" i="2" s="1"/>
  <c r="O4" i="2"/>
  <c r="P4" i="2" s="1"/>
  <c r="Q4" i="2" s="1"/>
  <c r="O396" i="2"/>
  <c r="P396" i="2" s="1"/>
  <c r="Q396" i="2" s="1"/>
  <c r="O384" i="2"/>
  <c r="P384" i="2" s="1"/>
  <c r="Q384" i="2" s="1"/>
  <c r="O203" i="2"/>
  <c r="P203" i="2" s="1"/>
  <c r="Q203" i="2" s="1"/>
  <c r="O191" i="2"/>
  <c r="P191" i="2" s="1"/>
  <c r="Q191" i="2" s="1"/>
  <c r="O179" i="2"/>
  <c r="P179" i="2" s="1"/>
  <c r="Q179" i="2" s="1"/>
  <c r="O131" i="2"/>
  <c r="P131" i="2" s="1"/>
  <c r="Q131" i="2" s="1"/>
  <c r="O83" i="2"/>
  <c r="P83" i="2" s="1"/>
  <c r="Q83" i="2" s="1"/>
  <c r="O226" i="2"/>
  <c r="P226" i="2" s="1"/>
  <c r="Q226" i="2" s="1"/>
  <c r="O214" i="2"/>
  <c r="P214" i="2" s="1"/>
  <c r="Q214" i="2" s="1"/>
  <c r="O202" i="2"/>
  <c r="P202" i="2" s="1"/>
  <c r="Q202" i="2" s="1"/>
  <c r="O190" i="2"/>
  <c r="P190" i="2" s="1"/>
  <c r="Q190" i="2" s="1"/>
  <c r="O142" i="2"/>
  <c r="P142" i="2" s="1"/>
  <c r="Q142" i="2" s="1"/>
  <c r="O94" i="2"/>
  <c r="P94" i="2" s="1"/>
  <c r="Q94" i="2" s="1"/>
  <c r="O82" i="2"/>
  <c r="P82" i="2" s="1"/>
  <c r="Q82" i="2" s="1"/>
  <c r="O10" i="2"/>
  <c r="P10" i="2" s="1"/>
  <c r="Q10" i="2" s="1"/>
  <c r="O273" i="2"/>
  <c r="P273" i="2" s="1"/>
  <c r="Q273" i="2" s="1"/>
  <c r="O261" i="2"/>
  <c r="P261" i="2" s="1"/>
  <c r="Q261" i="2" s="1"/>
  <c r="O249" i="2"/>
  <c r="P249" i="2" s="1"/>
  <c r="Q249" i="2" s="1"/>
  <c r="O237" i="2"/>
  <c r="P237" i="2" s="1"/>
  <c r="Q237" i="2" s="1"/>
  <c r="O225" i="2"/>
  <c r="P225" i="2" s="1"/>
  <c r="Q225" i="2" s="1"/>
  <c r="O213" i="2"/>
  <c r="P213" i="2" s="1"/>
  <c r="Q213" i="2" s="1"/>
  <c r="O201" i="2"/>
  <c r="P201" i="2" s="1"/>
  <c r="Q201" i="2" s="1"/>
  <c r="O189" i="2"/>
  <c r="P189" i="2" s="1"/>
  <c r="Q189" i="2" s="1"/>
  <c r="O141" i="2"/>
  <c r="P141" i="2" s="1"/>
  <c r="Q141" i="2" s="1"/>
  <c r="O129" i="2"/>
  <c r="P129" i="2" s="1"/>
  <c r="Q129" i="2" s="1"/>
  <c r="O93" i="2"/>
  <c r="P93" i="2" s="1"/>
  <c r="Q93" i="2" s="1"/>
  <c r="O45" i="2"/>
  <c r="P45" i="2" s="1"/>
  <c r="Q45" i="2" s="1"/>
  <c r="O9" i="2"/>
  <c r="P9" i="2" s="1"/>
  <c r="Q9" i="2" s="1"/>
  <c r="O284" i="2"/>
  <c r="P284" i="2" s="1"/>
  <c r="Q284" i="2" s="1"/>
  <c r="O272" i="2"/>
  <c r="P272" i="2" s="1"/>
  <c r="Q272" i="2" s="1"/>
  <c r="O260" i="2"/>
  <c r="P260" i="2" s="1"/>
  <c r="Q260" i="2" s="1"/>
  <c r="O248" i="2"/>
  <c r="P248" i="2" s="1"/>
  <c r="Q248" i="2" s="1"/>
  <c r="O236" i="2"/>
  <c r="P236" i="2" s="1"/>
  <c r="Q236" i="2" s="1"/>
  <c r="O224" i="2"/>
  <c r="P224" i="2" s="1"/>
  <c r="Q224" i="2" s="1"/>
  <c r="O200" i="2"/>
  <c r="P200" i="2" s="1"/>
  <c r="Q200" i="2" s="1"/>
  <c r="O140" i="2"/>
  <c r="P140" i="2" s="1"/>
  <c r="Q140" i="2" s="1"/>
  <c r="O92" i="2"/>
  <c r="P92" i="2" s="1"/>
  <c r="Q92" i="2" s="1"/>
  <c r="O44" i="2"/>
  <c r="P44" i="2" s="1"/>
  <c r="Q44" i="2" s="1"/>
  <c r="O8" i="2"/>
  <c r="P8" i="2" s="1"/>
  <c r="Q8" i="2" s="1"/>
  <c r="O331" i="2"/>
  <c r="P331" i="2" s="1"/>
  <c r="Q331" i="2" s="1"/>
  <c r="O319" i="2"/>
  <c r="P319" i="2" s="1"/>
  <c r="Q319" i="2" s="1"/>
  <c r="O307" i="2"/>
  <c r="P307" i="2" s="1"/>
  <c r="Q307" i="2" s="1"/>
  <c r="O295" i="2"/>
  <c r="P295" i="2" s="1"/>
  <c r="Q295" i="2" s="1"/>
  <c r="O283" i="2"/>
  <c r="P283" i="2" s="1"/>
  <c r="Q283" i="2" s="1"/>
  <c r="O271" i="2"/>
  <c r="P271" i="2" s="1"/>
  <c r="Q271" i="2" s="1"/>
  <c r="O259" i="2"/>
  <c r="P259" i="2" s="1"/>
  <c r="Q259" i="2" s="1"/>
  <c r="O247" i="2"/>
  <c r="P247" i="2" s="1"/>
  <c r="Q247" i="2" s="1"/>
  <c r="O235" i="2"/>
  <c r="P235" i="2" s="1"/>
  <c r="Q235" i="2" s="1"/>
  <c r="O223" i="2"/>
  <c r="P223" i="2" s="1"/>
  <c r="Q223" i="2" s="1"/>
  <c r="O199" i="2"/>
  <c r="P199" i="2" s="1"/>
  <c r="Q199" i="2" s="1"/>
  <c r="O151" i="2"/>
  <c r="P151" i="2" s="1"/>
  <c r="Q151" i="2" s="1"/>
  <c r="O139" i="2"/>
  <c r="P139" i="2" s="1"/>
  <c r="Q139" i="2" s="1"/>
  <c r="O103" i="2"/>
  <c r="P103" i="2" s="1"/>
  <c r="Q103" i="2" s="1"/>
  <c r="O91" i="2"/>
  <c r="P91" i="2" s="1"/>
  <c r="Q91" i="2" s="1"/>
  <c r="D1" i="1"/>
  <c r="P410" i="2" l="1"/>
  <c r="Q4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<sst xmlns="http://schemas.openxmlformats.org/spreadsheetml/2006/main" count="13712" uniqueCount="967">
  <si>
    <t>Posting Date</t>
  </si>
  <si>
    <t>Account</t>
  </si>
  <si>
    <t>Debit (INR)</t>
  </si>
  <si>
    <t>Credit (INR)</t>
  </si>
  <si>
    <t>Balance (INR)</t>
  </si>
  <si>
    <t>Voucher Type</t>
  </si>
  <si>
    <t>Voucher Subtype</t>
  </si>
  <si>
    <t>Voucher No</t>
  </si>
  <si>
    <t>Against Account</t>
  </si>
  <si>
    <t>Party Type</t>
  </si>
  <si>
    <t>Party</t>
  </si>
  <si>
    <t>Against Voucher</t>
  </si>
  <si>
    <t>Supplier Invoice No</t>
  </si>
  <si>
    <t>2025-04-01</t>
  </si>
  <si>
    <t>Sundry Creditors - SLSIPL</t>
  </si>
  <si>
    <t>Purchase Invoice</t>
  </si>
  <si>
    <t>PU/26/SLS/OT/0048</t>
  </si>
  <si>
    <t>VOS Activity Charges Paid - SLSIPL</t>
  </si>
  <si>
    <t>Supplier</t>
  </si>
  <si>
    <t>Ascendas Panvel FTWZ Private Limited</t>
  </si>
  <si>
    <t>PU/26/SLS/OT/0193</t>
  </si>
  <si>
    <t>Handling Charges - Outbound (Exp) - SLSIPL</t>
  </si>
  <si>
    <t>PU/26/SLS/OT/0194</t>
  </si>
  <si>
    <t>PU/26/SLS/OT/0195</t>
  </si>
  <si>
    <t>PU/26/SLS/OT/0196</t>
  </si>
  <si>
    <t>PU/26/SLS/OT/0197</t>
  </si>
  <si>
    <t>PU/26/SLS/OT/0199</t>
  </si>
  <si>
    <t>PU/26/SLS/OT/0200</t>
  </si>
  <si>
    <t>PU/26/SLS/OT/0201</t>
  </si>
  <si>
    <t>PU/26/SLS/OT/0202</t>
  </si>
  <si>
    <t>PU/26/SLS/OT/0191</t>
  </si>
  <si>
    <t>Handling Charges - Inbound (Exp) - SLSIPL</t>
  </si>
  <si>
    <t>PU/26/SLS/OT/0301-1</t>
  </si>
  <si>
    <t>PU/26/SLS/OT/0324</t>
  </si>
  <si>
    <t>PU/26/SLS/OT/0325</t>
  </si>
  <si>
    <t>PU/26/SLS/OT/0330-1</t>
  </si>
  <si>
    <t>Storage Charges - Cargo - SLSIPL</t>
  </si>
  <si>
    <t>PU/26/SLS/OT/0359</t>
  </si>
  <si>
    <t>PU/26/SLS/OT/0588</t>
  </si>
  <si>
    <t>Transportation Charges Paid - SLSIPL</t>
  </si>
  <si>
    <t>PU/26/SLS/OT/0590</t>
  </si>
  <si>
    <t>PU/26/SLS/OT/0790</t>
  </si>
  <si>
    <t>PU/26/SLS/OT/0780-2</t>
  </si>
  <si>
    <t>Fixed Storage Charges - ODC (Covered) - SLSIPL</t>
  </si>
  <si>
    <t>PU/26/SLS/OT/0785-1</t>
  </si>
  <si>
    <t>PU/26/SLS/OT/0784-1</t>
  </si>
  <si>
    <t>PU/26/SLS/OT/0591-1</t>
  </si>
  <si>
    <t>2025-04-03</t>
  </si>
  <si>
    <t>PU/26/SLS/OT/0046</t>
  </si>
  <si>
    <t>MHE Charges Paid - SLSIPL</t>
  </si>
  <si>
    <t>PU/26/SLS/OT/0047</t>
  </si>
  <si>
    <t>PU/26/SLS/OT/0323</t>
  </si>
  <si>
    <t>PU/26/SLS/OT/0326</t>
  </si>
  <si>
    <t>PU/26/SLS/OT/0332</t>
  </si>
  <si>
    <t>PU/26/SLS/OT/0338</t>
  </si>
  <si>
    <t>Gate In Charges Paid - SLSIPL</t>
  </si>
  <si>
    <t>PU/26/SLS/OT/0331</t>
  </si>
  <si>
    <t>PU/26/SLS/OT/0612</t>
  </si>
  <si>
    <t>PU/26/SLS/OT/0613</t>
  </si>
  <si>
    <t>PU/26/SLS/OT/0611-1</t>
  </si>
  <si>
    <t>2025-04-04</t>
  </si>
  <si>
    <t>PU/26/SLS/OT/0044</t>
  </si>
  <si>
    <t>PU/26/SLS/OT/0045</t>
  </si>
  <si>
    <t>2025-04-15</t>
  </si>
  <si>
    <t>PU/26/SLS/OT/0205</t>
  </si>
  <si>
    <t>PU/26/SLS/OT/0209</t>
  </si>
  <si>
    <t>Handling Charges - Inbound (Exp) - SLSIPL,Transportation Charges Paid - SLSIPL</t>
  </si>
  <si>
    <t>PU/26/SLS/OT/0210</t>
  </si>
  <si>
    <t>PU/26/SLS/OT/0211</t>
  </si>
  <si>
    <t>PU/26/SLS/OT/0212</t>
  </si>
  <si>
    <t>PU/26/SLS/OT/0339</t>
  </si>
  <si>
    <t>Gate In Charges Paid - SLSIPL,Handling Charges - Inbound (Exp) - SLSIPL</t>
  </si>
  <si>
    <t>2025-04-16</t>
  </si>
  <si>
    <t>PU/26/SLS/OT/0043</t>
  </si>
  <si>
    <t>PU/26/SLS/OT/0190</t>
  </si>
  <si>
    <t>PU/26/SLS/OT/0192</t>
  </si>
  <si>
    <t>PU/26/SLS/OT/0198</t>
  </si>
  <si>
    <t>PU/26/SLS/OT/0333</t>
  </si>
  <si>
    <t>PU/26/SLS/OT/0336</t>
  </si>
  <si>
    <t>PU/26/SLS/OT/0587-1</t>
  </si>
  <si>
    <t>Scanning Charges - Inbound - SLSIPL</t>
  </si>
  <si>
    <t>2025-04-21</t>
  </si>
  <si>
    <t>PU/26/SLS/OT/0042</t>
  </si>
  <si>
    <t>2025-04-22</t>
  </si>
  <si>
    <t>PU/26/SLS/OT/0203</t>
  </si>
  <si>
    <t>PU/26/SLS/OT/0206</t>
  </si>
  <si>
    <t>PU/26/SLS/OT/0207</t>
  </si>
  <si>
    <t>PU/26/SLS/OT/0208</t>
  </si>
  <si>
    <t>Handling Charges - Inbound (Exp) - SLSIPL,Gate In Charges Paid - SLSIPL</t>
  </si>
  <si>
    <t>PU/26/SLS/OT/0214</t>
  </si>
  <si>
    <t>Handling Charges - Outbound (Exp) - SLSIPL,MHE Charges Paid - SLSIPL</t>
  </si>
  <si>
    <t>PU/26/SLS/OT/0328-1</t>
  </si>
  <si>
    <t>2025-04-23</t>
  </si>
  <si>
    <t>PU/26/SLS/OT/0204</t>
  </si>
  <si>
    <t>PU/26/SLS/OT/0327</t>
  </si>
  <si>
    <t>PU/26/SLS/OT/0337-1</t>
  </si>
  <si>
    <t>PU/26/SLS/OT/0586-1</t>
  </si>
  <si>
    <t>2025-04-24</t>
  </si>
  <si>
    <t>PU/26/SLS/OT/0189</t>
  </si>
  <si>
    <t>2025-05-10</t>
  </si>
  <si>
    <t>PU/26/SLS/OT/0213</t>
  </si>
  <si>
    <t>PU/26/SLS/OT/0116</t>
  </si>
  <si>
    <t>PU/26/SLS/OT/0340</t>
  </si>
  <si>
    <t>PU/26/SLS/OT/0334</t>
  </si>
  <si>
    <t>2025-05-16</t>
  </si>
  <si>
    <t>PU/26/SLS/OT/0279</t>
  </si>
  <si>
    <t>PU/26/SLS/OT/0283</t>
  </si>
  <si>
    <t>Container Scanning Paid - SLSIPL</t>
  </si>
  <si>
    <t>2025-05-20</t>
  </si>
  <si>
    <t>PU/26/SLS/OT/0281</t>
  </si>
  <si>
    <t>PU/26/SLS/OT/0284</t>
  </si>
  <si>
    <t>2025-05-21</t>
  </si>
  <si>
    <t>PU/26/SLS/OT/0187</t>
  </si>
  <si>
    <t>PU/26/SLS/OT/0188</t>
  </si>
  <si>
    <t>PU/26/SLS/OT/0280</t>
  </si>
  <si>
    <t>PU/26/SLS/OT/0282</t>
  </si>
  <si>
    <t>PU/26/SLS/OT/0329</t>
  </si>
  <si>
    <t>PU/26/SLS/OT/0335</t>
  </si>
  <si>
    <t>2025-05-28</t>
  </si>
  <si>
    <t>PU/26/SLS/OT/0278</t>
  </si>
  <si>
    <t>2025-05-30</t>
  </si>
  <si>
    <t>Payment Entry</t>
  </si>
  <si>
    <t>Pay</t>
  </si>
  <si>
    <t>BP/26/SLS/0192</t>
  </si>
  <si>
    <t>1395250393003 - Punjab National Bank - INR - SLSIPL</t>
  </si>
  <si>
    <t>2025-06-04</t>
  </si>
  <si>
    <t>PU/26/SLS/OT/0358</t>
  </si>
  <si>
    <t>PU/26/SLS/OT/0360</t>
  </si>
  <si>
    <t>BP/25/SLS/1225-1</t>
  </si>
  <si>
    <t>PU/25/SLS/OT/1562, PU/25/SLS/OT/1720, PU/25/SLS/OT/1731, PU/25/SLS/OT/1721, PU/25/SLS/OT/1673</t>
  </si>
  <si>
    <t>PU/26/SLS/OT/0585</t>
  </si>
  <si>
    <t>PU/26/SLS/OT/0797</t>
  </si>
  <si>
    <t>Handling Charges - Inbound (Exp) - SLSIPL,LCL Movment - Gate in Charge - SLSIPL,Transportation Charges Paid - SLSIPL,Eempty Container Return Charges Paid - SLSIPL</t>
  </si>
  <si>
    <t>2025-06-07</t>
  </si>
  <si>
    <t>PU/26/SLS/OT/0285</t>
  </si>
  <si>
    <t>2025-06-10</t>
  </si>
  <si>
    <t>PU/26/SLS/OT/0357-1</t>
  </si>
  <si>
    <t>2025-06-13</t>
  </si>
  <si>
    <t>BP/26/SLS/0229</t>
  </si>
  <si>
    <t>2025-06-21</t>
  </si>
  <si>
    <t>BP/26/SLS/0259</t>
  </si>
  <si>
    <t>2025-06-30</t>
  </si>
  <si>
    <t>BP/26/SLS/0291</t>
  </si>
  <si>
    <t>2025-07-05</t>
  </si>
  <si>
    <t>BP/26/SLS/0300</t>
  </si>
  <si>
    <t>2025-07-11</t>
  </si>
  <si>
    <t>BP/26/SLS/0311</t>
  </si>
  <si>
    <t>PU/26/SLS/OT/0415-1</t>
  </si>
  <si>
    <t>2025-07-16</t>
  </si>
  <si>
    <t>Credit Note</t>
  </si>
  <si>
    <t>SLS26/MF/DN/0006</t>
  </si>
  <si>
    <t>SLS26/MF/DN/0008</t>
  </si>
  <si>
    <t>PU/25/SLS/OT/1821</t>
  </si>
  <si>
    <t>SLS26/MF/DN/0009</t>
  </si>
  <si>
    <t>PU/25/SLS/OT/1822</t>
  </si>
  <si>
    <t>SLS26/MF/DN/0011</t>
  </si>
  <si>
    <t>PU/25/SLS/OT/1854</t>
  </si>
  <si>
    <t>SLS26/MF/DN/0013</t>
  </si>
  <si>
    <t>SLS26/MF/DN/0014</t>
  </si>
  <si>
    <t>PU/25/SLS/OT/1820</t>
  </si>
  <si>
    <t>SLS26/MF/DN/0016</t>
  </si>
  <si>
    <t>SLS26/MF/DN/0017</t>
  </si>
  <si>
    <t>SLS26/MF/DN/0007-2</t>
  </si>
  <si>
    <t>SLS26/MF/DN/0004-1</t>
  </si>
  <si>
    <t>PU/26/SLS/OT/0614-1</t>
  </si>
  <si>
    <t>SLS26/MF/DN/0018-1</t>
  </si>
  <si>
    <t>SLS26/MF/DN/0002-1</t>
  </si>
  <si>
    <t>SLS26/MF/DN/0003-1</t>
  </si>
  <si>
    <t>SLS26/MF/DN/0015-1</t>
  </si>
  <si>
    <t>PU/26/SLS/OT/0589-2</t>
  </si>
  <si>
    <t>SLS26/MF/DN/0005-1</t>
  </si>
  <si>
    <t>Debit Note</t>
  </si>
  <si>
    <t>SLS26/MF/DN/0001-2</t>
  </si>
  <si>
    <t>SLS26/MF/DN/0001-2, SLS26/MF/DN/0001-2</t>
  </si>
  <si>
    <t>SLS26/MF/DN/0010-1</t>
  </si>
  <si>
    <t>SLS26/MF/DN/0010-1, SLS26/MF/DN/0010-1</t>
  </si>
  <si>
    <t>2025-07-19</t>
  </si>
  <si>
    <t>BP/26/SLS/0368</t>
  </si>
  <si>
    <t>2025-07-24</t>
  </si>
  <si>
    <t>PU/26/SLS/OT/0607</t>
  </si>
  <si>
    <t>2025-07-25</t>
  </si>
  <si>
    <t>BP/26/SLS/0394</t>
  </si>
  <si>
    <t>PU/26/SLS/OT/0608</t>
  </si>
  <si>
    <t>PU/26/SLS/OT/0609</t>
  </si>
  <si>
    <t>PU/26/SLS/OT/0610</t>
  </si>
  <si>
    <t>2025-07-31</t>
  </si>
  <si>
    <t>SLS26/MF/DN/0019</t>
  </si>
  <si>
    <t>PU/25/SLS/OT/1925</t>
  </si>
  <si>
    <t>SLS26/MF/DN/0020-1</t>
  </si>
  <si>
    <t>246779410348/256779421380</t>
  </si>
  <si>
    <t>PU/26/SLS/OT/1009-1</t>
  </si>
  <si>
    <t>SLS26/MF/DN/0022-1</t>
  </si>
  <si>
    <t>246779411278/256779421385</t>
  </si>
  <si>
    <t>SLS26/MF/DN/0021-1</t>
  </si>
  <si>
    <t>256779421382/246779413701</t>
  </si>
  <si>
    <t>PU/26/SLS/OT/1008-1</t>
  </si>
  <si>
    <t>2025-08-08</t>
  </si>
  <si>
    <t>PU/26/SLS/OT/0798</t>
  </si>
  <si>
    <t>PU/26/SLS/OT/0800</t>
  </si>
  <si>
    <t>PU/26/SLS/OT/0796</t>
  </si>
  <si>
    <t>Storage Charges - SLSIPL</t>
  </si>
  <si>
    <t>2025-08-20</t>
  </si>
  <si>
    <t>PU/26/SLS/OT/0792</t>
  </si>
  <si>
    <t>PU/26/SLS/OT/0793</t>
  </si>
  <si>
    <t>PU/26/SLS/OT/0801</t>
  </si>
  <si>
    <t>Loose Loading Handling - SLSIPL</t>
  </si>
  <si>
    <t>PU/26/SLS/OT/0795</t>
  </si>
  <si>
    <t>Handling Charges - Inbound (Exp) - SLSIPL,Gate in Charges - Inbound - SLSIPL</t>
  </si>
  <si>
    <t>PU/26/SLS/OT/0794</t>
  </si>
  <si>
    <t>LCL Movment - Gate in Charge - SLSIPL,Handling Charges - Inbound (Exp) - SLSIPL</t>
  </si>
  <si>
    <t>2025-10-07</t>
  </si>
  <si>
    <t>Journal Entry</t>
  </si>
  <si>
    <t>SJ/25/GEA/1103</t>
  </si>
  <si>
    <t>PU/26/SLS/OT/0591-1, SLS26/MF/DN/0007-2</t>
  </si>
  <si>
    <t>SJ/25/GEA/1104</t>
  </si>
  <si>
    <t>PU/26/SLS/OT/0415-1, SLS26/MF/DN/0020-1</t>
  </si>
  <si>
    <t>SJ/25/GEA/1105</t>
  </si>
  <si>
    <t>PU/26/SLS/OT/1009-1, SLS26/MF/DN/0022-1</t>
  </si>
  <si>
    <t>SJ/25/GEA/1106</t>
  </si>
  <si>
    <t>PU/26/SLS/OT/1008-1, SLS26/MF/DN/0021-1</t>
  </si>
  <si>
    <t>SJ/25/GEA/1107</t>
  </si>
  <si>
    <t>PU/26/SLS/OT/0614-1, SLS26/MF/DN/0018-1</t>
  </si>
  <si>
    <t>SJ/25/GEA/1108</t>
  </si>
  <si>
    <t>PU/26/SLS/OT/0586-1, SLS26/MF/DN/0002-1</t>
  </si>
  <si>
    <t>SJ/25/GEA/1109</t>
  </si>
  <si>
    <t>PU/26/SLS/OT/0587-1, SLS26/MF/DN/0003-1</t>
  </si>
  <si>
    <t>SJ/25/GEA/1110</t>
  </si>
  <si>
    <t>PU/26/SLS/OT/0611-1, SLS26/MF/DN/0015-1</t>
  </si>
  <si>
    <t>SJ/25/GEA/1111</t>
  </si>
  <si>
    <t>PU/26/SLS/OT/0589-2, SLS26/MF/DN/0005-1</t>
  </si>
  <si>
    <t>2025-10-09</t>
  </si>
  <si>
    <t>BP/26/SLS/0710</t>
  </si>
  <si>
    <t>PU/26/SLS/OT/0797, PU/26/SLS/OT/0357-1, PU/26/SLS/OT/0610, PU/26/SLS/OT/0796, PU/26/SLS/OT/0794</t>
  </si>
  <si>
    <t>2025-10-10</t>
  </si>
  <si>
    <t>BP/26/SLS/0711</t>
  </si>
  <si>
    <t>PU/26/SLS/OT/0797, PU/26/SLS/OT/0607, PU/26/SLS/OT/0608, PU/26/SLS/OT/0609, PU/26/SLS/OT/0798, PU/26/SLS/OT/0800, PU/26/SLS/OT/0792, PU/26/SLS/OT/0793, PU/26/SLS/OT/0795, PU/26/SLS/OT/0801</t>
  </si>
  <si>
    <t>2025-10-18</t>
  </si>
  <si>
    <t>BP/26/SLS/0758</t>
  </si>
  <si>
    <t>2025-10-29</t>
  </si>
  <si>
    <t>BP/26/SLS/0765</t>
  </si>
  <si>
    <t>2025-11-01</t>
  </si>
  <si>
    <t>BP/26/SLS/0801</t>
  </si>
  <si>
    <t>2025-12-12</t>
  </si>
  <si>
    <t>PU/26/SLS/OT/1356</t>
  </si>
  <si>
    <t>PU/26/SLS/OT/1357</t>
  </si>
  <si>
    <t>PU/26/SLS/OT/1358</t>
  </si>
  <si>
    <t>PU/26/SLS/OT/1359</t>
  </si>
  <si>
    <t>PU/26/SLS/OT/1360</t>
  </si>
  <si>
    <t>PU/26/SLS/OT/1361</t>
  </si>
  <si>
    <t>BP/26/SLS/0958</t>
  </si>
  <si>
    <t>PU/26/SLS/OT/1362-1</t>
  </si>
  <si>
    <t>2025-12-15</t>
  </si>
  <si>
    <t>PU/26/SLS/OT/1365</t>
  </si>
  <si>
    <t>PU/26/SLS/OT/1366-1</t>
  </si>
  <si>
    <t>Weightment Charges Paid - SLSIPL</t>
  </si>
  <si>
    <t>PU/26/SLS/OT/1367</t>
  </si>
  <si>
    <t>PU/26/SLS/OT/1368</t>
  </si>
  <si>
    <t>PU/26/SLS/OT/1369-1</t>
  </si>
  <si>
    <t>PU/26/SLS/OT/1370</t>
  </si>
  <si>
    <t>PU/26/SLS/OT/1371</t>
  </si>
  <si>
    <t>PU/26/SLS/OT/1376</t>
  </si>
  <si>
    <t>PU/26/SLS/OT/1378</t>
  </si>
  <si>
    <t>Transportation Charges Paid - SLSIPL,Handling Charges - Inbound (Exp) - SLSIPL</t>
  </si>
  <si>
    <t>2025-12-16</t>
  </si>
  <si>
    <t>PU/26/SLS/OT/1379</t>
  </si>
  <si>
    <t>MHE Charges Paid - SLSIPL,Handling Charges - Inbound (Exp) - SLSIPL</t>
  </si>
  <si>
    <t>PU/26/SLS/OT/1380</t>
  </si>
  <si>
    <t>PU/26/SLS/OT/1381</t>
  </si>
  <si>
    <t>Storage Charges - Rack - SLSIPL</t>
  </si>
  <si>
    <t>PU/26/SLS/OT/1382</t>
  </si>
  <si>
    <t>Documentation Charges Paid - SLSIPL</t>
  </si>
  <si>
    <t>PU/26/SLS/OT/1383</t>
  </si>
  <si>
    <t>PU/26/SLS/OT/1384</t>
  </si>
  <si>
    <t>PU/26/SLS/OT/1385</t>
  </si>
  <si>
    <t>PU/26/SLS/OT/1386</t>
  </si>
  <si>
    <t>PU/26/SLS/OT/1387</t>
  </si>
  <si>
    <t>PU/26/SLS/OT/1388</t>
  </si>
  <si>
    <t>Handling Charges - Inbound (Exp) - SLSIPL,LCL Movment - Gate in Charge - SLSIPL</t>
  </si>
  <si>
    <t>PU/26/SLS/OT/1390</t>
  </si>
  <si>
    <t>Storage Charges - Cargo - SLSIPL,Transportation Charges Paid - SLSIPL</t>
  </si>
  <si>
    <t>PU/26/SLS/OT/1393</t>
  </si>
  <si>
    <t>PU/26/SLS/OT/1397</t>
  </si>
  <si>
    <t>PU/26/SLS/OT/1398</t>
  </si>
  <si>
    <t>PU/26/SLS/OT/1399</t>
  </si>
  <si>
    <t>PU/26/SLS/OT/1400</t>
  </si>
  <si>
    <t>PU/26/SLS/OT/1401</t>
  </si>
  <si>
    <t>PU/26/SLS/OT/1402</t>
  </si>
  <si>
    <t>PU/26/SLS/OT/1403</t>
  </si>
  <si>
    <t>PU/26/SLS/OT/1404</t>
  </si>
  <si>
    <t>PU/26/SLS/OT/1408</t>
  </si>
  <si>
    <t>PU/26/SLS/OT/1412</t>
  </si>
  <si>
    <t>2025-12-17</t>
  </si>
  <si>
    <t>PU/26/SLS/OT/1413</t>
  </si>
  <si>
    <t>PU/26/SLS/OT/1414</t>
  </si>
  <si>
    <t>PU/26/SLS/OT/1415</t>
  </si>
  <si>
    <t>PU/26/SLS/OT/1416</t>
  </si>
  <si>
    <t>PU/26/SLS/OT/1417</t>
  </si>
  <si>
    <t>PU/26/SLS/OT/1418</t>
  </si>
  <si>
    <t>PU/26/SLS/OT/1419</t>
  </si>
  <si>
    <t>PU/26/SLS/OT/1420</t>
  </si>
  <si>
    <t>PU/26/SLS/OT/1421</t>
  </si>
  <si>
    <t>PU/26/SLS/OT/1422</t>
  </si>
  <si>
    <t>PU/26/SLS/OT/1423</t>
  </si>
  <si>
    <t>PU/26/SLS/OT/1424</t>
  </si>
  <si>
    <t>Transportation Charges Paid - SLSIPL,Storage Charges - Cargo - SLSIPL</t>
  </si>
  <si>
    <t>PU/26/SLS/OT/1425</t>
  </si>
  <si>
    <t>PU/26/SLS/OT/1426</t>
  </si>
  <si>
    <t>PU/26/SLS/OT/1427</t>
  </si>
  <si>
    <t>PU/26/SLS/OT/1428</t>
  </si>
  <si>
    <t>PU/26/SLS/OT/1430</t>
  </si>
  <si>
    <t>PU/26/SLS/OT/1431</t>
  </si>
  <si>
    <t>PU/26/SLS/OT/1432</t>
  </si>
  <si>
    <t>PU/26/SLS/OT/1434</t>
  </si>
  <si>
    <t>PU/26/SLS/OT/1435</t>
  </si>
  <si>
    <t>PU/26/SLS/OT/1437</t>
  </si>
  <si>
    <t>PU/26/SLS/OT/1439</t>
  </si>
  <si>
    <t>PU/26/SLS/OT/1440</t>
  </si>
  <si>
    <t>2025-12-18</t>
  </si>
  <si>
    <t>PU/26/SLS/OT/1447</t>
  </si>
  <si>
    <t>PU/26/SLS/OT/1448</t>
  </si>
  <si>
    <t>PU/26/SLS/OT/1449</t>
  </si>
  <si>
    <t>PU/26/SLS/OT/1452</t>
  </si>
  <si>
    <t>PU/26/SLS/OT/1453</t>
  </si>
  <si>
    <t>PU/26/SLS/OT/1455</t>
  </si>
  <si>
    <t>2025-12-19</t>
  </si>
  <si>
    <t>PU/26/SLS/OT/1457</t>
  </si>
  <si>
    <t>PU/26/SLS/OT/1458</t>
  </si>
  <si>
    <t>PU/26/SLS/OT/1460-1</t>
  </si>
  <si>
    <t>PU/26/SLS/OT/1461</t>
  </si>
  <si>
    <t>2025-12-29</t>
  </si>
  <si>
    <t>PU/26/SLS/OT/1480</t>
  </si>
  <si>
    <t>PU/26/SLS/OT/1480, PU/26/SLS/OT/1480</t>
  </si>
  <si>
    <t>PU/26/SLS/OT/1485</t>
  </si>
  <si>
    <t>PU/26/SLS/OT/1487</t>
  </si>
  <si>
    <t>PU/26/SLS/OT/1487, PU/26/SLS/OT/1487</t>
  </si>
  <si>
    <t>BP/26/SLS/1015</t>
  </si>
  <si>
    <t>PU/26/SLS/OT/1484-1</t>
  </si>
  <si>
    <t>PU/26/SLS/OT/1484-1, PU/26/SLS/OT/1484-1</t>
  </si>
  <si>
    <t>2025-12-30</t>
  </si>
  <si>
    <t>PU/26/SLS/OT/1488</t>
  </si>
  <si>
    <t>PU/26/SLS/OT/1488, PU/26/SLS/OT/1488</t>
  </si>
  <si>
    <t>PU/26/SLS/OT/1489</t>
  </si>
  <si>
    <t>PU/26/SLS/OT/1489, PU/26/SLS/OT/1489</t>
  </si>
  <si>
    <t>PU/26/SLS/OT/1490</t>
  </si>
  <si>
    <t>PU/26/SLS/OT/1492</t>
  </si>
  <si>
    <t>PU/26/SLS/OT/1492, PU/26/SLS/OT/1492</t>
  </si>
  <si>
    <t>PU/26/SLS/OT/1493</t>
  </si>
  <si>
    <t>Intra SEZ Trf Expenses - SLSIPL</t>
  </si>
  <si>
    <t>PU/26/SLS/OT/1493, PU/26/SLS/OT/1493</t>
  </si>
  <si>
    <t>PU/26/SLS/OT/1494</t>
  </si>
  <si>
    <t>PU/26/SLS/OT/1494, PU/26/SLS/OT/1494</t>
  </si>
  <si>
    <t>PU/26/SLS/OT/1495</t>
  </si>
  <si>
    <t>PU/26/SLS/OT/1495, PU/26/SLS/OT/1495</t>
  </si>
  <si>
    <t>PU/26/SLS/OT/1491-1</t>
  </si>
  <si>
    <t>PU/26/SLS/OT/1491-1, PU/26/SLS/OT/1491-1</t>
  </si>
  <si>
    <t>2025-12-31</t>
  </si>
  <si>
    <t>PU/26/SLS/OT/1394-2</t>
  </si>
  <si>
    <t>PU/26/SLS/OT/1394-2, PU/26/SLS/OT/1394-2</t>
  </si>
  <si>
    <t>SJ/25/GEA/1376</t>
  </si>
  <si>
    <t>PU/26/SLS/OT/0585, SLS26/MF/DN/0001-2</t>
  </si>
  <si>
    <t>SJ/25/GEA/1377</t>
  </si>
  <si>
    <t>PU/26/SLS/OT/1422, SLS26/MF/DN/0001-2</t>
  </si>
  <si>
    <t>SJ/25/GEA/1378</t>
  </si>
  <si>
    <t>PU/25/SLS/OT/1856, SLS26/MF/DN/0010-1</t>
  </si>
  <si>
    <t>2026-01-16</t>
  </si>
  <si>
    <t>PU/26/SLS/OT/1553</t>
  </si>
  <si>
    <t>PU/26/SLS/OT/1553, PU/26/SLS/OT/1553</t>
  </si>
  <si>
    <t>PU/26/SLS/OT/1554</t>
  </si>
  <si>
    <t>2026-01-23</t>
  </si>
  <si>
    <t>PU/26/SLS/OT/1538</t>
  </si>
  <si>
    <t>Gate in Charges - Inbound - SLSIPL,Handling Charges - Inbound (Exp) - SLSIPL</t>
  </si>
  <si>
    <t>PU/26/SLS/OT/1538, PU/26/SLS/OT/1538</t>
  </si>
  <si>
    <t>2026-01-28</t>
  </si>
  <si>
    <t>BP/26/SLS/1165-1</t>
  </si>
  <si>
    <t>2026-02-04</t>
  </si>
  <si>
    <t>PU/26/SLS/OT/1636</t>
  </si>
  <si>
    <t>Handling Charges - Outbound (Exp) - SLSIPL,MHE CHARGES - SLSIPL</t>
  </si>
  <si>
    <t>PU/26/SLS/OT/1636, PU/26/SLS/OT/1636</t>
  </si>
  <si>
    <t>PU/26/SLS/OT/1637</t>
  </si>
  <si>
    <t>Handling Charges - Outbound (Exp) - SLSIPL,Gate In Charges Paid - SLSIPL</t>
  </si>
  <si>
    <t>PU/26/SLS/OT/1637, PU/26/SLS/OT/1637</t>
  </si>
  <si>
    <t>PU/26/SLS/OT/1638</t>
  </si>
  <si>
    <t>PU/26/SLS/OT/1638, PU/26/SLS/OT/1638</t>
  </si>
  <si>
    <t>PU/26/SLS/OT/1639</t>
  </si>
  <si>
    <t>PU/26/SLS/OT/1639, PU/26/SLS/OT/1639</t>
  </si>
  <si>
    <t>PU/26/SLS/OT/1640</t>
  </si>
  <si>
    <t>Storage Charges - Cargo - SLSIPL,Gate In Charges Paid - SLSIPL</t>
  </si>
  <si>
    <t>PU/26/SLS/OT/1640, PU/26/SLS/OT/1640</t>
  </si>
  <si>
    <t>2026-02-05</t>
  </si>
  <si>
    <t>PU/26/SLS/OT/1643</t>
  </si>
  <si>
    <t>PU/26/SLS/OT/1643, PU/26/SLS/OT/1643</t>
  </si>
  <si>
    <t>PU/26/SLS/OT/1646</t>
  </si>
  <si>
    <t>PU/26/SLS/OT/1646, PU/26/SLS/OT/1646</t>
  </si>
  <si>
    <t>2025-02-20</t>
  </si>
  <si>
    <t>PU/25/SLS/OT/1560</t>
  </si>
  <si>
    <t>PU/25/SLS/OT/1561</t>
  </si>
  <si>
    <t>PU/25/SLS/OT/1562</t>
  </si>
  <si>
    <t>PU/25/SLS/OT/1563</t>
  </si>
  <si>
    <t>PU/25/SLS/OT/1564</t>
  </si>
  <si>
    <t>PU/25/SLS/OT/1565</t>
  </si>
  <si>
    <t>2025-03-03</t>
  </si>
  <si>
    <t>PU/25/SLS/OT/1672</t>
  </si>
  <si>
    <t>PU/25/SLS/OT/1673</t>
  </si>
  <si>
    <t>PU/25/SLS/OT/1674</t>
  </si>
  <si>
    <t>PU/25/SLS/OT/1675</t>
  </si>
  <si>
    <t>PU/25/SLS/OT/1676</t>
  </si>
  <si>
    <t>PU/25/SLS/OT/1677</t>
  </si>
  <si>
    <t>PU/25/SLS/OT/1718</t>
  </si>
  <si>
    <t>PU/25/SLS/OT/1719</t>
  </si>
  <si>
    <t>PU/25/SLS/OT/1720</t>
  </si>
  <si>
    <t>PU/25/SLS/OT/1721</t>
  </si>
  <si>
    <t>PU/25/SLS/OT/1722</t>
  </si>
  <si>
    <t>PU/25/SLS/OT/1731</t>
  </si>
  <si>
    <t>PU/25/SLS/OT/1732</t>
  </si>
  <si>
    <t>PU/25/SLS/OT/1733</t>
  </si>
  <si>
    <t>PU/25/SLS/OT/1734</t>
  </si>
  <si>
    <t>PU/25/SLS/OT/1735</t>
  </si>
  <si>
    <t>PU/25/SLS/OT/1736</t>
  </si>
  <si>
    <t>PU/25/SLS/OT/1737</t>
  </si>
  <si>
    <t>PU/25/SLS/OT/1738</t>
  </si>
  <si>
    <t>PU/25/SLS/OT/1739</t>
  </si>
  <si>
    <t>PU/25/SLS/OT/1740</t>
  </si>
  <si>
    <t>PU/25/SLS/OT/1741</t>
  </si>
  <si>
    <t>PU/25/SLS/OT/1742</t>
  </si>
  <si>
    <t>PU/25/SLS/OT/1743</t>
  </si>
  <si>
    <t>PU/25/SLS/OT/1744</t>
  </si>
  <si>
    <t>2025-03-04</t>
  </si>
  <si>
    <t>PU/25/SLS/OT/1653</t>
  </si>
  <si>
    <t>PU/25/SLS/OT/1683</t>
  </si>
  <si>
    <t>PU/25/SLS/OT/1684</t>
  </si>
  <si>
    <t>PU/25/SLS/OT/1685</t>
  </si>
  <si>
    <t>PU/25/SLS/OT/1686</t>
  </si>
  <si>
    <t>PU/25/SLS/OT/1687</t>
  </si>
  <si>
    <t>PU/25/SLS/OT/1688</t>
  </si>
  <si>
    <t>PU/25/SLS/OT/1689</t>
  </si>
  <si>
    <t>PU/25/SLS/OT/1690</t>
  </si>
  <si>
    <t>PU/25/SLS/OT/1691</t>
  </si>
  <si>
    <t>PU/25/SLS/OT/1692</t>
  </si>
  <si>
    <t>PU/25/SLS/OT/1693</t>
  </si>
  <si>
    <t>PU/25/SLS/OT/1694</t>
  </si>
  <si>
    <t>PU/25/SLS/OT/1695</t>
  </si>
  <si>
    <t>PU/25/SLS/OT/1696</t>
  </si>
  <si>
    <t>PU/25/SLS/OT/1697</t>
  </si>
  <si>
    <t>PU/25/SLS/OT/1698</t>
  </si>
  <si>
    <t>PU/25/SLS/OT/1699</t>
  </si>
  <si>
    <t>PU/25/SLS/OT/1700</t>
  </si>
  <si>
    <t>PU/25/SLS/OT/1701</t>
  </si>
  <si>
    <t>PU/25/SLS/OT/1702</t>
  </si>
  <si>
    <t>PU/25/SLS/OT/1703</t>
  </si>
  <si>
    <t>PU/25/SLS/OT/1704</t>
  </si>
  <si>
    <t>PU/25/SLS/OT/1705</t>
  </si>
  <si>
    <t>PU/25/SLS/OT/1706</t>
  </si>
  <si>
    <t>PU/25/SLS/OT/1707</t>
  </si>
  <si>
    <t>PU/25/SLS/OT/1708</t>
  </si>
  <si>
    <t>PU/25/SLS/OT/1709</t>
  </si>
  <si>
    <t>PU/25/SLS/OT/1723</t>
  </si>
  <si>
    <t>PU/25/SLS/OT/1724</t>
  </si>
  <si>
    <t>2025-03-06</t>
  </si>
  <si>
    <t>PU/25/SLS/OT/1654</t>
  </si>
  <si>
    <t>PU/25/SLS/OT/1678</t>
  </si>
  <si>
    <t>PU/25/SLS/OT/1679</t>
  </si>
  <si>
    <t>PU/25/SLS/OT/1680</t>
  </si>
  <si>
    <t>PU/25/SLS/OT/1681</t>
  </si>
  <si>
    <t>PU/25/SLS/OT/1682</t>
  </si>
  <si>
    <t>PU/25/SLS/OT/1716</t>
  </si>
  <si>
    <t>PU/25/SLS/OT/1717</t>
  </si>
  <si>
    <t>PU/25/SLS/OT/1745</t>
  </si>
  <si>
    <t>PU/25/SLS/OT/1746</t>
  </si>
  <si>
    <t>PU/25/SLS/OT/1747</t>
  </si>
  <si>
    <t>PU/25/SLS/OT/1748</t>
  </si>
  <si>
    <t>PU/25/SLS/OT/1749</t>
  </si>
  <si>
    <t>2025-03-17</t>
  </si>
  <si>
    <t>PU/25/SLS/OT/1863</t>
  </si>
  <si>
    <t>PU/25/SLS/OT/1864</t>
  </si>
  <si>
    <t>PU/25/SLS/OT/1865</t>
  </si>
  <si>
    <t>PU/25/SLS/OT/1866</t>
  </si>
  <si>
    <t>2025-03-19</t>
  </si>
  <si>
    <t>PU/25/SLS/OT/1730</t>
  </si>
  <si>
    <t>2025-03-20</t>
  </si>
  <si>
    <t>PU/25/SLS/OT/1867</t>
  </si>
  <si>
    <t>PU/25/SLS/OT/1868</t>
  </si>
  <si>
    <t>PU/25/SLS/OT/1869</t>
  </si>
  <si>
    <t>PU/25/SLS/OT/1870</t>
  </si>
  <si>
    <t>PU/25/SLS/OT/1871</t>
  </si>
  <si>
    <t>PU/25/SLS/OT/1872</t>
  </si>
  <si>
    <t>PU/25/SLS/OT/1873</t>
  </si>
  <si>
    <t>PU/25/SLS/OT/1874</t>
  </si>
  <si>
    <t>PU/25/SLS/OT/1875</t>
  </si>
  <si>
    <t>PU/25/SLS/OT/1876</t>
  </si>
  <si>
    <t>PU/25/SLS/OT/1877</t>
  </si>
  <si>
    <t>PU/25/SLS/OT/1878</t>
  </si>
  <si>
    <t>PU/25/SLS/OT/1879</t>
  </si>
  <si>
    <t>PU/25/SLS/OT/1880</t>
  </si>
  <si>
    <t>PU/25/SLS/OT/1881</t>
  </si>
  <si>
    <t>2025-03-31</t>
  </si>
  <si>
    <t>PU/25/SLS/OT/1808</t>
  </si>
  <si>
    <t>PU/25/SLS/OT/1809</t>
  </si>
  <si>
    <t>PU/25/SLS/OT/1810</t>
  </si>
  <si>
    <t>PU/25/SLS/OT/1811</t>
  </si>
  <si>
    <t>PU/25/SLS/OT/1812</t>
  </si>
  <si>
    <t>PU/25/SLS/OT/1813</t>
  </si>
  <si>
    <t>PU/25/SLS/OT/1814</t>
  </si>
  <si>
    <t>PU/25/SLS/OT/1815</t>
  </si>
  <si>
    <t>PU/25/SLS/OT/1816</t>
  </si>
  <si>
    <t>PU/25/SLS/OT/1817</t>
  </si>
  <si>
    <t>PU/25/SLS/OT/1818</t>
  </si>
  <si>
    <t>PU/25/SLS/OT/1819</t>
  </si>
  <si>
    <t>PU/25/SLS/OT/1823</t>
  </si>
  <si>
    <t>PU/25/SLS/OT/1824</t>
  </si>
  <si>
    <t>PU/25/SLS/OT/1825</t>
  </si>
  <si>
    <t>PU/25/SLS/OT/1826</t>
  </si>
  <si>
    <t>PU/25/SLS/OT/1827</t>
  </si>
  <si>
    <t>PU/25/SLS/OT/1828</t>
  </si>
  <si>
    <t>PU/25/SLS/OT/1829</t>
  </si>
  <si>
    <t>PU/25/SLS/OT/1830</t>
  </si>
  <si>
    <t>PU/25/SLS/OT/1831</t>
  </si>
  <si>
    <t>PU/25/SLS/OT/1832</t>
  </si>
  <si>
    <t>PU/25/SLS/OT/1833</t>
  </si>
  <si>
    <t>PU/25/SLS/OT/1834</t>
  </si>
  <si>
    <t>PU/25/SLS/OT/1835</t>
  </si>
  <si>
    <t>PU/25/SLS/OT/1836</t>
  </si>
  <si>
    <t>PU/25/SLS/OT/1837</t>
  </si>
  <si>
    <t>PU/25/SLS/OT/1838</t>
  </si>
  <si>
    <t>PU/25/SLS/OT/1839</t>
  </si>
  <si>
    <t>PU/25/SLS/OT/1840</t>
  </si>
  <si>
    <t>PU/25/SLS/OT/1841</t>
  </si>
  <si>
    <t>PU/25/SLS/OT/1842</t>
  </si>
  <si>
    <t>PU/25/SLS/OT/1843</t>
  </si>
  <si>
    <t>PU/25/SLS/OT/1844</t>
  </si>
  <si>
    <t>PU/25/SLS/OT/1849</t>
  </si>
  <si>
    <t>PU/25/SLS/OT/1850</t>
  </si>
  <si>
    <t>PU/25/SLS/OT/1851</t>
  </si>
  <si>
    <t>PU/25/SLS/OT/1852</t>
  </si>
  <si>
    <t>PU/25/SLS/OT/1853</t>
  </si>
  <si>
    <t>PU/25/SLS/OT/1856</t>
  </si>
  <si>
    <t>PU/25/SLS/OT/1857</t>
  </si>
  <si>
    <t>PU/25/SLS/OT/1858</t>
  </si>
  <si>
    <t>PU/25/SLS/OT/1859</t>
  </si>
  <si>
    <t>PU/25/SLS/OT/1860</t>
  </si>
  <si>
    <t>PU/25/SLS/OT/1861</t>
  </si>
  <si>
    <t>PU/25/SLS/OT/1862</t>
  </si>
  <si>
    <t>Document Number</t>
  </si>
  <si>
    <t>Document Type</t>
  </si>
  <si>
    <t>Document Date</t>
  </si>
  <si>
    <t>Entry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</si>
  <si>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</si>
  <si>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</si>
  <si>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</si>
  <si>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</si>
  <si>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</si>
  <si>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</si>
  <si>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Profit Center</t>
  </si>
  <si>
    <t>Assignment</t>
  </si>
  <si>
    <t>Text</t>
  </si>
  <si>
    <t>Clearing Date</t>
  </si>
  <si>
    <t>Clearing Document</t>
  </si>
  <si>
    <t>DG</t>
  </si>
  <si>
    <t>NA</t>
  </si>
  <si>
    <t/>
  </si>
  <si>
    <t>USD</t>
  </si>
  <si>
    <t>INR</t>
  </si>
  <si>
    <t>6779224500</t>
  </si>
  <si>
    <t>Credit Note raised against INV_246779410348</t>
  </si>
  <si>
    <t>DR</t>
  </si>
  <si>
    <t>Debit note Note raised against CN_256779421358</t>
  </si>
  <si>
    <t>Credit Note raised against INV_246779410360</t>
  </si>
  <si>
    <t>Debit note Note raised against CN_256779421359</t>
  </si>
  <si>
    <t>Credit Note raised against INV_246779413701</t>
  </si>
  <si>
    <t>Debit note Note raised against CN_256779421360</t>
  </si>
  <si>
    <t>Credit Note raised against INV_246779413796</t>
  </si>
  <si>
    <t>Debit note Note raised against CN_256779421363</t>
  </si>
  <si>
    <t>Credit Note raised against INV_246779413845</t>
  </si>
  <si>
    <t>Debit note Note raised against CN_256779421366</t>
  </si>
  <si>
    <t>Credit Note raised against INV_246779411278</t>
  </si>
  <si>
    <t>Debit note Note raised against CN_256779421371</t>
  </si>
  <si>
    <t>Credit Note raised against INV_246779413702</t>
  </si>
  <si>
    <t>Credit Note raised against INV_246779413705</t>
  </si>
  <si>
    <t>Credit Note raised against INV_246779413816</t>
  </si>
  <si>
    <t>Credit Note raised against INV_246779413827</t>
  </si>
  <si>
    <t>Credit Note raised against INV_256779410220</t>
  </si>
  <si>
    <t>Credit Note raised against INV_256779410004</t>
  </si>
  <si>
    <t>Credit Note raised against INV_256779410010</t>
  </si>
  <si>
    <t>Credit Note raised against INV_256779411917</t>
  </si>
  <si>
    <t>Credit Note raised against INV_246779411300</t>
  </si>
  <si>
    <t>Credit Note raised against INV_246779411314</t>
  </si>
  <si>
    <t>Credit Note raised against INV_246779411326</t>
  </si>
  <si>
    <t>Credit Note raised against INV_246779411339</t>
  </si>
  <si>
    <t>Credit Note raised against INV_256779412692</t>
  </si>
  <si>
    <t>Credit Note raised against INV_256779413283</t>
  </si>
  <si>
    <t>Credit Note raised against INV_256779413861</t>
  </si>
  <si>
    <t>Credit Note raised against INV_256779414288</t>
  </si>
  <si>
    <t>Credit note Note raised against INV_246779410348</t>
  </si>
  <si>
    <t>Credit note Note raised against INV_246779410360</t>
  </si>
  <si>
    <t>Credit note Note raised against INV_246779413701</t>
  </si>
  <si>
    <t>Credit note Note raised against INV_246779413796</t>
  </si>
  <si>
    <t>Credit note Note raised against INV_246779413845</t>
  </si>
  <si>
    <t>Credit note Note raised against INV_246779411278</t>
  </si>
  <si>
    <t>Outbound chgs - 01 - 15 MAY 25</t>
  </si>
  <si>
    <t>VAS -1-15 May 25, Ex.rate 85.43</t>
  </si>
  <si>
    <t>Inbound chgs -01-15 MAY 25</t>
  </si>
  <si>
    <t>Outbound Handling charges for Mar 25</t>
  </si>
  <si>
    <t>Loose loading Handling charges for Mar 25</t>
  </si>
  <si>
    <t>Inbound Handling charges for Mar 25</t>
  </si>
  <si>
    <t>MHE Charges for Mar 25</t>
  </si>
  <si>
    <t>Outbound Handling charges for Feb 2025</t>
  </si>
  <si>
    <t>VAS Activity -1 -15 Mar 25, Ex Rate. 87.01</t>
  </si>
  <si>
    <t>Fixed Rental charges for Feb 2025</t>
  </si>
  <si>
    <t>Fixed Rental charges for Jan 2025</t>
  </si>
  <si>
    <t>CY Longstanding container Ground Rent charges for</t>
  </si>
  <si>
    <t>2114876</t>
  </si>
  <si>
    <t>CY - CY Grd Rent Chgs - 01 - 15 OCT 25</t>
  </si>
  <si>
    <t>2114877</t>
  </si>
  <si>
    <t>CY Ground rent Chgs - 01 - 15 Oct 25</t>
  </si>
  <si>
    <t>2114881</t>
  </si>
  <si>
    <t>Inbound chgs - 01 - 15 OCT 25</t>
  </si>
  <si>
    <t>2114883</t>
  </si>
  <si>
    <t>Outbound chgs - 01 - 15 Oct 25</t>
  </si>
  <si>
    <t>Fixed Storage Charges for April 2025</t>
  </si>
  <si>
    <t>Credit Note raised against 256779413861</t>
  </si>
  <si>
    <t>Scanning  Chgs - 01 - 15 May 25</t>
  </si>
  <si>
    <t>Credit note raised against 256779414459</t>
  </si>
  <si>
    <t>Credit note raised against 256779414476</t>
  </si>
  <si>
    <t>Credit Note raised against 256779413885</t>
  </si>
  <si>
    <t>InKPI-CODC-1-15 May 25-BOE9790661</t>
  </si>
  <si>
    <t>InKPI-CODC-1-15 May 25-BOE9862672</t>
  </si>
  <si>
    <t>OutKPI-CODC-1-15-MAY-25-9960786</t>
  </si>
  <si>
    <t>OutKPI-CODC-1-15-MAY-25-20045577</t>
  </si>
  <si>
    <t>VAS 1-15 April-25,Ex.Rate-85.69</t>
  </si>
  <si>
    <t>CODC Out chgs - 01 - 15 Jun 25</t>
  </si>
  <si>
    <t>2114868</t>
  </si>
  <si>
    <t>VAS  -1-15 Oct 2025</t>
  </si>
  <si>
    <t>Fixed Storage Charges for Mar 2025</t>
  </si>
  <si>
    <t>HMMU6832693-Port SSR Shifting Jan 2025. Exch rate</t>
  </si>
  <si>
    <t>KOCU4372804-Port SSR Shifting Jan 2025. Exch rate</t>
  </si>
  <si>
    <t>TCNU8653352-Port SSR Shifting Jan 2025. Exch rate</t>
  </si>
  <si>
    <t>HDMU6860845-Port SSR Shifting Jan 2025. Exch rate</t>
  </si>
  <si>
    <t>EOLU8212240-Port SSR Shifting Jan 2025. Exch rate</t>
  </si>
  <si>
    <t>EOLU8605417-Port SSR Storage Feb 2025. Exch rate -</t>
  </si>
  <si>
    <t>VAS 1-15 June 25, Exch 86.10</t>
  </si>
  <si>
    <t>WEIGHMENT 1-15 June 25, Exch 86.10</t>
  </si>
  <si>
    <t>2130555</t>
  </si>
  <si>
    <t>VAS-Nov 1-15, 2025</t>
  </si>
  <si>
    <t>Weighment-Nov 1-15, 2025</t>
  </si>
  <si>
    <t>CODC LCL Chgs -1-15 Nov 25</t>
  </si>
  <si>
    <t>2130610</t>
  </si>
  <si>
    <t>CY Ground rent Chgs - 01 - 15 Nov 25</t>
  </si>
  <si>
    <t>2130609</t>
  </si>
  <si>
    <t>CODC Out chgs -1-15 Nov 25</t>
  </si>
  <si>
    <t>2130611</t>
  </si>
  <si>
    <t>LCL Chgs - 01 - 15 NOV 25</t>
  </si>
  <si>
    <t>2130612</t>
  </si>
  <si>
    <t>Loose chgs - 01 - 15 Nov 25</t>
  </si>
  <si>
    <t>Inbound Handling charges for Feb 2025</t>
  </si>
  <si>
    <t>Inbound Handling charges for 31 Mar 2025</t>
  </si>
  <si>
    <t>Outbound Handling charges for 31 Mar 25</t>
  </si>
  <si>
    <t>Inbound Handling chgs for 31 Mar 25</t>
  </si>
  <si>
    <t>2102474</t>
  </si>
  <si>
    <t>CY - CY Grd Rent Chgs - 01 - 15 SEP 25</t>
  </si>
  <si>
    <t>2102476</t>
  </si>
  <si>
    <t>CY Ground rent Chgs - 01 - 15 Sep 25</t>
  </si>
  <si>
    <t>2102483</t>
  </si>
  <si>
    <t>Outbound chgs - 01 - 15 Sep 25</t>
  </si>
  <si>
    <t>2102480</t>
  </si>
  <si>
    <t>Inbound chgs - 01 - 15 SEP 25</t>
  </si>
  <si>
    <t>2102527</t>
  </si>
  <si>
    <t>CODC LCL Chgs -1-15 Sep 25</t>
  </si>
  <si>
    <t>2140068</t>
  </si>
  <si>
    <t>CY Ground rent Chgs - 16 - 30 Nov 25</t>
  </si>
  <si>
    <t>2140088</t>
  </si>
  <si>
    <t>Outbound chgs - 16 - 30 Nov 25</t>
  </si>
  <si>
    <t>Credit Note against 246779413088</t>
  </si>
  <si>
    <t>Outbound chgs - 01 - 15 Apr 25</t>
  </si>
  <si>
    <t>LCL Chgs - 01 - 15 Apr 25</t>
  </si>
  <si>
    <t>Scanning Chgs - 01 - 15 Apr 25</t>
  </si>
  <si>
    <t>CY-CY Ground Rent charges for Aug 2024</t>
  </si>
  <si>
    <t>Inbound Handling charges for Oct 2024</t>
  </si>
  <si>
    <t>2110497</t>
  </si>
  <si>
    <t>Bond Stamp Paper Chgs 01 - 30 Sep 25</t>
  </si>
  <si>
    <t>Port SSR Charges - Shifting for Aug to D</t>
  </si>
  <si>
    <t>2110802</t>
  </si>
  <si>
    <t>Intra - SEZ-16-30 Sept 25</t>
  </si>
  <si>
    <t>VAS-16-30 Sept 25</t>
  </si>
  <si>
    <t>VAS - 1-15 July 25</t>
  </si>
  <si>
    <t>Fixed Storage Charges fo MAY 2025</t>
  </si>
  <si>
    <t>CODC Inbound chgs - 16 - 30 Apr 25</t>
  </si>
  <si>
    <t>CODC Out chgs - 16 - 30 Apr 25</t>
  </si>
  <si>
    <t>CY Ground rent Chgs - 01 - 30 Apr 25</t>
  </si>
  <si>
    <t>VAS - 16-30 April 25, Ex.Rate-85.05</t>
  </si>
  <si>
    <t>2140454</t>
  </si>
  <si>
    <t>CY - CY Grd Rent Chgs - 16 - 30 Nov 25</t>
  </si>
  <si>
    <t>2140458</t>
  </si>
  <si>
    <t>PORT SSR Chgs Nov 25</t>
  </si>
  <si>
    <t>2114864</t>
  </si>
  <si>
    <t>CODC Inbound chgs - 1-15 Oct 25</t>
  </si>
  <si>
    <t>2114865</t>
  </si>
  <si>
    <t>CODC Out chgs -1-15 Oct 25</t>
  </si>
  <si>
    <t>Unit storage -1-31 May 25</t>
  </si>
  <si>
    <t>2110511</t>
  </si>
  <si>
    <t>Unit Storage - 1-30 Sept 2025</t>
  </si>
  <si>
    <t>Inbound chgs - 16 - 30 SEP 25</t>
  </si>
  <si>
    <t>2110504</t>
  </si>
  <si>
    <t>Outbound chgs - 16 - 30 Sep 25</t>
  </si>
  <si>
    <t>2110508</t>
  </si>
  <si>
    <t>Fixed Storage Charges for October 2025</t>
  </si>
  <si>
    <t>2110489</t>
  </si>
  <si>
    <t>CY Ground rent Chgs - 16 - 30 Sep 25</t>
  </si>
  <si>
    <t>2110981</t>
  </si>
  <si>
    <t>PORT SSR Chgs Sep 25</t>
  </si>
  <si>
    <t>2110503</t>
  </si>
  <si>
    <t>Unit-Storage-1-31 Aug 25</t>
  </si>
  <si>
    <t>2139799</t>
  </si>
  <si>
    <t>Unit Storage - 1-30 Nov 2025</t>
  </si>
  <si>
    <t>2139805</t>
  </si>
  <si>
    <t>Fixed Storage Charges for December 2025</t>
  </si>
  <si>
    <t>2156176</t>
  </si>
  <si>
    <t>CY Ground rent Chgs - 01 - 15 Dec 25</t>
  </si>
  <si>
    <t>2141835</t>
  </si>
  <si>
    <t>Credit note for Duplicate invoice -256779418492</t>
  </si>
  <si>
    <t>2156172</t>
  </si>
  <si>
    <t>CODC Out chgs -1-15 Dec 25</t>
  </si>
  <si>
    <t>2156419</t>
  </si>
  <si>
    <t>Outbound chgs - 01 - 15 Dec 25</t>
  </si>
  <si>
    <t>2156406</t>
  </si>
  <si>
    <t>Gate IN Chgs - 01 - 15 NOV 25</t>
  </si>
  <si>
    <t>2156175</t>
  </si>
  <si>
    <t>CY - CY Grd Rent Chgs - 01 - 15 Dec 25</t>
  </si>
  <si>
    <t>DZ</t>
  </si>
  <si>
    <t>GDNTMR6FG651</t>
  </si>
  <si>
    <t>6779220000</t>
  </si>
  <si>
    <t>2158349</t>
  </si>
  <si>
    <t>CY - CY Grd Rent Chgs - 16 - 31 Dec 25</t>
  </si>
  <si>
    <t>2158342</t>
  </si>
  <si>
    <t>PORT SSR Chgs Dec 25</t>
  </si>
  <si>
    <t>2158392</t>
  </si>
  <si>
    <t>CY Ground rent Chgs - 16 - 31 Dec 25</t>
  </si>
  <si>
    <t>2158401</t>
  </si>
  <si>
    <t>CODC LCL Chgs -16-31 DEC 25</t>
  </si>
  <si>
    <t>2158404</t>
  </si>
  <si>
    <t>2158406</t>
  </si>
  <si>
    <t>Outbound chgs - 16 - 31 Dec 25</t>
  </si>
  <si>
    <t>2158411</t>
  </si>
  <si>
    <t>Unit Storage - 1-31 DEC 2025</t>
  </si>
  <si>
    <t>2158402</t>
  </si>
  <si>
    <t>CODC Out chgs -16-31 DEC 25</t>
  </si>
  <si>
    <t>2158638</t>
  </si>
  <si>
    <t>VAS-Dec 25 - 16-31</t>
  </si>
  <si>
    <t>2158673</t>
  </si>
  <si>
    <t>Fixed Storage Charges for January 2026</t>
  </si>
  <si>
    <t>2159214</t>
  </si>
  <si>
    <t>INTRA  -NOV 25,16-30</t>
  </si>
  <si>
    <t>2163056</t>
  </si>
  <si>
    <t>CODC Out chgs -1-15 JAN 26</t>
  </si>
  <si>
    <t>2163129</t>
  </si>
  <si>
    <t>CY - CY Grd Rent Chgs - 01 - 15 Jan 26</t>
  </si>
  <si>
    <t>2163135</t>
  </si>
  <si>
    <t>CY Ground rent Chgs - 01 - 15 Jan 26</t>
  </si>
  <si>
    <t>2163146</t>
  </si>
  <si>
    <t>Gate IN Chgs - 01 - 15 JAN 25</t>
  </si>
  <si>
    <t>2163152</t>
  </si>
  <si>
    <t>Outbound chgs - 01 - 15 JAN 26</t>
  </si>
  <si>
    <t>2163426</t>
  </si>
  <si>
    <t>VAS-1-15 Jan 2026</t>
  </si>
  <si>
    <t>GX4JNCFR8TSM</t>
  </si>
  <si>
    <t>VAS Activity Charges for the month of September, 2</t>
  </si>
  <si>
    <t>VAS Activity Charges for the month of October, 24</t>
  </si>
  <si>
    <t>VAS Activity Charges for the month of November, 24</t>
  </si>
  <si>
    <t>Fixed Storage Charges fo JUNE 2025</t>
  </si>
  <si>
    <t>2102531</t>
  </si>
  <si>
    <t>VAS -1-15 Sept-25</t>
  </si>
  <si>
    <t>2128875</t>
  </si>
  <si>
    <t>CY - CY Grd Rent Chgs - 01 - 15 Nov 25</t>
  </si>
  <si>
    <t>Transportation In Charges August 2024</t>
  </si>
  <si>
    <t>Inbound Handling for August 24</t>
  </si>
  <si>
    <t>LCL Charges August 2024</t>
  </si>
  <si>
    <t>Outbound Handling Charges Aug 2024</t>
  </si>
  <si>
    <t>CY - CY Grd Rent Chgs - 01 - 15 JUL 25</t>
  </si>
  <si>
    <t>CY - CY Grd Rent Chgs - 16 - 15 JUL 25</t>
  </si>
  <si>
    <t>2117487</t>
  </si>
  <si>
    <t>Credit note raised against 256779418075</t>
  </si>
  <si>
    <t>Inbound Handling charges for Dec 2024</t>
  </si>
  <si>
    <t>Outbound Handling charges for Dec 2024</t>
  </si>
  <si>
    <t>Loose loading Handling charges for Dec 2024</t>
  </si>
  <si>
    <t>GMCU3054268-Port SSR Shifting Mar 2025. Exch rate</t>
  </si>
  <si>
    <t>GMCU3054416-Port SSR Shifting Mar 2025. Exch rate</t>
  </si>
  <si>
    <t>BEAU2827340-Port SSR Shifting Mar 2025. Exch rate</t>
  </si>
  <si>
    <t>VAS Activity - Feb 25, Ex Rate. 87.40</t>
  </si>
  <si>
    <t>VAS Activity - Mar 25, 16-31, Ex Rate. 85.58</t>
  </si>
  <si>
    <t>Storage Charges Mar, 25</t>
  </si>
  <si>
    <t>Scanning charges for 01 to 31 Mar 25</t>
  </si>
  <si>
    <t>CY Ground rent Chgs - 01 - 31 May 25</t>
  </si>
  <si>
    <t>CY - CY Ground rent Chgs - 01 - 31 May 25</t>
  </si>
  <si>
    <t>VAS 16-31 May 25 Ex.85.48</t>
  </si>
  <si>
    <t>VAS Activity Charges for the month of August, 24</t>
  </si>
  <si>
    <t>CODC LCL Chgs - 16-31 Aug 25</t>
  </si>
  <si>
    <t>CODC Out chgs -16-31 Aug 25</t>
  </si>
  <si>
    <t>VAS -16-31 Aug 25</t>
  </si>
  <si>
    <t>CY - CY Grd Rent Chgs - 01 - 31 AUG 25</t>
  </si>
  <si>
    <t>CY Ground rent Chgs - 01 - 31 Aug 25</t>
  </si>
  <si>
    <t>PORT SSR Chgs Aug 25</t>
  </si>
  <si>
    <t>Bond Stamp Paper Chgs 01 - 31 Aug 25</t>
  </si>
  <si>
    <t>Inbound chgs - 16 - 31 AUG 25</t>
  </si>
  <si>
    <t>2096996</t>
  </si>
  <si>
    <t>Outbound chgs - 16 - 31 Aug 25</t>
  </si>
  <si>
    <t>Fixed Storage Charges for September 2025</t>
  </si>
  <si>
    <t>CODC Inbound chgs - 01 - 15 Jun 25</t>
  </si>
  <si>
    <t>Outbound chgs - 01 - 15 Jun 25</t>
  </si>
  <si>
    <t>Inbound chgs - 16 - 30 JUN 25</t>
  </si>
  <si>
    <t>CY Ground rent Chgs - 01 - 30 June 25</t>
  </si>
  <si>
    <t>Fixed Storage Charges fo JULY 2025</t>
  </si>
  <si>
    <t>PORT SSR Chgs June 25</t>
  </si>
  <si>
    <t>Bond Stamp Paper Chgs</t>
  </si>
  <si>
    <t>Unit Storage - 1-30 June 25</t>
  </si>
  <si>
    <t>VAS - 16-30 June 25</t>
  </si>
  <si>
    <t>2123159</t>
  </si>
  <si>
    <t>Fixed Storage Charges for November 2025</t>
  </si>
  <si>
    <t>2123387</t>
  </si>
  <si>
    <t>VAS-16 -31 Oct 25</t>
  </si>
  <si>
    <t>2123390</t>
  </si>
  <si>
    <t>Unit Storage - 1-31 Oct 2025</t>
  </si>
  <si>
    <t>2123392</t>
  </si>
  <si>
    <t>CODC LCL Chgs -16-31 Oct 25</t>
  </si>
  <si>
    <t>2123393</t>
  </si>
  <si>
    <t>CODC Out chgs -16-31 Oct 25</t>
  </si>
  <si>
    <t>2123402</t>
  </si>
  <si>
    <t>CY - CY Grd Rent Chgs - 16 - 31 OCT 25</t>
  </si>
  <si>
    <t>2123404</t>
  </si>
  <si>
    <t>CY Ground rent Chgs - 16 - 31 Oct 25</t>
  </si>
  <si>
    <t>2123410</t>
  </si>
  <si>
    <t>Outbound chgs - 16 - 31 Oct 25</t>
  </si>
  <si>
    <t>2123630</t>
  </si>
  <si>
    <t>PORT SSR Chgs Oct 25</t>
  </si>
  <si>
    <t>2123648</t>
  </si>
  <si>
    <t>Bond Stamp Paper Chgs Oct 25</t>
  </si>
  <si>
    <t>Unit Storage - 1-31 July 25</t>
  </si>
  <si>
    <t>Inbound chgs - 16 - 31 JUL 25</t>
  </si>
  <si>
    <t>Outbound chgs - 16 - 31 Jul 25</t>
  </si>
  <si>
    <t>CODC Out chgs - 16 - 31 Jul 25</t>
  </si>
  <si>
    <t>VAS 16-31 July 25</t>
  </si>
  <si>
    <t>PORT SSR Chgs July 25</t>
  </si>
  <si>
    <t>CY Ground rent Chgs - 01 - 31 July 25</t>
  </si>
  <si>
    <t>CODC Inbound chgs - 16 - 31 May 25</t>
  </si>
  <si>
    <t>CODC Out chgs - 16 - 31 May 25</t>
  </si>
  <si>
    <t>PORT SSR Chgs - 16 - 31 May 25</t>
  </si>
  <si>
    <t>Outbound chgs - 16 - 31 MAY 25</t>
  </si>
  <si>
    <t>Scanning  Chgs - 16 - 31 May 25</t>
  </si>
  <si>
    <t>Credit note against 246779412237</t>
  </si>
  <si>
    <t>Credit note against 256779410291</t>
  </si>
  <si>
    <t>Credit note against 256779410250</t>
  </si>
  <si>
    <t>Outbound chgs - 16 - 30 Apr 25</t>
  </si>
  <si>
    <t>Scanning  Chgs - 16 - 31 Apr 25</t>
  </si>
  <si>
    <t>Storage Chgs - 01 - 31 Apr 25</t>
  </si>
  <si>
    <t>PORT SSR Chgs Apr &amp; June 25</t>
  </si>
  <si>
    <t>CODC Inbound chgs - 01 - 15 July 25</t>
  </si>
  <si>
    <t>CODC Out chgs - 01 - 15 July 25</t>
  </si>
  <si>
    <t>Inbound chgs - 01 - 15 JUL 25</t>
  </si>
  <si>
    <t>Scanning Charges for the month of August, 2024</t>
  </si>
  <si>
    <t>Scanning Charges for the month of December, 2024</t>
  </si>
  <si>
    <t>Scanning Charges for the month of November, 2024</t>
  </si>
  <si>
    <t>Scanning Charges for the month of October, 2024</t>
  </si>
  <si>
    <t>Scanning Charges for the month of September, 2024</t>
  </si>
  <si>
    <t>Outbound Handling charges for Jan 2025</t>
  </si>
  <si>
    <t>Ground Rent Jan 1-15</t>
  </si>
  <si>
    <t>Ground Rent Feb 1-15</t>
  </si>
  <si>
    <t>Ground Rent Jan 25</t>
  </si>
  <si>
    <t>Transportation Inbound Aug 24</t>
  </si>
  <si>
    <t>Inbound Handling charges for  Sep 2024</t>
  </si>
  <si>
    <t>LCL charges for Sep 2024</t>
  </si>
  <si>
    <t>Outbound Handling charges for Sep 2024</t>
  </si>
  <si>
    <t>Inbound Handling charges for Jan 2025</t>
  </si>
  <si>
    <t>Outbound Handling charges for Nov 2024</t>
  </si>
  <si>
    <t>Ground Rent Jan 16-31</t>
  </si>
  <si>
    <t>Ground Rent Feb 16-28</t>
  </si>
  <si>
    <t>Scanning Charges for the month of Feb 2025</t>
  </si>
  <si>
    <t>Scanning Charges for the month of Jan 2025</t>
  </si>
  <si>
    <t>Outbound Handling charges for Oct 2024</t>
  </si>
  <si>
    <t>Loose handling Charges for Nov 2024</t>
  </si>
  <si>
    <t>Fixed Rental charges for Sept 2024</t>
  </si>
  <si>
    <t>Fixed Rental charges for Aug 2024</t>
  </si>
  <si>
    <t>Fixed Rental charges for Nov 2024</t>
  </si>
  <si>
    <t>Fixed Rental charges for Dec 2024</t>
  </si>
  <si>
    <t>Fixed Rental charges for Oct 2024</t>
  </si>
  <si>
    <t>CODC LCL Chgs - 1-15 Aug 25</t>
  </si>
  <si>
    <t>CODC Out chgs - 1-15 Aug 25</t>
  </si>
  <si>
    <t>VAS-Aug 25- 1-15</t>
  </si>
  <si>
    <t>Inbound chgs - 01 - 15 AUG 25</t>
  </si>
  <si>
    <t>Loose chgs - 01 - 15 Aug 25</t>
  </si>
  <si>
    <t>2140083</t>
  </si>
  <si>
    <t>CY Longstanding - March 25,16-31</t>
  </si>
  <si>
    <t>DY</t>
  </si>
  <si>
    <t>RBINR52025100994757493</t>
  </si>
  <si>
    <t>PUNBR52025101818263040</t>
  </si>
  <si>
    <t>PUNBR52025110118746241</t>
  </si>
  <si>
    <t>PUNBN62025121256541264</t>
  </si>
  <si>
    <t>CLD10FTGDCQ9</t>
  </si>
  <si>
    <t>CWDX5M1B7S9Y</t>
  </si>
  <si>
    <t>CYFC8Q39QKP6</t>
  </si>
  <si>
    <t>CWVJ4317QGG5</t>
  </si>
  <si>
    <t>CYFC8MGLSWHG</t>
  </si>
  <si>
    <t>D7GGNWM3YNBX</t>
  </si>
  <si>
    <t>PUNBN62025101050450380</t>
  </si>
  <si>
    <t>PUNBN62025053050253551</t>
  </si>
  <si>
    <t>RBINR52025060452948870</t>
  </si>
  <si>
    <t>PUNBN62025061353786918</t>
  </si>
  <si>
    <t>PUNBR52025102918605898</t>
  </si>
  <si>
    <t>KNOCK OFF ENTRY</t>
  </si>
  <si>
    <t>Port SSR Charges - Shifting for Aug to Dec,24.</t>
  </si>
  <si>
    <t>Outbound Handling for Sep 2024</t>
  </si>
  <si>
    <t>Outbound Handling for Nov 2024</t>
  </si>
  <si>
    <t>OutKPI-CODC-1-15-MAY-25-9762086</t>
  </si>
  <si>
    <t>OutKPI-CODC-1-15-MAY-25-9800875</t>
  </si>
  <si>
    <t>2102528</t>
  </si>
  <si>
    <t>CODC Out chgs -1-15 Sep 25</t>
  </si>
  <si>
    <t>2110864</t>
  </si>
  <si>
    <t>CODC Out chgs -16-30 Sep 25</t>
  </si>
  <si>
    <t>Outbound Handling for Oct 2024</t>
  </si>
  <si>
    <t>Outbound Handling for Dec 2024</t>
  </si>
  <si>
    <t>Storage Charges Feb, 25</t>
  </si>
  <si>
    <t>Storage Charges Jan, 25</t>
  </si>
  <si>
    <t>CY-CY Ground Rent charges for Sept 2024</t>
  </si>
  <si>
    <t>CY-CY Ground Rent charges for Oct 2024</t>
  </si>
  <si>
    <t>CY-CY Ground Rent charges for Nov 2024</t>
  </si>
  <si>
    <t>CY-CY Ground Rent charges for Dec 2024</t>
  </si>
  <si>
    <t>Storage for the month of Nov 2024</t>
  </si>
  <si>
    <t>Storage for the month of Dec 2024</t>
  </si>
  <si>
    <t>Inbound Handling charges for Aug 2024</t>
  </si>
  <si>
    <t>Inbound Handling charges for Sep 2024</t>
  </si>
  <si>
    <t>Inbound Handling charges for Nov 2024</t>
  </si>
  <si>
    <t>Storage Charges for the month of August, 2024</t>
  </si>
  <si>
    <t>Outbound Handling for Aug 2024</t>
  </si>
  <si>
    <t>Storage  for the month of Sept  2024</t>
  </si>
  <si>
    <t>Storage for the month of Oct 2024</t>
  </si>
  <si>
    <t>Fixed Storage Charges for August 2025</t>
  </si>
  <si>
    <t xml:space="preserve"> SLS26/MF/DN/0001-2</t>
  </si>
  <si>
    <t xml:space="preserve"> SLS26/MF/DN/0002-1</t>
  </si>
  <si>
    <t xml:space="preserve"> SLS26/MF/DN/0003-1</t>
  </si>
  <si>
    <t xml:space="preserve"> SLS26/MF/DN/0015-1</t>
  </si>
  <si>
    <t xml:space="preserve"> SLS26/MF/DN/0018-1</t>
  </si>
  <si>
    <t xml:space="preserve"> SLS26/MF/DN/0005-1</t>
  </si>
  <si>
    <t xml:space="preserve"> SLS26/MF/DN/0021-1</t>
  </si>
  <si>
    <t xml:space="preserve"> SLS26/MF/DN/0010-1</t>
  </si>
  <si>
    <t xml:space="preserve"> SLS26/MF/DN/0022-1</t>
  </si>
  <si>
    <t xml:space="preserve"> SLS26/MF/DN/0007-2</t>
  </si>
  <si>
    <t xml:space="preserve"> SLS26/MF/DN/0020-1</t>
  </si>
  <si>
    <t>Row Labels</t>
  </si>
  <si>
    <t>(blank)</t>
  </si>
  <si>
    <t>Sum of Debit (INR)</t>
  </si>
  <si>
    <t>Sum of Credit (INR)</t>
  </si>
  <si>
    <t>Payment</t>
  </si>
  <si>
    <t>Debit</t>
  </si>
  <si>
    <t>Credit</t>
  </si>
  <si>
    <t>Net Amount</t>
  </si>
  <si>
    <t>TDS</t>
  </si>
  <si>
    <t>Rate</t>
  </si>
  <si>
    <t>Invoice Reversed in books</t>
  </si>
  <si>
    <t>Yes</t>
  </si>
  <si>
    <t>Reconciliation of Ledger as on 31st January 2026</t>
  </si>
  <si>
    <t>Particulars</t>
  </si>
  <si>
    <t>Amount</t>
  </si>
  <si>
    <t>Balance as per Scope Chemicals Pvt Ltd</t>
  </si>
  <si>
    <t>Add: TDS to be booked in Ascendus books</t>
  </si>
  <si>
    <t>Add: Invoices &amp; CN not recorded in customer books</t>
  </si>
  <si>
    <t>Derived balance</t>
  </si>
  <si>
    <t>Balance as per Ascent</t>
  </si>
  <si>
    <t>Less: Knock off entries difference</t>
  </si>
  <si>
    <t>Less: Difference of invoice value in both Books</t>
  </si>
  <si>
    <t>Difference due to Foreign Exchange gain/loss</t>
  </si>
  <si>
    <t>Difference in Invoice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</si>
</sst>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0" xfId="0" applyBorder="1"/>
    <xf numFmtId="1" fontId="0" fillId="0" borderId="1" xfId="0" applyNumberFormat="1" applyBorder="1"/>
    <xf numFmtId="1" fontId="0" fillId="0" borderId="1" xfId="0" applyNumberFormat="1" applyBorder="1" applyAlignment="1"/>
    <xf numFmtId="165" fontId="0" fillId="0" borderId="1" xfId="1" applyNumberFormat="1" applyFont="1" applyBorder="1" applyAlignment="1"/>
    <xf numFmtId="165" fontId="0" fillId="0" borderId="1" xfId="1" applyNumberFormat="1" applyFont="1" applyBorder="1"/>
    <xf numFmtId="165" fontId="0" fillId="0" borderId="0" xfId="1" applyNumberFormat="1" applyFont="1"/>
    <xf numFmtId="165" fontId="0" fillId="0" borderId="0" xfId="0" applyNumberFormat="1" applyBorder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" fontId="0" fillId="3" borderId="1" xfId="0" applyNumberFormat="1" applyFill="1" applyBorder="1" applyAlignment="1">
      <alignment vertical="top"/>
    </xf>
    <xf numFmtId="1" fontId="0" fillId="4" borderId="1" xfId="0" applyNumberFormat="1" applyFill="1" applyBorder="1" applyAlignment="1">
      <alignment vertical="top"/>
    </xf>
    <xf numFmtId="43" fontId="0" fillId="0" borderId="0" xfId="1" applyFont="1" applyAlignment="1">
      <alignment horizontal="right" vertical="top"/>
    </xf>
    <xf numFmtId="43" fontId="0" fillId="0" borderId="0" xfId="1" applyFont="1" applyAlignment="1">
      <alignment vertical="top"/>
    </xf>
    <xf numFmtId="43" fontId="0" fillId="3" borderId="1" xfId="1" applyFont="1" applyFill="1" applyBorder="1" applyAlignment="1">
      <alignment horizontal="right" vertical="top"/>
    </xf>
    <xf numFmtId="43" fontId="0" fillId="3" borderId="1" xfId="1" applyFont="1" applyFill="1" applyBorder="1" applyAlignment="1">
      <alignment vertical="top"/>
    </xf>
    <xf numFmtId="43" fontId="0" fillId="4" borderId="1" xfId="1" applyFont="1" applyFill="1" applyBorder="1" applyAlignment="1">
      <alignment horizontal="right" vertical="top"/>
    </xf>
    <xf numFmtId="43" fontId="0" fillId="4" borderId="1" xfId="1" applyFont="1" applyFill="1" applyBorder="1" applyAlignment="1">
      <alignment vertical="top"/>
    </xf>
    <xf numFmtId="164" fontId="0" fillId="0" borderId="0" xfId="1" applyNumberFormat="1" applyFont="1" applyAlignment="1">
      <alignment horizontal="right" vertical="top"/>
    </xf>
    <xf numFmtId="0" fontId="0" fillId="0" borderId="0" xfId="0" applyBorder="1" applyAlignment="1">
      <alignment vertical="top"/>
    </xf>
    <xf numFmtId="0" fontId="0" fillId="3" borderId="0" xfId="0" applyFill="1" applyBorder="1" applyAlignment="1">
      <alignment vertical="top"/>
    </xf>
    <xf numFmtId="0" fontId="0" fillId="4" borderId="0" xfId="0" applyFill="1" applyBorder="1" applyAlignment="1">
      <alignment vertical="top"/>
    </xf>
    <xf numFmtId="43" fontId="0" fillId="0" borderId="0" xfId="1" applyFont="1" applyBorder="1"/>
    <xf numFmtId="43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3" fontId="0" fillId="0" borderId="1" xfId="1" applyFont="1" applyBorder="1" applyAlignment="1">
      <alignment horizontal="right" vertical="top"/>
    </xf>
    <xf numFmtId="43" fontId="0" fillId="0" borderId="1" xfId="1" applyFont="1" applyBorder="1" applyAlignment="1">
      <alignment vertical="top"/>
    </xf>
    <xf numFmtId="164" fontId="0" fillId="0" borderId="1" xfId="1" applyNumberFormat="1" applyFont="1" applyBorder="1" applyAlignment="1">
      <alignment horizontal="right" vertical="top"/>
    </xf>
    <xf numFmtId="0" fontId="0" fillId="5" borderId="1" xfId="0" applyFill="1" applyBorder="1" applyAlignment="1"/>
    <xf numFmtId="165" fontId="0" fillId="5" borderId="1" xfId="1" applyNumberFormat="1" applyFont="1" applyFill="1" applyBorder="1" applyAlignment="1"/>
    <xf numFmtId="1" fontId="0" fillId="5" borderId="1" xfId="0" applyNumberFormat="1" applyFill="1" applyBorder="1" applyAlignment="1"/>
    <xf numFmtId="0" fontId="0" fillId="5" borderId="0" xfId="0" applyFill="1" applyBorder="1"/>
    <xf numFmtId="165" fontId="0" fillId="5" borderId="0" xfId="0" applyNumberFormat="1" applyFill="1" applyBorder="1"/>
    <xf numFmtId="165" fontId="0" fillId="0" borderId="0" xfId="0" applyNumberFormat="1"/>
    <xf numFmtId="1" fontId="0" fillId="0" borderId="0" xfId="0" applyNumberFormat="1"/>
    <xf numFmtId="1" fontId="0" fillId="0" borderId="0" xfId="0" applyNumberFormat="1" applyBorder="1"/>
    <xf numFmtId="1" fontId="0" fillId="5" borderId="0" xfId="0" applyNumberFormat="1" applyFill="1" applyBorder="1"/>
    <xf numFmtId="1" fontId="0" fillId="5" borderId="0" xfId="1" applyNumberFormat="1" applyFont="1" applyFill="1" applyBorder="1"/>
    <xf numFmtId="1" fontId="0" fillId="0" borderId="0" xfId="1" applyNumberFormat="1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1" xfId="0" applyNumberFormat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9" fontId="0" fillId="2" borderId="1" xfId="2" applyFont="1" applyFill="1" applyBorder="1" applyAlignment="1">
      <alignment horizontal="center" vertical="center"/>
    </xf>
    <xf numFmtId="9" fontId="0" fillId="0" borderId="1" xfId="2" applyFont="1" applyBorder="1" applyAlignment="1">
      <alignment vertical="top"/>
    </xf>
    <xf numFmtId="9" fontId="0" fillId="0" borderId="0" xfId="2" applyFont="1" applyAlignment="1">
      <alignment vertical="top"/>
    </xf>
    <xf numFmtId="9" fontId="0" fillId="3" borderId="0" xfId="2" applyFont="1" applyFill="1" applyBorder="1" applyAlignment="1">
      <alignment vertical="top"/>
    </xf>
    <xf numFmtId="9" fontId="0" fillId="4" borderId="0" xfId="2" applyFont="1" applyFill="1" applyBorder="1" applyAlignment="1">
      <alignment vertical="top"/>
    </xf>
    <xf numFmtId="9" fontId="0" fillId="0" borderId="0" xfId="2" applyFont="1"/>
    <xf numFmtId="43" fontId="0" fillId="0" borderId="4" xfId="3" applyFont="1" applyBorder="1"/>
    <xf numFmtId="43" fontId="0" fillId="0" borderId="5" xfId="3" applyFont="1" applyBorder="1"/>
    <xf numFmtId="0" fontId="0" fillId="0" borderId="0" xfId="0" applyFill="1"/>
    <xf numFmtId="165" fontId="0" fillId="0" borderId="0" xfId="1" applyNumberFormat="1" applyFont="1" applyFill="1"/>
    <xf numFmtId="1" fontId="0" fillId="0" borderId="0" xfId="0" applyNumberFormat="1" applyFill="1"/>
    <xf numFmtId="0" fontId="0" fillId="0" borderId="1" xfId="0" applyFill="1" applyBorder="1"/>
    <xf numFmtId="165" fontId="0" fillId="0" borderId="1" xfId="1" applyNumberFormat="1" applyFont="1" applyFill="1" applyBorder="1"/>
    <xf numFmtId="1" fontId="0" fillId="0" borderId="1" xfId="0" applyNumberFormat="1" applyFill="1" applyBorder="1"/>
    <xf numFmtId="0" fontId="0" fillId="0" borderId="1" xfId="0" applyFill="1" applyBorder="1" applyAlignment="1"/>
    <xf numFmtId="165" fontId="0" fillId="0" borderId="1" xfId="1" applyNumberFormat="1" applyFont="1" applyFill="1" applyBorder="1" applyAlignment="1"/>
    <xf numFmtId="0" fontId="0" fillId="0" borderId="0" xfId="0" applyAlignment="1">
      <alignment wrapText="1"/>
    </xf>
    <xf numFmtId="0" fontId="2" fillId="0" borderId="1" xfId="0" applyFont="1" applyBorder="1" applyAlignment="1"/>
    <xf numFmtId="0" fontId="0" fillId="0" borderId="0" xfId="0" applyBorder="1" applyAlignment="1"/>
    <xf numFmtId="164" fontId="0" fillId="0" borderId="0" xfId="0" applyNumberFormat="1"/>
    <xf numFmtId="43" fontId="0" fillId="0" borderId="6" xfId="3" applyFont="1" applyBorder="1"/>
    <xf numFmtId="43" fontId="0" fillId="0" borderId="7" xfId="3" applyFont="1" applyBorder="1"/>
    <xf numFmtId="0" fontId="2" fillId="0" borderId="9" xfId="4" applyFont="1" applyBorder="1"/>
    <xf numFmtId="0" fontId="2" fillId="0" borderId="10" xfId="4" applyFont="1" applyBorder="1"/>
    <xf numFmtId="43" fontId="2" fillId="0" borderId="8" xfId="3" applyFont="1" applyBorder="1"/>
    <xf numFmtId="43" fontId="2" fillId="0" borderId="11" xfId="1" applyFont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43" fontId="2" fillId="0" borderId="2" xfId="3" applyFont="1" applyBorder="1" applyAlignment="1">
      <alignment horizontal="center"/>
    </xf>
    <xf numFmtId="43" fontId="2" fillId="0" borderId="3" xfId="3" applyFont="1" applyBorder="1" applyAlignment="1">
      <alignment horizontal="center"/>
    </xf>
    <xf numFmtId="43" fontId="0" fillId="0" borderId="0" xfId="1" applyFont="1" applyAlignment="1">
      <alignment wrapText="1"/>
    </xf>
    <xf numFmtId="9" fontId="0" fillId="2" borderId="1" xfId="2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3" fontId="0" fillId="0" borderId="1" xfId="1" applyFont="1" applyBorder="1" applyAlignment="1">
      <alignment horizontal="right" vertical="top" wrapText="1"/>
    </xf>
    <xf numFmtId="43" fontId="0" fillId="0" borderId="1" xfId="1" applyFont="1" applyBorder="1" applyAlignment="1">
      <alignment vertical="top" wrapText="1"/>
    </xf>
    <xf numFmtId="164" fontId="0" fillId="0" borderId="1" xfId="1" applyNumberFormat="1" applyFont="1" applyBorder="1" applyAlignment="1">
      <alignment horizontal="right" vertical="top" wrapText="1"/>
    </xf>
    <xf numFmtId="165" fontId="0" fillId="0" borderId="1" xfId="1" applyNumberFormat="1" applyFont="1" applyBorder="1" applyAlignment="1">
      <alignment vertical="top" wrapText="1"/>
    </xf>
    <xf numFmtId="9" fontId="0" fillId="0" borderId="1" xfId="2" applyFont="1" applyBorder="1" applyAlignment="1">
      <alignment vertical="top" wrapText="1"/>
    </xf>
  </cellXfs>
  <cellStyles count="5">
    <cellStyle name="Comma" xfId="1" builtinId="3"/>
    <cellStyle name="Comma 2" xfId="3" xr:uid="{7029C6B0-0D38-480F-902D-34E285137A38}"/>
    <cellStyle name="Normal" xfId="0" builtinId="0"/>
    <cellStyle name="Normal 2" xfId="4" xr:uid="{00FBA502-51DD-48A4-88A2-FDBED4454613}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1691-E2F1-4B8D-8BC4-546122964627}">
  <dimension ref="A1:B11"/>
  <sheetViews>
    <sheetView workbookViewId="0">
      <selection activeCell="E7" sqref="E7"/>
    </sheetView>
  </sheetViews>
  <sheetFormatPr defaultRowHeight="14.5" x14ac:dyDescent="0.35"/>
  <cols>
    <col min="1" max="1" width="45.1796875" bestFit="1" customWidth="1"/>
    <col min="2" max="2" width="12.1796875" bestFit="1" customWidth="1"/>
  </cols>
  <sheetData>
    <row r="1" spans="1:2" ht="15" thickBot="1" x14ac:dyDescent="0.4">
      <c r="A1" s="84" t="s">
        <v>955</v>
      </c>
      <c r="B1" s="85"/>
    </row>
    <row r="2" spans="1:2" ht="15" thickBot="1" x14ac:dyDescent="0.4">
      <c r="A2" s="77" t="s">
        <v>956</v>
      </c>
      <c r="B2" s="78" t="s">
        <v>957</v>
      </c>
    </row>
    <row r="3" spans="1:2" x14ac:dyDescent="0.35">
      <c r="A3" s="75" t="s">
        <v>958</v>
      </c>
      <c r="B3" s="76">
        <f>-'Customer Data'!E390</f>
        <v>1489274.4901000001</v>
      </c>
    </row>
    <row r="4" spans="1:2" x14ac:dyDescent="0.35">
      <c r="A4" s="61" t="s">
        <v>959</v>
      </c>
      <c r="B4" s="62">
        <f>TDS!L2</f>
        <v>961633.57719999983</v>
      </c>
    </row>
    <row r="5" spans="1:2" x14ac:dyDescent="0.35">
      <c r="A5" s="61" t="s">
        <v>960</v>
      </c>
      <c r="B5" s="62">
        <f>'Invoice &amp; CN not in Customers'!H1</f>
        <v>2304711.4</v>
      </c>
    </row>
    <row r="6" spans="1:2" x14ac:dyDescent="0.35">
      <c r="A6" s="61" t="s">
        <v>964</v>
      </c>
      <c r="B6" s="62">
        <f>-'Difference in Invoice Value'!L2</f>
        <v>-72025.130999999834</v>
      </c>
    </row>
    <row r="7" spans="1:2" x14ac:dyDescent="0.35">
      <c r="A7" s="61" t="s">
        <v>963</v>
      </c>
      <c r="B7" s="62">
        <f>'Foreign Exchnage Gain loss'!H31</f>
        <v>-1093.0800000001909</v>
      </c>
    </row>
    <row r="8" spans="1:2" x14ac:dyDescent="0.35">
      <c r="A8" s="61" t="s">
        <v>961</v>
      </c>
      <c r="B8" s="62">
        <f>SUM(B3:B7)</f>
        <v>4682501.2562999995</v>
      </c>
    </row>
    <row r="9" spans="1:2" x14ac:dyDescent="0.35">
      <c r="A9" s="61" t="s">
        <v>962</v>
      </c>
      <c r="B9" s="62">
        <f>'Ascendus Data'!J479</f>
        <v>4683369.57</v>
      </c>
    </row>
    <row r="10" spans="1:2" ht="15" thickBot="1" x14ac:dyDescent="0.4">
      <c r="A10" s="81"/>
      <c r="B10" s="82"/>
    </row>
    <row r="11" spans="1:2" ht="15" thickBot="1" x14ac:dyDescent="0.4">
      <c r="A11" s="79" t="s">
        <v>965</v>
      </c>
      <c r="B11" s="80">
        <f>B8-B9-B10</f>
        <v>-868.31370000075549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38C8-58E7-4F48-BEA7-AE3A9E6F8AFB}">
  <dimension ref="A1:P264"/>
  <sheetViews>
    <sheetView topLeftCell="A233" workbookViewId="0">
      <selection activeCell="L4" sqref="L4:L264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7.7265625" bestFit="1" customWidth="1"/>
    <col min="8" max="8" width="10.1796875" bestFit="1" customWidth="1"/>
    <col min="9" max="9" width="6.1796875" bestFit="1" customWidth="1"/>
    <col min="10" max="10" width="8.6328125" bestFit="1" customWidth="1"/>
    <col min="11" max="11" width="10.90625" bestFit="1" customWidth="1"/>
    <col min="12" max="12" width="9.6328125" bestFit="1" customWidth="1"/>
    <col min="13" max="13" width="7.90625" bestFit="1" customWidth="1"/>
    <col min="14" max="14" width="44.7265625" bestFit="1" customWidth="1"/>
    <col min="15" max="16" width="11.36328125" bestFit="1" customWidth="1"/>
  </cols>
  <sheetData>
    <row r="1" spans="1:16" x14ac:dyDescent="0.35">
      <c r="L1" s="44"/>
    </row>
    <row r="2" spans="1:16" x14ac:dyDescent="0.35">
      <c r="L2" s="44">
        <f>SUBTOTAL(9,L4:L264)</f>
        <v>961633.57719999983</v>
      </c>
    </row>
    <row r="3" spans="1:16" ht="58" x14ac:dyDescent="0.35">
      <c r="A3" s="50" t="s">
        <v>541</v>
      </c>
      <c r="B3" s="51" t="s">
        <v>542</v>
      </c>
      <c r="C3" s="50" t="s">
        <v>543</v>
      </c>
      <c r="D3" s="50" t="s">
        <v>546</v>
      </c>
      <c r="E3" s="51" t="s">
        <v>547</v>
      </c>
      <c r="F3" s="51" t="s">
        <v>548</v>
      </c>
      <c r="G3" s="51" t="s">
        <v>549</v>
      </c>
      <c r="H3" s="51" t="s">
        <v>550</v>
      </c>
      <c r="I3" s="50" t="s">
        <v>948</v>
      </c>
      <c r="J3" s="50" t="s">
        <v>949</v>
      </c>
      <c r="K3" s="50" t="s">
        <v>950</v>
      </c>
      <c r="L3" s="50" t="s">
        <v>951</v>
      </c>
      <c r="M3" s="55" t="s">
        <v>952</v>
      </c>
      <c r="N3" s="50" t="s">
        <v>553</v>
      </c>
    </row>
    <row r="4" spans="1:16" x14ac:dyDescent="0.35">
      <c r="A4" s="32">
        <v>1800012476</v>
      </c>
      <c r="B4" s="33" t="s">
        <v>563</v>
      </c>
      <c r="C4" s="34">
        <v>45906</v>
      </c>
      <c r="D4" s="35">
        <v>256779417084</v>
      </c>
      <c r="E4" s="33" t="s">
        <v>559</v>
      </c>
      <c r="F4" s="36">
        <v>8832.14</v>
      </c>
      <c r="G4" s="37" t="s">
        <v>560</v>
      </c>
      <c r="H4" s="38">
        <v>772938.81</v>
      </c>
      <c r="I4" s="54">
        <v>0</v>
      </c>
      <c r="J4" s="54">
        <v>695663.66119999997</v>
      </c>
      <c r="K4" s="54">
        <v>695663.66119999997</v>
      </c>
      <c r="L4" s="54">
        <v>77275.148800000083</v>
      </c>
      <c r="M4" s="56">
        <v>9.9975764963852798E-2</v>
      </c>
      <c r="N4" s="33" t="s">
        <v>709</v>
      </c>
      <c r="O4" s="83"/>
      <c r="P4" s="83"/>
    </row>
    <row r="5" spans="1:16" x14ac:dyDescent="0.35">
      <c r="A5" s="32">
        <v>1800013274</v>
      </c>
      <c r="B5" s="33" t="s">
        <v>563</v>
      </c>
      <c r="C5" s="34">
        <v>45936</v>
      </c>
      <c r="D5" s="35">
        <v>256779418010</v>
      </c>
      <c r="E5" s="33" t="s">
        <v>559</v>
      </c>
      <c r="F5" s="36">
        <v>8566.5</v>
      </c>
      <c r="G5" s="37" t="s">
        <v>560</v>
      </c>
      <c r="H5" s="38">
        <v>755486.23</v>
      </c>
      <c r="I5" s="54">
        <v>0</v>
      </c>
      <c r="J5" s="54">
        <v>679906.74129999999</v>
      </c>
      <c r="K5" s="54">
        <v>679906.74129999999</v>
      </c>
      <c r="L5" s="54">
        <v>75579.488699999987</v>
      </c>
      <c r="M5" s="56">
        <v>0.10004085541042884</v>
      </c>
      <c r="N5" s="33" t="s">
        <v>698</v>
      </c>
      <c r="O5" s="83"/>
    </row>
    <row r="6" spans="1:16" x14ac:dyDescent="0.35">
      <c r="A6" s="32">
        <v>1800000442</v>
      </c>
      <c r="B6" s="33" t="s">
        <v>563</v>
      </c>
      <c r="C6" s="34">
        <v>45719</v>
      </c>
      <c r="D6" s="35">
        <v>246779410404</v>
      </c>
      <c r="E6" s="33" t="s">
        <v>559</v>
      </c>
      <c r="F6" s="36">
        <v>7394.09</v>
      </c>
      <c r="G6" s="37" t="s">
        <v>560</v>
      </c>
      <c r="H6" s="38">
        <v>641002.98</v>
      </c>
      <c r="I6" s="54">
        <v>0</v>
      </c>
      <c r="J6" s="54">
        <v>580687</v>
      </c>
      <c r="K6" s="54">
        <v>580687</v>
      </c>
      <c r="L6" s="54">
        <v>60315.979999999981</v>
      </c>
      <c r="M6" s="56">
        <v>9.4096255215537355E-2</v>
      </c>
      <c r="N6" s="33" t="s">
        <v>929</v>
      </c>
      <c r="O6" s="83"/>
    </row>
    <row r="7" spans="1:16" x14ac:dyDescent="0.35">
      <c r="A7" s="32">
        <v>1800014537</v>
      </c>
      <c r="B7" s="33" t="s">
        <v>563</v>
      </c>
      <c r="C7" s="34">
        <v>45966</v>
      </c>
      <c r="D7" s="35">
        <v>256779418869</v>
      </c>
      <c r="E7" s="33" t="s">
        <v>559</v>
      </c>
      <c r="F7" s="36">
        <v>6685.47</v>
      </c>
      <c r="G7" s="37" t="s">
        <v>560</v>
      </c>
      <c r="H7" s="38">
        <v>588344.02</v>
      </c>
      <c r="I7" s="54">
        <v>0</v>
      </c>
      <c r="J7" s="54">
        <v>529469.75580000004</v>
      </c>
      <c r="K7" s="54">
        <v>529469.75580000004</v>
      </c>
      <c r="L7" s="54">
        <v>58874.264199999976</v>
      </c>
      <c r="M7" s="56">
        <v>0.10006775321690187</v>
      </c>
      <c r="N7" s="33" t="s">
        <v>818</v>
      </c>
      <c r="O7" s="83"/>
    </row>
    <row r="8" spans="1:16" x14ac:dyDescent="0.35">
      <c r="A8" s="32">
        <v>1800011658</v>
      </c>
      <c r="B8" s="33" t="s">
        <v>563</v>
      </c>
      <c r="C8" s="34">
        <v>45877</v>
      </c>
      <c r="D8" s="35">
        <v>256779416088</v>
      </c>
      <c r="E8" s="33" t="s">
        <v>559</v>
      </c>
      <c r="F8" s="36">
        <v>5977.6</v>
      </c>
      <c r="G8" s="37" t="s">
        <v>560</v>
      </c>
      <c r="H8" s="38">
        <v>514253.65</v>
      </c>
      <c r="I8" s="54">
        <v>0</v>
      </c>
      <c r="J8" s="54">
        <v>462828</v>
      </c>
      <c r="K8" s="54">
        <v>462828</v>
      </c>
      <c r="L8" s="54">
        <v>51425.650000000023</v>
      </c>
      <c r="M8" s="56">
        <v>0.10000055420121962</v>
      </c>
      <c r="N8" s="33" t="s">
        <v>833</v>
      </c>
      <c r="O8" s="83"/>
    </row>
    <row r="9" spans="1:16" x14ac:dyDescent="0.35">
      <c r="A9" s="32">
        <v>1800000417</v>
      </c>
      <c r="B9" s="33" t="s">
        <v>563</v>
      </c>
      <c r="C9" s="34">
        <v>45719</v>
      </c>
      <c r="D9" s="35">
        <v>246779410379</v>
      </c>
      <c r="E9" s="33" t="s">
        <v>559</v>
      </c>
      <c r="F9" s="36">
        <v>5862.04</v>
      </c>
      <c r="G9" s="37" t="s">
        <v>560</v>
      </c>
      <c r="H9" s="38">
        <v>508187.63</v>
      </c>
      <c r="I9" s="54">
        <v>0</v>
      </c>
      <c r="J9" s="54">
        <v>460370</v>
      </c>
      <c r="K9" s="54">
        <v>460370</v>
      </c>
      <c r="L9" s="54">
        <v>47817.630000000005</v>
      </c>
      <c r="M9" s="56">
        <v>9.409443909526094E-2</v>
      </c>
      <c r="N9" s="33" t="s">
        <v>927</v>
      </c>
      <c r="O9" s="83"/>
    </row>
    <row r="10" spans="1:16" x14ac:dyDescent="0.35">
      <c r="A10" s="32">
        <v>1800007226</v>
      </c>
      <c r="B10" s="33" t="s">
        <v>563</v>
      </c>
      <c r="C10" s="34">
        <v>45763</v>
      </c>
      <c r="D10" s="35">
        <v>256779412117</v>
      </c>
      <c r="E10" s="33" t="s">
        <v>559</v>
      </c>
      <c r="F10" s="36">
        <v>5415.85</v>
      </c>
      <c r="G10" s="37" t="s">
        <v>560</v>
      </c>
      <c r="H10" s="38">
        <v>470755.54</v>
      </c>
      <c r="I10" s="54">
        <v>0</v>
      </c>
      <c r="J10" s="54">
        <v>417286</v>
      </c>
      <c r="K10" s="54">
        <v>417286</v>
      </c>
      <c r="L10" s="54">
        <v>53469.539999999979</v>
      </c>
      <c r="M10" s="56">
        <v>0.11358239140425194</v>
      </c>
      <c r="N10" s="33" t="s">
        <v>787</v>
      </c>
      <c r="O10" s="83"/>
    </row>
    <row r="11" spans="1:16" x14ac:dyDescent="0.35">
      <c r="A11" s="32">
        <v>1800005904</v>
      </c>
      <c r="B11" s="33" t="s">
        <v>563</v>
      </c>
      <c r="C11" s="34">
        <v>45751</v>
      </c>
      <c r="D11" s="35">
        <v>256779410795</v>
      </c>
      <c r="E11" s="33" t="s">
        <v>559</v>
      </c>
      <c r="F11" s="36">
        <v>5005.59</v>
      </c>
      <c r="G11" s="37" t="s">
        <v>560</v>
      </c>
      <c r="H11" s="38">
        <v>435094.99</v>
      </c>
      <c r="I11" s="54">
        <v>0</v>
      </c>
      <c r="J11" s="54">
        <v>384955</v>
      </c>
      <c r="K11" s="54">
        <v>384955</v>
      </c>
      <c r="L11" s="54">
        <v>50139.989999999991</v>
      </c>
      <c r="M11" s="56">
        <v>0.11523918029945597</v>
      </c>
      <c r="N11" s="33" t="s">
        <v>916</v>
      </c>
      <c r="O11" s="83"/>
      <c r="P11" s="83"/>
    </row>
    <row r="12" spans="1:16" x14ac:dyDescent="0.35">
      <c r="A12" s="32">
        <v>1800000956</v>
      </c>
      <c r="B12" s="33" t="s">
        <v>563</v>
      </c>
      <c r="C12" s="34">
        <v>45722</v>
      </c>
      <c r="D12" s="35">
        <v>246779410896</v>
      </c>
      <c r="E12" s="33" t="s">
        <v>559</v>
      </c>
      <c r="F12" s="36">
        <v>4556.3999999999996</v>
      </c>
      <c r="G12" s="37" t="s">
        <v>560</v>
      </c>
      <c r="H12" s="38">
        <v>395000.06</v>
      </c>
      <c r="I12" s="54">
        <v>0</v>
      </c>
      <c r="J12" s="54">
        <v>357094</v>
      </c>
      <c r="K12" s="54">
        <v>357094</v>
      </c>
      <c r="L12" s="54">
        <v>37906.06</v>
      </c>
      <c r="M12" s="56">
        <v>9.5964694283843896E-2</v>
      </c>
      <c r="N12" s="33" t="s">
        <v>923</v>
      </c>
      <c r="O12" s="83"/>
    </row>
    <row r="13" spans="1:16" x14ac:dyDescent="0.35">
      <c r="A13" s="32">
        <v>1800009478</v>
      </c>
      <c r="B13" s="33" t="s">
        <v>563</v>
      </c>
      <c r="C13" s="34">
        <v>45815</v>
      </c>
      <c r="D13" s="35">
        <v>256779414242</v>
      </c>
      <c r="E13" s="33" t="s">
        <v>559</v>
      </c>
      <c r="F13" s="36">
        <v>4585.18</v>
      </c>
      <c r="G13" s="37" t="s">
        <v>560</v>
      </c>
      <c r="H13" s="38">
        <v>391990.61</v>
      </c>
      <c r="I13" s="54">
        <v>0</v>
      </c>
      <c r="J13" s="54">
        <v>352792</v>
      </c>
      <c r="K13" s="54">
        <v>352792</v>
      </c>
      <c r="L13" s="54">
        <v>39198.609999999986</v>
      </c>
      <c r="M13" s="56">
        <v>9.9998849462235806E-2</v>
      </c>
      <c r="N13" s="33" t="s">
        <v>696</v>
      </c>
      <c r="O13" s="83"/>
    </row>
    <row r="14" spans="1:16" x14ac:dyDescent="0.35">
      <c r="A14" s="32">
        <v>1800000466</v>
      </c>
      <c r="B14" s="33" t="s">
        <v>563</v>
      </c>
      <c r="C14" s="34">
        <v>45719</v>
      </c>
      <c r="D14" s="35">
        <v>246779410428</v>
      </c>
      <c r="E14" s="33" t="s">
        <v>559</v>
      </c>
      <c r="F14" s="36">
        <v>4332.22</v>
      </c>
      <c r="G14" s="37" t="s">
        <v>560</v>
      </c>
      <c r="H14" s="38">
        <v>375565.61</v>
      </c>
      <c r="I14" s="54">
        <v>0</v>
      </c>
      <c r="J14" s="54">
        <v>340227</v>
      </c>
      <c r="K14" s="54">
        <v>340227</v>
      </c>
      <c r="L14" s="54">
        <v>35338.609999999986</v>
      </c>
      <c r="M14" s="56">
        <v>9.4094371420215997E-2</v>
      </c>
      <c r="N14" s="33" t="s">
        <v>930</v>
      </c>
      <c r="O14" s="83"/>
    </row>
    <row r="15" spans="1:16" x14ac:dyDescent="0.35">
      <c r="A15" s="32">
        <v>1800005921</v>
      </c>
      <c r="B15" s="33" t="s">
        <v>563</v>
      </c>
      <c r="C15" s="34">
        <v>45751</v>
      </c>
      <c r="D15" s="35">
        <v>256779410812</v>
      </c>
      <c r="E15" s="33" t="s">
        <v>559</v>
      </c>
      <c r="F15" s="36">
        <v>4311.37</v>
      </c>
      <c r="G15" s="37" t="s">
        <v>560</v>
      </c>
      <c r="H15" s="38">
        <v>374752.13</v>
      </c>
      <c r="I15" s="54">
        <v>0</v>
      </c>
      <c r="J15" s="54">
        <v>331566</v>
      </c>
      <c r="K15" s="54">
        <v>331566</v>
      </c>
      <c r="L15" s="54">
        <v>43186.130000000005</v>
      </c>
      <c r="M15" s="56">
        <v>0.11523918489802848</v>
      </c>
      <c r="N15" s="33" t="s">
        <v>917</v>
      </c>
      <c r="O15" s="83"/>
    </row>
    <row r="16" spans="1:16" x14ac:dyDescent="0.35">
      <c r="A16" s="32">
        <v>1800009135</v>
      </c>
      <c r="B16" s="33" t="s">
        <v>563</v>
      </c>
      <c r="C16" s="34">
        <v>45805</v>
      </c>
      <c r="D16" s="35">
        <v>256779413899</v>
      </c>
      <c r="E16" s="33" t="s">
        <v>559</v>
      </c>
      <c r="F16" s="36">
        <v>4312.12</v>
      </c>
      <c r="G16" s="37" t="s">
        <v>560</v>
      </c>
      <c r="H16" s="38">
        <v>370772.03</v>
      </c>
      <c r="I16" s="54">
        <v>0</v>
      </c>
      <c r="J16" s="54">
        <v>333696</v>
      </c>
      <c r="K16" s="54">
        <v>333696</v>
      </c>
      <c r="L16" s="54">
        <v>37076.030000000028</v>
      </c>
      <c r="M16" s="56">
        <v>9.999683633093906E-2</v>
      </c>
      <c r="N16" s="33" t="s">
        <v>850</v>
      </c>
      <c r="O16" s="83"/>
    </row>
    <row r="17" spans="1:15" x14ac:dyDescent="0.35">
      <c r="A17" s="32">
        <v>1800010438</v>
      </c>
      <c r="B17" s="33" t="s">
        <v>563</v>
      </c>
      <c r="C17" s="34">
        <v>45842</v>
      </c>
      <c r="D17" s="35">
        <v>256779415198</v>
      </c>
      <c r="E17" s="33" t="s">
        <v>559</v>
      </c>
      <c r="F17" s="36">
        <v>3330.8</v>
      </c>
      <c r="G17" s="37" t="s">
        <v>560</v>
      </c>
      <c r="H17" s="38">
        <v>286451.03000000003</v>
      </c>
      <c r="I17" s="54">
        <v>0</v>
      </c>
      <c r="J17" s="54">
        <v>257812.80850000001</v>
      </c>
      <c r="K17" s="54">
        <v>257812.80850000001</v>
      </c>
      <c r="L17" s="54">
        <v>28638.221500000014</v>
      </c>
      <c r="M17" s="56">
        <v>9.9975976696610278E-2</v>
      </c>
      <c r="N17" s="33" t="s">
        <v>811</v>
      </c>
      <c r="O17" s="83"/>
    </row>
    <row r="18" spans="1:15" x14ac:dyDescent="0.35">
      <c r="A18" s="32">
        <v>1800000934</v>
      </c>
      <c r="B18" s="33" t="s">
        <v>563</v>
      </c>
      <c r="C18" s="34">
        <v>45722</v>
      </c>
      <c r="D18" s="35">
        <v>246779410874</v>
      </c>
      <c r="E18" s="33" t="s">
        <v>559</v>
      </c>
      <c r="F18" s="36">
        <v>3080</v>
      </c>
      <c r="G18" s="37" t="s">
        <v>560</v>
      </c>
      <c r="H18" s="38">
        <v>267009.08</v>
      </c>
      <c r="I18" s="54">
        <v>0</v>
      </c>
      <c r="J18" s="54">
        <v>241385</v>
      </c>
      <c r="K18" s="54">
        <v>241385</v>
      </c>
      <c r="L18" s="54">
        <v>25624.080000000016</v>
      </c>
      <c r="M18" s="56">
        <v>9.5967073479298962E-2</v>
      </c>
      <c r="N18" s="33" t="s">
        <v>922</v>
      </c>
      <c r="O18" s="83"/>
    </row>
    <row r="19" spans="1:15" x14ac:dyDescent="0.35">
      <c r="A19" s="32">
        <v>1800003928</v>
      </c>
      <c r="B19" s="33" t="s">
        <v>563</v>
      </c>
      <c r="C19" s="34">
        <v>45736</v>
      </c>
      <c r="D19" s="35">
        <v>246779413796</v>
      </c>
      <c r="E19" s="33" t="s">
        <v>559</v>
      </c>
      <c r="F19" s="36">
        <v>1926.06</v>
      </c>
      <c r="G19" s="37" t="s">
        <v>560</v>
      </c>
      <c r="H19" s="38">
        <v>166972.57</v>
      </c>
      <c r="I19" s="54">
        <v>0</v>
      </c>
      <c r="J19" s="54">
        <v>163631</v>
      </c>
      <c r="K19" s="54">
        <v>163631</v>
      </c>
      <c r="L19" s="54">
        <v>3341.570000000007</v>
      </c>
      <c r="M19" s="56">
        <v>2.0012688311619131E-2</v>
      </c>
      <c r="N19" s="33" t="s">
        <v>863</v>
      </c>
      <c r="O19" s="83"/>
    </row>
    <row r="20" spans="1:15" x14ac:dyDescent="0.35">
      <c r="A20" s="32">
        <v>1800000371</v>
      </c>
      <c r="B20" s="33" t="s">
        <v>563</v>
      </c>
      <c r="C20" s="34">
        <v>45716</v>
      </c>
      <c r="D20" s="35">
        <v>246779410340</v>
      </c>
      <c r="E20" s="33" t="s">
        <v>559</v>
      </c>
      <c r="F20" s="36">
        <v>1863.55</v>
      </c>
      <c r="G20" s="37" t="s">
        <v>560</v>
      </c>
      <c r="H20" s="38">
        <v>160831.19</v>
      </c>
      <c r="I20" s="54">
        <v>0</v>
      </c>
      <c r="J20" s="54">
        <v>144772.565</v>
      </c>
      <c r="K20" s="54">
        <v>144772.565</v>
      </c>
      <c r="L20" s="54">
        <v>16058.625</v>
      </c>
      <c r="M20" s="56">
        <v>9.9847703669916257E-2</v>
      </c>
      <c r="N20" s="33" t="s">
        <v>921</v>
      </c>
      <c r="O20" s="83"/>
    </row>
    <row r="21" spans="1:15" x14ac:dyDescent="0.35">
      <c r="A21" s="32">
        <v>1800005064</v>
      </c>
      <c r="B21" s="33" t="s">
        <v>563</v>
      </c>
      <c r="C21" s="34">
        <v>45750</v>
      </c>
      <c r="D21" s="35">
        <v>256779410010</v>
      </c>
      <c r="E21" s="33" t="s">
        <v>559</v>
      </c>
      <c r="F21" s="36">
        <v>1793.99</v>
      </c>
      <c r="G21" s="37" t="s">
        <v>560</v>
      </c>
      <c r="H21" s="38">
        <v>155936.88</v>
      </c>
      <c r="I21" s="54">
        <v>0</v>
      </c>
      <c r="J21" s="54">
        <v>140649</v>
      </c>
      <c r="K21" s="54">
        <v>140649</v>
      </c>
      <c r="L21" s="54">
        <v>15287.880000000005</v>
      </c>
      <c r="M21" s="56">
        <v>9.8038898815982489E-2</v>
      </c>
      <c r="N21" s="33" t="s">
        <v>608</v>
      </c>
      <c r="O21" s="83"/>
    </row>
    <row r="22" spans="1:15" x14ac:dyDescent="0.35">
      <c r="A22" s="32">
        <v>1800000379</v>
      </c>
      <c r="B22" s="33" t="s">
        <v>563</v>
      </c>
      <c r="C22" s="34">
        <v>45716</v>
      </c>
      <c r="D22" s="35">
        <v>246779410348</v>
      </c>
      <c r="E22" s="33" t="s">
        <v>559</v>
      </c>
      <c r="F22" s="36">
        <v>1793.99</v>
      </c>
      <c r="G22" s="37" t="s">
        <v>560</v>
      </c>
      <c r="H22" s="38">
        <v>154827.9</v>
      </c>
      <c r="I22" s="54">
        <v>0</v>
      </c>
      <c r="J22" s="54">
        <v>151725</v>
      </c>
      <c r="K22" s="54">
        <v>151725</v>
      </c>
      <c r="L22" s="54">
        <v>3102.8999999999942</v>
      </c>
      <c r="M22" s="56">
        <v>2.0040961609632337E-2</v>
      </c>
      <c r="N22" s="33" t="s">
        <v>608</v>
      </c>
      <c r="O22" s="83"/>
    </row>
    <row r="23" spans="1:15" x14ac:dyDescent="0.35">
      <c r="A23" s="32">
        <v>1800011041</v>
      </c>
      <c r="B23" s="33" t="s">
        <v>563</v>
      </c>
      <c r="C23" s="34">
        <v>45856</v>
      </c>
      <c r="D23" s="35">
        <v>256779415801</v>
      </c>
      <c r="E23" s="33" t="s">
        <v>559</v>
      </c>
      <c r="F23" s="36">
        <v>1762.2</v>
      </c>
      <c r="G23" s="37" t="s">
        <v>560</v>
      </c>
      <c r="H23" s="38">
        <v>151550.38</v>
      </c>
      <c r="I23" s="54">
        <v>0</v>
      </c>
      <c r="J23" s="54">
        <v>148540.3572</v>
      </c>
      <c r="K23" s="54">
        <v>148540.3572</v>
      </c>
      <c r="L23" s="54">
        <v>3010.0228000000061</v>
      </c>
      <c r="M23" s="56">
        <v>1.9861532514798087E-2</v>
      </c>
      <c r="N23" s="33" t="s">
        <v>854</v>
      </c>
      <c r="O23" s="83"/>
    </row>
    <row r="24" spans="1:15" x14ac:dyDescent="0.35">
      <c r="A24" s="32">
        <v>1800005328</v>
      </c>
      <c r="B24" s="33" t="s">
        <v>563</v>
      </c>
      <c r="C24" s="34">
        <v>45750</v>
      </c>
      <c r="D24" s="35">
        <v>256779410220</v>
      </c>
      <c r="E24" s="33" t="s">
        <v>559</v>
      </c>
      <c r="F24" s="36">
        <v>1314.12</v>
      </c>
      <c r="G24" s="37" t="s">
        <v>560</v>
      </c>
      <c r="H24" s="38">
        <v>114225.7</v>
      </c>
      <c r="I24" s="54">
        <v>0</v>
      </c>
      <c r="J24" s="54">
        <v>114223</v>
      </c>
      <c r="K24" s="54">
        <v>114223</v>
      </c>
      <c r="L24" s="54">
        <v>2.6999999999970896</v>
      </c>
      <c r="M24" s="56">
        <v>2.3637412596264148E-5</v>
      </c>
      <c r="N24" s="33" t="s">
        <v>608</v>
      </c>
      <c r="O24" s="83"/>
    </row>
    <row r="25" spans="1:15" x14ac:dyDescent="0.35">
      <c r="A25" s="32">
        <v>1800000383</v>
      </c>
      <c r="B25" s="33" t="s">
        <v>563</v>
      </c>
      <c r="C25" s="34">
        <v>45716</v>
      </c>
      <c r="D25" s="35">
        <v>246779410352</v>
      </c>
      <c r="E25" s="33" t="s">
        <v>559</v>
      </c>
      <c r="F25" s="36">
        <v>1314.12</v>
      </c>
      <c r="G25" s="37" t="s">
        <v>560</v>
      </c>
      <c r="H25" s="38">
        <v>113413.37</v>
      </c>
      <c r="I25" s="54">
        <v>0</v>
      </c>
      <c r="J25" s="54">
        <v>102103.25599999999</v>
      </c>
      <c r="K25" s="54">
        <v>102103.25599999999</v>
      </c>
      <c r="L25" s="54">
        <v>11310.114000000001</v>
      </c>
      <c r="M25" s="56">
        <v>9.9724697361519204E-2</v>
      </c>
      <c r="N25" s="33" t="s">
        <v>608</v>
      </c>
      <c r="O25" s="83"/>
    </row>
    <row r="26" spans="1:15" x14ac:dyDescent="0.35">
      <c r="A26" s="32">
        <v>1800010130</v>
      </c>
      <c r="B26" s="33" t="s">
        <v>563</v>
      </c>
      <c r="C26" s="34">
        <v>45842</v>
      </c>
      <c r="D26" s="35">
        <v>256779414890</v>
      </c>
      <c r="E26" s="33" t="s">
        <v>559</v>
      </c>
      <c r="F26" s="36">
        <v>1180.8</v>
      </c>
      <c r="G26" s="37" t="s">
        <v>560</v>
      </c>
      <c r="H26" s="38">
        <v>101549.59</v>
      </c>
      <c r="I26" s="54">
        <v>0</v>
      </c>
      <c r="J26" s="54">
        <v>91401.512100000007</v>
      </c>
      <c r="K26" s="54">
        <v>91401.512100000007</v>
      </c>
      <c r="L26" s="54">
        <v>10148.077899999989</v>
      </c>
      <c r="M26" s="56">
        <v>9.993223901741001E-2</v>
      </c>
      <c r="N26" s="33" t="s">
        <v>807</v>
      </c>
      <c r="O26" s="83"/>
    </row>
    <row r="27" spans="1:15" x14ac:dyDescent="0.35">
      <c r="A27" s="32">
        <v>1800012646</v>
      </c>
      <c r="B27" s="33" t="s">
        <v>563</v>
      </c>
      <c r="C27" s="34">
        <v>45904</v>
      </c>
      <c r="D27" s="35">
        <v>256779417286</v>
      </c>
      <c r="E27" s="33" t="s">
        <v>559</v>
      </c>
      <c r="F27" s="36">
        <v>1050.9000000000001</v>
      </c>
      <c r="G27" s="37" t="s">
        <v>560</v>
      </c>
      <c r="H27" s="38">
        <v>91968.81</v>
      </c>
      <c r="I27" s="54">
        <v>0</v>
      </c>
      <c r="J27" s="54">
        <v>90131.008499999996</v>
      </c>
      <c r="K27" s="54">
        <v>90131.008499999996</v>
      </c>
      <c r="L27" s="54">
        <v>1837.8015000000014</v>
      </c>
      <c r="M27" s="56">
        <v>1.998287789088498E-2</v>
      </c>
      <c r="N27" s="33" t="s">
        <v>800</v>
      </c>
      <c r="O27" s="83"/>
    </row>
    <row r="28" spans="1:15" x14ac:dyDescent="0.35">
      <c r="A28" s="32">
        <v>1800014633</v>
      </c>
      <c r="B28" s="33" t="s">
        <v>563</v>
      </c>
      <c r="C28" s="34">
        <v>45966</v>
      </c>
      <c r="D28" s="35">
        <v>256779419076</v>
      </c>
      <c r="E28" s="33" t="s">
        <v>559</v>
      </c>
      <c r="F28" s="36">
        <v>799</v>
      </c>
      <c r="G28" s="37" t="s">
        <v>560</v>
      </c>
      <c r="H28" s="38">
        <v>70314.710000000006</v>
      </c>
      <c r="I28" s="54">
        <v>0</v>
      </c>
      <c r="J28" s="54">
        <v>63274.437400000003</v>
      </c>
      <c r="K28" s="54">
        <v>63274.437400000003</v>
      </c>
      <c r="L28" s="54">
        <v>7040.2726000000039</v>
      </c>
      <c r="M28" s="56">
        <v>0.10012517437674141</v>
      </c>
      <c r="N28" s="33" t="s">
        <v>826</v>
      </c>
      <c r="O28" s="83"/>
    </row>
    <row r="29" spans="1:15" x14ac:dyDescent="0.35">
      <c r="A29" s="32">
        <v>1800013478</v>
      </c>
      <c r="B29" s="33" t="s">
        <v>563</v>
      </c>
      <c r="C29" s="34">
        <v>45935</v>
      </c>
      <c r="D29" s="35">
        <v>256779418094</v>
      </c>
      <c r="E29" s="33" t="s">
        <v>559</v>
      </c>
      <c r="F29" s="36">
        <v>771.74</v>
      </c>
      <c r="G29" s="37" t="s">
        <v>560</v>
      </c>
      <c r="H29" s="38">
        <v>68060.34</v>
      </c>
      <c r="I29" s="54">
        <v>6791</v>
      </c>
      <c r="J29" s="54">
        <v>68060.655499999993</v>
      </c>
      <c r="K29" s="54">
        <v>61269.655499999993</v>
      </c>
      <c r="L29" s="54">
        <v>6790.684500000003</v>
      </c>
      <c r="M29" s="56">
        <v>9.977447218159656E-2</v>
      </c>
      <c r="N29" s="33" t="s">
        <v>705</v>
      </c>
      <c r="O29" s="83"/>
    </row>
    <row r="30" spans="1:15" x14ac:dyDescent="0.35">
      <c r="A30" s="32">
        <v>1800011787</v>
      </c>
      <c r="B30" s="33" t="s">
        <v>563</v>
      </c>
      <c r="C30" s="34">
        <v>45877</v>
      </c>
      <c r="D30" s="35">
        <v>256779416178</v>
      </c>
      <c r="E30" s="33" t="s">
        <v>559</v>
      </c>
      <c r="F30" s="36">
        <v>782.3</v>
      </c>
      <c r="G30" s="37" t="s">
        <v>560</v>
      </c>
      <c r="H30" s="38">
        <v>67301.36</v>
      </c>
      <c r="I30" s="54">
        <v>1351</v>
      </c>
      <c r="J30" s="54">
        <v>67557</v>
      </c>
      <c r="K30" s="54">
        <v>66206</v>
      </c>
      <c r="L30" s="54">
        <v>1095.3600000000006</v>
      </c>
      <c r="M30" s="56">
        <v>1.6275451194448381E-2</v>
      </c>
      <c r="N30" s="33" t="s">
        <v>834</v>
      </c>
      <c r="O30" s="83"/>
    </row>
    <row r="31" spans="1:15" x14ac:dyDescent="0.35">
      <c r="A31" s="32">
        <v>1800012493</v>
      </c>
      <c r="B31" s="33" t="s">
        <v>563</v>
      </c>
      <c r="C31" s="34">
        <v>45904</v>
      </c>
      <c r="D31" s="35">
        <v>256779417166</v>
      </c>
      <c r="E31" s="33" t="s">
        <v>559</v>
      </c>
      <c r="F31" s="36">
        <v>760.25</v>
      </c>
      <c r="G31" s="37" t="s">
        <v>560</v>
      </c>
      <c r="H31" s="38">
        <v>66532.77</v>
      </c>
      <c r="I31" s="54">
        <v>0</v>
      </c>
      <c r="J31" s="54">
        <v>59881.6803</v>
      </c>
      <c r="K31" s="54">
        <v>59881.6803</v>
      </c>
      <c r="L31" s="54">
        <v>6651.0897000000041</v>
      </c>
      <c r="M31" s="56">
        <v>9.9967124471144128E-2</v>
      </c>
      <c r="N31" s="33" t="s">
        <v>796</v>
      </c>
      <c r="O31" s="83"/>
    </row>
    <row r="32" spans="1:15" x14ac:dyDescent="0.35">
      <c r="A32" s="32">
        <v>1800012554</v>
      </c>
      <c r="B32" s="33" t="s">
        <v>563</v>
      </c>
      <c r="C32" s="34">
        <v>45904</v>
      </c>
      <c r="D32" s="35">
        <v>256779417173</v>
      </c>
      <c r="E32" s="33" t="s">
        <v>559</v>
      </c>
      <c r="F32" s="36">
        <v>743.54</v>
      </c>
      <c r="G32" s="37" t="s">
        <v>560</v>
      </c>
      <c r="H32" s="38">
        <v>65070.400000000001</v>
      </c>
      <c r="I32" s="54">
        <v>0</v>
      </c>
      <c r="J32" s="54">
        <v>58594.344499999999</v>
      </c>
      <c r="K32" s="54">
        <v>58594.344499999999</v>
      </c>
      <c r="L32" s="54">
        <v>6476.0555000000022</v>
      </c>
      <c r="M32" s="56">
        <v>9.9523831112149339E-2</v>
      </c>
      <c r="N32" s="33" t="s">
        <v>797</v>
      </c>
      <c r="O32" s="83"/>
    </row>
    <row r="33" spans="1:15" x14ac:dyDescent="0.35">
      <c r="A33" s="32">
        <v>1800015418</v>
      </c>
      <c r="B33" s="33" t="s">
        <v>563</v>
      </c>
      <c r="C33" s="34">
        <v>45999</v>
      </c>
      <c r="D33" s="35">
        <v>256779419867</v>
      </c>
      <c r="E33" s="33" t="s">
        <v>559</v>
      </c>
      <c r="F33" s="36">
        <v>703.51</v>
      </c>
      <c r="G33" s="37" t="s">
        <v>560</v>
      </c>
      <c r="H33" s="38">
        <v>62401.440000000002</v>
      </c>
      <c r="I33" s="54">
        <v>0</v>
      </c>
      <c r="J33" s="54">
        <v>61159.633500000004</v>
      </c>
      <c r="K33" s="54">
        <v>61159.633500000004</v>
      </c>
      <c r="L33" s="54">
        <v>1241.8064999999988</v>
      </c>
      <c r="M33" s="56">
        <v>1.9900285954939482E-2</v>
      </c>
      <c r="N33" s="33" t="s">
        <v>723</v>
      </c>
      <c r="O33" s="83"/>
    </row>
    <row r="34" spans="1:15" x14ac:dyDescent="0.35">
      <c r="A34" s="32">
        <v>1800005058</v>
      </c>
      <c r="B34" s="33" t="s">
        <v>563</v>
      </c>
      <c r="C34" s="34">
        <v>45750</v>
      </c>
      <c r="D34" s="35">
        <v>256779410004</v>
      </c>
      <c r="E34" s="33" t="s">
        <v>559</v>
      </c>
      <c r="F34" s="36">
        <v>705</v>
      </c>
      <c r="G34" s="37" t="s">
        <v>560</v>
      </c>
      <c r="H34" s="38">
        <v>61279.88</v>
      </c>
      <c r="I34" s="54">
        <v>0</v>
      </c>
      <c r="J34" s="54">
        <v>55272</v>
      </c>
      <c r="K34" s="54">
        <v>55272</v>
      </c>
      <c r="L34" s="54">
        <v>6007.8799999999974</v>
      </c>
      <c r="M34" s="56">
        <v>9.8040009216728188E-2</v>
      </c>
      <c r="N34" s="33" t="s">
        <v>608</v>
      </c>
      <c r="O34" s="83"/>
    </row>
    <row r="35" spans="1:15" x14ac:dyDescent="0.35">
      <c r="A35" s="32">
        <v>1800000391</v>
      </c>
      <c r="B35" s="33" t="s">
        <v>563</v>
      </c>
      <c r="C35" s="34">
        <v>45716</v>
      </c>
      <c r="D35" s="35">
        <v>246779410360</v>
      </c>
      <c r="E35" s="33" t="s">
        <v>559</v>
      </c>
      <c r="F35" s="36">
        <v>705</v>
      </c>
      <c r="G35" s="37" t="s">
        <v>560</v>
      </c>
      <c r="H35" s="38">
        <v>60844.08</v>
      </c>
      <c r="I35" s="54">
        <v>0</v>
      </c>
      <c r="J35" s="54">
        <v>59624</v>
      </c>
      <c r="K35" s="54">
        <v>59624</v>
      </c>
      <c r="L35" s="54">
        <v>1220.0800000000017</v>
      </c>
      <c r="M35" s="56">
        <v>2.0052567151972744E-2</v>
      </c>
      <c r="N35" s="33" t="s">
        <v>608</v>
      </c>
      <c r="O35" s="83"/>
    </row>
    <row r="36" spans="1:15" x14ac:dyDescent="0.35">
      <c r="A36" s="32">
        <v>1800013382</v>
      </c>
      <c r="B36" s="33" t="s">
        <v>563</v>
      </c>
      <c r="C36" s="34">
        <v>45935</v>
      </c>
      <c r="D36" s="35">
        <v>256779417978</v>
      </c>
      <c r="E36" s="33" t="s">
        <v>559</v>
      </c>
      <c r="F36" s="36">
        <v>582.79999999999995</v>
      </c>
      <c r="G36" s="37" t="s">
        <v>560</v>
      </c>
      <c r="H36" s="38">
        <v>51397.58</v>
      </c>
      <c r="I36" s="54">
        <v>1058</v>
      </c>
      <c r="J36" s="54">
        <v>51397.291499999999</v>
      </c>
      <c r="K36" s="54">
        <v>50339.291499999999</v>
      </c>
      <c r="L36" s="54">
        <v>1058.2885000000024</v>
      </c>
      <c r="M36" s="56">
        <v>2.0590239851759604E-2</v>
      </c>
      <c r="N36" s="33" t="s">
        <v>701</v>
      </c>
      <c r="O36" s="83"/>
    </row>
    <row r="37" spans="1:15" x14ac:dyDescent="0.35">
      <c r="A37" s="32">
        <v>1800009576</v>
      </c>
      <c r="B37" s="33" t="s">
        <v>563</v>
      </c>
      <c r="C37" s="34">
        <v>45821</v>
      </c>
      <c r="D37" s="35">
        <v>256779414340</v>
      </c>
      <c r="E37" s="33" t="s">
        <v>559</v>
      </c>
      <c r="F37" s="36">
        <v>586.09</v>
      </c>
      <c r="G37" s="37" t="s">
        <v>560</v>
      </c>
      <c r="H37" s="38">
        <v>50105.29</v>
      </c>
      <c r="I37" s="54">
        <v>0</v>
      </c>
      <c r="J37" s="54">
        <v>45061.335200000001</v>
      </c>
      <c r="K37" s="54">
        <v>45061.335200000001</v>
      </c>
      <c r="L37" s="54">
        <v>5043.9547999999995</v>
      </c>
      <c r="M37" s="56">
        <v>0.10066711119724084</v>
      </c>
      <c r="N37" s="33" t="s">
        <v>887</v>
      </c>
      <c r="O37" s="83"/>
    </row>
    <row r="38" spans="1:15" x14ac:dyDescent="0.35">
      <c r="A38" s="32">
        <v>1800000370</v>
      </c>
      <c r="B38" s="33" t="s">
        <v>563</v>
      </c>
      <c r="C38" s="34">
        <v>45716</v>
      </c>
      <c r="D38" s="35">
        <v>246779410339</v>
      </c>
      <c r="E38" s="33" t="s">
        <v>559</v>
      </c>
      <c r="F38" s="36">
        <v>575.75</v>
      </c>
      <c r="G38" s="37" t="s">
        <v>560</v>
      </c>
      <c r="H38" s="38">
        <v>49689.33</v>
      </c>
      <c r="I38" s="54">
        <v>0</v>
      </c>
      <c r="J38" s="54">
        <v>44681.824999999997</v>
      </c>
      <c r="K38" s="54">
        <v>44681.824999999997</v>
      </c>
      <c r="L38" s="54">
        <v>5007.5050000000047</v>
      </c>
      <c r="M38" s="56">
        <v>0.10077626323397809</v>
      </c>
      <c r="N38" s="33" t="s">
        <v>920</v>
      </c>
      <c r="O38" s="83"/>
    </row>
    <row r="39" spans="1:15" x14ac:dyDescent="0.35">
      <c r="A39" s="32">
        <v>1800012871</v>
      </c>
      <c r="B39" s="33" t="s">
        <v>563</v>
      </c>
      <c r="C39" s="34">
        <v>45918</v>
      </c>
      <c r="D39" s="35">
        <v>256779417489</v>
      </c>
      <c r="E39" s="33" t="s">
        <v>559</v>
      </c>
      <c r="F39" s="36">
        <v>533.91999999999996</v>
      </c>
      <c r="G39" s="37" t="s">
        <v>560</v>
      </c>
      <c r="H39" s="38">
        <v>46725.65</v>
      </c>
      <c r="I39" s="54">
        <v>0</v>
      </c>
      <c r="J39" s="54">
        <v>42087.391600000003</v>
      </c>
      <c r="K39" s="54">
        <v>42087.391600000003</v>
      </c>
      <c r="L39" s="54">
        <v>4638.2583999999988</v>
      </c>
      <c r="M39" s="56">
        <v>9.9265786564766867E-2</v>
      </c>
      <c r="N39" s="33" t="s">
        <v>659</v>
      </c>
      <c r="O39" s="83"/>
    </row>
    <row r="40" spans="1:15" x14ac:dyDescent="0.35">
      <c r="A40" s="32">
        <v>1800003989</v>
      </c>
      <c r="B40" s="33" t="s">
        <v>563</v>
      </c>
      <c r="C40" s="34">
        <v>45736</v>
      </c>
      <c r="D40" s="35">
        <v>246779413845</v>
      </c>
      <c r="E40" s="33" t="s">
        <v>559</v>
      </c>
      <c r="F40" s="36">
        <v>531.9</v>
      </c>
      <c r="G40" s="37" t="s">
        <v>560</v>
      </c>
      <c r="H40" s="38">
        <v>46111.08</v>
      </c>
      <c r="I40" s="54">
        <v>0</v>
      </c>
      <c r="J40" s="54">
        <v>45188</v>
      </c>
      <c r="K40" s="54">
        <v>45188</v>
      </c>
      <c r="L40" s="54">
        <v>923.08000000000175</v>
      </c>
      <c r="M40" s="56">
        <v>2.0018615916174633E-2</v>
      </c>
      <c r="N40" s="33" t="s">
        <v>864</v>
      </c>
      <c r="O40" s="83"/>
    </row>
    <row r="41" spans="1:15" x14ac:dyDescent="0.35">
      <c r="A41" s="32">
        <v>1800001410</v>
      </c>
      <c r="B41" s="33" t="s">
        <v>563</v>
      </c>
      <c r="C41" s="34">
        <v>45729</v>
      </c>
      <c r="D41" s="35">
        <v>246779411278</v>
      </c>
      <c r="E41" s="33" t="s">
        <v>559</v>
      </c>
      <c r="F41" s="36">
        <v>525</v>
      </c>
      <c r="G41" s="37" t="s">
        <v>560</v>
      </c>
      <c r="H41" s="38">
        <v>45512.91</v>
      </c>
      <c r="I41" s="54">
        <v>0</v>
      </c>
      <c r="J41" s="54">
        <v>44602</v>
      </c>
      <c r="K41" s="54">
        <v>44602</v>
      </c>
      <c r="L41" s="54">
        <v>910.91000000000349</v>
      </c>
      <c r="M41" s="56">
        <v>2.0014321211278368E-2</v>
      </c>
      <c r="N41" s="33" t="s">
        <v>855</v>
      </c>
      <c r="O41" s="83"/>
    </row>
    <row r="42" spans="1:15" x14ac:dyDescent="0.35">
      <c r="A42" s="32">
        <v>1800015043</v>
      </c>
      <c r="B42" s="33" t="s">
        <v>563</v>
      </c>
      <c r="C42" s="34">
        <v>45981</v>
      </c>
      <c r="D42" s="35">
        <v>256779419556</v>
      </c>
      <c r="E42" s="33" t="s">
        <v>559</v>
      </c>
      <c r="F42" s="36">
        <v>502.5</v>
      </c>
      <c r="G42" s="37" t="s">
        <v>560</v>
      </c>
      <c r="H42" s="38">
        <v>44221.7</v>
      </c>
      <c r="I42" s="54">
        <v>0</v>
      </c>
      <c r="J42" s="54">
        <v>39821.534</v>
      </c>
      <c r="K42" s="54">
        <v>39821.534</v>
      </c>
      <c r="L42" s="54">
        <v>4400.1659999999974</v>
      </c>
      <c r="M42" s="56">
        <v>9.9502416234563518E-2</v>
      </c>
      <c r="N42" s="33" t="s">
        <v>645</v>
      </c>
      <c r="O42" s="83"/>
    </row>
    <row r="43" spans="1:15" x14ac:dyDescent="0.35">
      <c r="A43" s="32">
        <v>1800009394</v>
      </c>
      <c r="B43" s="33" t="s">
        <v>563</v>
      </c>
      <c r="C43" s="34">
        <v>45812</v>
      </c>
      <c r="D43" s="35">
        <v>256779414158</v>
      </c>
      <c r="E43" s="33" t="s">
        <v>559</v>
      </c>
      <c r="F43" s="36">
        <v>498.55</v>
      </c>
      <c r="G43" s="37" t="s">
        <v>560</v>
      </c>
      <c r="H43" s="38">
        <v>42621.43</v>
      </c>
      <c r="I43" s="54">
        <v>0</v>
      </c>
      <c r="J43" s="54">
        <v>41769</v>
      </c>
      <c r="K43" s="54">
        <v>41769</v>
      </c>
      <c r="L43" s="54">
        <v>852.43000000000029</v>
      </c>
      <c r="M43" s="56">
        <v>2.000003284732587E-2</v>
      </c>
      <c r="N43" s="33" t="s">
        <v>840</v>
      </c>
      <c r="O43" s="83"/>
    </row>
    <row r="44" spans="1:15" x14ac:dyDescent="0.35">
      <c r="A44" s="32">
        <v>1800015708</v>
      </c>
      <c r="B44" s="33" t="s">
        <v>563</v>
      </c>
      <c r="C44" s="34">
        <v>46024</v>
      </c>
      <c r="D44" s="35">
        <v>256779440041</v>
      </c>
      <c r="E44" s="33" t="s">
        <v>559</v>
      </c>
      <c r="F44" s="36">
        <v>456.75</v>
      </c>
      <c r="G44" s="37" t="s">
        <v>560</v>
      </c>
      <c r="H44" s="38">
        <v>41446.93</v>
      </c>
      <c r="I44" s="54">
        <v>4174</v>
      </c>
      <c r="J44" s="54">
        <v>41446.745000000003</v>
      </c>
      <c r="K44" s="54">
        <v>37272.745000000003</v>
      </c>
      <c r="L44" s="54">
        <v>4174.1849999999977</v>
      </c>
      <c r="M44" s="56">
        <v>0.10071156054260226</v>
      </c>
      <c r="N44" s="33" t="s">
        <v>713</v>
      </c>
      <c r="O44" s="83"/>
    </row>
    <row r="45" spans="1:15" x14ac:dyDescent="0.35">
      <c r="A45" s="32">
        <v>1800013460</v>
      </c>
      <c r="B45" s="33" t="s">
        <v>563</v>
      </c>
      <c r="C45" s="34">
        <v>45935</v>
      </c>
      <c r="D45" s="35">
        <v>256779418036</v>
      </c>
      <c r="E45" s="33" t="s">
        <v>559</v>
      </c>
      <c r="F45" s="36">
        <v>456.75</v>
      </c>
      <c r="G45" s="37" t="s">
        <v>560</v>
      </c>
      <c r="H45" s="38">
        <v>40281.129999999997</v>
      </c>
      <c r="I45" s="54">
        <v>0</v>
      </c>
      <c r="J45" s="54">
        <v>36224.358800000002</v>
      </c>
      <c r="K45" s="54">
        <v>36224.358800000002</v>
      </c>
      <c r="L45" s="54">
        <v>4056.7711999999956</v>
      </c>
      <c r="M45" s="56">
        <v>0.10071145471837548</v>
      </c>
      <c r="N45" s="33" t="s">
        <v>703</v>
      </c>
      <c r="O45" s="83"/>
    </row>
    <row r="46" spans="1:15" x14ac:dyDescent="0.35">
      <c r="A46" s="32">
        <v>1800014263</v>
      </c>
      <c r="B46" s="33" t="s">
        <v>563</v>
      </c>
      <c r="C46" s="34">
        <v>45966</v>
      </c>
      <c r="D46" s="35">
        <v>256779418802</v>
      </c>
      <c r="E46" s="33" t="s">
        <v>559</v>
      </c>
      <c r="F46" s="36">
        <v>456.75</v>
      </c>
      <c r="G46" s="37" t="s">
        <v>560</v>
      </c>
      <c r="H46" s="38">
        <v>40195.550000000003</v>
      </c>
      <c r="I46" s="54">
        <v>4048</v>
      </c>
      <c r="J46" s="54">
        <v>40195.392399999997</v>
      </c>
      <c r="K46" s="54">
        <v>36147.392399999997</v>
      </c>
      <c r="L46" s="54">
        <v>4048.1576000000059</v>
      </c>
      <c r="M46" s="56">
        <v>0.10071158623280452</v>
      </c>
      <c r="N46" s="33" t="s">
        <v>814</v>
      </c>
      <c r="O46" s="83"/>
    </row>
    <row r="47" spans="1:15" x14ac:dyDescent="0.35">
      <c r="A47" s="32">
        <v>1800003133</v>
      </c>
      <c r="B47" s="33" t="s">
        <v>563</v>
      </c>
      <c r="C47" s="34">
        <v>45735</v>
      </c>
      <c r="D47" s="35">
        <v>246779413000</v>
      </c>
      <c r="E47" s="33" t="s">
        <v>559</v>
      </c>
      <c r="F47" s="36">
        <v>456.75</v>
      </c>
      <c r="G47" s="37" t="s">
        <v>560</v>
      </c>
      <c r="H47" s="38">
        <v>39596.230000000003</v>
      </c>
      <c r="I47" s="54">
        <v>0</v>
      </c>
      <c r="J47" s="54">
        <v>35488</v>
      </c>
      <c r="K47" s="54">
        <v>35488</v>
      </c>
      <c r="L47" s="54">
        <v>4108.2300000000032</v>
      </c>
      <c r="M47" s="56">
        <v>0.1037530593190312</v>
      </c>
      <c r="N47" s="33" t="s">
        <v>631</v>
      </c>
      <c r="O47" s="83"/>
    </row>
    <row r="48" spans="1:15" x14ac:dyDescent="0.35">
      <c r="A48" s="32">
        <v>1800000121</v>
      </c>
      <c r="B48" s="33" t="s">
        <v>563</v>
      </c>
      <c r="C48" s="34">
        <v>45708</v>
      </c>
      <c r="D48" s="35">
        <v>246779410049</v>
      </c>
      <c r="E48" s="33" t="s">
        <v>559</v>
      </c>
      <c r="F48" s="36">
        <v>456.75</v>
      </c>
      <c r="G48" s="37" t="s">
        <v>560</v>
      </c>
      <c r="H48" s="38">
        <v>39419.199999999997</v>
      </c>
      <c r="I48" s="54">
        <v>0</v>
      </c>
      <c r="J48" s="54">
        <v>35554.519999999997</v>
      </c>
      <c r="K48" s="54">
        <v>35554.519999999997</v>
      </c>
      <c r="L48" s="54">
        <v>3864.6800000000003</v>
      </c>
      <c r="M48" s="56">
        <v>9.8040548768113009E-2</v>
      </c>
      <c r="N48" s="33" t="s">
        <v>876</v>
      </c>
      <c r="O48" s="83"/>
    </row>
    <row r="49" spans="1:15" x14ac:dyDescent="0.35">
      <c r="A49" s="32">
        <v>1800000032</v>
      </c>
      <c r="B49" s="33" t="s">
        <v>563</v>
      </c>
      <c r="C49" s="34">
        <v>45708</v>
      </c>
      <c r="D49" s="35">
        <v>246779410072</v>
      </c>
      <c r="E49" s="33" t="s">
        <v>559</v>
      </c>
      <c r="F49" s="36">
        <v>456.75</v>
      </c>
      <c r="G49" s="37" t="s">
        <v>560</v>
      </c>
      <c r="H49" s="38">
        <v>39419.199999999997</v>
      </c>
      <c r="I49" s="54">
        <v>0</v>
      </c>
      <c r="J49" s="54">
        <v>35477</v>
      </c>
      <c r="K49" s="54">
        <v>35477</v>
      </c>
      <c r="L49" s="54">
        <v>3942.1999999999971</v>
      </c>
      <c r="M49" s="56">
        <v>0.10000710313755727</v>
      </c>
      <c r="N49" s="33" t="s">
        <v>877</v>
      </c>
      <c r="O49" s="83"/>
    </row>
    <row r="50" spans="1:15" x14ac:dyDescent="0.35">
      <c r="A50" s="32">
        <v>1800000190</v>
      </c>
      <c r="B50" s="33" t="s">
        <v>563</v>
      </c>
      <c r="C50" s="34">
        <v>45708</v>
      </c>
      <c r="D50" s="35">
        <v>246779410117</v>
      </c>
      <c r="E50" s="33" t="s">
        <v>559</v>
      </c>
      <c r="F50" s="36">
        <v>456.75</v>
      </c>
      <c r="G50" s="37" t="s">
        <v>560</v>
      </c>
      <c r="H50" s="38">
        <v>39419.199999999997</v>
      </c>
      <c r="I50" s="54">
        <v>0</v>
      </c>
      <c r="J50" s="54">
        <v>35554.519999999997</v>
      </c>
      <c r="K50" s="54">
        <v>35554.519999999997</v>
      </c>
      <c r="L50" s="54">
        <v>3864.6800000000003</v>
      </c>
      <c r="M50" s="56">
        <v>9.8040548768113009E-2</v>
      </c>
      <c r="N50" s="33" t="s">
        <v>878</v>
      </c>
      <c r="O50" s="83"/>
    </row>
    <row r="51" spans="1:15" x14ac:dyDescent="0.35">
      <c r="A51" s="32">
        <v>1800000233</v>
      </c>
      <c r="B51" s="33" t="s">
        <v>563</v>
      </c>
      <c r="C51" s="34">
        <v>45708</v>
      </c>
      <c r="D51" s="35">
        <v>246779410160</v>
      </c>
      <c r="E51" s="33" t="s">
        <v>559</v>
      </c>
      <c r="F51" s="36">
        <v>456.75</v>
      </c>
      <c r="G51" s="37" t="s">
        <v>560</v>
      </c>
      <c r="H51" s="38">
        <v>39419.199999999997</v>
      </c>
      <c r="I51" s="54">
        <v>0</v>
      </c>
      <c r="J51" s="54">
        <v>35554.519999999997</v>
      </c>
      <c r="K51" s="54">
        <v>35554.519999999997</v>
      </c>
      <c r="L51" s="54">
        <v>3864.6800000000003</v>
      </c>
      <c r="M51" s="56">
        <v>9.8040548768113009E-2</v>
      </c>
      <c r="N51" s="33" t="s">
        <v>879</v>
      </c>
      <c r="O51" s="83"/>
    </row>
    <row r="52" spans="1:15" x14ac:dyDescent="0.35">
      <c r="A52" s="32">
        <v>1800000276</v>
      </c>
      <c r="B52" s="33" t="s">
        <v>563</v>
      </c>
      <c r="C52" s="34">
        <v>45708</v>
      </c>
      <c r="D52" s="35">
        <v>246779410203</v>
      </c>
      <c r="E52" s="33" t="s">
        <v>559</v>
      </c>
      <c r="F52" s="36">
        <v>456.75</v>
      </c>
      <c r="G52" s="37" t="s">
        <v>560</v>
      </c>
      <c r="H52" s="38">
        <v>39419.199999999997</v>
      </c>
      <c r="I52" s="54">
        <v>0</v>
      </c>
      <c r="J52" s="54">
        <v>35554.519999999997</v>
      </c>
      <c r="K52" s="54">
        <v>35554.519999999997</v>
      </c>
      <c r="L52" s="54">
        <v>3864.6800000000003</v>
      </c>
      <c r="M52" s="56">
        <v>9.8040548768113009E-2</v>
      </c>
      <c r="N52" s="33" t="s">
        <v>607</v>
      </c>
      <c r="O52" s="83"/>
    </row>
    <row r="53" spans="1:15" x14ac:dyDescent="0.35">
      <c r="A53" s="32">
        <v>1800000319</v>
      </c>
      <c r="B53" s="33" t="s">
        <v>563</v>
      </c>
      <c r="C53" s="34">
        <v>45708</v>
      </c>
      <c r="D53" s="35">
        <v>246779410246</v>
      </c>
      <c r="E53" s="33" t="s">
        <v>559</v>
      </c>
      <c r="F53" s="36">
        <v>456.75</v>
      </c>
      <c r="G53" s="37" t="s">
        <v>560</v>
      </c>
      <c r="H53" s="38">
        <v>39419.199999999997</v>
      </c>
      <c r="I53" s="54">
        <v>0</v>
      </c>
      <c r="J53" s="54">
        <v>35554.519999999997</v>
      </c>
      <c r="K53" s="54">
        <v>35554.519999999997</v>
      </c>
      <c r="L53" s="54">
        <v>3864.6800000000003</v>
      </c>
      <c r="M53" s="56">
        <v>9.8040548768113009E-2</v>
      </c>
      <c r="N53" s="33" t="s">
        <v>606</v>
      </c>
      <c r="O53" s="83"/>
    </row>
    <row r="54" spans="1:15" x14ac:dyDescent="0.35">
      <c r="A54" s="32">
        <v>1800000150</v>
      </c>
      <c r="B54" s="33" t="s">
        <v>563</v>
      </c>
      <c r="C54" s="34">
        <v>45708</v>
      </c>
      <c r="D54" s="35">
        <v>246779410303</v>
      </c>
      <c r="E54" s="33" t="s">
        <v>559</v>
      </c>
      <c r="F54" s="36">
        <v>456.75</v>
      </c>
      <c r="G54" s="37" t="s">
        <v>560</v>
      </c>
      <c r="H54" s="38">
        <v>39419.199999999997</v>
      </c>
      <c r="I54" s="54">
        <v>0</v>
      </c>
      <c r="J54" s="54">
        <v>35554.519999999997</v>
      </c>
      <c r="K54" s="54">
        <v>35554.519999999997</v>
      </c>
      <c r="L54" s="54">
        <v>3864.6800000000003</v>
      </c>
      <c r="M54" s="56">
        <v>9.8040548768113009E-2</v>
      </c>
      <c r="N54" s="33" t="s">
        <v>880</v>
      </c>
      <c r="O54" s="83"/>
    </row>
    <row r="55" spans="1:15" x14ac:dyDescent="0.35">
      <c r="A55" s="32">
        <v>1800011345</v>
      </c>
      <c r="B55" s="33" t="s">
        <v>563</v>
      </c>
      <c r="C55" s="34">
        <v>45870</v>
      </c>
      <c r="D55" s="35">
        <v>256779416054</v>
      </c>
      <c r="E55" s="33" t="s">
        <v>559</v>
      </c>
      <c r="F55" s="36">
        <v>456.75</v>
      </c>
      <c r="G55" s="37" t="s">
        <v>560</v>
      </c>
      <c r="H55" s="38">
        <v>39294.26</v>
      </c>
      <c r="I55" s="54">
        <v>0</v>
      </c>
      <c r="J55" s="54">
        <v>35336.871800000001</v>
      </c>
      <c r="K55" s="54">
        <v>35336.871800000001</v>
      </c>
      <c r="L55" s="54">
        <v>3957.3882000000012</v>
      </c>
      <c r="M55" s="56">
        <v>0.10071161029626213</v>
      </c>
      <c r="N55" s="33" t="s">
        <v>931</v>
      </c>
      <c r="O55" s="83"/>
    </row>
    <row r="56" spans="1:15" x14ac:dyDescent="0.35">
      <c r="A56" s="32">
        <v>1800010184</v>
      </c>
      <c r="B56" s="33" t="s">
        <v>563</v>
      </c>
      <c r="C56" s="34">
        <v>45842</v>
      </c>
      <c r="D56" s="35">
        <v>256779414944</v>
      </c>
      <c r="E56" s="33" t="s">
        <v>559</v>
      </c>
      <c r="F56" s="36">
        <v>456.75</v>
      </c>
      <c r="G56" s="37" t="s">
        <v>560</v>
      </c>
      <c r="H56" s="38">
        <v>39280.81</v>
      </c>
      <c r="I56" s="54">
        <v>0</v>
      </c>
      <c r="J56" s="54">
        <v>35324.775199999996</v>
      </c>
      <c r="K56" s="54">
        <v>35324.775199999996</v>
      </c>
      <c r="L56" s="54">
        <v>3956.0348000000013</v>
      </c>
      <c r="M56" s="56">
        <v>0.10071164011129102</v>
      </c>
      <c r="N56" s="33" t="s">
        <v>808</v>
      </c>
      <c r="O56" s="83"/>
    </row>
    <row r="57" spans="1:15" x14ac:dyDescent="0.35">
      <c r="A57" s="32">
        <v>1800013343</v>
      </c>
      <c r="B57" s="33" t="s">
        <v>563</v>
      </c>
      <c r="C57" s="34">
        <v>45935</v>
      </c>
      <c r="D57" s="35">
        <v>256779417939</v>
      </c>
      <c r="E57" s="33" t="s">
        <v>559</v>
      </c>
      <c r="F57" s="36">
        <v>445.35</v>
      </c>
      <c r="G57" s="37" t="s">
        <v>560</v>
      </c>
      <c r="H57" s="38">
        <v>39275.760000000002</v>
      </c>
      <c r="I57" s="54">
        <v>0</v>
      </c>
      <c r="J57" s="54">
        <v>38482.042500000003</v>
      </c>
      <c r="K57" s="54">
        <v>38482.042500000003</v>
      </c>
      <c r="L57" s="54">
        <v>793.71749999999884</v>
      </c>
      <c r="M57" s="56">
        <v>2.0208838734119945E-2</v>
      </c>
      <c r="N57" s="33" t="s">
        <v>699</v>
      </c>
      <c r="O57" s="83"/>
    </row>
    <row r="58" spans="1:15" x14ac:dyDescent="0.35">
      <c r="A58" s="32">
        <v>1800008243</v>
      </c>
      <c r="B58" s="33" t="s">
        <v>563</v>
      </c>
      <c r="C58" s="34">
        <v>45787</v>
      </c>
      <c r="D58" s="35">
        <v>256779413127</v>
      </c>
      <c r="E58" s="33" t="s">
        <v>559</v>
      </c>
      <c r="F58" s="36">
        <v>456.75</v>
      </c>
      <c r="G58" s="37" t="s">
        <v>560</v>
      </c>
      <c r="H58" s="38">
        <v>39273.050000000003</v>
      </c>
      <c r="I58" s="54">
        <v>0</v>
      </c>
      <c r="J58" s="54">
        <v>35097</v>
      </c>
      <c r="K58" s="54">
        <v>35097</v>
      </c>
      <c r="L58" s="54">
        <v>4176.0500000000029</v>
      </c>
      <c r="M58" s="56">
        <v>0.10633373267418758</v>
      </c>
      <c r="N58" s="33" t="s">
        <v>683</v>
      </c>
      <c r="O58" s="83"/>
    </row>
    <row r="59" spans="1:15" x14ac:dyDescent="0.35">
      <c r="A59" s="32">
        <v>1800007270</v>
      </c>
      <c r="B59" s="33" t="s">
        <v>563</v>
      </c>
      <c r="C59" s="34">
        <v>45768</v>
      </c>
      <c r="D59" s="35">
        <v>256779412161</v>
      </c>
      <c r="E59" s="33" t="s">
        <v>559</v>
      </c>
      <c r="F59" s="36">
        <v>456.75</v>
      </c>
      <c r="G59" s="37" t="s">
        <v>560</v>
      </c>
      <c r="H59" s="38">
        <v>39193.72</v>
      </c>
      <c r="I59" s="54">
        <v>0</v>
      </c>
      <c r="J59" s="54">
        <v>34962</v>
      </c>
      <c r="K59" s="54">
        <v>34962</v>
      </c>
      <c r="L59" s="54">
        <v>4231.7200000000012</v>
      </c>
      <c r="M59" s="56">
        <v>0.10796933794495651</v>
      </c>
      <c r="N59" s="33" t="s">
        <v>617</v>
      </c>
      <c r="O59" s="83"/>
    </row>
    <row r="60" spans="1:15" x14ac:dyDescent="0.35">
      <c r="A60" s="32">
        <v>1800009622</v>
      </c>
      <c r="B60" s="33" t="s">
        <v>563</v>
      </c>
      <c r="C60" s="34">
        <v>45818</v>
      </c>
      <c r="D60" s="35">
        <v>256779414386</v>
      </c>
      <c r="E60" s="33" t="s">
        <v>559</v>
      </c>
      <c r="F60" s="36">
        <v>456.75</v>
      </c>
      <c r="G60" s="37" t="s">
        <v>560</v>
      </c>
      <c r="H60" s="38">
        <v>39047.910000000003</v>
      </c>
      <c r="I60" s="54">
        <v>0</v>
      </c>
      <c r="J60" s="54">
        <v>35431</v>
      </c>
      <c r="K60" s="54">
        <v>35431</v>
      </c>
      <c r="L60" s="54">
        <v>3616.9100000000035</v>
      </c>
      <c r="M60" s="56">
        <v>9.2627492739048092E-2</v>
      </c>
      <c r="N60" s="33" t="s">
        <v>766</v>
      </c>
      <c r="O60" s="83"/>
    </row>
    <row r="61" spans="1:15" x14ac:dyDescent="0.35">
      <c r="A61" s="32">
        <v>1800004735</v>
      </c>
      <c r="B61" s="33" t="s">
        <v>563</v>
      </c>
      <c r="C61" s="34">
        <v>45736</v>
      </c>
      <c r="D61" s="35">
        <v>246779414603</v>
      </c>
      <c r="E61" s="33" t="s">
        <v>559</v>
      </c>
      <c r="F61" s="36">
        <v>412.38</v>
      </c>
      <c r="G61" s="37" t="s">
        <v>560</v>
      </c>
      <c r="H61" s="38">
        <v>35749.74</v>
      </c>
      <c r="I61" s="54">
        <v>0</v>
      </c>
      <c r="J61" s="54">
        <v>34760</v>
      </c>
      <c r="K61" s="54">
        <v>34760</v>
      </c>
      <c r="L61" s="54">
        <v>989.73999999999796</v>
      </c>
      <c r="M61" s="56">
        <v>2.7685236312208088E-2</v>
      </c>
      <c r="N61" s="33" t="s">
        <v>874</v>
      </c>
      <c r="O61" s="83"/>
    </row>
    <row r="62" spans="1:15" x14ac:dyDescent="0.35">
      <c r="A62" s="32">
        <v>1800001468</v>
      </c>
      <c r="B62" s="33" t="s">
        <v>563</v>
      </c>
      <c r="C62" s="34">
        <v>45729</v>
      </c>
      <c r="D62" s="35">
        <v>246779411300</v>
      </c>
      <c r="E62" s="33" t="s">
        <v>559</v>
      </c>
      <c r="F62" s="36">
        <v>385</v>
      </c>
      <c r="G62" s="37" t="s">
        <v>560</v>
      </c>
      <c r="H62" s="38">
        <v>33376.14</v>
      </c>
      <c r="I62" s="54">
        <v>0</v>
      </c>
      <c r="J62" s="54">
        <v>33376</v>
      </c>
      <c r="K62" s="54">
        <v>33376</v>
      </c>
      <c r="L62" s="54">
        <v>0.13999999999941792</v>
      </c>
      <c r="M62" s="56">
        <v>4.1946132776114293E-6</v>
      </c>
      <c r="N62" s="33" t="s">
        <v>859</v>
      </c>
      <c r="O62" s="83"/>
    </row>
    <row r="63" spans="1:15" x14ac:dyDescent="0.35">
      <c r="A63" s="32">
        <v>1800000364</v>
      </c>
      <c r="B63" s="33" t="s">
        <v>563</v>
      </c>
      <c r="C63" s="34">
        <v>45716</v>
      </c>
      <c r="D63" s="35">
        <v>246779410333</v>
      </c>
      <c r="E63" s="33" t="s">
        <v>559</v>
      </c>
      <c r="F63" s="36">
        <v>386.34</v>
      </c>
      <c r="G63" s="37" t="s">
        <v>560</v>
      </c>
      <c r="H63" s="38">
        <v>33342.559999999998</v>
      </c>
      <c r="I63" s="54">
        <v>0</v>
      </c>
      <c r="J63" s="54">
        <v>29975.441999999999</v>
      </c>
      <c r="K63" s="54">
        <v>29975.441999999999</v>
      </c>
      <c r="L63" s="54">
        <v>3367.1179999999986</v>
      </c>
      <c r="M63" s="56">
        <v>0.10098558718946592</v>
      </c>
      <c r="N63" s="33" t="s">
        <v>918</v>
      </c>
      <c r="O63" s="83"/>
    </row>
    <row r="64" spans="1:15" x14ac:dyDescent="0.35">
      <c r="A64" s="32">
        <v>1800011235</v>
      </c>
      <c r="B64" s="33" t="s">
        <v>563</v>
      </c>
      <c r="C64" s="34">
        <v>45863</v>
      </c>
      <c r="D64" s="35">
        <v>256779415967</v>
      </c>
      <c r="E64" s="33" t="s">
        <v>559</v>
      </c>
      <c r="F64" s="36">
        <v>379.76</v>
      </c>
      <c r="G64" s="37" t="s">
        <v>560</v>
      </c>
      <c r="H64" s="38">
        <v>32659.61</v>
      </c>
      <c r="I64" s="54">
        <v>0</v>
      </c>
      <c r="J64" s="54">
        <v>32007</v>
      </c>
      <c r="K64" s="54">
        <v>32007</v>
      </c>
      <c r="L64" s="54">
        <v>652.61000000000058</v>
      </c>
      <c r="M64" s="56">
        <v>1.9982173700175861E-2</v>
      </c>
      <c r="N64" s="33" t="s">
        <v>789</v>
      </c>
      <c r="O64" s="83"/>
    </row>
    <row r="65" spans="1:15" x14ac:dyDescent="0.35">
      <c r="A65" s="32">
        <v>1800012845</v>
      </c>
      <c r="B65" s="33" t="s">
        <v>563</v>
      </c>
      <c r="C65" s="34">
        <v>45918</v>
      </c>
      <c r="D65" s="35">
        <v>256779417410</v>
      </c>
      <c r="E65" s="33" t="s">
        <v>559</v>
      </c>
      <c r="F65" s="36">
        <v>371.84</v>
      </c>
      <c r="G65" s="37" t="s">
        <v>560</v>
      </c>
      <c r="H65" s="38">
        <v>32541.33</v>
      </c>
      <c r="I65" s="54">
        <v>0</v>
      </c>
      <c r="J65" s="54">
        <v>29303.298299999999</v>
      </c>
      <c r="K65" s="54">
        <v>29303.298299999999</v>
      </c>
      <c r="L65" s="54">
        <v>3238.0317000000032</v>
      </c>
      <c r="M65" s="56">
        <v>9.9505204612104145E-2</v>
      </c>
      <c r="N65" s="33" t="s">
        <v>657</v>
      </c>
      <c r="O65" s="83"/>
    </row>
    <row r="66" spans="1:15" x14ac:dyDescent="0.35">
      <c r="A66" s="32">
        <v>1800003971</v>
      </c>
      <c r="B66" s="33" t="s">
        <v>563</v>
      </c>
      <c r="C66" s="34">
        <v>45736</v>
      </c>
      <c r="D66" s="35">
        <v>246779413827</v>
      </c>
      <c r="E66" s="33" t="s">
        <v>559</v>
      </c>
      <c r="F66" s="36">
        <v>375</v>
      </c>
      <c r="G66" s="37" t="s">
        <v>560</v>
      </c>
      <c r="H66" s="38">
        <v>32509.22</v>
      </c>
      <c r="I66" s="54">
        <v>0</v>
      </c>
      <c r="J66" s="54">
        <v>31723</v>
      </c>
      <c r="K66" s="54">
        <v>31723</v>
      </c>
      <c r="L66" s="54">
        <v>786.22000000000116</v>
      </c>
      <c r="M66" s="56">
        <v>2.4184523652059357E-2</v>
      </c>
      <c r="N66" s="33" t="s">
        <v>873</v>
      </c>
      <c r="O66" s="83"/>
    </row>
    <row r="67" spans="1:15" x14ac:dyDescent="0.35">
      <c r="A67" s="32">
        <v>1800015346</v>
      </c>
      <c r="B67" s="33" t="s">
        <v>563</v>
      </c>
      <c r="C67" s="34">
        <v>45996</v>
      </c>
      <c r="D67" s="35">
        <v>256779419795</v>
      </c>
      <c r="E67" s="33" t="s">
        <v>559</v>
      </c>
      <c r="F67" s="36">
        <v>356.26</v>
      </c>
      <c r="G67" s="37" t="s">
        <v>560</v>
      </c>
      <c r="H67" s="38">
        <v>31600.31</v>
      </c>
      <c r="I67" s="54">
        <v>0</v>
      </c>
      <c r="J67" s="54">
        <v>28407.106800000001</v>
      </c>
      <c r="K67" s="54">
        <v>28407.106800000001</v>
      </c>
      <c r="L67" s="54">
        <v>3193.2031999999999</v>
      </c>
      <c r="M67" s="56">
        <v>0.10104974286644655</v>
      </c>
      <c r="N67" s="33" t="s">
        <v>667</v>
      </c>
      <c r="O67" s="83"/>
    </row>
    <row r="68" spans="1:15" x14ac:dyDescent="0.35">
      <c r="A68" s="32">
        <v>1800003780</v>
      </c>
      <c r="B68" s="33" t="s">
        <v>563</v>
      </c>
      <c r="C68" s="34">
        <v>45736</v>
      </c>
      <c r="D68" s="35">
        <v>246779413702</v>
      </c>
      <c r="E68" s="33" t="s">
        <v>559</v>
      </c>
      <c r="F68" s="36">
        <v>364.25</v>
      </c>
      <c r="G68" s="37" t="s">
        <v>560</v>
      </c>
      <c r="H68" s="38">
        <v>31577.29</v>
      </c>
      <c r="I68" s="54">
        <v>0</v>
      </c>
      <c r="J68" s="54">
        <v>31577</v>
      </c>
      <c r="K68" s="54">
        <v>31577</v>
      </c>
      <c r="L68" s="54">
        <v>0.29000000000087311</v>
      </c>
      <c r="M68" s="56">
        <v>9.1838153306022493E-6</v>
      </c>
      <c r="N68" s="33" t="s">
        <v>870</v>
      </c>
      <c r="O68" s="83"/>
    </row>
    <row r="69" spans="1:15" x14ac:dyDescent="0.35">
      <c r="A69" s="32">
        <v>1800014859</v>
      </c>
      <c r="B69" s="33" t="s">
        <v>563</v>
      </c>
      <c r="C69" s="34">
        <v>45980</v>
      </c>
      <c r="D69" s="35">
        <v>256779419364</v>
      </c>
      <c r="E69" s="33" t="s">
        <v>559</v>
      </c>
      <c r="F69" s="36">
        <v>350.75</v>
      </c>
      <c r="G69" s="37" t="s">
        <v>560</v>
      </c>
      <c r="H69" s="38">
        <v>30867.19</v>
      </c>
      <c r="I69" s="54">
        <v>0</v>
      </c>
      <c r="J69" s="54">
        <v>27787.070400000001</v>
      </c>
      <c r="K69" s="54">
        <v>27787.070400000001</v>
      </c>
      <c r="L69" s="54">
        <v>3080.1195999999982</v>
      </c>
      <c r="M69" s="56">
        <v>9.9786200169176345E-2</v>
      </c>
      <c r="N69" s="33" t="s">
        <v>770</v>
      </c>
      <c r="O69" s="83"/>
    </row>
    <row r="70" spans="1:15" x14ac:dyDescent="0.35">
      <c r="A70" s="32">
        <v>1800011887</v>
      </c>
      <c r="B70" s="33" t="s">
        <v>563</v>
      </c>
      <c r="C70" s="34">
        <v>45877</v>
      </c>
      <c r="D70" s="35">
        <v>256779416538</v>
      </c>
      <c r="E70" s="33" t="s">
        <v>559</v>
      </c>
      <c r="F70" s="36">
        <v>353.44</v>
      </c>
      <c r="G70" s="37" t="s">
        <v>560</v>
      </c>
      <c r="H70" s="38">
        <v>30406.49</v>
      </c>
      <c r="I70" s="54">
        <v>0</v>
      </c>
      <c r="J70" s="54">
        <v>27395.431400000001</v>
      </c>
      <c r="K70" s="54">
        <v>27395.431400000001</v>
      </c>
      <c r="L70" s="54">
        <v>3011.0586000000003</v>
      </c>
      <c r="M70" s="56">
        <v>9.9026839335944403E-2</v>
      </c>
      <c r="N70" s="33" t="s">
        <v>839</v>
      </c>
      <c r="O70" s="83"/>
    </row>
    <row r="71" spans="1:15" x14ac:dyDescent="0.35">
      <c r="A71" s="32">
        <v>1800015075</v>
      </c>
      <c r="B71" s="33" t="s">
        <v>563</v>
      </c>
      <c r="C71" s="34">
        <v>45981</v>
      </c>
      <c r="D71" s="35">
        <v>256779419588</v>
      </c>
      <c r="E71" s="33" t="s">
        <v>559</v>
      </c>
      <c r="F71" s="36">
        <v>339.2</v>
      </c>
      <c r="G71" s="37" t="s">
        <v>560</v>
      </c>
      <c r="H71" s="38">
        <v>29850.75</v>
      </c>
      <c r="I71" s="54">
        <v>0</v>
      </c>
      <c r="J71" s="54">
        <v>29234.726200000001</v>
      </c>
      <c r="K71" s="54">
        <v>29234.726200000001</v>
      </c>
      <c r="L71" s="54">
        <v>616.02379999999903</v>
      </c>
      <c r="M71" s="56">
        <v>2.0636794720400628E-2</v>
      </c>
      <c r="N71" s="33" t="s">
        <v>649</v>
      </c>
      <c r="O71" s="83"/>
    </row>
    <row r="72" spans="1:15" x14ac:dyDescent="0.35">
      <c r="A72" s="32">
        <v>1800014455</v>
      </c>
      <c r="B72" s="33" t="s">
        <v>563</v>
      </c>
      <c r="C72" s="34">
        <v>45966</v>
      </c>
      <c r="D72" s="35">
        <v>256779419069</v>
      </c>
      <c r="E72" s="33" t="s">
        <v>559</v>
      </c>
      <c r="F72" s="36">
        <v>337.59</v>
      </c>
      <c r="G72" s="37" t="s">
        <v>560</v>
      </c>
      <c r="H72" s="38">
        <v>29709.06</v>
      </c>
      <c r="I72" s="54">
        <v>0</v>
      </c>
      <c r="J72" s="54">
        <v>26716.949199999999</v>
      </c>
      <c r="K72" s="54">
        <v>26716.949199999999</v>
      </c>
      <c r="L72" s="54">
        <v>2992.1108000000022</v>
      </c>
      <c r="M72" s="56">
        <v>0.10071374860059532</v>
      </c>
      <c r="N72" s="33" t="s">
        <v>824</v>
      </c>
      <c r="O72" s="83"/>
    </row>
    <row r="73" spans="1:15" x14ac:dyDescent="0.35">
      <c r="A73" s="32">
        <v>1800008050</v>
      </c>
      <c r="B73" s="33" t="s">
        <v>563</v>
      </c>
      <c r="C73" s="34">
        <v>45770</v>
      </c>
      <c r="D73" s="35">
        <v>256779412941</v>
      </c>
      <c r="E73" s="33" t="s">
        <v>559</v>
      </c>
      <c r="F73" s="36">
        <v>321.75</v>
      </c>
      <c r="G73" s="37" t="s">
        <v>560</v>
      </c>
      <c r="H73" s="38">
        <v>27967.1</v>
      </c>
      <c r="I73" s="54">
        <v>0</v>
      </c>
      <c r="J73" s="54">
        <v>27408</v>
      </c>
      <c r="K73" s="54">
        <v>27408</v>
      </c>
      <c r="L73" s="54">
        <v>559.09999999999854</v>
      </c>
      <c r="M73" s="56">
        <v>1.9991346975553367E-2</v>
      </c>
      <c r="N73" s="33" t="s">
        <v>672</v>
      </c>
      <c r="O73" s="83"/>
    </row>
    <row r="74" spans="1:15" x14ac:dyDescent="0.35">
      <c r="A74" s="32">
        <v>1800012990</v>
      </c>
      <c r="B74" s="33" t="s">
        <v>563</v>
      </c>
      <c r="C74" s="34">
        <v>45918</v>
      </c>
      <c r="D74" s="35">
        <v>256779417525</v>
      </c>
      <c r="E74" s="33" t="s">
        <v>559</v>
      </c>
      <c r="F74" s="36">
        <v>311.37</v>
      </c>
      <c r="G74" s="37" t="s">
        <v>560</v>
      </c>
      <c r="H74" s="38">
        <v>27249.34</v>
      </c>
      <c r="I74" s="54">
        <v>0</v>
      </c>
      <c r="J74" s="54">
        <v>26724.251</v>
      </c>
      <c r="K74" s="54">
        <v>26724.251</v>
      </c>
      <c r="L74" s="54">
        <v>525.08899999999994</v>
      </c>
      <c r="M74" s="56">
        <v>1.9269787818714138E-2</v>
      </c>
      <c r="N74" s="33" t="s">
        <v>661</v>
      </c>
      <c r="O74" s="83"/>
    </row>
    <row r="75" spans="1:15" x14ac:dyDescent="0.35">
      <c r="A75" s="32">
        <v>1800006257</v>
      </c>
      <c r="B75" s="33" t="s">
        <v>563</v>
      </c>
      <c r="C75" s="34">
        <v>45762</v>
      </c>
      <c r="D75" s="35">
        <v>256779411148</v>
      </c>
      <c r="E75" s="33" t="s">
        <v>559</v>
      </c>
      <c r="F75" s="36">
        <v>304.01</v>
      </c>
      <c r="G75" s="37" t="s">
        <v>560</v>
      </c>
      <c r="H75" s="38">
        <v>26425.1</v>
      </c>
      <c r="I75" s="54">
        <v>0</v>
      </c>
      <c r="J75" s="54">
        <v>25546</v>
      </c>
      <c r="K75" s="54">
        <v>25546</v>
      </c>
      <c r="L75" s="54">
        <v>879.09999999999854</v>
      </c>
      <c r="M75" s="56">
        <v>3.326761298916555E-2</v>
      </c>
      <c r="N75" s="33" t="s">
        <v>771</v>
      </c>
      <c r="O75" s="83"/>
    </row>
    <row r="76" spans="1:15" x14ac:dyDescent="0.35">
      <c r="A76" s="32">
        <v>1800011901</v>
      </c>
      <c r="B76" s="33" t="s">
        <v>563</v>
      </c>
      <c r="C76" s="34">
        <v>45880</v>
      </c>
      <c r="D76" s="35">
        <v>256779416544</v>
      </c>
      <c r="E76" s="33" t="s">
        <v>559</v>
      </c>
      <c r="F76" s="36">
        <v>298.70999999999998</v>
      </c>
      <c r="G76" s="37" t="s">
        <v>560</v>
      </c>
      <c r="H76" s="38">
        <v>25698.06</v>
      </c>
      <c r="I76" s="54">
        <v>0</v>
      </c>
      <c r="J76" s="54">
        <v>23117.1535</v>
      </c>
      <c r="K76" s="54">
        <v>23117.1535</v>
      </c>
      <c r="L76" s="54">
        <v>2580.906500000001</v>
      </c>
      <c r="M76" s="56">
        <v>0.10043195867703636</v>
      </c>
      <c r="N76" s="33" t="s">
        <v>775</v>
      </c>
      <c r="O76" s="83"/>
    </row>
    <row r="77" spans="1:15" x14ac:dyDescent="0.35">
      <c r="A77" s="32">
        <v>1800011903</v>
      </c>
      <c r="B77" s="33" t="s">
        <v>563</v>
      </c>
      <c r="C77" s="34">
        <v>45880</v>
      </c>
      <c r="D77" s="35">
        <v>256779416546</v>
      </c>
      <c r="E77" s="33" t="s">
        <v>559</v>
      </c>
      <c r="F77" s="36">
        <v>282.89999999999998</v>
      </c>
      <c r="G77" s="37" t="s">
        <v>560</v>
      </c>
      <c r="H77" s="38">
        <v>24337.919999999998</v>
      </c>
      <c r="I77" s="54">
        <v>0</v>
      </c>
      <c r="J77" s="54">
        <v>21929.077600000001</v>
      </c>
      <c r="K77" s="54">
        <v>21929.077600000001</v>
      </c>
      <c r="L77" s="54">
        <v>2408.8423999999977</v>
      </c>
      <c r="M77" s="56">
        <v>9.8974867203113409E-2</v>
      </c>
      <c r="N77" s="33" t="s">
        <v>776</v>
      </c>
      <c r="O77" s="83"/>
    </row>
    <row r="78" spans="1:15" x14ac:dyDescent="0.35">
      <c r="A78" s="32">
        <v>1800007209</v>
      </c>
      <c r="B78" s="33" t="s">
        <v>563</v>
      </c>
      <c r="C78" s="34">
        <v>45763</v>
      </c>
      <c r="D78" s="35">
        <v>256779412100</v>
      </c>
      <c r="E78" s="33" t="s">
        <v>559</v>
      </c>
      <c r="F78" s="36">
        <v>252.98</v>
      </c>
      <c r="G78" s="37" t="s">
        <v>560</v>
      </c>
      <c r="H78" s="38">
        <v>21989.48</v>
      </c>
      <c r="I78" s="54">
        <v>0</v>
      </c>
      <c r="J78" s="54">
        <v>21549</v>
      </c>
      <c r="K78" s="54">
        <v>21549</v>
      </c>
      <c r="L78" s="54">
        <v>440.47999999999956</v>
      </c>
      <c r="M78" s="56">
        <v>2.0031396831575808E-2</v>
      </c>
      <c r="N78" s="33" t="s">
        <v>786</v>
      </c>
      <c r="O78" s="83"/>
    </row>
    <row r="79" spans="1:15" x14ac:dyDescent="0.35">
      <c r="A79" s="32">
        <v>1800001437</v>
      </c>
      <c r="B79" s="33" t="s">
        <v>563</v>
      </c>
      <c r="C79" s="34">
        <v>45729</v>
      </c>
      <c r="D79" s="35">
        <v>246779411326</v>
      </c>
      <c r="E79" s="33" t="s">
        <v>559</v>
      </c>
      <c r="F79" s="36">
        <v>245</v>
      </c>
      <c r="G79" s="37" t="s">
        <v>560</v>
      </c>
      <c r="H79" s="38">
        <v>21239.360000000001</v>
      </c>
      <c r="I79" s="54">
        <v>0</v>
      </c>
      <c r="J79" s="54">
        <v>20874</v>
      </c>
      <c r="K79" s="54">
        <v>20874</v>
      </c>
      <c r="L79" s="54">
        <v>365.36000000000058</v>
      </c>
      <c r="M79" s="56">
        <v>1.720202491977162E-2</v>
      </c>
      <c r="N79" s="33" t="s">
        <v>857</v>
      </c>
      <c r="O79" s="83"/>
    </row>
    <row r="80" spans="1:15" x14ac:dyDescent="0.35">
      <c r="A80" s="32">
        <v>1800014964</v>
      </c>
      <c r="B80" s="33" t="s">
        <v>563</v>
      </c>
      <c r="C80" s="34">
        <v>45981</v>
      </c>
      <c r="D80" s="35">
        <v>256779419465</v>
      </c>
      <c r="E80" s="33" t="s">
        <v>559</v>
      </c>
      <c r="F80" s="36">
        <v>240.14</v>
      </c>
      <c r="G80" s="37" t="s">
        <v>560</v>
      </c>
      <c r="H80" s="38">
        <v>21133.13</v>
      </c>
      <c r="I80" s="54">
        <v>0</v>
      </c>
      <c r="J80" s="54">
        <v>20693.117099999999</v>
      </c>
      <c r="K80" s="54">
        <v>20693.117099999999</v>
      </c>
      <c r="L80" s="54">
        <v>440.01290000000154</v>
      </c>
      <c r="M80" s="56">
        <v>2.082100001277622E-2</v>
      </c>
      <c r="N80" s="33" t="s">
        <v>641</v>
      </c>
      <c r="O80" s="83"/>
    </row>
    <row r="81" spans="1:15" x14ac:dyDescent="0.35">
      <c r="A81" s="32">
        <v>1800003960</v>
      </c>
      <c r="B81" s="33" t="s">
        <v>563</v>
      </c>
      <c r="C81" s="34">
        <v>45736</v>
      </c>
      <c r="D81" s="35">
        <v>246779413816</v>
      </c>
      <c r="E81" s="33" t="s">
        <v>559</v>
      </c>
      <c r="F81" s="36">
        <v>220</v>
      </c>
      <c r="G81" s="37" t="s">
        <v>560</v>
      </c>
      <c r="H81" s="38">
        <v>19072.080000000002</v>
      </c>
      <c r="I81" s="54">
        <v>0</v>
      </c>
      <c r="J81" s="54">
        <v>18610</v>
      </c>
      <c r="K81" s="54">
        <v>18610</v>
      </c>
      <c r="L81" s="54">
        <v>462.08000000000175</v>
      </c>
      <c r="M81" s="56">
        <v>2.4228086291584437E-2</v>
      </c>
      <c r="N81" s="33" t="s">
        <v>872</v>
      </c>
      <c r="O81" s="83"/>
    </row>
    <row r="82" spans="1:15" x14ac:dyDescent="0.35">
      <c r="A82" s="32">
        <v>1800003779</v>
      </c>
      <c r="B82" s="33" t="s">
        <v>563</v>
      </c>
      <c r="C82" s="34">
        <v>45736</v>
      </c>
      <c r="D82" s="35">
        <v>246779413701</v>
      </c>
      <c r="E82" s="33" t="s">
        <v>559</v>
      </c>
      <c r="F82" s="36">
        <v>216.2</v>
      </c>
      <c r="G82" s="37" t="s">
        <v>560</v>
      </c>
      <c r="H82" s="38">
        <v>18742.650000000001</v>
      </c>
      <c r="I82" s="54">
        <v>0</v>
      </c>
      <c r="J82" s="54">
        <v>18367</v>
      </c>
      <c r="K82" s="54">
        <v>18367</v>
      </c>
      <c r="L82" s="54">
        <v>375.65000000000146</v>
      </c>
      <c r="M82" s="56">
        <v>2.0042523335814383E-2</v>
      </c>
      <c r="N82" s="33" t="s">
        <v>861</v>
      </c>
      <c r="O82" s="83"/>
    </row>
    <row r="83" spans="1:15" x14ac:dyDescent="0.35">
      <c r="A83" s="32">
        <v>1800000353</v>
      </c>
      <c r="B83" s="33" t="s">
        <v>563</v>
      </c>
      <c r="C83" s="34">
        <v>45709</v>
      </c>
      <c r="D83" s="35">
        <v>246779410327</v>
      </c>
      <c r="E83" s="33" t="s">
        <v>559</v>
      </c>
      <c r="F83" s="36">
        <v>211.97</v>
      </c>
      <c r="G83" s="37" t="s">
        <v>560</v>
      </c>
      <c r="H83" s="38">
        <v>18293.79</v>
      </c>
      <c r="I83" s="54">
        <v>0</v>
      </c>
      <c r="J83" s="54">
        <v>16480.710999999999</v>
      </c>
      <c r="K83" s="54">
        <v>16480.710999999999</v>
      </c>
      <c r="L83" s="54">
        <v>1813.0790000000015</v>
      </c>
      <c r="M83" s="56">
        <v>9.9108987257424591E-2</v>
      </c>
      <c r="N83" s="33" t="s">
        <v>674</v>
      </c>
      <c r="O83" s="83"/>
    </row>
    <row r="84" spans="1:15" x14ac:dyDescent="0.35">
      <c r="A84" s="32">
        <v>1800017004</v>
      </c>
      <c r="B84" s="33" t="s">
        <v>563</v>
      </c>
      <c r="C84" s="34">
        <v>46044</v>
      </c>
      <c r="D84" s="35">
        <v>256779440394</v>
      </c>
      <c r="E84" s="33" t="s">
        <v>559</v>
      </c>
      <c r="F84" s="36">
        <v>200.69</v>
      </c>
      <c r="G84" s="37" t="s">
        <v>560</v>
      </c>
      <c r="H84" s="38">
        <v>18211.240000000002</v>
      </c>
      <c r="I84" s="54">
        <v>1815</v>
      </c>
      <c r="J84" s="54">
        <v>18211.378000000001</v>
      </c>
      <c r="K84" s="54">
        <v>16396.378000000001</v>
      </c>
      <c r="L84" s="54">
        <v>1814.862000000001</v>
      </c>
      <c r="M84" s="56">
        <v>9.9656146423856964E-2</v>
      </c>
      <c r="N84" s="33" t="s">
        <v>755</v>
      </c>
      <c r="O84" s="83"/>
    </row>
    <row r="85" spans="1:15" x14ac:dyDescent="0.35">
      <c r="A85" s="32">
        <v>1800004353</v>
      </c>
      <c r="B85" s="33" t="s">
        <v>563</v>
      </c>
      <c r="C85" s="34">
        <v>45736</v>
      </c>
      <c r="D85" s="35">
        <v>246779414221</v>
      </c>
      <c r="E85" s="33" t="s">
        <v>559</v>
      </c>
      <c r="F85" s="36">
        <v>209.25</v>
      </c>
      <c r="G85" s="37" t="s">
        <v>560</v>
      </c>
      <c r="H85" s="38">
        <v>18140.150000000001</v>
      </c>
      <c r="I85" s="54">
        <v>0</v>
      </c>
      <c r="J85" s="54">
        <v>17701</v>
      </c>
      <c r="K85" s="54">
        <v>17701</v>
      </c>
      <c r="L85" s="54">
        <v>439.15000000000146</v>
      </c>
      <c r="M85" s="56">
        <v>2.420873035779756E-2</v>
      </c>
      <c r="N85" s="33" t="s">
        <v>867</v>
      </c>
      <c r="O85" s="83"/>
    </row>
    <row r="86" spans="1:15" x14ac:dyDescent="0.35">
      <c r="A86" s="32">
        <v>1800008280</v>
      </c>
      <c r="B86" s="33" t="s">
        <v>563</v>
      </c>
      <c r="C86" s="34">
        <v>45787</v>
      </c>
      <c r="D86" s="35">
        <v>256779413163</v>
      </c>
      <c r="E86" s="33" t="s">
        <v>559</v>
      </c>
      <c r="F86" s="36">
        <v>190.35</v>
      </c>
      <c r="G86" s="37" t="s">
        <v>560</v>
      </c>
      <c r="H86" s="38">
        <v>16367</v>
      </c>
      <c r="I86" s="54">
        <v>0</v>
      </c>
      <c r="J86" s="54">
        <v>15927</v>
      </c>
      <c r="K86" s="54">
        <v>15927</v>
      </c>
      <c r="L86" s="54">
        <v>440</v>
      </c>
      <c r="M86" s="56">
        <v>2.6883362864300115E-2</v>
      </c>
      <c r="N86" s="33" t="s">
        <v>684</v>
      </c>
      <c r="O86" s="83"/>
    </row>
    <row r="87" spans="1:15" x14ac:dyDescent="0.35">
      <c r="A87" s="32">
        <v>1800000369</v>
      </c>
      <c r="B87" s="33" t="s">
        <v>563</v>
      </c>
      <c r="C87" s="34">
        <v>45716</v>
      </c>
      <c r="D87" s="35">
        <v>246779410338</v>
      </c>
      <c r="E87" s="33" t="s">
        <v>559</v>
      </c>
      <c r="F87" s="36">
        <v>178.6</v>
      </c>
      <c r="G87" s="37" t="s">
        <v>560</v>
      </c>
      <c r="H87" s="38">
        <v>15413.83</v>
      </c>
      <c r="I87" s="54">
        <v>0</v>
      </c>
      <c r="J87" s="54">
        <v>13859.78</v>
      </c>
      <c r="K87" s="54">
        <v>13859.78</v>
      </c>
      <c r="L87" s="54">
        <v>1554.0499999999993</v>
      </c>
      <c r="M87" s="56">
        <v>0.10082179445342263</v>
      </c>
      <c r="N87" s="33" t="s">
        <v>919</v>
      </c>
      <c r="O87" s="83"/>
    </row>
    <row r="88" spans="1:15" x14ac:dyDescent="0.35">
      <c r="A88" s="32">
        <v>1800009994</v>
      </c>
      <c r="B88" s="33" t="s">
        <v>563</v>
      </c>
      <c r="C88" s="34">
        <v>45826</v>
      </c>
      <c r="D88" s="35">
        <v>256779414758</v>
      </c>
      <c r="E88" s="33" t="s">
        <v>559</v>
      </c>
      <c r="F88" s="36">
        <v>173.9</v>
      </c>
      <c r="G88" s="37" t="s">
        <v>560</v>
      </c>
      <c r="H88" s="38">
        <v>14866.85</v>
      </c>
      <c r="I88" s="54">
        <v>0</v>
      </c>
      <c r="J88" s="54">
        <v>14610.374299999999</v>
      </c>
      <c r="K88" s="54">
        <v>14610.374299999999</v>
      </c>
      <c r="L88" s="54">
        <v>256.47570000000087</v>
      </c>
      <c r="M88" s="56">
        <v>1.7251515956641848E-2</v>
      </c>
      <c r="N88" s="33" t="s">
        <v>628</v>
      </c>
      <c r="O88" s="83"/>
    </row>
    <row r="89" spans="1:15" x14ac:dyDescent="0.35">
      <c r="A89" s="32">
        <v>1800014975</v>
      </c>
      <c r="B89" s="33" t="s">
        <v>563</v>
      </c>
      <c r="C89" s="34">
        <v>45981</v>
      </c>
      <c r="D89" s="35">
        <v>256779419476</v>
      </c>
      <c r="E89" s="33" t="s">
        <v>559</v>
      </c>
      <c r="F89" s="36">
        <v>162.27000000000001</v>
      </c>
      <c r="G89" s="37" t="s">
        <v>560</v>
      </c>
      <c r="H89" s="38">
        <v>14280.31</v>
      </c>
      <c r="I89" s="54">
        <v>0</v>
      </c>
      <c r="J89" s="54">
        <v>14016.2999</v>
      </c>
      <c r="K89" s="54">
        <v>14016.2999</v>
      </c>
      <c r="L89" s="54">
        <v>264.01009999999951</v>
      </c>
      <c r="M89" s="56">
        <v>1.8487700897249396E-2</v>
      </c>
      <c r="N89" s="33" t="s">
        <v>642</v>
      </c>
      <c r="O89" s="83"/>
    </row>
    <row r="90" spans="1:15" x14ac:dyDescent="0.35">
      <c r="A90" s="32">
        <v>1800006260</v>
      </c>
      <c r="B90" s="33" t="s">
        <v>563</v>
      </c>
      <c r="C90" s="34">
        <v>45762</v>
      </c>
      <c r="D90" s="35">
        <v>256779411151</v>
      </c>
      <c r="E90" s="33" t="s">
        <v>559</v>
      </c>
      <c r="F90" s="36">
        <v>160</v>
      </c>
      <c r="G90" s="37" t="s">
        <v>560</v>
      </c>
      <c r="H90" s="38">
        <v>13907.49</v>
      </c>
      <c r="I90" s="54">
        <v>0</v>
      </c>
      <c r="J90" s="54">
        <v>13629</v>
      </c>
      <c r="K90" s="54">
        <v>13629</v>
      </c>
      <c r="L90" s="54">
        <v>278.48999999999978</v>
      </c>
      <c r="M90" s="56">
        <v>2.0024461639016083E-2</v>
      </c>
      <c r="N90" s="33" t="s">
        <v>773</v>
      </c>
      <c r="O90" s="83"/>
    </row>
    <row r="91" spans="1:15" x14ac:dyDescent="0.35">
      <c r="A91" s="32">
        <v>1800006259</v>
      </c>
      <c r="B91" s="33" t="s">
        <v>563</v>
      </c>
      <c r="C91" s="34">
        <v>45762</v>
      </c>
      <c r="D91" s="35">
        <v>256779411150</v>
      </c>
      <c r="E91" s="33" t="s">
        <v>559</v>
      </c>
      <c r="F91" s="36">
        <v>158.6</v>
      </c>
      <c r="G91" s="37" t="s">
        <v>560</v>
      </c>
      <c r="H91" s="38">
        <v>13785.8</v>
      </c>
      <c r="I91" s="54">
        <v>0</v>
      </c>
      <c r="J91" s="54">
        <v>13328</v>
      </c>
      <c r="K91" s="54">
        <v>13328</v>
      </c>
      <c r="L91" s="54">
        <v>457.79999999999927</v>
      </c>
      <c r="M91" s="56">
        <v>3.320808368030867E-2</v>
      </c>
      <c r="N91" s="33" t="s">
        <v>772</v>
      </c>
      <c r="O91" s="83"/>
    </row>
    <row r="92" spans="1:15" x14ac:dyDescent="0.35">
      <c r="A92" s="32">
        <v>1800010672</v>
      </c>
      <c r="B92" s="33" t="s">
        <v>563</v>
      </c>
      <c r="C92" s="34">
        <v>45856</v>
      </c>
      <c r="D92" s="35">
        <v>256779415456</v>
      </c>
      <c r="E92" s="33" t="s">
        <v>559</v>
      </c>
      <c r="F92" s="36">
        <v>160.24</v>
      </c>
      <c r="G92" s="37" t="s">
        <v>560</v>
      </c>
      <c r="H92" s="38">
        <v>13780.75</v>
      </c>
      <c r="I92" s="54">
        <v>0</v>
      </c>
      <c r="J92" s="54">
        <v>13522.7454</v>
      </c>
      <c r="K92" s="54">
        <v>13522.7454</v>
      </c>
      <c r="L92" s="54">
        <v>258.00460000000021</v>
      </c>
      <c r="M92" s="56">
        <v>1.8722101482139958E-2</v>
      </c>
      <c r="N92" s="33" t="s">
        <v>853</v>
      </c>
      <c r="O92" s="83"/>
    </row>
    <row r="93" spans="1:15" x14ac:dyDescent="0.35">
      <c r="A93" s="32">
        <v>1800008059</v>
      </c>
      <c r="B93" s="33" t="s">
        <v>563</v>
      </c>
      <c r="C93" s="34">
        <v>45770</v>
      </c>
      <c r="D93" s="35">
        <v>256779412950</v>
      </c>
      <c r="E93" s="33" t="s">
        <v>559</v>
      </c>
      <c r="F93" s="36">
        <v>155.1</v>
      </c>
      <c r="G93" s="37" t="s">
        <v>560</v>
      </c>
      <c r="H93" s="38">
        <v>13481.57</v>
      </c>
      <c r="I93" s="54">
        <v>0</v>
      </c>
      <c r="J93" s="54">
        <v>13211</v>
      </c>
      <c r="K93" s="54">
        <v>13211</v>
      </c>
      <c r="L93" s="54">
        <v>270.56999999999971</v>
      </c>
      <c r="M93" s="56">
        <v>2.0069620971444699E-2</v>
      </c>
      <c r="N93" s="33" t="s">
        <v>671</v>
      </c>
      <c r="O93" s="83"/>
    </row>
    <row r="94" spans="1:15" x14ac:dyDescent="0.35">
      <c r="A94" s="32">
        <v>1800005274</v>
      </c>
      <c r="B94" s="33" t="s">
        <v>563</v>
      </c>
      <c r="C94" s="34">
        <v>45750</v>
      </c>
      <c r="D94" s="35">
        <v>256779410166</v>
      </c>
      <c r="E94" s="33" t="s">
        <v>559</v>
      </c>
      <c r="F94" s="36">
        <v>152.75</v>
      </c>
      <c r="G94" s="37" t="s">
        <v>560</v>
      </c>
      <c r="H94" s="38">
        <v>13277.31</v>
      </c>
      <c r="I94" s="54">
        <v>0</v>
      </c>
      <c r="J94" s="54">
        <v>13011</v>
      </c>
      <c r="K94" s="54">
        <v>13011</v>
      </c>
      <c r="L94" s="54">
        <v>266.30999999999949</v>
      </c>
      <c r="M94" s="56">
        <v>2.0057526712865745E-2</v>
      </c>
      <c r="N94" s="33" t="s">
        <v>600</v>
      </c>
      <c r="O94" s="83"/>
    </row>
    <row r="95" spans="1:15" x14ac:dyDescent="0.35">
      <c r="A95" s="32">
        <v>1800003782</v>
      </c>
      <c r="B95" s="33" t="s">
        <v>563</v>
      </c>
      <c r="C95" s="34">
        <v>45736</v>
      </c>
      <c r="D95" s="35">
        <v>246779413704</v>
      </c>
      <c r="E95" s="33" t="s">
        <v>559</v>
      </c>
      <c r="F95" s="36">
        <v>152.75</v>
      </c>
      <c r="G95" s="37" t="s">
        <v>560</v>
      </c>
      <c r="H95" s="38">
        <v>13242.09</v>
      </c>
      <c r="I95" s="54">
        <v>0</v>
      </c>
      <c r="J95" s="54">
        <v>13011</v>
      </c>
      <c r="K95" s="54">
        <v>13011</v>
      </c>
      <c r="L95" s="54">
        <v>231.09000000000015</v>
      </c>
      <c r="M95" s="56">
        <v>1.7451172737838222E-2</v>
      </c>
      <c r="N95" s="33" t="s">
        <v>862</v>
      </c>
      <c r="O95" s="83"/>
    </row>
    <row r="96" spans="1:15" x14ac:dyDescent="0.35">
      <c r="A96" s="32">
        <v>1800008301</v>
      </c>
      <c r="B96" s="33" t="s">
        <v>563</v>
      </c>
      <c r="C96" s="34">
        <v>45787</v>
      </c>
      <c r="D96" s="35">
        <v>256779413184</v>
      </c>
      <c r="E96" s="33" t="s">
        <v>559</v>
      </c>
      <c r="F96" s="36">
        <v>151.34</v>
      </c>
      <c r="G96" s="37" t="s">
        <v>560</v>
      </c>
      <c r="H96" s="38">
        <v>13012.77</v>
      </c>
      <c r="I96" s="54">
        <v>0</v>
      </c>
      <c r="J96" s="54">
        <v>11723.0177</v>
      </c>
      <c r="K96" s="54">
        <v>11723.0177</v>
      </c>
      <c r="L96" s="54">
        <v>1289.7523000000001</v>
      </c>
      <c r="M96" s="56">
        <v>9.9114354591681872E-2</v>
      </c>
      <c r="N96" s="33" t="s">
        <v>686</v>
      </c>
      <c r="O96" s="83"/>
    </row>
    <row r="97" spans="1:15" x14ac:dyDescent="0.35">
      <c r="A97" s="32">
        <v>1800009073</v>
      </c>
      <c r="B97" s="33" t="s">
        <v>563</v>
      </c>
      <c r="C97" s="34">
        <v>45797</v>
      </c>
      <c r="D97" s="35">
        <v>256779413837</v>
      </c>
      <c r="E97" s="33" t="s">
        <v>559</v>
      </c>
      <c r="F97" s="36">
        <v>144.52000000000001</v>
      </c>
      <c r="G97" s="37" t="s">
        <v>560</v>
      </c>
      <c r="H97" s="38">
        <v>12426.36</v>
      </c>
      <c r="I97" s="54">
        <v>0</v>
      </c>
      <c r="J97" s="54">
        <v>12177</v>
      </c>
      <c r="K97" s="54">
        <v>12177</v>
      </c>
      <c r="L97" s="54">
        <v>249.36000000000058</v>
      </c>
      <c r="M97" s="56">
        <v>2.006701882127997E-2</v>
      </c>
      <c r="N97" s="33" t="s">
        <v>598</v>
      </c>
      <c r="O97" s="83"/>
    </row>
    <row r="98" spans="1:15" x14ac:dyDescent="0.35">
      <c r="A98" s="32">
        <v>1800007026</v>
      </c>
      <c r="B98" s="33" t="s">
        <v>563</v>
      </c>
      <c r="C98" s="34">
        <v>45763</v>
      </c>
      <c r="D98" s="35">
        <v>256779411917</v>
      </c>
      <c r="E98" s="33" t="s">
        <v>559</v>
      </c>
      <c r="F98" s="36">
        <v>140</v>
      </c>
      <c r="G98" s="37" t="s">
        <v>560</v>
      </c>
      <c r="H98" s="38">
        <v>12169.05</v>
      </c>
      <c r="I98" s="54">
        <v>0</v>
      </c>
      <c r="J98" s="54">
        <v>12169</v>
      </c>
      <c r="K98" s="54">
        <v>12169</v>
      </c>
      <c r="L98" s="54">
        <v>4.9999999999272404E-2</v>
      </c>
      <c r="M98" s="56">
        <v>4.1087841696165604E-6</v>
      </c>
      <c r="N98" s="33" t="s">
        <v>788</v>
      </c>
      <c r="O98" s="83"/>
    </row>
    <row r="99" spans="1:15" x14ac:dyDescent="0.35">
      <c r="A99" s="32">
        <v>1800012248</v>
      </c>
      <c r="B99" s="33" t="s">
        <v>563</v>
      </c>
      <c r="C99" s="34">
        <v>45889</v>
      </c>
      <c r="D99" s="35">
        <v>256779416844</v>
      </c>
      <c r="E99" s="33" t="s">
        <v>559</v>
      </c>
      <c r="F99" s="36">
        <v>141.4</v>
      </c>
      <c r="G99" s="37" t="s">
        <v>560</v>
      </c>
      <c r="H99" s="38">
        <v>12164.66</v>
      </c>
      <c r="I99" s="54">
        <v>0</v>
      </c>
      <c r="J99" s="54">
        <v>11922</v>
      </c>
      <c r="K99" s="54">
        <v>11922</v>
      </c>
      <c r="L99" s="54">
        <v>242.65999999999985</v>
      </c>
      <c r="M99" s="56">
        <v>1.9947947579299369E-2</v>
      </c>
      <c r="N99" s="33" t="s">
        <v>884</v>
      </c>
      <c r="O99" s="83"/>
    </row>
    <row r="100" spans="1:15" x14ac:dyDescent="0.35">
      <c r="A100" s="32">
        <v>1800011187</v>
      </c>
      <c r="B100" s="33" t="s">
        <v>563</v>
      </c>
      <c r="C100" s="34">
        <v>45862</v>
      </c>
      <c r="D100" s="35">
        <v>256779415939</v>
      </c>
      <c r="E100" s="33" t="s">
        <v>559</v>
      </c>
      <c r="F100" s="36">
        <v>140</v>
      </c>
      <c r="G100" s="37" t="s">
        <v>560</v>
      </c>
      <c r="H100" s="38">
        <v>12040.09</v>
      </c>
      <c r="I100" s="54">
        <v>0</v>
      </c>
      <c r="J100" s="54">
        <v>11782.0918</v>
      </c>
      <c r="K100" s="54">
        <v>11782.0918</v>
      </c>
      <c r="L100" s="54">
        <v>257.9982</v>
      </c>
      <c r="M100" s="56">
        <v>2.142826174887397E-2</v>
      </c>
      <c r="N100" s="33" t="s">
        <v>619</v>
      </c>
      <c r="O100" s="83"/>
    </row>
    <row r="101" spans="1:15" x14ac:dyDescent="0.35">
      <c r="A101" s="32">
        <v>1800008519</v>
      </c>
      <c r="B101" s="33" t="s">
        <v>563</v>
      </c>
      <c r="C101" s="34">
        <v>45793</v>
      </c>
      <c r="D101" s="35">
        <v>256779413283</v>
      </c>
      <c r="E101" s="33" t="s">
        <v>559</v>
      </c>
      <c r="F101" s="36">
        <v>140</v>
      </c>
      <c r="G101" s="37" t="s">
        <v>560</v>
      </c>
      <c r="H101" s="38">
        <v>12037.72</v>
      </c>
      <c r="I101" s="54">
        <v>0</v>
      </c>
      <c r="J101" s="54">
        <v>11797</v>
      </c>
      <c r="K101" s="54">
        <v>11797</v>
      </c>
      <c r="L101" s="54">
        <v>240.71999999999935</v>
      </c>
      <c r="M101" s="56">
        <v>1.9997142315986694E-2</v>
      </c>
      <c r="N101" s="33" t="s">
        <v>849</v>
      </c>
      <c r="O101" s="83"/>
    </row>
    <row r="102" spans="1:15" x14ac:dyDescent="0.35">
      <c r="A102" s="32">
        <v>1800008289</v>
      </c>
      <c r="B102" s="33" t="s">
        <v>563</v>
      </c>
      <c r="C102" s="34">
        <v>45787</v>
      </c>
      <c r="D102" s="35">
        <v>256779413172</v>
      </c>
      <c r="E102" s="33" t="s">
        <v>559</v>
      </c>
      <c r="F102" s="36">
        <v>138.65</v>
      </c>
      <c r="G102" s="37" t="s">
        <v>560</v>
      </c>
      <c r="H102" s="38">
        <v>11921.64</v>
      </c>
      <c r="I102" s="54">
        <v>0</v>
      </c>
      <c r="J102" s="54">
        <v>11810</v>
      </c>
      <c r="K102" s="54">
        <v>11810</v>
      </c>
      <c r="L102" s="54">
        <v>111.63999999999942</v>
      </c>
      <c r="M102" s="56">
        <v>9.3644834100005889E-3</v>
      </c>
      <c r="N102" s="33" t="s">
        <v>685</v>
      </c>
      <c r="O102" s="83"/>
    </row>
    <row r="103" spans="1:15" x14ac:dyDescent="0.35">
      <c r="A103" s="32">
        <v>1800015437</v>
      </c>
      <c r="B103" s="33" t="s">
        <v>563</v>
      </c>
      <c r="C103" s="34">
        <v>45997</v>
      </c>
      <c r="D103" s="35">
        <v>256779419933</v>
      </c>
      <c r="E103" s="33" t="s">
        <v>559</v>
      </c>
      <c r="F103" s="36">
        <v>131.26</v>
      </c>
      <c r="G103" s="37" t="s">
        <v>560</v>
      </c>
      <c r="H103" s="38">
        <v>11642.78</v>
      </c>
      <c r="I103" s="54">
        <v>0</v>
      </c>
      <c r="J103" s="54">
        <v>10489.678599999999</v>
      </c>
      <c r="K103" s="54">
        <v>10489.678599999999</v>
      </c>
      <c r="L103" s="54">
        <v>1153.1014000000014</v>
      </c>
      <c r="M103" s="56">
        <v>9.9040040265297571E-2</v>
      </c>
      <c r="N103" s="33" t="s">
        <v>689</v>
      </c>
      <c r="O103" s="83"/>
    </row>
    <row r="104" spans="1:15" x14ac:dyDescent="0.35">
      <c r="A104" s="32">
        <v>1800015287</v>
      </c>
      <c r="B104" s="33" t="s">
        <v>563</v>
      </c>
      <c r="C104" s="34">
        <v>45996</v>
      </c>
      <c r="D104" s="35">
        <v>256779419916</v>
      </c>
      <c r="E104" s="33" t="s">
        <v>559</v>
      </c>
      <c r="F104" s="36">
        <v>128.31</v>
      </c>
      <c r="G104" s="37" t="s">
        <v>560</v>
      </c>
      <c r="H104" s="38">
        <v>11381.11</v>
      </c>
      <c r="I104" s="54">
        <v>0</v>
      </c>
      <c r="J104" s="54">
        <v>11115.014499999999</v>
      </c>
      <c r="K104" s="54">
        <v>11115.014499999999</v>
      </c>
      <c r="L104" s="54">
        <v>266.09550000000127</v>
      </c>
      <c r="M104" s="56">
        <v>2.3380452346036657E-2</v>
      </c>
      <c r="N104" s="33" t="s">
        <v>669</v>
      </c>
      <c r="O104" s="83"/>
    </row>
    <row r="105" spans="1:15" x14ac:dyDescent="0.35">
      <c r="A105" s="32">
        <v>1800016986</v>
      </c>
      <c r="B105" s="33" t="s">
        <v>563</v>
      </c>
      <c r="C105" s="34">
        <v>46044</v>
      </c>
      <c r="D105" s="35">
        <v>256779440392</v>
      </c>
      <c r="E105" s="33" t="s">
        <v>559</v>
      </c>
      <c r="F105" s="36">
        <v>124.68</v>
      </c>
      <c r="G105" s="37" t="s">
        <v>560</v>
      </c>
      <c r="H105" s="38">
        <v>11313.85</v>
      </c>
      <c r="I105" s="54">
        <v>1089</v>
      </c>
      <c r="J105" s="54">
        <v>11313.937</v>
      </c>
      <c r="K105" s="54">
        <v>10224.937</v>
      </c>
      <c r="L105" s="54">
        <v>1088.9130000000005</v>
      </c>
      <c r="M105" s="56">
        <v>9.624601704989906E-2</v>
      </c>
      <c r="N105" s="33" t="s">
        <v>753</v>
      </c>
      <c r="O105" s="83"/>
    </row>
    <row r="106" spans="1:15" x14ac:dyDescent="0.35">
      <c r="A106" s="32">
        <v>1800016101</v>
      </c>
      <c r="B106" s="33" t="s">
        <v>563</v>
      </c>
      <c r="C106" s="34">
        <v>46027</v>
      </c>
      <c r="D106" s="35">
        <v>256779440122</v>
      </c>
      <c r="E106" s="33" t="s">
        <v>559</v>
      </c>
      <c r="F106" s="36">
        <v>123.27</v>
      </c>
      <c r="G106" s="37" t="s">
        <v>560</v>
      </c>
      <c r="H106" s="38">
        <v>11185.91</v>
      </c>
      <c r="I106" s="54">
        <v>181</v>
      </c>
      <c r="J106" s="54">
        <v>11185.420599999999</v>
      </c>
      <c r="K106" s="54">
        <v>11004.420599999999</v>
      </c>
      <c r="L106" s="54">
        <v>181.48940000000039</v>
      </c>
      <c r="M106" s="56">
        <v>1.6224822119970606E-2</v>
      </c>
      <c r="N106" s="33" t="s">
        <v>725</v>
      </c>
      <c r="O106" s="83"/>
    </row>
    <row r="107" spans="1:15" x14ac:dyDescent="0.35">
      <c r="A107" s="32">
        <v>1800007570</v>
      </c>
      <c r="B107" s="33" t="s">
        <v>563</v>
      </c>
      <c r="C107" s="34">
        <v>45769</v>
      </c>
      <c r="D107" s="35">
        <v>256779412461</v>
      </c>
      <c r="E107" s="33" t="s">
        <v>559</v>
      </c>
      <c r="F107" s="36">
        <v>126.9</v>
      </c>
      <c r="G107" s="37" t="s">
        <v>560</v>
      </c>
      <c r="H107" s="38">
        <v>11030.38</v>
      </c>
      <c r="I107" s="54">
        <v>0</v>
      </c>
      <c r="J107" s="54">
        <v>10809</v>
      </c>
      <c r="K107" s="54">
        <v>10809</v>
      </c>
      <c r="L107" s="54">
        <v>221.3799999999992</v>
      </c>
      <c r="M107" s="56">
        <v>2.0070024786090709E-2</v>
      </c>
      <c r="N107" s="33" t="s">
        <v>652</v>
      </c>
      <c r="O107" s="83"/>
    </row>
    <row r="108" spans="1:15" x14ac:dyDescent="0.35">
      <c r="A108" s="32">
        <v>1800009401</v>
      </c>
      <c r="B108" s="33" t="s">
        <v>563</v>
      </c>
      <c r="C108" s="34">
        <v>45812</v>
      </c>
      <c r="D108" s="35">
        <v>256779414165</v>
      </c>
      <c r="E108" s="33" t="s">
        <v>559</v>
      </c>
      <c r="F108" s="36">
        <v>117.5</v>
      </c>
      <c r="G108" s="37" t="s">
        <v>560</v>
      </c>
      <c r="H108" s="38">
        <v>10045.17</v>
      </c>
      <c r="I108" s="54">
        <v>0</v>
      </c>
      <c r="J108" s="54">
        <v>9844</v>
      </c>
      <c r="K108" s="54">
        <v>9844</v>
      </c>
      <c r="L108" s="54">
        <v>201.17000000000007</v>
      </c>
      <c r="M108" s="56">
        <v>2.002654011828571E-2</v>
      </c>
      <c r="N108" s="33" t="s">
        <v>841</v>
      </c>
      <c r="O108" s="83"/>
    </row>
    <row r="109" spans="1:15" x14ac:dyDescent="0.35">
      <c r="A109" s="32">
        <v>1800015096</v>
      </c>
      <c r="B109" s="33" t="s">
        <v>563</v>
      </c>
      <c r="C109" s="34">
        <v>45981</v>
      </c>
      <c r="D109" s="35">
        <v>256779419547</v>
      </c>
      <c r="E109" s="33" t="s">
        <v>559</v>
      </c>
      <c r="F109" s="36">
        <v>109.01</v>
      </c>
      <c r="G109" s="37" t="s">
        <v>560</v>
      </c>
      <c r="H109" s="38">
        <v>9593.25</v>
      </c>
      <c r="I109" s="54">
        <v>0</v>
      </c>
      <c r="J109" s="54">
        <v>9417.2428</v>
      </c>
      <c r="K109" s="54">
        <v>9417.2428</v>
      </c>
      <c r="L109" s="54">
        <v>176.00720000000001</v>
      </c>
      <c r="M109" s="56">
        <v>1.8346983556146251E-2</v>
      </c>
      <c r="N109" s="33" t="s">
        <v>647</v>
      </c>
      <c r="O109" s="83"/>
    </row>
    <row r="110" spans="1:15" x14ac:dyDescent="0.35">
      <c r="A110" s="32">
        <v>1800011193</v>
      </c>
      <c r="B110" s="33" t="s">
        <v>563</v>
      </c>
      <c r="C110" s="34">
        <v>45862</v>
      </c>
      <c r="D110" s="35">
        <v>256779415945</v>
      </c>
      <c r="E110" s="33" t="s">
        <v>559</v>
      </c>
      <c r="F110" s="36">
        <v>111.15</v>
      </c>
      <c r="G110" s="37" t="s">
        <v>560</v>
      </c>
      <c r="H110" s="38">
        <v>9558.9699999999993</v>
      </c>
      <c r="I110" s="54">
        <v>0</v>
      </c>
      <c r="J110" s="54">
        <v>9368</v>
      </c>
      <c r="K110" s="54">
        <v>9368</v>
      </c>
      <c r="L110" s="54">
        <v>190.96999999999935</v>
      </c>
      <c r="M110" s="56">
        <v>1.9978093874130722E-2</v>
      </c>
      <c r="N110" s="33" t="s">
        <v>599</v>
      </c>
      <c r="O110" s="83"/>
    </row>
    <row r="111" spans="1:15" x14ac:dyDescent="0.35">
      <c r="A111" s="32">
        <v>1800014590</v>
      </c>
      <c r="B111" s="33" t="s">
        <v>563</v>
      </c>
      <c r="C111" s="34">
        <v>45966</v>
      </c>
      <c r="D111" s="35">
        <v>256779418897</v>
      </c>
      <c r="E111" s="33" t="s">
        <v>559</v>
      </c>
      <c r="F111" s="36">
        <v>108.45</v>
      </c>
      <c r="G111" s="37" t="s">
        <v>560</v>
      </c>
      <c r="H111" s="38">
        <v>9543.9699999999993</v>
      </c>
      <c r="I111" s="54">
        <v>0</v>
      </c>
      <c r="J111" s="54">
        <v>9367.9609</v>
      </c>
      <c r="K111" s="54">
        <v>9367.9609</v>
      </c>
      <c r="L111" s="54">
        <v>176.00909999999931</v>
      </c>
      <c r="M111" s="56">
        <v>1.8441916728573048E-2</v>
      </c>
      <c r="N111" s="33" t="s">
        <v>820</v>
      </c>
      <c r="O111" s="83"/>
    </row>
    <row r="112" spans="1:15" x14ac:dyDescent="0.35">
      <c r="A112" s="32">
        <v>1800011238</v>
      </c>
      <c r="B112" s="33" t="s">
        <v>563</v>
      </c>
      <c r="C112" s="34">
        <v>45863</v>
      </c>
      <c r="D112" s="35">
        <v>256779415970</v>
      </c>
      <c r="E112" s="33" t="s">
        <v>559</v>
      </c>
      <c r="F112" s="36">
        <v>110.92</v>
      </c>
      <c r="G112" s="37" t="s">
        <v>560</v>
      </c>
      <c r="H112" s="38">
        <v>9539.19</v>
      </c>
      <c r="I112" s="54">
        <v>0</v>
      </c>
      <c r="J112" s="54">
        <v>9348</v>
      </c>
      <c r="K112" s="54">
        <v>9348</v>
      </c>
      <c r="L112" s="54">
        <v>191.19000000000051</v>
      </c>
      <c r="M112" s="56">
        <v>2.0042582231824767E-2</v>
      </c>
      <c r="N112" s="33" t="s">
        <v>790</v>
      </c>
      <c r="O112" s="83"/>
    </row>
    <row r="113" spans="1:15" x14ac:dyDescent="0.35">
      <c r="A113" s="32">
        <v>1800011594</v>
      </c>
      <c r="B113" s="33" t="s">
        <v>563</v>
      </c>
      <c r="C113" s="34">
        <v>45877</v>
      </c>
      <c r="D113" s="35">
        <v>256779416444</v>
      </c>
      <c r="E113" s="33" t="s">
        <v>559</v>
      </c>
      <c r="F113" s="36">
        <v>109.64</v>
      </c>
      <c r="G113" s="37" t="s">
        <v>560</v>
      </c>
      <c r="H113" s="38">
        <v>9432.34</v>
      </c>
      <c r="I113" s="54">
        <v>0</v>
      </c>
      <c r="J113" s="54">
        <v>9260.2821000000004</v>
      </c>
      <c r="K113" s="54">
        <v>9260.2821000000004</v>
      </c>
      <c r="L113" s="54">
        <v>172.05789999999979</v>
      </c>
      <c r="M113" s="56">
        <v>1.8241274169506164E-2</v>
      </c>
      <c r="N113" s="33" t="s">
        <v>837</v>
      </c>
      <c r="O113" s="83"/>
    </row>
    <row r="114" spans="1:15" x14ac:dyDescent="0.35">
      <c r="A114" s="32">
        <v>1800011705</v>
      </c>
      <c r="B114" s="33" t="s">
        <v>563</v>
      </c>
      <c r="C114" s="34">
        <v>45877</v>
      </c>
      <c r="D114" s="35">
        <v>256779416223</v>
      </c>
      <c r="E114" s="33" t="s">
        <v>559</v>
      </c>
      <c r="F114" s="36">
        <v>108.22</v>
      </c>
      <c r="G114" s="37" t="s">
        <v>560</v>
      </c>
      <c r="H114" s="38">
        <v>9310.18</v>
      </c>
      <c r="I114" s="54">
        <v>0</v>
      </c>
      <c r="J114" s="54">
        <v>9124</v>
      </c>
      <c r="K114" s="54">
        <v>9124</v>
      </c>
      <c r="L114" s="54">
        <v>186.18000000000029</v>
      </c>
      <c r="M114" s="56">
        <v>1.9997465140308812E-2</v>
      </c>
      <c r="N114" s="33" t="s">
        <v>835</v>
      </c>
      <c r="O114" s="83"/>
    </row>
    <row r="115" spans="1:15" x14ac:dyDescent="0.35">
      <c r="A115" s="32">
        <v>1800016087</v>
      </c>
      <c r="B115" s="33" t="s">
        <v>563</v>
      </c>
      <c r="C115" s="34">
        <v>46027</v>
      </c>
      <c r="D115" s="35">
        <v>256779440118</v>
      </c>
      <c r="E115" s="33" t="s">
        <v>559</v>
      </c>
      <c r="F115" s="36">
        <v>99</v>
      </c>
      <c r="G115" s="37" t="s">
        <v>560</v>
      </c>
      <c r="H115" s="38">
        <v>8983.57</v>
      </c>
      <c r="I115" s="54">
        <v>181</v>
      </c>
      <c r="J115" s="54">
        <v>8983.0849999999991</v>
      </c>
      <c r="K115" s="54">
        <v>8802.0849999999991</v>
      </c>
      <c r="L115" s="54">
        <v>181.48500000000058</v>
      </c>
      <c r="M115" s="56">
        <v>2.0201879653634423E-2</v>
      </c>
      <c r="N115" s="33" t="s">
        <v>723</v>
      </c>
      <c r="O115" s="83"/>
    </row>
    <row r="116" spans="1:15" x14ac:dyDescent="0.35">
      <c r="A116" s="32">
        <v>1800017063</v>
      </c>
      <c r="B116" s="33" t="s">
        <v>563</v>
      </c>
      <c r="C116" s="34">
        <v>46045</v>
      </c>
      <c r="D116" s="35">
        <v>256779440413</v>
      </c>
      <c r="E116" s="33" t="s">
        <v>559</v>
      </c>
      <c r="F116" s="36">
        <v>99</v>
      </c>
      <c r="G116" s="37" t="s">
        <v>560</v>
      </c>
      <c r="H116" s="38">
        <v>8983.57</v>
      </c>
      <c r="I116" s="54">
        <v>181</v>
      </c>
      <c r="J116" s="54">
        <v>8983.0846000000001</v>
      </c>
      <c r="K116" s="54">
        <v>8802.0846000000001</v>
      </c>
      <c r="L116" s="54">
        <v>181.48539999999957</v>
      </c>
      <c r="M116" s="56">
        <v>2.0201924179362944E-2</v>
      </c>
      <c r="N116" s="33" t="s">
        <v>757</v>
      </c>
      <c r="O116" s="83"/>
    </row>
    <row r="117" spans="1:15" x14ac:dyDescent="0.35">
      <c r="A117" s="32">
        <v>1800010065</v>
      </c>
      <c r="B117" s="33" t="s">
        <v>563</v>
      </c>
      <c r="C117" s="34">
        <v>45842</v>
      </c>
      <c r="D117" s="35">
        <v>256779414829</v>
      </c>
      <c r="E117" s="33" t="s">
        <v>559</v>
      </c>
      <c r="F117" s="36">
        <v>101.95</v>
      </c>
      <c r="G117" s="37" t="s">
        <v>560</v>
      </c>
      <c r="H117" s="38">
        <v>8767.77</v>
      </c>
      <c r="I117" s="54">
        <v>0</v>
      </c>
      <c r="J117" s="54">
        <v>8595.7669999999998</v>
      </c>
      <c r="K117" s="54">
        <v>8595.7669999999998</v>
      </c>
      <c r="L117" s="54">
        <v>172.00300000000061</v>
      </c>
      <c r="M117" s="56">
        <v>1.9617645079649741E-2</v>
      </c>
      <c r="N117" s="33" t="s">
        <v>805</v>
      </c>
      <c r="O117" s="83"/>
    </row>
    <row r="118" spans="1:15" x14ac:dyDescent="0.35">
      <c r="A118" s="32">
        <v>1800009452</v>
      </c>
      <c r="B118" s="33" t="s">
        <v>563</v>
      </c>
      <c r="C118" s="34">
        <v>45812</v>
      </c>
      <c r="D118" s="35">
        <v>256779414216</v>
      </c>
      <c r="E118" s="33" t="s">
        <v>559</v>
      </c>
      <c r="F118" s="36">
        <v>100.35</v>
      </c>
      <c r="G118" s="37" t="s">
        <v>560</v>
      </c>
      <c r="H118" s="38">
        <v>8579</v>
      </c>
      <c r="I118" s="54">
        <v>0</v>
      </c>
      <c r="J118" s="54">
        <v>8407</v>
      </c>
      <c r="K118" s="54">
        <v>8407</v>
      </c>
      <c r="L118" s="54">
        <v>172</v>
      </c>
      <c r="M118" s="56">
        <v>2.0048956754866534E-2</v>
      </c>
      <c r="N118" s="33" t="s">
        <v>843</v>
      </c>
      <c r="O118" s="83"/>
    </row>
    <row r="119" spans="1:15" x14ac:dyDescent="0.35">
      <c r="A119" s="32">
        <v>1800010660</v>
      </c>
      <c r="B119" s="33" t="s">
        <v>563</v>
      </c>
      <c r="C119" s="34">
        <v>45856</v>
      </c>
      <c r="D119" s="35">
        <v>256779415444</v>
      </c>
      <c r="E119" s="33" t="s">
        <v>559</v>
      </c>
      <c r="F119" s="36">
        <v>99</v>
      </c>
      <c r="G119" s="37" t="s">
        <v>560</v>
      </c>
      <c r="H119" s="38">
        <v>8514.07</v>
      </c>
      <c r="I119" s="54">
        <v>0</v>
      </c>
      <c r="J119" s="54">
        <v>8342.0650000000005</v>
      </c>
      <c r="K119" s="54">
        <v>8342.0650000000005</v>
      </c>
      <c r="L119" s="54">
        <v>172.0049999999992</v>
      </c>
      <c r="M119" s="56">
        <v>2.0202441370578254E-2</v>
      </c>
      <c r="N119" s="33" t="s">
        <v>852</v>
      </c>
      <c r="O119" s="83"/>
    </row>
    <row r="120" spans="1:15" x14ac:dyDescent="0.35">
      <c r="A120" s="32">
        <v>1800015033</v>
      </c>
      <c r="B120" s="33" t="s">
        <v>563</v>
      </c>
      <c r="C120" s="34">
        <v>45981</v>
      </c>
      <c r="D120" s="35">
        <v>256779419534</v>
      </c>
      <c r="E120" s="33" t="s">
        <v>559</v>
      </c>
      <c r="F120" s="36">
        <v>90.2</v>
      </c>
      <c r="G120" s="37" t="s">
        <v>560</v>
      </c>
      <c r="H120" s="38">
        <v>7937.91</v>
      </c>
      <c r="I120" s="54">
        <v>0</v>
      </c>
      <c r="J120" s="54">
        <v>7761.8990000000003</v>
      </c>
      <c r="K120" s="54">
        <v>7761.8990000000003</v>
      </c>
      <c r="L120" s="54">
        <v>176.01099999999951</v>
      </c>
      <c r="M120" s="56">
        <v>2.217346883499555E-2</v>
      </c>
      <c r="N120" s="33" t="s">
        <v>643</v>
      </c>
      <c r="O120" s="83"/>
    </row>
    <row r="121" spans="1:15" x14ac:dyDescent="0.35">
      <c r="A121" s="32">
        <v>1800003759</v>
      </c>
      <c r="B121" s="33" t="s">
        <v>563</v>
      </c>
      <c r="C121" s="34">
        <v>45736</v>
      </c>
      <c r="D121" s="35">
        <v>246779413626</v>
      </c>
      <c r="E121" s="33" t="s">
        <v>559</v>
      </c>
      <c r="F121" s="36">
        <v>84.6</v>
      </c>
      <c r="G121" s="37" t="s">
        <v>560</v>
      </c>
      <c r="H121" s="38">
        <v>7334.08</v>
      </c>
      <c r="I121" s="54">
        <v>0</v>
      </c>
      <c r="J121" s="54">
        <v>7156</v>
      </c>
      <c r="K121" s="54">
        <v>7156</v>
      </c>
      <c r="L121" s="54">
        <v>178.07999999999993</v>
      </c>
      <c r="M121" s="56">
        <v>2.4281164099655299E-2</v>
      </c>
      <c r="N121" s="33" t="s">
        <v>860</v>
      </c>
      <c r="O121" s="83"/>
    </row>
    <row r="122" spans="1:15" x14ac:dyDescent="0.35">
      <c r="A122" s="32">
        <v>1800008640</v>
      </c>
      <c r="B122" s="33" t="s">
        <v>563</v>
      </c>
      <c r="C122" s="34">
        <v>45798</v>
      </c>
      <c r="D122" s="35">
        <v>256779413404</v>
      </c>
      <c r="E122" s="33" t="s">
        <v>559</v>
      </c>
      <c r="F122" s="36">
        <v>84.6</v>
      </c>
      <c r="G122" s="37" t="s">
        <v>560</v>
      </c>
      <c r="H122" s="38">
        <v>7274.22</v>
      </c>
      <c r="I122" s="54">
        <v>0</v>
      </c>
      <c r="J122" s="54">
        <v>7129</v>
      </c>
      <c r="K122" s="54">
        <v>7129</v>
      </c>
      <c r="L122" s="54">
        <v>145.22000000000025</v>
      </c>
      <c r="M122" s="56">
        <v>1.9963652460332552E-2</v>
      </c>
      <c r="N122" s="33" t="s">
        <v>623</v>
      </c>
      <c r="O122" s="83"/>
    </row>
    <row r="123" spans="1:15" x14ac:dyDescent="0.35">
      <c r="A123" s="32">
        <v>1800012164</v>
      </c>
      <c r="B123" s="33" t="s">
        <v>563</v>
      </c>
      <c r="C123" s="34">
        <v>45889</v>
      </c>
      <c r="D123" s="35">
        <v>256779416809</v>
      </c>
      <c r="E123" s="33" t="s">
        <v>559</v>
      </c>
      <c r="F123" s="36">
        <v>82.8</v>
      </c>
      <c r="G123" s="37" t="s">
        <v>560</v>
      </c>
      <c r="H123" s="38">
        <v>7123.29</v>
      </c>
      <c r="I123" s="54">
        <v>0</v>
      </c>
      <c r="J123" s="54">
        <v>6981</v>
      </c>
      <c r="K123" s="54">
        <v>6981</v>
      </c>
      <c r="L123" s="54">
        <v>142.28999999999996</v>
      </c>
      <c r="M123" s="56">
        <v>1.9975320392683713E-2</v>
      </c>
      <c r="N123" s="33" t="s">
        <v>883</v>
      </c>
      <c r="O123" s="83"/>
    </row>
    <row r="124" spans="1:15" x14ac:dyDescent="0.35">
      <c r="A124" s="32">
        <v>1800012943</v>
      </c>
      <c r="B124" s="33" t="s">
        <v>563</v>
      </c>
      <c r="C124" s="34">
        <v>45918</v>
      </c>
      <c r="D124" s="35">
        <v>256779417582</v>
      </c>
      <c r="E124" s="33" t="s">
        <v>559</v>
      </c>
      <c r="F124" s="36">
        <v>80.8</v>
      </c>
      <c r="G124" s="37" t="s">
        <v>560</v>
      </c>
      <c r="H124" s="38">
        <v>7071.16</v>
      </c>
      <c r="I124" s="54">
        <v>0</v>
      </c>
      <c r="J124" s="54">
        <v>6896.1292000000003</v>
      </c>
      <c r="K124" s="54">
        <v>6896.1292000000003</v>
      </c>
      <c r="L124" s="54">
        <v>175.03079999999954</v>
      </c>
      <c r="M124" s="56">
        <v>2.4752770408249785E-2</v>
      </c>
      <c r="N124" s="33" t="s">
        <v>665</v>
      </c>
      <c r="O124" s="83"/>
    </row>
    <row r="125" spans="1:15" x14ac:dyDescent="0.35">
      <c r="A125" s="32">
        <v>1800016502</v>
      </c>
      <c r="B125" s="33" t="s">
        <v>563</v>
      </c>
      <c r="C125" s="34">
        <v>46028</v>
      </c>
      <c r="D125" s="35">
        <v>256779440210</v>
      </c>
      <c r="E125" s="33" t="s">
        <v>559</v>
      </c>
      <c r="F125" s="36">
        <v>77.849999999999994</v>
      </c>
      <c r="G125" s="37" t="s">
        <v>560</v>
      </c>
      <c r="H125" s="38">
        <v>7064.35</v>
      </c>
      <c r="I125" s="54">
        <v>181</v>
      </c>
      <c r="J125" s="54">
        <v>7063.8671999999997</v>
      </c>
      <c r="K125" s="54">
        <v>6882.8671999999997</v>
      </c>
      <c r="L125" s="54">
        <v>181.48280000000068</v>
      </c>
      <c r="M125" s="56">
        <v>2.5689950243122251E-2</v>
      </c>
      <c r="N125" s="33" t="s">
        <v>723</v>
      </c>
      <c r="O125" s="83"/>
    </row>
    <row r="126" spans="1:15" x14ac:dyDescent="0.35">
      <c r="A126" s="32">
        <v>1800014145</v>
      </c>
      <c r="B126" s="33" t="s">
        <v>563</v>
      </c>
      <c r="C126" s="34">
        <v>45948</v>
      </c>
      <c r="D126" s="35">
        <v>256779418437</v>
      </c>
      <c r="E126" s="33" t="s">
        <v>559</v>
      </c>
      <c r="F126" s="36">
        <v>79.900000000000006</v>
      </c>
      <c r="G126" s="37" t="s">
        <v>560</v>
      </c>
      <c r="H126" s="38">
        <v>7046.44</v>
      </c>
      <c r="I126" s="54">
        <v>176</v>
      </c>
      <c r="J126" s="54">
        <v>7046.0609999999997</v>
      </c>
      <c r="K126" s="54">
        <v>6870.0609999999997</v>
      </c>
      <c r="L126" s="54">
        <v>176.37899999999991</v>
      </c>
      <c r="M126" s="56">
        <v>2.5030937608210659E-2</v>
      </c>
      <c r="N126" s="33" t="s">
        <v>695</v>
      </c>
      <c r="O126" s="83"/>
    </row>
    <row r="127" spans="1:15" x14ac:dyDescent="0.35">
      <c r="A127" s="32">
        <v>1800012927</v>
      </c>
      <c r="B127" s="33" t="s">
        <v>563</v>
      </c>
      <c r="C127" s="34">
        <v>45918</v>
      </c>
      <c r="D127" s="35">
        <v>256779417566</v>
      </c>
      <c r="E127" s="33" t="s">
        <v>559</v>
      </c>
      <c r="F127" s="36">
        <v>75.5</v>
      </c>
      <c r="G127" s="37" t="s">
        <v>560</v>
      </c>
      <c r="H127" s="38">
        <v>6607.33</v>
      </c>
      <c r="I127" s="54">
        <v>0</v>
      </c>
      <c r="J127" s="54">
        <v>6432.3032999999996</v>
      </c>
      <c r="K127" s="54">
        <v>6432.3032999999996</v>
      </c>
      <c r="L127" s="54">
        <v>175.02670000000035</v>
      </c>
      <c r="M127" s="56">
        <v>2.6489777262525157E-2</v>
      </c>
      <c r="N127" s="33" t="s">
        <v>663</v>
      </c>
      <c r="O127" s="83"/>
    </row>
    <row r="128" spans="1:15" x14ac:dyDescent="0.35">
      <c r="A128" s="32">
        <v>1800005282</v>
      </c>
      <c r="B128" s="33" t="s">
        <v>563</v>
      </c>
      <c r="C128" s="34">
        <v>45750</v>
      </c>
      <c r="D128" s="35">
        <v>256779410174</v>
      </c>
      <c r="E128" s="33" t="s">
        <v>559</v>
      </c>
      <c r="F128" s="36">
        <v>72.849999999999994</v>
      </c>
      <c r="G128" s="37" t="s">
        <v>560</v>
      </c>
      <c r="H128" s="38">
        <v>6332.25</v>
      </c>
      <c r="I128" s="54">
        <v>0</v>
      </c>
      <c r="J128" s="54">
        <v>6205</v>
      </c>
      <c r="K128" s="54">
        <v>6205</v>
      </c>
      <c r="L128" s="54">
        <v>127.25</v>
      </c>
      <c r="M128" s="56">
        <v>2.0095542658612658E-2</v>
      </c>
      <c r="N128" s="33" t="s">
        <v>604</v>
      </c>
      <c r="O128" s="83"/>
    </row>
    <row r="129" spans="1:15" x14ac:dyDescent="0.35">
      <c r="A129" s="32">
        <v>1800013747</v>
      </c>
      <c r="B129" s="33" t="s">
        <v>563</v>
      </c>
      <c r="C129" s="34">
        <v>45937</v>
      </c>
      <c r="D129" s="35">
        <v>256779418168</v>
      </c>
      <c r="E129" s="33" t="s">
        <v>559</v>
      </c>
      <c r="F129" s="36">
        <v>70</v>
      </c>
      <c r="G129" s="37" t="s">
        <v>560</v>
      </c>
      <c r="H129" s="38">
        <v>6173.35</v>
      </c>
      <c r="I129" s="54">
        <v>88</v>
      </c>
      <c r="J129" s="54">
        <v>6173.1630999999998</v>
      </c>
      <c r="K129" s="54">
        <v>6085.1630999999998</v>
      </c>
      <c r="L129" s="54">
        <v>88.186900000000605</v>
      </c>
      <c r="M129" s="56">
        <v>1.4285096422525954E-2</v>
      </c>
      <c r="N129" s="33" t="s">
        <v>680</v>
      </c>
      <c r="O129" s="83"/>
    </row>
    <row r="130" spans="1:15" x14ac:dyDescent="0.35">
      <c r="A130" s="32">
        <v>1800017108</v>
      </c>
      <c r="B130" s="33" t="s">
        <v>563</v>
      </c>
      <c r="C130" s="34">
        <v>46045</v>
      </c>
      <c r="D130" s="35">
        <v>256779440429</v>
      </c>
      <c r="E130" s="33" t="s">
        <v>559</v>
      </c>
      <c r="F130" s="36">
        <v>67.680000000000007</v>
      </c>
      <c r="G130" s="37" t="s">
        <v>560</v>
      </c>
      <c r="H130" s="38">
        <v>6141.5</v>
      </c>
      <c r="I130" s="54">
        <v>91</v>
      </c>
      <c r="J130" s="54">
        <v>6141.7525999999998</v>
      </c>
      <c r="K130" s="54">
        <v>6050.7525999999998</v>
      </c>
      <c r="L130" s="54">
        <v>90.747400000000198</v>
      </c>
      <c r="M130" s="56">
        <v>1.4776097044695954E-2</v>
      </c>
      <c r="N130" s="33" t="s">
        <v>759</v>
      </c>
      <c r="O130" s="83"/>
    </row>
    <row r="131" spans="1:15" x14ac:dyDescent="0.35">
      <c r="A131" s="32">
        <v>1800009979</v>
      </c>
      <c r="B131" s="33" t="s">
        <v>563</v>
      </c>
      <c r="C131" s="34">
        <v>45827</v>
      </c>
      <c r="D131" s="35">
        <v>256779414743</v>
      </c>
      <c r="E131" s="33" t="s">
        <v>559</v>
      </c>
      <c r="F131" s="36">
        <v>71.430000000000007</v>
      </c>
      <c r="G131" s="37" t="s">
        <v>560</v>
      </c>
      <c r="H131" s="38">
        <v>6106.61</v>
      </c>
      <c r="I131" s="54">
        <v>0</v>
      </c>
      <c r="J131" s="54">
        <v>6064.0230000000001</v>
      </c>
      <c r="K131" s="54">
        <v>6064.0230000000001</v>
      </c>
      <c r="L131" s="54">
        <v>42.586999999999534</v>
      </c>
      <c r="M131" s="56">
        <v>6.9739184260988567E-3</v>
      </c>
      <c r="N131" s="33" t="s">
        <v>638</v>
      </c>
      <c r="O131" s="83"/>
    </row>
    <row r="132" spans="1:15" x14ac:dyDescent="0.35">
      <c r="A132" s="32">
        <v>1800007801</v>
      </c>
      <c r="B132" s="33" t="s">
        <v>563</v>
      </c>
      <c r="C132" s="34">
        <v>45770</v>
      </c>
      <c r="D132" s="35">
        <v>256779412692</v>
      </c>
      <c r="E132" s="33" t="s">
        <v>559</v>
      </c>
      <c r="F132" s="36">
        <v>70</v>
      </c>
      <c r="G132" s="37" t="s">
        <v>560</v>
      </c>
      <c r="H132" s="38">
        <v>6084.53</v>
      </c>
      <c r="I132" s="54">
        <v>0</v>
      </c>
      <c r="J132" s="54">
        <v>6084</v>
      </c>
      <c r="K132" s="54">
        <v>6084</v>
      </c>
      <c r="L132" s="54">
        <v>0.52999999999974534</v>
      </c>
      <c r="M132" s="56">
        <v>8.7106152817020434E-5</v>
      </c>
      <c r="N132" s="33" t="s">
        <v>673</v>
      </c>
      <c r="O132" s="83"/>
    </row>
    <row r="133" spans="1:15" x14ac:dyDescent="0.35">
      <c r="A133" s="32">
        <v>1800014523</v>
      </c>
      <c r="B133" s="33" t="s">
        <v>563</v>
      </c>
      <c r="C133" s="34">
        <v>45966</v>
      </c>
      <c r="D133" s="35">
        <v>256779419172</v>
      </c>
      <c r="E133" s="33" t="s">
        <v>559</v>
      </c>
      <c r="F133" s="36">
        <v>68.150000000000006</v>
      </c>
      <c r="G133" s="37" t="s">
        <v>560</v>
      </c>
      <c r="H133" s="38">
        <v>5997.43</v>
      </c>
      <c r="I133" s="54">
        <v>0</v>
      </c>
      <c r="J133" s="54">
        <v>5909.4276</v>
      </c>
      <c r="K133" s="54">
        <v>5909.4276</v>
      </c>
      <c r="L133" s="54">
        <v>88.002400000000307</v>
      </c>
      <c r="M133" s="56">
        <v>1.4673351752333967E-2</v>
      </c>
      <c r="N133" s="33" t="s">
        <v>828</v>
      </c>
      <c r="O133" s="83"/>
    </row>
    <row r="134" spans="1:15" x14ac:dyDescent="0.35">
      <c r="A134" s="32">
        <v>1800016935</v>
      </c>
      <c r="B134" s="33" t="s">
        <v>563</v>
      </c>
      <c r="C134" s="34">
        <v>46043</v>
      </c>
      <c r="D134" s="35">
        <v>256779440383</v>
      </c>
      <c r="E134" s="33" t="s">
        <v>559</v>
      </c>
      <c r="F134" s="36">
        <v>54.41</v>
      </c>
      <c r="G134" s="37" t="s">
        <v>560</v>
      </c>
      <c r="H134" s="38">
        <v>4937.33</v>
      </c>
      <c r="I134" s="54">
        <v>90</v>
      </c>
      <c r="J134" s="54">
        <v>4904.3774000000003</v>
      </c>
      <c r="K134" s="54">
        <v>4814.3774000000003</v>
      </c>
      <c r="L134" s="54">
        <v>122.95259999999962</v>
      </c>
      <c r="M134" s="56">
        <v>2.4902649812752971E-2</v>
      </c>
      <c r="N134" s="33" t="s">
        <v>751</v>
      </c>
      <c r="O134" s="83"/>
    </row>
    <row r="135" spans="1:15" x14ac:dyDescent="0.35">
      <c r="A135" s="32">
        <v>1800012177</v>
      </c>
      <c r="B135" s="33" t="s">
        <v>563</v>
      </c>
      <c r="C135" s="34">
        <v>45889</v>
      </c>
      <c r="D135" s="35">
        <v>256779416615</v>
      </c>
      <c r="E135" s="33" t="s">
        <v>559</v>
      </c>
      <c r="F135" s="36">
        <v>56.82</v>
      </c>
      <c r="G135" s="37" t="s">
        <v>560</v>
      </c>
      <c r="H135" s="38">
        <v>4888.2299999999996</v>
      </c>
      <c r="I135" s="54">
        <v>0</v>
      </c>
      <c r="J135" s="54">
        <v>4790</v>
      </c>
      <c r="K135" s="54">
        <v>4790</v>
      </c>
      <c r="L135" s="54">
        <v>98.229999999999563</v>
      </c>
      <c r="M135" s="56">
        <v>2.0095208286025734E-2</v>
      </c>
      <c r="N135" s="33" t="s">
        <v>882</v>
      </c>
      <c r="O135" s="83"/>
    </row>
    <row r="136" spans="1:15" x14ac:dyDescent="0.35">
      <c r="A136" s="32">
        <v>1800011406</v>
      </c>
      <c r="B136" s="33" t="s">
        <v>563</v>
      </c>
      <c r="C136" s="34">
        <v>45877</v>
      </c>
      <c r="D136" s="35">
        <v>256779416256</v>
      </c>
      <c r="E136" s="33" t="s">
        <v>559</v>
      </c>
      <c r="F136" s="36">
        <v>56.4</v>
      </c>
      <c r="G136" s="37" t="s">
        <v>560</v>
      </c>
      <c r="H136" s="38">
        <v>4852.1000000000004</v>
      </c>
      <c r="I136" s="54">
        <v>0</v>
      </c>
      <c r="J136" s="54">
        <v>4755</v>
      </c>
      <c r="K136" s="54">
        <v>4755</v>
      </c>
      <c r="L136" s="54">
        <v>97.100000000000364</v>
      </c>
      <c r="M136" s="56">
        <v>2.0011953587106689E-2</v>
      </c>
      <c r="N136" s="33" t="s">
        <v>836</v>
      </c>
      <c r="O136" s="83"/>
    </row>
    <row r="137" spans="1:15" x14ac:dyDescent="0.35">
      <c r="A137" s="32">
        <v>1800004273</v>
      </c>
      <c r="B137" s="33" t="s">
        <v>563</v>
      </c>
      <c r="C137" s="34">
        <v>45736</v>
      </c>
      <c r="D137" s="35">
        <v>246779414141</v>
      </c>
      <c r="E137" s="33" t="s">
        <v>559</v>
      </c>
      <c r="F137" s="36">
        <v>55</v>
      </c>
      <c r="G137" s="37" t="s">
        <v>560</v>
      </c>
      <c r="H137" s="38">
        <v>4768.0200000000004</v>
      </c>
      <c r="I137" s="54">
        <v>0</v>
      </c>
      <c r="J137" s="54">
        <v>4652</v>
      </c>
      <c r="K137" s="54">
        <v>4652</v>
      </c>
      <c r="L137" s="54">
        <v>116.02000000000044</v>
      </c>
      <c r="M137" s="56">
        <v>2.4332951623525157E-2</v>
      </c>
      <c r="N137" s="33" t="s">
        <v>865</v>
      </c>
      <c r="O137" s="83"/>
    </row>
    <row r="138" spans="1:15" x14ac:dyDescent="0.35">
      <c r="A138" s="32">
        <v>1800010215</v>
      </c>
      <c r="B138" s="33" t="s">
        <v>563</v>
      </c>
      <c r="C138" s="34">
        <v>45842</v>
      </c>
      <c r="D138" s="35">
        <v>256779414975</v>
      </c>
      <c r="E138" s="33" t="s">
        <v>559</v>
      </c>
      <c r="F138" s="36">
        <v>54.05</v>
      </c>
      <c r="G138" s="37" t="s">
        <v>560</v>
      </c>
      <c r="H138" s="38">
        <v>4648.34</v>
      </c>
      <c r="I138" s="54">
        <v>0</v>
      </c>
      <c r="J138" s="54">
        <v>4562.3355000000001</v>
      </c>
      <c r="K138" s="54">
        <v>4562.3355000000001</v>
      </c>
      <c r="L138" s="54">
        <v>86.004500000000007</v>
      </c>
      <c r="M138" s="56">
        <v>1.850219648304556E-2</v>
      </c>
      <c r="N138" s="33" t="s">
        <v>558</v>
      </c>
      <c r="O138" s="83"/>
    </row>
    <row r="139" spans="1:15" x14ac:dyDescent="0.35">
      <c r="A139" s="32">
        <v>1800012684</v>
      </c>
      <c r="B139" s="33" t="s">
        <v>563</v>
      </c>
      <c r="C139" s="34">
        <v>45904</v>
      </c>
      <c r="D139" s="35">
        <v>256779417324</v>
      </c>
      <c r="E139" s="33" t="s">
        <v>559</v>
      </c>
      <c r="F139" s="36">
        <v>49.35</v>
      </c>
      <c r="G139" s="37" t="s">
        <v>560</v>
      </c>
      <c r="H139" s="38">
        <v>4318.83</v>
      </c>
      <c r="I139" s="54">
        <v>0</v>
      </c>
      <c r="J139" s="54">
        <v>4231.3179</v>
      </c>
      <c r="K139" s="54">
        <v>4231.3179</v>
      </c>
      <c r="L139" s="54">
        <v>87.512099999999919</v>
      </c>
      <c r="M139" s="56">
        <v>2.0262918429296804E-2</v>
      </c>
      <c r="N139" s="33" t="s">
        <v>802</v>
      </c>
      <c r="O139" s="83"/>
    </row>
    <row r="140" spans="1:15" x14ac:dyDescent="0.35">
      <c r="A140" s="32">
        <v>1800008641</v>
      </c>
      <c r="B140" s="33" t="s">
        <v>563</v>
      </c>
      <c r="C140" s="34">
        <v>45798</v>
      </c>
      <c r="D140" s="35">
        <v>256779413405</v>
      </c>
      <c r="E140" s="33" t="s">
        <v>559</v>
      </c>
      <c r="F140" s="36">
        <v>47</v>
      </c>
      <c r="G140" s="37" t="s">
        <v>560</v>
      </c>
      <c r="H140" s="38">
        <v>4041.23</v>
      </c>
      <c r="I140" s="54">
        <v>0</v>
      </c>
      <c r="J140" s="54">
        <v>3960</v>
      </c>
      <c r="K140" s="54">
        <v>3960</v>
      </c>
      <c r="L140" s="54">
        <v>81.230000000000018</v>
      </c>
      <c r="M140" s="56">
        <v>2.0100315992903156E-2</v>
      </c>
      <c r="N140" s="33" t="s">
        <v>624</v>
      </c>
      <c r="O140" s="83"/>
    </row>
    <row r="141" spans="1:15" x14ac:dyDescent="0.35">
      <c r="A141" s="32">
        <v>1800003760</v>
      </c>
      <c r="B141" s="33" t="s">
        <v>563</v>
      </c>
      <c r="C141" s="34">
        <v>45736</v>
      </c>
      <c r="D141" s="35">
        <v>246779413627</v>
      </c>
      <c r="E141" s="33" t="s">
        <v>559</v>
      </c>
      <c r="F141" s="36">
        <v>42.3</v>
      </c>
      <c r="G141" s="37" t="s">
        <v>560</v>
      </c>
      <c r="H141" s="38">
        <v>3667.04</v>
      </c>
      <c r="I141" s="54">
        <v>0</v>
      </c>
      <c r="J141" s="54">
        <v>3578</v>
      </c>
      <c r="K141" s="54">
        <v>3578</v>
      </c>
      <c r="L141" s="54">
        <v>89.039999999999964</v>
      </c>
      <c r="M141" s="56">
        <v>2.4281164099655299E-2</v>
      </c>
      <c r="N141" s="33" t="s">
        <v>860</v>
      </c>
      <c r="O141" s="83"/>
    </row>
    <row r="142" spans="1:15" x14ac:dyDescent="0.35">
      <c r="A142" s="32">
        <v>1800003870</v>
      </c>
      <c r="B142" s="33" t="s">
        <v>563</v>
      </c>
      <c r="C142" s="34">
        <v>45736</v>
      </c>
      <c r="D142" s="35">
        <v>246779413738</v>
      </c>
      <c r="E142" s="33" t="s">
        <v>559</v>
      </c>
      <c r="F142" s="36">
        <v>42.3</v>
      </c>
      <c r="G142" s="37" t="s">
        <v>560</v>
      </c>
      <c r="H142" s="38">
        <v>3667.04</v>
      </c>
      <c r="I142" s="54">
        <v>0</v>
      </c>
      <c r="J142" s="54">
        <v>3603</v>
      </c>
      <c r="K142" s="54">
        <v>3603</v>
      </c>
      <c r="L142" s="54">
        <v>64.039999999999964</v>
      </c>
      <c r="M142" s="56">
        <v>1.7463676425673012E-2</v>
      </c>
      <c r="N142" s="33" t="s">
        <v>860</v>
      </c>
      <c r="O142" s="83"/>
    </row>
    <row r="143" spans="1:15" x14ac:dyDescent="0.35">
      <c r="A143" s="32">
        <v>1800000750</v>
      </c>
      <c r="B143" s="33" t="s">
        <v>563</v>
      </c>
      <c r="C143" s="34">
        <v>45720</v>
      </c>
      <c r="D143" s="35">
        <v>246779410690</v>
      </c>
      <c r="E143" s="33" t="s">
        <v>559</v>
      </c>
      <c r="F143" s="36">
        <v>42.3</v>
      </c>
      <c r="G143" s="37" t="s">
        <v>560</v>
      </c>
      <c r="H143" s="38">
        <v>3667.04</v>
      </c>
      <c r="I143" s="54">
        <v>0</v>
      </c>
      <c r="J143" s="54">
        <v>3622</v>
      </c>
      <c r="K143" s="54">
        <v>3622</v>
      </c>
      <c r="L143" s="54">
        <v>45.039999999999964</v>
      </c>
      <c r="M143" s="56">
        <v>1.2282385793446475E-2</v>
      </c>
      <c r="N143" s="33" t="s">
        <v>914</v>
      </c>
      <c r="O143" s="83"/>
    </row>
    <row r="144" spans="1:15" x14ac:dyDescent="0.35">
      <c r="A144" s="32">
        <v>1800000815</v>
      </c>
      <c r="B144" s="33" t="s">
        <v>563</v>
      </c>
      <c r="C144" s="34">
        <v>45720</v>
      </c>
      <c r="D144" s="35">
        <v>246779410755</v>
      </c>
      <c r="E144" s="33" t="s">
        <v>559</v>
      </c>
      <c r="F144" s="36">
        <v>42.3</v>
      </c>
      <c r="G144" s="37" t="s">
        <v>560</v>
      </c>
      <c r="H144" s="38">
        <v>3667.04</v>
      </c>
      <c r="I144" s="54">
        <v>0</v>
      </c>
      <c r="J144" s="54">
        <v>3594</v>
      </c>
      <c r="K144" s="54">
        <v>3594</v>
      </c>
      <c r="L144" s="54">
        <v>73.039999999999964</v>
      </c>
      <c r="M144" s="56">
        <v>1.9917971988306634E-2</v>
      </c>
      <c r="N144" s="33" t="s">
        <v>907</v>
      </c>
      <c r="O144" s="83"/>
    </row>
    <row r="145" spans="1:15" x14ac:dyDescent="0.35">
      <c r="A145" s="32">
        <v>1800008360</v>
      </c>
      <c r="B145" s="33" t="s">
        <v>563</v>
      </c>
      <c r="C145" s="34">
        <v>45787</v>
      </c>
      <c r="D145" s="35">
        <v>256779413243</v>
      </c>
      <c r="E145" s="33" t="s">
        <v>559</v>
      </c>
      <c r="F145" s="36">
        <v>42.53</v>
      </c>
      <c r="G145" s="37" t="s">
        <v>560</v>
      </c>
      <c r="H145" s="38">
        <v>3656.89</v>
      </c>
      <c r="I145" s="54">
        <v>0</v>
      </c>
      <c r="J145" s="54">
        <v>3623</v>
      </c>
      <c r="K145" s="54">
        <v>3623</v>
      </c>
      <c r="L145" s="54">
        <v>33.889999999999873</v>
      </c>
      <c r="M145" s="56">
        <v>9.2674376314299516E-3</v>
      </c>
      <c r="N145" s="33" t="s">
        <v>687</v>
      </c>
      <c r="O145" s="83"/>
    </row>
    <row r="146" spans="1:15" x14ac:dyDescent="0.35">
      <c r="A146" s="32">
        <v>1800012275</v>
      </c>
      <c r="B146" s="33" t="s">
        <v>563</v>
      </c>
      <c r="C146" s="34">
        <v>45904</v>
      </c>
      <c r="D146" s="35">
        <v>256779416911</v>
      </c>
      <c r="E146" s="33" t="s">
        <v>559</v>
      </c>
      <c r="F146" s="36">
        <v>40.85</v>
      </c>
      <c r="G146" s="37" t="s">
        <v>560</v>
      </c>
      <c r="H146" s="38">
        <v>3574.96</v>
      </c>
      <c r="I146" s="54">
        <v>0</v>
      </c>
      <c r="J146" s="54">
        <v>3487.4461000000001</v>
      </c>
      <c r="K146" s="54">
        <v>3487.4461000000001</v>
      </c>
      <c r="L146" s="54">
        <v>87.513899999999921</v>
      </c>
      <c r="M146" s="56">
        <v>2.4479686486002617E-2</v>
      </c>
      <c r="N146" s="33" t="s">
        <v>793</v>
      </c>
      <c r="O146" s="83"/>
    </row>
    <row r="147" spans="1:15" x14ac:dyDescent="0.35">
      <c r="A147" s="32">
        <v>1800000818</v>
      </c>
      <c r="B147" s="33" t="s">
        <v>563</v>
      </c>
      <c r="C147" s="34">
        <v>45720</v>
      </c>
      <c r="D147" s="35">
        <v>246779410758</v>
      </c>
      <c r="E147" s="33" t="s">
        <v>559</v>
      </c>
      <c r="F147" s="36">
        <v>37.6</v>
      </c>
      <c r="G147" s="37" t="s">
        <v>560</v>
      </c>
      <c r="H147" s="38">
        <v>3259.59</v>
      </c>
      <c r="I147" s="54">
        <v>0</v>
      </c>
      <c r="J147" s="54">
        <v>3219</v>
      </c>
      <c r="K147" s="54">
        <v>3219</v>
      </c>
      <c r="L147" s="54">
        <v>40.590000000000146</v>
      </c>
      <c r="M147" s="56">
        <v>1.2452486355645999E-2</v>
      </c>
      <c r="N147" s="33" t="s">
        <v>907</v>
      </c>
      <c r="O147" s="83"/>
    </row>
    <row r="148" spans="1:15" x14ac:dyDescent="0.35">
      <c r="A148" s="32">
        <v>1800000669</v>
      </c>
      <c r="B148" s="33" t="s">
        <v>563</v>
      </c>
      <c r="C148" s="34">
        <v>45719</v>
      </c>
      <c r="D148" s="35">
        <v>246779410609</v>
      </c>
      <c r="E148" s="33" t="s">
        <v>559</v>
      </c>
      <c r="F148" s="36">
        <v>37.6</v>
      </c>
      <c r="G148" s="37" t="s">
        <v>560</v>
      </c>
      <c r="H148" s="38">
        <v>3259.59</v>
      </c>
      <c r="I148" s="54">
        <v>0</v>
      </c>
      <c r="J148" s="54">
        <v>3203</v>
      </c>
      <c r="K148" s="54">
        <v>3203</v>
      </c>
      <c r="L148" s="54">
        <v>56.590000000000146</v>
      </c>
      <c r="M148" s="56">
        <v>1.7361079154126789E-2</v>
      </c>
      <c r="N148" s="33" t="s">
        <v>906</v>
      </c>
      <c r="O148" s="83"/>
    </row>
    <row r="149" spans="1:15" x14ac:dyDescent="0.35">
      <c r="A149" s="32">
        <v>1800014641</v>
      </c>
      <c r="B149" s="33" t="s">
        <v>563</v>
      </c>
      <c r="C149" s="34">
        <v>45966</v>
      </c>
      <c r="D149" s="35">
        <v>256779418906</v>
      </c>
      <c r="E149" s="33" t="s">
        <v>559</v>
      </c>
      <c r="F149" s="36">
        <v>35.25</v>
      </c>
      <c r="G149" s="37" t="s">
        <v>560</v>
      </c>
      <c r="H149" s="38">
        <v>3102.12</v>
      </c>
      <c r="I149" s="54">
        <v>0</v>
      </c>
      <c r="J149" s="54">
        <v>3014.1161000000002</v>
      </c>
      <c r="K149" s="54">
        <v>3014.1161000000002</v>
      </c>
      <c r="L149" s="54">
        <v>88.003899999999703</v>
      </c>
      <c r="M149" s="56">
        <v>2.8368954134591732E-2</v>
      </c>
      <c r="N149" s="33" t="s">
        <v>822</v>
      </c>
      <c r="O149" s="83"/>
    </row>
    <row r="150" spans="1:15" x14ac:dyDescent="0.35">
      <c r="A150" s="32">
        <v>1800005309</v>
      </c>
      <c r="B150" s="33" t="s">
        <v>563</v>
      </c>
      <c r="C150" s="34">
        <v>45750</v>
      </c>
      <c r="D150" s="35">
        <v>256779410201</v>
      </c>
      <c r="E150" s="33" t="s">
        <v>559</v>
      </c>
      <c r="F150" s="36">
        <v>34.479999999999997</v>
      </c>
      <c r="G150" s="37" t="s">
        <v>560</v>
      </c>
      <c r="H150" s="38">
        <v>2997.06</v>
      </c>
      <c r="I150" s="54">
        <v>0</v>
      </c>
      <c r="J150" s="54">
        <v>2937</v>
      </c>
      <c r="K150" s="54">
        <v>2937</v>
      </c>
      <c r="L150" s="54">
        <v>60.059999999999945</v>
      </c>
      <c r="M150" s="56">
        <v>2.003963884606913E-2</v>
      </c>
      <c r="N150" s="33" t="s">
        <v>605</v>
      </c>
      <c r="O150" s="83"/>
    </row>
    <row r="151" spans="1:15" x14ac:dyDescent="0.35">
      <c r="A151" s="32">
        <v>1800001033</v>
      </c>
      <c r="B151" s="33" t="s">
        <v>563</v>
      </c>
      <c r="C151" s="34">
        <v>45722</v>
      </c>
      <c r="D151" s="35">
        <v>246779410973</v>
      </c>
      <c r="E151" s="33" t="s">
        <v>559</v>
      </c>
      <c r="F151" s="36">
        <v>33.799999999999997</v>
      </c>
      <c r="G151" s="37" t="s">
        <v>560</v>
      </c>
      <c r="H151" s="38">
        <v>2930.16</v>
      </c>
      <c r="I151" s="54">
        <v>0</v>
      </c>
      <c r="J151" s="54">
        <v>2884</v>
      </c>
      <c r="K151" s="54">
        <v>2884</v>
      </c>
      <c r="L151" s="54">
        <v>46.159999999999854</v>
      </c>
      <c r="M151" s="56">
        <v>1.5753405957353816E-2</v>
      </c>
      <c r="N151" s="33" t="s">
        <v>924</v>
      </c>
      <c r="O151" s="83"/>
    </row>
    <row r="152" spans="1:15" x14ac:dyDescent="0.35">
      <c r="A152" s="32">
        <v>1800014004</v>
      </c>
      <c r="B152" s="33" t="s">
        <v>563</v>
      </c>
      <c r="C152" s="34">
        <v>45948</v>
      </c>
      <c r="D152" s="35">
        <v>256779418428</v>
      </c>
      <c r="E152" s="33" t="s">
        <v>559</v>
      </c>
      <c r="F152" s="36">
        <v>32.9</v>
      </c>
      <c r="G152" s="37" t="s">
        <v>560</v>
      </c>
      <c r="H152" s="38">
        <v>2901.48</v>
      </c>
      <c r="I152" s="54">
        <v>88</v>
      </c>
      <c r="J152" s="54">
        <v>2901.2856000000002</v>
      </c>
      <c r="K152" s="54">
        <v>2813.2856000000002</v>
      </c>
      <c r="L152" s="54">
        <v>88.19439999999986</v>
      </c>
      <c r="M152" s="56">
        <v>3.0396349449246542E-2</v>
      </c>
      <c r="N152" s="33" t="s">
        <v>693</v>
      </c>
      <c r="O152" s="83"/>
    </row>
    <row r="153" spans="1:15" x14ac:dyDescent="0.35">
      <c r="A153" s="32">
        <v>1800014282</v>
      </c>
      <c r="B153" s="33" t="s">
        <v>563</v>
      </c>
      <c r="C153" s="34">
        <v>45966</v>
      </c>
      <c r="D153" s="35">
        <v>256779418819</v>
      </c>
      <c r="E153" s="33" t="s">
        <v>559</v>
      </c>
      <c r="F153" s="36">
        <v>32.74</v>
      </c>
      <c r="G153" s="37" t="s">
        <v>560</v>
      </c>
      <c r="H153" s="38">
        <v>2881.23</v>
      </c>
      <c r="I153" s="54">
        <v>0</v>
      </c>
      <c r="J153" s="54">
        <v>2793.2276000000002</v>
      </c>
      <c r="K153" s="54">
        <v>2793.2276000000002</v>
      </c>
      <c r="L153" s="54">
        <v>88.002399999999852</v>
      </c>
      <c r="M153" s="56">
        <v>3.0543344335578849E-2</v>
      </c>
      <c r="N153" s="33" t="s">
        <v>816</v>
      </c>
      <c r="O153" s="83"/>
    </row>
    <row r="154" spans="1:15" x14ac:dyDescent="0.35">
      <c r="A154" s="32">
        <v>1800006258</v>
      </c>
      <c r="B154" s="33" t="s">
        <v>563</v>
      </c>
      <c r="C154" s="34">
        <v>45762</v>
      </c>
      <c r="D154" s="35">
        <v>256779411149</v>
      </c>
      <c r="E154" s="33" t="s">
        <v>559</v>
      </c>
      <c r="F154" s="36">
        <v>31.72</v>
      </c>
      <c r="G154" s="37" t="s">
        <v>560</v>
      </c>
      <c r="H154" s="38">
        <v>2757.16</v>
      </c>
      <c r="I154" s="54">
        <v>0</v>
      </c>
      <c r="J154" s="54">
        <v>2664</v>
      </c>
      <c r="K154" s="54">
        <v>2664</v>
      </c>
      <c r="L154" s="54">
        <v>93.159999999999854</v>
      </c>
      <c r="M154" s="56">
        <v>3.3788390953009569E-2</v>
      </c>
      <c r="N154" s="33" t="s">
        <v>772</v>
      </c>
      <c r="O154" s="83"/>
    </row>
    <row r="155" spans="1:15" x14ac:dyDescent="0.35">
      <c r="A155" s="32">
        <v>1800004599</v>
      </c>
      <c r="B155" s="33" t="s">
        <v>563</v>
      </c>
      <c r="C155" s="34">
        <v>45736</v>
      </c>
      <c r="D155" s="35">
        <v>246779414467</v>
      </c>
      <c r="E155" s="33" t="s">
        <v>559</v>
      </c>
      <c r="F155" s="36">
        <v>31.73</v>
      </c>
      <c r="G155" s="37" t="s">
        <v>560</v>
      </c>
      <c r="H155" s="38">
        <v>2750.71</v>
      </c>
      <c r="I155" s="54">
        <v>0</v>
      </c>
      <c r="J155" s="54">
        <v>2674</v>
      </c>
      <c r="K155" s="54">
        <v>2674</v>
      </c>
      <c r="L155" s="54">
        <v>76.710000000000036</v>
      </c>
      <c r="M155" s="56">
        <v>2.788734544899318E-2</v>
      </c>
      <c r="N155" s="33" t="s">
        <v>868</v>
      </c>
      <c r="O155" s="83"/>
    </row>
    <row r="156" spans="1:15" x14ac:dyDescent="0.35">
      <c r="A156" s="32">
        <v>1800010118</v>
      </c>
      <c r="B156" s="33" t="s">
        <v>563</v>
      </c>
      <c r="C156" s="34">
        <v>45842</v>
      </c>
      <c r="D156" s="35">
        <v>256779414878</v>
      </c>
      <c r="E156" s="33" t="s">
        <v>559</v>
      </c>
      <c r="F156" s="36">
        <v>31.73</v>
      </c>
      <c r="G156" s="37" t="s">
        <v>560</v>
      </c>
      <c r="H156" s="38">
        <v>2728.8</v>
      </c>
      <c r="I156" s="54">
        <v>0</v>
      </c>
      <c r="J156" s="54">
        <v>2642.8006</v>
      </c>
      <c r="K156" s="54">
        <v>2642.8006</v>
      </c>
      <c r="L156" s="54">
        <v>85.999400000000151</v>
      </c>
      <c r="M156" s="56">
        <v>3.1515464673116445E-2</v>
      </c>
      <c r="N156" s="33" t="s">
        <v>806</v>
      </c>
      <c r="O156" s="83"/>
    </row>
    <row r="157" spans="1:15" x14ac:dyDescent="0.35">
      <c r="A157" s="32">
        <v>1800010208</v>
      </c>
      <c r="B157" s="33" t="s">
        <v>563</v>
      </c>
      <c r="C157" s="34">
        <v>45845</v>
      </c>
      <c r="D157" s="35">
        <v>256779414968</v>
      </c>
      <c r="E157" s="33" t="s">
        <v>559</v>
      </c>
      <c r="F157" s="36">
        <v>31.58</v>
      </c>
      <c r="G157" s="37" t="s">
        <v>560</v>
      </c>
      <c r="H157" s="38">
        <v>2715.9</v>
      </c>
      <c r="I157" s="54">
        <v>0</v>
      </c>
      <c r="J157" s="54">
        <v>2629.9005000000002</v>
      </c>
      <c r="K157" s="54">
        <v>2629.9005000000002</v>
      </c>
      <c r="L157" s="54">
        <v>85.999499999999898</v>
      </c>
      <c r="M157" s="56">
        <v>3.1665193858389444E-2</v>
      </c>
      <c r="N157" s="33" t="s">
        <v>558</v>
      </c>
      <c r="O157" s="83"/>
    </row>
    <row r="158" spans="1:15" x14ac:dyDescent="0.35">
      <c r="A158" s="32">
        <v>1800011011</v>
      </c>
      <c r="B158" s="33" t="s">
        <v>563</v>
      </c>
      <c r="C158" s="34">
        <v>45857</v>
      </c>
      <c r="D158" s="35">
        <v>256779415771</v>
      </c>
      <c r="E158" s="33" t="s">
        <v>559</v>
      </c>
      <c r="F158" s="36">
        <v>30.76</v>
      </c>
      <c r="G158" s="37" t="s">
        <v>560</v>
      </c>
      <c r="H158" s="38">
        <v>2645.38</v>
      </c>
      <c r="I158" s="54">
        <v>0</v>
      </c>
      <c r="J158" s="54">
        <v>2559.3798999999999</v>
      </c>
      <c r="K158" s="54">
        <v>2559.3798999999999</v>
      </c>
      <c r="L158" s="54">
        <v>86.000100000000202</v>
      </c>
      <c r="M158" s="56">
        <v>3.2509544942503611E-2</v>
      </c>
      <c r="N158" s="33" t="s">
        <v>682</v>
      </c>
      <c r="O158" s="83"/>
    </row>
    <row r="159" spans="1:15" x14ac:dyDescent="0.35">
      <c r="A159" s="32">
        <v>1800001259</v>
      </c>
      <c r="B159" s="33" t="s">
        <v>563</v>
      </c>
      <c r="C159" s="34">
        <v>45722</v>
      </c>
      <c r="D159" s="35">
        <v>246779411128</v>
      </c>
      <c r="E159" s="33" t="s">
        <v>559</v>
      </c>
      <c r="F159" s="36">
        <v>28.2</v>
      </c>
      <c r="G159" s="37" t="s">
        <v>560</v>
      </c>
      <c r="H159" s="38">
        <v>2444.69</v>
      </c>
      <c r="I159" s="54">
        <v>0</v>
      </c>
      <c r="J159" s="54">
        <v>2406</v>
      </c>
      <c r="K159" s="54">
        <v>2406</v>
      </c>
      <c r="L159" s="54">
        <v>38.690000000000055</v>
      </c>
      <c r="M159" s="56">
        <v>1.5826137465281918E-2</v>
      </c>
      <c r="N159" s="33" t="s">
        <v>675</v>
      </c>
      <c r="O159" s="83"/>
    </row>
    <row r="160" spans="1:15" x14ac:dyDescent="0.35">
      <c r="A160" s="32">
        <v>1800004449</v>
      </c>
      <c r="B160" s="33" t="s">
        <v>563</v>
      </c>
      <c r="C160" s="34">
        <v>45737</v>
      </c>
      <c r="D160" s="35">
        <v>246779414317</v>
      </c>
      <c r="E160" s="33" t="s">
        <v>559</v>
      </c>
      <c r="F160" s="36">
        <v>25</v>
      </c>
      <c r="G160" s="37" t="s">
        <v>560</v>
      </c>
      <c r="H160" s="38">
        <v>2167.2800000000002</v>
      </c>
      <c r="I160" s="54">
        <v>0</v>
      </c>
      <c r="J160" s="54">
        <v>1907</v>
      </c>
      <c r="K160" s="54">
        <v>1907</v>
      </c>
      <c r="L160" s="54">
        <v>260.2800000000002</v>
      </c>
      <c r="M160" s="56">
        <v>0.12009523457974981</v>
      </c>
      <c r="N160" s="33" t="s">
        <v>675</v>
      </c>
      <c r="O160" s="83"/>
    </row>
    <row r="161" spans="1:15" x14ac:dyDescent="0.35">
      <c r="A161" s="32">
        <v>1800001316</v>
      </c>
      <c r="B161" s="33" t="s">
        <v>563</v>
      </c>
      <c r="C161" s="34">
        <v>45722</v>
      </c>
      <c r="D161" s="35">
        <v>246779411185</v>
      </c>
      <c r="E161" s="33" t="s">
        <v>559</v>
      </c>
      <c r="F161" s="36">
        <v>23.5</v>
      </c>
      <c r="G161" s="37" t="s">
        <v>560</v>
      </c>
      <c r="H161" s="38">
        <v>2037.24</v>
      </c>
      <c r="I161" s="54">
        <v>0</v>
      </c>
      <c r="J161" s="54">
        <v>2004</v>
      </c>
      <c r="K161" s="54">
        <v>2004</v>
      </c>
      <c r="L161" s="54">
        <v>33.240000000000009</v>
      </c>
      <c r="M161" s="56">
        <v>1.631619249572952E-2</v>
      </c>
      <c r="N161" s="33" t="s">
        <v>926</v>
      </c>
      <c r="O161" s="83"/>
    </row>
    <row r="162" spans="1:15" x14ac:dyDescent="0.35">
      <c r="A162" s="32">
        <v>1800001317</v>
      </c>
      <c r="B162" s="33" t="s">
        <v>563</v>
      </c>
      <c r="C162" s="34">
        <v>45722</v>
      </c>
      <c r="D162" s="35">
        <v>246779411186</v>
      </c>
      <c r="E162" s="33" t="s">
        <v>559</v>
      </c>
      <c r="F162" s="36">
        <v>23.5</v>
      </c>
      <c r="G162" s="37" t="s">
        <v>560</v>
      </c>
      <c r="H162" s="38">
        <v>2037.24</v>
      </c>
      <c r="I162" s="54">
        <v>0</v>
      </c>
      <c r="J162" s="54">
        <v>2004</v>
      </c>
      <c r="K162" s="54">
        <v>2004</v>
      </c>
      <c r="L162" s="54">
        <v>33.240000000000009</v>
      </c>
      <c r="M162" s="56">
        <v>1.631619249572952E-2</v>
      </c>
      <c r="N162" s="33" t="s">
        <v>926</v>
      </c>
      <c r="O162" s="83"/>
    </row>
    <row r="163" spans="1:15" x14ac:dyDescent="0.35">
      <c r="A163" s="32">
        <v>1800001318</v>
      </c>
      <c r="B163" s="33" t="s">
        <v>563</v>
      </c>
      <c r="C163" s="34">
        <v>45722</v>
      </c>
      <c r="D163" s="35">
        <v>246779411187</v>
      </c>
      <c r="E163" s="33" t="s">
        <v>559</v>
      </c>
      <c r="F163" s="36">
        <v>23.5</v>
      </c>
      <c r="G163" s="37" t="s">
        <v>560</v>
      </c>
      <c r="H163" s="38">
        <v>2037.24</v>
      </c>
      <c r="I163" s="54">
        <v>0</v>
      </c>
      <c r="J163" s="54">
        <v>2004</v>
      </c>
      <c r="K163" s="54">
        <v>2004</v>
      </c>
      <c r="L163" s="54">
        <v>33.240000000000009</v>
      </c>
      <c r="M163" s="56">
        <v>1.631619249572952E-2</v>
      </c>
      <c r="N163" s="33" t="s">
        <v>926</v>
      </c>
      <c r="O163" s="83"/>
    </row>
    <row r="164" spans="1:15" x14ac:dyDescent="0.35">
      <c r="A164" s="32">
        <v>1800001319</v>
      </c>
      <c r="B164" s="33" t="s">
        <v>563</v>
      </c>
      <c r="C164" s="34">
        <v>45722</v>
      </c>
      <c r="D164" s="35">
        <v>246779411188</v>
      </c>
      <c r="E164" s="33" t="s">
        <v>559</v>
      </c>
      <c r="F164" s="36">
        <v>23.5</v>
      </c>
      <c r="G164" s="37" t="s">
        <v>560</v>
      </c>
      <c r="H164" s="38">
        <v>2037.24</v>
      </c>
      <c r="I164" s="54">
        <v>0</v>
      </c>
      <c r="J164" s="54">
        <v>2004</v>
      </c>
      <c r="K164" s="54">
        <v>2004</v>
      </c>
      <c r="L164" s="54">
        <v>33.240000000000009</v>
      </c>
      <c r="M164" s="56">
        <v>1.631619249572952E-2</v>
      </c>
      <c r="N164" s="33" t="s">
        <v>926</v>
      </c>
      <c r="O164" s="83"/>
    </row>
    <row r="165" spans="1:15" x14ac:dyDescent="0.35">
      <c r="A165" s="32">
        <v>1800001320</v>
      </c>
      <c r="B165" s="33" t="s">
        <v>563</v>
      </c>
      <c r="C165" s="34">
        <v>45722</v>
      </c>
      <c r="D165" s="35">
        <v>246779411189</v>
      </c>
      <c r="E165" s="33" t="s">
        <v>559</v>
      </c>
      <c r="F165" s="36">
        <v>23.5</v>
      </c>
      <c r="G165" s="37" t="s">
        <v>560</v>
      </c>
      <c r="H165" s="38">
        <v>2037.24</v>
      </c>
      <c r="I165" s="54">
        <v>0</v>
      </c>
      <c r="J165" s="54">
        <v>2004</v>
      </c>
      <c r="K165" s="54">
        <v>2004</v>
      </c>
      <c r="L165" s="54">
        <v>33.240000000000009</v>
      </c>
      <c r="M165" s="56">
        <v>1.631619249572952E-2</v>
      </c>
      <c r="N165" s="33" t="s">
        <v>926</v>
      </c>
      <c r="O165" s="83"/>
    </row>
    <row r="166" spans="1:15" x14ac:dyDescent="0.35">
      <c r="A166" s="32">
        <v>1800000545</v>
      </c>
      <c r="B166" s="33" t="s">
        <v>563</v>
      </c>
      <c r="C166" s="34">
        <v>45719</v>
      </c>
      <c r="D166" s="35">
        <v>246779410495</v>
      </c>
      <c r="E166" s="33" t="s">
        <v>559</v>
      </c>
      <c r="F166" s="36">
        <v>23.5</v>
      </c>
      <c r="G166" s="37" t="s">
        <v>560</v>
      </c>
      <c r="H166" s="38">
        <v>2037.24</v>
      </c>
      <c r="I166" s="54">
        <v>0</v>
      </c>
      <c r="J166" s="54">
        <v>2009</v>
      </c>
      <c r="K166" s="54">
        <v>2009</v>
      </c>
      <c r="L166" s="54">
        <v>28.240000000000009</v>
      </c>
      <c r="M166" s="56">
        <v>1.3861891578802698E-2</v>
      </c>
      <c r="N166" s="33" t="s">
        <v>928</v>
      </c>
      <c r="O166" s="83"/>
    </row>
    <row r="167" spans="1:15" x14ac:dyDescent="0.35">
      <c r="A167" s="32">
        <v>1800000552</v>
      </c>
      <c r="B167" s="33" t="s">
        <v>563</v>
      </c>
      <c r="C167" s="34">
        <v>45719</v>
      </c>
      <c r="D167" s="35">
        <v>246779410502</v>
      </c>
      <c r="E167" s="33" t="s">
        <v>559</v>
      </c>
      <c r="F167" s="36">
        <v>23.5</v>
      </c>
      <c r="G167" s="37" t="s">
        <v>560</v>
      </c>
      <c r="H167" s="38">
        <v>2037.24</v>
      </c>
      <c r="I167" s="54">
        <v>0</v>
      </c>
      <c r="J167" s="54">
        <v>2009</v>
      </c>
      <c r="K167" s="54">
        <v>2009</v>
      </c>
      <c r="L167" s="54">
        <v>28.240000000000009</v>
      </c>
      <c r="M167" s="56">
        <v>1.3861891578802698E-2</v>
      </c>
      <c r="N167" s="33" t="s">
        <v>928</v>
      </c>
      <c r="O167" s="83"/>
    </row>
    <row r="168" spans="1:15" x14ac:dyDescent="0.35">
      <c r="A168" s="32">
        <v>1800000665</v>
      </c>
      <c r="B168" s="33" t="s">
        <v>563</v>
      </c>
      <c r="C168" s="34">
        <v>45719</v>
      </c>
      <c r="D168" s="35">
        <v>246779410605</v>
      </c>
      <c r="E168" s="33" t="s">
        <v>559</v>
      </c>
      <c r="F168" s="36">
        <v>23.5</v>
      </c>
      <c r="G168" s="37" t="s">
        <v>560</v>
      </c>
      <c r="H168" s="38">
        <v>2037.24</v>
      </c>
      <c r="I168" s="54">
        <v>0</v>
      </c>
      <c r="J168" s="54">
        <v>2009</v>
      </c>
      <c r="K168" s="54">
        <v>2009</v>
      </c>
      <c r="L168" s="54">
        <v>28.240000000000009</v>
      </c>
      <c r="M168" s="56">
        <v>1.3861891578802698E-2</v>
      </c>
      <c r="N168" s="33" t="s">
        <v>906</v>
      </c>
      <c r="O168" s="83"/>
    </row>
    <row r="169" spans="1:15" x14ac:dyDescent="0.35">
      <c r="A169" s="32">
        <v>1800012603</v>
      </c>
      <c r="B169" s="33" t="s">
        <v>563</v>
      </c>
      <c r="C169" s="34">
        <v>45904</v>
      </c>
      <c r="D169" s="35">
        <v>256779417261</v>
      </c>
      <c r="E169" s="33" t="s">
        <v>559</v>
      </c>
      <c r="F169" s="36">
        <v>22.77</v>
      </c>
      <c r="G169" s="37" t="s">
        <v>560</v>
      </c>
      <c r="H169" s="38">
        <v>1992.7</v>
      </c>
      <c r="I169" s="54">
        <v>0</v>
      </c>
      <c r="J169" s="54">
        <v>1992.7012</v>
      </c>
      <c r="K169" s="54">
        <v>1992.7012</v>
      </c>
      <c r="L169" s="54">
        <v>-1.199999999926149E-3</v>
      </c>
      <c r="M169" s="56">
        <v>-6.0219802274609781E-7</v>
      </c>
      <c r="N169" s="33" t="s">
        <v>799</v>
      </c>
      <c r="O169" s="83"/>
    </row>
    <row r="170" spans="1:15" x14ac:dyDescent="0.35">
      <c r="A170" s="32">
        <v>1800001030</v>
      </c>
      <c r="B170" s="33" t="s">
        <v>563</v>
      </c>
      <c r="C170" s="34">
        <v>45722</v>
      </c>
      <c r="D170" s="35">
        <v>246779410970</v>
      </c>
      <c r="E170" s="33" t="s">
        <v>559</v>
      </c>
      <c r="F170" s="36">
        <v>22.05</v>
      </c>
      <c r="G170" s="37" t="s">
        <v>560</v>
      </c>
      <c r="H170" s="38">
        <v>1911.54</v>
      </c>
      <c r="I170" s="54">
        <v>0</v>
      </c>
      <c r="J170" s="54">
        <v>1882</v>
      </c>
      <c r="K170" s="54">
        <v>1882</v>
      </c>
      <c r="L170" s="54">
        <v>29.539999999999964</v>
      </c>
      <c r="M170" s="56">
        <v>1.5453508689329003E-2</v>
      </c>
      <c r="N170" s="33" t="s">
        <v>924</v>
      </c>
      <c r="O170" s="83"/>
    </row>
    <row r="171" spans="1:15" x14ac:dyDescent="0.35">
      <c r="A171" s="32">
        <v>1800000747</v>
      </c>
      <c r="B171" s="33" t="s">
        <v>563</v>
      </c>
      <c r="C171" s="34">
        <v>45720</v>
      </c>
      <c r="D171" s="35">
        <v>246779410687</v>
      </c>
      <c r="E171" s="33" t="s">
        <v>559</v>
      </c>
      <c r="F171" s="36">
        <v>21.15</v>
      </c>
      <c r="G171" s="37" t="s">
        <v>560</v>
      </c>
      <c r="H171" s="38">
        <v>1833.52</v>
      </c>
      <c r="I171" s="54">
        <v>0</v>
      </c>
      <c r="J171" s="54">
        <v>1797</v>
      </c>
      <c r="K171" s="54">
        <v>1797</v>
      </c>
      <c r="L171" s="54">
        <v>36.519999999999982</v>
      </c>
      <c r="M171" s="56">
        <v>1.9917971988306634E-2</v>
      </c>
      <c r="N171" s="33" t="s">
        <v>914</v>
      </c>
      <c r="O171" s="83"/>
    </row>
    <row r="172" spans="1:15" x14ac:dyDescent="0.35">
      <c r="A172" s="32">
        <v>1800007174</v>
      </c>
      <c r="B172" s="33" t="s">
        <v>563</v>
      </c>
      <c r="C172" s="34">
        <v>45763</v>
      </c>
      <c r="D172" s="35">
        <v>256779412065</v>
      </c>
      <c r="E172" s="33" t="s">
        <v>559</v>
      </c>
      <c r="F172" s="36">
        <v>18.88</v>
      </c>
      <c r="G172" s="37" t="s">
        <v>560</v>
      </c>
      <c r="H172" s="38">
        <v>1641.08</v>
      </c>
      <c r="I172" s="54">
        <v>0</v>
      </c>
      <c r="J172" s="54">
        <v>1584</v>
      </c>
      <c r="K172" s="54">
        <v>1584</v>
      </c>
      <c r="L172" s="54">
        <v>57.079999999999927</v>
      </c>
      <c r="M172" s="56">
        <v>3.4781972847149394E-2</v>
      </c>
      <c r="N172" s="33" t="s">
        <v>785</v>
      </c>
      <c r="O172" s="83"/>
    </row>
    <row r="173" spans="1:15" x14ac:dyDescent="0.35">
      <c r="A173" s="32">
        <v>1800003755</v>
      </c>
      <c r="B173" s="33" t="s">
        <v>563</v>
      </c>
      <c r="C173" s="34">
        <v>45736</v>
      </c>
      <c r="D173" s="35">
        <v>246779413622</v>
      </c>
      <c r="E173" s="33" t="s">
        <v>559</v>
      </c>
      <c r="F173" s="36">
        <v>18.8</v>
      </c>
      <c r="G173" s="37" t="s">
        <v>560</v>
      </c>
      <c r="H173" s="38">
        <v>1629.8</v>
      </c>
      <c r="I173" s="54">
        <v>0</v>
      </c>
      <c r="J173" s="54">
        <v>1590</v>
      </c>
      <c r="K173" s="54">
        <v>1590</v>
      </c>
      <c r="L173" s="54">
        <v>39.799999999999955</v>
      </c>
      <c r="M173" s="56">
        <v>2.4420174254509729E-2</v>
      </c>
      <c r="N173" s="33" t="s">
        <v>860</v>
      </c>
      <c r="O173" s="83"/>
    </row>
    <row r="174" spans="1:15" x14ac:dyDescent="0.35">
      <c r="A174" s="32">
        <v>1800003827</v>
      </c>
      <c r="B174" s="33" t="s">
        <v>563</v>
      </c>
      <c r="C174" s="34">
        <v>45736</v>
      </c>
      <c r="D174" s="35">
        <v>246779413689</v>
      </c>
      <c r="E174" s="33" t="s">
        <v>559</v>
      </c>
      <c r="F174" s="36">
        <v>18.8</v>
      </c>
      <c r="G174" s="37" t="s">
        <v>560</v>
      </c>
      <c r="H174" s="38">
        <v>1629.8</v>
      </c>
      <c r="I174" s="54">
        <v>0</v>
      </c>
      <c r="J174" s="54">
        <v>1591</v>
      </c>
      <c r="K174" s="54">
        <v>1591</v>
      </c>
      <c r="L174" s="54">
        <v>38.799999999999955</v>
      </c>
      <c r="M174" s="56">
        <v>2.3806602037059733E-2</v>
      </c>
      <c r="N174" s="33" t="s">
        <v>860</v>
      </c>
      <c r="O174" s="83"/>
    </row>
    <row r="175" spans="1:15" x14ac:dyDescent="0.35">
      <c r="A175" s="32">
        <v>1800000551</v>
      </c>
      <c r="B175" s="33" t="s">
        <v>563</v>
      </c>
      <c r="C175" s="34">
        <v>45719</v>
      </c>
      <c r="D175" s="35">
        <v>246779410501</v>
      </c>
      <c r="E175" s="33" t="s">
        <v>559</v>
      </c>
      <c r="F175" s="36">
        <v>18.8</v>
      </c>
      <c r="G175" s="37" t="s">
        <v>560</v>
      </c>
      <c r="H175" s="38">
        <v>1629.8</v>
      </c>
      <c r="I175" s="54">
        <v>0</v>
      </c>
      <c r="J175" s="54">
        <v>1607</v>
      </c>
      <c r="K175" s="54">
        <v>1607</v>
      </c>
      <c r="L175" s="54">
        <v>22.799999999999955</v>
      </c>
      <c r="M175" s="56">
        <v>1.3989446557859832E-2</v>
      </c>
      <c r="N175" s="33" t="s">
        <v>928</v>
      </c>
      <c r="O175" s="83"/>
    </row>
    <row r="176" spans="1:15" x14ac:dyDescent="0.35">
      <c r="A176" s="32">
        <v>1800001032</v>
      </c>
      <c r="B176" s="33" t="s">
        <v>563</v>
      </c>
      <c r="C176" s="34">
        <v>45722</v>
      </c>
      <c r="D176" s="35">
        <v>246779410972</v>
      </c>
      <c r="E176" s="33" t="s">
        <v>559</v>
      </c>
      <c r="F176" s="36">
        <v>17.350000000000001</v>
      </c>
      <c r="G176" s="37" t="s">
        <v>560</v>
      </c>
      <c r="H176" s="38">
        <v>1504.09</v>
      </c>
      <c r="I176" s="54">
        <v>0</v>
      </c>
      <c r="J176" s="54">
        <v>1481</v>
      </c>
      <c r="K176" s="54">
        <v>1481</v>
      </c>
      <c r="L176" s="54">
        <v>23.089999999999918</v>
      </c>
      <c r="M176" s="56">
        <v>1.5351474978225983E-2</v>
      </c>
      <c r="N176" s="33" t="s">
        <v>924</v>
      </c>
      <c r="O176" s="83"/>
    </row>
    <row r="177" spans="1:15" x14ac:dyDescent="0.35">
      <c r="A177" s="32">
        <v>1800012068</v>
      </c>
      <c r="B177" s="33" t="s">
        <v>563</v>
      </c>
      <c r="C177" s="34">
        <v>45889</v>
      </c>
      <c r="D177" s="35">
        <v>256779416603</v>
      </c>
      <c r="E177" s="33" t="s">
        <v>559</v>
      </c>
      <c r="F177" s="36">
        <v>17.350000000000001</v>
      </c>
      <c r="G177" s="37" t="s">
        <v>560</v>
      </c>
      <c r="H177" s="38">
        <v>1492.62</v>
      </c>
      <c r="I177" s="54">
        <v>0</v>
      </c>
      <c r="J177" s="54">
        <v>1463</v>
      </c>
      <c r="K177" s="54">
        <v>1463</v>
      </c>
      <c r="L177" s="54">
        <v>29.619999999999891</v>
      </c>
      <c r="M177" s="56">
        <v>1.9844300625745263E-2</v>
      </c>
      <c r="N177" s="33" t="s">
        <v>881</v>
      </c>
      <c r="O177" s="83"/>
    </row>
    <row r="178" spans="1:15" x14ac:dyDescent="0.35">
      <c r="A178" s="32">
        <v>1800010004</v>
      </c>
      <c r="B178" s="33" t="s">
        <v>563</v>
      </c>
      <c r="C178" s="34">
        <v>45842</v>
      </c>
      <c r="D178" s="35">
        <v>256779414768</v>
      </c>
      <c r="E178" s="33" t="s">
        <v>559</v>
      </c>
      <c r="F178" s="36">
        <v>17.350000000000001</v>
      </c>
      <c r="G178" s="37" t="s">
        <v>560</v>
      </c>
      <c r="H178" s="38">
        <v>1492.11</v>
      </c>
      <c r="I178" s="54">
        <v>0</v>
      </c>
      <c r="J178" s="54">
        <v>1492.1116</v>
      </c>
      <c r="K178" s="54">
        <v>1492.1116</v>
      </c>
      <c r="L178" s="54">
        <v>-1.6000000000531145E-3</v>
      </c>
      <c r="M178" s="56">
        <v>-1.0723070015301249E-6</v>
      </c>
      <c r="N178" s="33" t="s">
        <v>804</v>
      </c>
      <c r="O178" s="83"/>
    </row>
    <row r="179" spans="1:15" x14ac:dyDescent="0.35">
      <c r="A179" s="32">
        <v>1800004274</v>
      </c>
      <c r="B179" s="33" t="s">
        <v>563</v>
      </c>
      <c r="C179" s="34">
        <v>45736</v>
      </c>
      <c r="D179" s="35">
        <v>246779414142</v>
      </c>
      <c r="E179" s="33" t="s">
        <v>559</v>
      </c>
      <c r="F179" s="36">
        <v>15</v>
      </c>
      <c r="G179" s="37" t="s">
        <v>560</v>
      </c>
      <c r="H179" s="38">
        <v>1300.3699999999999</v>
      </c>
      <c r="I179" s="54">
        <v>0</v>
      </c>
      <c r="J179" s="54">
        <v>1268</v>
      </c>
      <c r="K179" s="54">
        <v>1268</v>
      </c>
      <c r="L179" s="54">
        <v>32.369999999999891</v>
      </c>
      <c r="M179" s="56">
        <v>2.4892915093396414E-2</v>
      </c>
      <c r="N179" s="33" t="s">
        <v>866</v>
      </c>
      <c r="O179" s="83"/>
    </row>
    <row r="180" spans="1:15" x14ac:dyDescent="0.35">
      <c r="A180" s="32">
        <v>1800004813</v>
      </c>
      <c r="B180" s="33" t="s">
        <v>563</v>
      </c>
      <c r="C180" s="34">
        <v>45736</v>
      </c>
      <c r="D180" s="35">
        <v>246779414681</v>
      </c>
      <c r="E180" s="33" t="s">
        <v>559</v>
      </c>
      <c r="F180" s="36">
        <v>15</v>
      </c>
      <c r="G180" s="37" t="s">
        <v>560</v>
      </c>
      <c r="H180" s="38">
        <v>1300.3699999999999</v>
      </c>
      <c r="I180" s="54">
        <v>0</v>
      </c>
      <c r="J180" s="54">
        <v>1268</v>
      </c>
      <c r="K180" s="54">
        <v>1268</v>
      </c>
      <c r="L180" s="54">
        <v>32.369999999999891</v>
      </c>
      <c r="M180" s="56">
        <v>2.4892915093396414E-2</v>
      </c>
      <c r="N180" s="33" t="s">
        <v>869</v>
      </c>
      <c r="O180" s="83"/>
    </row>
    <row r="181" spans="1:15" x14ac:dyDescent="0.35">
      <c r="A181" s="32">
        <v>1800008593</v>
      </c>
      <c r="B181" s="33" t="s">
        <v>563</v>
      </c>
      <c r="C181" s="34">
        <v>45793</v>
      </c>
      <c r="D181" s="35">
        <v>256779413357</v>
      </c>
      <c r="E181" s="33" t="s">
        <v>559</v>
      </c>
      <c r="F181" s="36">
        <v>15</v>
      </c>
      <c r="G181" s="37" t="s">
        <v>560</v>
      </c>
      <c r="H181" s="38">
        <v>1289.76</v>
      </c>
      <c r="I181" s="54">
        <v>0</v>
      </c>
      <c r="J181" s="54">
        <v>1264</v>
      </c>
      <c r="K181" s="54">
        <v>1264</v>
      </c>
      <c r="L181" s="54">
        <v>25.759999999999991</v>
      </c>
      <c r="M181" s="56">
        <v>1.9972708100731911E-2</v>
      </c>
      <c r="N181" s="33" t="s">
        <v>848</v>
      </c>
      <c r="O181" s="83"/>
    </row>
    <row r="182" spans="1:15" x14ac:dyDescent="0.35">
      <c r="A182" s="32">
        <v>1800012460</v>
      </c>
      <c r="B182" s="33" t="s">
        <v>563</v>
      </c>
      <c r="C182" s="34">
        <v>45904</v>
      </c>
      <c r="D182" s="35">
        <v>256779417160</v>
      </c>
      <c r="E182" s="33" t="s">
        <v>559</v>
      </c>
      <c r="F182" s="36">
        <v>14.25</v>
      </c>
      <c r="G182" s="37" t="s">
        <v>560</v>
      </c>
      <c r="H182" s="38">
        <v>1247.08</v>
      </c>
      <c r="I182" s="54">
        <v>0</v>
      </c>
      <c r="J182" s="54">
        <v>1247.0791999999999</v>
      </c>
      <c r="K182" s="54">
        <v>1247.0791999999999</v>
      </c>
      <c r="L182" s="54">
        <v>8.0000000002655725E-4</v>
      </c>
      <c r="M182" s="56">
        <v>6.4149854061211568E-7</v>
      </c>
      <c r="N182" s="33" t="s">
        <v>795</v>
      </c>
      <c r="O182" s="83"/>
    </row>
    <row r="183" spans="1:15" x14ac:dyDescent="0.35">
      <c r="A183" s="32">
        <v>1800012286</v>
      </c>
      <c r="B183" s="33" t="s">
        <v>563</v>
      </c>
      <c r="C183" s="34">
        <v>45904</v>
      </c>
      <c r="D183" s="35">
        <v>256779416948</v>
      </c>
      <c r="E183" s="33" t="s">
        <v>559</v>
      </c>
      <c r="F183" s="36">
        <v>14.1</v>
      </c>
      <c r="G183" s="37" t="s">
        <v>560</v>
      </c>
      <c r="H183" s="38">
        <v>1233.95</v>
      </c>
      <c r="I183" s="54">
        <v>0</v>
      </c>
      <c r="J183" s="54">
        <v>1233.9521</v>
      </c>
      <c r="K183" s="54">
        <v>1233.9521</v>
      </c>
      <c r="L183" s="54">
        <v>-2.0999999999276042E-3</v>
      </c>
      <c r="M183" s="56">
        <v>-1.7018517767556255E-6</v>
      </c>
      <c r="N183" s="33" t="s">
        <v>794</v>
      </c>
      <c r="O183" s="83"/>
    </row>
    <row r="184" spans="1:15" x14ac:dyDescent="0.35">
      <c r="A184" s="32">
        <v>1800000740</v>
      </c>
      <c r="B184" s="33" t="s">
        <v>563</v>
      </c>
      <c r="C184" s="34">
        <v>45720</v>
      </c>
      <c r="D184" s="35">
        <v>246779410680</v>
      </c>
      <c r="E184" s="33" t="s">
        <v>559</v>
      </c>
      <c r="F184" s="36">
        <v>14.1</v>
      </c>
      <c r="G184" s="37" t="s">
        <v>560</v>
      </c>
      <c r="H184" s="38">
        <v>1222.3499999999999</v>
      </c>
      <c r="I184" s="54">
        <v>0</v>
      </c>
      <c r="J184" s="54">
        <v>1207</v>
      </c>
      <c r="K184" s="54">
        <v>1207</v>
      </c>
      <c r="L184" s="54">
        <v>15.349999999999909</v>
      </c>
      <c r="M184" s="56">
        <v>1.2557778050476467E-2</v>
      </c>
      <c r="N184" s="33" t="s">
        <v>914</v>
      </c>
      <c r="O184" s="83"/>
    </row>
    <row r="185" spans="1:15" x14ac:dyDescent="0.35">
      <c r="A185" s="32">
        <v>1800000821</v>
      </c>
      <c r="B185" s="33" t="s">
        <v>563</v>
      </c>
      <c r="C185" s="34">
        <v>45720</v>
      </c>
      <c r="D185" s="35">
        <v>246779410761</v>
      </c>
      <c r="E185" s="33" t="s">
        <v>559</v>
      </c>
      <c r="F185" s="36">
        <v>14.1</v>
      </c>
      <c r="G185" s="37" t="s">
        <v>560</v>
      </c>
      <c r="H185" s="38">
        <v>1222.3499999999999</v>
      </c>
      <c r="I185" s="54">
        <v>0</v>
      </c>
      <c r="J185" s="54">
        <v>1207</v>
      </c>
      <c r="K185" s="54">
        <v>1207</v>
      </c>
      <c r="L185" s="54">
        <v>15.349999999999909</v>
      </c>
      <c r="M185" s="56">
        <v>1.2557778050476467E-2</v>
      </c>
      <c r="N185" s="33" t="s">
        <v>907</v>
      </c>
      <c r="O185" s="83"/>
    </row>
    <row r="186" spans="1:15" x14ac:dyDescent="0.35">
      <c r="A186" s="32">
        <v>1800008666</v>
      </c>
      <c r="B186" s="33" t="s">
        <v>563</v>
      </c>
      <c r="C186" s="34">
        <v>45798</v>
      </c>
      <c r="D186" s="35">
        <v>256779413430</v>
      </c>
      <c r="E186" s="33" t="s">
        <v>559</v>
      </c>
      <c r="F186" s="36">
        <v>14.1</v>
      </c>
      <c r="G186" s="37" t="s">
        <v>560</v>
      </c>
      <c r="H186" s="38">
        <v>1212.3699999999999</v>
      </c>
      <c r="I186" s="54">
        <v>0</v>
      </c>
      <c r="J186" s="54">
        <v>1201</v>
      </c>
      <c r="K186" s="54">
        <v>1201</v>
      </c>
      <c r="L186" s="54">
        <v>11.369999999999891</v>
      </c>
      <c r="M186" s="56">
        <v>9.3783250987733869E-3</v>
      </c>
      <c r="N186" s="33" t="s">
        <v>626</v>
      </c>
      <c r="O186" s="83"/>
    </row>
    <row r="187" spans="1:15" x14ac:dyDescent="0.35">
      <c r="A187" s="32">
        <v>1800008722</v>
      </c>
      <c r="B187" s="33" t="s">
        <v>563</v>
      </c>
      <c r="C187" s="34">
        <v>45797</v>
      </c>
      <c r="D187" s="35">
        <v>256779413486</v>
      </c>
      <c r="E187" s="33" t="s">
        <v>559</v>
      </c>
      <c r="F187" s="36">
        <v>12.5</v>
      </c>
      <c r="G187" s="37" t="s">
        <v>560</v>
      </c>
      <c r="H187" s="38">
        <v>1074.8</v>
      </c>
      <c r="I187" s="54">
        <v>0</v>
      </c>
      <c r="J187" s="54">
        <v>1054</v>
      </c>
      <c r="K187" s="54">
        <v>1054</v>
      </c>
      <c r="L187" s="54">
        <v>20.799999999999955</v>
      </c>
      <c r="M187" s="56">
        <v>1.9352437662820948E-2</v>
      </c>
      <c r="N187" s="33" t="s">
        <v>597</v>
      </c>
      <c r="O187" s="83"/>
    </row>
    <row r="188" spans="1:15" x14ac:dyDescent="0.35">
      <c r="A188" s="32">
        <v>1800015985</v>
      </c>
      <c r="B188" s="33" t="s">
        <v>563</v>
      </c>
      <c r="C188" s="34">
        <v>46027</v>
      </c>
      <c r="D188" s="35">
        <v>256779440069</v>
      </c>
      <c r="E188" s="33" t="s">
        <v>559</v>
      </c>
      <c r="F188" s="36">
        <v>11.75</v>
      </c>
      <c r="G188" s="37" t="s">
        <v>560</v>
      </c>
      <c r="H188" s="38">
        <v>1066.23</v>
      </c>
      <c r="I188" s="54">
        <v>0</v>
      </c>
      <c r="J188" s="54">
        <v>1066.231</v>
      </c>
      <c r="K188" s="54">
        <v>1066.231</v>
      </c>
      <c r="L188" s="54">
        <v>-9.9999999997635314E-4</v>
      </c>
      <c r="M188" s="56">
        <v>-9.3788394621831422E-7</v>
      </c>
      <c r="N188" s="33" t="s">
        <v>719</v>
      </c>
      <c r="O188" s="83"/>
    </row>
    <row r="189" spans="1:15" x14ac:dyDescent="0.35">
      <c r="A189" s="32">
        <v>1800013527</v>
      </c>
      <c r="B189" s="33" t="s">
        <v>563</v>
      </c>
      <c r="C189" s="34">
        <v>45937</v>
      </c>
      <c r="D189" s="35">
        <v>256779418351</v>
      </c>
      <c r="E189" s="33" t="s">
        <v>559</v>
      </c>
      <c r="F189" s="36">
        <v>11.75</v>
      </c>
      <c r="G189" s="37" t="s">
        <v>560</v>
      </c>
      <c r="H189" s="38">
        <v>1036.24</v>
      </c>
      <c r="I189" s="54">
        <v>0</v>
      </c>
      <c r="J189" s="54">
        <v>1036.08</v>
      </c>
      <c r="K189" s="54">
        <v>1036.08</v>
      </c>
      <c r="L189" s="54">
        <v>0.16000000000008185</v>
      </c>
      <c r="M189" s="56">
        <v>1.5440438508461539E-4</v>
      </c>
      <c r="N189" s="33" t="s">
        <v>913</v>
      </c>
      <c r="O189" s="83"/>
    </row>
    <row r="190" spans="1:15" x14ac:dyDescent="0.35">
      <c r="A190" s="32">
        <v>1800012858</v>
      </c>
      <c r="B190" s="33" t="s">
        <v>563</v>
      </c>
      <c r="C190" s="34">
        <v>45918</v>
      </c>
      <c r="D190" s="35">
        <v>256779417594</v>
      </c>
      <c r="E190" s="33" t="s">
        <v>559</v>
      </c>
      <c r="F190" s="36">
        <v>11.75</v>
      </c>
      <c r="G190" s="37" t="s">
        <v>560</v>
      </c>
      <c r="H190" s="38">
        <v>1028.29</v>
      </c>
      <c r="I190" s="54">
        <v>0</v>
      </c>
      <c r="J190" s="54">
        <v>1028.2935</v>
      </c>
      <c r="K190" s="54">
        <v>1028.2935</v>
      </c>
      <c r="L190" s="54">
        <v>-3.5000000000309228E-3</v>
      </c>
      <c r="M190" s="56">
        <v>-3.4037090704285006E-6</v>
      </c>
      <c r="N190" s="33" t="s">
        <v>911</v>
      </c>
      <c r="O190" s="83"/>
    </row>
    <row r="191" spans="1:15" x14ac:dyDescent="0.35">
      <c r="A191" s="32">
        <v>1800000672</v>
      </c>
      <c r="B191" s="33" t="s">
        <v>563</v>
      </c>
      <c r="C191" s="34">
        <v>45719</v>
      </c>
      <c r="D191" s="35">
        <v>246779410612</v>
      </c>
      <c r="E191" s="33" t="s">
        <v>559</v>
      </c>
      <c r="F191" s="36">
        <v>11.75</v>
      </c>
      <c r="G191" s="37" t="s">
        <v>560</v>
      </c>
      <c r="H191" s="38">
        <v>1018.62</v>
      </c>
      <c r="I191" s="54">
        <v>0</v>
      </c>
      <c r="J191" s="54">
        <v>1004</v>
      </c>
      <c r="K191" s="54">
        <v>1004</v>
      </c>
      <c r="L191" s="54">
        <v>14.620000000000005</v>
      </c>
      <c r="M191" s="56">
        <v>1.4352751762188063E-2</v>
      </c>
      <c r="N191" s="33" t="s">
        <v>906</v>
      </c>
      <c r="O191" s="83"/>
    </row>
    <row r="192" spans="1:15" x14ac:dyDescent="0.35">
      <c r="A192" s="32">
        <v>1800000820</v>
      </c>
      <c r="B192" s="33" t="s">
        <v>563</v>
      </c>
      <c r="C192" s="34">
        <v>45720</v>
      </c>
      <c r="D192" s="35">
        <v>246779410760</v>
      </c>
      <c r="E192" s="33" t="s">
        <v>559</v>
      </c>
      <c r="F192" s="36">
        <v>11.75</v>
      </c>
      <c r="G192" s="37" t="s">
        <v>560</v>
      </c>
      <c r="H192" s="38">
        <v>1018.62</v>
      </c>
      <c r="I192" s="54">
        <v>0</v>
      </c>
      <c r="J192" s="54">
        <v>1006</v>
      </c>
      <c r="K192" s="54">
        <v>1006</v>
      </c>
      <c r="L192" s="54">
        <v>12.620000000000005</v>
      </c>
      <c r="M192" s="56">
        <v>1.2389311028646604E-2</v>
      </c>
      <c r="N192" s="33" t="s">
        <v>907</v>
      </c>
      <c r="O192" s="83"/>
    </row>
    <row r="193" spans="1:15" x14ac:dyDescent="0.35">
      <c r="A193" s="32">
        <v>1800003904</v>
      </c>
      <c r="B193" s="33" t="s">
        <v>563</v>
      </c>
      <c r="C193" s="34">
        <v>45736</v>
      </c>
      <c r="D193" s="35">
        <v>246779413772</v>
      </c>
      <c r="E193" s="33" t="s">
        <v>559</v>
      </c>
      <c r="F193" s="36">
        <v>11.75</v>
      </c>
      <c r="G193" s="37" t="s">
        <v>560</v>
      </c>
      <c r="H193" s="38">
        <v>1018.62</v>
      </c>
      <c r="I193" s="54">
        <v>0</v>
      </c>
      <c r="J193" s="54">
        <v>994</v>
      </c>
      <c r="K193" s="54">
        <v>994</v>
      </c>
      <c r="L193" s="54">
        <v>24.620000000000005</v>
      </c>
      <c r="M193" s="56">
        <v>2.4169955429895352E-2</v>
      </c>
      <c r="N193" s="33" t="s">
        <v>604</v>
      </c>
      <c r="O193" s="83"/>
    </row>
    <row r="194" spans="1:15" x14ac:dyDescent="0.35">
      <c r="A194" s="32">
        <v>1800008663</v>
      </c>
      <c r="B194" s="33" t="s">
        <v>563</v>
      </c>
      <c r="C194" s="34">
        <v>45798</v>
      </c>
      <c r="D194" s="35">
        <v>256779413427</v>
      </c>
      <c r="E194" s="33" t="s">
        <v>559</v>
      </c>
      <c r="F194" s="36">
        <v>11.75</v>
      </c>
      <c r="G194" s="37" t="s">
        <v>560</v>
      </c>
      <c r="H194" s="38">
        <v>1010.31</v>
      </c>
      <c r="I194" s="54">
        <v>0</v>
      </c>
      <c r="J194" s="54">
        <v>990</v>
      </c>
      <c r="K194" s="54">
        <v>990</v>
      </c>
      <c r="L194" s="54">
        <v>20.309999999999945</v>
      </c>
      <c r="M194" s="56">
        <v>2.0102740742940231E-2</v>
      </c>
      <c r="N194" s="33" t="s">
        <v>908</v>
      </c>
      <c r="O194" s="83"/>
    </row>
    <row r="195" spans="1:15" x14ac:dyDescent="0.35">
      <c r="A195" s="32">
        <v>1800008664</v>
      </c>
      <c r="B195" s="33" t="s">
        <v>563</v>
      </c>
      <c r="C195" s="34">
        <v>45798</v>
      </c>
      <c r="D195" s="35">
        <v>256779413428</v>
      </c>
      <c r="E195" s="33" t="s">
        <v>559</v>
      </c>
      <c r="F195" s="36">
        <v>11.75</v>
      </c>
      <c r="G195" s="37" t="s">
        <v>560</v>
      </c>
      <c r="H195" s="38">
        <v>1010.31</v>
      </c>
      <c r="I195" s="54">
        <v>0</v>
      </c>
      <c r="J195" s="54">
        <v>990</v>
      </c>
      <c r="K195" s="54">
        <v>990</v>
      </c>
      <c r="L195" s="54">
        <v>20.309999999999945</v>
      </c>
      <c r="M195" s="56">
        <v>2.0102740742940231E-2</v>
      </c>
      <c r="N195" s="33" t="s">
        <v>909</v>
      </c>
      <c r="O195" s="83"/>
    </row>
    <row r="196" spans="1:15" x14ac:dyDescent="0.35">
      <c r="A196" s="32">
        <v>1800014745</v>
      </c>
      <c r="B196" s="33" t="s">
        <v>563</v>
      </c>
      <c r="C196" s="34">
        <v>45966</v>
      </c>
      <c r="D196" s="35">
        <v>256779419248</v>
      </c>
      <c r="E196" s="33" t="s">
        <v>559</v>
      </c>
      <c r="F196" s="36">
        <v>11.27</v>
      </c>
      <c r="G196" s="37" t="s">
        <v>560</v>
      </c>
      <c r="H196" s="38">
        <v>991.8</v>
      </c>
      <c r="I196" s="54">
        <v>0</v>
      </c>
      <c r="J196" s="54">
        <v>991.79819999999995</v>
      </c>
      <c r="K196" s="54">
        <v>991.79819999999995</v>
      </c>
      <c r="L196" s="54">
        <v>1.8000000000029104E-3</v>
      </c>
      <c r="M196" s="56">
        <v>1.8148820326708112E-6</v>
      </c>
      <c r="N196" s="33" t="s">
        <v>832</v>
      </c>
      <c r="O196" s="83"/>
    </row>
    <row r="197" spans="1:15" x14ac:dyDescent="0.35">
      <c r="A197" s="32">
        <v>1800012216</v>
      </c>
      <c r="B197" s="33" t="s">
        <v>563</v>
      </c>
      <c r="C197" s="34">
        <v>45889</v>
      </c>
      <c r="D197" s="35">
        <v>256779416878</v>
      </c>
      <c r="E197" s="33" t="s">
        <v>559</v>
      </c>
      <c r="F197" s="36">
        <v>11.52</v>
      </c>
      <c r="G197" s="37" t="s">
        <v>560</v>
      </c>
      <c r="H197" s="38">
        <v>991.07</v>
      </c>
      <c r="I197" s="54">
        <v>0</v>
      </c>
      <c r="J197" s="54">
        <v>971</v>
      </c>
      <c r="K197" s="54">
        <v>971</v>
      </c>
      <c r="L197" s="54">
        <v>20.07000000000005</v>
      </c>
      <c r="M197" s="56">
        <v>2.025084000121086E-2</v>
      </c>
      <c r="N197" s="33" t="s">
        <v>885</v>
      </c>
      <c r="O197" s="83"/>
    </row>
    <row r="198" spans="1:15" x14ac:dyDescent="0.35">
      <c r="A198" s="32">
        <v>1800015129</v>
      </c>
      <c r="B198" s="33" t="s">
        <v>563</v>
      </c>
      <c r="C198" s="34">
        <v>45981</v>
      </c>
      <c r="D198" s="35">
        <v>256779419628</v>
      </c>
      <c r="E198" s="33" t="s">
        <v>559</v>
      </c>
      <c r="F198" s="36">
        <v>10.199999999999999</v>
      </c>
      <c r="G198" s="37" t="s">
        <v>560</v>
      </c>
      <c r="H198" s="38">
        <v>897.63</v>
      </c>
      <c r="I198" s="54">
        <v>0</v>
      </c>
      <c r="J198" s="54">
        <v>897.63459999999998</v>
      </c>
      <c r="K198" s="54">
        <v>897.63459999999998</v>
      </c>
      <c r="L198" s="54">
        <v>-4.5999999999821739E-3</v>
      </c>
      <c r="M198" s="56">
        <v>-5.1246059066454705E-6</v>
      </c>
      <c r="N198" s="33" t="s">
        <v>651</v>
      </c>
      <c r="O198" s="83"/>
    </row>
    <row r="199" spans="1:15" x14ac:dyDescent="0.35">
      <c r="A199" s="32">
        <v>1800004077</v>
      </c>
      <c r="B199" s="33" t="s">
        <v>563</v>
      </c>
      <c r="C199" s="34">
        <v>45736</v>
      </c>
      <c r="D199" s="35">
        <v>246779413933</v>
      </c>
      <c r="E199" s="33" t="s">
        <v>559</v>
      </c>
      <c r="F199" s="36">
        <v>10</v>
      </c>
      <c r="G199" s="37" t="s">
        <v>560</v>
      </c>
      <c r="H199" s="38">
        <v>866.91</v>
      </c>
      <c r="I199" s="54">
        <v>0</v>
      </c>
      <c r="J199" s="54">
        <v>846</v>
      </c>
      <c r="K199" s="54">
        <v>846</v>
      </c>
      <c r="L199" s="54">
        <v>20.909999999999968</v>
      </c>
      <c r="M199" s="56">
        <v>2.4120150880714224E-2</v>
      </c>
      <c r="N199" s="33" t="s">
        <v>604</v>
      </c>
      <c r="O199" s="83"/>
    </row>
    <row r="200" spans="1:15" x14ac:dyDescent="0.35">
      <c r="A200" s="32">
        <v>1800006673</v>
      </c>
      <c r="B200" s="33" t="s">
        <v>563</v>
      </c>
      <c r="C200" s="34">
        <v>45762</v>
      </c>
      <c r="D200" s="35">
        <v>256779411564</v>
      </c>
      <c r="E200" s="33" t="s">
        <v>559</v>
      </c>
      <c r="F200" s="36">
        <v>9.4</v>
      </c>
      <c r="G200" s="37" t="s">
        <v>560</v>
      </c>
      <c r="H200" s="38">
        <v>817.07</v>
      </c>
      <c r="I200" s="54">
        <v>0</v>
      </c>
      <c r="J200" s="54">
        <v>790</v>
      </c>
      <c r="K200" s="54">
        <v>790</v>
      </c>
      <c r="L200" s="54">
        <v>27.07000000000005</v>
      </c>
      <c r="M200" s="56">
        <v>3.3130576327609691E-2</v>
      </c>
      <c r="N200" s="33" t="s">
        <v>774</v>
      </c>
      <c r="O200" s="83"/>
    </row>
    <row r="201" spans="1:15" x14ac:dyDescent="0.35">
      <c r="A201" s="32">
        <v>1800000746</v>
      </c>
      <c r="B201" s="33" t="s">
        <v>563</v>
      </c>
      <c r="C201" s="34">
        <v>45720</v>
      </c>
      <c r="D201" s="35">
        <v>246779410686</v>
      </c>
      <c r="E201" s="33" t="s">
        <v>559</v>
      </c>
      <c r="F201" s="36">
        <v>9.4</v>
      </c>
      <c r="G201" s="37" t="s">
        <v>560</v>
      </c>
      <c r="H201" s="38">
        <v>814.9</v>
      </c>
      <c r="I201" s="54">
        <v>0</v>
      </c>
      <c r="J201" s="54">
        <v>805</v>
      </c>
      <c r="K201" s="54">
        <v>805</v>
      </c>
      <c r="L201" s="54">
        <v>9.8999999999999773</v>
      </c>
      <c r="M201" s="56">
        <v>1.2148729905509852E-2</v>
      </c>
      <c r="N201" s="33" t="s">
        <v>914</v>
      </c>
      <c r="O201" s="83"/>
    </row>
    <row r="202" spans="1:15" x14ac:dyDescent="0.35">
      <c r="A202" s="32">
        <v>1800000748</v>
      </c>
      <c r="B202" s="33" t="s">
        <v>563</v>
      </c>
      <c r="C202" s="34">
        <v>45720</v>
      </c>
      <c r="D202" s="35">
        <v>246779410688</v>
      </c>
      <c r="E202" s="33" t="s">
        <v>559</v>
      </c>
      <c r="F202" s="36">
        <v>9.4</v>
      </c>
      <c r="G202" s="37" t="s">
        <v>560</v>
      </c>
      <c r="H202" s="38">
        <v>814.9</v>
      </c>
      <c r="I202" s="54">
        <v>0</v>
      </c>
      <c r="J202" s="54">
        <v>799</v>
      </c>
      <c r="K202" s="54">
        <v>799</v>
      </c>
      <c r="L202" s="54">
        <v>15.899999999999977</v>
      </c>
      <c r="M202" s="56">
        <v>1.9511596514909777E-2</v>
      </c>
      <c r="N202" s="33" t="s">
        <v>914</v>
      </c>
      <c r="O202" s="83"/>
    </row>
    <row r="203" spans="1:15" x14ac:dyDescent="0.35">
      <c r="A203" s="32">
        <v>1800000752</v>
      </c>
      <c r="B203" s="33" t="s">
        <v>563</v>
      </c>
      <c r="C203" s="34">
        <v>45720</v>
      </c>
      <c r="D203" s="35">
        <v>246779410692</v>
      </c>
      <c r="E203" s="33" t="s">
        <v>559</v>
      </c>
      <c r="F203" s="36">
        <v>9.4</v>
      </c>
      <c r="G203" s="37" t="s">
        <v>560</v>
      </c>
      <c r="H203" s="38">
        <v>814.9</v>
      </c>
      <c r="I203" s="54">
        <v>0</v>
      </c>
      <c r="J203" s="54">
        <v>805</v>
      </c>
      <c r="K203" s="54">
        <v>805</v>
      </c>
      <c r="L203" s="54">
        <v>9.8999999999999773</v>
      </c>
      <c r="M203" s="56">
        <v>1.2148729905509852E-2</v>
      </c>
      <c r="N203" s="33" t="s">
        <v>914</v>
      </c>
      <c r="O203" s="83"/>
    </row>
    <row r="204" spans="1:15" x14ac:dyDescent="0.35">
      <c r="A204" s="32">
        <v>1800000753</v>
      </c>
      <c r="B204" s="33" t="s">
        <v>563</v>
      </c>
      <c r="C204" s="34">
        <v>45720</v>
      </c>
      <c r="D204" s="35">
        <v>246779410693</v>
      </c>
      <c r="E204" s="33" t="s">
        <v>559</v>
      </c>
      <c r="F204" s="36">
        <v>9.4</v>
      </c>
      <c r="G204" s="37" t="s">
        <v>560</v>
      </c>
      <c r="H204" s="38">
        <v>814.9</v>
      </c>
      <c r="I204" s="54">
        <v>0</v>
      </c>
      <c r="J204" s="54">
        <v>805</v>
      </c>
      <c r="K204" s="54">
        <v>805</v>
      </c>
      <c r="L204" s="54">
        <v>9.8999999999999773</v>
      </c>
      <c r="M204" s="56">
        <v>1.2148729905509852E-2</v>
      </c>
      <c r="N204" s="33" t="s">
        <v>914</v>
      </c>
      <c r="O204" s="83"/>
    </row>
    <row r="205" spans="1:15" x14ac:dyDescent="0.35">
      <c r="A205" s="32">
        <v>1800000904</v>
      </c>
      <c r="B205" s="33" t="s">
        <v>563</v>
      </c>
      <c r="C205" s="34">
        <v>45720</v>
      </c>
      <c r="D205" s="35">
        <v>246779410845</v>
      </c>
      <c r="E205" s="33" t="s">
        <v>559</v>
      </c>
      <c r="F205" s="36">
        <v>9.4</v>
      </c>
      <c r="G205" s="37" t="s">
        <v>560</v>
      </c>
      <c r="H205" s="38">
        <v>814.9</v>
      </c>
      <c r="I205" s="54">
        <v>0</v>
      </c>
      <c r="J205" s="54">
        <v>805</v>
      </c>
      <c r="K205" s="54">
        <v>805</v>
      </c>
      <c r="L205" s="54">
        <v>9.8999999999999773</v>
      </c>
      <c r="M205" s="56">
        <v>1.2148729905509852E-2</v>
      </c>
      <c r="N205" s="33" t="s">
        <v>915</v>
      </c>
      <c r="O205" s="83"/>
    </row>
    <row r="206" spans="1:15" x14ac:dyDescent="0.35">
      <c r="A206" s="32">
        <v>1800000549</v>
      </c>
      <c r="B206" s="33" t="s">
        <v>563</v>
      </c>
      <c r="C206" s="34">
        <v>45719</v>
      </c>
      <c r="D206" s="35">
        <v>246779410499</v>
      </c>
      <c r="E206" s="33" t="s">
        <v>559</v>
      </c>
      <c r="F206" s="36">
        <v>9.4</v>
      </c>
      <c r="G206" s="37" t="s">
        <v>560</v>
      </c>
      <c r="H206" s="38">
        <v>814.9</v>
      </c>
      <c r="I206" s="54">
        <v>0</v>
      </c>
      <c r="J206" s="54">
        <v>804</v>
      </c>
      <c r="K206" s="54">
        <v>804</v>
      </c>
      <c r="L206" s="54">
        <v>10.899999999999977</v>
      </c>
      <c r="M206" s="56">
        <v>1.3375874340409839E-2</v>
      </c>
      <c r="N206" s="33" t="s">
        <v>928</v>
      </c>
      <c r="O206" s="83"/>
    </row>
    <row r="207" spans="1:15" x14ac:dyDescent="0.35">
      <c r="A207" s="32">
        <v>1800000668</v>
      </c>
      <c r="B207" s="33" t="s">
        <v>563</v>
      </c>
      <c r="C207" s="34">
        <v>45719</v>
      </c>
      <c r="D207" s="35">
        <v>246779410608</v>
      </c>
      <c r="E207" s="33" t="s">
        <v>559</v>
      </c>
      <c r="F207" s="36">
        <v>9.4</v>
      </c>
      <c r="G207" s="37" t="s">
        <v>560</v>
      </c>
      <c r="H207" s="38">
        <v>814.9</v>
      </c>
      <c r="I207" s="54">
        <v>0</v>
      </c>
      <c r="J207" s="54">
        <v>804</v>
      </c>
      <c r="K207" s="54">
        <v>804</v>
      </c>
      <c r="L207" s="54">
        <v>10.899999999999977</v>
      </c>
      <c r="M207" s="56">
        <v>1.3375874340409839E-2</v>
      </c>
      <c r="N207" s="33" t="s">
        <v>906</v>
      </c>
      <c r="O207" s="83"/>
    </row>
    <row r="208" spans="1:15" x14ac:dyDescent="0.35">
      <c r="A208" s="32">
        <v>1800000673</v>
      </c>
      <c r="B208" s="33" t="s">
        <v>563</v>
      </c>
      <c r="C208" s="34">
        <v>45719</v>
      </c>
      <c r="D208" s="35">
        <v>246779410613</v>
      </c>
      <c r="E208" s="33" t="s">
        <v>559</v>
      </c>
      <c r="F208" s="36">
        <v>9.4</v>
      </c>
      <c r="G208" s="37" t="s">
        <v>560</v>
      </c>
      <c r="H208" s="38">
        <v>814.9</v>
      </c>
      <c r="I208" s="54">
        <v>0</v>
      </c>
      <c r="J208" s="54">
        <v>804</v>
      </c>
      <c r="K208" s="54">
        <v>804</v>
      </c>
      <c r="L208" s="54">
        <v>10.899999999999977</v>
      </c>
      <c r="M208" s="56">
        <v>1.3375874340409839E-2</v>
      </c>
      <c r="N208" s="33" t="s">
        <v>906</v>
      </c>
      <c r="O208" s="83"/>
    </row>
    <row r="209" spans="1:15" x14ac:dyDescent="0.35">
      <c r="A209" s="32">
        <v>1800005188</v>
      </c>
      <c r="B209" s="33" t="s">
        <v>563</v>
      </c>
      <c r="C209" s="34">
        <v>45750</v>
      </c>
      <c r="D209" s="35">
        <v>256779410134</v>
      </c>
      <c r="E209" s="33" t="s">
        <v>559</v>
      </c>
      <c r="F209" s="36">
        <v>7.5</v>
      </c>
      <c r="G209" s="37" t="s">
        <v>560</v>
      </c>
      <c r="H209" s="38">
        <v>651.91</v>
      </c>
      <c r="I209" s="54">
        <v>0</v>
      </c>
      <c r="J209" s="54">
        <v>639</v>
      </c>
      <c r="K209" s="54">
        <v>639</v>
      </c>
      <c r="L209" s="54">
        <v>12.909999999999968</v>
      </c>
      <c r="M209" s="56">
        <v>1.9803347087788144E-2</v>
      </c>
      <c r="N209" s="33" t="s">
        <v>600</v>
      </c>
      <c r="O209" s="83"/>
    </row>
    <row r="210" spans="1:15" x14ac:dyDescent="0.35">
      <c r="A210" s="32">
        <v>1800003757</v>
      </c>
      <c r="B210" s="33" t="s">
        <v>563</v>
      </c>
      <c r="C210" s="34">
        <v>45736</v>
      </c>
      <c r="D210" s="35">
        <v>246779413624</v>
      </c>
      <c r="E210" s="33" t="s">
        <v>559</v>
      </c>
      <c r="F210" s="36">
        <v>7.05</v>
      </c>
      <c r="G210" s="37" t="s">
        <v>560</v>
      </c>
      <c r="H210" s="38">
        <v>611.16999999999996</v>
      </c>
      <c r="I210" s="54">
        <v>0</v>
      </c>
      <c r="J210" s="54">
        <v>596</v>
      </c>
      <c r="K210" s="54">
        <v>596</v>
      </c>
      <c r="L210" s="54">
        <v>15.169999999999959</v>
      </c>
      <c r="M210" s="56">
        <v>2.4821244498257376E-2</v>
      </c>
      <c r="N210" s="33" t="s">
        <v>860</v>
      </c>
      <c r="O210" s="83"/>
    </row>
    <row r="211" spans="1:15" x14ac:dyDescent="0.35">
      <c r="A211" s="32">
        <v>1800003829</v>
      </c>
      <c r="B211" s="33" t="s">
        <v>563</v>
      </c>
      <c r="C211" s="34">
        <v>45736</v>
      </c>
      <c r="D211" s="35">
        <v>246779413691</v>
      </c>
      <c r="E211" s="33" t="s">
        <v>559</v>
      </c>
      <c r="F211" s="36">
        <v>7.05</v>
      </c>
      <c r="G211" s="37" t="s">
        <v>560</v>
      </c>
      <c r="H211" s="38">
        <v>611.16999999999996</v>
      </c>
      <c r="I211" s="54">
        <v>0</v>
      </c>
      <c r="J211" s="54">
        <v>596</v>
      </c>
      <c r="K211" s="54">
        <v>596</v>
      </c>
      <c r="L211" s="54">
        <v>15.169999999999959</v>
      </c>
      <c r="M211" s="56">
        <v>2.4821244498257376E-2</v>
      </c>
      <c r="N211" s="33" t="s">
        <v>860</v>
      </c>
      <c r="O211" s="83"/>
    </row>
    <row r="212" spans="1:15" x14ac:dyDescent="0.35">
      <c r="A212" s="32">
        <v>1800003914</v>
      </c>
      <c r="B212" s="33" t="s">
        <v>563</v>
      </c>
      <c r="C212" s="34">
        <v>45736</v>
      </c>
      <c r="D212" s="35">
        <v>246779413782</v>
      </c>
      <c r="E212" s="33" t="s">
        <v>559</v>
      </c>
      <c r="F212" s="36">
        <v>7.05</v>
      </c>
      <c r="G212" s="37" t="s">
        <v>560</v>
      </c>
      <c r="H212" s="38">
        <v>611.16999999999996</v>
      </c>
      <c r="I212" s="54">
        <v>0</v>
      </c>
      <c r="J212" s="54">
        <v>596</v>
      </c>
      <c r="K212" s="54">
        <v>596</v>
      </c>
      <c r="L212" s="54">
        <v>15.169999999999959</v>
      </c>
      <c r="M212" s="56">
        <v>2.4821244498257376E-2</v>
      </c>
      <c r="N212" s="33" t="s">
        <v>604</v>
      </c>
      <c r="O212" s="83"/>
    </row>
    <row r="213" spans="1:15" x14ac:dyDescent="0.35">
      <c r="A213" s="32">
        <v>1800000744</v>
      </c>
      <c r="B213" s="33" t="s">
        <v>563</v>
      </c>
      <c r="C213" s="34">
        <v>45720</v>
      </c>
      <c r="D213" s="35">
        <v>246779410684</v>
      </c>
      <c r="E213" s="33" t="s">
        <v>559</v>
      </c>
      <c r="F213" s="36">
        <v>7.05</v>
      </c>
      <c r="G213" s="37" t="s">
        <v>560</v>
      </c>
      <c r="H213" s="38">
        <v>611.16999999999996</v>
      </c>
      <c r="I213" s="54">
        <v>0</v>
      </c>
      <c r="J213" s="54">
        <v>604</v>
      </c>
      <c r="K213" s="54">
        <v>604</v>
      </c>
      <c r="L213" s="54">
        <v>7.1699999999999591</v>
      </c>
      <c r="M213" s="56">
        <v>1.173159677340177E-2</v>
      </c>
      <c r="N213" s="33" t="s">
        <v>914</v>
      </c>
      <c r="O213" s="83"/>
    </row>
    <row r="214" spans="1:15" x14ac:dyDescent="0.35">
      <c r="A214" s="32">
        <v>1800000751</v>
      </c>
      <c r="B214" s="33" t="s">
        <v>563</v>
      </c>
      <c r="C214" s="34">
        <v>45720</v>
      </c>
      <c r="D214" s="35">
        <v>246779410691</v>
      </c>
      <c r="E214" s="33" t="s">
        <v>559</v>
      </c>
      <c r="F214" s="36">
        <v>7.05</v>
      </c>
      <c r="G214" s="37" t="s">
        <v>560</v>
      </c>
      <c r="H214" s="38">
        <v>611.16999999999996</v>
      </c>
      <c r="I214" s="54">
        <v>0</v>
      </c>
      <c r="J214" s="54">
        <v>604</v>
      </c>
      <c r="K214" s="54">
        <v>604</v>
      </c>
      <c r="L214" s="54">
        <v>7.1699999999999591</v>
      </c>
      <c r="M214" s="56">
        <v>1.173159677340177E-2</v>
      </c>
      <c r="N214" s="33" t="s">
        <v>914</v>
      </c>
      <c r="O214" s="83"/>
    </row>
    <row r="215" spans="1:15" x14ac:dyDescent="0.35">
      <c r="A215" s="32">
        <v>1800000819</v>
      </c>
      <c r="B215" s="33" t="s">
        <v>563</v>
      </c>
      <c r="C215" s="34">
        <v>45720</v>
      </c>
      <c r="D215" s="35">
        <v>246779410759</v>
      </c>
      <c r="E215" s="33" t="s">
        <v>559</v>
      </c>
      <c r="F215" s="36">
        <v>7.05</v>
      </c>
      <c r="G215" s="37" t="s">
        <v>560</v>
      </c>
      <c r="H215" s="38">
        <v>611.16999999999996</v>
      </c>
      <c r="I215" s="54">
        <v>0</v>
      </c>
      <c r="J215" s="54">
        <v>604</v>
      </c>
      <c r="K215" s="54">
        <v>604</v>
      </c>
      <c r="L215" s="54">
        <v>7.1699999999999591</v>
      </c>
      <c r="M215" s="56">
        <v>1.173159677340177E-2</v>
      </c>
      <c r="N215" s="33" t="s">
        <v>907</v>
      </c>
      <c r="O215" s="83"/>
    </row>
    <row r="216" spans="1:15" x14ac:dyDescent="0.35">
      <c r="A216" s="32">
        <v>1800000900</v>
      </c>
      <c r="B216" s="33" t="s">
        <v>563</v>
      </c>
      <c r="C216" s="34">
        <v>45720</v>
      </c>
      <c r="D216" s="35">
        <v>246779410841</v>
      </c>
      <c r="E216" s="33" t="s">
        <v>559</v>
      </c>
      <c r="F216" s="36">
        <v>7.05</v>
      </c>
      <c r="G216" s="37" t="s">
        <v>560</v>
      </c>
      <c r="H216" s="38">
        <v>611.16999999999996</v>
      </c>
      <c r="I216" s="54">
        <v>0</v>
      </c>
      <c r="J216" s="54">
        <v>604</v>
      </c>
      <c r="K216" s="54">
        <v>604</v>
      </c>
      <c r="L216" s="54">
        <v>7.1699999999999591</v>
      </c>
      <c r="M216" s="56">
        <v>1.173159677340177E-2</v>
      </c>
      <c r="N216" s="33" t="s">
        <v>915</v>
      </c>
      <c r="O216" s="83"/>
    </row>
    <row r="217" spans="1:15" x14ac:dyDescent="0.35">
      <c r="A217" s="32">
        <v>1800000555</v>
      </c>
      <c r="B217" s="33" t="s">
        <v>563</v>
      </c>
      <c r="C217" s="34">
        <v>45719</v>
      </c>
      <c r="D217" s="35">
        <v>246779410505</v>
      </c>
      <c r="E217" s="33" t="s">
        <v>559</v>
      </c>
      <c r="F217" s="36">
        <v>7.05</v>
      </c>
      <c r="G217" s="37" t="s">
        <v>560</v>
      </c>
      <c r="H217" s="38">
        <v>611.16999999999996</v>
      </c>
      <c r="I217" s="54">
        <v>0</v>
      </c>
      <c r="J217" s="54">
        <v>603</v>
      </c>
      <c r="K217" s="54">
        <v>603</v>
      </c>
      <c r="L217" s="54">
        <v>8.1699999999999591</v>
      </c>
      <c r="M217" s="56">
        <v>1.336780273900872E-2</v>
      </c>
      <c r="N217" s="33" t="s">
        <v>928</v>
      </c>
      <c r="O217" s="83"/>
    </row>
    <row r="218" spans="1:15" x14ac:dyDescent="0.35">
      <c r="A218" s="32">
        <v>1800008665</v>
      </c>
      <c r="B218" s="33" t="s">
        <v>563</v>
      </c>
      <c r="C218" s="34">
        <v>45798</v>
      </c>
      <c r="D218" s="35">
        <v>256779413429</v>
      </c>
      <c r="E218" s="33" t="s">
        <v>559</v>
      </c>
      <c r="F218" s="36">
        <v>7.05</v>
      </c>
      <c r="G218" s="37" t="s">
        <v>560</v>
      </c>
      <c r="H218" s="38">
        <v>606.19000000000005</v>
      </c>
      <c r="I218" s="54">
        <v>0</v>
      </c>
      <c r="J218" s="54">
        <v>601</v>
      </c>
      <c r="K218" s="54">
        <v>601</v>
      </c>
      <c r="L218" s="54">
        <v>5.1900000000000546</v>
      </c>
      <c r="M218" s="56">
        <v>8.561672083010367E-3</v>
      </c>
      <c r="N218" s="33" t="s">
        <v>625</v>
      </c>
      <c r="O218" s="83"/>
    </row>
    <row r="219" spans="1:15" x14ac:dyDescent="0.35">
      <c r="A219" s="32">
        <v>1800010288</v>
      </c>
      <c r="B219" s="33" t="s">
        <v>563</v>
      </c>
      <c r="C219" s="34">
        <v>45842</v>
      </c>
      <c r="D219" s="35">
        <v>256779415048</v>
      </c>
      <c r="E219" s="33" t="s">
        <v>559</v>
      </c>
      <c r="F219" s="36">
        <v>6.43</v>
      </c>
      <c r="G219" s="37" t="s">
        <v>560</v>
      </c>
      <c r="H219" s="38">
        <v>552.98</v>
      </c>
      <c r="I219" s="54">
        <v>0</v>
      </c>
      <c r="J219" s="54">
        <v>552.98429999999996</v>
      </c>
      <c r="K219" s="54">
        <v>552.98429999999996</v>
      </c>
      <c r="L219" s="54">
        <v>-4.2999999999437932E-3</v>
      </c>
      <c r="M219" s="56">
        <v>-7.7760497666168628E-6</v>
      </c>
      <c r="N219" s="33" t="s">
        <v>810</v>
      </c>
      <c r="O219" s="83"/>
    </row>
    <row r="220" spans="1:15" x14ac:dyDescent="0.35">
      <c r="A220" s="32">
        <v>1800012788</v>
      </c>
      <c r="B220" s="33" t="s">
        <v>563</v>
      </c>
      <c r="C220" s="34">
        <v>45917</v>
      </c>
      <c r="D220" s="35">
        <v>256779417442</v>
      </c>
      <c r="E220" s="33" t="s">
        <v>559</v>
      </c>
      <c r="F220" s="36">
        <v>6.23</v>
      </c>
      <c r="G220" s="37" t="s">
        <v>560</v>
      </c>
      <c r="H220" s="38">
        <v>545.21</v>
      </c>
      <c r="I220" s="54">
        <v>0</v>
      </c>
      <c r="J220" s="54">
        <v>545.21420000000001</v>
      </c>
      <c r="K220" s="54">
        <v>545.21420000000001</v>
      </c>
      <c r="L220" s="54">
        <v>-4.1999999999688953E-3</v>
      </c>
      <c r="M220" s="56">
        <v>-7.7034537150252102E-6</v>
      </c>
      <c r="N220" s="33" t="s">
        <v>768</v>
      </c>
      <c r="O220" s="83"/>
    </row>
    <row r="221" spans="1:15" x14ac:dyDescent="0.35">
      <c r="A221" s="32">
        <v>1800006995</v>
      </c>
      <c r="B221" s="33" t="s">
        <v>563</v>
      </c>
      <c r="C221" s="34">
        <v>45763</v>
      </c>
      <c r="D221" s="35">
        <v>256779411886</v>
      </c>
      <c r="E221" s="33" t="s">
        <v>559</v>
      </c>
      <c r="F221" s="36">
        <v>5.25</v>
      </c>
      <c r="G221" s="37" t="s">
        <v>560</v>
      </c>
      <c r="H221" s="38">
        <v>456.34</v>
      </c>
      <c r="I221" s="54">
        <v>0</v>
      </c>
      <c r="J221" s="54">
        <v>447</v>
      </c>
      <c r="K221" s="54">
        <v>447</v>
      </c>
      <c r="L221" s="54">
        <v>9.339999999999975</v>
      </c>
      <c r="M221" s="56">
        <v>2.0467195512118105E-2</v>
      </c>
      <c r="N221" s="33" t="s">
        <v>781</v>
      </c>
      <c r="O221" s="83"/>
    </row>
    <row r="222" spans="1:15" x14ac:dyDescent="0.35">
      <c r="A222" s="32">
        <v>1800003762</v>
      </c>
      <c r="B222" s="33" t="s">
        <v>563</v>
      </c>
      <c r="C222" s="34">
        <v>45736</v>
      </c>
      <c r="D222" s="35">
        <v>246779413629</v>
      </c>
      <c r="E222" s="33" t="s">
        <v>559</v>
      </c>
      <c r="F222" s="36">
        <v>4.7</v>
      </c>
      <c r="G222" s="37" t="s">
        <v>560</v>
      </c>
      <c r="H222" s="38">
        <v>407.45</v>
      </c>
      <c r="I222" s="54">
        <v>0</v>
      </c>
      <c r="J222" s="54">
        <v>397</v>
      </c>
      <c r="K222" s="54">
        <v>397</v>
      </c>
      <c r="L222" s="54">
        <v>10.449999999999989</v>
      </c>
      <c r="M222" s="56">
        <v>2.5647318689409716E-2</v>
      </c>
      <c r="N222" s="33" t="s">
        <v>860</v>
      </c>
      <c r="O222" s="83"/>
    </row>
    <row r="223" spans="1:15" x14ac:dyDescent="0.35">
      <c r="A223" s="32">
        <v>1800000749</v>
      </c>
      <c r="B223" s="33" t="s">
        <v>563</v>
      </c>
      <c r="C223" s="34">
        <v>45720</v>
      </c>
      <c r="D223" s="35">
        <v>246779410689</v>
      </c>
      <c r="E223" s="33" t="s">
        <v>559</v>
      </c>
      <c r="F223" s="36">
        <v>4.7</v>
      </c>
      <c r="G223" s="37" t="s">
        <v>560</v>
      </c>
      <c r="H223" s="38">
        <v>407.45</v>
      </c>
      <c r="I223" s="54">
        <v>0</v>
      </c>
      <c r="J223" s="54">
        <v>403</v>
      </c>
      <c r="K223" s="54">
        <v>403</v>
      </c>
      <c r="L223" s="54">
        <v>4.4499999999999886</v>
      </c>
      <c r="M223" s="56">
        <v>1.0921585470609863E-2</v>
      </c>
      <c r="N223" s="33" t="s">
        <v>914</v>
      </c>
      <c r="O223" s="83"/>
    </row>
    <row r="224" spans="1:15" x14ac:dyDescent="0.35">
      <c r="A224" s="32">
        <v>1800000816</v>
      </c>
      <c r="B224" s="33" t="s">
        <v>563</v>
      </c>
      <c r="C224" s="34">
        <v>45720</v>
      </c>
      <c r="D224" s="35">
        <v>246779410756</v>
      </c>
      <c r="E224" s="33" t="s">
        <v>559</v>
      </c>
      <c r="F224" s="36">
        <v>4.7</v>
      </c>
      <c r="G224" s="37" t="s">
        <v>560</v>
      </c>
      <c r="H224" s="38">
        <v>407.45</v>
      </c>
      <c r="I224" s="54">
        <v>0</v>
      </c>
      <c r="J224" s="54">
        <v>403</v>
      </c>
      <c r="K224" s="54">
        <v>403</v>
      </c>
      <c r="L224" s="54">
        <v>4.4499999999999886</v>
      </c>
      <c r="M224" s="56">
        <v>1.0921585470609863E-2</v>
      </c>
      <c r="N224" s="33" t="s">
        <v>907</v>
      </c>
      <c r="O224" s="83"/>
    </row>
    <row r="225" spans="1:15" x14ac:dyDescent="0.35">
      <c r="A225" s="32">
        <v>1800000817</v>
      </c>
      <c r="B225" s="33" t="s">
        <v>563</v>
      </c>
      <c r="C225" s="34">
        <v>45720</v>
      </c>
      <c r="D225" s="35">
        <v>246779410757</v>
      </c>
      <c r="E225" s="33" t="s">
        <v>559</v>
      </c>
      <c r="F225" s="36">
        <v>4.7</v>
      </c>
      <c r="G225" s="37" t="s">
        <v>560</v>
      </c>
      <c r="H225" s="38">
        <v>407.45</v>
      </c>
      <c r="I225" s="54">
        <v>0</v>
      </c>
      <c r="J225" s="54">
        <v>403</v>
      </c>
      <c r="K225" s="54">
        <v>403</v>
      </c>
      <c r="L225" s="54">
        <v>4.4499999999999886</v>
      </c>
      <c r="M225" s="56">
        <v>1.0921585470609863E-2</v>
      </c>
      <c r="N225" s="33" t="s">
        <v>907</v>
      </c>
      <c r="O225" s="83"/>
    </row>
    <row r="226" spans="1:15" x14ac:dyDescent="0.35">
      <c r="A226" s="32">
        <v>1800000822</v>
      </c>
      <c r="B226" s="33" t="s">
        <v>563</v>
      </c>
      <c r="C226" s="34">
        <v>45720</v>
      </c>
      <c r="D226" s="35">
        <v>246779410762</v>
      </c>
      <c r="E226" s="33" t="s">
        <v>559</v>
      </c>
      <c r="F226" s="36">
        <v>4.7</v>
      </c>
      <c r="G226" s="37" t="s">
        <v>560</v>
      </c>
      <c r="H226" s="38">
        <v>407.45</v>
      </c>
      <c r="I226" s="54">
        <v>0</v>
      </c>
      <c r="J226" s="54">
        <v>403</v>
      </c>
      <c r="K226" s="54">
        <v>403</v>
      </c>
      <c r="L226" s="54">
        <v>4.4499999999999886</v>
      </c>
      <c r="M226" s="56">
        <v>1.0921585470609863E-2</v>
      </c>
      <c r="N226" s="33" t="s">
        <v>907</v>
      </c>
      <c r="O226" s="83"/>
    </row>
    <row r="227" spans="1:15" x14ac:dyDescent="0.35">
      <c r="A227" s="32">
        <v>1800000826</v>
      </c>
      <c r="B227" s="33" t="s">
        <v>563</v>
      </c>
      <c r="C227" s="34">
        <v>45720</v>
      </c>
      <c r="D227" s="35">
        <v>246779410766</v>
      </c>
      <c r="E227" s="33" t="s">
        <v>559</v>
      </c>
      <c r="F227" s="36">
        <v>4.7</v>
      </c>
      <c r="G227" s="37" t="s">
        <v>560</v>
      </c>
      <c r="H227" s="38">
        <v>407.45</v>
      </c>
      <c r="I227" s="54">
        <v>0</v>
      </c>
      <c r="J227" s="54">
        <v>403</v>
      </c>
      <c r="K227" s="54">
        <v>403</v>
      </c>
      <c r="L227" s="54">
        <v>4.4499999999999886</v>
      </c>
      <c r="M227" s="56">
        <v>1.0921585470609863E-2</v>
      </c>
      <c r="N227" s="33" t="s">
        <v>907</v>
      </c>
      <c r="O227" s="83"/>
    </row>
    <row r="228" spans="1:15" x14ac:dyDescent="0.35">
      <c r="A228" s="32">
        <v>1800000901</v>
      </c>
      <c r="B228" s="33" t="s">
        <v>563</v>
      </c>
      <c r="C228" s="34">
        <v>45720</v>
      </c>
      <c r="D228" s="35">
        <v>246779410842</v>
      </c>
      <c r="E228" s="33" t="s">
        <v>559</v>
      </c>
      <c r="F228" s="36">
        <v>4.7</v>
      </c>
      <c r="G228" s="37" t="s">
        <v>560</v>
      </c>
      <c r="H228" s="38">
        <v>407.45</v>
      </c>
      <c r="I228" s="54">
        <v>0</v>
      </c>
      <c r="J228" s="54">
        <v>403</v>
      </c>
      <c r="K228" s="54">
        <v>403</v>
      </c>
      <c r="L228" s="54">
        <v>4.4499999999999886</v>
      </c>
      <c r="M228" s="56">
        <v>1.0921585470609863E-2</v>
      </c>
      <c r="N228" s="33" t="s">
        <v>915</v>
      </c>
      <c r="O228" s="83"/>
    </row>
    <row r="229" spans="1:15" x14ac:dyDescent="0.35">
      <c r="A229" s="32">
        <v>1800000902</v>
      </c>
      <c r="B229" s="33" t="s">
        <v>563</v>
      </c>
      <c r="C229" s="34">
        <v>45720</v>
      </c>
      <c r="D229" s="35">
        <v>246779410843</v>
      </c>
      <c r="E229" s="33" t="s">
        <v>559</v>
      </c>
      <c r="F229" s="36">
        <v>4.7</v>
      </c>
      <c r="G229" s="37" t="s">
        <v>560</v>
      </c>
      <c r="H229" s="38">
        <v>407.45</v>
      </c>
      <c r="I229" s="54">
        <v>0</v>
      </c>
      <c r="J229" s="54">
        <v>403</v>
      </c>
      <c r="K229" s="54">
        <v>403</v>
      </c>
      <c r="L229" s="54">
        <v>4.4499999999999886</v>
      </c>
      <c r="M229" s="56">
        <v>1.0921585470609863E-2</v>
      </c>
      <c r="N229" s="33" t="s">
        <v>915</v>
      </c>
      <c r="O229" s="83"/>
    </row>
    <row r="230" spans="1:15" x14ac:dyDescent="0.35">
      <c r="A230" s="32">
        <v>1800000903</v>
      </c>
      <c r="B230" s="33" t="s">
        <v>563</v>
      </c>
      <c r="C230" s="34">
        <v>45720</v>
      </c>
      <c r="D230" s="35">
        <v>246779410844</v>
      </c>
      <c r="E230" s="33" t="s">
        <v>559</v>
      </c>
      <c r="F230" s="36">
        <v>4.7</v>
      </c>
      <c r="G230" s="37" t="s">
        <v>560</v>
      </c>
      <c r="H230" s="38">
        <v>407.45</v>
      </c>
      <c r="I230" s="54">
        <v>0</v>
      </c>
      <c r="J230" s="54">
        <v>403</v>
      </c>
      <c r="K230" s="54">
        <v>403</v>
      </c>
      <c r="L230" s="54">
        <v>4.4499999999999886</v>
      </c>
      <c r="M230" s="56">
        <v>1.0921585470609863E-2</v>
      </c>
      <c r="N230" s="33" t="s">
        <v>915</v>
      </c>
      <c r="O230" s="83"/>
    </row>
    <row r="231" spans="1:15" x14ac:dyDescent="0.35">
      <c r="A231" s="32">
        <v>1800001034</v>
      </c>
      <c r="B231" s="33" t="s">
        <v>563</v>
      </c>
      <c r="C231" s="34">
        <v>45722</v>
      </c>
      <c r="D231" s="35">
        <v>246779410974</v>
      </c>
      <c r="E231" s="33" t="s">
        <v>559</v>
      </c>
      <c r="F231" s="36">
        <v>4.7</v>
      </c>
      <c r="G231" s="37" t="s">
        <v>560</v>
      </c>
      <c r="H231" s="38">
        <v>407.45</v>
      </c>
      <c r="I231" s="54">
        <v>0</v>
      </c>
      <c r="J231" s="54">
        <v>401</v>
      </c>
      <c r="K231" s="54">
        <v>401</v>
      </c>
      <c r="L231" s="54">
        <v>6.4499999999999886</v>
      </c>
      <c r="M231" s="56">
        <v>1.5830163210209813E-2</v>
      </c>
      <c r="N231" s="33" t="s">
        <v>924</v>
      </c>
      <c r="O231" s="83"/>
    </row>
    <row r="232" spans="1:15" x14ac:dyDescent="0.35">
      <c r="A232" s="32">
        <v>1800000556</v>
      </c>
      <c r="B232" s="33" t="s">
        <v>563</v>
      </c>
      <c r="C232" s="34">
        <v>45719</v>
      </c>
      <c r="D232" s="35">
        <v>246779410506</v>
      </c>
      <c r="E232" s="33" t="s">
        <v>559</v>
      </c>
      <c r="F232" s="36">
        <v>4.7</v>
      </c>
      <c r="G232" s="37" t="s">
        <v>560</v>
      </c>
      <c r="H232" s="38">
        <v>407.45</v>
      </c>
      <c r="I232" s="54">
        <v>0</v>
      </c>
      <c r="J232" s="54">
        <v>402</v>
      </c>
      <c r="K232" s="54">
        <v>402</v>
      </c>
      <c r="L232" s="54">
        <v>5.4499999999999886</v>
      </c>
      <c r="M232" s="56">
        <v>1.3375874340409839E-2</v>
      </c>
      <c r="N232" s="33" t="s">
        <v>928</v>
      </c>
      <c r="O232" s="83"/>
    </row>
    <row r="233" spans="1:15" x14ac:dyDescent="0.35">
      <c r="A233" s="32">
        <v>1800000666</v>
      </c>
      <c r="B233" s="33" t="s">
        <v>563</v>
      </c>
      <c r="C233" s="34">
        <v>45719</v>
      </c>
      <c r="D233" s="35">
        <v>246779410606</v>
      </c>
      <c r="E233" s="33" t="s">
        <v>559</v>
      </c>
      <c r="F233" s="36">
        <v>4.7</v>
      </c>
      <c r="G233" s="37" t="s">
        <v>560</v>
      </c>
      <c r="H233" s="38">
        <v>407.45</v>
      </c>
      <c r="I233" s="54">
        <v>0</v>
      </c>
      <c r="J233" s="54">
        <v>402</v>
      </c>
      <c r="K233" s="54">
        <v>402</v>
      </c>
      <c r="L233" s="54">
        <v>5.4499999999999886</v>
      </c>
      <c r="M233" s="56">
        <v>1.3375874340409839E-2</v>
      </c>
      <c r="N233" s="33" t="s">
        <v>906</v>
      </c>
      <c r="O233" s="83"/>
    </row>
    <row r="234" spans="1:15" x14ac:dyDescent="0.35">
      <c r="A234" s="32">
        <v>1800000667</v>
      </c>
      <c r="B234" s="33" t="s">
        <v>563</v>
      </c>
      <c r="C234" s="34">
        <v>45719</v>
      </c>
      <c r="D234" s="35">
        <v>246779410607</v>
      </c>
      <c r="E234" s="33" t="s">
        <v>559</v>
      </c>
      <c r="F234" s="36">
        <v>4.7</v>
      </c>
      <c r="G234" s="37" t="s">
        <v>560</v>
      </c>
      <c r="H234" s="38">
        <v>407.45</v>
      </c>
      <c r="I234" s="54">
        <v>0</v>
      </c>
      <c r="J234" s="54">
        <v>402</v>
      </c>
      <c r="K234" s="54">
        <v>402</v>
      </c>
      <c r="L234" s="54">
        <v>5.4499999999999886</v>
      </c>
      <c r="M234" s="56">
        <v>1.3375874340409839E-2</v>
      </c>
      <c r="N234" s="33" t="s">
        <v>906</v>
      </c>
      <c r="O234" s="83"/>
    </row>
    <row r="235" spans="1:15" x14ac:dyDescent="0.35">
      <c r="A235" s="32">
        <v>1800000671</v>
      </c>
      <c r="B235" s="33" t="s">
        <v>563</v>
      </c>
      <c r="C235" s="34">
        <v>45719</v>
      </c>
      <c r="D235" s="35">
        <v>246779410611</v>
      </c>
      <c r="E235" s="33" t="s">
        <v>559</v>
      </c>
      <c r="F235" s="36">
        <v>4.7</v>
      </c>
      <c r="G235" s="37" t="s">
        <v>560</v>
      </c>
      <c r="H235" s="38">
        <v>407.45</v>
      </c>
      <c r="I235" s="54">
        <v>0</v>
      </c>
      <c r="J235" s="54">
        <v>402</v>
      </c>
      <c r="K235" s="54">
        <v>402</v>
      </c>
      <c r="L235" s="54">
        <v>5.4499999999999886</v>
      </c>
      <c r="M235" s="56">
        <v>1.3375874340409839E-2</v>
      </c>
      <c r="N235" s="33" t="s">
        <v>906</v>
      </c>
      <c r="O235" s="83"/>
    </row>
    <row r="236" spans="1:15" x14ac:dyDescent="0.35">
      <c r="A236" s="32">
        <v>1800005189</v>
      </c>
      <c r="B236" s="33" t="s">
        <v>563</v>
      </c>
      <c r="C236" s="34">
        <v>45750</v>
      </c>
      <c r="D236" s="35">
        <v>256779410135</v>
      </c>
      <c r="E236" s="33" t="s">
        <v>559</v>
      </c>
      <c r="F236" s="36">
        <v>3.75</v>
      </c>
      <c r="G236" s="37" t="s">
        <v>560</v>
      </c>
      <c r="H236" s="38">
        <v>325.95999999999998</v>
      </c>
      <c r="I236" s="54">
        <v>0</v>
      </c>
      <c r="J236" s="54">
        <v>319</v>
      </c>
      <c r="K236" s="54">
        <v>319</v>
      </c>
      <c r="L236" s="54">
        <v>6.9599999999999795</v>
      </c>
      <c r="M236" s="56">
        <v>2.1352313167259725E-2</v>
      </c>
      <c r="N236" s="33" t="s">
        <v>601</v>
      </c>
      <c r="O236" s="83"/>
    </row>
    <row r="237" spans="1:15" x14ac:dyDescent="0.35">
      <c r="A237" s="32">
        <v>1800013945</v>
      </c>
      <c r="B237" s="33" t="s">
        <v>563</v>
      </c>
      <c r="C237" s="34">
        <v>45951</v>
      </c>
      <c r="D237" s="35">
        <v>256779418477</v>
      </c>
      <c r="E237" s="33" t="s">
        <v>559</v>
      </c>
      <c r="F237" s="36">
        <v>3.4</v>
      </c>
      <c r="G237" s="37" t="s">
        <v>560</v>
      </c>
      <c r="H237" s="38">
        <v>299.85000000000002</v>
      </c>
      <c r="I237" s="54">
        <v>0</v>
      </c>
      <c r="J237" s="54">
        <v>299.84859999999998</v>
      </c>
      <c r="K237" s="54">
        <v>299.84859999999998</v>
      </c>
      <c r="L237" s="54">
        <v>1.4000000000464752E-3</v>
      </c>
      <c r="M237" s="56">
        <v>4.669001167405286E-6</v>
      </c>
      <c r="N237" s="33" t="s">
        <v>630</v>
      </c>
      <c r="O237" s="83"/>
    </row>
    <row r="238" spans="1:15" x14ac:dyDescent="0.35">
      <c r="A238" s="32">
        <v>1800013962</v>
      </c>
      <c r="B238" s="33" t="s">
        <v>563</v>
      </c>
      <c r="C238" s="34">
        <v>45951</v>
      </c>
      <c r="D238" s="35">
        <v>256779418492</v>
      </c>
      <c r="E238" s="33" t="s">
        <v>559</v>
      </c>
      <c r="F238" s="36">
        <v>3.4</v>
      </c>
      <c r="G238" s="37" t="s">
        <v>560</v>
      </c>
      <c r="H238" s="38">
        <v>299.85000000000002</v>
      </c>
      <c r="I238" s="54">
        <v>6</v>
      </c>
      <c r="J238" s="54">
        <v>306</v>
      </c>
      <c r="K238" s="54">
        <v>300</v>
      </c>
      <c r="L238" s="54">
        <v>-0.14999999999997726</v>
      </c>
      <c r="M238" s="56">
        <v>-5.0025012506245544E-4</v>
      </c>
      <c r="N238" s="33" t="s">
        <v>630</v>
      </c>
      <c r="O238" s="83"/>
    </row>
    <row r="239" spans="1:15" x14ac:dyDescent="0.35">
      <c r="A239" s="32">
        <v>1800004866</v>
      </c>
      <c r="B239" s="33" t="s">
        <v>563</v>
      </c>
      <c r="C239" s="34">
        <v>45736</v>
      </c>
      <c r="D239" s="35">
        <v>246779414734</v>
      </c>
      <c r="E239" s="33" t="s">
        <v>559</v>
      </c>
      <c r="F239" s="36">
        <v>2.5</v>
      </c>
      <c r="G239" s="37" t="s">
        <v>560</v>
      </c>
      <c r="H239" s="38">
        <v>216.73</v>
      </c>
      <c r="I239" s="54">
        <v>0</v>
      </c>
      <c r="J239" s="54">
        <v>211</v>
      </c>
      <c r="K239" s="54">
        <v>211</v>
      </c>
      <c r="L239" s="54">
        <v>5.7299999999999898</v>
      </c>
      <c r="M239" s="56">
        <v>2.6438425690951829E-2</v>
      </c>
      <c r="N239" s="33" t="s">
        <v>860</v>
      </c>
      <c r="O239" s="83"/>
    </row>
    <row r="240" spans="1:15" x14ac:dyDescent="0.35">
      <c r="A240" s="32">
        <v>1800005017</v>
      </c>
      <c r="B240" s="33" t="s">
        <v>563</v>
      </c>
      <c r="C240" s="34">
        <v>45736</v>
      </c>
      <c r="D240" s="35">
        <v>246779414885</v>
      </c>
      <c r="E240" s="33" t="s">
        <v>559</v>
      </c>
      <c r="F240" s="36">
        <v>2.5</v>
      </c>
      <c r="G240" s="37" t="s">
        <v>560</v>
      </c>
      <c r="H240" s="38">
        <v>216.73</v>
      </c>
      <c r="I240" s="54">
        <v>0</v>
      </c>
      <c r="J240" s="54">
        <v>211</v>
      </c>
      <c r="K240" s="54">
        <v>211</v>
      </c>
      <c r="L240" s="54">
        <v>5.7299999999999898</v>
      </c>
      <c r="M240" s="56">
        <v>2.6438425690951829E-2</v>
      </c>
      <c r="N240" s="33" t="s">
        <v>860</v>
      </c>
      <c r="O240" s="83"/>
    </row>
    <row r="241" spans="1:15" x14ac:dyDescent="0.35">
      <c r="A241" s="32">
        <v>1800006672</v>
      </c>
      <c r="B241" s="33" t="s">
        <v>563</v>
      </c>
      <c r="C241" s="34">
        <v>45762</v>
      </c>
      <c r="D241" s="35">
        <v>256779411563</v>
      </c>
      <c r="E241" s="33" t="s">
        <v>559</v>
      </c>
      <c r="F241" s="36">
        <v>2.35</v>
      </c>
      <c r="G241" s="37" t="s">
        <v>560</v>
      </c>
      <c r="H241" s="38">
        <v>204.27</v>
      </c>
      <c r="I241" s="54">
        <v>0</v>
      </c>
      <c r="J241" s="54">
        <v>198</v>
      </c>
      <c r="K241" s="54">
        <v>198</v>
      </c>
      <c r="L241" s="54">
        <v>6.2700000000000102</v>
      </c>
      <c r="M241" s="56">
        <v>3.0694668820678561E-2</v>
      </c>
      <c r="N241" s="33" t="s">
        <v>774</v>
      </c>
      <c r="O241" s="83"/>
    </row>
    <row r="242" spans="1:15" x14ac:dyDescent="0.35">
      <c r="A242" s="32">
        <v>1800003756</v>
      </c>
      <c r="B242" s="33" t="s">
        <v>563</v>
      </c>
      <c r="C242" s="34">
        <v>45736</v>
      </c>
      <c r="D242" s="35">
        <v>246779413623</v>
      </c>
      <c r="E242" s="33" t="s">
        <v>559</v>
      </c>
      <c r="F242" s="36">
        <v>2.35</v>
      </c>
      <c r="G242" s="37" t="s">
        <v>560</v>
      </c>
      <c r="H242" s="38">
        <v>203.72</v>
      </c>
      <c r="I242" s="54">
        <v>0</v>
      </c>
      <c r="J242" s="54">
        <v>198</v>
      </c>
      <c r="K242" s="54">
        <v>198</v>
      </c>
      <c r="L242" s="54">
        <v>5.7199999999999989</v>
      </c>
      <c r="M242" s="56">
        <v>2.8077753779697619E-2</v>
      </c>
      <c r="N242" s="33" t="s">
        <v>860</v>
      </c>
      <c r="O242" s="83"/>
    </row>
    <row r="243" spans="1:15" x14ac:dyDescent="0.35">
      <c r="A243" s="32">
        <v>1800003758</v>
      </c>
      <c r="B243" s="33" t="s">
        <v>563</v>
      </c>
      <c r="C243" s="34">
        <v>45736</v>
      </c>
      <c r="D243" s="35">
        <v>246779413625</v>
      </c>
      <c r="E243" s="33" t="s">
        <v>559</v>
      </c>
      <c r="F243" s="36">
        <v>2.35</v>
      </c>
      <c r="G243" s="37" t="s">
        <v>560</v>
      </c>
      <c r="H243" s="38">
        <v>203.72</v>
      </c>
      <c r="I243" s="54">
        <v>0</v>
      </c>
      <c r="J243" s="54">
        <v>198</v>
      </c>
      <c r="K243" s="54">
        <v>198</v>
      </c>
      <c r="L243" s="54">
        <v>5.7199999999999989</v>
      </c>
      <c r="M243" s="56">
        <v>2.8077753779697619E-2</v>
      </c>
      <c r="N243" s="33" t="s">
        <v>860</v>
      </c>
      <c r="O243" s="83"/>
    </row>
    <row r="244" spans="1:15" x14ac:dyDescent="0.35">
      <c r="A244" s="32">
        <v>1800003761</v>
      </c>
      <c r="B244" s="33" t="s">
        <v>563</v>
      </c>
      <c r="C244" s="34">
        <v>45736</v>
      </c>
      <c r="D244" s="35">
        <v>246779413628</v>
      </c>
      <c r="E244" s="33" t="s">
        <v>559</v>
      </c>
      <c r="F244" s="36">
        <v>2.35</v>
      </c>
      <c r="G244" s="37" t="s">
        <v>560</v>
      </c>
      <c r="H244" s="38">
        <v>203.72</v>
      </c>
      <c r="I244" s="54">
        <v>0</v>
      </c>
      <c r="J244" s="54">
        <v>198</v>
      </c>
      <c r="K244" s="54">
        <v>198</v>
      </c>
      <c r="L244" s="54">
        <v>5.7199999999999989</v>
      </c>
      <c r="M244" s="56">
        <v>2.8077753779697619E-2</v>
      </c>
      <c r="N244" s="33" t="s">
        <v>860</v>
      </c>
      <c r="O244" s="83"/>
    </row>
    <row r="245" spans="1:15" x14ac:dyDescent="0.35">
      <c r="A245" s="32">
        <v>1800003828</v>
      </c>
      <c r="B245" s="33" t="s">
        <v>563</v>
      </c>
      <c r="C245" s="34">
        <v>45736</v>
      </c>
      <c r="D245" s="35">
        <v>246779413690</v>
      </c>
      <c r="E245" s="33" t="s">
        <v>559</v>
      </c>
      <c r="F245" s="36">
        <v>2.35</v>
      </c>
      <c r="G245" s="37" t="s">
        <v>560</v>
      </c>
      <c r="H245" s="38">
        <v>203.72</v>
      </c>
      <c r="I245" s="54">
        <v>0</v>
      </c>
      <c r="J245" s="54">
        <v>198</v>
      </c>
      <c r="K245" s="54">
        <v>198</v>
      </c>
      <c r="L245" s="54">
        <v>5.7199999999999989</v>
      </c>
      <c r="M245" s="56">
        <v>2.8077753779697619E-2</v>
      </c>
      <c r="N245" s="33" t="s">
        <v>860</v>
      </c>
    </row>
    <row r="246" spans="1:15" x14ac:dyDescent="0.35">
      <c r="A246" s="32">
        <v>1800000738</v>
      </c>
      <c r="B246" s="33" t="s">
        <v>563</v>
      </c>
      <c r="C246" s="34">
        <v>45720</v>
      </c>
      <c r="D246" s="35">
        <v>246779410678</v>
      </c>
      <c r="E246" s="33" t="s">
        <v>559</v>
      </c>
      <c r="F246" s="36">
        <v>2.35</v>
      </c>
      <c r="G246" s="37" t="s">
        <v>560</v>
      </c>
      <c r="H246" s="38">
        <v>203.72</v>
      </c>
      <c r="I246" s="54">
        <v>0</v>
      </c>
      <c r="J246" s="54">
        <v>201</v>
      </c>
      <c r="K246" s="54">
        <v>201</v>
      </c>
      <c r="L246" s="54">
        <v>2.7199999999999989</v>
      </c>
      <c r="M246" s="56">
        <v>1.3351659139996067E-2</v>
      </c>
      <c r="N246" s="33" t="s">
        <v>914</v>
      </c>
    </row>
    <row r="247" spans="1:15" x14ac:dyDescent="0.35">
      <c r="A247" s="32">
        <v>1800000739</v>
      </c>
      <c r="B247" s="33" t="s">
        <v>563</v>
      </c>
      <c r="C247" s="34">
        <v>45720</v>
      </c>
      <c r="D247" s="35">
        <v>246779410679</v>
      </c>
      <c r="E247" s="33" t="s">
        <v>559</v>
      </c>
      <c r="F247" s="36">
        <v>2.35</v>
      </c>
      <c r="G247" s="37" t="s">
        <v>560</v>
      </c>
      <c r="H247" s="38">
        <v>203.72</v>
      </c>
      <c r="I247" s="54">
        <v>0</v>
      </c>
      <c r="J247" s="54">
        <v>201</v>
      </c>
      <c r="K247" s="54">
        <v>201</v>
      </c>
      <c r="L247" s="54">
        <v>2.7199999999999989</v>
      </c>
      <c r="M247" s="56">
        <v>1.3351659139996067E-2</v>
      </c>
      <c r="N247" s="33" t="s">
        <v>914</v>
      </c>
    </row>
    <row r="248" spans="1:15" x14ac:dyDescent="0.35">
      <c r="A248" s="32">
        <v>1800000741</v>
      </c>
      <c r="B248" s="33" t="s">
        <v>563</v>
      </c>
      <c r="C248" s="34">
        <v>45720</v>
      </c>
      <c r="D248" s="35">
        <v>246779410681</v>
      </c>
      <c r="E248" s="33" t="s">
        <v>559</v>
      </c>
      <c r="F248" s="36">
        <v>2.35</v>
      </c>
      <c r="G248" s="37" t="s">
        <v>560</v>
      </c>
      <c r="H248" s="38">
        <v>203.72</v>
      </c>
      <c r="I248" s="54">
        <v>0</v>
      </c>
      <c r="J248" s="54">
        <v>201</v>
      </c>
      <c r="K248" s="54">
        <v>201</v>
      </c>
      <c r="L248" s="54">
        <v>2.7199999999999989</v>
      </c>
      <c r="M248" s="56">
        <v>1.3351659139996067E-2</v>
      </c>
      <c r="N248" s="33" t="s">
        <v>914</v>
      </c>
    </row>
    <row r="249" spans="1:15" x14ac:dyDescent="0.35">
      <c r="A249" s="32">
        <v>1800000743</v>
      </c>
      <c r="B249" s="33" t="s">
        <v>563</v>
      </c>
      <c r="C249" s="34">
        <v>45720</v>
      </c>
      <c r="D249" s="35">
        <v>246779410683</v>
      </c>
      <c r="E249" s="33" t="s">
        <v>559</v>
      </c>
      <c r="F249" s="36">
        <v>2.35</v>
      </c>
      <c r="G249" s="37" t="s">
        <v>560</v>
      </c>
      <c r="H249" s="38">
        <v>203.72</v>
      </c>
      <c r="I249" s="54">
        <v>0</v>
      </c>
      <c r="J249" s="54">
        <v>201</v>
      </c>
      <c r="K249" s="54">
        <v>201</v>
      </c>
      <c r="L249" s="54">
        <v>2.7199999999999989</v>
      </c>
      <c r="M249" s="56">
        <v>1.3351659139996067E-2</v>
      </c>
      <c r="N249" s="33" t="s">
        <v>914</v>
      </c>
    </row>
    <row r="250" spans="1:15" x14ac:dyDescent="0.35">
      <c r="A250" s="32">
        <v>1800000745</v>
      </c>
      <c r="B250" s="33" t="s">
        <v>563</v>
      </c>
      <c r="C250" s="34">
        <v>45720</v>
      </c>
      <c r="D250" s="35">
        <v>246779410685</v>
      </c>
      <c r="E250" s="33" t="s">
        <v>559</v>
      </c>
      <c r="F250" s="36">
        <v>2.35</v>
      </c>
      <c r="G250" s="37" t="s">
        <v>560</v>
      </c>
      <c r="H250" s="38">
        <v>203.72</v>
      </c>
      <c r="I250" s="54">
        <v>0</v>
      </c>
      <c r="J250" s="54">
        <v>201</v>
      </c>
      <c r="K250" s="54">
        <v>201</v>
      </c>
      <c r="L250" s="54">
        <v>2.7199999999999989</v>
      </c>
      <c r="M250" s="56">
        <v>1.3351659139996067E-2</v>
      </c>
      <c r="N250" s="33" t="s">
        <v>914</v>
      </c>
    </row>
    <row r="251" spans="1:15" x14ac:dyDescent="0.35">
      <c r="A251" s="32">
        <v>1800000823</v>
      </c>
      <c r="B251" s="33" t="s">
        <v>563</v>
      </c>
      <c r="C251" s="34">
        <v>45720</v>
      </c>
      <c r="D251" s="35">
        <v>246779410763</v>
      </c>
      <c r="E251" s="33" t="s">
        <v>559</v>
      </c>
      <c r="F251" s="36">
        <v>2.35</v>
      </c>
      <c r="G251" s="37" t="s">
        <v>560</v>
      </c>
      <c r="H251" s="38">
        <v>203.72</v>
      </c>
      <c r="I251" s="54">
        <v>0</v>
      </c>
      <c r="J251" s="54">
        <v>201</v>
      </c>
      <c r="K251" s="54">
        <v>201</v>
      </c>
      <c r="L251" s="54">
        <v>2.7199999999999989</v>
      </c>
      <c r="M251" s="56">
        <v>1.3351659139996067E-2</v>
      </c>
      <c r="N251" s="33" t="s">
        <v>907</v>
      </c>
    </row>
    <row r="252" spans="1:15" x14ac:dyDescent="0.35">
      <c r="A252" s="32">
        <v>1800000824</v>
      </c>
      <c r="B252" s="33" t="s">
        <v>563</v>
      </c>
      <c r="C252" s="34">
        <v>45720</v>
      </c>
      <c r="D252" s="35">
        <v>246779410764</v>
      </c>
      <c r="E252" s="33" t="s">
        <v>559</v>
      </c>
      <c r="F252" s="36">
        <v>2.35</v>
      </c>
      <c r="G252" s="37" t="s">
        <v>560</v>
      </c>
      <c r="H252" s="38">
        <v>203.72</v>
      </c>
      <c r="I252" s="54">
        <v>0</v>
      </c>
      <c r="J252" s="54">
        <v>201</v>
      </c>
      <c r="K252" s="54">
        <v>201</v>
      </c>
      <c r="L252" s="54">
        <v>2.7199999999999989</v>
      </c>
      <c r="M252" s="56">
        <v>1.3351659139996067E-2</v>
      </c>
      <c r="N252" s="33" t="s">
        <v>907</v>
      </c>
    </row>
    <row r="253" spans="1:15" x14ac:dyDescent="0.35">
      <c r="A253" s="32">
        <v>1800000825</v>
      </c>
      <c r="B253" s="33" t="s">
        <v>563</v>
      </c>
      <c r="C253" s="34">
        <v>45720</v>
      </c>
      <c r="D253" s="35">
        <v>246779410765</v>
      </c>
      <c r="E253" s="33" t="s">
        <v>559</v>
      </c>
      <c r="F253" s="36">
        <v>2.35</v>
      </c>
      <c r="G253" s="37" t="s">
        <v>560</v>
      </c>
      <c r="H253" s="38">
        <v>203.72</v>
      </c>
      <c r="I253" s="54">
        <v>0</v>
      </c>
      <c r="J253" s="54">
        <v>201</v>
      </c>
      <c r="K253" s="54">
        <v>201</v>
      </c>
      <c r="L253" s="54">
        <v>2.7199999999999989</v>
      </c>
      <c r="M253" s="56">
        <v>1.3351659139996067E-2</v>
      </c>
      <c r="N253" s="33" t="s">
        <v>907</v>
      </c>
    </row>
    <row r="254" spans="1:15" x14ac:dyDescent="0.35">
      <c r="A254" s="32">
        <v>1800000907</v>
      </c>
      <c r="B254" s="33" t="s">
        <v>563</v>
      </c>
      <c r="C254" s="34">
        <v>45720</v>
      </c>
      <c r="D254" s="35">
        <v>246779410848</v>
      </c>
      <c r="E254" s="33" t="s">
        <v>559</v>
      </c>
      <c r="F254" s="36">
        <v>2.35</v>
      </c>
      <c r="G254" s="37" t="s">
        <v>560</v>
      </c>
      <c r="H254" s="38">
        <v>203.72</v>
      </c>
      <c r="I254" s="54">
        <v>0</v>
      </c>
      <c r="J254" s="54">
        <v>200</v>
      </c>
      <c r="K254" s="54">
        <v>200</v>
      </c>
      <c r="L254" s="54">
        <v>3.7199999999999989</v>
      </c>
      <c r="M254" s="56">
        <v>1.8260357353229919E-2</v>
      </c>
      <c r="N254" s="33" t="s">
        <v>915</v>
      </c>
    </row>
    <row r="255" spans="1:15" x14ac:dyDescent="0.35">
      <c r="A255" s="32">
        <v>1800000554</v>
      </c>
      <c r="B255" s="33" t="s">
        <v>563</v>
      </c>
      <c r="C255" s="34">
        <v>45719</v>
      </c>
      <c r="D255" s="35">
        <v>246779410504</v>
      </c>
      <c r="E255" s="33" t="s">
        <v>559</v>
      </c>
      <c r="F255" s="36">
        <v>2.35</v>
      </c>
      <c r="G255" s="37" t="s">
        <v>560</v>
      </c>
      <c r="H255" s="38">
        <v>203.72</v>
      </c>
      <c r="I255" s="54">
        <v>0</v>
      </c>
      <c r="J255" s="54">
        <v>201</v>
      </c>
      <c r="K255" s="54">
        <v>201</v>
      </c>
      <c r="L255" s="54">
        <v>2.7199999999999989</v>
      </c>
      <c r="M255" s="56">
        <v>1.3351659139996067E-2</v>
      </c>
      <c r="N255" s="33" t="s">
        <v>928</v>
      </c>
    </row>
    <row r="256" spans="1:15" x14ac:dyDescent="0.35">
      <c r="A256" s="32">
        <v>1800000544</v>
      </c>
      <c r="B256" s="33" t="s">
        <v>563</v>
      </c>
      <c r="C256" s="34">
        <v>45719</v>
      </c>
      <c r="D256" s="35">
        <v>246779410494</v>
      </c>
      <c r="E256" s="33" t="s">
        <v>559</v>
      </c>
      <c r="F256" s="36">
        <v>2.35</v>
      </c>
      <c r="G256" s="37" t="s">
        <v>560</v>
      </c>
      <c r="H256" s="38">
        <v>203.72</v>
      </c>
      <c r="I256" s="54">
        <v>0</v>
      </c>
      <c r="J256" s="54">
        <v>201</v>
      </c>
      <c r="K256" s="54">
        <v>201</v>
      </c>
      <c r="L256" s="54">
        <v>2.7199999999999989</v>
      </c>
      <c r="M256" s="56">
        <v>1.3351659139996067E-2</v>
      </c>
      <c r="N256" s="33" t="s">
        <v>928</v>
      </c>
    </row>
    <row r="257" spans="1:14" x14ac:dyDescent="0.35">
      <c r="A257" s="32">
        <v>1800000546</v>
      </c>
      <c r="B257" s="33" t="s">
        <v>563</v>
      </c>
      <c r="C257" s="34">
        <v>45719</v>
      </c>
      <c r="D257" s="35">
        <v>246779410496</v>
      </c>
      <c r="E257" s="33" t="s">
        <v>559</v>
      </c>
      <c r="F257" s="36">
        <v>2.35</v>
      </c>
      <c r="G257" s="37" t="s">
        <v>560</v>
      </c>
      <c r="H257" s="38">
        <v>203.72</v>
      </c>
      <c r="I257" s="54">
        <v>0</v>
      </c>
      <c r="J257" s="54">
        <v>201</v>
      </c>
      <c r="K257" s="54">
        <v>201</v>
      </c>
      <c r="L257" s="54">
        <v>2.7199999999999989</v>
      </c>
      <c r="M257" s="56">
        <v>1.3351659139996067E-2</v>
      </c>
      <c r="N257" s="33" t="s">
        <v>928</v>
      </c>
    </row>
    <row r="258" spans="1:14" x14ac:dyDescent="0.35">
      <c r="A258" s="32">
        <v>1800000547</v>
      </c>
      <c r="B258" s="33" t="s">
        <v>563</v>
      </c>
      <c r="C258" s="34">
        <v>45719</v>
      </c>
      <c r="D258" s="35">
        <v>246779410497</v>
      </c>
      <c r="E258" s="33" t="s">
        <v>559</v>
      </c>
      <c r="F258" s="36">
        <v>2.35</v>
      </c>
      <c r="G258" s="37" t="s">
        <v>560</v>
      </c>
      <c r="H258" s="38">
        <v>203.72</v>
      </c>
      <c r="I258" s="54">
        <v>0</v>
      </c>
      <c r="J258" s="54">
        <v>201</v>
      </c>
      <c r="K258" s="54">
        <v>201</v>
      </c>
      <c r="L258" s="54">
        <v>2.7199999999999989</v>
      </c>
      <c r="M258" s="56">
        <v>1.3351659139996067E-2</v>
      </c>
      <c r="N258" s="33" t="s">
        <v>928</v>
      </c>
    </row>
    <row r="259" spans="1:14" x14ac:dyDescent="0.35">
      <c r="A259" s="32">
        <v>1800000548</v>
      </c>
      <c r="B259" s="33" t="s">
        <v>563</v>
      </c>
      <c r="C259" s="34">
        <v>45719</v>
      </c>
      <c r="D259" s="35">
        <v>246779410498</v>
      </c>
      <c r="E259" s="33" t="s">
        <v>559</v>
      </c>
      <c r="F259" s="36">
        <v>2.35</v>
      </c>
      <c r="G259" s="37" t="s">
        <v>560</v>
      </c>
      <c r="H259" s="38">
        <v>203.72</v>
      </c>
      <c r="I259" s="54">
        <v>0</v>
      </c>
      <c r="J259" s="54">
        <v>200</v>
      </c>
      <c r="K259" s="54">
        <v>200</v>
      </c>
      <c r="L259" s="54">
        <v>3.7199999999999989</v>
      </c>
      <c r="M259" s="56">
        <v>1.8260357353229919E-2</v>
      </c>
      <c r="N259" s="33" t="s">
        <v>928</v>
      </c>
    </row>
    <row r="260" spans="1:14" x14ac:dyDescent="0.35">
      <c r="A260" s="32">
        <v>1800000550</v>
      </c>
      <c r="B260" s="33" t="s">
        <v>563</v>
      </c>
      <c r="C260" s="34">
        <v>45719</v>
      </c>
      <c r="D260" s="35">
        <v>246779410500</v>
      </c>
      <c r="E260" s="33" t="s">
        <v>559</v>
      </c>
      <c r="F260" s="36">
        <v>2.35</v>
      </c>
      <c r="G260" s="37" t="s">
        <v>560</v>
      </c>
      <c r="H260" s="38">
        <v>203.72</v>
      </c>
      <c r="I260" s="54">
        <v>0</v>
      </c>
      <c r="J260" s="54">
        <v>201</v>
      </c>
      <c r="K260" s="54">
        <v>201</v>
      </c>
      <c r="L260" s="54">
        <v>2.7199999999999989</v>
      </c>
      <c r="M260" s="56">
        <v>1.3351659139996067E-2</v>
      </c>
      <c r="N260" s="33" t="s">
        <v>928</v>
      </c>
    </row>
    <row r="261" spans="1:14" x14ac:dyDescent="0.35">
      <c r="A261" s="32">
        <v>1800000558</v>
      </c>
      <c r="B261" s="33" t="s">
        <v>563</v>
      </c>
      <c r="C261" s="34">
        <v>45719</v>
      </c>
      <c r="D261" s="35">
        <v>246779410508</v>
      </c>
      <c r="E261" s="33" t="s">
        <v>559</v>
      </c>
      <c r="F261" s="36">
        <v>2.35</v>
      </c>
      <c r="G261" s="37" t="s">
        <v>560</v>
      </c>
      <c r="H261" s="38">
        <v>203.72</v>
      </c>
      <c r="I261" s="54">
        <v>0</v>
      </c>
      <c r="J261" s="54">
        <v>201</v>
      </c>
      <c r="K261" s="54">
        <v>201</v>
      </c>
      <c r="L261" s="54">
        <v>2.7199999999999989</v>
      </c>
      <c r="M261" s="56">
        <v>1.3351659139996067E-2</v>
      </c>
      <c r="N261" s="33" t="s">
        <v>928</v>
      </c>
    </row>
    <row r="262" spans="1:14" x14ac:dyDescent="0.35">
      <c r="A262" s="32">
        <v>1800000670</v>
      </c>
      <c r="B262" s="33" t="s">
        <v>563</v>
      </c>
      <c r="C262" s="34">
        <v>45719</v>
      </c>
      <c r="D262" s="35">
        <v>246779410610</v>
      </c>
      <c r="E262" s="33" t="s">
        <v>559</v>
      </c>
      <c r="F262" s="36">
        <v>2.35</v>
      </c>
      <c r="G262" s="37" t="s">
        <v>560</v>
      </c>
      <c r="H262" s="38">
        <v>203.72</v>
      </c>
      <c r="I262" s="54">
        <v>0</v>
      </c>
      <c r="J262" s="54">
        <v>201</v>
      </c>
      <c r="K262" s="54">
        <v>201</v>
      </c>
      <c r="L262" s="54">
        <v>2.7199999999999989</v>
      </c>
      <c r="M262" s="56">
        <v>1.3351659139996067E-2</v>
      </c>
      <c r="N262" s="33" t="s">
        <v>906</v>
      </c>
    </row>
    <row r="263" spans="1:14" x14ac:dyDescent="0.35">
      <c r="A263" s="32">
        <v>1800011263</v>
      </c>
      <c r="B263" s="33" t="s">
        <v>563</v>
      </c>
      <c r="C263" s="34">
        <v>45863</v>
      </c>
      <c r="D263" s="35">
        <v>256779415995</v>
      </c>
      <c r="E263" s="33" t="s">
        <v>559</v>
      </c>
      <c r="F263" s="36">
        <v>2.34</v>
      </c>
      <c r="G263" s="37" t="s">
        <v>560</v>
      </c>
      <c r="H263" s="38">
        <v>201.24</v>
      </c>
      <c r="I263" s="54">
        <v>0</v>
      </c>
      <c r="J263" s="54">
        <v>196</v>
      </c>
      <c r="K263" s="54">
        <v>196</v>
      </c>
      <c r="L263" s="54">
        <v>5.2400000000000091</v>
      </c>
      <c r="M263" s="56">
        <v>2.6038560922281895E-2</v>
      </c>
      <c r="N263" s="33" t="s">
        <v>791</v>
      </c>
    </row>
    <row r="264" spans="1:14" x14ac:dyDescent="0.35">
      <c r="A264" s="32">
        <v>1800010503</v>
      </c>
      <c r="B264" s="33" t="s">
        <v>563</v>
      </c>
      <c r="C264" s="34">
        <v>45842</v>
      </c>
      <c r="D264" s="35">
        <v>256779415263</v>
      </c>
      <c r="E264" s="33" t="s">
        <v>559</v>
      </c>
      <c r="F264" s="36">
        <v>2.34</v>
      </c>
      <c r="G264" s="37" t="s">
        <v>560</v>
      </c>
      <c r="H264" s="38">
        <v>201.24</v>
      </c>
      <c r="I264" s="54">
        <v>0</v>
      </c>
      <c r="J264" s="54">
        <v>201.24160000000001</v>
      </c>
      <c r="K264" s="54">
        <v>201.24160000000001</v>
      </c>
      <c r="L264" s="54">
        <v>-1.5999999999962711E-3</v>
      </c>
      <c r="M264" s="56">
        <v>-7.9507056251056991E-6</v>
      </c>
      <c r="N264" s="33" t="s">
        <v>812</v>
      </c>
    </row>
  </sheetData>
  <autoFilter ref="A3:N264" xr:uid="{9DAA38C8-58E7-4F48-BEA7-AE3A9E6F8A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0654-9B60-4599-9160-7A4E3D90D7D9}">
  <sheetPr filterMode="1"/>
  <dimension ref="A2:U482"/>
  <sheetViews>
    <sheetView topLeftCell="G370" workbookViewId="0">
      <selection activeCell="A2" sqref="A2:R402"/>
    </sheetView>
  </sheetViews>
  <sheetFormatPr defaultRowHeight="14.5" x14ac:dyDescent="0.35"/>
  <cols>
    <col min="1" max="1" width="13.453125" customWidth="1"/>
    <col min="2" max="2" width="3.81640625" customWidth="1"/>
    <col min="3" max="3" width="11.453125" customWidth="1"/>
    <col min="4" max="4" width="10.08984375" hidden="1" customWidth="1"/>
    <col min="5" max="5" width="7.08984375" hidden="1" customWidth="1"/>
    <col min="6" max="6" width="16.08984375" bestFit="1" customWidth="1"/>
    <col min="7" max="7" width="5.1796875" customWidth="1"/>
    <col min="8" max="8" width="12.90625" bestFit="1" customWidth="1"/>
    <col min="9" max="9" width="4.81640625" customWidth="1"/>
    <col min="10" max="10" width="12.1796875" bestFit="1" customWidth="1"/>
    <col min="11" max="11" width="11.36328125" hidden="1" customWidth="1"/>
    <col min="12" max="12" width="14.81640625" hidden="1" customWidth="1"/>
    <col min="13" max="16" width="14.81640625" customWidth="1"/>
    <col min="17" max="17" width="14.81640625" style="60" customWidth="1"/>
    <col min="18" max="18" width="45" style="3" bestFit="1" customWidth="1"/>
    <col min="19" max="19" width="11.90625" hidden="1" customWidth="1"/>
    <col min="20" max="20" width="16.81640625" bestFit="1" customWidth="1"/>
  </cols>
  <sheetData>
    <row r="2" spans="1:21" s="52" customFormat="1" ht="116" x14ac:dyDescent="0.35">
      <c r="A2" s="50" t="s">
        <v>541</v>
      </c>
      <c r="B2" s="51" t="s">
        <v>542</v>
      </c>
      <c r="C2" s="50" t="s">
        <v>543</v>
      </c>
      <c r="D2" s="50" t="s">
        <v>544</v>
      </c>
      <c r="E2" s="50" t="s">
        <v>545</v>
      </c>
      <c r="F2" s="50" t="s">
        <v>546</v>
      </c>
      <c r="G2" s="51" t="s">
        <v>547</v>
      </c>
      <c r="H2" s="51" t="s">
        <v>548</v>
      </c>
      <c r="I2" s="51" t="s">
        <v>549</v>
      </c>
      <c r="J2" s="51" t="s">
        <v>550</v>
      </c>
      <c r="K2" s="50" t="s">
        <v>551</v>
      </c>
      <c r="L2" s="50" t="s">
        <v>552</v>
      </c>
      <c r="M2" s="50" t="s">
        <v>948</v>
      </c>
      <c r="N2" s="50" t="s">
        <v>949</v>
      </c>
      <c r="O2" s="50" t="s">
        <v>950</v>
      </c>
      <c r="P2" s="50" t="s">
        <v>951</v>
      </c>
      <c r="Q2" s="55" t="s">
        <v>952</v>
      </c>
      <c r="R2" s="50" t="s">
        <v>553</v>
      </c>
      <c r="S2" s="50" t="s">
        <v>554</v>
      </c>
      <c r="T2" s="50" t="s">
        <v>555</v>
      </c>
      <c r="U2" s="52" t="s">
        <v>953</v>
      </c>
    </row>
    <row r="3" spans="1:21" x14ac:dyDescent="0.35">
      <c r="A3" s="32">
        <v>1800012476</v>
      </c>
      <c r="B3" s="33" t="s">
        <v>563</v>
      </c>
      <c r="C3" s="34">
        <v>45906</v>
      </c>
      <c r="D3" s="34">
        <v>45909</v>
      </c>
      <c r="E3" s="33" t="s">
        <v>557</v>
      </c>
      <c r="F3" s="35">
        <v>256779417084</v>
      </c>
      <c r="G3" s="33" t="s">
        <v>559</v>
      </c>
      <c r="H3" s="36">
        <v>8832.14</v>
      </c>
      <c r="I3" s="37" t="s">
        <v>560</v>
      </c>
      <c r="J3" s="38">
        <v>772938.81</v>
      </c>
      <c r="K3" s="33" t="s">
        <v>561</v>
      </c>
      <c r="L3" s="33" t="s">
        <v>557</v>
      </c>
      <c r="M3" s="54" cm="1">
        <f t="array" ref="M3:N3">_xlfn.XLOOKUP(F3,'Customer Data Vlookup'!$L:$L,'Customer Data Vlookup'!$M:$N,,0)</f>
        <v>0</v>
      </c>
      <c r="N3" s="54">
        <v>695663.66119999997</v>
      </c>
      <c r="O3" s="54">
        <f>N3-M3</f>
        <v>695663.66119999997</v>
      </c>
      <c r="P3" s="54">
        <f>J3-O3</f>
        <v>77275.148800000083</v>
      </c>
      <c r="Q3" s="56">
        <f>P3/J3</f>
        <v>9.9975764963852798E-2</v>
      </c>
      <c r="R3" s="33" t="s">
        <v>709</v>
      </c>
      <c r="S3" s="34"/>
      <c r="T3" s="33" t="s">
        <v>558</v>
      </c>
    </row>
    <row r="4" spans="1:21" x14ac:dyDescent="0.35">
      <c r="A4" s="32">
        <v>1800013274</v>
      </c>
      <c r="B4" s="33" t="s">
        <v>563</v>
      </c>
      <c r="C4" s="34">
        <v>45936</v>
      </c>
      <c r="D4" s="34">
        <v>45937</v>
      </c>
      <c r="E4" s="33" t="s">
        <v>557</v>
      </c>
      <c r="F4" s="35">
        <v>256779418010</v>
      </c>
      <c r="G4" s="33" t="s">
        <v>559</v>
      </c>
      <c r="H4" s="36">
        <v>8566.5</v>
      </c>
      <c r="I4" s="37" t="s">
        <v>560</v>
      </c>
      <c r="J4" s="38">
        <v>755486.23</v>
      </c>
      <c r="K4" s="33" t="s">
        <v>561</v>
      </c>
      <c r="L4" s="33" t="s">
        <v>697</v>
      </c>
      <c r="M4" s="54" cm="1">
        <f t="array" ref="M4:N4">_xlfn.XLOOKUP(F4,'Customer Data Vlookup'!$L:$L,'Customer Data Vlookup'!$M:$N,,0)</f>
        <v>0</v>
      </c>
      <c r="N4" s="54">
        <v>679906.74129999999</v>
      </c>
      <c r="O4" s="54">
        <f t="shared" ref="O4:O67" si="0">N4-M4</f>
        <v>679906.74129999999</v>
      </c>
      <c r="P4" s="54">
        <f t="shared" ref="P4:P67" si="1">J4-O4</f>
        <v>75579.488699999987</v>
      </c>
      <c r="Q4" s="56">
        <f t="shared" ref="Q4:Q67" si="2">P4/J4</f>
        <v>0.10004085541042884</v>
      </c>
      <c r="R4" s="33" t="s">
        <v>698</v>
      </c>
      <c r="S4" s="34"/>
      <c r="T4" s="33" t="s">
        <v>558</v>
      </c>
    </row>
    <row r="5" spans="1:21" hidden="1" x14ac:dyDescent="0.35">
      <c r="A5" s="32">
        <v>1800016345</v>
      </c>
      <c r="B5" s="33" t="s">
        <v>563</v>
      </c>
      <c r="C5" s="34">
        <v>46028</v>
      </c>
      <c r="D5" s="34">
        <v>46034</v>
      </c>
      <c r="E5" s="33" t="s">
        <v>740</v>
      </c>
      <c r="F5" s="35">
        <v>256779440235</v>
      </c>
      <c r="G5" s="33" t="s">
        <v>559</v>
      </c>
      <c r="H5" s="36">
        <v>7267.85</v>
      </c>
      <c r="I5" s="37" t="s">
        <v>560</v>
      </c>
      <c r="J5" s="38">
        <v>659507.53</v>
      </c>
      <c r="K5" s="33" t="s">
        <v>561</v>
      </c>
      <c r="L5" s="33" t="s">
        <v>557</v>
      </c>
      <c r="M5" s="54" t="e" cm="1">
        <f t="array" ref="M5">_xlfn.XLOOKUP(F5,'Customer Data Vlookup'!$L:$L,'Customer Data Vlookup'!$M:$N,,0)</f>
        <v>#N/A</v>
      </c>
      <c r="N5" s="54"/>
      <c r="O5" s="53" t="e">
        <f t="shared" si="0"/>
        <v>#N/A</v>
      </c>
      <c r="P5" s="53" t="e">
        <f t="shared" si="1"/>
        <v>#N/A</v>
      </c>
      <c r="Q5" s="33" t="e">
        <f t="shared" si="2"/>
        <v>#N/A</v>
      </c>
      <c r="R5" s="33" t="s">
        <v>741</v>
      </c>
      <c r="S5" s="34"/>
      <c r="T5" s="33" t="s">
        <v>558</v>
      </c>
    </row>
    <row r="6" spans="1:21" x14ac:dyDescent="0.35">
      <c r="A6" s="32">
        <v>1800000442</v>
      </c>
      <c r="B6" s="33" t="s">
        <v>563</v>
      </c>
      <c r="C6" s="34">
        <v>45719</v>
      </c>
      <c r="D6" s="34">
        <v>45719</v>
      </c>
      <c r="E6" s="33" t="s">
        <v>557</v>
      </c>
      <c r="F6" s="35">
        <v>246779410404</v>
      </c>
      <c r="G6" s="33" t="s">
        <v>559</v>
      </c>
      <c r="H6" s="36">
        <v>7394.09</v>
      </c>
      <c r="I6" s="37" t="s">
        <v>560</v>
      </c>
      <c r="J6" s="38">
        <v>641002.98</v>
      </c>
      <c r="K6" s="33" t="s">
        <v>561</v>
      </c>
      <c r="L6" s="33" t="s">
        <v>557</v>
      </c>
      <c r="M6" s="54" cm="1">
        <f t="array" ref="M6:N6">_xlfn.XLOOKUP(F6,'Customer Data Vlookup'!$L:$L,'Customer Data Vlookup'!$M:$N,,0)</f>
        <v>0</v>
      </c>
      <c r="N6" s="54">
        <v>580687</v>
      </c>
      <c r="O6" s="54">
        <f t="shared" si="0"/>
        <v>580687</v>
      </c>
      <c r="P6" s="54">
        <f t="shared" si="1"/>
        <v>60315.979999999981</v>
      </c>
      <c r="Q6" s="56">
        <f t="shared" si="2"/>
        <v>9.4096255215537355E-2</v>
      </c>
      <c r="R6" s="33" t="s">
        <v>929</v>
      </c>
      <c r="S6" s="34"/>
      <c r="T6" s="33" t="s">
        <v>558</v>
      </c>
    </row>
    <row r="7" spans="1:21" hidden="1" x14ac:dyDescent="0.35">
      <c r="A7" s="32">
        <v>1800015671</v>
      </c>
      <c r="B7" s="33" t="s">
        <v>563</v>
      </c>
      <c r="C7" s="34">
        <v>46024</v>
      </c>
      <c r="D7" s="34">
        <v>46024</v>
      </c>
      <c r="E7" s="33" t="s">
        <v>557</v>
      </c>
      <c r="F7" s="35">
        <v>256779440004</v>
      </c>
      <c r="G7" s="33" t="s">
        <v>559</v>
      </c>
      <c r="H7" s="36">
        <v>7039.11</v>
      </c>
      <c r="I7" s="37" t="s">
        <v>560</v>
      </c>
      <c r="J7" s="38">
        <v>638750.93999999994</v>
      </c>
      <c r="K7" s="33" t="s">
        <v>561</v>
      </c>
      <c r="L7" s="33" t="s">
        <v>710</v>
      </c>
      <c r="M7" s="54" t="e" cm="1">
        <f t="array" ref="M7">_xlfn.XLOOKUP(F7,'Customer Data Vlookup'!$L:$L,'Customer Data Vlookup'!$M:$N,,0)</f>
        <v>#N/A</v>
      </c>
      <c r="N7" s="54"/>
      <c r="O7" s="53" t="e">
        <f t="shared" si="0"/>
        <v>#N/A</v>
      </c>
      <c r="P7" s="53" t="e">
        <f t="shared" si="1"/>
        <v>#N/A</v>
      </c>
      <c r="Q7" s="33" t="e">
        <f t="shared" si="2"/>
        <v>#N/A</v>
      </c>
      <c r="R7" s="33" t="s">
        <v>711</v>
      </c>
      <c r="S7" s="34"/>
      <c r="T7" s="33" t="s">
        <v>558</v>
      </c>
    </row>
    <row r="8" spans="1:21" x14ac:dyDescent="0.35">
      <c r="A8" s="32">
        <v>1800014537</v>
      </c>
      <c r="B8" s="33" t="s">
        <v>563</v>
      </c>
      <c r="C8" s="34">
        <v>45966</v>
      </c>
      <c r="D8" s="34">
        <v>45967</v>
      </c>
      <c r="E8" s="33" t="s">
        <v>557</v>
      </c>
      <c r="F8" s="35">
        <v>256779418869</v>
      </c>
      <c r="G8" s="33" t="s">
        <v>559</v>
      </c>
      <c r="H8" s="36">
        <v>6685.47</v>
      </c>
      <c r="I8" s="37" t="s">
        <v>560</v>
      </c>
      <c r="J8" s="38">
        <v>588344.02</v>
      </c>
      <c r="K8" s="33" t="s">
        <v>561</v>
      </c>
      <c r="L8" s="33" t="s">
        <v>817</v>
      </c>
      <c r="M8" s="54" cm="1">
        <f t="array" ref="M8:N8">_xlfn.XLOOKUP(F8,'Customer Data Vlookup'!$L:$L,'Customer Data Vlookup'!$M:$N,,0)</f>
        <v>0</v>
      </c>
      <c r="N8" s="54">
        <v>529469.75580000004</v>
      </c>
      <c r="O8" s="54">
        <f t="shared" si="0"/>
        <v>529469.75580000004</v>
      </c>
      <c r="P8" s="54">
        <f t="shared" si="1"/>
        <v>58874.264199999976</v>
      </c>
      <c r="Q8" s="56">
        <f t="shared" si="2"/>
        <v>0.10006775321690187</v>
      </c>
      <c r="R8" s="33" t="s">
        <v>818</v>
      </c>
      <c r="S8" s="34"/>
      <c r="T8" s="33" t="s">
        <v>558</v>
      </c>
    </row>
    <row r="9" spans="1:21" x14ac:dyDescent="0.35">
      <c r="A9" s="32">
        <v>1800011658</v>
      </c>
      <c r="B9" s="33" t="s">
        <v>563</v>
      </c>
      <c r="C9" s="34">
        <v>45877</v>
      </c>
      <c r="D9" s="34">
        <v>45877</v>
      </c>
      <c r="E9" s="33" t="s">
        <v>557</v>
      </c>
      <c r="F9" s="35">
        <v>256779416088</v>
      </c>
      <c r="G9" s="33" t="s">
        <v>559</v>
      </c>
      <c r="H9" s="36">
        <v>5977.6</v>
      </c>
      <c r="I9" s="37" t="s">
        <v>560</v>
      </c>
      <c r="J9" s="38">
        <v>514253.65</v>
      </c>
      <c r="K9" s="33" t="s">
        <v>561</v>
      </c>
      <c r="L9" s="33" t="s">
        <v>557</v>
      </c>
      <c r="M9" s="54" cm="1">
        <f t="array" ref="M9:N9">_xlfn.XLOOKUP(F9,'Customer Data Vlookup'!$L:$L,'Customer Data Vlookup'!$M:$N,,0)</f>
        <v>0</v>
      </c>
      <c r="N9" s="54">
        <v>462828</v>
      </c>
      <c r="O9" s="54">
        <f t="shared" si="0"/>
        <v>462828</v>
      </c>
      <c r="P9" s="54">
        <f t="shared" si="1"/>
        <v>51425.650000000023</v>
      </c>
      <c r="Q9" s="56">
        <f t="shared" si="2"/>
        <v>0.10000055420121962</v>
      </c>
      <c r="R9" s="33" t="s">
        <v>833</v>
      </c>
      <c r="S9" s="34"/>
      <c r="T9" s="33" t="s">
        <v>558</v>
      </c>
    </row>
    <row r="10" spans="1:21" x14ac:dyDescent="0.35">
      <c r="A10" s="32">
        <v>1800000417</v>
      </c>
      <c r="B10" s="33" t="s">
        <v>563</v>
      </c>
      <c r="C10" s="34">
        <v>45719</v>
      </c>
      <c r="D10" s="34">
        <v>45719</v>
      </c>
      <c r="E10" s="33" t="s">
        <v>557</v>
      </c>
      <c r="F10" s="35">
        <v>246779410379</v>
      </c>
      <c r="G10" s="33" t="s">
        <v>559</v>
      </c>
      <c r="H10" s="36">
        <v>5862.04</v>
      </c>
      <c r="I10" s="37" t="s">
        <v>560</v>
      </c>
      <c r="J10" s="38">
        <v>508187.63</v>
      </c>
      <c r="K10" s="33" t="s">
        <v>561</v>
      </c>
      <c r="L10" s="33" t="s">
        <v>557</v>
      </c>
      <c r="M10" s="54" cm="1">
        <f t="array" ref="M10:N10">_xlfn.XLOOKUP(F10,'Customer Data Vlookup'!$L:$L,'Customer Data Vlookup'!$M:$N,,0)</f>
        <v>0</v>
      </c>
      <c r="N10" s="54">
        <v>460370</v>
      </c>
      <c r="O10" s="54">
        <f t="shared" si="0"/>
        <v>460370</v>
      </c>
      <c r="P10" s="54">
        <f t="shared" si="1"/>
        <v>47817.630000000005</v>
      </c>
      <c r="Q10" s="56">
        <f t="shared" si="2"/>
        <v>9.409443909526094E-2</v>
      </c>
      <c r="R10" s="33" t="s">
        <v>927</v>
      </c>
      <c r="S10" s="34"/>
      <c r="T10" s="33" t="s">
        <v>558</v>
      </c>
    </row>
    <row r="11" spans="1:21" hidden="1" x14ac:dyDescent="0.35">
      <c r="A11" s="32">
        <v>1400001985</v>
      </c>
      <c r="B11" s="33" t="s">
        <v>726</v>
      </c>
      <c r="C11" s="34">
        <v>45972</v>
      </c>
      <c r="D11" s="34">
        <v>45985</v>
      </c>
      <c r="E11" s="33" t="s">
        <v>891</v>
      </c>
      <c r="F11" s="35" t="s">
        <v>558</v>
      </c>
      <c r="G11" s="33" t="s">
        <v>560</v>
      </c>
      <c r="H11" s="36">
        <v>500000</v>
      </c>
      <c r="I11" s="37" t="s">
        <v>560</v>
      </c>
      <c r="J11" s="38">
        <v>500000</v>
      </c>
      <c r="K11" s="33" t="s">
        <v>728</v>
      </c>
      <c r="L11" s="33" t="s">
        <v>558</v>
      </c>
      <c r="M11" s="54" t="e" cm="1">
        <f t="array" ref="M11">_xlfn.XLOOKUP(F11,'Customer Data Vlookup'!$L:$L,'Customer Data Vlookup'!$M:$N,,0)</f>
        <v>#N/A</v>
      </c>
      <c r="N11" s="54"/>
      <c r="O11" s="53" t="e">
        <f t="shared" si="0"/>
        <v>#N/A</v>
      </c>
      <c r="P11" s="53" t="e">
        <f t="shared" si="1"/>
        <v>#N/A</v>
      </c>
      <c r="Q11" s="33" t="e">
        <f t="shared" si="2"/>
        <v>#N/A</v>
      </c>
      <c r="R11" s="33" t="s">
        <v>558</v>
      </c>
      <c r="S11" s="34">
        <v>45972</v>
      </c>
      <c r="T11" s="32">
        <v>1400001985</v>
      </c>
      <c r="U11" t="s">
        <v>954</v>
      </c>
    </row>
    <row r="12" spans="1:21" x14ac:dyDescent="0.35">
      <c r="A12" s="32">
        <v>1800007226</v>
      </c>
      <c r="B12" s="33" t="s">
        <v>563</v>
      </c>
      <c r="C12" s="34">
        <v>45763</v>
      </c>
      <c r="D12" s="34">
        <v>45764</v>
      </c>
      <c r="E12" s="33" t="s">
        <v>557</v>
      </c>
      <c r="F12" s="35">
        <v>256779412117</v>
      </c>
      <c r="G12" s="33" t="s">
        <v>559</v>
      </c>
      <c r="H12" s="36">
        <v>5415.85</v>
      </c>
      <c r="I12" s="37" t="s">
        <v>560</v>
      </c>
      <c r="J12" s="38">
        <v>470755.54</v>
      </c>
      <c r="K12" s="33" t="s">
        <v>561</v>
      </c>
      <c r="L12" s="33" t="s">
        <v>557</v>
      </c>
      <c r="M12" s="54" cm="1">
        <f t="array" ref="M12:N12">_xlfn.XLOOKUP(F12,'Customer Data Vlookup'!$L:$L,'Customer Data Vlookup'!$M:$N,,0)</f>
        <v>0</v>
      </c>
      <c r="N12" s="54">
        <v>417286</v>
      </c>
      <c r="O12" s="54">
        <f t="shared" si="0"/>
        <v>417286</v>
      </c>
      <c r="P12" s="54">
        <f t="shared" si="1"/>
        <v>53469.539999999979</v>
      </c>
      <c r="Q12" s="56">
        <f t="shared" si="2"/>
        <v>0.11358239140425194</v>
      </c>
      <c r="R12" s="33" t="s">
        <v>787</v>
      </c>
      <c r="S12" s="34"/>
      <c r="T12" s="33" t="s">
        <v>558</v>
      </c>
    </row>
    <row r="13" spans="1:21" x14ac:dyDescent="0.35">
      <c r="A13" s="32">
        <v>1800005904</v>
      </c>
      <c r="B13" s="33" t="s">
        <v>563</v>
      </c>
      <c r="C13" s="34">
        <v>45751</v>
      </c>
      <c r="D13" s="34">
        <v>45752</v>
      </c>
      <c r="E13" s="33" t="s">
        <v>557</v>
      </c>
      <c r="F13" s="35">
        <v>256779410795</v>
      </c>
      <c r="G13" s="33" t="s">
        <v>559</v>
      </c>
      <c r="H13" s="36">
        <v>5005.59</v>
      </c>
      <c r="I13" s="37" t="s">
        <v>560</v>
      </c>
      <c r="J13" s="38">
        <v>435094.99</v>
      </c>
      <c r="K13" s="33" t="s">
        <v>558</v>
      </c>
      <c r="L13" s="33" t="s">
        <v>557</v>
      </c>
      <c r="M13" s="54" cm="1">
        <f t="array" ref="M13:N13">_xlfn.XLOOKUP(F13,'Customer Data Vlookup'!$L:$L,'Customer Data Vlookup'!$M:$N,,0)</f>
        <v>0</v>
      </c>
      <c r="N13" s="54">
        <v>384955</v>
      </c>
      <c r="O13" s="54">
        <f t="shared" si="0"/>
        <v>384955</v>
      </c>
      <c r="P13" s="54">
        <f t="shared" si="1"/>
        <v>50139.989999999991</v>
      </c>
      <c r="Q13" s="56">
        <f t="shared" si="2"/>
        <v>0.11523918029945597</v>
      </c>
      <c r="R13" s="33" t="s">
        <v>916</v>
      </c>
      <c r="S13" s="34"/>
      <c r="T13" s="33" t="s">
        <v>558</v>
      </c>
    </row>
    <row r="14" spans="1:21" x14ac:dyDescent="0.35">
      <c r="A14" s="32">
        <v>1800000956</v>
      </c>
      <c r="B14" s="33" t="s">
        <v>563</v>
      </c>
      <c r="C14" s="34">
        <v>45722</v>
      </c>
      <c r="D14" s="34">
        <v>45722</v>
      </c>
      <c r="E14" s="33" t="s">
        <v>557</v>
      </c>
      <c r="F14" s="35">
        <v>246779410896</v>
      </c>
      <c r="G14" s="33" t="s">
        <v>559</v>
      </c>
      <c r="H14" s="36">
        <v>4556.3999999999996</v>
      </c>
      <c r="I14" s="37" t="s">
        <v>560</v>
      </c>
      <c r="J14" s="38">
        <v>395000.06</v>
      </c>
      <c r="K14" s="33" t="s">
        <v>561</v>
      </c>
      <c r="L14" s="33" t="s">
        <v>557</v>
      </c>
      <c r="M14" s="54" cm="1">
        <f t="array" ref="M14:N14">_xlfn.XLOOKUP(F14,'Customer Data Vlookup'!$L:$L,'Customer Data Vlookup'!$M:$N,,0)</f>
        <v>0</v>
      </c>
      <c r="N14" s="54">
        <v>357094</v>
      </c>
      <c r="O14" s="54">
        <f t="shared" si="0"/>
        <v>357094</v>
      </c>
      <c r="P14" s="54">
        <f t="shared" si="1"/>
        <v>37906.06</v>
      </c>
      <c r="Q14" s="56">
        <f t="shared" si="2"/>
        <v>9.5964694283843896E-2</v>
      </c>
      <c r="R14" s="33" t="s">
        <v>923</v>
      </c>
      <c r="S14" s="34"/>
      <c r="T14" s="33" t="s">
        <v>558</v>
      </c>
    </row>
    <row r="15" spans="1:21" x14ac:dyDescent="0.35">
      <c r="A15" s="32">
        <v>1800009478</v>
      </c>
      <c r="B15" s="33" t="s">
        <v>563</v>
      </c>
      <c r="C15" s="34">
        <v>45815</v>
      </c>
      <c r="D15" s="34">
        <v>45817</v>
      </c>
      <c r="E15" s="33" t="s">
        <v>557</v>
      </c>
      <c r="F15" s="35">
        <v>256779414242</v>
      </c>
      <c r="G15" s="33" t="s">
        <v>559</v>
      </c>
      <c r="H15" s="36">
        <v>4585.18</v>
      </c>
      <c r="I15" s="37" t="s">
        <v>560</v>
      </c>
      <c r="J15" s="38">
        <v>391990.61</v>
      </c>
      <c r="K15" s="33" t="s">
        <v>561</v>
      </c>
      <c r="L15" s="33" t="s">
        <v>557</v>
      </c>
      <c r="M15" s="54" cm="1">
        <f t="array" ref="M15:N15">_xlfn.XLOOKUP(F15,'Customer Data Vlookup'!$L:$L,'Customer Data Vlookup'!$M:$N,,0)</f>
        <v>0</v>
      </c>
      <c r="N15" s="54">
        <v>352792</v>
      </c>
      <c r="O15" s="54">
        <f t="shared" si="0"/>
        <v>352792</v>
      </c>
      <c r="P15" s="54">
        <f t="shared" si="1"/>
        <v>39198.609999999986</v>
      </c>
      <c r="Q15" s="56">
        <f t="shared" si="2"/>
        <v>9.9998849462235806E-2</v>
      </c>
      <c r="R15" s="33" t="s">
        <v>696</v>
      </c>
      <c r="S15" s="34"/>
      <c r="T15" s="33" t="s">
        <v>558</v>
      </c>
    </row>
    <row r="16" spans="1:21" x14ac:dyDescent="0.35">
      <c r="A16" s="32">
        <v>1800000466</v>
      </c>
      <c r="B16" s="33" t="s">
        <v>563</v>
      </c>
      <c r="C16" s="34">
        <v>45719</v>
      </c>
      <c r="D16" s="34">
        <v>45719</v>
      </c>
      <c r="E16" s="33" t="s">
        <v>557</v>
      </c>
      <c r="F16" s="35">
        <v>246779410428</v>
      </c>
      <c r="G16" s="33" t="s">
        <v>559</v>
      </c>
      <c r="H16" s="36">
        <v>4332.22</v>
      </c>
      <c r="I16" s="37" t="s">
        <v>560</v>
      </c>
      <c r="J16" s="38">
        <v>375565.61</v>
      </c>
      <c r="K16" s="33" t="s">
        <v>561</v>
      </c>
      <c r="L16" s="33" t="s">
        <v>557</v>
      </c>
      <c r="M16" s="54" cm="1">
        <f t="array" ref="M16:N16">_xlfn.XLOOKUP(F16,'Customer Data Vlookup'!$L:$L,'Customer Data Vlookup'!$M:$N,,0)</f>
        <v>0</v>
      </c>
      <c r="N16" s="54">
        <v>340227</v>
      </c>
      <c r="O16" s="54">
        <f t="shared" si="0"/>
        <v>340227</v>
      </c>
      <c r="P16" s="54">
        <f t="shared" si="1"/>
        <v>35338.609999999986</v>
      </c>
      <c r="Q16" s="56">
        <f t="shared" si="2"/>
        <v>9.4094371420215997E-2</v>
      </c>
      <c r="R16" s="33" t="s">
        <v>930</v>
      </c>
      <c r="S16" s="34"/>
      <c r="T16" s="33" t="s">
        <v>558</v>
      </c>
    </row>
    <row r="17" spans="1:21" x14ac:dyDescent="0.35">
      <c r="A17" s="32">
        <v>1800005921</v>
      </c>
      <c r="B17" s="33" t="s">
        <v>563</v>
      </c>
      <c r="C17" s="34">
        <v>45751</v>
      </c>
      <c r="D17" s="34">
        <v>45752</v>
      </c>
      <c r="E17" s="33" t="s">
        <v>557</v>
      </c>
      <c r="F17" s="35">
        <v>256779410812</v>
      </c>
      <c r="G17" s="33" t="s">
        <v>559</v>
      </c>
      <c r="H17" s="36">
        <v>4311.37</v>
      </c>
      <c r="I17" s="37" t="s">
        <v>560</v>
      </c>
      <c r="J17" s="38">
        <v>374752.13</v>
      </c>
      <c r="K17" s="33" t="s">
        <v>558</v>
      </c>
      <c r="L17" s="33" t="s">
        <v>557</v>
      </c>
      <c r="M17" s="54" cm="1">
        <f t="array" ref="M17:N17">_xlfn.XLOOKUP(F17,'Customer Data Vlookup'!$L:$L,'Customer Data Vlookup'!$M:$N,,0)</f>
        <v>0</v>
      </c>
      <c r="N17" s="54">
        <v>331566</v>
      </c>
      <c r="O17" s="54">
        <f t="shared" si="0"/>
        <v>331566</v>
      </c>
      <c r="P17" s="54">
        <f t="shared" si="1"/>
        <v>43186.130000000005</v>
      </c>
      <c r="Q17" s="56">
        <f t="shared" si="2"/>
        <v>0.11523918489802848</v>
      </c>
      <c r="R17" s="33" t="s">
        <v>917</v>
      </c>
      <c r="S17" s="34"/>
      <c r="T17" s="33" t="s">
        <v>558</v>
      </c>
    </row>
    <row r="18" spans="1:21" x14ac:dyDescent="0.35">
      <c r="A18" s="32">
        <v>1800009135</v>
      </c>
      <c r="B18" s="33" t="s">
        <v>563</v>
      </c>
      <c r="C18" s="34">
        <v>45805</v>
      </c>
      <c r="D18" s="34">
        <v>45805</v>
      </c>
      <c r="E18" s="33" t="s">
        <v>557</v>
      </c>
      <c r="F18" s="35">
        <v>256779413899</v>
      </c>
      <c r="G18" s="33" t="s">
        <v>559</v>
      </c>
      <c r="H18" s="36">
        <v>4312.12</v>
      </c>
      <c r="I18" s="37" t="s">
        <v>560</v>
      </c>
      <c r="J18" s="38">
        <v>370772.03</v>
      </c>
      <c r="K18" s="33" t="s">
        <v>561</v>
      </c>
      <c r="L18" s="33" t="s">
        <v>557</v>
      </c>
      <c r="M18" s="54" cm="1">
        <f t="array" ref="M18:N18">_xlfn.XLOOKUP(F18,'Customer Data Vlookup'!$L:$L,'Customer Data Vlookup'!$M:$N,,0)</f>
        <v>0</v>
      </c>
      <c r="N18" s="54">
        <v>333696</v>
      </c>
      <c r="O18" s="54">
        <f t="shared" si="0"/>
        <v>333696</v>
      </c>
      <c r="P18" s="54">
        <f t="shared" si="1"/>
        <v>37076.030000000028</v>
      </c>
      <c r="Q18" s="56">
        <f t="shared" si="2"/>
        <v>9.999683633093906E-2</v>
      </c>
      <c r="R18" s="33" t="s">
        <v>850</v>
      </c>
      <c r="S18" s="34"/>
      <c r="T18" s="33" t="s">
        <v>558</v>
      </c>
    </row>
    <row r="19" spans="1:21" hidden="1" x14ac:dyDescent="0.35">
      <c r="A19" s="32">
        <v>1400001901</v>
      </c>
      <c r="B19" s="33" t="s">
        <v>888</v>
      </c>
      <c r="C19" s="34">
        <v>45976</v>
      </c>
      <c r="D19" s="34">
        <v>45976</v>
      </c>
      <c r="E19" s="33" t="s">
        <v>557</v>
      </c>
      <c r="F19" s="35" t="s">
        <v>904</v>
      </c>
      <c r="G19" s="33" t="s">
        <v>559</v>
      </c>
      <c r="H19" s="36">
        <v>3813.11</v>
      </c>
      <c r="I19" s="37" t="s">
        <v>560</v>
      </c>
      <c r="J19" s="38">
        <v>331442.46000000002</v>
      </c>
      <c r="K19" s="33" t="s">
        <v>561</v>
      </c>
      <c r="L19" s="33" t="s">
        <v>558</v>
      </c>
      <c r="M19" s="54" t="e" cm="1">
        <f t="array" ref="M19">_xlfn.XLOOKUP(F19,'Customer Data Vlookup'!$L:$L,'Customer Data Vlookup'!$M:$N,,0)</f>
        <v>#N/A</v>
      </c>
      <c r="N19" s="54"/>
      <c r="O19" s="53" t="e">
        <f t="shared" si="0"/>
        <v>#N/A</v>
      </c>
      <c r="P19" s="53" t="e">
        <f t="shared" si="1"/>
        <v>#N/A</v>
      </c>
      <c r="Q19" s="33" t="e">
        <f t="shared" si="2"/>
        <v>#N/A</v>
      </c>
      <c r="R19" s="33" t="s">
        <v>558</v>
      </c>
      <c r="S19" s="34">
        <v>45976</v>
      </c>
      <c r="T19" s="32">
        <v>1400001901</v>
      </c>
      <c r="U19" t="s">
        <v>954</v>
      </c>
    </row>
    <row r="20" spans="1:21" x14ac:dyDescent="0.35">
      <c r="A20" s="32">
        <v>1800010438</v>
      </c>
      <c r="B20" s="33" t="s">
        <v>563</v>
      </c>
      <c r="C20" s="34">
        <v>45842</v>
      </c>
      <c r="D20" s="34">
        <v>45847</v>
      </c>
      <c r="E20" s="33" t="s">
        <v>557</v>
      </c>
      <c r="F20" s="35">
        <v>256779415198</v>
      </c>
      <c r="G20" s="33" t="s">
        <v>559</v>
      </c>
      <c r="H20" s="36">
        <v>3330.8</v>
      </c>
      <c r="I20" s="37" t="s">
        <v>560</v>
      </c>
      <c r="J20" s="38">
        <v>286451.03000000003</v>
      </c>
      <c r="K20" s="33" t="s">
        <v>561</v>
      </c>
      <c r="L20" s="33" t="s">
        <v>557</v>
      </c>
      <c r="M20" s="54" cm="1">
        <f t="array" ref="M20:N20">_xlfn.XLOOKUP(F20,'Customer Data Vlookup'!$L:$L,'Customer Data Vlookup'!$M:$N,,0)</f>
        <v>0</v>
      </c>
      <c r="N20" s="54">
        <v>257812.80850000001</v>
      </c>
      <c r="O20" s="54">
        <f t="shared" si="0"/>
        <v>257812.80850000001</v>
      </c>
      <c r="P20" s="54">
        <f t="shared" si="1"/>
        <v>28638.221500000014</v>
      </c>
      <c r="Q20" s="56">
        <f t="shared" si="2"/>
        <v>9.9975976696610278E-2</v>
      </c>
      <c r="R20" s="33" t="s">
        <v>811</v>
      </c>
      <c r="S20" s="34"/>
      <c r="T20" s="33" t="s">
        <v>558</v>
      </c>
    </row>
    <row r="21" spans="1:21" x14ac:dyDescent="0.35">
      <c r="A21" s="32">
        <v>1800000934</v>
      </c>
      <c r="B21" s="33" t="s">
        <v>563</v>
      </c>
      <c r="C21" s="34">
        <v>45722</v>
      </c>
      <c r="D21" s="34">
        <v>45722</v>
      </c>
      <c r="E21" s="33" t="s">
        <v>557</v>
      </c>
      <c r="F21" s="35">
        <v>246779410874</v>
      </c>
      <c r="G21" s="33" t="s">
        <v>559</v>
      </c>
      <c r="H21" s="36">
        <v>3080</v>
      </c>
      <c r="I21" s="37" t="s">
        <v>560</v>
      </c>
      <c r="J21" s="38">
        <v>267009.08</v>
      </c>
      <c r="K21" s="33" t="s">
        <v>561</v>
      </c>
      <c r="L21" s="33" t="s">
        <v>557</v>
      </c>
      <c r="M21" s="54" cm="1">
        <f t="array" ref="M21:N21">_xlfn.XLOOKUP(F21,'Customer Data Vlookup'!$L:$L,'Customer Data Vlookup'!$M:$N,,0)</f>
        <v>0</v>
      </c>
      <c r="N21" s="54">
        <v>241385</v>
      </c>
      <c r="O21" s="54">
        <f t="shared" si="0"/>
        <v>241385</v>
      </c>
      <c r="P21" s="54">
        <f t="shared" si="1"/>
        <v>25624.080000000016</v>
      </c>
      <c r="Q21" s="56">
        <f t="shared" si="2"/>
        <v>9.5967073479298962E-2</v>
      </c>
      <c r="R21" s="33" t="s">
        <v>922</v>
      </c>
      <c r="S21" s="34"/>
      <c r="T21" s="33" t="s">
        <v>558</v>
      </c>
    </row>
    <row r="22" spans="1:21" hidden="1" x14ac:dyDescent="0.35">
      <c r="A22" s="32">
        <v>1800010649</v>
      </c>
      <c r="B22" s="33" t="s">
        <v>563</v>
      </c>
      <c r="C22" s="34">
        <v>45854</v>
      </c>
      <c r="D22" s="34">
        <v>45855</v>
      </c>
      <c r="E22" s="33" t="s">
        <v>557</v>
      </c>
      <c r="F22" s="35">
        <v>256779415409</v>
      </c>
      <c r="G22" s="33" t="s">
        <v>559</v>
      </c>
      <c r="H22" s="36">
        <v>1926.06</v>
      </c>
      <c r="I22" s="37" t="s">
        <v>560</v>
      </c>
      <c r="J22" s="38">
        <v>166972.57</v>
      </c>
      <c r="K22" s="33" t="s">
        <v>561</v>
      </c>
      <c r="L22" s="33" t="s">
        <v>557</v>
      </c>
      <c r="M22" s="54" t="e" cm="1">
        <f t="array" ref="M22">_xlfn.XLOOKUP(F22,'Customer Data Vlookup'!$L:$L,'Customer Data Vlookup'!$M:$N,,0)</f>
        <v>#N/A</v>
      </c>
      <c r="N22" s="54"/>
      <c r="O22" s="53" t="e">
        <f t="shared" si="0"/>
        <v>#N/A</v>
      </c>
      <c r="P22" s="53" t="e">
        <f t="shared" si="1"/>
        <v>#N/A</v>
      </c>
      <c r="Q22" s="33" t="e">
        <f t="shared" si="2"/>
        <v>#N/A</v>
      </c>
      <c r="R22" s="33" t="s">
        <v>570</v>
      </c>
      <c r="S22" s="34">
        <v>45854</v>
      </c>
      <c r="T22" s="32">
        <v>1400000288</v>
      </c>
      <c r="U22" t="s">
        <v>954</v>
      </c>
    </row>
    <row r="23" spans="1:21" x14ac:dyDescent="0.35">
      <c r="A23" s="32">
        <v>1800003928</v>
      </c>
      <c r="B23" s="33" t="s">
        <v>563</v>
      </c>
      <c r="C23" s="34">
        <v>45736</v>
      </c>
      <c r="D23" s="34">
        <v>45736</v>
      </c>
      <c r="E23" s="33" t="s">
        <v>557</v>
      </c>
      <c r="F23" s="35">
        <v>246779413796</v>
      </c>
      <c r="G23" s="33" t="s">
        <v>559</v>
      </c>
      <c r="H23" s="36">
        <v>1926.06</v>
      </c>
      <c r="I23" s="37" t="s">
        <v>560</v>
      </c>
      <c r="J23" s="38">
        <v>166972.57</v>
      </c>
      <c r="K23" s="33" t="s">
        <v>561</v>
      </c>
      <c r="L23" s="33" t="s">
        <v>557</v>
      </c>
      <c r="M23" s="54" cm="1">
        <f t="array" ref="M23:N23">_xlfn.XLOOKUP(F23,'Customer Data Vlookup'!$L:$L,'Customer Data Vlookup'!$M:$N,,0)</f>
        <v>0</v>
      </c>
      <c r="N23" s="54">
        <v>163631</v>
      </c>
      <c r="O23" s="54">
        <f t="shared" si="0"/>
        <v>163631</v>
      </c>
      <c r="P23" s="54">
        <f t="shared" si="1"/>
        <v>3341.570000000007</v>
      </c>
      <c r="Q23" s="56">
        <f t="shared" si="2"/>
        <v>2.0012688311619131E-2</v>
      </c>
      <c r="R23" s="33" t="s">
        <v>863</v>
      </c>
      <c r="S23" s="34"/>
      <c r="T23" s="33" t="s">
        <v>558</v>
      </c>
    </row>
    <row r="24" spans="1:21" hidden="1" x14ac:dyDescent="0.35">
      <c r="A24" s="32">
        <v>1400000288</v>
      </c>
      <c r="B24" s="33" t="s">
        <v>888</v>
      </c>
      <c r="C24" s="34">
        <v>45854</v>
      </c>
      <c r="D24" s="34">
        <v>45855</v>
      </c>
      <c r="E24" s="33" t="s">
        <v>557</v>
      </c>
      <c r="F24" s="35" t="s">
        <v>558</v>
      </c>
      <c r="G24" s="33" t="s">
        <v>559</v>
      </c>
      <c r="H24" s="36">
        <v>1926.06</v>
      </c>
      <c r="I24" s="37" t="s">
        <v>560</v>
      </c>
      <c r="J24" s="38">
        <v>166972.57</v>
      </c>
      <c r="K24" s="33" t="s">
        <v>561</v>
      </c>
      <c r="L24" s="33" t="s">
        <v>558</v>
      </c>
      <c r="M24" s="54" t="e" cm="1">
        <f t="array" ref="M24">_xlfn.XLOOKUP(F24,'Customer Data Vlookup'!$L:$L,'Customer Data Vlookup'!$M:$N,,0)</f>
        <v>#N/A</v>
      </c>
      <c r="N24" s="54"/>
      <c r="O24" s="53" t="e">
        <f t="shared" si="0"/>
        <v>#N/A</v>
      </c>
      <c r="P24" s="53" t="e">
        <f t="shared" si="1"/>
        <v>#N/A</v>
      </c>
      <c r="Q24" s="33" t="e">
        <f t="shared" si="2"/>
        <v>#N/A</v>
      </c>
      <c r="R24" s="33" t="s">
        <v>558</v>
      </c>
      <c r="S24" s="34">
        <v>45854</v>
      </c>
      <c r="T24" s="32">
        <v>1400000288</v>
      </c>
      <c r="U24" t="s">
        <v>954</v>
      </c>
    </row>
    <row r="25" spans="1:21" x14ac:dyDescent="0.35">
      <c r="A25" s="32">
        <v>1800000371</v>
      </c>
      <c r="B25" s="33" t="s">
        <v>563</v>
      </c>
      <c r="C25" s="34">
        <v>45716</v>
      </c>
      <c r="D25" s="34">
        <v>45716</v>
      </c>
      <c r="E25" s="33" t="s">
        <v>557</v>
      </c>
      <c r="F25" s="35">
        <v>246779410340</v>
      </c>
      <c r="G25" s="33" t="s">
        <v>559</v>
      </c>
      <c r="H25" s="36">
        <v>1863.55</v>
      </c>
      <c r="I25" s="37" t="s">
        <v>560</v>
      </c>
      <c r="J25" s="38">
        <v>160831.19</v>
      </c>
      <c r="K25" s="33" t="s">
        <v>561</v>
      </c>
      <c r="L25" s="33" t="s">
        <v>557</v>
      </c>
      <c r="M25" s="54" cm="1">
        <f t="array" ref="M25:N25">_xlfn.XLOOKUP(F25,'Customer Data Vlookup'!$L:$L,'Customer Data Vlookup'!$M:$N,,0)</f>
        <v>0</v>
      </c>
      <c r="N25" s="54">
        <v>144772.565</v>
      </c>
      <c r="O25" s="54">
        <f t="shared" si="0"/>
        <v>144772.565</v>
      </c>
      <c r="P25" s="54">
        <f t="shared" si="1"/>
        <v>16058.625</v>
      </c>
      <c r="Q25" s="56">
        <f t="shared" si="2"/>
        <v>9.9847703669916257E-2</v>
      </c>
      <c r="R25" s="33" t="s">
        <v>921</v>
      </c>
      <c r="S25" s="34"/>
      <c r="T25" s="33" t="s">
        <v>558</v>
      </c>
    </row>
    <row r="26" spans="1:21" x14ac:dyDescent="0.35">
      <c r="A26" s="32">
        <v>1800005064</v>
      </c>
      <c r="B26" s="33" t="s">
        <v>563</v>
      </c>
      <c r="C26" s="34">
        <v>45750</v>
      </c>
      <c r="D26" s="34">
        <v>45752</v>
      </c>
      <c r="E26" s="33" t="s">
        <v>557</v>
      </c>
      <c r="F26" s="35">
        <v>256779410010</v>
      </c>
      <c r="G26" s="33" t="s">
        <v>559</v>
      </c>
      <c r="H26" s="36">
        <v>1793.99</v>
      </c>
      <c r="I26" s="37" t="s">
        <v>560</v>
      </c>
      <c r="J26" s="38">
        <v>155936.88</v>
      </c>
      <c r="K26" s="33" t="s">
        <v>558</v>
      </c>
      <c r="L26" s="33" t="s">
        <v>557</v>
      </c>
      <c r="M26" s="54" cm="1">
        <f t="array" ref="M26:N26">_xlfn.XLOOKUP(F26,'Customer Data Vlookup'!$L:$L,'Customer Data Vlookup'!$M:$N,,0)</f>
        <v>0</v>
      </c>
      <c r="N26" s="54">
        <v>140649</v>
      </c>
      <c r="O26" s="54">
        <f t="shared" si="0"/>
        <v>140649</v>
      </c>
      <c r="P26" s="54">
        <f t="shared" si="1"/>
        <v>15287.880000000005</v>
      </c>
      <c r="Q26" s="56">
        <f t="shared" si="2"/>
        <v>9.8038898815982489E-2</v>
      </c>
      <c r="R26" s="33" t="s">
        <v>608</v>
      </c>
      <c r="S26" s="34">
        <v>45976</v>
      </c>
      <c r="T26" s="32">
        <v>1400001901</v>
      </c>
      <c r="U26" t="s">
        <v>954</v>
      </c>
    </row>
    <row r="27" spans="1:21" hidden="1" x14ac:dyDescent="0.35">
      <c r="A27" s="32">
        <v>1800011863</v>
      </c>
      <c r="B27" s="33" t="s">
        <v>563</v>
      </c>
      <c r="C27" s="34">
        <v>45877</v>
      </c>
      <c r="D27" s="34">
        <v>45877</v>
      </c>
      <c r="E27" s="33" t="s">
        <v>557</v>
      </c>
      <c r="F27" s="35">
        <v>256779416514</v>
      </c>
      <c r="G27" s="33" t="s">
        <v>559</v>
      </c>
      <c r="H27" s="36">
        <v>1804.03</v>
      </c>
      <c r="I27" s="37" t="s">
        <v>560</v>
      </c>
      <c r="J27" s="38">
        <v>155200.92000000001</v>
      </c>
      <c r="K27" s="33" t="s">
        <v>561</v>
      </c>
      <c r="L27" s="33" t="s">
        <v>557</v>
      </c>
      <c r="M27" s="54" t="e" cm="1">
        <f t="array" ref="M27">_xlfn.XLOOKUP(F27,'Customer Data Vlookup'!$L:$L,'Customer Data Vlookup'!$M:$N,,0)</f>
        <v>#N/A</v>
      </c>
      <c r="N27" s="54"/>
      <c r="O27" s="53" t="e">
        <f t="shared" si="0"/>
        <v>#N/A</v>
      </c>
      <c r="P27" s="53" t="e">
        <f t="shared" si="1"/>
        <v>#N/A</v>
      </c>
      <c r="Q27" s="33" t="e">
        <f t="shared" si="2"/>
        <v>#N/A</v>
      </c>
      <c r="R27" s="33" t="s">
        <v>838</v>
      </c>
      <c r="S27" s="34"/>
      <c r="T27" s="33" t="s">
        <v>558</v>
      </c>
    </row>
    <row r="28" spans="1:21" hidden="1" x14ac:dyDescent="0.35">
      <c r="A28" s="32">
        <v>1800010646</v>
      </c>
      <c r="B28" s="33" t="s">
        <v>563</v>
      </c>
      <c r="C28" s="34">
        <v>45854</v>
      </c>
      <c r="D28" s="34">
        <v>45855</v>
      </c>
      <c r="E28" s="33" t="s">
        <v>557</v>
      </c>
      <c r="F28" s="35">
        <v>256779415406</v>
      </c>
      <c r="G28" s="33" t="s">
        <v>559</v>
      </c>
      <c r="H28" s="36">
        <v>1793.99</v>
      </c>
      <c r="I28" s="37" t="s">
        <v>560</v>
      </c>
      <c r="J28" s="38">
        <v>154827.9</v>
      </c>
      <c r="K28" s="33" t="s">
        <v>561</v>
      </c>
      <c r="L28" s="33" t="s">
        <v>557</v>
      </c>
      <c r="M28" s="54" t="e" cm="1">
        <f t="array" ref="M28">_xlfn.XLOOKUP(F28,'Customer Data Vlookup'!$L:$L,'Customer Data Vlookup'!$M:$N,,0)</f>
        <v>#N/A</v>
      </c>
      <c r="N28" s="54"/>
      <c r="O28" s="53" t="e">
        <f t="shared" si="0"/>
        <v>#N/A</v>
      </c>
      <c r="P28" s="53" t="e">
        <f t="shared" si="1"/>
        <v>#N/A</v>
      </c>
      <c r="Q28" s="33" t="e">
        <f t="shared" si="2"/>
        <v>#N/A</v>
      </c>
      <c r="R28" s="33" t="s">
        <v>564</v>
      </c>
      <c r="S28" s="34">
        <v>45854</v>
      </c>
      <c r="T28" s="32">
        <v>1400000285</v>
      </c>
      <c r="U28" t="s">
        <v>954</v>
      </c>
    </row>
    <row r="29" spans="1:21" hidden="1" x14ac:dyDescent="0.35">
      <c r="A29" s="32">
        <v>1400000285</v>
      </c>
      <c r="B29" s="33" t="s">
        <v>888</v>
      </c>
      <c r="C29" s="34">
        <v>45854</v>
      </c>
      <c r="D29" s="34">
        <v>45855</v>
      </c>
      <c r="E29" s="33" t="s">
        <v>557</v>
      </c>
      <c r="F29" s="35" t="s">
        <v>558</v>
      </c>
      <c r="G29" s="33" t="s">
        <v>559</v>
      </c>
      <c r="H29" s="36">
        <v>1793.99</v>
      </c>
      <c r="I29" s="37" t="s">
        <v>560</v>
      </c>
      <c r="J29" s="38">
        <v>154827.9</v>
      </c>
      <c r="K29" s="33" t="s">
        <v>561</v>
      </c>
      <c r="L29" s="33" t="s">
        <v>558</v>
      </c>
      <c r="M29" s="54" t="e" cm="1">
        <f t="array" ref="M29">_xlfn.XLOOKUP(F29,'Customer Data Vlookup'!$L:$L,'Customer Data Vlookup'!$M:$N,,0)</f>
        <v>#N/A</v>
      </c>
      <c r="N29" s="54"/>
      <c r="O29" s="53" t="e">
        <f t="shared" si="0"/>
        <v>#N/A</v>
      </c>
      <c r="P29" s="53" t="e">
        <f t="shared" si="1"/>
        <v>#N/A</v>
      </c>
      <c r="Q29" s="33" t="e">
        <f t="shared" si="2"/>
        <v>#N/A</v>
      </c>
      <c r="R29" s="33" t="s">
        <v>558</v>
      </c>
      <c r="S29" s="34">
        <v>45854</v>
      </c>
      <c r="T29" s="32">
        <v>1400000285</v>
      </c>
      <c r="U29" t="s">
        <v>954</v>
      </c>
    </row>
    <row r="30" spans="1:21" x14ac:dyDescent="0.35">
      <c r="A30" s="32">
        <v>1800000379</v>
      </c>
      <c r="B30" s="33" t="s">
        <v>563</v>
      </c>
      <c r="C30" s="34">
        <v>45716</v>
      </c>
      <c r="D30" s="34">
        <v>45716</v>
      </c>
      <c r="E30" s="33" t="s">
        <v>557</v>
      </c>
      <c r="F30" s="35">
        <v>246779410348</v>
      </c>
      <c r="G30" s="33" t="s">
        <v>559</v>
      </c>
      <c r="H30" s="36">
        <v>1793.99</v>
      </c>
      <c r="I30" s="37" t="s">
        <v>560</v>
      </c>
      <c r="J30" s="38">
        <v>154827.9</v>
      </c>
      <c r="K30" s="33" t="s">
        <v>561</v>
      </c>
      <c r="L30" s="33" t="s">
        <v>557</v>
      </c>
      <c r="M30" s="54" cm="1">
        <f t="array" ref="M30:N30">_xlfn.XLOOKUP(F30,'Customer Data Vlookup'!$L:$L,'Customer Data Vlookup'!$M:$N,,0)</f>
        <v>0</v>
      </c>
      <c r="N30" s="54">
        <v>151725</v>
      </c>
      <c r="O30" s="54">
        <f t="shared" si="0"/>
        <v>151725</v>
      </c>
      <c r="P30" s="54">
        <f t="shared" si="1"/>
        <v>3102.8999999999942</v>
      </c>
      <c r="Q30" s="56">
        <f t="shared" si="2"/>
        <v>2.0040961609632337E-2</v>
      </c>
      <c r="R30" s="33" t="s">
        <v>608</v>
      </c>
      <c r="S30" s="34"/>
      <c r="T30" s="33" t="s">
        <v>558</v>
      </c>
    </row>
    <row r="31" spans="1:21" x14ac:dyDescent="0.35">
      <c r="A31" s="32">
        <v>1800001954</v>
      </c>
      <c r="B31" s="33" t="s">
        <v>563</v>
      </c>
      <c r="C31" s="34">
        <v>45733</v>
      </c>
      <c r="D31" s="34">
        <v>45733</v>
      </c>
      <c r="E31" s="33" t="s">
        <v>557</v>
      </c>
      <c r="F31" s="35">
        <v>246779411619</v>
      </c>
      <c r="G31" s="33" t="s">
        <v>559</v>
      </c>
      <c r="H31" s="36">
        <v>1765.65</v>
      </c>
      <c r="I31" s="37" t="s">
        <v>560</v>
      </c>
      <c r="J31" s="38">
        <v>153066.42000000001</v>
      </c>
      <c r="K31" s="33" t="s">
        <v>561</v>
      </c>
      <c r="L31" s="33" t="s">
        <v>557</v>
      </c>
      <c r="M31" s="54" cm="1">
        <f t="array" ref="M31:N31">_xlfn.XLOOKUP(F31,'Customer Data Vlookup'!$L:$L,'Customer Data Vlookup'!$M:$N,,0)</f>
        <v>0</v>
      </c>
      <c r="N31" s="54">
        <v>143412</v>
      </c>
      <c r="O31" s="54">
        <f t="shared" si="0"/>
        <v>143412</v>
      </c>
      <c r="P31" s="54">
        <f t="shared" si="1"/>
        <v>9654.4200000000128</v>
      </c>
      <c r="Q31" s="56">
        <f t="shared" si="2"/>
        <v>6.3073403036407405E-2</v>
      </c>
      <c r="R31" s="33" t="s">
        <v>763</v>
      </c>
      <c r="S31" s="34"/>
      <c r="T31" s="33" t="s">
        <v>558</v>
      </c>
    </row>
    <row r="32" spans="1:21" x14ac:dyDescent="0.35">
      <c r="A32" s="32">
        <v>1800011041</v>
      </c>
      <c r="B32" s="33" t="s">
        <v>563</v>
      </c>
      <c r="C32" s="34">
        <v>45856</v>
      </c>
      <c r="D32" s="34">
        <v>45859</v>
      </c>
      <c r="E32" s="33" t="s">
        <v>557</v>
      </c>
      <c r="F32" s="35">
        <v>256779415801</v>
      </c>
      <c r="G32" s="33" t="s">
        <v>559</v>
      </c>
      <c r="H32" s="36">
        <v>1762.2</v>
      </c>
      <c r="I32" s="37" t="s">
        <v>560</v>
      </c>
      <c r="J32" s="38">
        <v>151550.38</v>
      </c>
      <c r="K32" s="33" t="s">
        <v>561</v>
      </c>
      <c r="L32" s="33" t="s">
        <v>557</v>
      </c>
      <c r="M32" s="54" cm="1">
        <f t="array" ref="M32:N32">_xlfn.XLOOKUP(F32,'Customer Data Vlookup'!$L:$L,'Customer Data Vlookup'!$M:$N,,0)</f>
        <v>0</v>
      </c>
      <c r="N32" s="54">
        <v>148540.3572</v>
      </c>
      <c r="O32" s="54">
        <f t="shared" si="0"/>
        <v>148540.3572</v>
      </c>
      <c r="P32" s="54">
        <f t="shared" si="1"/>
        <v>3010.0228000000061</v>
      </c>
      <c r="Q32" s="56">
        <f t="shared" si="2"/>
        <v>1.9861532514798087E-2</v>
      </c>
      <c r="R32" s="33" t="s">
        <v>854</v>
      </c>
      <c r="S32" s="34"/>
      <c r="T32" s="33" t="s">
        <v>558</v>
      </c>
    </row>
    <row r="33" spans="1:21" hidden="1" x14ac:dyDescent="0.35">
      <c r="A33" s="32">
        <v>1800013509</v>
      </c>
      <c r="B33" s="33" t="s">
        <v>563</v>
      </c>
      <c r="C33" s="34">
        <v>45935</v>
      </c>
      <c r="D33" s="34">
        <v>45940</v>
      </c>
      <c r="E33" s="33" t="s">
        <v>557</v>
      </c>
      <c r="F33" s="35">
        <v>256779418399</v>
      </c>
      <c r="G33" s="33" t="s">
        <v>559</v>
      </c>
      <c r="H33" s="36">
        <v>1432.98</v>
      </c>
      <c r="I33" s="37" t="s">
        <v>560</v>
      </c>
      <c r="J33" s="38">
        <v>126375.61</v>
      </c>
      <c r="K33" s="33" t="s">
        <v>561</v>
      </c>
      <c r="L33" s="33" t="s">
        <v>706</v>
      </c>
      <c r="M33" s="54" t="e" cm="1">
        <f t="array" ref="M33">_xlfn.XLOOKUP(F33,'Customer Data Vlookup'!$L:$L,'Customer Data Vlookup'!$M:$N,,0)</f>
        <v>#N/A</v>
      </c>
      <c r="N33" s="54"/>
      <c r="O33" s="53" t="e">
        <f t="shared" si="0"/>
        <v>#N/A</v>
      </c>
      <c r="P33" s="53" t="e">
        <f t="shared" si="1"/>
        <v>#N/A</v>
      </c>
      <c r="Q33" s="33" t="e">
        <f t="shared" si="2"/>
        <v>#N/A</v>
      </c>
      <c r="R33" s="33" t="s">
        <v>707</v>
      </c>
      <c r="S33" s="34"/>
      <c r="T33" s="33" t="s">
        <v>558</v>
      </c>
    </row>
    <row r="34" spans="1:21" x14ac:dyDescent="0.35">
      <c r="A34" s="32">
        <v>1800005328</v>
      </c>
      <c r="B34" s="33" t="s">
        <v>563</v>
      </c>
      <c r="C34" s="34">
        <v>45750</v>
      </c>
      <c r="D34" s="34">
        <v>45752</v>
      </c>
      <c r="E34" s="33" t="s">
        <v>557</v>
      </c>
      <c r="F34" s="35">
        <v>256779410220</v>
      </c>
      <c r="G34" s="33" t="s">
        <v>559</v>
      </c>
      <c r="H34" s="36">
        <v>1314.12</v>
      </c>
      <c r="I34" s="37" t="s">
        <v>560</v>
      </c>
      <c r="J34" s="38">
        <v>114225.7</v>
      </c>
      <c r="K34" s="33" t="s">
        <v>558</v>
      </c>
      <c r="L34" s="33" t="s">
        <v>557</v>
      </c>
      <c r="M34" s="54" cm="1">
        <f t="array" ref="M34:N34">_xlfn.XLOOKUP(F34,'Customer Data Vlookup'!$L:$L,'Customer Data Vlookup'!$M:$N,,0)</f>
        <v>0</v>
      </c>
      <c r="N34" s="54">
        <v>114223</v>
      </c>
      <c r="O34" s="54">
        <f t="shared" si="0"/>
        <v>114223</v>
      </c>
      <c r="P34" s="54">
        <f t="shared" si="1"/>
        <v>2.6999999999970896</v>
      </c>
      <c r="Q34" s="56">
        <f t="shared" si="2"/>
        <v>2.3637412596264148E-5</v>
      </c>
      <c r="R34" s="33" t="s">
        <v>608</v>
      </c>
      <c r="S34" s="34">
        <v>45976</v>
      </c>
      <c r="T34" s="32">
        <v>1400001901</v>
      </c>
      <c r="U34" t="s">
        <v>954</v>
      </c>
    </row>
    <row r="35" spans="1:21" x14ac:dyDescent="0.35">
      <c r="A35" s="32">
        <v>1800000383</v>
      </c>
      <c r="B35" s="33" t="s">
        <v>563</v>
      </c>
      <c r="C35" s="34">
        <v>45716</v>
      </c>
      <c r="D35" s="34">
        <v>45716</v>
      </c>
      <c r="E35" s="33" t="s">
        <v>557</v>
      </c>
      <c r="F35" s="35">
        <v>246779410352</v>
      </c>
      <c r="G35" s="33" t="s">
        <v>559</v>
      </c>
      <c r="H35" s="36">
        <v>1314.12</v>
      </c>
      <c r="I35" s="37" t="s">
        <v>560</v>
      </c>
      <c r="J35" s="38">
        <v>113413.37</v>
      </c>
      <c r="K35" s="33" t="s">
        <v>561</v>
      </c>
      <c r="L35" s="33" t="s">
        <v>557</v>
      </c>
      <c r="M35" s="54" cm="1">
        <f t="array" ref="M35:N35">_xlfn.XLOOKUP(F35,'Customer Data Vlookup'!$L:$L,'Customer Data Vlookup'!$M:$N,,0)</f>
        <v>0</v>
      </c>
      <c r="N35" s="54">
        <v>102103.25599999999</v>
      </c>
      <c r="O35" s="54">
        <f t="shared" si="0"/>
        <v>102103.25599999999</v>
      </c>
      <c r="P35" s="54">
        <f t="shared" si="1"/>
        <v>11310.114000000001</v>
      </c>
      <c r="Q35" s="56">
        <f t="shared" si="2"/>
        <v>9.9724697361519204E-2</v>
      </c>
      <c r="R35" s="33" t="s">
        <v>608</v>
      </c>
      <c r="S35" s="34"/>
      <c r="T35" s="33" t="s">
        <v>558</v>
      </c>
    </row>
    <row r="36" spans="1:21" x14ac:dyDescent="0.35">
      <c r="A36" s="32">
        <v>1800001031</v>
      </c>
      <c r="B36" s="33" t="s">
        <v>563</v>
      </c>
      <c r="C36" s="34">
        <v>45722</v>
      </c>
      <c r="D36" s="34">
        <v>45722</v>
      </c>
      <c r="E36" s="33" t="s">
        <v>557</v>
      </c>
      <c r="F36" s="35">
        <v>246779410971</v>
      </c>
      <c r="G36" s="33" t="s">
        <v>559</v>
      </c>
      <c r="H36" s="36">
        <v>1205.2</v>
      </c>
      <c r="I36" s="37" t="s">
        <v>560</v>
      </c>
      <c r="J36" s="38">
        <v>104480.31</v>
      </c>
      <c r="K36" s="33" t="s">
        <v>561</v>
      </c>
      <c r="L36" s="33" t="s">
        <v>557</v>
      </c>
      <c r="M36" s="54" cm="1">
        <f t="array" ref="M36:N36">_xlfn.XLOOKUP(F36,'Customer Data Vlookup'!$L:$L,'Customer Data Vlookup'!$M:$N,,0)</f>
        <v>0</v>
      </c>
      <c r="N36" s="54">
        <v>36538</v>
      </c>
      <c r="O36" s="54">
        <f t="shared" si="0"/>
        <v>36538</v>
      </c>
      <c r="P36" s="54">
        <f t="shared" si="1"/>
        <v>67942.31</v>
      </c>
      <c r="Q36" s="56">
        <f t="shared" si="2"/>
        <v>0.65028817391525728</v>
      </c>
      <c r="R36" s="33" t="s">
        <v>924</v>
      </c>
      <c r="S36" s="34"/>
      <c r="T36" s="33" t="s">
        <v>558</v>
      </c>
    </row>
    <row r="37" spans="1:21" x14ac:dyDescent="0.35">
      <c r="A37" s="32">
        <v>1800010130</v>
      </c>
      <c r="B37" s="33" t="s">
        <v>563</v>
      </c>
      <c r="C37" s="34">
        <v>45842</v>
      </c>
      <c r="D37" s="34">
        <v>45847</v>
      </c>
      <c r="E37" s="33" t="s">
        <v>557</v>
      </c>
      <c r="F37" s="35">
        <v>256779414890</v>
      </c>
      <c r="G37" s="33" t="s">
        <v>559</v>
      </c>
      <c r="H37" s="36">
        <v>1180.8</v>
      </c>
      <c r="I37" s="37" t="s">
        <v>560</v>
      </c>
      <c r="J37" s="38">
        <v>101549.59</v>
      </c>
      <c r="K37" s="33" t="s">
        <v>561</v>
      </c>
      <c r="L37" s="33" t="s">
        <v>557</v>
      </c>
      <c r="M37" s="54" cm="1">
        <f t="array" ref="M37:N37">_xlfn.XLOOKUP(F37,'Customer Data Vlookup'!$L:$L,'Customer Data Vlookup'!$M:$N,,0)</f>
        <v>0</v>
      </c>
      <c r="N37" s="54">
        <v>91401.512100000007</v>
      </c>
      <c r="O37" s="54">
        <f t="shared" si="0"/>
        <v>91401.512100000007</v>
      </c>
      <c r="P37" s="54">
        <f t="shared" si="1"/>
        <v>10148.077899999989</v>
      </c>
      <c r="Q37" s="56">
        <f t="shared" si="2"/>
        <v>9.993223901741001E-2</v>
      </c>
      <c r="R37" s="33" t="s">
        <v>807</v>
      </c>
      <c r="S37" s="34"/>
      <c r="T37" s="33" t="s">
        <v>558</v>
      </c>
    </row>
    <row r="38" spans="1:21" hidden="1" x14ac:dyDescent="0.35">
      <c r="A38" s="32">
        <v>1400001902</v>
      </c>
      <c r="B38" s="33" t="s">
        <v>888</v>
      </c>
      <c r="C38" s="34">
        <v>45976</v>
      </c>
      <c r="D38" s="34">
        <v>45976</v>
      </c>
      <c r="E38" s="33" t="s">
        <v>557</v>
      </c>
      <c r="F38" s="35" t="s">
        <v>904</v>
      </c>
      <c r="G38" s="33" t="s">
        <v>559</v>
      </c>
      <c r="H38" s="36">
        <v>1117.6600000000001</v>
      </c>
      <c r="I38" s="37" t="s">
        <v>560</v>
      </c>
      <c r="J38" s="38">
        <v>96798.99</v>
      </c>
      <c r="K38" s="33" t="s">
        <v>561</v>
      </c>
      <c r="L38" s="33" t="s">
        <v>558</v>
      </c>
      <c r="M38" s="54" t="e" cm="1">
        <f t="array" ref="M38">_xlfn.XLOOKUP(F38,'Customer Data Vlookup'!$L:$L,'Customer Data Vlookup'!$M:$N,,0)</f>
        <v>#N/A</v>
      </c>
      <c r="N38" s="54"/>
      <c r="O38" s="53" t="e">
        <f t="shared" si="0"/>
        <v>#N/A</v>
      </c>
      <c r="P38" s="53" t="e">
        <f t="shared" si="1"/>
        <v>#N/A</v>
      </c>
      <c r="Q38" s="33" t="e">
        <f t="shared" si="2"/>
        <v>#N/A</v>
      </c>
      <c r="R38" s="33" t="s">
        <v>558</v>
      </c>
      <c r="S38" s="34">
        <v>45976</v>
      </c>
      <c r="T38" s="32">
        <v>1400001902</v>
      </c>
      <c r="U38" t="s">
        <v>954</v>
      </c>
    </row>
    <row r="39" spans="1:21" x14ac:dyDescent="0.35">
      <c r="A39" s="32">
        <v>1800012646</v>
      </c>
      <c r="B39" s="33" t="s">
        <v>563</v>
      </c>
      <c r="C39" s="34">
        <v>45904</v>
      </c>
      <c r="D39" s="34">
        <v>45909</v>
      </c>
      <c r="E39" s="33" t="s">
        <v>557</v>
      </c>
      <c r="F39" s="35">
        <v>256779417286</v>
      </c>
      <c r="G39" s="33" t="s">
        <v>559</v>
      </c>
      <c r="H39" s="36">
        <v>1050.9000000000001</v>
      </c>
      <c r="I39" s="37" t="s">
        <v>560</v>
      </c>
      <c r="J39" s="38">
        <v>91968.81</v>
      </c>
      <c r="K39" s="33" t="s">
        <v>561</v>
      </c>
      <c r="L39" s="33" t="s">
        <v>557</v>
      </c>
      <c r="M39" s="54" cm="1">
        <f t="array" ref="M39:N39">_xlfn.XLOOKUP(F39,'Customer Data Vlookup'!$L:$L,'Customer Data Vlookup'!$M:$N,,0)</f>
        <v>0</v>
      </c>
      <c r="N39" s="54">
        <v>90131.008499999996</v>
      </c>
      <c r="O39" s="54">
        <f t="shared" si="0"/>
        <v>90131.008499999996</v>
      </c>
      <c r="P39" s="54">
        <f t="shared" si="1"/>
        <v>1837.8015000000014</v>
      </c>
      <c r="Q39" s="56">
        <f t="shared" si="2"/>
        <v>1.998287789088498E-2</v>
      </c>
      <c r="R39" s="33" t="s">
        <v>800</v>
      </c>
      <c r="S39" s="34"/>
      <c r="T39" s="33" t="s">
        <v>558</v>
      </c>
    </row>
    <row r="40" spans="1:21" hidden="1" x14ac:dyDescent="0.35">
      <c r="A40" s="32">
        <v>1400001112</v>
      </c>
      <c r="B40" s="33" t="s">
        <v>888</v>
      </c>
      <c r="C40" s="34">
        <v>45902</v>
      </c>
      <c r="D40" s="34">
        <v>45902</v>
      </c>
      <c r="E40" s="33" t="s">
        <v>558</v>
      </c>
      <c r="F40" s="35" t="s">
        <v>558</v>
      </c>
      <c r="G40" s="33" t="s">
        <v>560</v>
      </c>
      <c r="H40" s="36">
        <v>79944.34</v>
      </c>
      <c r="I40" s="37" t="s">
        <v>560</v>
      </c>
      <c r="J40" s="38">
        <v>78561.62</v>
      </c>
      <c r="K40" s="33" t="s">
        <v>561</v>
      </c>
      <c r="L40" s="33" t="s">
        <v>558</v>
      </c>
      <c r="M40" s="54" t="e" cm="1">
        <f t="array" ref="M40">_xlfn.XLOOKUP(F40,'Customer Data Vlookup'!$L:$L,'Customer Data Vlookup'!$M:$N,,0)</f>
        <v>#N/A</v>
      </c>
      <c r="N40" s="54"/>
      <c r="O40" s="53" t="e">
        <f t="shared" si="0"/>
        <v>#N/A</v>
      </c>
      <c r="P40" s="53" t="e">
        <f t="shared" si="1"/>
        <v>#N/A</v>
      </c>
      <c r="Q40" s="33" t="e">
        <f t="shared" si="2"/>
        <v>#N/A</v>
      </c>
      <c r="R40" s="33" t="s">
        <v>558</v>
      </c>
      <c r="S40" s="34">
        <v>45902</v>
      </c>
      <c r="T40" s="32">
        <v>1400001112</v>
      </c>
      <c r="U40" t="s">
        <v>954</v>
      </c>
    </row>
    <row r="41" spans="1:21" hidden="1" x14ac:dyDescent="0.35">
      <c r="A41" s="32">
        <v>1800014013</v>
      </c>
      <c r="B41" s="33" t="s">
        <v>563</v>
      </c>
      <c r="C41" s="34">
        <v>45950</v>
      </c>
      <c r="D41" s="34">
        <v>45951</v>
      </c>
      <c r="E41" s="33" t="s">
        <v>557</v>
      </c>
      <c r="F41" s="35">
        <v>256779418620</v>
      </c>
      <c r="G41" s="33" t="s">
        <v>559</v>
      </c>
      <c r="H41" s="36">
        <v>830.96</v>
      </c>
      <c r="I41" s="37" t="s">
        <v>560</v>
      </c>
      <c r="J41" s="38">
        <v>73283</v>
      </c>
      <c r="K41" s="33" t="s">
        <v>561</v>
      </c>
      <c r="L41" s="33" t="s">
        <v>611</v>
      </c>
      <c r="M41" s="54" t="e" cm="1">
        <f t="array" ref="M41">_xlfn.XLOOKUP(F41,'Customer Data Vlookup'!$L:$L,'Customer Data Vlookup'!$M:$N,,0)</f>
        <v>#N/A</v>
      </c>
      <c r="N41" s="54"/>
      <c r="O41" s="53" t="e">
        <f t="shared" si="0"/>
        <v>#N/A</v>
      </c>
      <c r="P41" s="53" t="e">
        <f t="shared" si="1"/>
        <v>#N/A</v>
      </c>
      <c r="Q41" s="33" t="e">
        <f t="shared" si="2"/>
        <v>#N/A</v>
      </c>
      <c r="R41" s="33" t="s">
        <v>612</v>
      </c>
      <c r="S41" s="34"/>
      <c r="T41" s="33" t="s">
        <v>558</v>
      </c>
    </row>
    <row r="42" spans="1:21" x14ac:dyDescent="0.35">
      <c r="A42" s="32">
        <v>1800014633</v>
      </c>
      <c r="B42" s="33" t="s">
        <v>563</v>
      </c>
      <c r="C42" s="34">
        <v>45966</v>
      </c>
      <c r="D42" s="34">
        <v>45967</v>
      </c>
      <c r="E42" s="33" t="s">
        <v>557</v>
      </c>
      <c r="F42" s="35">
        <v>256779419076</v>
      </c>
      <c r="G42" s="33" t="s">
        <v>559</v>
      </c>
      <c r="H42" s="36">
        <v>799</v>
      </c>
      <c r="I42" s="37" t="s">
        <v>560</v>
      </c>
      <c r="J42" s="38">
        <v>70314.710000000006</v>
      </c>
      <c r="K42" s="33" t="s">
        <v>561</v>
      </c>
      <c r="L42" s="33" t="s">
        <v>825</v>
      </c>
      <c r="M42" s="54" cm="1">
        <f t="array" ref="M42:N42">_xlfn.XLOOKUP(F42,'Customer Data Vlookup'!$L:$L,'Customer Data Vlookup'!$M:$N,,0)</f>
        <v>0</v>
      </c>
      <c r="N42" s="54">
        <v>63274.437400000003</v>
      </c>
      <c r="O42" s="54">
        <f t="shared" si="0"/>
        <v>63274.437400000003</v>
      </c>
      <c r="P42" s="54">
        <f t="shared" si="1"/>
        <v>7040.2726000000039</v>
      </c>
      <c r="Q42" s="56">
        <f t="shared" si="2"/>
        <v>0.10012517437674141</v>
      </c>
      <c r="R42" s="33" t="s">
        <v>826</v>
      </c>
      <c r="S42" s="34"/>
      <c r="T42" s="33" t="s">
        <v>558</v>
      </c>
    </row>
    <row r="43" spans="1:21" x14ac:dyDescent="0.35">
      <c r="A43" s="32">
        <v>1800013478</v>
      </c>
      <c r="B43" s="33" t="s">
        <v>563</v>
      </c>
      <c r="C43" s="34">
        <v>45935</v>
      </c>
      <c r="D43" s="34">
        <v>45937</v>
      </c>
      <c r="E43" s="33" t="s">
        <v>557</v>
      </c>
      <c r="F43" s="35">
        <v>256779418094</v>
      </c>
      <c r="G43" s="33" t="s">
        <v>559</v>
      </c>
      <c r="H43" s="36">
        <v>771.74</v>
      </c>
      <c r="I43" s="37" t="s">
        <v>560</v>
      </c>
      <c r="J43" s="38">
        <v>68060.34</v>
      </c>
      <c r="K43" s="33" t="s">
        <v>561</v>
      </c>
      <c r="L43" s="33" t="s">
        <v>704</v>
      </c>
      <c r="M43" s="54" cm="1">
        <f t="array" ref="M43:N43">_xlfn.XLOOKUP(F43,'Customer Data Vlookup'!$L:$L,'Customer Data Vlookup'!$M:$N,,0)</f>
        <v>6791</v>
      </c>
      <c r="N43" s="54">
        <v>68060.655499999993</v>
      </c>
      <c r="O43" s="54">
        <f t="shared" si="0"/>
        <v>61269.655499999993</v>
      </c>
      <c r="P43" s="54">
        <f t="shared" si="1"/>
        <v>6790.684500000003</v>
      </c>
      <c r="Q43" s="56">
        <f t="shared" si="2"/>
        <v>9.977447218159656E-2</v>
      </c>
      <c r="R43" s="33" t="s">
        <v>705</v>
      </c>
      <c r="S43" s="34"/>
      <c r="T43" s="33" t="s">
        <v>558</v>
      </c>
    </row>
    <row r="44" spans="1:21" x14ac:dyDescent="0.35">
      <c r="A44" s="32">
        <v>1800011787</v>
      </c>
      <c r="B44" s="33" t="s">
        <v>563</v>
      </c>
      <c r="C44" s="34">
        <v>45877</v>
      </c>
      <c r="D44" s="34">
        <v>45877</v>
      </c>
      <c r="E44" s="33" t="s">
        <v>557</v>
      </c>
      <c r="F44" s="35">
        <v>256779416178</v>
      </c>
      <c r="G44" s="33" t="s">
        <v>559</v>
      </c>
      <c r="H44" s="36">
        <v>782.3</v>
      </c>
      <c r="I44" s="37" t="s">
        <v>560</v>
      </c>
      <c r="J44" s="38">
        <v>67301.36</v>
      </c>
      <c r="K44" s="33" t="s">
        <v>561</v>
      </c>
      <c r="L44" s="33" t="s">
        <v>557</v>
      </c>
      <c r="M44" s="54" cm="1">
        <f t="array" ref="M44:N44">_xlfn.XLOOKUP(F44,'Customer Data Vlookup'!$L:$L,'Customer Data Vlookup'!$M:$N,,0)</f>
        <v>1351</v>
      </c>
      <c r="N44" s="54">
        <v>67557</v>
      </c>
      <c r="O44" s="54">
        <f t="shared" si="0"/>
        <v>66206</v>
      </c>
      <c r="P44" s="54">
        <f t="shared" si="1"/>
        <v>1095.3600000000006</v>
      </c>
      <c r="Q44" s="56">
        <f t="shared" si="2"/>
        <v>1.6275451194448381E-2</v>
      </c>
      <c r="R44" s="33" t="s">
        <v>834</v>
      </c>
      <c r="S44" s="34"/>
      <c r="T44" s="33" t="s">
        <v>558</v>
      </c>
    </row>
    <row r="45" spans="1:21" x14ac:dyDescent="0.35">
      <c r="A45" s="32">
        <v>1800012493</v>
      </c>
      <c r="B45" s="33" t="s">
        <v>563</v>
      </c>
      <c r="C45" s="34">
        <v>45904</v>
      </c>
      <c r="D45" s="34">
        <v>45909</v>
      </c>
      <c r="E45" s="33" t="s">
        <v>557</v>
      </c>
      <c r="F45" s="35">
        <v>256779417166</v>
      </c>
      <c r="G45" s="33" t="s">
        <v>559</v>
      </c>
      <c r="H45" s="36">
        <v>760.25</v>
      </c>
      <c r="I45" s="37" t="s">
        <v>560</v>
      </c>
      <c r="J45" s="38">
        <v>66532.77</v>
      </c>
      <c r="K45" s="33" t="s">
        <v>561</v>
      </c>
      <c r="L45" s="33" t="s">
        <v>557</v>
      </c>
      <c r="M45" s="54" cm="1">
        <f t="array" ref="M45:N45">_xlfn.XLOOKUP(F45,'Customer Data Vlookup'!$L:$L,'Customer Data Vlookup'!$M:$N,,0)</f>
        <v>0</v>
      </c>
      <c r="N45" s="54">
        <v>59881.6803</v>
      </c>
      <c r="O45" s="54">
        <f t="shared" si="0"/>
        <v>59881.6803</v>
      </c>
      <c r="P45" s="54">
        <f t="shared" si="1"/>
        <v>6651.0897000000041</v>
      </c>
      <c r="Q45" s="56">
        <f t="shared" si="2"/>
        <v>9.9967124471144128E-2</v>
      </c>
      <c r="R45" s="33" t="s">
        <v>796</v>
      </c>
      <c r="S45" s="34"/>
      <c r="T45" s="33" t="s">
        <v>558</v>
      </c>
    </row>
    <row r="46" spans="1:21" x14ac:dyDescent="0.35">
      <c r="A46" s="32">
        <v>1800012554</v>
      </c>
      <c r="B46" s="33" t="s">
        <v>563</v>
      </c>
      <c r="C46" s="34">
        <v>45904</v>
      </c>
      <c r="D46" s="34">
        <v>45909</v>
      </c>
      <c r="E46" s="33" t="s">
        <v>557</v>
      </c>
      <c r="F46" s="35">
        <v>256779417173</v>
      </c>
      <c r="G46" s="33" t="s">
        <v>559</v>
      </c>
      <c r="H46" s="36">
        <v>743.54</v>
      </c>
      <c r="I46" s="37" t="s">
        <v>560</v>
      </c>
      <c r="J46" s="38">
        <v>65070.400000000001</v>
      </c>
      <c r="K46" s="33" t="s">
        <v>561</v>
      </c>
      <c r="L46" s="33" t="s">
        <v>557</v>
      </c>
      <c r="M46" s="54" cm="1">
        <f t="array" ref="M46:N46">_xlfn.XLOOKUP(F46,'Customer Data Vlookup'!$L:$L,'Customer Data Vlookup'!$M:$N,,0)</f>
        <v>0</v>
      </c>
      <c r="N46" s="54">
        <v>58594.344499999999</v>
      </c>
      <c r="O46" s="54">
        <f t="shared" si="0"/>
        <v>58594.344499999999</v>
      </c>
      <c r="P46" s="54">
        <f t="shared" si="1"/>
        <v>6476.0555000000022</v>
      </c>
      <c r="Q46" s="56">
        <f t="shared" si="2"/>
        <v>9.9523831112149339E-2</v>
      </c>
      <c r="R46" s="33" t="s">
        <v>797</v>
      </c>
      <c r="S46" s="34"/>
      <c r="T46" s="33" t="s">
        <v>558</v>
      </c>
    </row>
    <row r="47" spans="1:21" x14ac:dyDescent="0.35">
      <c r="A47" s="32">
        <v>1800015418</v>
      </c>
      <c r="B47" s="33" t="s">
        <v>563</v>
      </c>
      <c r="C47" s="34">
        <v>45999</v>
      </c>
      <c r="D47" s="34">
        <v>46000</v>
      </c>
      <c r="E47" s="33" t="s">
        <v>557</v>
      </c>
      <c r="F47" s="35">
        <v>256779419867</v>
      </c>
      <c r="G47" s="33" t="s">
        <v>559</v>
      </c>
      <c r="H47" s="36">
        <v>703.51</v>
      </c>
      <c r="I47" s="37" t="s">
        <v>560</v>
      </c>
      <c r="J47" s="38">
        <v>62401.440000000002</v>
      </c>
      <c r="K47" s="33" t="s">
        <v>561</v>
      </c>
      <c r="L47" s="33" t="s">
        <v>886</v>
      </c>
      <c r="M47" s="54" cm="1">
        <f t="array" ref="M47:N47">_xlfn.XLOOKUP(F47,'Customer Data Vlookup'!$L:$L,'Customer Data Vlookup'!$M:$N,,0)</f>
        <v>0</v>
      </c>
      <c r="N47" s="54">
        <v>61159.633500000004</v>
      </c>
      <c r="O47" s="54">
        <f t="shared" si="0"/>
        <v>61159.633500000004</v>
      </c>
      <c r="P47" s="54">
        <f t="shared" si="1"/>
        <v>1241.8064999999988</v>
      </c>
      <c r="Q47" s="56">
        <f t="shared" si="2"/>
        <v>1.9900285954939482E-2</v>
      </c>
      <c r="R47" s="33" t="s">
        <v>723</v>
      </c>
      <c r="S47" s="34"/>
      <c r="T47" s="33" t="s">
        <v>558</v>
      </c>
    </row>
    <row r="48" spans="1:21" x14ac:dyDescent="0.35">
      <c r="A48" s="32">
        <v>1800005058</v>
      </c>
      <c r="B48" s="33" t="s">
        <v>563</v>
      </c>
      <c r="C48" s="34">
        <v>45750</v>
      </c>
      <c r="D48" s="34">
        <v>45752</v>
      </c>
      <c r="E48" s="33" t="s">
        <v>557</v>
      </c>
      <c r="F48" s="35">
        <v>256779410004</v>
      </c>
      <c r="G48" s="33" t="s">
        <v>559</v>
      </c>
      <c r="H48" s="36">
        <v>705</v>
      </c>
      <c r="I48" s="37" t="s">
        <v>560</v>
      </c>
      <c r="J48" s="38">
        <v>61279.88</v>
      </c>
      <c r="K48" s="33" t="s">
        <v>558</v>
      </c>
      <c r="L48" s="33" t="s">
        <v>557</v>
      </c>
      <c r="M48" s="54" cm="1">
        <f t="array" ref="M48:N48">_xlfn.XLOOKUP(F48,'Customer Data Vlookup'!$L:$L,'Customer Data Vlookup'!$M:$N,,0)</f>
        <v>0</v>
      </c>
      <c r="N48" s="54">
        <v>55272</v>
      </c>
      <c r="O48" s="54">
        <f t="shared" si="0"/>
        <v>55272</v>
      </c>
      <c r="P48" s="54">
        <f t="shared" si="1"/>
        <v>6007.8799999999974</v>
      </c>
      <c r="Q48" s="56">
        <f t="shared" si="2"/>
        <v>9.8040009216728188E-2</v>
      </c>
      <c r="R48" s="33" t="s">
        <v>608</v>
      </c>
      <c r="S48" s="34">
        <v>45976</v>
      </c>
      <c r="T48" s="32">
        <v>1400001901</v>
      </c>
      <c r="U48" t="s">
        <v>954</v>
      </c>
    </row>
    <row r="49" spans="1:21" hidden="1" x14ac:dyDescent="0.35">
      <c r="A49" s="32">
        <v>1800010647</v>
      </c>
      <c r="B49" s="33" t="s">
        <v>563</v>
      </c>
      <c r="C49" s="34">
        <v>45854</v>
      </c>
      <c r="D49" s="34">
        <v>45855</v>
      </c>
      <c r="E49" s="33" t="s">
        <v>557</v>
      </c>
      <c r="F49" s="35">
        <v>256779415407</v>
      </c>
      <c r="G49" s="33" t="s">
        <v>559</v>
      </c>
      <c r="H49" s="36">
        <v>705</v>
      </c>
      <c r="I49" s="37" t="s">
        <v>560</v>
      </c>
      <c r="J49" s="38">
        <v>60844.08</v>
      </c>
      <c r="K49" s="33" t="s">
        <v>561</v>
      </c>
      <c r="L49" s="33" t="s">
        <v>557</v>
      </c>
      <c r="M49" s="54" t="e" cm="1">
        <f t="array" ref="M49">_xlfn.XLOOKUP(F49,'Customer Data Vlookup'!$L:$L,'Customer Data Vlookup'!$M:$N,,0)</f>
        <v>#N/A</v>
      </c>
      <c r="N49" s="54"/>
      <c r="O49" s="53" t="e">
        <f t="shared" si="0"/>
        <v>#N/A</v>
      </c>
      <c r="P49" s="53" t="e">
        <f t="shared" si="1"/>
        <v>#N/A</v>
      </c>
      <c r="Q49" s="33" t="e">
        <f t="shared" si="2"/>
        <v>#N/A</v>
      </c>
      <c r="R49" s="33" t="s">
        <v>566</v>
      </c>
      <c r="S49" s="34">
        <v>45854</v>
      </c>
      <c r="T49" s="32">
        <v>1400000286</v>
      </c>
      <c r="U49" t="s">
        <v>954</v>
      </c>
    </row>
    <row r="50" spans="1:21" hidden="1" x14ac:dyDescent="0.35">
      <c r="A50" s="32">
        <v>1400000286</v>
      </c>
      <c r="B50" s="33" t="s">
        <v>888</v>
      </c>
      <c r="C50" s="34">
        <v>45854</v>
      </c>
      <c r="D50" s="34">
        <v>45855</v>
      </c>
      <c r="E50" s="33" t="s">
        <v>557</v>
      </c>
      <c r="F50" s="35" t="s">
        <v>558</v>
      </c>
      <c r="G50" s="33" t="s">
        <v>559</v>
      </c>
      <c r="H50" s="36">
        <v>705</v>
      </c>
      <c r="I50" s="37" t="s">
        <v>560</v>
      </c>
      <c r="J50" s="38">
        <v>60844.08</v>
      </c>
      <c r="K50" s="33" t="s">
        <v>561</v>
      </c>
      <c r="L50" s="33" t="s">
        <v>558</v>
      </c>
      <c r="M50" s="54" t="e" cm="1">
        <f t="array" ref="M50">_xlfn.XLOOKUP(F50,'Customer Data Vlookup'!$L:$L,'Customer Data Vlookup'!$M:$N,,0)</f>
        <v>#N/A</v>
      </c>
      <c r="N50" s="54"/>
      <c r="O50" s="53" t="e">
        <f t="shared" si="0"/>
        <v>#N/A</v>
      </c>
      <c r="P50" s="53" t="e">
        <f t="shared" si="1"/>
        <v>#N/A</v>
      </c>
      <c r="Q50" s="33" t="e">
        <f t="shared" si="2"/>
        <v>#N/A</v>
      </c>
      <c r="R50" s="33" t="s">
        <v>558</v>
      </c>
      <c r="S50" s="34">
        <v>45854</v>
      </c>
      <c r="T50" s="32">
        <v>1400000286</v>
      </c>
      <c r="U50" t="s">
        <v>954</v>
      </c>
    </row>
    <row r="51" spans="1:21" x14ac:dyDescent="0.35">
      <c r="A51" s="32">
        <v>1800000391</v>
      </c>
      <c r="B51" s="33" t="s">
        <v>563</v>
      </c>
      <c r="C51" s="34">
        <v>45716</v>
      </c>
      <c r="D51" s="34">
        <v>45716</v>
      </c>
      <c r="E51" s="33" t="s">
        <v>557</v>
      </c>
      <c r="F51" s="35">
        <v>246779410360</v>
      </c>
      <c r="G51" s="33" t="s">
        <v>559</v>
      </c>
      <c r="H51" s="36">
        <v>705</v>
      </c>
      <c r="I51" s="37" t="s">
        <v>560</v>
      </c>
      <c r="J51" s="38">
        <v>60844.08</v>
      </c>
      <c r="K51" s="33" t="s">
        <v>561</v>
      </c>
      <c r="L51" s="33" t="s">
        <v>557</v>
      </c>
      <c r="M51" s="54" cm="1">
        <f t="array" ref="M51:N51">_xlfn.XLOOKUP(F51,'Customer Data Vlookup'!$L:$L,'Customer Data Vlookup'!$M:$N,,0)</f>
        <v>0</v>
      </c>
      <c r="N51" s="54">
        <v>59624</v>
      </c>
      <c r="O51" s="54">
        <f t="shared" si="0"/>
        <v>59624</v>
      </c>
      <c r="P51" s="54">
        <f t="shared" si="1"/>
        <v>1220.0800000000017</v>
      </c>
      <c r="Q51" s="56">
        <f t="shared" si="2"/>
        <v>2.0052567151972744E-2</v>
      </c>
      <c r="R51" s="33" t="s">
        <v>608</v>
      </c>
      <c r="S51" s="34"/>
      <c r="T51" s="33" t="s">
        <v>558</v>
      </c>
    </row>
    <row r="52" spans="1:21" hidden="1" x14ac:dyDescent="0.35">
      <c r="A52" s="32">
        <v>1800012586</v>
      </c>
      <c r="B52" s="33" t="s">
        <v>563</v>
      </c>
      <c r="C52" s="34">
        <v>45904</v>
      </c>
      <c r="D52" s="34">
        <v>45909</v>
      </c>
      <c r="E52" s="33" t="s">
        <v>557</v>
      </c>
      <c r="F52" s="35">
        <v>256779417244</v>
      </c>
      <c r="G52" s="33" t="s">
        <v>559</v>
      </c>
      <c r="H52" s="36">
        <v>685.41</v>
      </c>
      <c r="I52" s="37" t="s">
        <v>560</v>
      </c>
      <c r="J52" s="38">
        <v>59983.199999999997</v>
      </c>
      <c r="K52" s="33" t="s">
        <v>561</v>
      </c>
      <c r="L52" s="33" t="s">
        <v>557</v>
      </c>
      <c r="M52" s="54" t="e" cm="1">
        <f t="array" ref="M52">_xlfn.XLOOKUP(F52,'Customer Data Vlookup'!$L:$L,'Customer Data Vlookup'!$M:$N,,0)</f>
        <v>#N/A</v>
      </c>
      <c r="N52" s="54"/>
      <c r="O52" s="53" t="e">
        <f t="shared" si="0"/>
        <v>#N/A</v>
      </c>
      <c r="P52" s="53" t="e">
        <f t="shared" si="1"/>
        <v>#N/A</v>
      </c>
      <c r="Q52" s="33" t="e">
        <f t="shared" si="2"/>
        <v>#N/A</v>
      </c>
      <c r="R52" s="33" t="s">
        <v>798</v>
      </c>
      <c r="S52" s="34"/>
      <c r="T52" s="33" t="s">
        <v>558</v>
      </c>
    </row>
    <row r="53" spans="1:21" x14ac:dyDescent="0.35">
      <c r="A53" s="32">
        <v>1800013382</v>
      </c>
      <c r="B53" s="33" t="s">
        <v>563</v>
      </c>
      <c r="C53" s="34">
        <v>45935</v>
      </c>
      <c r="D53" s="34">
        <v>45937</v>
      </c>
      <c r="E53" s="33" t="s">
        <v>557</v>
      </c>
      <c r="F53" s="35">
        <v>256779417978</v>
      </c>
      <c r="G53" s="33" t="s">
        <v>559</v>
      </c>
      <c r="H53" s="36">
        <v>582.79999999999995</v>
      </c>
      <c r="I53" s="37" t="s">
        <v>560</v>
      </c>
      <c r="J53" s="38">
        <v>51397.58</v>
      </c>
      <c r="K53" s="33" t="s">
        <v>561</v>
      </c>
      <c r="L53" s="33" t="s">
        <v>700</v>
      </c>
      <c r="M53" s="54" cm="1">
        <f t="array" ref="M53:N53">_xlfn.XLOOKUP(F53,'Customer Data Vlookup'!$L:$L,'Customer Data Vlookup'!$M:$N,,0)</f>
        <v>1058</v>
      </c>
      <c r="N53" s="54">
        <v>51397.291499999999</v>
      </c>
      <c r="O53" s="54">
        <f t="shared" si="0"/>
        <v>50339.291499999999</v>
      </c>
      <c r="P53" s="54">
        <f t="shared" si="1"/>
        <v>1058.2885000000024</v>
      </c>
      <c r="Q53" s="56">
        <f t="shared" si="2"/>
        <v>2.0590239851759604E-2</v>
      </c>
      <c r="R53" s="33" t="s">
        <v>701</v>
      </c>
      <c r="S53" s="34"/>
      <c r="T53" s="33" t="s">
        <v>558</v>
      </c>
    </row>
    <row r="54" spans="1:21" x14ac:dyDescent="0.35">
      <c r="A54" s="32">
        <v>1800013428</v>
      </c>
      <c r="B54" s="33" t="s">
        <v>563</v>
      </c>
      <c r="C54" s="34">
        <v>45935</v>
      </c>
      <c r="D54" s="34">
        <v>45937</v>
      </c>
      <c r="E54" s="33" t="s">
        <v>557</v>
      </c>
      <c r="F54" s="35">
        <v>256779418075</v>
      </c>
      <c r="G54" s="33" t="s">
        <v>559</v>
      </c>
      <c r="H54" s="36">
        <v>582.79999999999995</v>
      </c>
      <c r="I54" s="37" t="s">
        <v>560</v>
      </c>
      <c r="J54" s="38">
        <v>51397.58</v>
      </c>
      <c r="K54" s="33" t="s">
        <v>561</v>
      </c>
      <c r="L54" s="33" t="s">
        <v>708</v>
      </c>
      <c r="M54" s="54" cm="1">
        <f t="array" ref="M54:N54">_xlfn.XLOOKUP(F54,'Customer Data Vlookup'!$L:$L,'Customer Data Vlookup'!$M:$N,,0)</f>
        <v>0</v>
      </c>
      <c r="N54" s="54">
        <v>1972</v>
      </c>
      <c r="O54" s="54">
        <f t="shared" si="0"/>
        <v>1972</v>
      </c>
      <c r="P54" s="54">
        <f t="shared" si="1"/>
        <v>49425.58</v>
      </c>
      <c r="Q54" s="56">
        <f t="shared" si="2"/>
        <v>0.96163243483448058</v>
      </c>
      <c r="R54" s="33" t="s">
        <v>701</v>
      </c>
      <c r="S54" s="34">
        <v>45976</v>
      </c>
      <c r="T54" s="32">
        <v>1400001901</v>
      </c>
      <c r="U54" t="s">
        <v>954</v>
      </c>
    </row>
    <row r="55" spans="1:21" hidden="1" x14ac:dyDescent="0.35">
      <c r="A55" s="32">
        <v>1800009171</v>
      </c>
      <c r="B55" s="33" t="s">
        <v>563</v>
      </c>
      <c r="C55" s="34">
        <v>45810</v>
      </c>
      <c r="D55" s="34">
        <v>45810</v>
      </c>
      <c r="E55" s="33" t="s">
        <v>557</v>
      </c>
      <c r="F55" s="35">
        <v>256779413935</v>
      </c>
      <c r="G55" s="33" t="s">
        <v>559</v>
      </c>
      <c r="H55" s="36">
        <v>590.74</v>
      </c>
      <c r="I55" s="37" t="s">
        <v>560</v>
      </c>
      <c r="J55" s="38">
        <v>50502.82</v>
      </c>
      <c r="K55" s="33" t="s">
        <v>561</v>
      </c>
      <c r="L55" s="33" t="s">
        <v>557</v>
      </c>
      <c r="M55" s="54" t="e" cm="1">
        <f t="array" ref="M55">_xlfn.XLOOKUP(F55,'Customer Data Vlookup'!$L:$L,'Customer Data Vlookup'!$M:$N,,0)</f>
        <v>#N/A</v>
      </c>
      <c r="N55" s="54"/>
      <c r="O55" s="53" t="e">
        <f t="shared" si="0"/>
        <v>#N/A</v>
      </c>
      <c r="P55" s="53" t="e">
        <f t="shared" si="1"/>
        <v>#N/A</v>
      </c>
      <c r="Q55" s="33" t="e">
        <f t="shared" si="2"/>
        <v>#N/A</v>
      </c>
      <c r="R55" s="33" t="s">
        <v>678</v>
      </c>
      <c r="S55" s="34"/>
      <c r="T55" s="33" t="s">
        <v>558</v>
      </c>
    </row>
    <row r="56" spans="1:21" x14ac:dyDescent="0.35">
      <c r="A56" s="32">
        <v>1800009576</v>
      </c>
      <c r="B56" s="33" t="s">
        <v>563</v>
      </c>
      <c r="C56" s="34">
        <v>45821</v>
      </c>
      <c r="D56" s="34">
        <v>45825</v>
      </c>
      <c r="E56" s="33" t="s">
        <v>557</v>
      </c>
      <c r="F56" s="35">
        <v>256779414340</v>
      </c>
      <c r="G56" s="33" t="s">
        <v>559</v>
      </c>
      <c r="H56" s="36">
        <v>586.09</v>
      </c>
      <c r="I56" s="37" t="s">
        <v>560</v>
      </c>
      <c r="J56" s="38">
        <v>50105.29</v>
      </c>
      <c r="K56" s="33" t="s">
        <v>561</v>
      </c>
      <c r="L56" s="33" t="s">
        <v>557</v>
      </c>
      <c r="M56" s="54" cm="1">
        <f t="array" ref="M56:N56">_xlfn.XLOOKUP(F56,'Customer Data Vlookup'!$L:$L,'Customer Data Vlookup'!$M:$N,,0)</f>
        <v>0</v>
      </c>
      <c r="N56" s="54">
        <v>45061.335200000001</v>
      </c>
      <c r="O56" s="54">
        <f t="shared" si="0"/>
        <v>45061.335200000001</v>
      </c>
      <c r="P56" s="54">
        <f t="shared" si="1"/>
        <v>5043.9547999999995</v>
      </c>
      <c r="Q56" s="56">
        <f t="shared" si="2"/>
        <v>0.10066711119724084</v>
      </c>
      <c r="R56" s="33" t="s">
        <v>887</v>
      </c>
      <c r="S56" s="34"/>
      <c r="T56" s="33" t="s">
        <v>558</v>
      </c>
    </row>
    <row r="57" spans="1:21" x14ac:dyDescent="0.35">
      <c r="A57" s="32">
        <v>1800000370</v>
      </c>
      <c r="B57" s="33" t="s">
        <v>563</v>
      </c>
      <c r="C57" s="34">
        <v>45716</v>
      </c>
      <c r="D57" s="34">
        <v>45716</v>
      </c>
      <c r="E57" s="33" t="s">
        <v>557</v>
      </c>
      <c r="F57" s="35">
        <v>246779410339</v>
      </c>
      <c r="G57" s="33" t="s">
        <v>559</v>
      </c>
      <c r="H57" s="36">
        <v>575.75</v>
      </c>
      <c r="I57" s="37" t="s">
        <v>560</v>
      </c>
      <c r="J57" s="38">
        <v>49689.33</v>
      </c>
      <c r="K57" s="33" t="s">
        <v>561</v>
      </c>
      <c r="L57" s="33" t="s">
        <v>557</v>
      </c>
      <c r="M57" s="54" cm="1">
        <f t="array" ref="M57:N57">_xlfn.XLOOKUP(F57,'Customer Data Vlookup'!$L:$L,'Customer Data Vlookup'!$M:$N,,0)</f>
        <v>0</v>
      </c>
      <c r="N57" s="54">
        <v>44681.824999999997</v>
      </c>
      <c r="O57" s="54">
        <f t="shared" si="0"/>
        <v>44681.824999999997</v>
      </c>
      <c r="P57" s="54">
        <f t="shared" si="1"/>
        <v>5007.5050000000047</v>
      </c>
      <c r="Q57" s="56">
        <f t="shared" si="2"/>
        <v>0.10077626323397809</v>
      </c>
      <c r="R57" s="33" t="s">
        <v>920</v>
      </c>
      <c r="S57" s="34"/>
      <c r="T57" s="33" t="s">
        <v>558</v>
      </c>
    </row>
    <row r="58" spans="1:21" x14ac:dyDescent="0.35">
      <c r="A58" s="32">
        <v>1800012871</v>
      </c>
      <c r="B58" s="33" t="s">
        <v>563</v>
      </c>
      <c r="C58" s="34">
        <v>45918</v>
      </c>
      <c r="D58" s="34">
        <v>45922</v>
      </c>
      <c r="E58" s="33" t="s">
        <v>557</v>
      </c>
      <c r="F58" s="35">
        <v>256779417489</v>
      </c>
      <c r="G58" s="33" t="s">
        <v>559</v>
      </c>
      <c r="H58" s="36">
        <v>533.91999999999996</v>
      </c>
      <c r="I58" s="37" t="s">
        <v>560</v>
      </c>
      <c r="J58" s="38">
        <v>46725.65</v>
      </c>
      <c r="K58" s="33" t="s">
        <v>561</v>
      </c>
      <c r="L58" s="33" t="s">
        <v>658</v>
      </c>
      <c r="M58" s="54" cm="1">
        <f t="array" ref="M58:N58">_xlfn.XLOOKUP(F58,'Customer Data Vlookup'!$L:$L,'Customer Data Vlookup'!$M:$N,,0)</f>
        <v>0</v>
      </c>
      <c r="N58" s="54">
        <v>42087.391600000003</v>
      </c>
      <c r="O58" s="54">
        <f t="shared" si="0"/>
        <v>42087.391600000003</v>
      </c>
      <c r="P58" s="54">
        <f t="shared" si="1"/>
        <v>4638.2583999999988</v>
      </c>
      <c r="Q58" s="56">
        <f t="shared" si="2"/>
        <v>9.9265786564766867E-2</v>
      </c>
      <c r="R58" s="33" t="s">
        <v>659</v>
      </c>
      <c r="S58" s="34"/>
      <c r="T58" s="33" t="s">
        <v>558</v>
      </c>
    </row>
    <row r="59" spans="1:21" hidden="1" x14ac:dyDescent="0.35">
      <c r="A59" s="32">
        <v>1800013758</v>
      </c>
      <c r="B59" s="33" t="s">
        <v>563</v>
      </c>
      <c r="C59" s="34">
        <v>45937</v>
      </c>
      <c r="D59" s="34">
        <v>45939</v>
      </c>
      <c r="E59" s="33" t="s">
        <v>557</v>
      </c>
      <c r="F59" s="35">
        <v>256779418179</v>
      </c>
      <c r="G59" s="33" t="s">
        <v>559</v>
      </c>
      <c r="H59" s="36">
        <v>528.99</v>
      </c>
      <c r="I59" s="37" t="s">
        <v>560</v>
      </c>
      <c r="J59" s="38">
        <v>46652.04</v>
      </c>
      <c r="K59" s="33" t="s">
        <v>561</v>
      </c>
      <c r="L59" s="33" t="s">
        <v>679</v>
      </c>
      <c r="M59" s="54" t="e" cm="1">
        <f t="array" ref="M59">_xlfn.XLOOKUP(F59,'Customer Data Vlookup'!$L:$L,'Customer Data Vlookup'!$M:$N,,0)</f>
        <v>#N/A</v>
      </c>
      <c r="N59" s="54"/>
      <c r="O59" s="53" t="e">
        <f t="shared" si="0"/>
        <v>#N/A</v>
      </c>
      <c r="P59" s="53" t="e">
        <f t="shared" si="1"/>
        <v>#N/A</v>
      </c>
      <c r="Q59" s="33" t="e">
        <f t="shared" si="2"/>
        <v>#N/A</v>
      </c>
      <c r="R59" s="33" t="s">
        <v>681</v>
      </c>
      <c r="S59" s="34"/>
      <c r="T59" s="33" t="s">
        <v>558</v>
      </c>
    </row>
    <row r="60" spans="1:21" hidden="1" x14ac:dyDescent="0.35">
      <c r="A60" s="32">
        <v>1800010650</v>
      </c>
      <c r="B60" s="33" t="s">
        <v>563</v>
      </c>
      <c r="C60" s="34">
        <v>45854</v>
      </c>
      <c r="D60" s="34">
        <v>45855</v>
      </c>
      <c r="E60" s="33" t="s">
        <v>557</v>
      </c>
      <c r="F60" s="35">
        <v>256779415410</v>
      </c>
      <c r="G60" s="33" t="s">
        <v>559</v>
      </c>
      <c r="H60" s="36">
        <v>531.9</v>
      </c>
      <c r="I60" s="37" t="s">
        <v>560</v>
      </c>
      <c r="J60" s="38">
        <v>46111.08</v>
      </c>
      <c r="K60" s="33" t="s">
        <v>561</v>
      </c>
      <c r="L60" s="33" t="s">
        <v>557</v>
      </c>
      <c r="M60" s="54" t="e" cm="1">
        <f t="array" ref="M60">_xlfn.XLOOKUP(F60,'Customer Data Vlookup'!$L:$L,'Customer Data Vlookup'!$M:$N,,0)</f>
        <v>#N/A</v>
      </c>
      <c r="N60" s="54"/>
      <c r="O60" s="53" t="e">
        <f t="shared" si="0"/>
        <v>#N/A</v>
      </c>
      <c r="P60" s="53" t="e">
        <f t="shared" si="1"/>
        <v>#N/A</v>
      </c>
      <c r="Q60" s="33" t="e">
        <f t="shared" si="2"/>
        <v>#N/A</v>
      </c>
      <c r="R60" s="33" t="s">
        <v>572</v>
      </c>
      <c r="S60" s="34">
        <v>45854</v>
      </c>
      <c r="T60" s="32">
        <v>1400000289</v>
      </c>
      <c r="U60" t="s">
        <v>954</v>
      </c>
    </row>
    <row r="61" spans="1:21" x14ac:dyDescent="0.35">
      <c r="A61" s="32">
        <v>1800003989</v>
      </c>
      <c r="B61" s="33" t="s">
        <v>563</v>
      </c>
      <c r="C61" s="34">
        <v>45736</v>
      </c>
      <c r="D61" s="34">
        <v>45737</v>
      </c>
      <c r="E61" s="33" t="s">
        <v>557</v>
      </c>
      <c r="F61" s="35">
        <v>246779413845</v>
      </c>
      <c r="G61" s="33" t="s">
        <v>559</v>
      </c>
      <c r="H61" s="36">
        <v>531.9</v>
      </c>
      <c r="I61" s="37" t="s">
        <v>560</v>
      </c>
      <c r="J61" s="38">
        <v>46111.08</v>
      </c>
      <c r="K61" s="33" t="s">
        <v>561</v>
      </c>
      <c r="L61" s="33" t="s">
        <v>557</v>
      </c>
      <c r="M61" s="54" cm="1">
        <f t="array" ref="M61:N61">_xlfn.XLOOKUP(F61,'Customer Data Vlookup'!$L:$L,'Customer Data Vlookup'!$M:$N,,0)</f>
        <v>0</v>
      </c>
      <c r="N61" s="54">
        <v>45188</v>
      </c>
      <c r="O61" s="54">
        <f t="shared" si="0"/>
        <v>45188</v>
      </c>
      <c r="P61" s="54">
        <f t="shared" si="1"/>
        <v>923.08000000000175</v>
      </c>
      <c r="Q61" s="56">
        <f t="shared" si="2"/>
        <v>2.0018615916174633E-2</v>
      </c>
      <c r="R61" s="33" t="s">
        <v>864</v>
      </c>
      <c r="S61" s="34"/>
      <c r="T61" s="33" t="s">
        <v>558</v>
      </c>
    </row>
    <row r="62" spans="1:21" hidden="1" x14ac:dyDescent="0.35">
      <c r="A62" s="32">
        <v>1400000289</v>
      </c>
      <c r="B62" s="33" t="s">
        <v>888</v>
      </c>
      <c r="C62" s="34">
        <v>45854</v>
      </c>
      <c r="D62" s="34">
        <v>45855</v>
      </c>
      <c r="E62" s="33" t="s">
        <v>557</v>
      </c>
      <c r="F62" s="35" t="s">
        <v>558</v>
      </c>
      <c r="G62" s="33" t="s">
        <v>559</v>
      </c>
      <c r="H62" s="36">
        <v>531.9</v>
      </c>
      <c r="I62" s="37" t="s">
        <v>560</v>
      </c>
      <c r="J62" s="38">
        <v>46111.08</v>
      </c>
      <c r="K62" s="33" t="s">
        <v>561</v>
      </c>
      <c r="L62" s="33" t="s">
        <v>558</v>
      </c>
      <c r="M62" s="54" t="e" cm="1">
        <f t="array" ref="M62">_xlfn.XLOOKUP(F62,'Customer Data Vlookup'!$L:$L,'Customer Data Vlookup'!$M:$N,,0)</f>
        <v>#N/A</v>
      </c>
      <c r="N62" s="54"/>
      <c r="O62" s="53" t="e">
        <f t="shared" si="0"/>
        <v>#N/A</v>
      </c>
      <c r="P62" s="53" t="e">
        <f t="shared" si="1"/>
        <v>#N/A</v>
      </c>
      <c r="Q62" s="33" t="e">
        <f t="shared" si="2"/>
        <v>#N/A</v>
      </c>
      <c r="R62" s="33" t="s">
        <v>558</v>
      </c>
      <c r="S62" s="34">
        <v>45854</v>
      </c>
      <c r="T62" s="32">
        <v>1400000289</v>
      </c>
      <c r="U62" t="s">
        <v>954</v>
      </c>
    </row>
    <row r="63" spans="1:21" hidden="1" x14ac:dyDescent="0.35">
      <c r="A63" s="32">
        <v>1800016282</v>
      </c>
      <c r="B63" s="33" t="s">
        <v>563</v>
      </c>
      <c r="C63" s="34">
        <v>46028</v>
      </c>
      <c r="D63" s="34">
        <v>46031</v>
      </c>
      <c r="E63" s="33" t="s">
        <v>731</v>
      </c>
      <c r="F63" s="35">
        <v>256779440162</v>
      </c>
      <c r="G63" s="33" t="s">
        <v>559</v>
      </c>
      <c r="H63" s="36">
        <v>505.46</v>
      </c>
      <c r="I63" s="37" t="s">
        <v>560</v>
      </c>
      <c r="J63" s="38">
        <v>45867.03</v>
      </c>
      <c r="K63" s="33" t="s">
        <v>561</v>
      </c>
      <c r="L63" s="33" t="s">
        <v>557</v>
      </c>
      <c r="M63" s="54" t="e" cm="1">
        <f t="array" ref="M63">_xlfn.XLOOKUP(F63,'Customer Data Vlookup'!$L:$L,'Customer Data Vlookup'!$M:$N,,0)</f>
        <v>#N/A</v>
      </c>
      <c r="N63" s="54"/>
      <c r="O63" s="53" t="e">
        <f t="shared" si="0"/>
        <v>#N/A</v>
      </c>
      <c r="P63" s="53" t="e">
        <f t="shared" si="1"/>
        <v>#N/A</v>
      </c>
      <c r="Q63" s="33" t="e">
        <f t="shared" si="2"/>
        <v>#N/A</v>
      </c>
      <c r="R63" s="33" t="s">
        <v>732</v>
      </c>
      <c r="S63" s="34"/>
      <c r="T63" s="33" t="s">
        <v>558</v>
      </c>
    </row>
    <row r="64" spans="1:21" hidden="1" x14ac:dyDescent="0.35">
      <c r="A64" s="32">
        <v>1800010651</v>
      </c>
      <c r="B64" s="33" t="s">
        <v>563</v>
      </c>
      <c r="C64" s="34">
        <v>45854</v>
      </c>
      <c r="D64" s="34">
        <v>45855</v>
      </c>
      <c r="E64" s="33" t="s">
        <v>557</v>
      </c>
      <c r="F64" s="35">
        <v>256779415411</v>
      </c>
      <c r="G64" s="33" t="s">
        <v>559</v>
      </c>
      <c r="H64" s="36">
        <v>525</v>
      </c>
      <c r="I64" s="37" t="s">
        <v>560</v>
      </c>
      <c r="J64" s="38">
        <v>45512.91</v>
      </c>
      <c r="K64" s="33" t="s">
        <v>561</v>
      </c>
      <c r="L64" s="33" t="s">
        <v>557</v>
      </c>
      <c r="M64" s="54" t="e" cm="1">
        <f t="array" ref="M64">_xlfn.XLOOKUP(F64,'Customer Data Vlookup'!$L:$L,'Customer Data Vlookup'!$M:$N,,0)</f>
        <v>#N/A</v>
      </c>
      <c r="N64" s="54"/>
      <c r="O64" s="53" t="e">
        <f t="shared" si="0"/>
        <v>#N/A</v>
      </c>
      <c r="P64" s="53" t="e">
        <f t="shared" si="1"/>
        <v>#N/A</v>
      </c>
      <c r="Q64" s="33" t="e">
        <f t="shared" si="2"/>
        <v>#N/A</v>
      </c>
      <c r="R64" s="33" t="s">
        <v>574</v>
      </c>
      <c r="S64" s="34">
        <v>45854</v>
      </c>
      <c r="T64" s="32">
        <v>1400000290</v>
      </c>
      <c r="U64" t="s">
        <v>954</v>
      </c>
    </row>
    <row r="65" spans="1:21" x14ac:dyDescent="0.35">
      <c r="A65" s="32">
        <v>1800001410</v>
      </c>
      <c r="B65" s="33" t="s">
        <v>563</v>
      </c>
      <c r="C65" s="34">
        <v>45729</v>
      </c>
      <c r="D65" s="34">
        <v>45731</v>
      </c>
      <c r="E65" s="33" t="s">
        <v>557</v>
      </c>
      <c r="F65" s="35">
        <v>246779411278</v>
      </c>
      <c r="G65" s="33" t="s">
        <v>559</v>
      </c>
      <c r="H65" s="36">
        <v>525</v>
      </c>
      <c r="I65" s="37" t="s">
        <v>560</v>
      </c>
      <c r="J65" s="38">
        <v>45512.91</v>
      </c>
      <c r="K65" s="33" t="s">
        <v>561</v>
      </c>
      <c r="L65" s="33" t="s">
        <v>557</v>
      </c>
      <c r="M65" s="54" cm="1">
        <f t="array" ref="M65:N65">_xlfn.XLOOKUP(F65,'Customer Data Vlookup'!$L:$L,'Customer Data Vlookup'!$M:$N,,0)</f>
        <v>0</v>
      </c>
      <c r="N65" s="54">
        <v>44602</v>
      </c>
      <c r="O65" s="54">
        <f t="shared" si="0"/>
        <v>44602</v>
      </c>
      <c r="P65" s="54">
        <f t="shared" si="1"/>
        <v>910.91000000000349</v>
      </c>
      <c r="Q65" s="56">
        <f t="shared" si="2"/>
        <v>2.0014321211278368E-2</v>
      </c>
      <c r="R65" s="33" t="s">
        <v>855</v>
      </c>
      <c r="S65" s="34"/>
      <c r="T65" s="33" t="s">
        <v>558</v>
      </c>
    </row>
    <row r="66" spans="1:21" hidden="1" x14ac:dyDescent="0.35">
      <c r="A66" s="32">
        <v>1400000290</v>
      </c>
      <c r="B66" s="33" t="s">
        <v>888</v>
      </c>
      <c r="C66" s="34">
        <v>45854</v>
      </c>
      <c r="D66" s="34">
        <v>45855</v>
      </c>
      <c r="E66" s="33" t="s">
        <v>557</v>
      </c>
      <c r="F66" s="35" t="s">
        <v>904</v>
      </c>
      <c r="G66" s="33" t="s">
        <v>559</v>
      </c>
      <c r="H66" s="36">
        <v>525</v>
      </c>
      <c r="I66" s="37" t="s">
        <v>560</v>
      </c>
      <c r="J66" s="38">
        <v>45512.91</v>
      </c>
      <c r="K66" s="33" t="s">
        <v>561</v>
      </c>
      <c r="L66" s="33" t="s">
        <v>558</v>
      </c>
      <c r="M66" s="54" t="e" cm="1">
        <f t="array" ref="M66">_xlfn.XLOOKUP(F66,'Customer Data Vlookup'!$L:$L,'Customer Data Vlookup'!$M:$N,,0)</f>
        <v>#N/A</v>
      </c>
      <c r="N66" s="54"/>
      <c r="O66" s="53" t="e">
        <f t="shared" si="0"/>
        <v>#N/A</v>
      </c>
      <c r="P66" s="53" t="e">
        <f t="shared" si="1"/>
        <v>#N/A</v>
      </c>
      <c r="Q66" s="33" t="e">
        <f t="shared" si="2"/>
        <v>#N/A</v>
      </c>
      <c r="R66" s="33" t="s">
        <v>558</v>
      </c>
      <c r="S66" s="34">
        <v>45854</v>
      </c>
      <c r="T66" s="32">
        <v>1400000290</v>
      </c>
      <c r="U66" t="s">
        <v>954</v>
      </c>
    </row>
    <row r="67" spans="1:21" hidden="1" x14ac:dyDescent="0.35">
      <c r="A67" s="32">
        <v>1800016693</v>
      </c>
      <c r="B67" s="33" t="s">
        <v>563</v>
      </c>
      <c r="C67" s="34">
        <v>46034</v>
      </c>
      <c r="D67" s="34">
        <v>46035</v>
      </c>
      <c r="E67" s="33" t="s">
        <v>744</v>
      </c>
      <c r="F67" s="35">
        <v>256779440282</v>
      </c>
      <c r="G67" s="33" t="s">
        <v>559</v>
      </c>
      <c r="H67" s="36">
        <v>498.5</v>
      </c>
      <c r="I67" s="37" t="s">
        <v>560</v>
      </c>
      <c r="J67" s="38">
        <v>45235.46</v>
      </c>
      <c r="K67" s="33" t="s">
        <v>561</v>
      </c>
      <c r="L67" s="33" t="s">
        <v>557</v>
      </c>
      <c r="M67" s="54" t="e" cm="1">
        <f t="array" ref="M67">_xlfn.XLOOKUP(F67,'Customer Data Vlookup'!$L:$L,'Customer Data Vlookup'!$M:$N,,0)</f>
        <v>#N/A</v>
      </c>
      <c r="N67" s="54"/>
      <c r="O67" s="53" t="e">
        <f t="shared" si="0"/>
        <v>#N/A</v>
      </c>
      <c r="P67" s="53" t="e">
        <f t="shared" si="1"/>
        <v>#N/A</v>
      </c>
      <c r="Q67" s="33" t="e">
        <f t="shared" si="2"/>
        <v>#N/A</v>
      </c>
      <c r="R67" s="33" t="s">
        <v>745</v>
      </c>
      <c r="S67" s="34"/>
      <c r="T67" s="33" t="s">
        <v>558</v>
      </c>
    </row>
    <row r="68" spans="1:21" x14ac:dyDescent="0.35">
      <c r="A68" s="32">
        <v>1800007792</v>
      </c>
      <c r="B68" s="33" t="s">
        <v>563</v>
      </c>
      <c r="C68" s="34">
        <v>45769</v>
      </c>
      <c r="D68" s="34">
        <v>45770</v>
      </c>
      <c r="E68" s="33" t="s">
        <v>557</v>
      </c>
      <c r="F68" s="35">
        <v>256779412683</v>
      </c>
      <c r="G68" s="33" t="s">
        <v>559</v>
      </c>
      <c r="H68" s="36">
        <v>517.64</v>
      </c>
      <c r="I68" s="37" t="s">
        <v>560</v>
      </c>
      <c r="J68" s="38">
        <v>44994.21</v>
      </c>
      <c r="K68" s="33" t="s">
        <v>561</v>
      </c>
      <c r="L68" s="33" t="s">
        <v>557</v>
      </c>
      <c r="M68" s="54" cm="1">
        <f t="array" ref="M68:N68">_xlfn.XLOOKUP(F68,'Customer Data Vlookup'!$L:$L,'Customer Data Vlookup'!$M:$N,,0)</f>
        <v>0</v>
      </c>
      <c r="N68" s="54">
        <v>43195</v>
      </c>
      <c r="O68" s="54">
        <f t="shared" ref="O68:O131" si="3">N68-M68</f>
        <v>43195</v>
      </c>
      <c r="P68" s="54">
        <f t="shared" ref="P68:P131" si="4">J68-O68</f>
        <v>1799.2099999999991</v>
      </c>
      <c r="Q68" s="56">
        <f t="shared" ref="Q68:Q131" si="5">P68/J68</f>
        <v>3.9987589514295263E-2</v>
      </c>
      <c r="R68" s="33" t="s">
        <v>654</v>
      </c>
      <c r="S68" s="34"/>
      <c r="T68" s="33" t="s">
        <v>558</v>
      </c>
    </row>
    <row r="69" spans="1:21" x14ac:dyDescent="0.35">
      <c r="A69" s="32">
        <v>1800015043</v>
      </c>
      <c r="B69" s="33" t="s">
        <v>563</v>
      </c>
      <c r="C69" s="34">
        <v>45981</v>
      </c>
      <c r="D69" s="34">
        <v>45985</v>
      </c>
      <c r="E69" s="33" t="s">
        <v>557</v>
      </c>
      <c r="F69" s="35">
        <v>256779419556</v>
      </c>
      <c r="G69" s="33" t="s">
        <v>559</v>
      </c>
      <c r="H69" s="36">
        <v>502.5</v>
      </c>
      <c r="I69" s="37" t="s">
        <v>560</v>
      </c>
      <c r="J69" s="38">
        <v>44221.7</v>
      </c>
      <c r="K69" s="33" t="s">
        <v>561</v>
      </c>
      <c r="L69" s="33" t="s">
        <v>644</v>
      </c>
      <c r="M69" s="54" cm="1">
        <f t="array" ref="M69:N69">_xlfn.XLOOKUP(F69,'Customer Data Vlookup'!$L:$L,'Customer Data Vlookup'!$M:$N,,0)</f>
        <v>0</v>
      </c>
      <c r="N69" s="54">
        <v>39821.534</v>
      </c>
      <c r="O69" s="54">
        <f t="shared" si="3"/>
        <v>39821.534</v>
      </c>
      <c r="P69" s="54">
        <f t="shared" si="4"/>
        <v>4400.1659999999974</v>
      </c>
      <c r="Q69" s="56">
        <f t="shared" si="5"/>
        <v>9.9502416234563518E-2</v>
      </c>
      <c r="R69" s="33" t="s">
        <v>645</v>
      </c>
      <c r="S69" s="34"/>
      <c r="T69" s="33" t="s">
        <v>558</v>
      </c>
    </row>
    <row r="70" spans="1:21" hidden="1" x14ac:dyDescent="0.35">
      <c r="A70" s="32">
        <v>1800003221</v>
      </c>
      <c r="B70" s="33" t="s">
        <v>563</v>
      </c>
      <c r="C70" s="34">
        <v>45735</v>
      </c>
      <c r="D70" s="34">
        <v>45736</v>
      </c>
      <c r="E70" s="33" t="s">
        <v>557</v>
      </c>
      <c r="F70" s="35">
        <v>246779413088</v>
      </c>
      <c r="G70" s="33" t="s">
        <v>559</v>
      </c>
      <c r="H70" s="36">
        <v>500.63</v>
      </c>
      <c r="I70" s="37" t="s">
        <v>560</v>
      </c>
      <c r="J70" s="38">
        <v>43400.25</v>
      </c>
      <c r="K70" s="33" t="s">
        <v>561</v>
      </c>
      <c r="L70" s="33" t="s">
        <v>557</v>
      </c>
      <c r="M70" s="54" t="e" cm="1">
        <f t="array" ref="M70">_xlfn.XLOOKUP(F70,'Customer Data Vlookup'!$L:$L,'Customer Data Vlookup'!$M:$N,,0)</f>
        <v>#N/A</v>
      </c>
      <c r="N70" s="54"/>
      <c r="O70" s="53" t="e">
        <f t="shared" si="3"/>
        <v>#N/A</v>
      </c>
      <c r="P70" s="53" t="e">
        <f t="shared" si="4"/>
        <v>#N/A</v>
      </c>
      <c r="Q70" s="33" t="e">
        <f t="shared" si="5"/>
        <v>#N/A</v>
      </c>
      <c r="R70" s="33" t="s">
        <v>905</v>
      </c>
      <c r="S70" s="34">
        <v>45842</v>
      </c>
      <c r="T70" s="32">
        <v>1400000248</v>
      </c>
      <c r="U70" t="s">
        <v>954</v>
      </c>
    </row>
    <row r="71" spans="1:21" x14ac:dyDescent="0.35">
      <c r="A71" s="32">
        <v>1800009394</v>
      </c>
      <c r="B71" s="33" t="s">
        <v>563</v>
      </c>
      <c r="C71" s="34">
        <v>45812</v>
      </c>
      <c r="D71" s="34">
        <v>45817</v>
      </c>
      <c r="E71" s="33" t="s">
        <v>557</v>
      </c>
      <c r="F71" s="35">
        <v>256779414158</v>
      </c>
      <c r="G71" s="33" t="s">
        <v>559</v>
      </c>
      <c r="H71" s="36">
        <v>498.55</v>
      </c>
      <c r="I71" s="37" t="s">
        <v>560</v>
      </c>
      <c r="J71" s="38">
        <v>42621.43</v>
      </c>
      <c r="K71" s="33" t="s">
        <v>561</v>
      </c>
      <c r="L71" s="33" t="s">
        <v>557</v>
      </c>
      <c r="M71" s="54" cm="1">
        <f t="array" ref="M71:N71">_xlfn.XLOOKUP(F71,'Customer Data Vlookup'!$L:$L,'Customer Data Vlookup'!$M:$N,,0)</f>
        <v>0</v>
      </c>
      <c r="N71" s="54">
        <v>41769</v>
      </c>
      <c r="O71" s="54">
        <f t="shared" si="3"/>
        <v>41769</v>
      </c>
      <c r="P71" s="54">
        <f t="shared" si="4"/>
        <v>852.43000000000029</v>
      </c>
      <c r="Q71" s="56">
        <f t="shared" si="5"/>
        <v>2.000003284732587E-2</v>
      </c>
      <c r="R71" s="33" t="s">
        <v>840</v>
      </c>
      <c r="S71" s="34"/>
      <c r="T71" s="33" t="s">
        <v>558</v>
      </c>
    </row>
    <row r="72" spans="1:21" x14ac:dyDescent="0.35">
      <c r="A72" s="32">
        <v>1800015708</v>
      </c>
      <c r="B72" s="33" t="s">
        <v>563</v>
      </c>
      <c r="C72" s="34">
        <v>46024</v>
      </c>
      <c r="D72" s="34">
        <v>46024</v>
      </c>
      <c r="E72" s="33" t="s">
        <v>557</v>
      </c>
      <c r="F72" s="35">
        <v>256779440041</v>
      </c>
      <c r="G72" s="33" t="s">
        <v>559</v>
      </c>
      <c r="H72" s="36">
        <v>456.75</v>
      </c>
      <c r="I72" s="37" t="s">
        <v>560</v>
      </c>
      <c r="J72" s="38">
        <v>41446.93</v>
      </c>
      <c r="K72" s="33" t="s">
        <v>561</v>
      </c>
      <c r="L72" s="33" t="s">
        <v>712</v>
      </c>
      <c r="M72" s="54" cm="1">
        <f t="array" ref="M72:N72">_xlfn.XLOOKUP(F72,'Customer Data Vlookup'!$L:$L,'Customer Data Vlookup'!$M:$N,,0)</f>
        <v>4174</v>
      </c>
      <c r="N72" s="54">
        <v>41446.745000000003</v>
      </c>
      <c r="O72" s="54">
        <f t="shared" si="3"/>
        <v>37272.745000000003</v>
      </c>
      <c r="P72" s="54">
        <f t="shared" si="4"/>
        <v>4174.1849999999977</v>
      </c>
      <c r="Q72" s="56">
        <f t="shared" si="5"/>
        <v>0.10071156054260226</v>
      </c>
      <c r="R72" s="33" t="s">
        <v>713</v>
      </c>
      <c r="S72" s="34"/>
      <c r="T72" s="33" t="s">
        <v>558</v>
      </c>
    </row>
    <row r="73" spans="1:21" hidden="1" x14ac:dyDescent="0.35">
      <c r="A73" s="32">
        <v>1800016623</v>
      </c>
      <c r="B73" s="33" t="s">
        <v>563</v>
      </c>
      <c r="C73" s="34">
        <v>46028</v>
      </c>
      <c r="D73" s="34">
        <v>46035</v>
      </c>
      <c r="E73" s="33" t="s">
        <v>557</v>
      </c>
      <c r="F73" s="35">
        <v>256779440332</v>
      </c>
      <c r="G73" s="33" t="s">
        <v>559</v>
      </c>
      <c r="H73" s="36">
        <v>456.75</v>
      </c>
      <c r="I73" s="37" t="s">
        <v>560</v>
      </c>
      <c r="J73" s="38">
        <v>41446.93</v>
      </c>
      <c r="K73" s="33" t="s">
        <v>561</v>
      </c>
      <c r="L73" s="33" t="s">
        <v>746</v>
      </c>
      <c r="M73" s="54" t="e" cm="1">
        <f t="array" ref="M73">_xlfn.XLOOKUP(F73,'Customer Data Vlookup'!$L:$L,'Customer Data Vlookup'!$M:$N,,0)</f>
        <v>#N/A</v>
      </c>
      <c r="N73" s="54"/>
      <c r="O73" s="53" t="e">
        <f t="shared" si="3"/>
        <v>#N/A</v>
      </c>
      <c r="P73" s="53" t="e">
        <f t="shared" si="4"/>
        <v>#N/A</v>
      </c>
      <c r="Q73" s="33" t="e">
        <f t="shared" si="5"/>
        <v>#N/A</v>
      </c>
      <c r="R73" s="33" t="s">
        <v>747</v>
      </c>
      <c r="S73" s="34"/>
      <c r="T73" s="33" t="s">
        <v>558</v>
      </c>
    </row>
    <row r="74" spans="1:21" hidden="1" x14ac:dyDescent="0.35">
      <c r="A74" s="32">
        <v>1800009411</v>
      </c>
      <c r="B74" s="33" t="s">
        <v>563</v>
      </c>
      <c r="C74" s="34">
        <v>45812</v>
      </c>
      <c r="D74" s="34">
        <v>45817</v>
      </c>
      <c r="E74" s="33" t="s">
        <v>557</v>
      </c>
      <c r="F74" s="35">
        <v>256779414175</v>
      </c>
      <c r="G74" s="33" t="s">
        <v>559</v>
      </c>
      <c r="H74" s="36">
        <v>472.4</v>
      </c>
      <c r="I74" s="37" t="s">
        <v>560</v>
      </c>
      <c r="J74" s="38">
        <v>40385.839999999997</v>
      </c>
      <c r="K74" s="33" t="s">
        <v>561</v>
      </c>
      <c r="L74" s="33" t="s">
        <v>557</v>
      </c>
      <c r="M74" s="54" t="e" cm="1">
        <f t="array" ref="M74">_xlfn.XLOOKUP(F74,'Customer Data Vlookup'!$L:$L,'Customer Data Vlookup'!$M:$N,,0)</f>
        <v>#N/A</v>
      </c>
      <c r="N74" s="54"/>
      <c r="O74" s="53" t="e">
        <f t="shared" si="3"/>
        <v>#N/A</v>
      </c>
      <c r="P74" s="53" t="e">
        <f t="shared" si="4"/>
        <v>#N/A</v>
      </c>
      <c r="Q74" s="33" t="e">
        <f t="shared" si="5"/>
        <v>#N/A</v>
      </c>
      <c r="R74" s="33" t="s">
        <v>842</v>
      </c>
      <c r="S74" s="34"/>
      <c r="T74" s="33" t="s">
        <v>558</v>
      </c>
    </row>
    <row r="75" spans="1:21" x14ac:dyDescent="0.35">
      <c r="A75" s="32">
        <v>1800013460</v>
      </c>
      <c r="B75" s="33" t="s">
        <v>563</v>
      </c>
      <c r="C75" s="34">
        <v>45935</v>
      </c>
      <c r="D75" s="34">
        <v>45937</v>
      </c>
      <c r="E75" s="33" t="s">
        <v>557</v>
      </c>
      <c r="F75" s="35">
        <v>256779418036</v>
      </c>
      <c r="G75" s="33" t="s">
        <v>559</v>
      </c>
      <c r="H75" s="36">
        <v>456.75</v>
      </c>
      <c r="I75" s="37" t="s">
        <v>560</v>
      </c>
      <c r="J75" s="38">
        <v>40281.129999999997</v>
      </c>
      <c r="K75" s="33" t="s">
        <v>561</v>
      </c>
      <c r="L75" s="33" t="s">
        <v>702</v>
      </c>
      <c r="M75" s="54" cm="1">
        <f t="array" ref="M75:N75">_xlfn.XLOOKUP(F75,'Customer Data Vlookup'!$L:$L,'Customer Data Vlookup'!$M:$N,,0)</f>
        <v>0</v>
      </c>
      <c r="N75" s="54">
        <v>36224.358800000002</v>
      </c>
      <c r="O75" s="54">
        <f t="shared" si="3"/>
        <v>36224.358800000002</v>
      </c>
      <c r="P75" s="54">
        <f t="shared" si="4"/>
        <v>4056.7711999999956</v>
      </c>
      <c r="Q75" s="56">
        <f t="shared" si="5"/>
        <v>0.10071145471837548</v>
      </c>
      <c r="R75" s="33" t="s">
        <v>703</v>
      </c>
      <c r="S75" s="34"/>
      <c r="T75" s="33" t="s">
        <v>558</v>
      </c>
    </row>
    <row r="76" spans="1:21" x14ac:dyDescent="0.35">
      <c r="A76" s="32">
        <v>1800014263</v>
      </c>
      <c r="B76" s="33" t="s">
        <v>563</v>
      </c>
      <c r="C76" s="34">
        <v>45966</v>
      </c>
      <c r="D76" s="34">
        <v>45966</v>
      </c>
      <c r="E76" s="33" t="s">
        <v>557</v>
      </c>
      <c r="F76" s="35">
        <v>256779418802</v>
      </c>
      <c r="G76" s="33" t="s">
        <v>559</v>
      </c>
      <c r="H76" s="36">
        <v>456.75</v>
      </c>
      <c r="I76" s="37" t="s">
        <v>560</v>
      </c>
      <c r="J76" s="38">
        <v>40195.550000000003</v>
      </c>
      <c r="K76" s="33" t="s">
        <v>561</v>
      </c>
      <c r="L76" s="33" t="s">
        <v>813</v>
      </c>
      <c r="M76" s="54" cm="1">
        <f t="array" ref="M76:N76">_xlfn.XLOOKUP(F76,'Customer Data Vlookup'!$L:$L,'Customer Data Vlookup'!$M:$N,,0)</f>
        <v>4048</v>
      </c>
      <c r="N76" s="54">
        <v>40195.392399999997</v>
      </c>
      <c r="O76" s="54">
        <f t="shared" si="3"/>
        <v>36147.392399999997</v>
      </c>
      <c r="P76" s="54">
        <f t="shared" si="4"/>
        <v>4048.1576000000059</v>
      </c>
      <c r="Q76" s="56">
        <f t="shared" si="5"/>
        <v>0.10071158623280452</v>
      </c>
      <c r="R76" s="33" t="s">
        <v>814</v>
      </c>
      <c r="S76" s="34"/>
      <c r="T76" s="33" t="s">
        <v>558</v>
      </c>
    </row>
    <row r="77" spans="1:21" x14ac:dyDescent="0.35">
      <c r="A77" s="32">
        <v>1800012739</v>
      </c>
      <c r="B77" s="33" t="s">
        <v>563</v>
      </c>
      <c r="C77" s="34">
        <v>45904</v>
      </c>
      <c r="D77" s="34">
        <v>45909</v>
      </c>
      <c r="E77" s="33" t="s">
        <v>557</v>
      </c>
      <c r="F77" s="35">
        <v>256779417373</v>
      </c>
      <c r="G77" s="33" t="s">
        <v>559</v>
      </c>
      <c r="H77" s="36">
        <v>456.75</v>
      </c>
      <c r="I77" s="37" t="s">
        <v>560</v>
      </c>
      <c r="J77" s="38">
        <v>39972.17</v>
      </c>
      <c r="K77" s="33" t="s">
        <v>561</v>
      </c>
      <c r="L77" s="33" t="s">
        <v>557</v>
      </c>
      <c r="M77" s="54" cm="1">
        <f t="array" ref="M77:N77">_xlfn.XLOOKUP(F77,'Customer Data Vlookup'!$L:$L,'Customer Data Vlookup'!$M:$N,,0)</f>
        <v>0</v>
      </c>
      <c r="N77" s="54">
        <v>33482.010999999999</v>
      </c>
      <c r="O77" s="54">
        <f t="shared" si="3"/>
        <v>33482.010999999999</v>
      </c>
      <c r="P77" s="54">
        <f t="shared" si="4"/>
        <v>6490.1589999999997</v>
      </c>
      <c r="Q77" s="56">
        <f t="shared" si="5"/>
        <v>0.16236694179975719</v>
      </c>
      <c r="R77" s="33" t="s">
        <v>803</v>
      </c>
      <c r="S77" s="34"/>
      <c r="T77" s="33" t="s">
        <v>558</v>
      </c>
    </row>
    <row r="78" spans="1:21" hidden="1" x14ac:dyDescent="0.35">
      <c r="A78" s="32">
        <v>1800005399</v>
      </c>
      <c r="B78" s="33" t="s">
        <v>563</v>
      </c>
      <c r="C78" s="34">
        <v>45750</v>
      </c>
      <c r="D78" s="34">
        <v>45752</v>
      </c>
      <c r="E78" s="33" t="s">
        <v>557</v>
      </c>
      <c r="F78" s="35">
        <v>256779410291</v>
      </c>
      <c r="G78" s="33" t="s">
        <v>559</v>
      </c>
      <c r="H78" s="36">
        <v>456.75</v>
      </c>
      <c r="I78" s="37" t="s">
        <v>560</v>
      </c>
      <c r="J78" s="38">
        <v>39701.54</v>
      </c>
      <c r="K78" s="33" t="s">
        <v>558</v>
      </c>
      <c r="L78" s="33" t="s">
        <v>557</v>
      </c>
      <c r="M78" s="54" t="e" cm="1">
        <f t="array" ref="M78">_xlfn.XLOOKUP(F78,'Customer Data Vlookup'!$L:$L,'Customer Data Vlookup'!$M:$N,,0)</f>
        <v>#N/A</v>
      </c>
      <c r="N78" s="54"/>
      <c r="O78" s="53" t="e">
        <f t="shared" si="3"/>
        <v>#N/A</v>
      </c>
      <c r="P78" s="53" t="e">
        <f t="shared" si="4"/>
        <v>#N/A</v>
      </c>
      <c r="Q78" s="33" t="e">
        <f t="shared" si="5"/>
        <v>#N/A</v>
      </c>
      <c r="R78" s="33" t="s">
        <v>606</v>
      </c>
      <c r="S78" s="34">
        <v>45842</v>
      </c>
      <c r="T78" s="32">
        <v>1400000246</v>
      </c>
      <c r="U78" t="s">
        <v>954</v>
      </c>
    </row>
    <row r="79" spans="1:21" hidden="1" x14ac:dyDescent="0.35">
      <c r="A79" s="32">
        <v>1800005358</v>
      </c>
      <c r="B79" s="33" t="s">
        <v>563</v>
      </c>
      <c r="C79" s="34">
        <v>45750</v>
      </c>
      <c r="D79" s="34">
        <v>45752</v>
      </c>
      <c r="E79" s="33" t="s">
        <v>557</v>
      </c>
      <c r="F79" s="35">
        <v>256779410250</v>
      </c>
      <c r="G79" s="33" t="s">
        <v>559</v>
      </c>
      <c r="H79" s="36">
        <v>456.75</v>
      </c>
      <c r="I79" s="37" t="s">
        <v>560</v>
      </c>
      <c r="J79" s="38">
        <v>39701.54</v>
      </c>
      <c r="K79" s="33" t="s">
        <v>558</v>
      </c>
      <c r="L79" s="33" t="s">
        <v>557</v>
      </c>
      <c r="M79" s="54" t="e" cm="1">
        <f t="array" ref="M79">_xlfn.XLOOKUP(F79,'Customer Data Vlookup'!$L:$L,'Customer Data Vlookup'!$M:$N,,0)</f>
        <v>#N/A</v>
      </c>
      <c r="N79" s="54"/>
      <c r="O79" s="53" t="e">
        <f t="shared" si="3"/>
        <v>#N/A</v>
      </c>
      <c r="P79" s="53" t="e">
        <f t="shared" si="4"/>
        <v>#N/A</v>
      </c>
      <c r="Q79" s="33" t="e">
        <f t="shared" si="5"/>
        <v>#N/A</v>
      </c>
      <c r="R79" s="33" t="s">
        <v>607</v>
      </c>
      <c r="S79" s="34">
        <v>45842</v>
      </c>
      <c r="T79" s="32">
        <v>1400000247</v>
      </c>
      <c r="U79" t="s">
        <v>954</v>
      </c>
    </row>
    <row r="80" spans="1:21" hidden="1" x14ac:dyDescent="0.35">
      <c r="A80" s="32">
        <v>1400000246</v>
      </c>
      <c r="B80" s="33" t="s">
        <v>888</v>
      </c>
      <c r="C80" s="34">
        <v>45842</v>
      </c>
      <c r="D80" s="34">
        <v>45842</v>
      </c>
      <c r="E80" s="33" t="s">
        <v>557</v>
      </c>
      <c r="F80" s="35" t="s">
        <v>904</v>
      </c>
      <c r="G80" s="33" t="s">
        <v>559</v>
      </c>
      <c r="H80" s="36">
        <v>456.75</v>
      </c>
      <c r="I80" s="37" t="s">
        <v>560</v>
      </c>
      <c r="J80" s="38">
        <v>39701.54</v>
      </c>
      <c r="K80" s="33" t="s">
        <v>561</v>
      </c>
      <c r="L80" s="33" t="s">
        <v>558</v>
      </c>
      <c r="M80" s="54" t="e" cm="1">
        <f t="array" ref="M80">_xlfn.XLOOKUP(F80,'Customer Data Vlookup'!$L:$L,'Customer Data Vlookup'!$M:$N,,0)</f>
        <v>#N/A</v>
      </c>
      <c r="N80" s="54"/>
      <c r="O80" s="53" t="e">
        <f t="shared" si="3"/>
        <v>#N/A</v>
      </c>
      <c r="P80" s="53" t="e">
        <f t="shared" si="4"/>
        <v>#N/A</v>
      </c>
      <c r="Q80" s="33" t="e">
        <f t="shared" si="5"/>
        <v>#N/A</v>
      </c>
      <c r="R80" s="33" t="s">
        <v>558</v>
      </c>
      <c r="S80" s="34">
        <v>45842</v>
      </c>
      <c r="T80" s="32">
        <v>1400000246</v>
      </c>
      <c r="U80" t="s">
        <v>954</v>
      </c>
    </row>
    <row r="81" spans="1:21" hidden="1" x14ac:dyDescent="0.35">
      <c r="A81" s="32">
        <v>1400000247</v>
      </c>
      <c r="B81" s="33" t="s">
        <v>888</v>
      </c>
      <c r="C81" s="34">
        <v>45842</v>
      </c>
      <c r="D81" s="34">
        <v>45842</v>
      </c>
      <c r="E81" s="33" t="s">
        <v>557</v>
      </c>
      <c r="F81" s="35" t="s">
        <v>904</v>
      </c>
      <c r="G81" s="33" t="s">
        <v>559</v>
      </c>
      <c r="H81" s="36">
        <v>456.75</v>
      </c>
      <c r="I81" s="37" t="s">
        <v>560</v>
      </c>
      <c r="J81" s="38">
        <v>39701.54</v>
      </c>
      <c r="K81" s="33" t="s">
        <v>561</v>
      </c>
      <c r="L81" s="33" t="s">
        <v>558</v>
      </c>
      <c r="M81" s="54" t="e" cm="1">
        <f t="array" ref="M81">_xlfn.XLOOKUP(F81,'Customer Data Vlookup'!$L:$L,'Customer Data Vlookup'!$M:$N,,0)</f>
        <v>#N/A</v>
      </c>
      <c r="N81" s="54"/>
      <c r="O81" s="53" t="e">
        <f t="shared" si="3"/>
        <v>#N/A</v>
      </c>
      <c r="P81" s="53" t="e">
        <f t="shared" si="4"/>
        <v>#N/A</v>
      </c>
      <c r="Q81" s="33" t="e">
        <f t="shared" si="5"/>
        <v>#N/A</v>
      </c>
      <c r="R81" s="33" t="s">
        <v>558</v>
      </c>
      <c r="S81" s="34">
        <v>45842</v>
      </c>
      <c r="T81" s="32">
        <v>1400000247</v>
      </c>
      <c r="U81" t="s">
        <v>954</v>
      </c>
    </row>
    <row r="82" spans="1:21" x14ac:dyDescent="0.35">
      <c r="A82" s="32">
        <v>1800003133</v>
      </c>
      <c r="B82" s="33" t="s">
        <v>563</v>
      </c>
      <c r="C82" s="34">
        <v>45735</v>
      </c>
      <c r="D82" s="34">
        <v>45736</v>
      </c>
      <c r="E82" s="33" t="s">
        <v>557</v>
      </c>
      <c r="F82" s="35">
        <v>246779413000</v>
      </c>
      <c r="G82" s="33" t="s">
        <v>559</v>
      </c>
      <c r="H82" s="36">
        <v>456.75</v>
      </c>
      <c r="I82" s="37" t="s">
        <v>560</v>
      </c>
      <c r="J82" s="38">
        <v>39596.230000000003</v>
      </c>
      <c r="K82" s="33" t="s">
        <v>561</v>
      </c>
      <c r="L82" s="33" t="s">
        <v>557</v>
      </c>
      <c r="M82" s="54" cm="1">
        <f t="array" ref="M82:N82">_xlfn.XLOOKUP(F82,'Customer Data Vlookup'!$L:$L,'Customer Data Vlookup'!$M:$N,,0)</f>
        <v>0</v>
      </c>
      <c r="N82" s="54">
        <v>35488</v>
      </c>
      <c r="O82" s="54">
        <f t="shared" si="3"/>
        <v>35488</v>
      </c>
      <c r="P82" s="54">
        <f t="shared" si="4"/>
        <v>4108.2300000000032</v>
      </c>
      <c r="Q82" s="56">
        <f t="shared" si="5"/>
        <v>0.1037530593190312</v>
      </c>
      <c r="R82" s="33" t="s">
        <v>631</v>
      </c>
      <c r="S82" s="34"/>
      <c r="T82" s="33" t="s">
        <v>558</v>
      </c>
    </row>
    <row r="83" spans="1:21" x14ac:dyDescent="0.35">
      <c r="A83" s="32">
        <v>1800000121</v>
      </c>
      <c r="B83" s="33" t="s">
        <v>563</v>
      </c>
      <c r="C83" s="34">
        <v>45708</v>
      </c>
      <c r="D83" s="34">
        <v>45708</v>
      </c>
      <c r="E83" s="33" t="s">
        <v>557</v>
      </c>
      <c r="F83" s="35">
        <v>246779410049</v>
      </c>
      <c r="G83" s="33" t="s">
        <v>559</v>
      </c>
      <c r="H83" s="36">
        <v>456.75</v>
      </c>
      <c r="I83" s="37" t="s">
        <v>560</v>
      </c>
      <c r="J83" s="38">
        <v>39419.199999999997</v>
      </c>
      <c r="K83" s="33" t="s">
        <v>561</v>
      </c>
      <c r="L83" s="33" t="s">
        <v>557</v>
      </c>
      <c r="M83" s="54" cm="1">
        <f t="array" ref="M83:N83">_xlfn.XLOOKUP(F83,'Customer Data Vlookup'!$L:$L,'Customer Data Vlookup'!$M:$N,,0)</f>
        <v>0</v>
      </c>
      <c r="N83" s="54">
        <v>35554.519999999997</v>
      </c>
      <c r="O83" s="54">
        <f t="shared" si="3"/>
        <v>35554.519999999997</v>
      </c>
      <c r="P83" s="54">
        <f t="shared" si="4"/>
        <v>3864.6800000000003</v>
      </c>
      <c r="Q83" s="56">
        <f t="shared" si="5"/>
        <v>9.8040548768113009E-2</v>
      </c>
      <c r="R83" s="33" t="s">
        <v>876</v>
      </c>
      <c r="S83" s="34"/>
      <c r="T83" s="33" t="s">
        <v>558</v>
      </c>
    </row>
    <row r="84" spans="1:21" x14ac:dyDescent="0.35">
      <c r="A84" s="32">
        <v>1800000032</v>
      </c>
      <c r="B84" s="33" t="s">
        <v>563</v>
      </c>
      <c r="C84" s="34">
        <v>45708</v>
      </c>
      <c r="D84" s="34">
        <v>45708</v>
      </c>
      <c r="E84" s="33" t="s">
        <v>557</v>
      </c>
      <c r="F84" s="35">
        <v>246779410072</v>
      </c>
      <c r="G84" s="33" t="s">
        <v>559</v>
      </c>
      <c r="H84" s="36">
        <v>456.75</v>
      </c>
      <c r="I84" s="37" t="s">
        <v>560</v>
      </c>
      <c r="J84" s="38">
        <v>39419.199999999997</v>
      </c>
      <c r="K84" s="33" t="s">
        <v>561</v>
      </c>
      <c r="L84" s="33" t="s">
        <v>557</v>
      </c>
      <c r="M84" s="54" cm="1">
        <f t="array" ref="M84:N84">_xlfn.XLOOKUP(F84,'Customer Data Vlookup'!$L:$L,'Customer Data Vlookup'!$M:$N,,0)</f>
        <v>0</v>
      </c>
      <c r="N84" s="54">
        <v>35477</v>
      </c>
      <c r="O84" s="54">
        <f t="shared" si="3"/>
        <v>35477</v>
      </c>
      <c r="P84" s="54">
        <f t="shared" si="4"/>
        <v>3942.1999999999971</v>
      </c>
      <c r="Q84" s="56">
        <f t="shared" si="5"/>
        <v>0.10000710313755727</v>
      </c>
      <c r="R84" s="33" t="s">
        <v>877</v>
      </c>
      <c r="S84" s="34"/>
      <c r="T84" s="33" t="s">
        <v>558</v>
      </c>
    </row>
    <row r="85" spans="1:21" x14ac:dyDescent="0.35">
      <c r="A85" s="32">
        <v>1800000190</v>
      </c>
      <c r="B85" s="33" t="s">
        <v>563</v>
      </c>
      <c r="C85" s="34">
        <v>45708</v>
      </c>
      <c r="D85" s="34">
        <v>45708</v>
      </c>
      <c r="E85" s="33" t="s">
        <v>557</v>
      </c>
      <c r="F85" s="35">
        <v>246779410117</v>
      </c>
      <c r="G85" s="33" t="s">
        <v>559</v>
      </c>
      <c r="H85" s="36">
        <v>456.75</v>
      </c>
      <c r="I85" s="37" t="s">
        <v>560</v>
      </c>
      <c r="J85" s="38">
        <v>39419.199999999997</v>
      </c>
      <c r="K85" s="33" t="s">
        <v>561</v>
      </c>
      <c r="L85" s="33" t="s">
        <v>557</v>
      </c>
      <c r="M85" s="54" cm="1">
        <f t="array" ref="M85:N85">_xlfn.XLOOKUP(F85,'Customer Data Vlookup'!$L:$L,'Customer Data Vlookup'!$M:$N,,0)</f>
        <v>0</v>
      </c>
      <c r="N85" s="54">
        <v>35554.519999999997</v>
      </c>
      <c r="O85" s="54">
        <f t="shared" si="3"/>
        <v>35554.519999999997</v>
      </c>
      <c r="P85" s="54">
        <f t="shared" si="4"/>
        <v>3864.6800000000003</v>
      </c>
      <c r="Q85" s="56">
        <f t="shared" si="5"/>
        <v>9.8040548768113009E-2</v>
      </c>
      <c r="R85" s="33" t="s">
        <v>878</v>
      </c>
      <c r="S85" s="34"/>
      <c r="T85" s="33" t="s">
        <v>558</v>
      </c>
    </row>
    <row r="86" spans="1:21" x14ac:dyDescent="0.35">
      <c r="A86" s="32">
        <v>1800000233</v>
      </c>
      <c r="B86" s="33" t="s">
        <v>563</v>
      </c>
      <c r="C86" s="34">
        <v>45708</v>
      </c>
      <c r="D86" s="34">
        <v>45708</v>
      </c>
      <c r="E86" s="33" t="s">
        <v>557</v>
      </c>
      <c r="F86" s="35">
        <v>246779410160</v>
      </c>
      <c r="G86" s="33" t="s">
        <v>559</v>
      </c>
      <c r="H86" s="36">
        <v>456.75</v>
      </c>
      <c r="I86" s="37" t="s">
        <v>560</v>
      </c>
      <c r="J86" s="38">
        <v>39419.199999999997</v>
      </c>
      <c r="K86" s="33" t="s">
        <v>561</v>
      </c>
      <c r="L86" s="33" t="s">
        <v>557</v>
      </c>
      <c r="M86" s="54" cm="1">
        <f t="array" ref="M86:N86">_xlfn.XLOOKUP(F86,'Customer Data Vlookup'!$L:$L,'Customer Data Vlookup'!$M:$N,,0)</f>
        <v>0</v>
      </c>
      <c r="N86" s="54">
        <v>35554.519999999997</v>
      </c>
      <c r="O86" s="54">
        <f t="shared" si="3"/>
        <v>35554.519999999997</v>
      </c>
      <c r="P86" s="54">
        <f t="shared" si="4"/>
        <v>3864.6800000000003</v>
      </c>
      <c r="Q86" s="56">
        <f t="shared" si="5"/>
        <v>9.8040548768113009E-2</v>
      </c>
      <c r="R86" s="33" t="s">
        <v>879</v>
      </c>
      <c r="S86" s="34"/>
      <c r="T86" s="33" t="s">
        <v>558</v>
      </c>
    </row>
    <row r="87" spans="1:21" x14ac:dyDescent="0.35">
      <c r="A87" s="32">
        <v>1800000276</v>
      </c>
      <c r="B87" s="33" t="s">
        <v>563</v>
      </c>
      <c r="C87" s="34">
        <v>45708</v>
      </c>
      <c r="D87" s="34">
        <v>45708</v>
      </c>
      <c r="E87" s="33" t="s">
        <v>557</v>
      </c>
      <c r="F87" s="35">
        <v>246779410203</v>
      </c>
      <c r="G87" s="33" t="s">
        <v>559</v>
      </c>
      <c r="H87" s="36">
        <v>456.75</v>
      </c>
      <c r="I87" s="37" t="s">
        <v>560</v>
      </c>
      <c r="J87" s="38">
        <v>39419.199999999997</v>
      </c>
      <c r="K87" s="33" t="s">
        <v>561</v>
      </c>
      <c r="L87" s="33" t="s">
        <v>557</v>
      </c>
      <c r="M87" s="54" cm="1">
        <f t="array" ref="M87:N87">_xlfn.XLOOKUP(F87,'Customer Data Vlookup'!$L:$L,'Customer Data Vlookup'!$M:$N,,0)</f>
        <v>0</v>
      </c>
      <c r="N87" s="54">
        <v>35554.519999999997</v>
      </c>
      <c r="O87" s="54">
        <f t="shared" si="3"/>
        <v>35554.519999999997</v>
      </c>
      <c r="P87" s="54">
        <f t="shared" si="4"/>
        <v>3864.6800000000003</v>
      </c>
      <c r="Q87" s="56">
        <f t="shared" si="5"/>
        <v>9.8040548768113009E-2</v>
      </c>
      <c r="R87" s="33" t="s">
        <v>607</v>
      </c>
      <c r="S87" s="34"/>
      <c r="T87" s="33" t="s">
        <v>558</v>
      </c>
    </row>
    <row r="88" spans="1:21" x14ac:dyDescent="0.35">
      <c r="A88" s="32">
        <v>1800000319</v>
      </c>
      <c r="B88" s="33" t="s">
        <v>563</v>
      </c>
      <c r="C88" s="34">
        <v>45708</v>
      </c>
      <c r="D88" s="34">
        <v>45708</v>
      </c>
      <c r="E88" s="33" t="s">
        <v>557</v>
      </c>
      <c r="F88" s="35">
        <v>246779410246</v>
      </c>
      <c r="G88" s="33" t="s">
        <v>559</v>
      </c>
      <c r="H88" s="36">
        <v>456.75</v>
      </c>
      <c r="I88" s="37" t="s">
        <v>560</v>
      </c>
      <c r="J88" s="38">
        <v>39419.199999999997</v>
      </c>
      <c r="K88" s="33" t="s">
        <v>561</v>
      </c>
      <c r="L88" s="33" t="s">
        <v>557</v>
      </c>
      <c r="M88" s="54" cm="1">
        <f t="array" ref="M88:N88">_xlfn.XLOOKUP(F88,'Customer Data Vlookup'!$L:$L,'Customer Data Vlookup'!$M:$N,,0)</f>
        <v>0</v>
      </c>
      <c r="N88" s="54">
        <v>35554.519999999997</v>
      </c>
      <c r="O88" s="54">
        <f t="shared" si="3"/>
        <v>35554.519999999997</v>
      </c>
      <c r="P88" s="54">
        <f t="shared" si="4"/>
        <v>3864.6800000000003</v>
      </c>
      <c r="Q88" s="56">
        <f t="shared" si="5"/>
        <v>9.8040548768113009E-2</v>
      </c>
      <c r="R88" s="33" t="s">
        <v>606</v>
      </c>
      <c r="S88" s="34"/>
      <c r="T88" s="33" t="s">
        <v>558</v>
      </c>
    </row>
    <row r="89" spans="1:21" x14ac:dyDescent="0.35">
      <c r="A89" s="32">
        <v>1800000150</v>
      </c>
      <c r="B89" s="33" t="s">
        <v>563</v>
      </c>
      <c r="C89" s="34">
        <v>45708</v>
      </c>
      <c r="D89" s="34">
        <v>45709</v>
      </c>
      <c r="E89" s="33" t="s">
        <v>557</v>
      </c>
      <c r="F89" s="35">
        <v>246779410303</v>
      </c>
      <c r="G89" s="33" t="s">
        <v>559</v>
      </c>
      <c r="H89" s="36">
        <v>456.75</v>
      </c>
      <c r="I89" s="37" t="s">
        <v>560</v>
      </c>
      <c r="J89" s="38">
        <v>39419.199999999997</v>
      </c>
      <c r="K89" s="33" t="s">
        <v>561</v>
      </c>
      <c r="L89" s="33" t="s">
        <v>557</v>
      </c>
      <c r="M89" s="54" cm="1">
        <f t="array" ref="M89:N89">_xlfn.XLOOKUP(F89,'Customer Data Vlookup'!$L:$L,'Customer Data Vlookup'!$M:$N,,0)</f>
        <v>0</v>
      </c>
      <c r="N89" s="54">
        <v>35554.519999999997</v>
      </c>
      <c r="O89" s="54">
        <f t="shared" si="3"/>
        <v>35554.519999999997</v>
      </c>
      <c r="P89" s="54">
        <f t="shared" si="4"/>
        <v>3864.6800000000003</v>
      </c>
      <c r="Q89" s="56">
        <f t="shared" si="5"/>
        <v>9.8040548768113009E-2</v>
      </c>
      <c r="R89" s="33" t="s">
        <v>880</v>
      </c>
      <c r="S89" s="34"/>
      <c r="T89" s="33" t="s">
        <v>558</v>
      </c>
    </row>
    <row r="90" spans="1:21" x14ac:dyDescent="0.35">
      <c r="A90" s="32">
        <v>1800011345</v>
      </c>
      <c r="B90" s="33" t="s">
        <v>563</v>
      </c>
      <c r="C90" s="34">
        <v>45870</v>
      </c>
      <c r="D90" s="34">
        <v>45873</v>
      </c>
      <c r="E90" s="33" t="s">
        <v>557</v>
      </c>
      <c r="F90" s="35">
        <v>256779416054</v>
      </c>
      <c r="G90" s="33" t="s">
        <v>559</v>
      </c>
      <c r="H90" s="36">
        <v>456.75</v>
      </c>
      <c r="I90" s="37" t="s">
        <v>560</v>
      </c>
      <c r="J90" s="38">
        <v>39294.26</v>
      </c>
      <c r="K90" s="33" t="s">
        <v>561</v>
      </c>
      <c r="L90" s="33" t="s">
        <v>557</v>
      </c>
      <c r="M90" s="54" cm="1">
        <f t="array" ref="M90:N90">_xlfn.XLOOKUP(F90,'Customer Data Vlookup'!$L:$L,'Customer Data Vlookup'!$M:$N,,0)</f>
        <v>0</v>
      </c>
      <c r="N90" s="54">
        <v>35336.871800000001</v>
      </c>
      <c r="O90" s="54">
        <f t="shared" si="3"/>
        <v>35336.871800000001</v>
      </c>
      <c r="P90" s="54">
        <f t="shared" si="4"/>
        <v>3957.3882000000012</v>
      </c>
      <c r="Q90" s="56">
        <f t="shared" si="5"/>
        <v>0.10071161029626213</v>
      </c>
      <c r="R90" s="33" t="s">
        <v>931</v>
      </c>
      <c r="S90" s="34"/>
      <c r="T90" s="33" t="s">
        <v>558</v>
      </c>
    </row>
    <row r="91" spans="1:21" x14ac:dyDescent="0.35">
      <c r="A91" s="32">
        <v>1800010184</v>
      </c>
      <c r="B91" s="33" t="s">
        <v>563</v>
      </c>
      <c r="C91" s="34">
        <v>45842</v>
      </c>
      <c r="D91" s="34">
        <v>45847</v>
      </c>
      <c r="E91" s="33" t="s">
        <v>557</v>
      </c>
      <c r="F91" s="35">
        <v>256779414944</v>
      </c>
      <c r="G91" s="33" t="s">
        <v>559</v>
      </c>
      <c r="H91" s="36">
        <v>456.75</v>
      </c>
      <c r="I91" s="37" t="s">
        <v>560</v>
      </c>
      <c r="J91" s="38">
        <v>39280.81</v>
      </c>
      <c r="K91" s="33" t="s">
        <v>561</v>
      </c>
      <c r="L91" s="33" t="s">
        <v>557</v>
      </c>
      <c r="M91" s="54" cm="1">
        <f t="array" ref="M91:N91">_xlfn.XLOOKUP(F91,'Customer Data Vlookup'!$L:$L,'Customer Data Vlookup'!$M:$N,,0)</f>
        <v>0</v>
      </c>
      <c r="N91" s="54">
        <v>35324.775199999996</v>
      </c>
      <c r="O91" s="54">
        <f t="shared" si="3"/>
        <v>35324.775199999996</v>
      </c>
      <c r="P91" s="54">
        <f t="shared" si="4"/>
        <v>3956.0348000000013</v>
      </c>
      <c r="Q91" s="56">
        <f t="shared" si="5"/>
        <v>0.10071164011129102</v>
      </c>
      <c r="R91" s="33" t="s">
        <v>808</v>
      </c>
      <c r="S91" s="34"/>
      <c r="T91" s="33" t="s">
        <v>558</v>
      </c>
    </row>
    <row r="92" spans="1:21" x14ac:dyDescent="0.35">
      <c r="A92" s="32">
        <v>1800013343</v>
      </c>
      <c r="B92" s="33" t="s">
        <v>563</v>
      </c>
      <c r="C92" s="34">
        <v>45935</v>
      </c>
      <c r="D92" s="34">
        <v>45937</v>
      </c>
      <c r="E92" s="33" t="s">
        <v>557</v>
      </c>
      <c r="F92" s="35">
        <v>256779417939</v>
      </c>
      <c r="G92" s="33" t="s">
        <v>559</v>
      </c>
      <c r="H92" s="36">
        <v>445.35</v>
      </c>
      <c r="I92" s="37" t="s">
        <v>560</v>
      </c>
      <c r="J92" s="38">
        <v>39275.760000000002</v>
      </c>
      <c r="K92" s="33" t="s">
        <v>561</v>
      </c>
      <c r="L92" s="33" t="s">
        <v>557</v>
      </c>
      <c r="M92" s="54" cm="1">
        <f t="array" ref="M92:N92">_xlfn.XLOOKUP(F92,'Customer Data Vlookup'!$L:$L,'Customer Data Vlookup'!$M:$N,,0)</f>
        <v>0</v>
      </c>
      <c r="N92" s="54">
        <v>38482.042500000003</v>
      </c>
      <c r="O92" s="54">
        <f t="shared" si="3"/>
        <v>38482.042500000003</v>
      </c>
      <c r="P92" s="54">
        <f t="shared" si="4"/>
        <v>793.71749999999884</v>
      </c>
      <c r="Q92" s="56">
        <f t="shared" si="5"/>
        <v>2.0208838734119945E-2</v>
      </c>
      <c r="R92" s="33" t="s">
        <v>699</v>
      </c>
      <c r="S92" s="34"/>
      <c r="T92" s="33" t="s">
        <v>558</v>
      </c>
    </row>
    <row r="93" spans="1:21" x14ac:dyDescent="0.35">
      <c r="A93" s="32">
        <v>1800008243</v>
      </c>
      <c r="B93" s="33" t="s">
        <v>563</v>
      </c>
      <c r="C93" s="34">
        <v>45787</v>
      </c>
      <c r="D93" s="34">
        <v>45791</v>
      </c>
      <c r="E93" s="33" t="s">
        <v>557</v>
      </c>
      <c r="F93" s="35">
        <v>256779413127</v>
      </c>
      <c r="G93" s="33" t="s">
        <v>559</v>
      </c>
      <c r="H93" s="36">
        <v>456.75</v>
      </c>
      <c r="I93" s="37" t="s">
        <v>560</v>
      </c>
      <c r="J93" s="38">
        <v>39273.050000000003</v>
      </c>
      <c r="K93" s="33" t="s">
        <v>561</v>
      </c>
      <c r="L93" s="33" t="s">
        <v>557</v>
      </c>
      <c r="M93" s="54" cm="1">
        <f t="array" ref="M93:N93">_xlfn.XLOOKUP(F93,'Customer Data Vlookup'!$L:$L,'Customer Data Vlookup'!$M:$N,,0)</f>
        <v>0</v>
      </c>
      <c r="N93" s="54">
        <v>35097</v>
      </c>
      <c r="O93" s="54">
        <f t="shared" si="3"/>
        <v>35097</v>
      </c>
      <c r="P93" s="54">
        <f t="shared" si="4"/>
        <v>4176.0500000000029</v>
      </c>
      <c r="Q93" s="56">
        <f t="shared" si="5"/>
        <v>0.10633373267418758</v>
      </c>
      <c r="R93" s="33" t="s">
        <v>683</v>
      </c>
      <c r="S93" s="34"/>
      <c r="T93" s="33" t="s">
        <v>558</v>
      </c>
    </row>
    <row r="94" spans="1:21" x14ac:dyDescent="0.35">
      <c r="A94" s="32">
        <v>1800007270</v>
      </c>
      <c r="B94" s="33" t="s">
        <v>563</v>
      </c>
      <c r="C94" s="34">
        <v>45768</v>
      </c>
      <c r="D94" s="34">
        <v>45769</v>
      </c>
      <c r="E94" s="33" t="s">
        <v>557</v>
      </c>
      <c r="F94" s="35">
        <v>256779412161</v>
      </c>
      <c r="G94" s="33" t="s">
        <v>559</v>
      </c>
      <c r="H94" s="36">
        <v>456.75</v>
      </c>
      <c r="I94" s="37" t="s">
        <v>560</v>
      </c>
      <c r="J94" s="38">
        <v>39193.72</v>
      </c>
      <c r="K94" s="33" t="s">
        <v>561</v>
      </c>
      <c r="L94" s="33" t="s">
        <v>557</v>
      </c>
      <c r="M94" s="54" cm="1">
        <f t="array" ref="M94:N94">_xlfn.XLOOKUP(F94,'Customer Data Vlookup'!$L:$L,'Customer Data Vlookup'!$M:$N,,0)</f>
        <v>0</v>
      </c>
      <c r="N94" s="54">
        <v>34962</v>
      </c>
      <c r="O94" s="54">
        <f t="shared" si="3"/>
        <v>34962</v>
      </c>
      <c r="P94" s="54">
        <f t="shared" si="4"/>
        <v>4231.7200000000012</v>
      </c>
      <c r="Q94" s="56">
        <f t="shared" si="5"/>
        <v>0.10796933794495651</v>
      </c>
      <c r="R94" s="33" t="s">
        <v>617</v>
      </c>
      <c r="S94" s="34"/>
      <c r="T94" s="33" t="s">
        <v>558</v>
      </c>
    </row>
    <row r="95" spans="1:21" hidden="1" x14ac:dyDescent="0.35">
      <c r="A95" s="32">
        <v>1800009695</v>
      </c>
      <c r="B95" s="33" t="s">
        <v>563</v>
      </c>
      <c r="C95" s="34">
        <v>45826</v>
      </c>
      <c r="D95" s="34">
        <v>45827</v>
      </c>
      <c r="E95" s="33" t="s">
        <v>557</v>
      </c>
      <c r="F95" s="35">
        <v>256779414459</v>
      </c>
      <c r="G95" s="33" t="s">
        <v>559</v>
      </c>
      <c r="H95" s="36">
        <v>456.75</v>
      </c>
      <c r="I95" s="37" t="s">
        <v>560</v>
      </c>
      <c r="J95" s="38">
        <v>39047.910000000003</v>
      </c>
      <c r="K95" s="33" t="s">
        <v>561</v>
      </c>
      <c r="L95" s="33" t="s">
        <v>557</v>
      </c>
      <c r="M95" s="54" t="e" cm="1">
        <f t="array" ref="M95">_xlfn.XLOOKUP(F95,'Customer Data Vlookup'!$L:$L,'Customer Data Vlookup'!$M:$N,,0)</f>
        <v>#N/A</v>
      </c>
      <c r="N95" s="54"/>
      <c r="O95" s="53" t="e">
        <f t="shared" si="3"/>
        <v>#N/A</v>
      </c>
      <c r="P95" s="53" t="e">
        <f t="shared" si="4"/>
        <v>#N/A</v>
      </c>
      <c r="Q95" s="33" t="e">
        <f t="shared" si="5"/>
        <v>#N/A</v>
      </c>
      <c r="R95" s="33" t="s">
        <v>607</v>
      </c>
      <c r="S95" s="34">
        <v>45902</v>
      </c>
      <c r="T95" s="32">
        <v>1400001112</v>
      </c>
      <c r="U95" t="s">
        <v>954</v>
      </c>
    </row>
    <row r="96" spans="1:21" hidden="1" x14ac:dyDescent="0.35">
      <c r="A96" s="32">
        <v>1800009712</v>
      </c>
      <c r="B96" s="33" t="s">
        <v>563</v>
      </c>
      <c r="C96" s="34">
        <v>45826</v>
      </c>
      <c r="D96" s="34">
        <v>45827</v>
      </c>
      <c r="E96" s="33" t="s">
        <v>557</v>
      </c>
      <c r="F96" s="35">
        <v>256779414476</v>
      </c>
      <c r="G96" s="33" t="s">
        <v>559</v>
      </c>
      <c r="H96" s="36">
        <v>456.75</v>
      </c>
      <c r="I96" s="37" t="s">
        <v>560</v>
      </c>
      <c r="J96" s="38">
        <v>39047.910000000003</v>
      </c>
      <c r="K96" s="33" t="s">
        <v>561</v>
      </c>
      <c r="L96" s="33" t="s">
        <v>557</v>
      </c>
      <c r="M96" s="54" t="e" cm="1">
        <f t="array" ref="M96">_xlfn.XLOOKUP(F96,'Customer Data Vlookup'!$L:$L,'Customer Data Vlookup'!$M:$N,,0)</f>
        <v>#N/A</v>
      </c>
      <c r="N96" s="54"/>
      <c r="O96" s="53" t="e">
        <f t="shared" si="3"/>
        <v>#N/A</v>
      </c>
      <c r="P96" s="53" t="e">
        <f t="shared" si="4"/>
        <v>#N/A</v>
      </c>
      <c r="Q96" s="33" t="e">
        <f t="shared" si="5"/>
        <v>#N/A</v>
      </c>
      <c r="R96" s="33" t="s">
        <v>606</v>
      </c>
      <c r="S96" s="34">
        <v>45902</v>
      </c>
      <c r="T96" s="32">
        <v>1400001112</v>
      </c>
      <c r="U96" t="s">
        <v>954</v>
      </c>
    </row>
    <row r="97" spans="1:21" x14ac:dyDescent="0.35">
      <c r="A97" s="32">
        <v>1800009622</v>
      </c>
      <c r="B97" s="33" t="s">
        <v>563</v>
      </c>
      <c r="C97" s="34">
        <v>45818</v>
      </c>
      <c r="D97" s="34">
        <v>45825</v>
      </c>
      <c r="E97" s="33" t="s">
        <v>557</v>
      </c>
      <c r="F97" s="35">
        <v>256779414386</v>
      </c>
      <c r="G97" s="33" t="s">
        <v>559</v>
      </c>
      <c r="H97" s="36">
        <v>456.75</v>
      </c>
      <c r="I97" s="37" t="s">
        <v>560</v>
      </c>
      <c r="J97" s="38">
        <v>39047.910000000003</v>
      </c>
      <c r="K97" s="33" t="s">
        <v>561</v>
      </c>
      <c r="L97" s="33" t="s">
        <v>557</v>
      </c>
      <c r="M97" s="54" cm="1">
        <f t="array" ref="M97:N97">_xlfn.XLOOKUP(F97,'Customer Data Vlookup'!$L:$L,'Customer Data Vlookup'!$M:$N,,0)</f>
        <v>0</v>
      </c>
      <c r="N97" s="54">
        <v>35431</v>
      </c>
      <c r="O97" s="54">
        <f t="shared" si="3"/>
        <v>35431</v>
      </c>
      <c r="P97" s="54">
        <f t="shared" si="4"/>
        <v>3616.9100000000035</v>
      </c>
      <c r="Q97" s="56">
        <f t="shared" si="5"/>
        <v>9.2627492739048092E-2</v>
      </c>
      <c r="R97" s="33" t="s">
        <v>766</v>
      </c>
      <c r="S97" s="34"/>
      <c r="T97" s="33" t="s">
        <v>558</v>
      </c>
    </row>
    <row r="98" spans="1:21" hidden="1" x14ac:dyDescent="0.35">
      <c r="A98" s="32">
        <v>1800015473</v>
      </c>
      <c r="B98" s="33" t="s">
        <v>563</v>
      </c>
      <c r="C98" s="34">
        <v>45997</v>
      </c>
      <c r="D98" s="34">
        <v>46000</v>
      </c>
      <c r="E98" s="33" t="s">
        <v>557</v>
      </c>
      <c r="F98" s="35">
        <v>256779419990</v>
      </c>
      <c r="G98" s="33" t="s">
        <v>559</v>
      </c>
      <c r="H98" s="36">
        <v>429.75</v>
      </c>
      <c r="I98" s="37" t="s">
        <v>560</v>
      </c>
      <c r="J98" s="38">
        <v>38118.89</v>
      </c>
      <c r="K98" s="33" t="s">
        <v>561</v>
      </c>
      <c r="L98" s="33" t="s">
        <v>690</v>
      </c>
      <c r="M98" s="54" t="e" cm="1">
        <f t="array" ref="M98">_xlfn.XLOOKUP(F98,'Customer Data Vlookup'!$L:$L,'Customer Data Vlookup'!$M:$N,,0)</f>
        <v>#N/A</v>
      </c>
      <c r="N98" s="54"/>
      <c r="O98" s="53" t="e">
        <f t="shared" si="3"/>
        <v>#N/A</v>
      </c>
      <c r="P98" s="53" t="e">
        <f t="shared" si="4"/>
        <v>#N/A</v>
      </c>
      <c r="Q98" s="33" t="e">
        <f t="shared" si="5"/>
        <v>#N/A</v>
      </c>
      <c r="R98" s="33" t="s">
        <v>691</v>
      </c>
      <c r="S98" s="34"/>
      <c r="T98" s="33" t="s">
        <v>558</v>
      </c>
    </row>
    <row r="99" spans="1:21" x14ac:dyDescent="0.35">
      <c r="A99" s="32">
        <v>1800004735</v>
      </c>
      <c r="B99" s="33" t="s">
        <v>563</v>
      </c>
      <c r="C99" s="34">
        <v>45736</v>
      </c>
      <c r="D99" s="34">
        <v>45737</v>
      </c>
      <c r="E99" s="33" t="s">
        <v>557</v>
      </c>
      <c r="F99" s="35">
        <v>246779414603</v>
      </c>
      <c r="G99" s="33" t="s">
        <v>559</v>
      </c>
      <c r="H99" s="36">
        <v>412.38</v>
      </c>
      <c r="I99" s="37" t="s">
        <v>560</v>
      </c>
      <c r="J99" s="38">
        <v>35749.74</v>
      </c>
      <c r="K99" s="33" t="s">
        <v>561</v>
      </c>
      <c r="L99" s="33" t="s">
        <v>557</v>
      </c>
      <c r="M99" s="54" cm="1">
        <f t="array" ref="M99:N99">_xlfn.XLOOKUP(F99,'Customer Data Vlookup'!$L:$L,'Customer Data Vlookup'!$M:$N,,0)</f>
        <v>0</v>
      </c>
      <c r="N99" s="54">
        <v>34760</v>
      </c>
      <c r="O99" s="54">
        <f t="shared" si="3"/>
        <v>34760</v>
      </c>
      <c r="P99" s="54">
        <f t="shared" si="4"/>
        <v>989.73999999999796</v>
      </c>
      <c r="Q99" s="56">
        <f t="shared" si="5"/>
        <v>2.7685236312208088E-2</v>
      </c>
      <c r="R99" s="33" t="s">
        <v>874</v>
      </c>
      <c r="S99" s="34"/>
      <c r="T99" s="33" t="s">
        <v>558</v>
      </c>
    </row>
    <row r="100" spans="1:21" x14ac:dyDescent="0.35">
      <c r="A100" s="32">
        <v>1800001468</v>
      </c>
      <c r="B100" s="33" t="s">
        <v>563</v>
      </c>
      <c r="C100" s="34">
        <v>45729</v>
      </c>
      <c r="D100" s="34">
        <v>45733</v>
      </c>
      <c r="E100" s="33" t="s">
        <v>557</v>
      </c>
      <c r="F100" s="35">
        <v>246779411300</v>
      </c>
      <c r="G100" s="33" t="s">
        <v>559</v>
      </c>
      <c r="H100" s="36">
        <v>385</v>
      </c>
      <c r="I100" s="37" t="s">
        <v>560</v>
      </c>
      <c r="J100" s="38">
        <v>33376.14</v>
      </c>
      <c r="K100" s="33" t="s">
        <v>561</v>
      </c>
      <c r="L100" s="33" t="s">
        <v>557</v>
      </c>
      <c r="M100" s="54" cm="1">
        <f t="array" ref="M100:N100">_xlfn.XLOOKUP(F100,'Customer Data Vlookup'!$L:$L,'Customer Data Vlookup'!$M:$N,,0)</f>
        <v>0</v>
      </c>
      <c r="N100" s="54">
        <v>33376</v>
      </c>
      <c r="O100" s="54">
        <f t="shared" si="3"/>
        <v>33376</v>
      </c>
      <c r="P100" s="54">
        <f t="shared" si="4"/>
        <v>0.13999999999941792</v>
      </c>
      <c r="Q100" s="56">
        <f t="shared" si="5"/>
        <v>4.1946132776114293E-6</v>
      </c>
      <c r="R100" s="33" t="s">
        <v>859</v>
      </c>
      <c r="S100" s="34">
        <v>45976</v>
      </c>
      <c r="T100" s="32">
        <v>1400001901</v>
      </c>
      <c r="U100" t="s">
        <v>954</v>
      </c>
    </row>
    <row r="101" spans="1:21" x14ac:dyDescent="0.35">
      <c r="A101" s="32">
        <v>1800000364</v>
      </c>
      <c r="B101" s="33" t="s">
        <v>563</v>
      </c>
      <c r="C101" s="34">
        <v>45716</v>
      </c>
      <c r="D101" s="34">
        <v>45716</v>
      </c>
      <c r="E101" s="33" t="s">
        <v>557</v>
      </c>
      <c r="F101" s="35">
        <v>246779410333</v>
      </c>
      <c r="G101" s="33" t="s">
        <v>559</v>
      </c>
      <c r="H101" s="36">
        <v>386.34</v>
      </c>
      <c r="I101" s="37" t="s">
        <v>560</v>
      </c>
      <c r="J101" s="38">
        <v>33342.559999999998</v>
      </c>
      <c r="K101" s="33" t="s">
        <v>561</v>
      </c>
      <c r="L101" s="33" t="s">
        <v>557</v>
      </c>
      <c r="M101" s="54" cm="1">
        <f t="array" ref="M101:N101">_xlfn.XLOOKUP(F101,'Customer Data Vlookup'!$L:$L,'Customer Data Vlookup'!$M:$N,,0)</f>
        <v>0</v>
      </c>
      <c r="N101" s="54">
        <v>29975.441999999999</v>
      </c>
      <c r="O101" s="54">
        <f t="shared" si="3"/>
        <v>29975.441999999999</v>
      </c>
      <c r="P101" s="54">
        <f t="shared" si="4"/>
        <v>3367.1179999999986</v>
      </c>
      <c r="Q101" s="56">
        <f t="shared" si="5"/>
        <v>0.10098558718946592</v>
      </c>
      <c r="R101" s="33" t="s">
        <v>918</v>
      </c>
      <c r="S101" s="34"/>
      <c r="T101" s="33" t="s">
        <v>558</v>
      </c>
    </row>
    <row r="102" spans="1:21" hidden="1" x14ac:dyDescent="0.35">
      <c r="A102" s="32">
        <v>1800016202</v>
      </c>
      <c r="B102" s="33" t="s">
        <v>563</v>
      </c>
      <c r="C102" s="34">
        <v>46028</v>
      </c>
      <c r="D102" s="34">
        <v>46031</v>
      </c>
      <c r="E102" s="33" t="s">
        <v>729</v>
      </c>
      <c r="F102" s="35">
        <v>256779440143</v>
      </c>
      <c r="G102" s="33" t="s">
        <v>559</v>
      </c>
      <c r="H102" s="36">
        <v>360.75</v>
      </c>
      <c r="I102" s="37" t="s">
        <v>560</v>
      </c>
      <c r="J102" s="38">
        <v>32735.59</v>
      </c>
      <c r="K102" s="33" t="s">
        <v>561</v>
      </c>
      <c r="L102" s="33" t="s">
        <v>557</v>
      </c>
      <c r="M102" s="54" t="e" cm="1">
        <f t="array" ref="M102">_xlfn.XLOOKUP(F102,'Customer Data Vlookup'!$L:$L,'Customer Data Vlookup'!$M:$N,,0)</f>
        <v>#N/A</v>
      </c>
      <c r="N102" s="54"/>
      <c r="O102" s="53" t="e">
        <f t="shared" si="3"/>
        <v>#N/A</v>
      </c>
      <c r="P102" s="53" t="e">
        <f t="shared" si="4"/>
        <v>#N/A</v>
      </c>
      <c r="Q102" s="33" t="e">
        <f t="shared" si="5"/>
        <v>#N/A</v>
      </c>
      <c r="R102" s="33" t="s">
        <v>730</v>
      </c>
      <c r="S102" s="34"/>
      <c r="T102" s="33" t="s">
        <v>558</v>
      </c>
    </row>
    <row r="103" spans="1:21" x14ac:dyDescent="0.35">
      <c r="A103" s="32">
        <v>1800011235</v>
      </c>
      <c r="B103" s="33" t="s">
        <v>563</v>
      </c>
      <c r="C103" s="34">
        <v>45863</v>
      </c>
      <c r="D103" s="34">
        <v>45863</v>
      </c>
      <c r="E103" s="33" t="s">
        <v>557</v>
      </c>
      <c r="F103" s="35">
        <v>256779415967</v>
      </c>
      <c r="G103" s="33" t="s">
        <v>559</v>
      </c>
      <c r="H103" s="36">
        <v>379.76</v>
      </c>
      <c r="I103" s="37" t="s">
        <v>560</v>
      </c>
      <c r="J103" s="38">
        <v>32659.61</v>
      </c>
      <c r="K103" s="33" t="s">
        <v>561</v>
      </c>
      <c r="L103" s="33" t="s">
        <v>557</v>
      </c>
      <c r="M103" s="54" cm="1">
        <f t="array" ref="M103:N103">_xlfn.XLOOKUP(F103,'Customer Data Vlookup'!$L:$L,'Customer Data Vlookup'!$M:$N,,0)</f>
        <v>0</v>
      </c>
      <c r="N103" s="54">
        <v>32007</v>
      </c>
      <c r="O103" s="54">
        <f t="shared" si="3"/>
        <v>32007</v>
      </c>
      <c r="P103" s="54">
        <f t="shared" si="4"/>
        <v>652.61000000000058</v>
      </c>
      <c r="Q103" s="56">
        <f t="shared" si="5"/>
        <v>1.9982173700175861E-2</v>
      </c>
      <c r="R103" s="33" t="s">
        <v>789</v>
      </c>
      <c r="S103" s="34"/>
      <c r="T103" s="33" t="s">
        <v>558</v>
      </c>
    </row>
    <row r="104" spans="1:21" x14ac:dyDescent="0.35">
      <c r="A104" s="32">
        <v>1800012845</v>
      </c>
      <c r="B104" s="33" t="s">
        <v>563</v>
      </c>
      <c r="C104" s="34">
        <v>45918</v>
      </c>
      <c r="D104" s="34">
        <v>45922</v>
      </c>
      <c r="E104" s="33" t="s">
        <v>557</v>
      </c>
      <c r="F104" s="35">
        <v>256779417410</v>
      </c>
      <c r="G104" s="33" t="s">
        <v>559</v>
      </c>
      <c r="H104" s="36">
        <v>371.84</v>
      </c>
      <c r="I104" s="37" t="s">
        <v>560</v>
      </c>
      <c r="J104" s="38">
        <v>32541.33</v>
      </c>
      <c r="K104" s="33" t="s">
        <v>561</v>
      </c>
      <c r="L104" s="33" t="s">
        <v>656</v>
      </c>
      <c r="M104" s="54" cm="1">
        <f t="array" ref="M104:N104">_xlfn.XLOOKUP(F104,'Customer Data Vlookup'!$L:$L,'Customer Data Vlookup'!$M:$N,,0)</f>
        <v>0</v>
      </c>
      <c r="N104" s="54">
        <v>29303.298299999999</v>
      </c>
      <c r="O104" s="54">
        <f t="shared" si="3"/>
        <v>29303.298299999999</v>
      </c>
      <c r="P104" s="54">
        <f t="shared" si="4"/>
        <v>3238.0317000000032</v>
      </c>
      <c r="Q104" s="56">
        <f t="shared" si="5"/>
        <v>9.9505204612104145E-2</v>
      </c>
      <c r="R104" s="33" t="s">
        <v>657</v>
      </c>
      <c r="S104" s="34"/>
      <c r="T104" s="33" t="s">
        <v>558</v>
      </c>
    </row>
    <row r="105" spans="1:21" x14ac:dyDescent="0.35">
      <c r="A105" s="32">
        <v>1800003971</v>
      </c>
      <c r="B105" s="33" t="s">
        <v>563</v>
      </c>
      <c r="C105" s="34">
        <v>45736</v>
      </c>
      <c r="D105" s="34">
        <v>45737</v>
      </c>
      <c r="E105" s="33" t="s">
        <v>557</v>
      </c>
      <c r="F105" s="35">
        <v>246779413827</v>
      </c>
      <c r="G105" s="33" t="s">
        <v>559</v>
      </c>
      <c r="H105" s="36">
        <v>375</v>
      </c>
      <c r="I105" s="37" t="s">
        <v>560</v>
      </c>
      <c r="J105" s="38">
        <v>32509.22</v>
      </c>
      <c r="K105" s="33" t="s">
        <v>561</v>
      </c>
      <c r="L105" s="33" t="s">
        <v>557</v>
      </c>
      <c r="M105" s="54" cm="1">
        <f t="array" ref="M105:N105">_xlfn.XLOOKUP(F105,'Customer Data Vlookup'!$L:$L,'Customer Data Vlookup'!$M:$N,,0)</f>
        <v>0</v>
      </c>
      <c r="N105" s="54">
        <v>31723</v>
      </c>
      <c r="O105" s="54">
        <f t="shared" si="3"/>
        <v>31723</v>
      </c>
      <c r="P105" s="54">
        <f t="shared" si="4"/>
        <v>786.22000000000116</v>
      </c>
      <c r="Q105" s="56">
        <f t="shared" si="5"/>
        <v>2.4184523652059357E-2</v>
      </c>
      <c r="R105" s="33" t="s">
        <v>873</v>
      </c>
      <c r="S105" s="34">
        <v>45976</v>
      </c>
      <c r="T105" s="32">
        <v>1400001901</v>
      </c>
      <c r="U105" t="s">
        <v>954</v>
      </c>
    </row>
    <row r="106" spans="1:21" hidden="1" x14ac:dyDescent="0.35">
      <c r="A106" s="32">
        <v>1800015801</v>
      </c>
      <c r="B106" s="33" t="s">
        <v>563</v>
      </c>
      <c r="C106" s="34">
        <v>46027</v>
      </c>
      <c r="D106" s="34">
        <v>46027</v>
      </c>
      <c r="E106" s="33" t="s">
        <v>557</v>
      </c>
      <c r="F106" s="35">
        <v>256779440051</v>
      </c>
      <c r="G106" s="33" t="s">
        <v>559</v>
      </c>
      <c r="H106" s="36">
        <v>358.14</v>
      </c>
      <c r="I106" s="37" t="s">
        <v>560</v>
      </c>
      <c r="J106" s="38">
        <v>32498.75</v>
      </c>
      <c r="K106" s="33" t="s">
        <v>561</v>
      </c>
      <c r="L106" s="33" t="s">
        <v>714</v>
      </c>
      <c r="M106" s="54" t="e" cm="1">
        <f t="array" ref="M106">_xlfn.XLOOKUP(F106,'Customer Data Vlookup'!$L:$L,'Customer Data Vlookup'!$M:$N,,0)</f>
        <v>#N/A</v>
      </c>
      <c r="N106" s="54"/>
      <c r="O106" s="53" t="e">
        <f t="shared" si="3"/>
        <v>#N/A</v>
      </c>
      <c r="P106" s="53" t="e">
        <f t="shared" si="4"/>
        <v>#N/A</v>
      </c>
      <c r="Q106" s="33" t="e">
        <f t="shared" si="5"/>
        <v>#N/A</v>
      </c>
      <c r="R106" s="33" t="s">
        <v>715</v>
      </c>
      <c r="S106" s="34"/>
      <c r="T106" s="33" t="s">
        <v>558</v>
      </c>
    </row>
    <row r="107" spans="1:21" x14ac:dyDescent="0.35">
      <c r="A107" s="32">
        <v>1800015346</v>
      </c>
      <c r="B107" s="33" t="s">
        <v>563</v>
      </c>
      <c r="C107" s="34">
        <v>45996</v>
      </c>
      <c r="D107" s="34">
        <v>46000</v>
      </c>
      <c r="E107" s="33" t="s">
        <v>557</v>
      </c>
      <c r="F107" s="35">
        <v>256779419795</v>
      </c>
      <c r="G107" s="33" t="s">
        <v>559</v>
      </c>
      <c r="H107" s="36">
        <v>356.26</v>
      </c>
      <c r="I107" s="37" t="s">
        <v>560</v>
      </c>
      <c r="J107" s="38">
        <v>31600.31</v>
      </c>
      <c r="K107" s="33" t="s">
        <v>561</v>
      </c>
      <c r="L107" s="33" t="s">
        <v>666</v>
      </c>
      <c r="M107" s="54" cm="1">
        <f t="array" ref="M107:N107">_xlfn.XLOOKUP(F107,'Customer Data Vlookup'!$L:$L,'Customer Data Vlookup'!$M:$N,,0)</f>
        <v>0</v>
      </c>
      <c r="N107" s="54">
        <v>28407.106800000001</v>
      </c>
      <c r="O107" s="54">
        <f t="shared" si="3"/>
        <v>28407.106800000001</v>
      </c>
      <c r="P107" s="54">
        <f t="shared" si="4"/>
        <v>3193.2031999999999</v>
      </c>
      <c r="Q107" s="56">
        <f t="shared" si="5"/>
        <v>0.10104974286644655</v>
      </c>
      <c r="R107" s="33" t="s">
        <v>667</v>
      </c>
      <c r="S107" s="34"/>
      <c r="T107" s="33" t="s">
        <v>558</v>
      </c>
    </row>
    <row r="108" spans="1:21" x14ac:dyDescent="0.35">
      <c r="A108" s="32">
        <v>1800003780</v>
      </c>
      <c r="B108" s="33" t="s">
        <v>563</v>
      </c>
      <c r="C108" s="34">
        <v>45736</v>
      </c>
      <c r="D108" s="34">
        <v>45736</v>
      </c>
      <c r="E108" s="33" t="s">
        <v>557</v>
      </c>
      <c r="F108" s="35">
        <v>246779413702</v>
      </c>
      <c r="G108" s="33" t="s">
        <v>559</v>
      </c>
      <c r="H108" s="36">
        <v>364.25</v>
      </c>
      <c r="I108" s="37" t="s">
        <v>560</v>
      </c>
      <c r="J108" s="38">
        <v>31577.29</v>
      </c>
      <c r="K108" s="33" t="s">
        <v>561</v>
      </c>
      <c r="L108" s="33" t="s">
        <v>557</v>
      </c>
      <c r="M108" s="54" cm="1">
        <f t="array" ref="M108:N108">_xlfn.XLOOKUP(F108,'Customer Data Vlookup'!$L:$L,'Customer Data Vlookup'!$M:$N,,0)</f>
        <v>0</v>
      </c>
      <c r="N108" s="54">
        <v>31577</v>
      </c>
      <c r="O108" s="54">
        <f t="shared" si="3"/>
        <v>31577</v>
      </c>
      <c r="P108" s="54">
        <f t="shared" si="4"/>
        <v>0.29000000000087311</v>
      </c>
      <c r="Q108" s="56">
        <f t="shared" si="5"/>
        <v>9.1838153306022493E-6</v>
      </c>
      <c r="R108" s="33" t="s">
        <v>870</v>
      </c>
      <c r="S108" s="34">
        <v>45976</v>
      </c>
      <c r="T108" s="32">
        <v>1400001901</v>
      </c>
      <c r="U108" t="s">
        <v>954</v>
      </c>
    </row>
    <row r="109" spans="1:21" x14ac:dyDescent="0.35">
      <c r="A109" s="32">
        <v>1800014859</v>
      </c>
      <c r="B109" s="33" t="s">
        <v>563</v>
      </c>
      <c r="C109" s="34">
        <v>45980</v>
      </c>
      <c r="D109" s="34">
        <v>45981</v>
      </c>
      <c r="E109" s="33" t="s">
        <v>557</v>
      </c>
      <c r="F109" s="35">
        <v>256779419364</v>
      </c>
      <c r="G109" s="33" t="s">
        <v>559</v>
      </c>
      <c r="H109" s="36">
        <v>350.75</v>
      </c>
      <c r="I109" s="37" t="s">
        <v>560</v>
      </c>
      <c r="J109" s="38">
        <v>30867.19</v>
      </c>
      <c r="K109" s="33" t="s">
        <v>561</v>
      </c>
      <c r="L109" s="33" t="s">
        <v>769</v>
      </c>
      <c r="M109" s="54" cm="1">
        <f t="array" ref="M109:N109">_xlfn.XLOOKUP(F109,'Customer Data Vlookup'!$L:$L,'Customer Data Vlookup'!$M:$N,,0)</f>
        <v>0</v>
      </c>
      <c r="N109" s="54">
        <v>27787.070400000001</v>
      </c>
      <c r="O109" s="54">
        <f t="shared" si="3"/>
        <v>27787.070400000001</v>
      </c>
      <c r="P109" s="54">
        <f t="shared" si="4"/>
        <v>3080.1195999999982</v>
      </c>
      <c r="Q109" s="56">
        <f t="shared" si="5"/>
        <v>9.9786200169176345E-2</v>
      </c>
      <c r="R109" s="33" t="s">
        <v>770</v>
      </c>
      <c r="S109" s="34"/>
      <c r="T109" s="33" t="s">
        <v>558</v>
      </c>
    </row>
    <row r="110" spans="1:21" hidden="1" x14ac:dyDescent="0.35">
      <c r="A110" s="32">
        <v>1800010769</v>
      </c>
      <c r="B110" s="33" t="s">
        <v>563</v>
      </c>
      <c r="C110" s="34">
        <v>45856</v>
      </c>
      <c r="D110" s="34">
        <v>45859</v>
      </c>
      <c r="E110" s="33" t="s">
        <v>557</v>
      </c>
      <c r="F110" s="35">
        <v>256779415431</v>
      </c>
      <c r="G110" s="33" t="s">
        <v>559</v>
      </c>
      <c r="H110" s="36">
        <v>358.33</v>
      </c>
      <c r="I110" s="37" t="s">
        <v>560</v>
      </c>
      <c r="J110" s="38">
        <v>30816.62</v>
      </c>
      <c r="K110" s="33" t="s">
        <v>561</v>
      </c>
      <c r="L110" s="33" t="s">
        <v>557</v>
      </c>
      <c r="M110" s="54" t="e" cm="1">
        <f t="array" ref="M110">_xlfn.XLOOKUP(F110,'Customer Data Vlookup'!$L:$L,'Customer Data Vlookup'!$M:$N,,0)</f>
        <v>#N/A</v>
      </c>
      <c r="N110" s="54"/>
      <c r="O110" s="53" t="e">
        <f t="shared" si="3"/>
        <v>#N/A</v>
      </c>
      <c r="P110" s="53" t="e">
        <f t="shared" si="4"/>
        <v>#N/A</v>
      </c>
      <c r="Q110" s="33" t="e">
        <f t="shared" si="5"/>
        <v>#N/A</v>
      </c>
      <c r="R110" s="33" t="s">
        <v>851</v>
      </c>
      <c r="S110" s="34"/>
      <c r="T110" s="33" t="s">
        <v>558</v>
      </c>
    </row>
    <row r="111" spans="1:21" x14ac:dyDescent="0.35">
      <c r="A111" s="32">
        <v>1800011887</v>
      </c>
      <c r="B111" s="33" t="s">
        <v>563</v>
      </c>
      <c r="C111" s="34">
        <v>45877</v>
      </c>
      <c r="D111" s="34">
        <v>45877</v>
      </c>
      <c r="E111" s="33" t="s">
        <v>557</v>
      </c>
      <c r="F111" s="35">
        <v>256779416538</v>
      </c>
      <c r="G111" s="33" t="s">
        <v>559</v>
      </c>
      <c r="H111" s="36">
        <v>353.44</v>
      </c>
      <c r="I111" s="37" t="s">
        <v>560</v>
      </c>
      <c r="J111" s="38">
        <v>30406.49</v>
      </c>
      <c r="K111" s="33" t="s">
        <v>561</v>
      </c>
      <c r="L111" s="33" t="s">
        <v>557</v>
      </c>
      <c r="M111" s="54" cm="1">
        <f t="array" ref="M111:N111">_xlfn.XLOOKUP(F111,'Customer Data Vlookup'!$L:$L,'Customer Data Vlookup'!$M:$N,,0)</f>
        <v>0</v>
      </c>
      <c r="N111" s="54">
        <v>27395.431400000001</v>
      </c>
      <c r="O111" s="54">
        <f t="shared" si="3"/>
        <v>27395.431400000001</v>
      </c>
      <c r="P111" s="54">
        <f t="shared" si="4"/>
        <v>3011.0586000000003</v>
      </c>
      <c r="Q111" s="56">
        <f t="shared" si="5"/>
        <v>9.9026839335944403E-2</v>
      </c>
      <c r="R111" s="33" t="s">
        <v>839</v>
      </c>
      <c r="S111" s="34"/>
      <c r="T111" s="33" t="s">
        <v>558</v>
      </c>
    </row>
    <row r="112" spans="1:21" x14ac:dyDescent="0.35">
      <c r="A112" s="32">
        <v>1800015075</v>
      </c>
      <c r="B112" s="33" t="s">
        <v>563</v>
      </c>
      <c r="C112" s="34">
        <v>45981</v>
      </c>
      <c r="D112" s="34">
        <v>45985</v>
      </c>
      <c r="E112" s="33" t="s">
        <v>557</v>
      </c>
      <c r="F112" s="35">
        <v>256779419588</v>
      </c>
      <c r="G112" s="33" t="s">
        <v>559</v>
      </c>
      <c r="H112" s="36">
        <v>339.2</v>
      </c>
      <c r="I112" s="37" t="s">
        <v>560</v>
      </c>
      <c r="J112" s="38">
        <v>29850.75</v>
      </c>
      <c r="K112" s="33" t="s">
        <v>561</v>
      </c>
      <c r="L112" s="33" t="s">
        <v>648</v>
      </c>
      <c r="M112" s="54" cm="1">
        <f t="array" ref="M112:N112">_xlfn.XLOOKUP(F112,'Customer Data Vlookup'!$L:$L,'Customer Data Vlookup'!$M:$N,,0)</f>
        <v>0</v>
      </c>
      <c r="N112" s="54">
        <v>29234.726200000001</v>
      </c>
      <c r="O112" s="54">
        <f t="shared" si="3"/>
        <v>29234.726200000001</v>
      </c>
      <c r="P112" s="54">
        <f t="shared" si="4"/>
        <v>616.02379999999903</v>
      </c>
      <c r="Q112" s="56">
        <f t="shared" si="5"/>
        <v>2.0636794720400628E-2</v>
      </c>
      <c r="R112" s="33" t="s">
        <v>649</v>
      </c>
      <c r="S112" s="34"/>
      <c r="T112" s="33" t="s">
        <v>558</v>
      </c>
    </row>
    <row r="113" spans="1:21" hidden="1" x14ac:dyDescent="0.35">
      <c r="A113" s="32">
        <v>1800013971</v>
      </c>
      <c r="B113" s="33" t="s">
        <v>563</v>
      </c>
      <c r="C113" s="34">
        <v>45950</v>
      </c>
      <c r="D113" s="34">
        <v>45951</v>
      </c>
      <c r="E113" s="33" t="s">
        <v>557</v>
      </c>
      <c r="F113" s="35">
        <v>256779418614</v>
      </c>
      <c r="G113" s="33" t="s">
        <v>559</v>
      </c>
      <c r="H113" s="36">
        <v>338.06</v>
      </c>
      <c r="I113" s="37" t="s">
        <v>560</v>
      </c>
      <c r="J113" s="38">
        <v>29813.77</v>
      </c>
      <c r="K113" s="33" t="s">
        <v>561</v>
      </c>
      <c r="L113" s="33" t="s">
        <v>609</v>
      </c>
      <c r="M113" s="54" t="e" cm="1">
        <f t="array" ref="M113">_xlfn.XLOOKUP(F113,'Customer Data Vlookup'!$L:$L,'Customer Data Vlookup'!$M:$N,,0)</f>
        <v>#N/A</v>
      </c>
      <c r="N113" s="54"/>
      <c r="O113" s="53" t="e">
        <f t="shared" si="3"/>
        <v>#N/A</v>
      </c>
      <c r="P113" s="53" t="e">
        <f t="shared" si="4"/>
        <v>#N/A</v>
      </c>
      <c r="Q113" s="33" t="e">
        <f t="shared" si="5"/>
        <v>#N/A</v>
      </c>
      <c r="R113" s="33" t="s">
        <v>610</v>
      </c>
      <c r="S113" s="34"/>
      <c r="T113" s="33" t="s">
        <v>558</v>
      </c>
    </row>
    <row r="114" spans="1:21" x14ac:dyDescent="0.35">
      <c r="A114" s="32">
        <v>1800014455</v>
      </c>
      <c r="B114" s="33" t="s">
        <v>563</v>
      </c>
      <c r="C114" s="34">
        <v>45966</v>
      </c>
      <c r="D114" s="34">
        <v>45967</v>
      </c>
      <c r="E114" s="33" t="s">
        <v>557</v>
      </c>
      <c r="F114" s="35">
        <v>256779419069</v>
      </c>
      <c r="G114" s="33" t="s">
        <v>559</v>
      </c>
      <c r="H114" s="36">
        <v>337.59</v>
      </c>
      <c r="I114" s="37" t="s">
        <v>560</v>
      </c>
      <c r="J114" s="38">
        <v>29709.06</v>
      </c>
      <c r="K114" s="33" t="s">
        <v>561</v>
      </c>
      <c r="L114" s="33" t="s">
        <v>823</v>
      </c>
      <c r="M114" s="54" cm="1">
        <f t="array" ref="M114:N114">_xlfn.XLOOKUP(F114,'Customer Data Vlookup'!$L:$L,'Customer Data Vlookup'!$M:$N,,0)</f>
        <v>0</v>
      </c>
      <c r="N114" s="54">
        <v>26716.949199999999</v>
      </c>
      <c r="O114" s="54">
        <f t="shared" si="3"/>
        <v>26716.949199999999</v>
      </c>
      <c r="P114" s="54">
        <f t="shared" si="4"/>
        <v>2992.1108000000022</v>
      </c>
      <c r="Q114" s="56">
        <f t="shared" si="5"/>
        <v>0.10071374860059532</v>
      </c>
      <c r="R114" s="33" t="s">
        <v>824</v>
      </c>
      <c r="S114" s="34"/>
      <c r="T114" s="33" t="s">
        <v>558</v>
      </c>
    </row>
    <row r="115" spans="1:21" hidden="1" x14ac:dyDescent="0.35">
      <c r="A115" s="32">
        <v>1800016416</v>
      </c>
      <c r="B115" s="33" t="s">
        <v>563</v>
      </c>
      <c r="C115" s="34">
        <v>46034</v>
      </c>
      <c r="D115" s="34">
        <v>46034</v>
      </c>
      <c r="E115" s="33" t="s">
        <v>738</v>
      </c>
      <c r="F115" s="35">
        <v>256779440229</v>
      </c>
      <c r="G115" s="33" t="s">
        <v>559</v>
      </c>
      <c r="H115" s="36">
        <v>308.79000000000002</v>
      </c>
      <c r="I115" s="37" t="s">
        <v>560</v>
      </c>
      <c r="J115" s="38">
        <v>28020.57</v>
      </c>
      <c r="K115" s="33" t="s">
        <v>561</v>
      </c>
      <c r="L115" s="33" t="s">
        <v>557</v>
      </c>
      <c r="M115" s="54" t="e" cm="1">
        <f t="array" ref="M115">_xlfn.XLOOKUP(F115,'Customer Data Vlookup'!$L:$L,'Customer Data Vlookup'!$M:$N,,0)</f>
        <v>#N/A</v>
      </c>
      <c r="N115" s="54"/>
      <c r="O115" s="53" t="e">
        <f t="shared" si="3"/>
        <v>#N/A</v>
      </c>
      <c r="P115" s="53" t="e">
        <f t="shared" si="4"/>
        <v>#N/A</v>
      </c>
      <c r="Q115" s="33" t="e">
        <f t="shared" si="5"/>
        <v>#N/A</v>
      </c>
      <c r="R115" s="33" t="s">
        <v>739</v>
      </c>
      <c r="S115" s="34"/>
      <c r="T115" s="33" t="s">
        <v>558</v>
      </c>
    </row>
    <row r="116" spans="1:21" x14ac:dyDescent="0.35">
      <c r="A116" s="32">
        <v>1800008050</v>
      </c>
      <c r="B116" s="33" t="s">
        <v>563</v>
      </c>
      <c r="C116" s="34">
        <v>45770</v>
      </c>
      <c r="D116" s="34">
        <v>45776</v>
      </c>
      <c r="E116" s="33" t="s">
        <v>557</v>
      </c>
      <c r="F116" s="35">
        <v>256779412941</v>
      </c>
      <c r="G116" s="33" t="s">
        <v>559</v>
      </c>
      <c r="H116" s="36">
        <v>321.75</v>
      </c>
      <c r="I116" s="37" t="s">
        <v>560</v>
      </c>
      <c r="J116" s="38">
        <v>27967.1</v>
      </c>
      <c r="K116" s="33" t="s">
        <v>561</v>
      </c>
      <c r="L116" s="33" t="s">
        <v>557</v>
      </c>
      <c r="M116" s="54" cm="1">
        <f t="array" ref="M116:N116">_xlfn.XLOOKUP(F116,'Customer Data Vlookup'!$L:$L,'Customer Data Vlookup'!$M:$N,,0)</f>
        <v>0</v>
      </c>
      <c r="N116" s="54">
        <v>27408</v>
      </c>
      <c r="O116" s="54">
        <f t="shared" si="3"/>
        <v>27408</v>
      </c>
      <c r="P116" s="54">
        <f t="shared" si="4"/>
        <v>559.09999999999854</v>
      </c>
      <c r="Q116" s="56">
        <f t="shared" si="5"/>
        <v>1.9991346975553367E-2</v>
      </c>
      <c r="R116" s="33" t="s">
        <v>672</v>
      </c>
      <c r="S116" s="34"/>
      <c r="T116" s="33" t="s">
        <v>558</v>
      </c>
    </row>
    <row r="117" spans="1:21" x14ac:dyDescent="0.35">
      <c r="A117" s="32">
        <v>1800012990</v>
      </c>
      <c r="B117" s="33" t="s">
        <v>563</v>
      </c>
      <c r="C117" s="34">
        <v>45918</v>
      </c>
      <c r="D117" s="34">
        <v>45922</v>
      </c>
      <c r="E117" s="33" t="s">
        <v>557</v>
      </c>
      <c r="F117" s="35">
        <v>256779417525</v>
      </c>
      <c r="G117" s="33" t="s">
        <v>559</v>
      </c>
      <c r="H117" s="36">
        <v>311.37</v>
      </c>
      <c r="I117" s="37" t="s">
        <v>560</v>
      </c>
      <c r="J117" s="38">
        <v>27249.34</v>
      </c>
      <c r="K117" s="33" t="s">
        <v>561</v>
      </c>
      <c r="L117" s="33" t="s">
        <v>660</v>
      </c>
      <c r="M117" s="54" cm="1">
        <f t="array" ref="M117:N117">_xlfn.XLOOKUP(F117,'Customer Data Vlookup'!$L:$L,'Customer Data Vlookup'!$M:$N,,0)</f>
        <v>0</v>
      </c>
      <c r="N117" s="54">
        <v>26724.251</v>
      </c>
      <c r="O117" s="54">
        <f t="shared" si="3"/>
        <v>26724.251</v>
      </c>
      <c r="P117" s="54">
        <f t="shared" si="4"/>
        <v>525.08899999999994</v>
      </c>
      <c r="Q117" s="56">
        <f t="shared" si="5"/>
        <v>1.9269787818714138E-2</v>
      </c>
      <c r="R117" s="33" t="s">
        <v>661</v>
      </c>
      <c r="S117" s="34"/>
      <c r="T117" s="33" t="s">
        <v>558</v>
      </c>
    </row>
    <row r="118" spans="1:21" x14ac:dyDescent="0.35">
      <c r="A118" s="32">
        <v>1800006257</v>
      </c>
      <c r="B118" s="33" t="s">
        <v>563</v>
      </c>
      <c r="C118" s="34">
        <v>45762</v>
      </c>
      <c r="D118" s="34">
        <v>45763</v>
      </c>
      <c r="E118" s="33" t="s">
        <v>557</v>
      </c>
      <c r="F118" s="35">
        <v>256779411148</v>
      </c>
      <c r="G118" s="33" t="s">
        <v>559</v>
      </c>
      <c r="H118" s="36">
        <v>304.01</v>
      </c>
      <c r="I118" s="37" t="s">
        <v>560</v>
      </c>
      <c r="J118" s="38">
        <v>26425.1</v>
      </c>
      <c r="K118" s="33" t="s">
        <v>558</v>
      </c>
      <c r="L118" s="33" t="s">
        <v>557</v>
      </c>
      <c r="M118" s="54" cm="1">
        <f t="array" ref="M118:N118">_xlfn.XLOOKUP(F118,'Customer Data Vlookup'!$L:$L,'Customer Data Vlookup'!$M:$N,,0)</f>
        <v>0</v>
      </c>
      <c r="N118" s="54">
        <v>25546</v>
      </c>
      <c r="O118" s="54">
        <f t="shared" si="3"/>
        <v>25546</v>
      </c>
      <c r="P118" s="54">
        <f t="shared" si="4"/>
        <v>879.09999999999854</v>
      </c>
      <c r="Q118" s="56">
        <f t="shared" si="5"/>
        <v>3.326761298916555E-2</v>
      </c>
      <c r="R118" s="33" t="s">
        <v>771</v>
      </c>
      <c r="S118" s="34"/>
      <c r="T118" s="33" t="s">
        <v>558</v>
      </c>
    </row>
    <row r="119" spans="1:21" x14ac:dyDescent="0.35">
      <c r="A119" s="32">
        <v>1800011901</v>
      </c>
      <c r="B119" s="33" t="s">
        <v>563</v>
      </c>
      <c r="C119" s="34">
        <v>45880</v>
      </c>
      <c r="D119" s="34">
        <v>45881</v>
      </c>
      <c r="E119" s="33" t="s">
        <v>557</v>
      </c>
      <c r="F119" s="35">
        <v>256779416544</v>
      </c>
      <c r="G119" s="33" t="s">
        <v>559</v>
      </c>
      <c r="H119" s="36">
        <v>298.70999999999998</v>
      </c>
      <c r="I119" s="37" t="s">
        <v>560</v>
      </c>
      <c r="J119" s="38">
        <v>25698.06</v>
      </c>
      <c r="K119" s="33" t="s">
        <v>561</v>
      </c>
      <c r="L119" s="33" t="s">
        <v>557</v>
      </c>
      <c r="M119" s="54" cm="1">
        <f t="array" ref="M119:N119">_xlfn.XLOOKUP(F119,'Customer Data Vlookup'!$L:$L,'Customer Data Vlookup'!$M:$N,,0)</f>
        <v>0</v>
      </c>
      <c r="N119" s="54">
        <v>23117.1535</v>
      </c>
      <c r="O119" s="54">
        <f t="shared" si="3"/>
        <v>23117.1535</v>
      </c>
      <c r="P119" s="54">
        <f t="shared" si="4"/>
        <v>2580.906500000001</v>
      </c>
      <c r="Q119" s="56">
        <f t="shared" si="5"/>
        <v>0.10043195867703636</v>
      </c>
      <c r="R119" s="33" t="s">
        <v>775</v>
      </c>
      <c r="S119" s="34"/>
      <c r="T119" s="33" t="s">
        <v>558</v>
      </c>
    </row>
    <row r="120" spans="1:21" x14ac:dyDescent="0.35">
      <c r="A120" s="32">
        <v>1800011903</v>
      </c>
      <c r="B120" s="33" t="s">
        <v>563</v>
      </c>
      <c r="C120" s="34">
        <v>45880</v>
      </c>
      <c r="D120" s="34">
        <v>45881</v>
      </c>
      <c r="E120" s="33" t="s">
        <v>557</v>
      </c>
      <c r="F120" s="35">
        <v>256779416546</v>
      </c>
      <c r="G120" s="33" t="s">
        <v>559</v>
      </c>
      <c r="H120" s="36">
        <v>282.89999999999998</v>
      </c>
      <c r="I120" s="37" t="s">
        <v>560</v>
      </c>
      <c r="J120" s="38">
        <v>24337.919999999998</v>
      </c>
      <c r="K120" s="33" t="s">
        <v>561</v>
      </c>
      <c r="L120" s="33" t="s">
        <v>557</v>
      </c>
      <c r="M120" s="54" cm="1">
        <f t="array" ref="M120:N120">_xlfn.XLOOKUP(F120,'Customer Data Vlookup'!$L:$L,'Customer Data Vlookup'!$M:$N,,0)</f>
        <v>0</v>
      </c>
      <c r="N120" s="54">
        <v>21929.077600000001</v>
      </c>
      <c r="O120" s="54">
        <f t="shared" si="3"/>
        <v>21929.077600000001</v>
      </c>
      <c r="P120" s="54">
        <f t="shared" si="4"/>
        <v>2408.8423999999977</v>
      </c>
      <c r="Q120" s="56">
        <f t="shared" si="5"/>
        <v>9.8974867203113409E-2</v>
      </c>
      <c r="R120" s="33" t="s">
        <v>776</v>
      </c>
      <c r="S120" s="34"/>
      <c r="T120" s="33" t="s">
        <v>558</v>
      </c>
    </row>
    <row r="121" spans="1:21" x14ac:dyDescent="0.35">
      <c r="A121" s="32">
        <v>1800007209</v>
      </c>
      <c r="B121" s="33" t="s">
        <v>563</v>
      </c>
      <c r="C121" s="34">
        <v>45763</v>
      </c>
      <c r="D121" s="34">
        <v>45764</v>
      </c>
      <c r="E121" s="33" t="s">
        <v>557</v>
      </c>
      <c r="F121" s="35">
        <v>256779412100</v>
      </c>
      <c r="G121" s="33" t="s">
        <v>559</v>
      </c>
      <c r="H121" s="36">
        <v>252.98</v>
      </c>
      <c r="I121" s="37" t="s">
        <v>560</v>
      </c>
      <c r="J121" s="38">
        <v>21989.48</v>
      </c>
      <c r="K121" s="33" t="s">
        <v>561</v>
      </c>
      <c r="L121" s="33" t="s">
        <v>557</v>
      </c>
      <c r="M121" s="54" cm="1">
        <f t="array" ref="M121:N121">_xlfn.XLOOKUP(F121,'Customer Data Vlookup'!$L:$L,'Customer Data Vlookup'!$M:$N,,0)</f>
        <v>0</v>
      </c>
      <c r="N121" s="54">
        <v>21549</v>
      </c>
      <c r="O121" s="54">
        <f t="shared" si="3"/>
        <v>21549</v>
      </c>
      <c r="P121" s="54">
        <f t="shared" si="4"/>
        <v>440.47999999999956</v>
      </c>
      <c r="Q121" s="56">
        <f t="shared" si="5"/>
        <v>2.0031396831575808E-2</v>
      </c>
      <c r="R121" s="33" t="s">
        <v>786</v>
      </c>
      <c r="S121" s="34"/>
      <c r="T121" s="33" t="s">
        <v>558</v>
      </c>
    </row>
    <row r="122" spans="1:21" x14ac:dyDescent="0.35">
      <c r="A122" s="32">
        <v>1800001437</v>
      </c>
      <c r="B122" s="33" t="s">
        <v>563</v>
      </c>
      <c r="C122" s="34">
        <v>45729</v>
      </c>
      <c r="D122" s="34">
        <v>45733</v>
      </c>
      <c r="E122" s="33" t="s">
        <v>557</v>
      </c>
      <c r="F122" s="35">
        <v>246779411326</v>
      </c>
      <c r="G122" s="33" t="s">
        <v>559</v>
      </c>
      <c r="H122" s="36">
        <v>245</v>
      </c>
      <c r="I122" s="37" t="s">
        <v>560</v>
      </c>
      <c r="J122" s="38">
        <v>21239.360000000001</v>
      </c>
      <c r="K122" s="33" t="s">
        <v>561</v>
      </c>
      <c r="L122" s="33" t="s">
        <v>557</v>
      </c>
      <c r="M122" s="54" cm="1">
        <f t="array" ref="M122:N122">_xlfn.XLOOKUP(F122,'Customer Data Vlookup'!$L:$L,'Customer Data Vlookup'!$M:$N,,0)</f>
        <v>0</v>
      </c>
      <c r="N122" s="54">
        <v>20874</v>
      </c>
      <c r="O122" s="54">
        <f t="shared" si="3"/>
        <v>20874</v>
      </c>
      <c r="P122" s="54">
        <f t="shared" si="4"/>
        <v>365.36000000000058</v>
      </c>
      <c r="Q122" s="56">
        <f t="shared" si="5"/>
        <v>1.720202491977162E-2</v>
      </c>
      <c r="R122" s="33" t="s">
        <v>857</v>
      </c>
      <c r="S122" s="34">
        <v>45976</v>
      </c>
      <c r="T122" s="32">
        <v>1400001901</v>
      </c>
      <c r="U122" t="s">
        <v>954</v>
      </c>
    </row>
    <row r="123" spans="1:21" x14ac:dyDescent="0.35">
      <c r="A123" s="32">
        <v>1800014964</v>
      </c>
      <c r="B123" s="33" t="s">
        <v>563</v>
      </c>
      <c r="C123" s="34">
        <v>45981</v>
      </c>
      <c r="D123" s="34">
        <v>45982</v>
      </c>
      <c r="E123" s="33" t="s">
        <v>557</v>
      </c>
      <c r="F123" s="35">
        <v>256779419465</v>
      </c>
      <c r="G123" s="33" t="s">
        <v>559</v>
      </c>
      <c r="H123" s="36">
        <v>240.14</v>
      </c>
      <c r="I123" s="37" t="s">
        <v>560</v>
      </c>
      <c r="J123" s="38">
        <v>21133.13</v>
      </c>
      <c r="K123" s="33" t="s">
        <v>561</v>
      </c>
      <c r="L123" s="33" t="s">
        <v>640</v>
      </c>
      <c r="M123" s="54" cm="1">
        <f t="array" ref="M123:N123">_xlfn.XLOOKUP(F123,'Customer Data Vlookup'!$L:$L,'Customer Data Vlookup'!$M:$N,,0)</f>
        <v>0</v>
      </c>
      <c r="N123" s="54">
        <v>20693.117099999999</v>
      </c>
      <c r="O123" s="54">
        <f t="shared" si="3"/>
        <v>20693.117099999999</v>
      </c>
      <c r="P123" s="54">
        <f t="shared" si="4"/>
        <v>440.01290000000154</v>
      </c>
      <c r="Q123" s="56">
        <f t="shared" si="5"/>
        <v>2.082100001277622E-2</v>
      </c>
      <c r="R123" s="33" t="s">
        <v>641</v>
      </c>
      <c r="S123" s="34"/>
      <c r="T123" s="33" t="s">
        <v>558</v>
      </c>
    </row>
    <row r="124" spans="1:21" x14ac:dyDescent="0.35">
      <c r="A124" s="32">
        <v>1800003783</v>
      </c>
      <c r="B124" s="33" t="s">
        <v>563</v>
      </c>
      <c r="C124" s="34">
        <v>45736</v>
      </c>
      <c r="D124" s="34">
        <v>45736</v>
      </c>
      <c r="E124" s="33" t="s">
        <v>557</v>
      </c>
      <c r="F124" s="35">
        <v>246779413705</v>
      </c>
      <c r="G124" s="33" t="s">
        <v>559</v>
      </c>
      <c r="H124" s="36">
        <v>237.35</v>
      </c>
      <c r="I124" s="37" t="s">
        <v>560</v>
      </c>
      <c r="J124" s="38">
        <v>20576.169999999998</v>
      </c>
      <c r="K124" s="33" t="s">
        <v>561</v>
      </c>
      <c r="L124" s="33" t="s">
        <v>557</v>
      </c>
      <c r="M124" s="54" cm="1">
        <f t="array" ref="M124:N124">_xlfn.XLOOKUP(F124,'Customer Data Vlookup'!$L:$L,'Customer Data Vlookup'!$M:$N,,0)</f>
        <v>0</v>
      </c>
      <c r="N124" s="54">
        <v>19429</v>
      </c>
      <c r="O124" s="54">
        <f t="shared" si="3"/>
        <v>19429</v>
      </c>
      <c r="P124" s="54">
        <f t="shared" si="4"/>
        <v>1147.1699999999983</v>
      </c>
      <c r="Q124" s="56">
        <f t="shared" si="5"/>
        <v>5.5752358189108973E-2</v>
      </c>
      <c r="R124" s="33" t="s">
        <v>871</v>
      </c>
      <c r="S124" s="34">
        <v>45976</v>
      </c>
      <c r="T124" s="32">
        <v>1400001901</v>
      </c>
      <c r="U124" t="s">
        <v>954</v>
      </c>
    </row>
    <row r="125" spans="1:21" hidden="1" x14ac:dyDescent="0.35">
      <c r="A125" s="32">
        <v>1800013843</v>
      </c>
      <c r="B125" s="33" t="s">
        <v>563</v>
      </c>
      <c r="C125" s="34">
        <v>45950</v>
      </c>
      <c r="D125" s="34">
        <v>45951</v>
      </c>
      <c r="E125" s="33" t="s">
        <v>557</v>
      </c>
      <c r="F125" s="35">
        <v>256779418661</v>
      </c>
      <c r="G125" s="33" t="s">
        <v>559</v>
      </c>
      <c r="H125" s="36">
        <v>226.3</v>
      </c>
      <c r="I125" s="37" t="s">
        <v>560</v>
      </c>
      <c r="J125" s="38">
        <v>19957.57</v>
      </c>
      <c r="K125" s="33" t="s">
        <v>561</v>
      </c>
      <c r="L125" s="33" t="s">
        <v>613</v>
      </c>
      <c r="M125" s="54" t="e" cm="1">
        <f t="array" ref="M125">_xlfn.XLOOKUP(F125,'Customer Data Vlookup'!$L:$L,'Customer Data Vlookup'!$M:$N,,0)</f>
        <v>#N/A</v>
      </c>
      <c r="N125" s="54"/>
      <c r="O125" s="53" t="e">
        <f t="shared" si="3"/>
        <v>#N/A</v>
      </c>
      <c r="P125" s="53" t="e">
        <f t="shared" si="4"/>
        <v>#N/A</v>
      </c>
      <c r="Q125" s="33" t="e">
        <f t="shared" si="5"/>
        <v>#N/A</v>
      </c>
      <c r="R125" s="33" t="s">
        <v>614</v>
      </c>
      <c r="S125" s="34"/>
      <c r="T125" s="33" t="s">
        <v>558</v>
      </c>
    </row>
    <row r="126" spans="1:21" x14ac:dyDescent="0.35">
      <c r="A126" s="32">
        <v>1800001426</v>
      </c>
      <c r="B126" s="33" t="s">
        <v>563</v>
      </c>
      <c r="C126" s="34">
        <v>45729</v>
      </c>
      <c r="D126" s="34">
        <v>45733</v>
      </c>
      <c r="E126" s="33" t="s">
        <v>557</v>
      </c>
      <c r="F126" s="35">
        <v>246779411339</v>
      </c>
      <c r="G126" s="33" t="s">
        <v>559</v>
      </c>
      <c r="H126" s="36">
        <v>220</v>
      </c>
      <c r="I126" s="37" t="s">
        <v>560</v>
      </c>
      <c r="J126" s="38">
        <v>19072.080000000002</v>
      </c>
      <c r="K126" s="33" t="s">
        <v>561</v>
      </c>
      <c r="L126" s="33" t="s">
        <v>557</v>
      </c>
      <c r="M126" s="54" cm="1">
        <f t="array" ref="M126:N126">_xlfn.XLOOKUP(F126,'Customer Data Vlookup'!$L:$L,'Customer Data Vlookup'!$M:$N,,0)</f>
        <v>0</v>
      </c>
      <c r="N126" s="54">
        <v>17857</v>
      </c>
      <c r="O126" s="54">
        <f t="shared" si="3"/>
        <v>17857</v>
      </c>
      <c r="P126" s="54">
        <f t="shared" si="4"/>
        <v>1215.0800000000017</v>
      </c>
      <c r="Q126" s="56">
        <f t="shared" si="5"/>
        <v>6.3709883767266162E-2</v>
      </c>
      <c r="R126" s="33" t="s">
        <v>856</v>
      </c>
      <c r="S126" s="34">
        <v>45976</v>
      </c>
      <c r="T126" s="32">
        <v>1400001901</v>
      </c>
      <c r="U126" t="s">
        <v>954</v>
      </c>
    </row>
    <row r="127" spans="1:21" x14ac:dyDescent="0.35">
      <c r="A127" s="32">
        <v>1800003960</v>
      </c>
      <c r="B127" s="33" t="s">
        <v>563</v>
      </c>
      <c r="C127" s="34">
        <v>45736</v>
      </c>
      <c r="D127" s="34">
        <v>45737</v>
      </c>
      <c r="E127" s="33" t="s">
        <v>557</v>
      </c>
      <c r="F127" s="35">
        <v>246779413816</v>
      </c>
      <c r="G127" s="33" t="s">
        <v>559</v>
      </c>
      <c r="H127" s="36">
        <v>220</v>
      </c>
      <c r="I127" s="37" t="s">
        <v>560</v>
      </c>
      <c r="J127" s="38">
        <v>19072.080000000002</v>
      </c>
      <c r="K127" s="33" t="s">
        <v>561</v>
      </c>
      <c r="L127" s="33" t="s">
        <v>557</v>
      </c>
      <c r="M127" s="54" cm="1">
        <f t="array" ref="M127:N127">_xlfn.XLOOKUP(F127,'Customer Data Vlookup'!$L:$L,'Customer Data Vlookup'!$M:$N,,0)</f>
        <v>0</v>
      </c>
      <c r="N127" s="54">
        <v>18610</v>
      </c>
      <c r="O127" s="54">
        <f t="shared" si="3"/>
        <v>18610</v>
      </c>
      <c r="P127" s="54">
        <f t="shared" si="4"/>
        <v>462.08000000000175</v>
      </c>
      <c r="Q127" s="56">
        <f t="shared" si="5"/>
        <v>2.4228086291584437E-2</v>
      </c>
      <c r="R127" s="33" t="s">
        <v>872</v>
      </c>
      <c r="S127" s="34">
        <v>45976</v>
      </c>
      <c r="T127" s="32">
        <v>1400001901</v>
      </c>
      <c r="U127" t="s">
        <v>954</v>
      </c>
    </row>
    <row r="128" spans="1:21" hidden="1" x14ac:dyDescent="0.35">
      <c r="A128" s="32">
        <v>1800010648</v>
      </c>
      <c r="B128" s="33" t="s">
        <v>563</v>
      </c>
      <c r="C128" s="34">
        <v>45854</v>
      </c>
      <c r="D128" s="34">
        <v>45855</v>
      </c>
      <c r="E128" s="33" t="s">
        <v>557</v>
      </c>
      <c r="F128" s="35">
        <v>256779415408</v>
      </c>
      <c r="G128" s="33" t="s">
        <v>559</v>
      </c>
      <c r="H128" s="36">
        <v>216.2</v>
      </c>
      <c r="I128" s="37" t="s">
        <v>560</v>
      </c>
      <c r="J128" s="38">
        <v>18742.650000000001</v>
      </c>
      <c r="K128" s="33" t="s">
        <v>561</v>
      </c>
      <c r="L128" s="33" t="s">
        <v>557</v>
      </c>
      <c r="M128" s="54" t="e" cm="1">
        <f t="array" ref="M128">_xlfn.XLOOKUP(F128,'Customer Data Vlookup'!$L:$L,'Customer Data Vlookup'!$M:$N,,0)</f>
        <v>#N/A</v>
      </c>
      <c r="N128" s="54"/>
      <c r="O128" s="53" t="e">
        <f t="shared" si="3"/>
        <v>#N/A</v>
      </c>
      <c r="P128" s="53" t="e">
        <f t="shared" si="4"/>
        <v>#N/A</v>
      </c>
      <c r="Q128" s="33" t="e">
        <f t="shared" si="5"/>
        <v>#N/A</v>
      </c>
      <c r="R128" s="33" t="s">
        <v>568</v>
      </c>
      <c r="S128" s="34">
        <v>45854</v>
      </c>
      <c r="T128" s="32">
        <v>1400000287</v>
      </c>
      <c r="U128" t="s">
        <v>954</v>
      </c>
    </row>
    <row r="129" spans="1:21" x14ac:dyDescent="0.35">
      <c r="A129" s="32">
        <v>1800003779</v>
      </c>
      <c r="B129" s="33" t="s">
        <v>563</v>
      </c>
      <c r="C129" s="34">
        <v>45736</v>
      </c>
      <c r="D129" s="34">
        <v>45736</v>
      </c>
      <c r="E129" s="33" t="s">
        <v>557</v>
      </c>
      <c r="F129" s="35">
        <v>246779413701</v>
      </c>
      <c r="G129" s="33" t="s">
        <v>559</v>
      </c>
      <c r="H129" s="36">
        <v>216.2</v>
      </c>
      <c r="I129" s="37" t="s">
        <v>560</v>
      </c>
      <c r="J129" s="38">
        <v>18742.650000000001</v>
      </c>
      <c r="K129" s="33" t="s">
        <v>561</v>
      </c>
      <c r="L129" s="33" t="s">
        <v>557</v>
      </c>
      <c r="M129" s="54" cm="1">
        <f t="array" ref="M129:N129">_xlfn.XLOOKUP(F129,'Customer Data Vlookup'!$L:$L,'Customer Data Vlookup'!$M:$N,,0)</f>
        <v>0</v>
      </c>
      <c r="N129" s="54">
        <v>18367</v>
      </c>
      <c r="O129" s="54">
        <f t="shared" si="3"/>
        <v>18367</v>
      </c>
      <c r="P129" s="54">
        <f t="shared" si="4"/>
        <v>375.65000000000146</v>
      </c>
      <c r="Q129" s="56">
        <f t="shared" si="5"/>
        <v>2.0042523335814383E-2</v>
      </c>
      <c r="R129" s="33" t="s">
        <v>861</v>
      </c>
      <c r="S129" s="34"/>
      <c r="T129" s="33" t="s">
        <v>558</v>
      </c>
    </row>
    <row r="130" spans="1:21" hidden="1" x14ac:dyDescent="0.35">
      <c r="A130" s="32">
        <v>1400000287</v>
      </c>
      <c r="B130" s="33" t="s">
        <v>888</v>
      </c>
      <c r="C130" s="34">
        <v>45854</v>
      </c>
      <c r="D130" s="34">
        <v>45855</v>
      </c>
      <c r="E130" s="33" t="s">
        <v>557</v>
      </c>
      <c r="F130" s="35" t="s">
        <v>558</v>
      </c>
      <c r="G130" s="33" t="s">
        <v>559</v>
      </c>
      <c r="H130" s="36">
        <v>216.2</v>
      </c>
      <c r="I130" s="37" t="s">
        <v>560</v>
      </c>
      <c r="J130" s="38">
        <v>18742.650000000001</v>
      </c>
      <c r="K130" s="33" t="s">
        <v>561</v>
      </c>
      <c r="L130" s="33" t="s">
        <v>558</v>
      </c>
      <c r="M130" s="54" t="e" cm="1">
        <f t="array" ref="M130">_xlfn.XLOOKUP(F130,'Customer Data Vlookup'!$L:$L,'Customer Data Vlookup'!$M:$N,,0)</f>
        <v>#N/A</v>
      </c>
      <c r="N130" s="54"/>
      <c r="O130" s="53" t="e">
        <f t="shared" si="3"/>
        <v>#N/A</v>
      </c>
      <c r="P130" s="53" t="e">
        <f t="shared" si="4"/>
        <v>#N/A</v>
      </c>
      <c r="Q130" s="33" t="e">
        <f t="shared" si="5"/>
        <v>#N/A</v>
      </c>
      <c r="R130" s="33" t="s">
        <v>558</v>
      </c>
      <c r="S130" s="34">
        <v>45854</v>
      </c>
      <c r="T130" s="32">
        <v>1400000287</v>
      </c>
      <c r="U130" t="s">
        <v>954</v>
      </c>
    </row>
    <row r="131" spans="1:21" x14ac:dyDescent="0.35">
      <c r="A131" s="32">
        <v>1800000353</v>
      </c>
      <c r="B131" s="33" t="s">
        <v>563</v>
      </c>
      <c r="C131" s="34">
        <v>45709</v>
      </c>
      <c r="D131" s="34">
        <v>45716</v>
      </c>
      <c r="E131" s="33" t="s">
        <v>557</v>
      </c>
      <c r="F131" s="35">
        <v>246779410327</v>
      </c>
      <c r="G131" s="33" t="s">
        <v>559</v>
      </c>
      <c r="H131" s="36">
        <v>211.97</v>
      </c>
      <c r="I131" s="37" t="s">
        <v>560</v>
      </c>
      <c r="J131" s="38">
        <v>18293.79</v>
      </c>
      <c r="K131" s="33" t="s">
        <v>561</v>
      </c>
      <c r="L131" s="33" t="s">
        <v>557</v>
      </c>
      <c r="M131" s="54" cm="1">
        <f t="array" ref="M131:N131">_xlfn.XLOOKUP(F131,'Customer Data Vlookup'!$L:$L,'Customer Data Vlookup'!$M:$N,,0)</f>
        <v>0</v>
      </c>
      <c r="N131" s="54">
        <v>16480.710999999999</v>
      </c>
      <c r="O131" s="54">
        <f t="shared" si="3"/>
        <v>16480.710999999999</v>
      </c>
      <c r="P131" s="54">
        <f t="shared" si="4"/>
        <v>1813.0790000000015</v>
      </c>
      <c r="Q131" s="56">
        <f t="shared" si="5"/>
        <v>9.9108987257424591E-2</v>
      </c>
      <c r="R131" s="33" t="s">
        <v>674</v>
      </c>
      <c r="S131" s="34"/>
      <c r="T131" s="33" t="s">
        <v>558</v>
      </c>
    </row>
    <row r="132" spans="1:21" x14ac:dyDescent="0.35">
      <c r="A132" s="32">
        <v>1800017004</v>
      </c>
      <c r="B132" s="33" t="s">
        <v>563</v>
      </c>
      <c r="C132" s="34">
        <v>46044</v>
      </c>
      <c r="D132" s="34">
        <v>46049</v>
      </c>
      <c r="E132" s="33" t="s">
        <v>754</v>
      </c>
      <c r="F132" s="35">
        <v>256779440394</v>
      </c>
      <c r="G132" s="33" t="s">
        <v>559</v>
      </c>
      <c r="H132" s="36">
        <v>200.69</v>
      </c>
      <c r="I132" s="37" t="s">
        <v>560</v>
      </c>
      <c r="J132" s="38">
        <v>18211.240000000002</v>
      </c>
      <c r="K132" s="33" t="s">
        <v>561</v>
      </c>
      <c r="L132" s="33" t="s">
        <v>557</v>
      </c>
      <c r="M132" s="54" cm="1">
        <f t="array" ref="M132:N132">_xlfn.XLOOKUP(F132,'Customer Data Vlookup'!$L:$L,'Customer Data Vlookup'!$M:$N,,0)</f>
        <v>1815</v>
      </c>
      <c r="N132" s="54">
        <v>18211.378000000001</v>
      </c>
      <c r="O132" s="54">
        <f t="shared" ref="O132:O195" si="6">N132-M132</f>
        <v>16396.378000000001</v>
      </c>
      <c r="P132" s="54">
        <f t="shared" ref="P132:P195" si="7">J132-O132</f>
        <v>1814.862000000001</v>
      </c>
      <c r="Q132" s="56">
        <f t="shared" ref="Q132:Q195" si="8">P132/J132</f>
        <v>9.9656146423856964E-2</v>
      </c>
      <c r="R132" s="33" t="s">
        <v>755</v>
      </c>
      <c r="S132" s="34"/>
      <c r="T132" s="33" t="s">
        <v>558</v>
      </c>
    </row>
    <row r="133" spans="1:21" x14ac:dyDescent="0.35">
      <c r="A133" s="32">
        <v>1800004353</v>
      </c>
      <c r="B133" s="33" t="s">
        <v>563</v>
      </c>
      <c r="C133" s="34">
        <v>45736</v>
      </c>
      <c r="D133" s="34">
        <v>45737</v>
      </c>
      <c r="E133" s="33" t="s">
        <v>557</v>
      </c>
      <c r="F133" s="35">
        <v>246779414221</v>
      </c>
      <c r="G133" s="33" t="s">
        <v>559</v>
      </c>
      <c r="H133" s="36">
        <v>209.25</v>
      </c>
      <c r="I133" s="37" t="s">
        <v>560</v>
      </c>
      <c r="J133" s="38">
        <v>18140.150000000001</v>
      </c>
      <c r="K133" s="33" t="s">
        <v>561</v>
      </c>
      <c r="L133" s="33" t="s">
        <v>557</v>
      </c>
      <c r="M133" s="54" cm="1">
        <f t="array" ref="M133:N133">_xlfn.XLOOKUP(F133,'Customer Data Vlookup'!$L:$L,'Customer Data Vlookup'!$M:$N,,0)</f>
        <v>0</v>
      </c>
      <c r="N133" s="54">
        <v>17701</v>
      </c>
      <c r="O133" s="54">
        <f t="shared" si="6"/>
        <v>17701</v>
      </c>
      <c r="P133" s="54">
        <f t="shared" si="7"/>
        <v>439.15000000000146</v>
      </c>
      <c r="Q133" s="56">
        <f t="shared" si="8"/>
        <v>2.420873035779756E-2</v>
      </c>
      <c r="R133" s="33" t="s">
        <v>867</v>
      </c>
      <c r="S133" s="34"/>
      <c r="T133" s="33" t="s">
        <v>558</v>
      </c>
    </row>
    <row r="134" spans="1:21" hidden="1" x14ac:dyDescent="0.35">
      <c r="A134" s="32">
        <v>1800016314</v>
      </c>
      <c r="B134" s="33" t="s">
        <v>563</v>
      </c>
      <c r="C134" s="34">
        <v>46034</v>
      </c>
      <c r="D134" s="34">
        <v>46034</v>
      </c>
      <c r="E134" s="33" t="s">
        <v>733</v>
      </c>
      <c r="F134" s="35">
        <v>256779440167</v>
      </c>
      <c r="G134" s="33" t="s">
        <v>559</v>
      </c>
      <c r="H134" s="36">
        <v>188</v>
      </c>
      <c r="I134" s="37" t="s">
        <v>560</v>
      </c>
      <c r="J134" s="38">
        <v>17059.71</v>
      </c>
      <c r="K134" s="33" t="s">
        <v>561</v>
      </c>
      <c r="L134" s="33" t="s">
        <v>557</v>
      </c>
      <c r="M134" s="54" t="e" cm="1">
        <f t="array" ref="M134">_xlfn.XLOOKUP(F134,'Customer Data Vlookup'!$L:$L,'Customer Data Vlookup'!$M:$N,,0)</f>
        <v>#N/A</v>
      </c>
      <c r="N134" s="54"/>
      <c r="O134" s="53" t="e">
        <f t="shared" si="6"/>
        <v>#N/A</v>
      </c>
      <c r="P134" s="53" t="e">
        <f t="shared" si="7"/>
        <v>#N/A</v>
      </c>
      <c r="Q134" s="33" t="e">
        <f t="shared" si="8"/>
        <v>#N/A</v>
      </c>
      <c r="R134" s="33" t="s">
        <v>734</v>
      </c>
      <c r="S134" s="34"/>
      <c r="T134" s="33" t="s">
        <v>558</v>
      </c>
    </row>
    <row r="135" spans="1:21" x14ac:dyDescent="0.35">
      <c r="A135" s="32">
        <v>1800008280</v>
      </c>
      <c r="B135" s="33" t="s">
        <v>563</v>
      </c>
      <c r="C135" s="34">
        <v>45787</v>
      </c>
      <c r="D135" s="34">
        <v>45792</v>
      </c>
      <c r="E135" s="33" t="s">
        <v>557</v>
      </c>
      <c r="F135" s="35">
        <v>256779413163</v>
      </c>
      <c r="G135" s="33" t="s">
        <v>559</v>
      </c>
      <c r="H135" s="36">
        <v>190.35</v>
      </c>
      <c r="I135" s="37" t="s">
        <v>560</v>
      </c>
      <c r="J135" s="38">
        <v>16367</v>
      </c>
      <c r="K135" s="33" t="s">
        <v>561</v>
      </c>
      <c r="L135" s="33" t="s">
        <v>557</v>
      </c>
      <c r="M135" s="54" cm="1">
        <f t="array" ref="M135:N135">_xlfn.XLOOKUP(F135,'Customer Data Vlookup'!$L:$L,'Customer Data Vlookup'!$M:$N,,0)</f>
        <v>0</v>
      </c>
      <c r="N135" s="54">
        <v>15927</v>
      </c>
      <c r="O135" s="54">
        <f t="shared" si="6"/>
        <v>15927</v>
      </c>
      <c r="P135" s="54">
        <f t="shared" si="7"/>
        <v>440</v>
      </c>
      <c r="Q135" s="56">
        <f t="shared" si="8"/>
        <v>2.6883362864300115E-2</v>
      </c>
      <c r="R135" s="33" t="s">
        <v>684</v>
      </c>
      <c r="S135" s="34"/>
      <c r="T135" s="33" t="s">
        <v>558</v>
      </c>
    </row>
    <row r="136" spans="1:21" x14ac:dyDescent="0.35">
      <c r="A136" s="32">
        <v>1800009524</v>
      </c>
      <c r="B136" s="33" t="s">
        <v>563</v>
      </c>
      <c r="C136" s="34">
        <v>45812</v>
      </c>
      <c r="D136" s="34">
        <v>45817</v>
      </c>
      <c r="E136" s="33" t="s">
        <v>557</v>
      </c>
      <c r="F136" s="35">
        <v>256779414288</v>
      </c>
      <c r="G136" s="33" t="s">
        <v>559</v>
      </c>
      <c r="H136" s="36">
        <v>190</v>
      </c>
      <c r="I136" s="37" t="s">
        <v>560</v>
      </c>
      <c r="J136" s="38">
        <v>16243.25</v>
      </c>
      <c r="K136" s="33" t="s">
        <v>561</v>
      </c>
      <c r="L136" s="33" t="s">
        <v>557</v>
      </c>
      <c r="M136" s="54" cm="1">
        <f t="array" ref="M136:N136">_xlfn.XLOOKUP(F136,'Customer Data Vlookup'!$L:$L,'Customer Data Vlookup'!$M:$N,,0)</f>
        <v>0</v>
      </c>
      <c r="N136" s="54">
        <v>17313</v>
      </c>
      <c r="O136" s="54">
        <f t="shared" si="6"/>
        <v>17313</v>
      </c>
      <c r="P136" s="54">
        <f t="shared" si="7"/>
        <v>-1069.75</v>
      </c>
      <c r="Q136" s="56">
        <f t="shared" si="8"/>
        <v>-6.5858125682975999E-2</v>
      </c>
      <c r="R136" s="33" t="s">
        <v>844</v>
      </c>
      <c r="S136" s="34">
        <v>45976</v>
      </c>
      <c r="T136" s="32">
        <v>1400001901</v>
      </c>
      <c r="U136" t="s">
        <v>954</v>
      </c>
    </row>
    <row r="137" spans="1:21" hidden="1" x14ac:dyDescent="0.35">
      <c r="A137" s="32">
        <v>1800013925</v>
      </c>
      <c r="B137" s="33" t="s">
        <v>563</v>
      </c>
      <c r="C137" s="34">
        <v>45950</v>
      </c>
      <c r="D137" s="34">
        <v>45951</v>
      </c>
      <c r="E137" s="33" t="s">
        <v>557</v>
      </c>
      <c r="F137" s="35">
        <v>256779418702</v>
      </c>
      <c r="G137" s="33" t="s">
        <v>559</v>
      </c>
      <c r="H137" s="36">
        <v>182.87</v>
      </c>
      <c r="I137" s="37" t="s">
        <v>560</v>
      </c>
      <c r="J137" s="38">
        <v>16127.45</v>
      </c>
      <c r="K137" s="33" t="s">
        <v>561</v>
      </c>
      <c r="L137" s="33" t="s">
        <v>615</v>
      </c>
      <c r="M137" s="54" t="e" cm="1">
        <f t="array" ref="M137">_xlfn.XLOOKUP(F137,'Customer Data Vlookup'!$L:$L,'Customer Data Vlookup'!$M:$N,,0)</f>
        <v>#N/A</v>
      </c>
      <c r="N137" s="54"/>
      <c r="O137" s="53" t="e">
        <f t="shared" si="6"/>
        <v>#N/A</v>
      </c>
      <c r="P137" s="53" t="e">
        <f t="shared" si="7"/>
        <v>#N/A</v>
      </c>
      <c r="Q137" s="33" t="e">
        <f t="shared" si="8"/>
        <v>#N/A</v>
      </c>
      <c r="R137" s="33" t="s">
        <v>616</v>
      </c>
      <c r="S137" s="34"/>
      <c r="T137" s="33" t="s">
        <v>558</v>
      </c>
    </row>
    <row r="138" spans="1:21" hidden="1" x14ac:dyDescent="0.35">
      <c r="A138" s="32">
        <v>1800014729</v>
      </c>
      <c r="B138" s="33" t="s">
        <v>563</v>
      </c>
      <c r="C138" s="34">
        <v>45966</v>
      </c>
      <c r="D138" s="34">
        <v>45968</v>
      </c>
      <c r="E138" s="33" t="s">
        <v>829</v>
      </c>
      <c r="F138" s="35">
        <v>256779419230</v>
      </c>
      <c r="G138" s="33" t="s">
        <v>559</v>
      </c>
      <c r="H138" s="36">
        <v>179.58</v>
      </c>
      <c r="I138" s="37" t="s">
        <v>560</v>
      </c>
      <c r="J138" s="38">
        <v>15803.65</v>
      </c>
      <c r="K138" s="33" t="s">
        <v>561</v>
      </c>
      <c r="L138" s="33" t="s">
        <v>557</v>
      </c>
      <c r="M138" s="54" t="e" cm="1">
        <f t="array" ref="M138">_xlfn.XLOOKUP(F138,'Customer Data Vlookup'!$L:$L,'Customer Data Vlookup'!$M:$N,,0)</f>
        <v>#N/A</v>
      </c>
      <c r="N138" s="54"/>
      <c r="O138" s="53" t="e">
        <f t="shared" si="6"/>
        <v>#N/A</v>
      </c>
      <c r="P138" s="53" t="e">
        <f t="shared" si="7"/>
        <v>#N/A</v>
      </c>
      <c r="Q138" s="33" t="e">
        <f t="shared" si="8"/>
        <v>#N/A</v>
      </c>
      <c r="R138" s="33" t="s">
        <v>830</v>
      </c>
      <c r="S138" s="34"/>
      <c r="T138" s="33" t="s">
        <v>558</v>
      </c>
    </row>
    <row r="139" spans="1:21" x14ac:dyDescent="0.35">
      <c r="A139" s="32">
        <v>1800000369</v>
      </c>
      <c r="B139" s="33" t="s">
        <v>563</v>
      </c>
      <c r="C139" s="34">
        <v>45716</v>
      </c>
      <c r="D139" s="34">
        <v>45716</v>
      </c>
      <c r="E139" s="33" t="s">
        <v>557</v>
      </c>
      <c r="F139" s="35">
        <v>246779410338</v>
      </c>
      <c r="G139" s="33" t="s">
        <v>559</v>
      </c>
      <c r="H139" s="36">
        <v>178.6</v>
      </c>
      <c r="I139" s="37" t="s">
        <v>560</v>
      </c>
      <c r="J139" s="38">
        <v>15413.83</v>
      </c>
      <c r="K139" s="33" t="s">
        <v>561</v>
      </c>
      <c r="L139" s="33" t="s">
        <v>557</v>
      </c>
      <c r="M139" s="54" cm="1">
        <f t="array" ref="M139:N139">_xlfn.XLOOKUP(F139,'Customer Data Vlookup'!$L:$L,'Customer Data Vlookup'!$M:$N,,0)</f>
        <v>0</v>
      </c>
      <c r="N139" s="54">
        <v>13859.78</v>
      </c>
      <c r="O139" s="54">
        <f t="shared" si="6"/>
        <v>13859.78</v>
      </c>
      <c r="P139" s="54">
        <f t="shared" si="7"/>
        <v>1554.0499999999993</v>
      </c>
      <c r="Q139" s="56">
        <f t="shared" si="8"/>
        <v>0.10082179445342263</v>
      </c>
      <c r="R139" s="33" t="s">
        <v>919</v>
      </c>
      <c r="S139" s="34"/>
      <c r="T139" s="33" t="s">
        <v>558</v>
      </c>
    </row>
    <row r="140" spans="1:21" x14ac:dyDescent="0.35">
      <c r="A140" s="32">
        <v>1800009994</v>
      </c>
      <c r="B140" s="33" t="s">
        <v>563</v>
      </c>
      <c r="C140" s="34">
        <v>45826</v>
      </c>
      <c r="D140" s="34">
        <v>45829</v>
      </c>
      <c r="E140" s="33" t="s">
        <v>557</v>
      </c>
      <c r="F140" s="35">
        <v>256779414758</v>
      </c>
      <c r="G140" s="33" t="s">
        <v>559</v>
      </c>
      <c r="H140" s="36">
        <v>173.9</v>
      </c>
      <c r="I140" s="37" t="s">
        <v>560</v>
      </c>
      <c r="J140" s="38">
        <v>14866.85</v>
      </c>
      <c r="K140" s="33" t="s">
        <v>561</v>
      </c>
      <c r="L140" s="33" t="s">
        <v>557</v>
      </c>
      <c r="M140" s="54" cm="1">
        <f t="array" ref="M140:N140">_xlfn.XLOOKUP(F140,'Customer Data Vlookup'!$L:$L,'Customer Data Vlookup'!$M:$N,,0)</f>
        <v>0</v>
      </c>
      <c r="N140" s="54">
        <v>14610.374299999999</v>
      </c>
      <c r="O140" s="54">
        <f t="shared" si="6"/>
        <v>14610.374299999999</v>
      </c>
      <c r="P140" s="54">
        <f t="shared" si="7"/>
        <v>256.47570000000087</v>
      </c>
      <c r="Q140" s="56">
        <f t="shared" si="8"/>
        <v>1.7251515956641848E-2</v>
      </c>
      <c r="R140" s="33" t="s">
        <v>628</v>
      </c>
      <c r="S140" s="34"/>
      <c r="T140" s="33" t="s">
        <v>558</v>
      </c>
    </row>
    <row r="141" spans="1:21" x14ac:dyDescent="0.35">
      <c r="A141" s="32">
        <v>1800007577</v>
      </c>
      <c r="B141" s="33" t="s">
        <v>563</v>
      </c>
      <c r="C141" s="34">
        <v>45769</v>
      </c>
      <c r="D141" s="34">
        <v>45770</v>
      </c>
      <c r="E141" s="33" t="s">
        <v>557</v>
      </c>
      <c r="F141" s="35">
        <v>256779412468</v>
      </c>
      <c r="G141" s="33" t="s">
        <v>559</v>
      </c>
      <c r="H141" s="36">
        <v>169.2</v>
      </c>
      <c r="I141" s="37" t="s">
        <v>560</v>
      </c>
      <c r="J141" s="38">
        <v>14707.17</v>
      </c>
      <c r="K141" s="33" t="s">
        <v>561</v>
      </c>
      <c r="L141" s="33" t="s">
        <v>557</v>
      </c>
      <c r="M141" s="54" cm="1">
        <f t="array" ref="M141:N141">_xlfn.XLOOKUP(F141,'Customer Data Vlookup'!$L:$L,'Customer Data Vlookup'!$M:$N,,0)</f>
        <v>0</v>
      </c>
      <c r="N141" s="54">
        <v>14119</v>
      </c>
      <c r="O141" s="54">
        <f t="shared" si="6"/>
        <v>14119</v>
      </c>
      <c r="P141" s="54">
        <f t="shared" si="7"/>
        <v>588.17000000000007</v>
      </c>
      <c r="Q141" s="56">
        <f t="shared" si="8"/>
        <v>3.9992058295375658E-2</v>
      </c>
      <c r="R141" s="33" t="s">
        <v>652</v>
      </c>
      <c r="S141" s="34"/>
      <c r="T141" s="33" t="s">
        <v>558</v>
      </c>
    </row>
    <row r="142" spans="1:21" x14ac:dyDescent="0.35">
      <c r="A142" s="32">
        <v>1800001380</v>
      </c>
      <c r="B142" s="33" t="s">
        <v>563</v>
      </c>
      <c r="C142" s="34">
        <v>45722</v>
      </c>
      <c r="D142" s="34">
        <v>45723</v>
      </c>
      <c r="E142" s="33" t="s">
        <v>557</v>
      </c>
      <c r="F142" s="35">
        <v>246779411249</v>
      </c>
      <c r="G142" s="33" t="s">
        <v>559</v>
      </c>
      <c r="H142" s="36">
        <v>169.2</v>
      </c>
      <c r="I142" s="37" t="s">
        <v>560</v>
      </c>
      <c r="J142" s="38">
        <v>14668.16</v>
      </c>
      <c r="K142" s="33" t="s">
        <v>561</v>
      </c>
      <c r="L142" s="33" t="s">
        <v>557</v>
      </c>
      <c r="M142" s="54" cm="1">
        <f t="array" ref="M142:N142">_xlfn.XLOOKUP(F142,'Customer Data Vlookup'!$L:$L,'Customer Data Vlookup'!$M:$N,,0)</f>
        <v>0</v>
      </c>
      <c r="N142" s="54">
        <v>13737</v>
      </c>
      <c r="O142" s="54">
        <f t="shared" si="6"/>
        <v>13737</v>
      </c>
      <c r="P142" s="54">
        <f t="shared" si="7"/>
        <v>931.15999999999985</v>
      </c>
      <c r="Q142" s="56">
        <f t="shared" si="8"/>
        <v>6.3481718225053441E-2</v>
      </c>
      <c r="R142" s="33" t="s">
        <v>779</v>
      </c>
      <c r="S142" s="34"/>
      <c r="T142" s="33" t="s">
        <v>558</v>
      </c>
    </row>
    <row r="143" spans="1:21" x14ac:dyDescent="0.35">
      <c r="A143" s="32">
        <v>1800014975</v>
      </c>
      <c r="B143" s="33" t="s">
        <v>563</v>
      </c>
      <c r="C143" s="34">
        <v>45981</v>
      </c>
      <c r="D143" s="34">
        <v>45982</v>
      </c>
      <c r="E143" s="33" t="s">
        <v>557</v>
      </c>
      <c r="F143" s="35">
        <v>256779419476</v>
      </c>
      <c r="G143" s="33" t="s">
        <v>559</v>
      </c>
      <c r="H143" s="36">
        <v>162.27000000000001</v>
      </c>
      <c r="I143" s="37" t="s">
        <v>560</v>
      </c>
      <c r="J143" s="38">
        <v>14280.31</v>
      </c>
      <c r="K143" s="33" t="s">
        <v>561</v>
      </c>
      <c r="L143" s="33" t="s">
        <v>640</v>
      </c>
      <c r="M143" s="54" cm="1">
        <f t="array" ref="M143:N143">_xlfn.XLOOKUP(F143,'Customer Data Vlookup'!$L:$L,'Customer Data Vlookup'!$M:$N,,0)</f>
        <v>0</v>
      </c>
      <c r="N143" s="54">
        <v>14016.2999</v>
      </c>
      <c r="O143" s="54">
        <f t="shared" si="6"/>
        <v>14016.2999</v>
      </c>
      <c r="P143" s="54">
        <f t="shared" si="7"/>
        <v>264.01009999999951</v>
      </c>
      <c r="Q143" s="56">
        <f t="shared" si="8"/>
        <v>1.8487700897249396E-2</v>
      </c>
      <c r="R143" s="33" t="s">
        <v>642</v>
      </c>
      <c r="S143" s="34"/>
      <c r="T143" s="33" t="s">
        <v>558</v>
      </c>
    </row>
    <row r="144" spans="1:21" x14ac:dyDescent="0.35">
      <c r="A144" s="32">
        <v>1800006260</v>
      </c>
      <c r="B144" s="33" t="s">
        <v>563</v>
      </c>
      <c r="C144" s="34">
        <v>45762</v>
      </c>
      <c r="D144" s="34">
        <v>45763</v>
      </c>
      <c r="E144" s="33" t="s">
        <v>557</v>
      </c>
      <c r="F144" s="35">
        <v>256779411151</v>
      </c>
      <c r="G144" s="33" t="s">
        <v>559</v>
      </c>
      <c r="H144" s="36">
        <v>160</v>
      </c>
      <c r="I144" s="37" t="s">
        <v>560</v>
      </c>
      <c r="J144" s="38">
        <v>13907.49</v>
      </c>
      <c r="K144" s="33" t="s">
        <v>558</v>
      </c>
      <c r="L144" s="33" t="s">
        <v>557</v>
      </c>
      <c r="M144" s="54" cm="1">
        <f t="array" ref="M144:N144">_xlfn.XLOOKUP(F144,'Customer Data Vlookup'!$L:$L,'Customer Data Vlookup'!$M:$N,,0)</f>
        <v>0</v>
      </c>
      <c r="N144" s="54">
        <v>13629</v>
      </c>
      <c r="O144" s="54">
        <f t="shared" si="6"/>
        <v>13629</v>
      </c>
      <c r="P144" s="54">
        <f t="shared" si="7"/>
        <v>278.48999999999978</v>
      </c>
      <c r="Q144" s="56">
        <f t="shared" si="8"/>
        <v>2.0024461639016083E-2</v>
      </c>
      <c r="R144" s="33" t="s">
        <v>773</v>
      </c>
      <c r="S144" s="34"/>
      <c r="T144" s="33" t="s">
        <v>558</v>
      </c>
    </row>
    <row r="145" spans="1:21" x14ac:dyDescent="0.35">
      <c r="A145" s="32">
        <v>1800006259</v>
      </c>
      <c r="B145" s="33" t="s">
        <v>563</v>
      </c>
      <c r="C145" s="34">
        <v>45762</v>
      </c>
      <c r="D145" s="34">
        <v>45763</v>
      </c>
      <c r="E145" s="33" t="s">
        <v>557</v>
      </c>
      <c r="F145" s="35">
        <v>256779411150</v>
      </c>
      <c r="G145" s="33" t="s">
        <v>559</v>
      </c>
      <c r="H145" s="36">
        <v>158.6</v>
      </c>
      <c r="I145" s="37" t="s">
        <v>560</v>
      </c>
      <c r="J145" s="38">
        <v>13785.8</v>
      </c>
      <c r="K145" s="33" t="s">
        <v>558</v>
      </c>
      <c r="L145" s="33" t="s">
        <v>557</v>
      </c>
      <c r="M145" s="54" cm="1">
        <f t="array" ref="M145:N145">_xlfn.XLOOKUP(F145,'Customer Data Vlookup'!$L:$L,'Customer Data Vlookup'!$M:$N,,0)</f>
        <v>0</v>
      </c>
      <c r="N145" s="54">
        <v>13328</v>
      </c>
      <c r="O145" s="54">
        <f t="shared" si="6"/>
        <v>13328</v>
      </c>
      <c r="P145" s="54">
        <f t="shared" si="7"/>
        <v>457.79999999999927</v>
      </c>
      <c r="Q145" s="56">
        <f t="shared" si="8"/>
        <v>3.320808368030867E-2</v>
      </c>
      <c r="R145" s="33" t="s">
        <v>772</v>
      </c>
      <c r="S145" s="34"/>
      <c r="T145" s="33" t="s">
        <v>558</v>
      </c>
    </row>
    <row r="146" spans="1:21" x14ac:dyDescent="0.35">
      <c r="A146" s="32">
        <v>1800010672</v>
      </c>
      <c r="B146" s="33" t="s">
        <v>563</v>
      </c>
      <c r="C146" s="34">
        <v>45856</v>
      </c>
      <c r="D146" s="34">
        <v>45859</v>
      </c>
      <c r="E146" s="33" t="s">
        <v>557</v>
      </c>
      <c r="F146" s="35">
        <v>256779415456</v>
      </c>
      <c r="G146" s="33" t="s">
        <v>559</v>
      </c>
      <c r="H146" s="36">
        <v>160.24</v>
      </c>
      <c r="I146" s="37" t="s">
        <v>560</v>
      </c>
      <c r="J146" s="38">
        <v>13780.75</v>
      </c>
      <c r="K146" s="33" t="s">
        <v>561</v>
      </c>
      <c r="L146" s="33" t="s">
        <v>557</v>
      </c>
      <c r="M146" s="54" cm="1">
        <f t="array" ref="M146:N146">_xlfn.XLOOKUP(F146,'Customer Data Vlookup'!$L:$L,'Customer Data Vlookup'!$M:$N,,0)</f>
        <v>0</v>
      </c>
      <c r="N146" s="54">
        <v>13522.7454</v>
      </c>
      <c r="O146" s="54">
        <f t="shared" si="6"/>
        <v>13522.7454</v>
      </c>
      <c r="P146" s="54">
        <f t="shared" si="7"/>
        <v>258.00460000000021</v>
      </c>
      <c r="Q146" s="56">
        <f t="shared" si="8"/>
        <v>1.8722101482139958E-2</v>
      </c>
      <c r="R146" s="33" t="s">
        <v>853</v>
      </c>
      <c r="S146" s="34"/>
      <c r="T146" s="33" t="s">
        <v>558</v>
      </c>
    </row>
    <row r="147" spans="1:21" x14ac:dyDescent="0.35">
      <c r="A147" s="32">
        <v>1800008059</v>
      </c>
      <c r="B147" s="33" t="s">
        <v>563</v>
      </c>
      <c r="C147" s="34">
        <v>45770</v>
      </c>
      <c r="D147" s="34">
        <v>45776</v>
      </c>
      <c r="E147" s="33" t="s">
        <v>557</v>
      </c>
      <c r="F147" s="35">
        <v>256779412950</v>
      </c>
      <c r="G147" s="33" t="s">
        <v>559</v>
      </c>
      <c r="H147" s="36">
        <v>155.1</v>
      </c>
      <c r="I147" s="37" t="s">
        <v>560</v>
      </c>
      <c r="J147" s="38">
        <v>13481.57</v>
      </c>
      <c r="K147" s="33" t="s">
        <v>561</v>
      </c>
      <c r="L147" s="33" t="s">
        <v>557</v>
      </c>
      <c r="M147" s="54" cm="1">
        <f t="array" ref="M147:N147">_xlfn.XLOOKUP(F147,'Customer Data Vlookup'!$L:$L,'Customer Data Vlookup'!$M:$N,,0)</f>
        <v>0</v>
      </c>
      <c r="N147" s="54">
        <v>13211</v>
      </c>
      <c r="O147" s="54">
        <f t="shared" si="6"/>
        <v>13211</v>
      </c>
      <c r="P147" s="54">
        <f t="shared" si="7"/>
        <v>270.56999999999971</v>
      </c>
      <c r="Q147" s="56">
        <f t="shared" si="8"/>
        <v>2.0069620971444699E-2</v>
      </c>
      <c r="R147" s="33" t="s">
        <v>671</v>
      </c>
      <c r="S147" s="34"/>
      <c r="T147" s="33" t="s">
        <v>558</v>
      </c>
    </row>
    <row r="148" spans="1:21" hidden="1" x14ac:dyDescent="0.35">
      <c r="A148" s="32">
        <v>1800010281</v>
      </c>
      <c r="B148" s="33" t="s">
        <v>563</v>
      </c>
      <c r="C148" s="34">
        <v>45842</v>
      </c>
      <c r="D148" s="34">
        <v>45847</v>
      </c>
      <c r="E148" s="33" t="s">
        <v>557</v>
      </c>
      <c r="F148" s="35">
        <v>256779415041</v>
      </c>
      <c r="G148" s="33" t="s">
        <v>559</v>
      </c>
      <c r="H148" s="36">
        <v>155.09</v>
      </c>
      <c r="I148" s="37" t="s">
        <v>560</v>
      </c>
      <c r="J148" s="38">
        <v>13337.84</v>
      </c>
      <c r="K148" s="33" t="s">
        <v>561</v>
      </c>
      <c r="L148" s="33" t="s">
        <v>557</v>
      </c>
      <c r="M148" s="54" t="e" cm="1">
        <f t="array" ref="M148">_xlfn.XLOOKUP(F148,'Customer Data Vlookup'!$L:$L,'Customer Data Vlookup'!$M:$N,,0)</f>
        <v>#N/A</v>
      </c>
      <c r="N148" s="54"/>
      <c r="O148" s="53" t="e">
        <f t="shared" si="6"/>
        <v>#N/A</v>
      </c>
      <c r="P148" s="53" t="e">
        <f t="shared" si="7"/>
        <v>#N/A</v>
      </c>
      <c r="Q148" s="33" t="e">
        <f t="shared" si="8"/>
        <v>#N/A</v>
      </c>
      <c r="R148" s="33" t="s">
        <v>809</v>
      </c>
      <c r="S148" s="34"/>
      <c r="T148" s="33" t="s">
        <v>558</v>
      </c>
    </row>
    <row r="149" spans="1:21" x14ac:dyDescent="0.35">
      <c r="A149" s="32">
        <v>1800005274</v>
      </c>
      <c r="B149" s="33" t="s">
        <v>563</v>
      </c>
      <c r="C149" s="34">
        <v>45750</v>
      </c>
      <c r="D149" s="34">
        <v>45752</v>
      </c>
      <c r="E149" s="33" t="s">
        <v>557</v>
      </c>
      <c r="F149" s="35">
        <v>256779410166</v>
      </c>
      <c r="G149" s="33" t="s">
        <v>559</v>
      </c>
      <c r="H149" s="36">
        <v>152.75</v>
      </c>
      <c r="I149" s="37" t="s">
        <v>560</v>
      </c>
      <c r="J149" s="38">
        <v>13277.31</v>
      </c>
      <c r="K149" s="33" t="s">
        <v>558</v>
      </c>
      <c r="L149" s="33" t="s">
        <v>557</v>
      </c>
      <c r="M149" s="54" cm="1">
        <f t="array" ref="M149:N149">_xlfn.XLOOKUP(F149,'Customer Data Vlookup'!$L:$L,'Customer Data Vlookup'!$M:$N,,0)</f>
        <v>0</v>
      </c>
      <c r="N149" s="54">
        <v>13011</v>
      </c>
      <c r="O149" s="54">
        <f t="shared" si="6"/>
        <v>13011</v>
      </c>
      <c r="P149" s="54">
        <f t="shared" si="7"/>
        <v>266.30999999999949</v>
      </c>
      <c r="Q149" s="56">
        <f t="shared" si="8"/>
        <v>2.0057526712865745E-2</v>
      </c>
      <c r="R149" s="33" t="s">
        <v>600</v>
      </c>
      <c r="S149" s="34"/>
      <c r="T149" s="33" t="s">
        <v>558</v>
      </c>
    </row>
    <row r="150" spans="1:21" x14ac:dyDescent="0.35">
      <c r="A150" s="32">
        <v>1800003782</v>
      </c>
      <c r="B150" s="33" t="s">
        <v>563</v>
      </c>
      <c r="C150" s="34">
        <v>45736</v>
      </c>
      <c r="D150" s="34">
        <v>45736</v>
      </c>
      <c r="E150" s="33" t="s">
        <v>557</v>
      </c>
      <c r="F150" s="35">
        <v>246779413704</v>
      </c>
      <c r="G150" s="33" t="s">
        <v>559</v>
      </c>
      <c r="H150" s="36">
        <v>152.75</v>
      </c>
      <c r="I150" s="37" t="s">
        <v>560</v>
      </c>
      <c r="J150" s="38">
        <v>13242.09</v>
      </c>
      <c r="K150" s="33" t="s">
        <v>561</v>
      </c>
      <c r="L150" s="33" t="s">
        <v>557</v>
      </c>
      <c r="M150" s="54" cm="1">
        <f t="array" ref="M150:N150">_xlfn.XLOOKUP(F150,'Customer Data Vlookup'!$L:$L,'Customer Data Vlookup'!$M:$N,,0)</f>
        <v>0</v>
      </c>
      <c r="N150" s="54">
        <v>13011</v>
      </c>
      <c r="O150" s="54">
        <f t="shared" si="6"/>
        <v>13011</v>
      </c>
      <c r="P150" s="54">
        <f t="shared" si="7"/>
        <v>231.09000000000015</v>
      </c>
      <c r="Q150" s="56">
        <f t="shared" si="8"/>
        <v>1.7451172737838222E-2</v>
      </c>
      <c r="R150" s="33" t="s">
        <v>862</v>
      </c>
      <c r="S150" s="34"/>
      <c r="T150" s="33" t="s">
        <v>558</v>
      </c>
    </row>
    <row r="151" spans="1:21" x14ac:dyDescent="0.35">
      <c r="A151" s="32">
        <v>1800008301</v>
      </c>
      <c r="B151" s="33" t="s">
        <v>563</v>
      </c>
      <c r="C151" s="34">
        <v>45787</v>
      </c>
      <c r="D151" s="34">
        <v>45792</v>
      </c>
      <c r="E151" s="33" t="s">
        <v>557</v>
      </c>
      <c r="F151" s="35">
        <v>256779413184</v>
      </c>
      <c r="G151" s="33" t="s">
        <v>559</v>
      </c>
      <c r="H151" s="36">
        <v>151.34</v>
      </c>
      <c r="I151" s="37" t="s">
        <v>560</v>
      </c>
      <c r="J151" s="38">
        <v>13012.77</v>
      </c>
      <c r="K151" s="33" t="s">
        <v>561</v>
      </c>
      <c r="L151" s="33" t="s">
        <v>557</v>
      </c>
      <c r="M151" s="54" cm="1">
        <f t="array" ref="M151:N151">_xlfn.XLOOKUP(F151,'Customer Data Vlookup'!$L:$L,'Customer Data Vlookup'!$M:$N,,0)</f>
        <v>0</v>
      </c>
      <c r="N151" s="54">
        <v>11723.0177</v>
      </c>
      <c r="O151" s="54">
        <f t="shared" si="6"/>
        <v>11723.0177</v>
      </c>
      <c r="P151" s="54">
        <f t="shared" si="7"/>
        <v>1289.7523000000001</v>
      </c>
      <c r="Q151" s="56">
        <f t="shared" si="8"/>
        <v>9.9114354591681872E-2</v>
      </c>
      <c r="R151" s="33" t="s">
        <v>686</v>
      </c>
      <c r="S151" s="34"/>
      <c r="T151" s="33" t="s">
        <v>558</v>
      </c>
    </row>
    <row r="152" spans="1:21" hidden="1" x14ac:dyDescent="0.35">
      <c r="A152" s="32">
        <v>1800017152</v>
      </c>
      <c r="B152" s="33" t="s">
        <v>563</v>
      </c>
      <c r="C152" s="34">
        <v>46049</v>
      </c>
      <c r="D152" s="34">
        <v>46049</v>
      </c>
      <c r="E152" s="33" t="s">
        <v>760</v>
      </c>
      <c r="F152" s="35">
        <v>256779440445</v>
      </c>
      <c r="G152" s="33" t="s">
        <v>559</v>
      </c>
      <c r="H152" s="36">
        <v>137.13999999999999</v>
      </c>
      <c r="I152" s="37" t="s">
        <v>560</v>
      </c>
      <c r="J152" s="38">
        <v>12444.51</v>
      </c>
      <c r="K152" s="33" t="s">
        <v>561</v>
      </c>
      <c r="L152" s="33" t="s">
        <v>557</v>
      </c>
      <c r="M152" s="54" t="e" cm="1">
        <f t="array" ref="M152">_xlfn.XLOOKUP(F152,'Customer Data Vlookup'!$L:$L,'Customer Data Vlookup'!$M:$N,,0)</f>
        <v>#N/A</v>
      </c>
      <c r="N152" s="54"/>
      <c r="O152" s="53" t="e">
        <f t="shared" si="6"/>
        <v>#N/A</v>
      </c>
      <c r="P152" s="53" t="e">
        <f t="shared" si="7"/>
        <v>#N/A</v>
      </c>
      <c r="Q152" s="33" t="e">
        <f t="shared" si="8"/>
        <v>#N/A</v>
      </c>
      <c r="R152" s="33" t="s">
        <v>761</v>
      </c>
      <c r="S152" s="34"/>
      <c r="T152" s="33" t="s">
        <v>558</v>
      </c>
    </row>
    <row r="153" spans="1:21" x14ac:dyDescent="0.35">
      <c r="A153" s="32">
        <v>1800009073</v>
      </c>
      <c r="B153" s="33" t="s">
        <v>563</v>
      </c>
      <c r="C153" s="34">
        <v>45797</v>
      </c>
      <c r="D153" s="34">
        <v>45805</v>
      </c>
      <c r="E153" s="33" t="s">
        <v>557</v>
      </c>
      <c r="F153" s="35">
        <v>256779413837</v>
      </c>
      <c r="G153" s="33" t="s">
        <v>559</v>
      </c>
      <c r="H153" s="36">
        <v>144.52000000000001</v>
      </c>
      <c r="I153" s="37" t="s">
        <v>560</v>
      </c>
      <c r="J153" s="38">
        <v>12426.36</v>
      </c>
      <c r="K153" s="33" t="s">
        <v>561</v>
      </c>
      <c r="L153" s="33" t="s">
        <v>558</v>
      </c>
      <c r="M153" s="54" cm="1">
        <f t="array" ref="M153:N153">_xlfn.XLOOKUP(F153,'Customer Data Vlookup'!$L:$L,'Customer Data Vlookup'!$M:$N,,0)</f>
        <v>0</v>
      </c>
      <c r="N153" s="54">
        <v>12177</v>
      </c>
      <c r="O153" s="54">
        <f t="shared" si="6"/>
        <v>12177</v>
      </c>
      <c r="P153" s="54">
        <f t="shared" si="7"/>
        <v>249.36000000000058</v>
      </c>
      <c r="Q153" s="56">
        <f t="shared" si="8"/>
        <v>2.006701882127997E-2</v>
      </c>
      <c r="R153" s="33" t="s">
        <v>598</v>
      </c>
      <c r="S153" s="34"/>
      <c r="T153" s="33" t="s">
        <v>558</v>
      </c>
    </row>
    <row r="154" spans="1:21" x14ac:dyDescent="0.35">
      <c r="A154" s="32">
        <v>1800007026</v>
      </c>
      <c r="B154" s="33" t="s">
        <v>563</v>
      </c>
      <c r="C154" s="34">
        <v>45763</v>
      </c>
      <c r="D154" s="34">
        <v>45764</v>
      </c>
      <c r="E154" s="33" t="s">
        <v>557</v>
      </c>
      <c r="F154" s="35">
        <v>256779411917</v>
      </c>
      <c r="G154" s="33" t="s">
        <v>559</v>
      </c>
      <c r="H154" s="36">
        <v>140</v>
      </c>
      <c r="I154" s="37" t="s">
        <v>560</v>
      </c>
      <c r="J154" s="38">
        <v>12169.05</v>
      </c>
      <c r="K154" s="33" t="s">
        <v>561</v>
      </c>
      <c r="L154" s="33" t="s">
        <v>557</v>
      </c>
      <c r="M154" s="54" cm="1">
        <f t="array" ref="M154:N154">_xlfn.XLOOKUP(F154,'Customer Data Vlookup'!$L:$L,'Customer Data Vlookup'!$M:$N,,0)</f>
        <v>0</v>
      </c>
      <c r="N154" s="54">
        <v>12169</v>
      </c>
      <c r="O154" s="54">
        <f t="shared" si="6"/>
        <v>12169</v>
      </c>
      <c r="P154" s="54">
        <f t="shared" si="7"/>
        <v>4.9999999999272404E-2</v>
      </c>
      <c r="Q154" s="56">
        <f t="shared" si="8"/>
        <v>4.1087841696165604E-6</v>
      </c>
      <c r="R154" s="33" t="s">
        <v>788</v>
      </c>
      <c r="S154" s="34">
        <v>45976</v>
      </c>
      <c r="T154" s="32">
        <v>1400001901</v>
      </c>
      <c r="U154" t="s">
        <v>954</v>
      </c>
    </row>
    <row r="155" spans="1:21" x14ac:dyDescent="0.35">
      <c r="A155" s="32">
        <v>1800012248</v>
      </c>
      <c r="B155" s="33" t="s">
        <v>563</v>
      </c>
      <c r="C155" s="34">
        <v>45889</v>
      </c>
      <c r="D155" s="34">
        <v>45891</v>
      </c>
      <c r="E155" s="33" t="s">
        <v>557</v>
      </c>
      <c r="F155" s="35">
        <v>256779416844</v>
      </c>
      <c r="G155" s="33" t="s">
        <v>559</v>
      </c>
      <c r="H155" s="36">
        <v>141.4</v>
      </c>
      <c r="I155" s="37" t="s">
        <v>560</v>
      </c>
      <c r="J155" s="38">
        <v>12164.66</v>
      </c>
      <c r="K155" s="33" t="s">
        <v>561</v>
      </c>
      <c r="L155" s="33" t="s">
        <v>557</v>
      </c>
      <c r="M155" s="54" cm="1">
        <f t="array" ref="M155:N155">_xlfn.XLOOKUP(F155,'Customer Data Vlookup'!$L:$L,'Customer Data Vlookup'!$M:$N,,0)</f>
        <v>0</v>
      </c>
      <c r="N155" s="54">
        <v>11922</v>
      </c>
      <c r="O155" s="54">
        <f t="shared" si="6"/>
        <v>11922</v>
      </c>
      <c r="P155" s="54">
        <f t="shared" si="7"/>
        <v>242.65999999999985</v>
      </c>
      <c r="Q155" s="56">
        <f t="shared" si="8"/>
        <v>1.9947947579299369E-2</v>
      </c>
      <c r="R155" s="33" t="s">
        <v>884</v>
      </c>
      <c r="S155" s="34"/>
      <c r="T155" s="33" t="s">
        <v>558</v>
      </c>
    </row>
    <row r="156" spans="1:21" x14ac:dyDescent="0.35">
      <c r="A156" s="32">
        <v>1800011187</v>
      </c>
      <c r="B156" s="33" t="s">
        <v>563</v>
      </c>
      <c r="C156" s="34">
        <v>45862</v>
      </c>
      <c r="D156" s="34">
        <v>45862</v>
      </c>
      <c r="E156" s="33" t="s">
        <v>557</v>
      </c>
      <c r="F156" s="35">
        <v>256779415939</v>
      </c>
      <c r="G156" s="33" t="s">
        <v>559</v>
      </c>
      <c r="H156" s="36">
        <v>140</v>
      </c>
      <c r="I156" s="37" t="s">
        <v>560</v>
      </c>
      <c r="J156" s="38">
        <v>12040.09</v>
      </c>
      <c r="K156" s="33" t="s">
        <v>561</v>
      </c>
      <c r="L156" s="33" t="s">
        <v>557</v>
      </c>
      <c r="M156" s="54" cm="1">
        <f t="array" ref="M156:N156">_xlfn.XLOOKUP(F156,'Customer Data Vlookup'!$L:$L,'Customer Data Vlookup'!$M:$N,,0)</f>
        <v>0</v>
      </c>
      <c r="N156" s="54">
        <v>11782.0918</v>
      </c>
      <c r="O156" s="54">
        <f t="shared" si="6"/>
        <v>11782.0918</v>
      </c>
      <c r="P156" s="54">
        <f t="shared" si="7"/>
        <v>257.9982</v>
      </c>
      <c r="Q156" s="56">
        <f t="shared" si="8"/>
        <v>2.142826174887397E-2</v>
      </c>
      <c r="R156" s="33" t="s">
        <v>619</v>
      </c>
      <c r="S156" s="34"/>
      <c r="T156" s="33" t="s">
        <v>558</v>
      </c>
    </row>
    <row r="157" spans="1:21" hidden="1" x14ac:dyDescent="0.35">
      <c r="A157" s="32">
        <v>1800009097</v>
      </c>
      <c r="B157" s="33" t="s">
        <v>563</v>
      </c>
      <c r="C157" s="34">
        <v>45795</v>
      </c>
      <c r="D157" s="34">
        <v>45805</v>
      </c>
      <c r="E157" s="33" t="s">
        <v>557</v>
      </c>
      <c r="F157" s="35">
        <v>256779413861</v>
      </c>
      <c r="G157" s="33" t="s">
        <v>559</v>
      </c>
      <c r="H157" s="36">
        <v>140</v>
      </c>
      <c r="I157" s="37" t="s">
        <v>560</v>
      </c>
      <c r="J157" s="38">
        <v>12037.72</v>
      </c>
      <c r="K157" s="33" t="s">
        <v>561</v>
      </c>
      <c r="L157" s="33" t="s">
        <v>557</v>
      </c>
      <c r="M157" s="54" t="e" cm="1">
        <f t="array" ref="M157">_xlfn.XLOOKUP(F157,'Customer Data Vlookup'!$L:$L,'Customer Data Vlookup'!$M:$N,,0)</f>
        <v>#N/A</v>
      </c>
      <c r="N157" s="54"/>
      <c r="O157" s="53" t="e">
        <f t="shared" si="6"/>
        <v>#N/A</v>
      </c>
      <c r="P157" s="53" t="e">
        <f t="shared" si="7"/>
        <v>#N/A</v>
      </c>
      <c r="Q157" s="33" t="e">
        <f t="shared" si="8"/>
        <v>#N/A</v>
      </c>
      <c r="R157" s="33" t="s">
        <v>619</v>
      </c>
      <c r="S157" s="34">
        <v>45976</v>
      </c>
      <c r="T157" s="32">
        <v>1400001901</v>
      </c>
      <c r="U157" t="s">
        <v>954</v>
      </c>
    </row>
    <row r="158" spans="1:21" x14ac:dyDescent="0.35">
      <c r="A158" s="32">
        <v>1800008519</v>
      </c>
      <c r="B158" s="33" t="s">
        <v>563</v>
      </c>
      <c r="C158" s="34">
        <v>45793</v>
      </c>
      <c r="D158" s="34">
        <v>45800</v>
      </c>
      <c r="E158" s="33" t="s">
        <v>557</v>
      </c>
      <c r="F158" s="35">
        <v>256779413283</v>
      </c>
      <c r="G158" s="33" t="s">
        <v>559</v>
      </c>
      <c r="H158" s="36">
        <v>140</v>
      </c>
      <c r="I158" s="37" t="s">
        <v>560</v>
      </c>
      <c r="J158" s="38">
        <v>12037.72</v>
      </c>
      <c r="K158" s="33" t="s">
        <v>561</v>
      </c>
      <c r="L158" s="33" t="s">
        <v>557</v>
      </c>
      <c r="M158" s="54" cm="1">
        <f t="array" ref="M158:N158">_xlfn.XLOOKUP(F158,'Customer Data Vlookup'!$L:$L,'Customer Data Vlookup'!$M:$N,,0)</f>
        <v>0</v>
      </c>
      <c r="N158" s="54">
        <v>11797</v>
      </c>
      <c r="O158" s="54">
        <f t="shared" si="6"/>
        <v>11797</v>
      </c>
      <c r="P158" s="54">
        <f t="shared" si="7"/>
        <v>240.71999999999935</v>
      </c>
      <c r="Q158" s="56">
        <f t="shared" si="8"/>
        <v>1.9997142315986694E-2</v>
      </c>
      <c r="R158" s="33" t="s">
        <v>849</v>
      </c>
      <c r="S158" s="34">
        <v>45976</v>
      </c>
      <c r="T158" s="32">
        <v>1400001901</v>
      </c>
      <c r="U158" t="s">
        <v>954</v>
      </c>
    </row>
    <row r="159" spans="1:21" x14ac:dyDescent="0.35">
      <c r="A159" s="32">
        <v>1800008289</v>
      </c>
      <c r="B159" s="33" t="s">
        <v>563</v>
      </c>
      <c r="C159" s="34">
        <v>45787</v>
      </c>
      <c r="D159" s="34">
        <v>45792</v>
      </c>
      <c r="E159" s="33" t="s">
        <v>557</v>
      </c>
      <c r="F159" s="35">
        <v>256779413172</v>
      </c>
      <c r="G159" s="33" t="s">
        <v>559</v>
      </c>
      <c r="H159" s="36">
        <v>138.65</v>
      </c>
      <c r="I159" s="37" t="s">
        <v>560</v>
      </c>
      <c r="J159" s="38">
        <v>11921.64</v>
      </c>
      <c r="K159" s="33" t="s">
        <v>561</v>
      </c>
      <c r="L159" s="33" t="s">
        <v>557</v>
      </c>
      <c r="M159" s="54" cm="1">
        <f t="array" ref="M159:N159">_xlfn.XLOOKUP(F159,'Customer Data Vlookup'!$L:$L,'Customer Data Vlookup'!$M:$N,,0)</f>
        <v>0</v>
      </c>
      <c r="N159" s="54">
        <v>11810</v>
      </c>
      <c r="O159" s="54">
        <f t="shared" si="6"/>
        <v>11810</v>
      </c>
      <c r="P159" s="54">
        <f t="shared" si="7"/>
        <v>111.63999999999942</v>
      </c>
      <c r="Q159" s="56">
        <f t="shared" si="8"/>
        <v>9.3644834100005889E-3</v>
      </c>
      <c r="R159" s="33" t="s">
        <v>685</v>
      </c>
      <c r="S159" s="34"/>
      <c r="T159" s="33" t="s">
        <v>558</v>
      </c>
    </row>
    <row r="160" spans="1:21" x14ac:dyDescent="0.35">
      <c r="A160" s="32">
        <v>1800015437</v>
      </c>
      <c r="B160" s="33" t="s">
        <v>563</v>
      </c>
      <c r="C160" s="34">
        <v>45997</v>
      </c>
      <c r="D160" s="34">
        <v>46000</v>
      </c>
      <c r="E160" s="33" t="s">
        <v>557</v>
      </c>
      <c r="F160" s="35">
        <v>256779419933</v>
      </c>
      <c r="G160" s="33" t="s">
        <v>559</v>
      </c>
      <c r="H160" s="36">
        <v>131.26</v>
      </c>
      <c r="I160" s="37" t="s">
        <v>560</v>
      </c>
      <c r="J160" s="38">
        <v>11642.78</v>
      </c>
      <c r="K160" s="33" t="s">
        <v>561</v>
      </c>
      <c r="L160" s="33" t="s">
        <v>688</v>
      </c>
      <c r="M160" s="54" cm="1">
        <f t="array" ref="M160:N160">_xlfn.XLOOKUP(F160,'Customer Data Vlookup'!$L:$L,'Customer Data Vlookup'!$M:$N,,0)</f>
        <v>0</v>
      </c>
      <c r="N160" s="54">
        <v>10489.678599999999</v>
      </c>
      <c r="O160" s="54">
        <f t="shared" si="6"/>
        <v>10489.678599999999</v>
      </c>
      <c r="P160" s="54">
        <f t="shared" si="7"/>
        <v>1153.1014000000014</v>
      </c>
      <c r="Q160" s="56">
        <f t="shared" si="8"/>
        <v>9.9040040265297571E-2</v>
      </c>
      <c r="R160" s="33" t="s">
        <v>689</v>
      </c>
      <c r="S160" s="34"/>
      <c r="T160" s="33" t="s">
        <v>558</v>
      </c>
    </row>
    <row r="161" spans="1:21" x14ac:dyDescent="0.35">
      <c r="A161" s="32">
        <v>1800015287</v>
      </c>
      <c r="B161" s="33" t="s">
        <v>563</v>
      </c>
      <c r="C161" s="34">
        <v>45996</v>
      </c>
      <c r="D161" s="34">
        <v>46000</v>
      </c>
      <c r="E161" s="33" t="s">
        <v>557</v>
      </c>
      <c r="F161" s="35">
        <v>256779419916</v>
      </c>
      <c r="G161" s="33" t="s">
        <v>559</v>
      </c>
      <c r="H161" s="36">
        <v>128.31</v>
      </c>
      <c r="I161" s="37" t="s">
        <v>560</v>
      </c>
      <c r="J161" s="38">
        <v>11381.11</v>
      </c>
      <c r="K161" s="33" t="s">
        <v>561</v>
      </c>
      <c r="L161" s="33" t="s">
        <v>668</v>
      </c>
      <c r="M161" s="54" cm="1">
        <f t="array" ref="M161:N161">_xlfn.XLOOKUP(F161,'Customer Data Vlookup'!$L:$L,'Customer Data Vlookup'!$M:$N,,0)</f>
        <v>0</v>
      </c>
      <c r="N161" s="54">
        <v>11115.014499999999</v>
      </c>
      <c r="O161" s="54">
        <f t="shared" si="6"/>
        <v>11115.014499999999</v>
      </c>
      <c r="P161" s="54">
        <f t="shared" si="7"/>
        <v>266.09550000000127</v>
      </c>
      <c r="Q161" s="56">
        <f t="shared" si="8"/>
        <v>2.3380452346036657E-2</v>
      </c>
      <c r="R161" s="33" t="s">
        <v>669</v>
      </c>
      <c r="S161" s="34"/>
      <c r="T161" s="33" t="s">
        <v>558</v>
      </c>
    </row>
    <row r="162" spans="1:21" x14ac:dyDescent="0.35">
      <c r="A162" s="32">
        <v>1800016986</v>
      </c>
      <c r="B162" s="33" t="s">
        <v>563</v>
      </c>
      <c r="C162" s="34">
        <v>46044</v>
      </c>
      <c r="D162" s="34">
        <v>46045</v>
      </c>
      <c r="E162" s="33" t="s">
        <v>557</v>
      </c>
      <c r="F162" s="35">
        <v>256779440392</v>
      </c>
      <c r="G162" s="33" t="s">
        <v>559</v>
      </c>
      <c r="H162" s="36">
        <v>124.68</v>
      </c>
      <c r="I162" s="37" t="s">
        <v>560</v>
      </c>
      <c r="J162" s="38">
        <v>11313.85</v>
      </c>
      <c r="K162" s="33" t="s">
        <v>561</v>
      </c>
      <c r="L162" s="33" t="s">
        <v>752</v>
      </c>
      <c r="M162" s="54" cm="1">
        <f t="array" ref="M162:N162">_xlfn.XLOOKUP(F162,'Customer Data Vlookup'!$L:$L,'Customer Data Vlookup'!$M:$N,,0)</f>
        <v>1089</v>
      </c>
      <c r="N162" s="54">
        <v>11313.937</v>
      </c>
      <c r="O162" s="54">
        <f t="shared" si="6"/>
        <v>10224.937</v>
      </c>
      <c r="P162" s="54">
        <f t="shared" si="7"/>
        <v>1088.9130000000005</v>
      </c>
      <c r="Q162" s="56">
        <f t="shared" si="8"/>
        <v>9.624601704989906E-2</v>
      </c>
      <c r="R162" s="33" t="s">
        <v>753</v>
      </c>
      <c r="S162" s="34"/>
      <c r="T162" s="33" t="s">
        <v>558</v>
      </c>
    </row>
    <row r="163" spans="1:21" x14ac:dyDescent="0.35">
      <c r="A163" s="32">
        <v>1800016101</v>
      </c>
      <c r="B163" s="33" t="s">
        <v>563</v>
      </c>
      <c r="C163" s="34">
        <v>46027</v>
      </c>
      <c r="D163" s="34">
        <v>46027</v>
      </c>
      <c r="E163" s="33" t="s">
        <v>557</v>
      </c>
      <c r="F163" s="35">
        <v>256779440122</v>
      </c>
      <c r="G163" s="33" t="s">
        <v>559</v>
      </c>
      <c r="H163" s="36">
        <v>123.27</v>
      </c>
      <c r="I163" s="37" t="s">
        <v>560</v>
      </c>
      <c r="J163" s="38">
        <v>11185.91</v>
      </c>
      <c r="K163" s="33" t="s">
        <v>561</v>
      </c>
      <c r="L163" s="33" t="s">
        <v>724</v>
      </c>
      <c r="M163" s="54" cm="1">
        <f t="array" ref="M163:N163">_xlfn.XLOOKUP(F163,'Customer Data Vlookup'!$L:$L,'Customer Data Vlookup'!$M:$N,,0)</f>
        <v>181</v>
      </c>
      <c r="N163" s="54">
        <v>11185.420599999999</v>
      </c>
      <c r="O163" s="54">
        <f t="shared" si="6"/>
        <v>11004.420599999999</v>
      </c>
      <c r="P163" s="54">
        <f t="shared" si="7"/>
        <v>181.48940000000039</v>
      </c>
      <c r="Q163" s="56">
        <f t="shared" si="8"/>
        <v>1.6224822119970606E-2</v>
      </c>
      <c r="R163" s="33" t="s">
        <v>725</v>
      </c>
      <c r="S163" s="34"/>
      <c r="T163" s="33" t="s">
        <v>558</v>
      </c>
    </row>
    <row r="164" spans="1:21" x14ac:dyDescent="0.35">
      <c r="A164" s="32">
        <v>1800007570</v>
      </c>
      <c r="B164" s="33" t="s">
        <v>563</v>
      </c>
      <c r="C164" s="34">
        <v>45769</v>
      </c>
      <c r="D164" s="34">
        <v>45770</v>
      </c>
      <c r="E164" s="33" t="s">
        <v>557</v>
      </c>
      <c r="F164" s="35">
        <v>256779412461</v>
      </c>
      <c r="G164" s="33" t="s">
        <v>559</v>
      </c>
      <c r="H164" s="36">
        <v>126.9</v>
      </c>
      <c r="I164" s="37" t="s">
        <v>560</v>
      </c>
      <c r="J164" s="38">
        <v>11030.38</v>
      </c>
      <c r="K164" s="33" t="s">
        <v>561</v>
      </c>
      <c r="L164" s="33" t="s">
        <v>557</v>
      </c>
      <c r="M164" s="54" cm="1">
        <f t="array" ref="M164:N164">_xlfn.XLOOKUP(F164,'Customer Data Vlookup'!$L:$L,'Customer Data Vlookup'!$M:$N,,0)</f>
        <v>0</v>
      </c>
      <c r="N164" s="54">
        <v>10809</v>
      </c>
      <c r="O164" s="54">
        <f t="shared" si="6"/>
        <v>10809</v>
      </c>
      <c r="P164" s="54">
        <f t="shared" si="7"/>
        <v>221.3799999999992</v>
      </c>
      <c r="Q164" s="56">
        <f t="shared" si="8"/>
        <v>2.0070024786090709E-2</v>
      </c>
      <c r="R164" s="33" t="s">
        <v>652</v>
      </c>
      <c r="S164" s="34"/>
      <c r="T164" s="33" t="s">
        <v>558</v>
      </c>
    </row>
    <row r="165" spans="1:21" x14ac:dyDescent="0.35">
      <c r="A165" s="32">
        <v>1800001382</v>
      </c>
      <c r="B165" s="33" t="s">
        <v>563</v>
      </c>
      <c r="C165" s="34">
        <v>45722</v>
      </c>
      <c r="D165" s="34">
        <v>45723</v>
      </c>
      <c r="E165" s="33" t="s">
        <v>557</v>
      </c>
      <c r="F165" s="35">
        <v>246779411251</v>
      </c>
      <c r="G165" s="33" t="s">
        <v>559</v>
      </c>
      <c r="H165" s="36">
        <v>126.9</v>
      </c>
      <c r="I165" s="37" t="s">
        <v>560</v>
      </c>
      <c r="J165" s="38">
        <v>11001.12</v>
      </c>
      <c r="K165" s="33" t="s">
        <v>561</v>
      </c>
      <c r="L165" s="33" t="s">
        <v>557</v>
      </c>
      <c r="M165" s="54" cm="1">
        <f t="array" ref="M165:N165">_xlfn.XLOOKUP(F165,'Customer Data Vlookup'!$L:$L,'Customer Data Vlookup'!$M:$N,,0)</f>
        <v>0</v>
      </c>
      <c r="N165" s="54">
        <v>1599</v>
      </c>
      <c r="O165" s="54">
        <f t="shared" si="6"/>
        <v>1599</v>
      </c>
      <c r="P165" s="54">
        <f t="shared" si="7"/>
        <v>9402.1200000000008</v>
      </c>
      <c r="Q165" s="56">
        <f t="shared" si="8"/>
        <v>0.85465116279069764</v>
      </c>
      <c r="R165" s="33" t="s">
        <v>779</v>
      </c>
      <c r="S165" s="34"/>
      <c r="T165" s="33" t="s">
        <v>558</v>
      </c>
    </row>
    <row r="166" spans="1:21" x14ac:dyDescent="0.35">
      <c r="A166" s="32">
        <v>1800009401</v>
      </c>
      <c r="B166" s="33" t="s">
        <v>563</v>
      </c>
      <c r="C166" s="34">
        <v>45812</v>
      </c>
      <c r="D166" s="34">
        <v>45817</v>
      </c>
      <c r="E166" s="33" t="s">
        <v>557</v>
      </c>
      <c r="F166" s="35">
        <v>256779414165</v>
      </c>
      <c r="G166" s="33" t="s">
        <v>559</v>
      </c>
      <c r="H166" s="36">
        <v>117.5</v>
      </c>
      <c r="I166" s="37" t="s">
        <v>560</v>
      </c>
      <c r="J166" s="38">
        <v>10045.17</v>
      </c>
      <c r="K166" s="33" t="s">
        <v>561</v>
      </c>
      <c r="L166" s="33" t="s">
        <v>557</v>
      </c>
      <c r="M166" s="54" cm="1">
        <f t="array" ref="M166:N166">_xlfn.XLOOKUP(F166,'Customer Data Vlookup'!$L:$L,'Customer Data Vlookup'!$M:$N,,0)</f>
        <v>0</v>
      </c>
      <c r="N166" s="54">
        <v>9844</v>
      </c>
      <c r="O166" s="54">
        <f t="shared" si="6"/>
        <v>9844</v>
      </c>
      <c r="P166" s="54">
        <f t="shared" si="7"/>
        <v>201.17000000000007</v>
      </c>
      <c r="Q166" s="56">
        <f t="shared" si="8"/>
        <v>2.002654011828571E-2</v>
      </c>
      <c r="R166" s="33" t="s">
        <v>841</v>
      </c>
      <c r="S166" s="34"/>
      <c r="T166" s="33" t="s">
        <v>558</v>
      </c>
    </row>
    <row r="167" spans="1:21" x14ac:dyDescent="0.35">
      <c r="A167" s="32">
        <v>1800015096</v>
      </c>
      <c r="B167" s="33" t="s">
        <v>563</v>
      </c>
      <c r="C167" s="34">
        <v>45981</v>
      </c>
      <c r="D167" s="34">
        <v>45985</v>
      </c>
      <c r="E167" s="33" t="s">
        <v>557</v>
      </c>
      <c r="F167" s="35">
        <v>256779419547</v>
      </c>
      <c r="G167" s="33" t="s">
        <v>559</v>
      </c>
      <c r="H167" s="36">
        <v>109.01</v>
      </c>
      <c r="I167" s="37" t="s">
        <v>560</v>
      </c>
      <c r="J167" s="38">
        <v>9593.25</v>
      </c>
      <c r="K167" s="33" t="s">
        <v>561</v>
      </c>
      <c r="L167" s="33" t="s">
        <v>646</v>
      </c>
      <c r="M167" s="54" cm="1">
        <f t="array" ref="M167:N167">_xlfn.XLOOKUP(F167,'Customer Data Vlookup'!$L:$L,'Customer Data Vlookup'!$M:$N,,0)</f>
        <v>0</v>
      </c>
      <c r="N167" s="54">
        <v>9417.2428</v>
      </c>
      <c r="O167" s="54">
        <f t="shared" si="6"/>
        <v>9417.2428</v>
      </c>
      <c r="P167" s="54">
        <f t="shared" si="7"/>
        <v>176.00720000000001</v>
      </c>
      <c r="Q167" s="56">
        <f t="shared" si="8"/>
        <v>1.8346983556146251E-2</v>
      </c>
      <c r="R167" s="33" t="s">
        <v>647</v>
      </c>
      <c r="S167" s="34"/>
      <c r="T167" s="33" t="s">
        <v>558</v>
      </c>
    </row>
    <row r="168" spans="1:21" x14ac:dyDescent="0.35">
      <c r="A168" s="32">
        <v>1800011193</v>
      </c>
      <c r="B168" s="33" t="s">
        <v>563</v>
      </c>
      <c r="C168" s="34">
        <v>45862</v>
      </c>
      <c r="D168" s="34">
        <v>45862</v>
      </c>
      <c r="E168" s="33" t="s">
        <v>557</v>
      </c>
      <c r="F168" s="35">
        <v>256779415945</v>
      </c>
      <c r="G168" s="33" t="s">
        <v>559</v>
      </c>
      <c r="H168" s="36">
        <v>111.15</v>
      </c>
      <c r="I168" s="37" t="s">
        <v>560</v>
      </c>
      <c r="J168" s="38">
        <v>9558.9699999999993</v>
      </c>
      <c r="K168" s="33" t="s">
        <v>561</v>
      </c>
      <c r="L168" s="33" t="s">
        <v>557</v>
      </c>
      <c r="M168" s="54" cm="1">
        <f t="array" ref="M168:N168">_xlfn.XLOOKUP(F168,'Customer Data Vlookup'!$L:$L,'Customer Data Vlookup'!$M:$N,,0)</f>
        <v>0</v>
      </c>
      <c r="N168" s="54">
        <v>9368</v>
      </c>
      <c r="O168" s="54">
        <f t="shared" si="6"/>
        <v>9368</v>
      </c>
      <c r="P168" s="54">
        <f t="shared" si="7"/>
        <v>190.96999999999935</v>
      </c>
      <c r="Q168" s="56">
        <f t="shared" si="8"/>
        <v>1.9978093874130722E-2</v>
      </c>
      <c r="R168" s="33" t="s">
        <v>599</v>
      </c>
      <c r="S168" s="34"/>
      <c r="T168" s="33" t="s">
        <v>558</v>
      </c>
    </row>
    <row r="169" spans="1:21" hidden="1" x14ac:dyDescent="0.35">
      <c r="A169" s="32">
        <v>1800009121</v>
      </c>
      <c r="B169" s="33" t="s">
        <v>563</v>
      </c>
      <c r="C169" s="34">
        <v>45797</v>
      </c>
      <c r="D169" s="34">
        <v>45805</v>
      </c>
      <c r="E169" s="33" t="s">
        <v>557</v>
      </c>
      <c r="F169" s="35">
        <v>256779413885</v>
      </c>
      <c r="G169" s="33" t="s">
        <v>559</v>
      </c>
      <c r="H169" s="36">
        <v>111.15</v>
      </c>
      <c r="I169" s="37" t="s">
        <v>560</v>
      </c>
      <c r="J169" s="38">
        <v>9557.09</v>
      </c>
      <c r="K169" s="33" t="s">
        <v>561</v>
      </c>
      <c r="L169" s="33" t="s">
        <v>557</v>
      </c>
      <c r="M169" s="54" t="e" cm="1">
        <f t="array" ref="M169">_xlfn.XLOOKUP(F169,'Customer Data Vlookup'!$L:$L,'Customer Data Vlookup'!$M:$N,,0)</f>
        <v>#N/A</v>
      </c>
      <c r="N169" s="54"/>
      <c r="O169" s="53" t="e">
        <f t="shared" si="6"/>
        <v>#N/A</v>
      </c>
      <c r="P169" s="53" t="e">
        <f t="shared" si="7"/>
        <v>#N/A</v>
      </c>
      <c r="Q169" s="33" t="e">
        <f t="shared" si="8"/>
        <v>#N/A</v>
      </c>
      <c r="R169" s="33" t="s">
        <v>599</v>
      </c>
      <c r="S169" s="34">
        <v>45976</v>
      </c>
      <c r="T169" s="32">
        <v>1400001901</v>
      </c>
      <c r="U169" t="s">
        <v>954</v>
      </c>
    </row>
    <row r="170" spans="1:21" x14ac:dyDescent="0.35">
      <c r="A170" s="32">
        <v>1800014590</v>
      </c>
      <c r="B170" s="33" t="s">
        <v>563</v>
      </c>
      <c r="C170" s="34">
        <v>45966</v>
      </c>
      <c r="D170" s="34">
        <v>45967</v>
      </c>
      <c r="E170" s="33" t="s">
        <v>557</v>
      </c>
      <c r="F170" s="35">
        <v>256779418897</v>
      </c>
      <c r="G170" s="33" t="s">
        <v>559</v>
      </c>
      <c r="H170" s="36">
        <v>108.45</v>
      </c>
      <c r="I170" s="37" t="s">
        <v>560</v>
      </c>
      <c r="J170" s="38">
        <v>9543.9699999999993</v>
      </c>
      <c r="K170" s="33" t="s">
        <v>561</v>
      </c>
      <c r="L170" s="33" t="s">
        <v>819</v>
      </c>
      <c r="M170" s="54" cm="1">
        <f t="array" ref="M170:N170">_xlfn.XLOOKUP(F170,'Customer Data Vlookup'!$L:$L,'Customer Data Vlookup'!$M:$N,,0)</f>
        <v>0</v>
      </c>
      <c r="N170" s="54">
        <v>9367.9609</v>
      </c>
      <c r="O170" s="54">
        <f t="shared" si="6"/>
        <v>9367.9609</v>
      </c>
      <c r="P170" s="54">
        <f t="shared" si="7"/>
        <v>176.00909999999931</v>
      </c>
      <c r="Q170" s="56">
        <f t="shared" si="8"/>
        <v>1.8441916728573048E-2</v>
      </c>
      <c r="R170" s="33" t="s">
        <v>820</v>
      </c>
      <c r="S170" s="34"/>
      <c r="T170" s="33" t="s">
        <v>558</v>
      </c>
    </row>
    <row r="171" spans="1:21" x14ac:dyDescent="0.35">
      <c r="A171" s="32">
        <v>1800011238</v>
      </c>
      <c r="B171" s="33" t="s">
        <v>563</v>
      </c>
      <c r="C171" s="34">
        <v>45863</v>
      </c>
      <c r="D171" s="34">
        <v>45863</v>
      </c>
      <c r="E171" s="33" t="s">
        <v>557</v>
      </c>
      <c r="F171" s="35">
        <v>256779415970</v>
      </c>
      <c r="G171" s="33" t="s">
        <v>559</v>
      </c>
      <c r="H171" s="36">
        <v>110.92</v>
      </c>
      <c r="I171" s="37" t="s">
        <v>560</v>
      </c>
      <c r="J171" s="38">
        <v>9539.19</v>
      </c>
      <c r="K171" s="33" t="s">
        <v>561</v>
      </c>
      <c r="L171" s="33" t="s">
        <v>557</v>
      </c>
      <c r="M171" s="54" cm="1">
        <f t="array" ref="M171:N171">_xlfn.XLOOKUP(F171,'Customer Data Vlookup'!$L:$L,'Customer Data Vlookup'!$M:$N,,0)</f>
        <v>0</v>
      </c>
      <c r="N171" s="54">
        <v>9348</v>
      </c>
      <c r="O171" s="54">
        <f t="shared" si="6"/>
        <v>9348</v>
      </c>
      <c r="P171" s="54">
        <f t="shared" si="7"/>
        <v>191.19000000000051</v>
      </c>
      <c r="Q171" s="56">
        <f t="shared" si="8"/>
        <v>2.0042582231824767E-2</v>
      </c>
      <c r="R171" s="33" t="s">
        <v>790</v>
      </c>
      <c r="S171" s="34"/>
      <c r="T171" s="33" t="s">
        <v>558</v>
      </c>
    </row>
    <row r="172" spans="1:21" x14ac:dyDescent="0.35">
      <c r="A172" s="32">
        <v>1800011594</v>
      </c>
      <c r="B172" s="33" t="s">
        <v>563</v>
      </c>
      <c r="C172" s="34">
        <v>45877</v>
      </c>
      <c r="D172" s="34">
        <v>45877</v>
      </c>
      <c r="E172" s="33" t="s">
        <v>557</v>
      </c>
      <c r="F172" s="35">
        <v>256779416444</v>
      </c>
      <c r="G172" s="33" t="s">
        <v>559</v>
      </c>
      <c r="H172" s="36">
        <v>109.64</v>
      </c>
      <c r="I172" s="37" t="s">
        <v>560</v>
      </c>
      <c r="J172" s="38">
        <v>9432.34</v>
      </c>
      <c r="K172" s="33" t="s">
        <v>561</v>
      </c>
      <c r="L172" s="33" t="s">
        <v>557</v>
      </c>
      <c r="M172" s="54" cm="1">
        <f t="array" ref="M172:N172">_xlfn.XLOOKUP(F172,'Customer Data Vlookup'!$L:$L,'Customer Data Vlookup'!$M:$N,,0)</f>
        <v>0</v>
      </c>
      <c r="N172" s="54">
        <v>9260.2821000000004</v>
      </c>
      <c r="O172" s="54">
        <f t="shared" si="6"/>
        <v>9260.2821000000004</v>
      </c>
      <c r="P172" s="54">
        <f t="shared" si="7"/>
        <v>172.05789999999979</v>
      </c>
      <c r="Q172" s="56">
        <f t="shared" si="8"/>
        <v>1.8241274169506164E-2</v>
      </c>
      <c r="R172" s="33" t="s">
        <v>837</v>
      </c>
      <c r="S172" s="34"/>
      <c r="T172" s="33" t="s">
        <v>558</v>
      </c>
    </row>
    <row r="173" spans="1:21" x14ac:dyDescent="0.35">
      <c r="A173" s="32">
        <v>1800011705</v>
      </c>
      <c r="B173" s="33" t="s">
        <v>563</v>
      </c>
      <c r="C173" s="34">
        <v>45877</v>
      </c>
      <c r="D173" s="34">
        <v>45877</v>
      </c>
      <c r="E173" s="33" t="s">
        <v>557</v>
      </c>
      <c r="F173" s="35">
        <v>256779416223</v>
      </c>
      <c r="G173" s="33" t="s">
        <v>559</v>
      </c>
      <c r="H173" s="36">
        <v>108.22</v>
      </c>
      <c r="I173" s="37" t="s">
        <v>560</v>
      </c>
      <c r="J173" s="38">
        <v>9310.18</v>
      </c>
      <c r="K173" s="33" t="s">
        <v>561</v>
      </c>
      <c r="L173" s="33" t="s">
        <v>557</v>
      </c>
      <c r="M173" s="54" cm="1">
        <f t="array" ref="M173:N173">_xlfn.XLOOKUP(F173,'Customer Data Vlookup'!$L:$L,'Customer Data Vlookup'!$M:$N,,0)</f>
        <v>0</v>
      </c>
      <c r="N173" s="54">
        <v>9124</v>
      </c>
      <c r="O173" s="54">
        <f t="shared" si="6"/>
        <v>9124</v>
      </c>
      <c r="P173" s="54">
        <f t="shared" si="7"/>
        <v>186.18000000000029</v>
      </c>
      <c r="Q173" s="56">
        <f t="shared" si="8"/>
        <v>1.9997465140308812E-2</v>
      </c>
      <c r="R173" s="33" t="s">
        <v>835</v>
      </c>
      <c r="S173" s="34"/>
      <c r="T173" s="33" t="s">
        <v>558</v>
      </c>
    </row>
    <row r="174" spans="1:21" x14ac:dyDescent="0.35">
      <c r="A174" s="32">
        <v>1800001450</v>
      </c>
      <c r="B174" s="33" t="s">
        <v>563</v>
      </c>
      <c r="C174" s="34">
        <v>45729</v>
      </c>
      <c r="D174" s="34">
        <v>45733</v>
      </c>
      <c r="E174" s="33" t="s">
        <v>557</v>
      </c>
      <c r="F174" s="35">
        <v>246779411314</v>
      </c>
      <c r="G174" s="33" t="s">
        <v>559</v>
      </c>
      <c r="H174" s="36">
        <v>105</v>
      </c>
      <c r="I174" s="37" t="s">
        <v>560</v>
      </c>
      <c r="J174" s="38">
        <v>9102.58</v>
      </c>
      <c r="K174" s="33" t="s">
        <v>561</v>
      </c>
      <c r="L174" s="33" t="s">
        <v>557</v>
      </c>
      <c r="M174" s="54" cm="1">
        <f t="array" ref="M174:N174">_xlfn.XLOOKUP(F174,'Customer Data Vlookup'!$L:$L,'Customer Data Vlookup'!$M:$N,,0)</f>
        <v>0</v>
      </c>
      <c r="N174" s="54">
        <v>8522</v>
      </c>
      <c r="O174" s="54">
        <f t="shared" si="6"/>
        <v>8522</v>
      </c>
      <c r="P174" s="54">
        <f t="shared" si="7"/>
        <v>580.57999999999993</v>
      </c>
      <c r="Q174" s="56">
        <f t="shared" si="8"/>
        <v>6.3781916775243933E-2</v>
      </c>
      <c r="R174" s="33" t="s">
        <v>858</v>
      </c>
      <c r="S174" s="34">
        <v>45976</v>
      </c>
      <c r="T174" s="32">
        <v>1400001901</v>
      </c>
      <c r="U174" t="s">
        <v>954</v>
      </c>
    </row>
    <row r="175" spans="1:21" x14ac:dyDescent="0.35">
      <c r="A175" s="32">
        <v>1800016087</v>
      </c>
      <c r="B175" s="33" t="s">
        <v>563</v>
      </c>
      <c r="C175" s="34">
        <v>46027</v>
      </c>
      <c r="D175" s="34">
        <v>46027</v>
      </c>
      <c r="E175" s="33" t="s">
        <v>722</v>
      </c>
      <c r="F175" s="35">
        <v>256779440118</v>
      </c>
      <c r="G175" s="33" t="s">
        <v>559</v>
      </c>
      <c r="H175" s="36">
        <v>99</v>
      </c>
      <c r="I175" s="37" t="s">
        <v>560</v>
      </c>
      <c r="J175" s="38">
        <v>8983.57</v>
      </c>
      <c r="K175" s="33" t="s">
        <v>561</v>
      </c>
      <c r="L175" s="33" t="s">
        <v>557</v>
      </c>
      <c r="M175" s="54" cm="1">
        <f t="array" ref="M175:N175">_xlfn.XLOOKUP(F175,'Customer Data Vlookup'!$L:$L,'Customer Data Vlookup'!$M:$N,,0)</f>
        <v>181</v>
      </c>
      <c r="N175" s="54">
        <v>8983.0849999999991</v>
      </c>
      <c r="O175" s="54">
        <f t="shared" si="6"/>
        <v>8802.0849999999991</v>
      </c>
      <c r="P175" s="54">
        <f t="shared" si="7"/>
        <v>181.48500000000058</v>
      </c>
      <c r="Q175" s="56">
        <f t="shared" si="8"/>
        <v>2.0201879653634423E-2</v>
      </c>
      <c r="R175" s="33" t="s">
        <v>723</v>
      </c>
      <c r="S175" s="34"/>
      <c r="T175" s="33" t="s">
        <v>558</v>
      </c>
    </row>
    <row r="176" spans="1:21" x14ac:dyDescent="0.35">
      <c r="A176" s="32">
        <v>1800017063</v>
      </c>
      <c r="B176" s="33" t="s">
        <v>563</v>
      </c>
      <c r="C176" s="34">
        <v>46045</v>
      </c>
      <c r="D176" s="34">
        <v>46049</v>
      </c>
      <c r="E176" s="33" t="s">
        <v>756</v>
      </c>
      <c r="F176" s="35">
        <v>256779440413</v>
      </c>
      <c r="G176" s="33" t="s">
        <v>559</v>
      </c>
      <c r="H176" s="36">
        <v>99</v>
      </c>
      <c r="I176" s="37" t="s">
        <v>560</v>
      </c>
      <c r="J176" s="38">
        <v>8983.57</v>
      </c>
      <c r="K176" s="33" t="s">
        <v>561</v>
      </c>
      <c r="L176" s="33" t="s">
        <v>557</v>
      </c>
      <c r="M176" s="54" cm="1">
        <f t="array" ref="M176:N176">_xlfn.XLOOKUP(F176,'Customer Data Vlookup'!$L:$L,'Customer Data Vlookup'!$M:$N,,0)</f>
        <v>181</v>
      </c>
      <c r="N176" s="54">
        <v>8983.0846000000001</v>
      </c>
      <c r="O176" s="54">
        <f t="shared" si="6"/>
        <v>8802.0846000000001</v>
      </c>
      <c r="P176" s="54">
        <f t="shared" si="7"/>
        <v>181.48539999999957</v>
      </c>
      <c r="Q176" s="56">
        <f t="shared" si="8"/>
        <v>2.0201924179362944E-2</v>
      </c>
      <c r="R176" s="33" t="s">
        <v>757</v>
      </c>
      <c r="S176" s="34"/>
      <c r="T176" s="33" t="s">
        <v>558</v>
      </c>
    </row>
    <row r="177" spans="1:20" x14ac:dyDescent="0.35">
      <c r="A177" s="32">
        <v>1800010065</v>
      </c>
      <c r="B177" s="33" t="s">
        <v>563</v>
      </c>
      <c r="C177" s="34">
        <v>45842</v>
      </c>
      <c r="D177" s="34">
        <v>45845</v>
      </c>
      <c r="E177" s="33" t="s">
        <v>557</v>
      </c>
      <c r="F177" s="35">
        <v>256779414829</v>
      </c>
      <c r="G177" s="33" t="s">
        <v>559</v>
      </c>
      <c r="H177" s="36">
        <v>101.95</v>
      </c>
      <c r="I177" s="37" t="s">
        <v>560</v>
      </c>
      <c r="J177" s="38">
        <v>8767.77</v>
      </c>
      <c r="K177" s="33" t="s">
        <v>561</v>
      </c>
      <c r="L177" s="33" t="s">
        <v>557</v>
      </c>
      <c r="M177" s="54" cm="1">
        <f t="array" ref="M177:N177">_xlfn.XLOOKUP(F177,'Customer Data Vlookup'!$L:$L,'Customer Data Vlookup'!$M:$N,,0)</f>
        <v>0</v>
      </c>
      <c r="N177" s="54">
        <v>8595.7669999999998</v>
      </c>
      <c r="O177" s="54">
        <f t="shared" si="6"/>
        <v>8595.7669999999998</v>
      </c>
      <c r="P177" s="54">
        <f t="shared" si="7"/>
        <v>172.00300000000061</v>
      </c>
      <c r="Q177" s="56">
        <f t="shared" si="8"/>
        <v>1.9617645079649741E-2</v>
      </c>
      <c r="R177" s="33" t="s">
        <v>805</v>
      </c>
      <c r="S177" s="34"/>
      <c r="T177" s="33" t="s">
        <v>558</v>
      </c>
    </row>
    <row r="178" spans="1:20" x14ac:dyDescent="0.35">
      <c r="A178" s="32">
        <v>1800009452</v>
      </c>
      <c r="B178" s="33" t="s">
        <v>563</v>
      </c>
      <c r="C178" s="34">
        <v>45812</v>
      </c>
      <c r="D178" s="34">
        <v>45817</v>
      </c>
      <c r="E178" s="33" t="s">
        <v>557</v>
      </c>
      <c r="F178" s="35">
        <v>256779414216</v>
      </c>
      <c r="G178" s="33" t="s">
        <v>559</v>
      </c>
      <c r="H178" s="36">
        <v>100.35</v>
      </c>
      <c r="I178" s="37" t="s">
        <v>560</v>
      </c>
      <c r="J178" s="38">
        <v>8579</v>
      </c>
      <c r="K178" s="33" t="s">
        <v>561</v>
      </c>
      <c r="L178" s="33" t="s">
        <v>557</v>
      </c>
      <c r="M178" s="54" cm="1">
        <f t="array" ref="M178:N178">_xlfn.XLOOKUP(F178,'Customer Data Vlookup'!$L:$L,'Customer Data Vlookup'!$M:$N,,0)</f>
        <v>0</v>
      </c>
      <c r="N178" s="54">
        <v>8407</v>
      </c>
      <c r="O178" s="54">
        <f t="shared" si="6"/>
        <v>8407</v>
      </c>
      <c r="P178" s="54">
        <f t="shared" si="7"/>
        <v>172</v>
      </c>
      <c r="Q178" s="56">
        <f t="shared" si="8"/>
        <v>2.0048956754866534E-2</v>
      </c>
      <c r="R178" s="33" t="s">
        <v>843</v>
      </c>
      <c r="S178" s="34"/>
      <c r="T178" s="33" t="s">
        <v>558</v>
      </c>
    </row>
    <row r="179" spans="1:20" x14ac:dyDescent="0.35">
      <c r="A179" s="32">
        <v>1800010660</v>
      </c>
      <c r="B179" s="33" t="s">
        <v>563</v>
      </c>
      <c r="C179" s="34">
        <v>45856</v>
      </c>
      <c r="D179" s="34">
        <v>45859</v>
      </c>
      <c r="E179" s="33" t="s">
        <v>557</v>
      </c>
      <c r="F179" s="35">
        <v>256779415444</v>
      </c>
      <c r="G179" s="33" t="s">
        <v>559</v>
      </c>
      <c r="H179" s="36">
        <v>99</v>
      </c>
      <c r="I179" s="37" t="s">
        <v>560</v>
      </c>
      <c r="J179" s="38">
        <v>8514.07</v>
      </c>
      <c r="K179" s="33" t="s">
        <v>561</v>
      </c>
      <c r="L179" s="33" t="s">
        <v>557</v>
      </c>
      <c r="M179" s="54" cm="1">
        <f t="array" ref="M179:N179">_xlfn.XLOOKUP(F179,'Customer Data Vlookup'!$L:$L,'Customer Data Vlookup'!$M:$N,,0)</f>
        <v>0</v>
      </c>
      <c r="N179" s="54">
        <v>8342.0650000000005</v>
      </c>
      <c r="O179" s="54">
        <f t="shared" si="6"/>
        <v>8342.0650000000005</v>
      </c>
      <c r="P179" s="54">
        <f t="shared" si="7"/>
        <v>172.0049999999992</v>
      </c>
      <c r="Q179" s="56">
        <f t="shared" si="8"/>
        <v>2.0202441370578254E-2</v>
      </c>
      <c r="R179" s="33" t="s">
        <v>852</v>
      </c>
      <c r="S179" s="34"/>
      <c r="T179" s="33" t="s">
        <v>558</v>
      </c>
    </row>
    <row r="180" spans="1:20" x14ac:dyDescent="0.35">
      <c r="A180" s="32">
        <v>1800007886</v>
      </c>
      <c r="B180" s="33" t="s">
        <v>563</v>
      </c>
      <c r="C180" s="34">
        <v>45771</v>
      </c>
      <c r="D180" s="34">
        <v>45773</v>
      </c>
      <c r="E180" s="33" t="s">
        <v>557</v>
      </c>
      <c r="F180" s="35">
        <v>256779412777</v>
      </c>
      <c r="G180" s="33" t="s">
        <v>559</v>
      </c>
      <c r="H180" s="36">
        <v>95.39</v>
      </c>
      <c r="I180" s="37" t="s">
        <v>560</v>
      </c>
      <c r="J180" s="38">
        <v>8291.4699999999993</v>
      </c>
      <c r="K180" s="33" t="s">
        <v>561</v>
      </c>
      <c r="L180" s="33" t="s">
        <v>557</v>
      </c>
      <c r="M180" s="54" cm="1">
        <f t="array" ref="M180:N180">_xlfn.XLOOKUP(F180,'Customer Data Vlookup'!$L:$L,'Customer Data Vlookup'!$M:$N,,0)</f>
        <v>0</v>
      </c>
      <c r="N180" s="54">
        <v>7981</v>
      </c>
      <c r="O180" s="54">
        <f t="shared" si="6"/>
        <v>7981</v>
      </c>
      <c r="P180" s="54">
        <f t="shared" si="7"/>
        <v>310.46999999999935</v>
      </c>
      <c r="Q180" s="56">
        <f t="shared" si="8"/>
        <v>3.7444506221454024E-2</v>
      </c>
      <c r="R180" s="33" t="s">
        <v>627</v>
      </c>
      <c r="S180" s="34"/>
      <c r="T180" s="33" t="s">
        <v>558</v>
      </c>
    </row>
    <row r="181" spans="1:20" x14ac:dyDescent="0.35">
      <c r="A181" s="32">
        <v>1800015033</v>
      </c>
      <c r="B181" s="33" t="s">
        <v>563</v>
      </c>
      <c r="C181" s="34">
        <v>45981</v>
      </c>
      <c r="D181" s="34">
        <v>45985</v>
      </c>
      <c r="E181" s="33" t="s">
        <v>557</v>
      </c>
      <c r="F181" s="35">
        <v>256779419534</v>
      </c>
      <c r="G181" s="33" t="s">
        <v>559</v>
      </c>
      <c r="H181" s="36">
        <v>90.2</v>
      </c>
      <c r="I181" s="37" t="s">
        <v>560</v>
      </c>
      <c r="J181" s="38">
        <v>7937.91</v>
      </c>
      <c r="K181" s="33" t="s">
        <v>561</v>
      </c>
      <c r="L181" s="33" t="s">
        <v>557</v>
      </c>
      <c r="M181" s="54" cm="1">
        <f t="array" ref="M181:N181">_xlfn.XLOOKUP(F181,'Customer Data Vlookup'!$L:$L,'Customer Data Vlookup'!$M:$N,,0)</f>
        <v>0</v>
      </c>
      <c r="N181" s="54">
        <v>7761.8990000000003</v>
      </c>
      <c r="O181" s="54">
        <f t="shared" si="6"/>
        <v>7761.8990000000003</v>
      </c>
      <c r="P181" s="54">
        <f t="shared" si="7"/>
        <v>176.01099999999951</v>
      </c>
      <c r="Q181" s="56">
        <f t="shared" si="8"/>
        <v>2.217346883499555E-2</v>
      </c>
      <c r="R181" s="33" t="s">
        <v>643</v>
      </c>
      <c r="S181" s="34"/>
      <c r="T181" s="33" t="s">
        <v>558</v>
      </c>
    </row>
    <row r="182" spans="1:20" x14ac:dyDescent="0.35">
      <c r="A182" s="32">
        <v>1800003759</v>
      </c>
      <c r="B182" s="33" t="s">
        <v>563</v>
      </c>
      <c r="C182" s="34">
        <v>45736</v>
      </c>
      <c r="D182" s="34">
        <v>45736</v>
      </c>
      <c r="E182" s="33" t="s">
        <v>557</v>
      </c>
      <c r="F182" s="35">
        <v>246779413626</v>
      </c>
      <c r="G182" s="33" t="s">
        <v>559</v>
      </c>
      <c r="H182" s="36">
        <v>84.6</v>
      </c>
      <c r="I182" s="37" t="s">
        <v>560</v>
      </c>
      <c r="J182" s="38">
        <v>7334.08</v>
      </c>
      <c r="K182" s="33" t="s">
        <v>561</v>
      </c>
      <c r="L182" s="33" t="s">
        <v>557</v>
      </c>
      <c r="M182" s="54" cm="1">
        <f t="array" ref="M182:N182">_xlfn.XLOOKUP(F182,'Customer Data Vlookup'!$L:$L,'Customer Data Vlookup'!$M:$N,,0)</f>
        <v>0</v>
      </c>
      <c r="N182" s="54">
        <v>7156</v>
      </c>
      <c r="O182" s="54">
        <f t="shared" si="6"/>
        <v>7156</v>
      </c>
      <c r="P182" s="54">
        <f t="shared" si="7"/>
        <v>178.07999999999993</v>
      </c>
      <c r="Q182" s="56">
        <f t="shared" si="8"/>
        <v>2.4281164099655299E-2</v>
      </c>
      <c r="R182" s="33" t="s">
        <v>860</v>
      </c>
      <c r="S182" s="34"/>
      <c r="T182" s="33" t="s">
        <v>558</v>
      </c>
    </row>
    <row r="183" spans="1:20" x14ac:dyDescent="0.35">
      <c r="A183" s="32">
        <v>1800003831</v>
      </c>
      <c r="B183" s="33" t="s">
        <v>563</v>
      </c>
      <c r="C183" s="34">
        <v>45736</v>
      </c>
      <c r="D183" s="34">
        <v>45736</v>
      </c>
      <c r="E183" s="33" t="s">
        <v>557</v>
      </c>
      <c r="F183" s="35">
        <v>246779413693</v>
      </c>
      <c r="G183" s="33" t="s">
        <v>559</v>
      </c>
      <c r="H183" s="36">
        <v>84.6</v>
      </c>
      <c r="I183" s="37" t="s">
        <v>560</v>
      </c>
      <c r="J183" s="38">
        <v>7334.08</v>
      </c>
      <c r="K183" s="33" t="s">
        <v>561</v>
      </c>
      <c r="L183" s="33" t="s">
        <v>557</v>
      </c>
      <c r="M183" s="54" cm="1">
        <f t="array" ref="M183:N183">_xlfn.XLOOKUP(F183,'Customer Data Vlookup'!$L:$L,'Customer Data Vlookup'!$M:$N,,0)</f>
        <v>0</v>
      </c>
      <c r="N183" s="54">
        <v>6896</v>
      </c>
      <c r="O183" s="54">
        <f t="shared" si="6"/>
        <v>6896</v>
      </c>
      <c r="P183" s="54">
        <f t="shared" si="7"/>
        <v>438.07999999999993</v>
      </c>
      <c r="Q183" s="56">
        <f t="shared" si="8"/>
        <v>5.973210000436318E-2</v>
      </c>
      <c r="R183" s="33" t="s">
        <v>860</v>
      </c>
      <c r="S183" s="34"/>
      <c r="T183" s="33" t="s">
        <v>558</v>
      </c>
    </row>
    <row r="184" spans="1:20" x14ac:dyDescent="0.35">
      <c r="A184" s="32">
        <v>1800003867</v>
      </c>
      <c r="B184" s="33" t="s">
        <v>563</v>
      </c>
      <c r="C184" s="34">
        <v>45736</v>
      </c>
      <c r="D184" s="34">
        <v>45736</v>
      </c>
      <c r="E184" s="33" t="s">
        <v>557</v>
      </c>
      <c r="F184" s="35">
        <v>246779413735</v>
      </c>
      <c r="G184" s="33" t="s">
        <v>559</v>
      </c>
      <c r="H184" s="36">
        <v>84.6</v>
      </c>
      <c r="I184" s="37" t="s">
        <v>560</v>
      </c>
      <c r="J184" s="38">
        <v>7334.08</v>
      </c>
      <c r="K184" s="33" t="s">
        <v>561</v>
      </c>
      <c r="L184" s="33" t="s">
        <v>557</v>
      </c>
      <c r="M184" s="54" cm="1">
        <f t="array" ref="M184:N184">_xlfn.XLOOKUP(F184,'Customer Data Vlookup'!$L:$L,'Customer Data Vlookup'!$M:$N,,0)</f>
        <v>0</v>
      </c>
      <c r="N184" s="54">
        <v>6896</v>
      </c>
      <c r="O184" s="54">
        <f t="shared" si="6"/>
        <v>6896</v>
      </c>
      <c r="P184" s="54">
        <f t="shared" si="7"/>
        <v>438.07999999999993</v>
      </c>
      <c r="Q184" s="56">
        <f t="shared" si="8"/>
        <v>5.973210000436318E-2</v>
      </c>
      <c r="R184" s="33" t="s">
        <v>860</v>
      </c>
      <c r="S184" s="34"/>
      <c r="T184" s="33" t="s">
        <v>558</v>
      </c>
    </row>
    <row r="185" spans="1:20" x14ac:dyDescent="0.35">
      <c r="A185" s="32">
        <v>1800003873</v>
      </c>
      <c r="B185" s="33" t="s">
        <v>563</v>
      </c>
      <c r="C185" s="34">
        <v>45736</v>
      </c>
      <c r="D185" s="34">
        <v>45736</v>
      </c>
      <c r="E185" s="33" t="s">
        <v>557</v>
      </c>
      <c r="F185" s="35">
        <v>246779413741</v>
      </c>
      <c r="G185" s="33" t="s">
        <v>559</v>
      </c>
      <c r="H185" s="36">
        <v>84.6</v>
      </c>
      <c r="I185" s="37" t="s">
        <v>560</v>
      </c>
      <c r="J185" s="38">
        <v>7334.08</v>
      </c>
      <c r="K185" s="33" t="s">
        <v>561</v>
      </c>
      <c r="L185" s="33" t="s">
        <v>557</v>
      </c>
      <c r="M185" s="54" cm="1">
        <f t="array" ref="M185:N185">_xlfn.XLOOKUP(F185,'Customer Data Vlookup'!$L:$L,'Customer Data Vlookup'!$M:$N,,0)</f>
        <v>0</v>
      </c>
      <c r="N185" s="54">
        <v>6895</v>
      </c>
      <c r="O185" s="54">
        <f t="shared" si="6"/>
        <v>6895</v>
      </c>
      <c r="P185" s="54">
        <f t="shared" si="7"/>
        <v>439.07999999999993</v>
      </c>
      <c r="Q185" s="56">
        <f t="shared" si="8"/>
        <v>5.9868449757842827E-2</v>
      </c>
      <c r="R185" s="33" t="s">
        <v>860</v>
      </c>
      <c r="S185" s="34"/>
      <c r="T185" s="33" t="s">
        <v>558</v>
      </c>
    </row>
    <row r="186" spans="1:20" x14ac:dyDescent="0.35">
      <c r="A186" s="32">
        <v>1800008640</v>
      </c>
      <c r="B186" s="33" t="s">
        <v>563</v>
      </c>
      <c r="C186" s="34">
        <v>45798</v>
      </c>
      <c r="D186" s="34">
        <v>45800</v>
      </c>
      <c r="E186" s="33" t="s">
        <v>557</v>
      </c>
      <c r="F186" s="35">
        <v>256779413404</v>
      </c>
      <c r="G186" s="33" t="s">
        <v>559</v>
      </c>
      <c r="H186" s="36">
        <v>84.6</v>
      </c>
      <c r="I186" s="37" t="s">
        <v>560</v>
      </c>
      <c r="J186" s="38">
        <v>7274.22</v>
      </c>
      <c r="K186" s="33" t="s">
        <v>561</v>
      </c>
      <c r="L186" s="33" t="s">
        <v>557</v>
      </c>
      <c r="M186" s="54" cm="1">
        <f t="array" ref="M186:N186">_xlfn.XLOOKUP(F186,'Customer Data Vlookup'!$L:$L,'Customer Data Vlookup'!$M:$N,,0)</f>
        <v>0</v>
      </c>
      <c r="N186" s="54">
        <v>7129</v>
      </c>
      <c r="O186" s="54">
        <f t="shared" si="6"/>
        <v>7129</v>
      </c>
      <c r="P186" s="54">
        <f t="shared" si="7"/>
        <v>145.22000000000025</v>
      </c>
      <c r="Q186" s="56">
        <f t="shared" si="8"/>
        <v>1.9963652460332552E-2</v>
      </c>
      <c r="R186" s="33" t="s">
        <v>623</v>
      </c>
      <c r="S186" s="34"/>
      <c r="T186" s="33" t="s">
        <v>558</v>
      </c>
    </row>
    <row r="187" spans="1:20" x14ac:dyDescent="0.35">
      <c r="A187" s="32">
        <v>1800002094</v>
      </c>
      <c r="B187" s="33" t="s">
        <v>563</v>
      </c>
      <c r="C187" s="34">
        <v>45733</v>
      </c>
      <c r="D187" s="34">
        <v>45734</v>
      </c>
      <c r="E187" s="33" t="s">
        <v>557</v>
      </c>
      <c r="F187" s="35">
        <v>246779411759</v>
      </c>
      <c r="G187" s="33" t="s">
        <v>559</v>
      </c>
      <c r="H187" s="36">
        <v>83.24</v>
      </c>
      <c r="I187" s="37" t="s">
        <v>560</v>
      </c>
      <c r="J187" s="38">
        <v>7216.18</v>
      </c>
      <c r="K187" s="33" t="s">
        <v>561</v>
      </c>
      <c r="L187" s="33" t="s">
        <v>557</v>
      </c>
      <c r="M187" s="54" cm="1">
        <f t="array" ref="M187:N187">_xlfn.XLOOKUP(F187,'Customer Data Vlookup'!$L:$L,'Customer Data Vlookup'!$M:$N,,0)</f>
        <v>0</v>
      </c>
      <c r="N187" s="54">
        <v>6761</v>
      </c>
      <c r="O187" s="54">
        <f t="shared" si="6"/>
        <v>6761</v>
      </c>
      <c r="P187" s="54">
        <f t="shared" si="7"/>
        <v>455.18000000000029</v>
      </c>
      <c r="Q187" s="56">
        <f t="shared" si="8"/>
        <v>6.3077694846858073E-2</v>
      </c>
      <c r="R187" s="33" t="s">
        <v>764</v>
      </c>
      <c r="S187" s="34"/>
      <c r="T187" s="33" t="s">
        <v>558</v>
      </c>
    </row>
    <row r="188" spans="1:20" x14ac:dyDescent="0.35">
      <c r="A188" s="32">
        <v>1800012164</v>
      </c>
      <c r="B188" s="33" t="s">
        <v>563</v>
      </c>
      <c r="C188" s="34">
        <v>45889</v>
      </c>
      <c r="D188" s="34">
        <v>45891</v>
      </c>
      <c r="E188" s="33" t="s">
        <v>557</v>
      </c>
      <c r="F188" s="35">
        <v>256779416809</v>
      </c>
      <c r="G188" s="33" t="s">
        <v>559</v>
      </c>
      <c r="H188" s="36">
        <v>82.8</v>
      </c>
      <c r="I188" s="37" t="s">
        <v>560</v>
      </c>
      <c r="J188" s="38">
        <v>7123.29</v>
      </c>
      <c r="K188" s="33" t="s">
        <v>561</v>
      </c>
      <c r="L188" s="33" t="s">
        <v>557</v>
      </c>
      <c r="M188" s="54" cm="1">
        <f t="array" ref="M188:N188">_xlfn.XLOOKUP(F188,'Customer Data Vlookup'!$L:$L,'Customer Data Vlookup'!$M:$N,,0)</f>
        <v>0</v>
      </c>
      <c r="N188" s="54">
        <v>6981</v>
      </c>
      <c r="O188" s="54">
        <f t="shared" si="6"/>
        <v>6981</v>
      </c>
      <c r="P188" s="54">
        <f t="shared" si="7"/>
        <v>142.28999999999996</v>
      </c>
      <c r="Q188" s="56">
        <f t="shared" si="8"/>
        <v>1.9975320392683713E-2</v>
      </c>
      <c r="R188" s="33" t="s">
        <v>883</v>
      </c>
      <c r="S188" s="34"/>
      <c r="T188" s="33" t="s">
        <v>558</v>
      </c>
    </row>
    <row r="189" spans="1:20" x14ac:dyDescent="0.35">
      <c r="A189" s="32">
        <v>1800012943</v>
      </c>
      <c r="B189" s="33" t="s">
        <v>563</v>
      </c>
      <c r="C189" s="34">
        <v>45918</v>
      </c>
      <c r="D189" s="34">
        <v>45922</v>
      </c>
      <c r="E189" s="33" t="s">
        <v>557</v>
      </c>
      <c r="F189" s="35">
        <v>256779417582</v>
      </c>
      <c r="G189" s="33" t="s">
        <v>559</v>
      </c>
      <c r="H189" s="36">
        <v>80.8</v>
      </c>
      <c r="I189" s="37" t="s">
        <v>560</v>
      </c>
      <c r="J189" s="38">
        <v>7071.16</v>
      </c>
      <c r="K189" s="33" t="s">
        <v>561</v>
      </c>
      <c r="L189" s="33" t="s">
        <v>664</v>
      </c>
      <c r="M189" s="54" cm="1">
        <f t="array" ref="M189:N189">_xlfn.XLOOKUP(F189,'Customer Data Vlookup'!$L:$L,'Customer Data Vlookup'!$M:$N,,0)</f>
        <v>0</v>
      </c>
      <c r="N189" s="54">
        <v>6896.1292000000003</v>
      </c>
      <c r="O189" s="54">
        <f t="shared" si="6"/>
        <v>6896.1292000000003</v>
      </c>
      <c r="P189" s="54">
        <f t="shared" si="7"/>
        <v>175.03079999999954</v>
      </c>
      <c r="Q189" s="56">
        <f t="shared" si="8"/>
        <v>2.4752770408249785E-2</v>
      </c>
      <c r="R189" s="33" t="s">
        <v>665</v>
      </c>
      <c r="S189" s="34"/>
      <c r="T189" s="33" t="s">
        <v>558</v>
      </c>
    </row>
    <row r="190" spans="1:20" x14ac:dyDescent="0.35">
      <c r="A190" s="32">
        <v>1800016502</v>
      </c>
      <c r="B190" s="33" t="s">
        <v>563</v>
      </c>
      <c r="C190" s="34">
        <v>46028</v>
      </c>
      <c r="D190" s="34">
        <v>46034</v>
      </c>
      <c r="E190" s="33" t="s">
        <v>737</v>
      </c>
      <c r="F190" s="35">
        <v>256779440210</v>
      </c>
      <c r="G190" s="33" t="s">
        <v>559</v>
      </c>
      <c r="H190" s="36">
        <v>77.849999999999994</v>
      </c>
      <c r="I190" s="37" t="s">
        <v>560</v>
      </c>
      <c r="J190" s="38">
        <v>7064.35</v>
      </c>
      <c r="K190" s="33" t="s">
        <v>561</v>
      </c>
      <c r="L190" s="33" t="s">
        <v>557</v>
      </c>
      <c r="M190" s="54" cm="1">
        <f t="array" ref="M190:N190">_xlfn.XLOOKUP(F190,'Customer Data Vlookup'!$L:$L,'Customer Data Vlookup'!$M:$N,,0)</f>
        <v>181</v>
      </c>
      <c r="N190" s="54">
        <v>7063.8671999999997</v>
      </c>
      <c r="O190" s="54">
        <f t="shared" si="6"/>
        <v>6882.8671999999997</v>
      </c>
      <c r="P190" s="54">
        <f t="shared" si="7"/>
        <v>181.48280000000068</v>
      </c>
      <c r="Q190" s="56">
        <f t="shared" si="8"/>
        <v>2.5689950243122251E-2</v>
      </c>
      <c r="R190" s="33" t="s">
        <v>723</v>
      </c>
      <c r="S190" s="34"/>
      <c r="T190" s="33" t="s">
        <v>558</v>
      </c>
    </row>
    <row r="191" spans="1:20" x14ac:dyDescent="0.35">
      <c r="A191" s="32">
        <v>1800014145</v>
      </c>
      <c r="B191" s="33" t="s">
        <v>563</v>
      </c>
      <c r="C191" s="34">
        <v>45948</v>
      </c>
      <c r="D191" s="34">
        <v>45951</v>
      </c>
      <c r="E191" s="33" t="s">
        <v>557</v>
      </c>
      <c r="F191" s="35">
        <v>256779418437</v>
      </c>
      <c r="G191" s="33" t="s">
        <v>559</v>
      </c>
      <c r="H191" s="36">
        <v>79.900000000000006</v>
      </c>
      <c r="I191" s="37" t="s">
        <v>560</v>
      </c>
      <c r="J191" s="38">
        <v>7046.44</v>
      </c>
      <c r="K191" s="33" t="s">
        <v>561</v>
      </c>
      <c r="L191" s="33" t="s">
        <v>694</v>
      </c>
      <c r="M191" s="54" cm="1">
        <f t="array" ref="M191:N191">_xlfn.XLOOKUP(F191,'Customer Data Vlookup'!$L:$L,'Customer Data Vlookup'!$M:$N,,0)</f>
        <v>176</v>
      </c>
      <c r="N191" s="54">
        <v>7046.0609999999997</v>
      </c>
      <c r="O191" s="54">
        <f t="shared" si="6"/>
        <v>6870.0609999999997</v>
      </c>
      <c r="P191" s="54">
        <f t="shared" si="7"/>
        <v>176.37899999999991</v>
      </c>
      <c r="Q191" s="56">
        <f t="shared" si="8"/>
        <v>2.5030937608210659E-2</v>
      </c>
      <c r="R191" s="33" t="s">
        <v>695</v>
      </c>
      <c r="S191" s="34"/>
      <c r="T191" s="33" t="s">
        <v>558</v>
      </c>
    </row>
    <row r="192" spans="1:20" x14ac:dyDescent="0.35">
      <c r="A192" s="32">
        <v>1800003868</v>
      </c>
      <c r="B192" s="33" t="s">
        <v>563</v>
      </c>
      <c r="C192" s="34">
        <v>45736</v>
      </c>
      <c r="D192" s="34">
        <v>45736</v>
      </c>
      <c r="E192" s="33" t="s">
        <v>557</v>
      </c>
      <c r="F192" s="35">
        <v>246779413736</v>
      </c>
      <c r="G192" s="33" t="s">
        <v>559</v>
      </c>
      <c r="H192" s="36">
        <v>79.900000000000006</v>
      </c>
      <c r="I192" s="37" t="s">
        <v>560</v>
      </c>
      <c r="J192" s="38">
        <v>6926.63</v>
      </c>
      <c r="K192" s="33" t="s">
        <v>561</v>
      </c>
      <c r="L192" s="33" t="s">
        <v>557</v>
      </c>
      <c r="M192" s="54" cm="1">
        <f t="array" ref="M192:N192">_xlfn.XLOOKUP(F192,'Customer Data Vlookup'!$L:$L,'Customer Data Vlookup'!$M:$N,,0)</f>
        <v>0</v>
      </c>
      <c r="N192" s="54">
        <v>6513</v>
      </c>
      <c r="O192" s="54">
        <f t="shared" si="6"/>
        <v>6513</v>
      </c>
      <c r="P192" s="54">
        <f t="shared" si="7"/>
        <v>413.63000000000011</v>
      </c>
      <c r="Q192" s="56">
        <f t="shared" si="8"/>
        <v>5.9715908024537197E-2</v>
      </c>
      <c r="R192" s="33" t="s">
        <v>860</v>
      </c>
      <c r="S192" s="34"/>
      <c r="T192" s="33" t="s">
        <v>558</v>
      </c>
    </row>
    <row r="193" spans="1:21" hidden="1" x14ac:dyDescent="0.35">
      <c r="A193" s="32">
        <v>1800003344</v>
      </c>
      <c r="B193" s="33" t="s">
        <v>563</v>
      </c>
      <c r="C193" s="34">
        <v>45735</v>
      </c>
      <c r="D193" s="34">
        <v>45736</v>
      </c>
      <c r="E193" s="33" t="s">
        <v>557</v>
      </c>
      <c r="F193" s="35">
        <v>246779413211</v>
      </c>
      <c r="G193" s="33" t="s">
        <v>559</v>
      </c>
      <c r="H193" s="36">
        <v>78.12</v>
      </c>
      <c r="I193" s="37" t="s">
        <v>560</v>
      </c>
      <c r="J193" s="38">
        <v>6772.32</v>
      </c>
      <c r="K193" s="33" t="s">
        <v>561</v>
      </c>
      <c r="L193" s="33" t="s">
        <v>557</v>
      </c>
      <c r="M193" s="54" t="e" cm="1">
        <f t="array" ref="M193">_xlfn.XLOOKUP(F193,'Customer Data Vlookup'!$L:$L,'Customer Data Vlookup'!$M:$N,,0)</f>
        <v>#N/A</v>
      </c>
      <c r="N193" s="54"/>
      <c r="O193" s="53" t="e">
        <f t="shared" si="6"/>
        <v>#N/A</v>
      </c>
      <c r="P193" s="53" t="e">
        <f t="shared" si="7"/>
        <v>#N/A</v>
      </c>
      <c r="Q193" s="33" t="e">
        <f t="shared" si="8"/>
        <v>#N/A</v>
      </c>
      <c r="R193" s="33" t="s">
        <v>634</v>
      </c>
      <c r="S193" s="34"/>
      <c r="T193" s="33" t="s">
        <v>558</v>
      </c>
    </row>
    <row r="194" spans="1:21" x14ac:dyDescent="0.35">
      <c r="A194" s="32">
        <v>1800012927</v>
      </c>
      <c r="B194" s="33" t="s">
        <v>563</v>
      </c>
      <c r="C194" s="34">
        <v>45918</v>
      </c>
      <c r="D194" s="34">
        <v>45922</v>
      </c>
      <c r="E194" s="33" t="s">
        <v>557</v>
      </c>
      <c r="F194" s="35">
        <v>256779417566</v>
      </c>
      <c r="G194" s="33" t="s">
        <v>559</v>
      </c>
      <c r="H194" s="36">
        <v>75.5</v>
      </c>
      <c r="I194" s="37" t="s">
        <v>560</v>
      </c>
      <c r="J194" s="38">
        <v>6607.33</v>
      </c>
      <c r="K194" s="33" t="s">
        <v>561</v>
      </c>
      <c r="L194" s="33" t="s">
        <v>662</v>
      </c>
      <c r="M194" s="54" cm="1">
        <f t="array" ref="M194:N194">_xlfn.XLOOKUP(F194,'Customer Data Vlookup'!$L:$L,'Customer Data Vlookup'!$M:$N,,0)</f>
        <v>0</v>
      </c>
      <c r="N194" s="54">
        <v>6432.3032999999996</v>
      </c>
      <c r="O194" s="54">
        <f t="shared" si="6"/>
        <v>6432.3032999999996</v>
      </c>
      <c r="P194" s="54">
        <f t="shared" si="7"/>
        <v>175.02670000000035</v>
      </c>
      <c r="Q194" s="56">
        <f t="shared" si="8"/>
        <v>2.6489777262525157E-2</v>
      </c>
      <c r="R194" s="33" t="s">
        <v>663</v>
      </c>
      <c r="S194" s="34"/>
      <c r="T194" s="33" t="s">
        <v>558</v>
      </c>
    </row>
    <row r="195" spans="1:21" hidden="1" x14ac:dyDescent="0.35">
      <c r="A195" s="32">
        <v>1800016770</v>
      </c>
      <c r="B195" s="33" t="s">
        <v>563</v>
      </c>
      <c r="C195" s="34">
        <v>46035</v>
      </c>
      <c r="D195" s="34">
        <v>46035</v>
      </c>
      <c r="E195" s="33" t="s">
        <v>557</v>
      </c>
      <c r="F195" s="35">
        <v>256779440357</v>
      </c>
      <c r="G195" s="33" t="s">
        <v>559</v>
      </c>
      <c r="H195" s="36">
        <v>70</v>
      </c>
      <c r="I195" s="37" t="s">
        <v>560</v>
      </c>
      <c r="J195" s="38">
        <v>6352.02</v>
      </c>
      <c r="K195" s="33" t="s">
        <v>561</v>
      </c>
      <c r="L195" s="33" t="s">
        <v>748</v>
      </c>
      <c r="M195" s="54" t="e" cm="1">
        <f t="array" ref="M195">_xlfn.XLOOKUP(F195,'Customer Data Vlookup'!$L:$L,'Customer Data Vlookup'!$M:$N,,0)</f>
        <v>#N/A</v>
      </c>
      <c r="N195" s="54"/>
      <c r="O195" s="53" t="e">
        <f t="shared" si="6"/>
        <v>#N/A</v>
      </c>
      <c r="P195" s="53" t="e">
        <f t="shared" si="7"/>
        <v>#N/A</v>
      </c>
      <c r="Q195" s="33" t="e">
        <f t="shared" si="8"/>
        <v>#N/A</v>
      </c>
      <c r="R195" s="33" t="s">
        <v>749</v>
      </c>
      <c r="S195" s="34"/>
      <c r="T195" s="33" t="s">
        <v>558</v>
      </c>
    </row>
    <row r="196" spans="1:21" x14ac:dyDescent="0.35">
      <c r="A196" s="32">
        <v>1800005282</v>
      </c>
      <c r="B196" s="33" t="s">
        <v>563</v>
      </c>
      <c r="C196" s="34">
        <v>45750</v>
      </c>
      <c r="D196" s="34">
        <v>45752</v>
      </c>
      <c r="E196" s="33" t="s">
        <v>557</v>
      </c>
      <c r="F196" s="35">
        <v>256779410174</v>
      </c>
      <c r="G196" s="33" t="s">
        <v>559</v>
      </c>
      <c r="H196" s="36">
        <v>72.849999999999994</v>
      </c>
      <c r="I196" s="37" t="s">
        <v>560</v>
      </c>
      <c r="J196" s="38">
        <v>6332.25</v>
      </c>
      <c r="K196" s="33" t="s">
        <v>558</v>
      </c>
      <c r="L196" s="33" t="s">
        <v>557</v>
      </c>
      <c r="M196" s="54" cm="1">
        <f t="array" ref="M196:N196">_xlfn.XLOOKUP(F196,'Customer Data Vlookup'!$L:$L,'Customer Data Vlookup'!$M:$N,,0)</f>
        <v>0</v>
      </c>
      <c r="N196" s="54">
        <v>6205</v>
      </c>
      <c r="O196" s="54">
        <f t="shared" ref="O196:O259" si="9">N196-M196</f>
        <v>6205</v>
      </c>
      <c r="P196" s="54">
        <f t="shared" ref="P196:P259" si="10">J196-O196</f>
        <v>127.25</v>
      </c>
      <c r="Q196" s="56">
        <f t="shared" ref="Q196:Q259" si="11">P196/J196</f>
        <v>2.0095542658612658E-2</v>
      </c>
      <c r="R196" s="33" t="s">
        <v>604</v>
      </c>
      <c r="S196" s="34"/>
      <c r="T196" s="33" t="s">
        <v>558</v>
      </c>
    </row>
    <row r="197" spans="1:21" x14ac:dyDescent="0.35">
      <c r="A197" s="32">
        <v>1800001955</v>
      </c>
      <c r="B197" s="33" t="s">
        <v>563</v>
      </c>
      <c r="C197" s="34">
        <v>45733</v>
      </c>
      <c r="D197" s="34">
        <v>45733</v>
      </c>
      <c r="E197" s="33" t="s">
        <v>557</v>
      </c>
      <c r="F197" s="35">
        <v>246779411620</v>
      </c>
      <c r="G197" s="33" t="s">
        <v>559</v>
      </c>
      <c r="H197" s="36">
        <v>71.61</v>
      </c>
      <c r="I197" s="37" t="s">
        <v>560</v>
      </c>
      <c r="J197" s="38">
        <v>6207.96</v>
      </c>
      <c r="K197" s="33" t="s">
        <v>561</v>
      </c>
      <c r="L197" s="33" t="s">
        <v>557</v>
      </c>
      <c r="M197" s="54" cm="1">
        <f t="array" ref="M197:N197">_xlfn.XLOOKUP(F197,'Customer Data Vlookup'!$L:$L,'Customer Data Vlookup'!$M:$N,,0)</f>
        <v>0</v>
      </c>
      <c r="N197" s="54">
        <v>5816</v>
      </c>
      <c r="O197" s="54">
        <f t="shared" si="9"/>
        <v>5816</v>
      </c>
      <c r="P197" s="54">
        <f t="shared" si="10"/>
        <v>391.96000000000004</v>
      </c>
      <c r="Q197" s="56">
        <f t="shared" si="11"/>
        <v>6.3138293416839034E-2</v>
      </c>
      <c r="R197" s="33" t="s">
        <v>763</v>
      </c>
      <c r="S197" s="34"/>
      <c r="T197" s="33" t="s">
        <v>558</v>
      </c>
    </row>
    <row r="198" spans="1:21" x14ac:dyDescent="0.35">
      <c r="A198" s="32">
        <v>1800013747</v>
      </c>
      <c r="B198" s="33" t="s">
        <v>563</v>
      </c>
      <c r="C198" s="34">
        <v>45937</v>
      </c>
      <c r="D198" s="34">
        <v>45939</v>
      </c>
      <c r="E198" s="33" t="s">
        <v>557</v>
      </c>
      <c r="F198" s="35">
        <v>256779418168</v>
      </c>
      <c r="G198" s="33" t="s">
        <v>559</v>
      </c>
      <c r="H198" s="36">
        <v>70</v>
      </c>
      <c r="I198" s="37" t="s">
        <v>560</v>
      </c>
      <c r="J198" s="38">
        <v>6173.35</v>
      </c>
      <c r="K198" s="33" t="s">
        <v>561</v>
      </c>
      <c r="L198" s="33" t="s">
        <v>679</v>
      </c>
      <c r="M198" s="54" cm="1">
        <f t="array" ref="M198:N198">_xlfn.XLOOKUP(F198,'Customer Data Vlookup'!$L:$L,'Customer Data Vlookup'!$M:$N,,0)</f>
        <v>88</v>
      </c>
      <c r="N198" s="54">
        <v>6173.1630999999998</v>
      </c>
      <c r="O198" s="54">
        <f t="shared" si="9"/>
        <v>6085.1630999999998</v>
      </c>
      <c r="P198" s="54">
        <f t="shared" si="10"/>
        <v>88.186900000000605</v>
      </c>
      <c r="Q198" s="56">
        <f t="shared" si="11"/>
        <v>1.4285096422525954E-2</v>
      </c>
      <c r="R198" s="33" t="s">
        <v>680</v>
      </c>
      <c r="S198" s="34"/>
      <c r="T198" s="33" t="s">
        <v>558</v>
      </c>
    </row>
    <row r="199" spans="1:21" x14ac:dyDescent="0.35">
      <c r="A199" s="32">
        <v>1800017108</v>
      </c>
      <c r="B199" s="33" t="s">
        <v>563</v>
      </c>
      <c r="C199" s="34">
        <v>46045</v>
      </c>
      <c r="D199" s="34">
        <v>46049</v>
      </c>
      <c r="E199" s="33" t="s">
        <v>758</v>
      </c>
      <c r="F199" s="35">
        <v>256779440429</v>
      </c>
      <c r="G199" s="33" t="s">
        <v>559</v>
      </c>
      <c r="H199" s="36">
        <v>67.680000000000007</v>
      </c>
      <c r="I199" s="37" t="s">
        <v>560</v>
      </c>
      <c r="J199" s="38">
        <v>6141.5</v>
      </c>
      <c r="K199" s="33" t="s">
        <v>561</v>
      </c>
      <c r="L199" s="33" t="s">
        <v>557</v>
      </c>
      <c r="M199" s="54" cm="1">
        <f t="array" ref="M199:N199">_xlfn.XLOOKUP(F199,'Customer Data Vlookup'!$L:$L,'Customer Data Vlookup'!$M:$N,,0)</f>
        <v>91</v>
      </c>
      <c r="N199" s="54">
        <v>6141.7525999999998</v>
      </c>
      <c r="O199" s="54">
        <f t="shared" si="9"/>
        <v>6050.7525999999998</v>
      </c>
      <c r="P199" s="54">
        <f t="shared" si="10"/>
        <v>90.747400000000198</v>
      </c>
      <c r="Q199" s="56">
        <f t="shared" si="11"/>
        <v>1.4776097044695954E-2</v>
      </c>
      <c r="R199" s="33" t="s">
        <v>759</v>
      </c>
      <c r="S199" s="34"/>
      <c r="T199" s="33" t="s">
        <v>558</v>
      </c>
    </row>
    <row r="200" spans="1:21" x14ac:dyDescent="0.35">
      <c r="A200" s="32">
        <v>1800009979</v>
      </c>
      <c r="B200" s="33" t="s">
        <v>563</v>
      </c>
      <c r="C200" s="34">
        <v>45827</v>
      </c>
      <c r="D200" s="34">
        <v>45829</v>
      </c>
      <c r="E200" s="33" t="s">
        <v>557</v>
      </c>
      <c r="F200" s="35">
        <v>256779414743</v>
      </c>
      <c r="G200" s="33" t="s">
        <v>559</v>
      </c>
      <c r="H200" s="36">
        <v>71.430000000000007</v>
      </c>
      <c r="I200" s="37" t="s">
        <v>560</v>
      </c>
      <c r="J200" s="38">
        <v>6106.61</v>
      </c>
      <c r="K200" s="33" t="s">
        <v>561</v>
      </c>
      <c r="L200" s="33" t="s">
        <v>558</v>
      </c>
      <c r="M200" s="54" cm="1">
        <f t="array" ref="M200:N200">_xlfn.XLOOKUP(F200,'Customer Data Vlookup'!$L:$L,'Customer Data Vlookup'!$M:$N,,0)</f>
        <v>0</v>
      </c>
      <c r="N200" s="54">
        <v>6064.0230000000001</v>
      </c>
      <c r="O200" s="54">
        <f t="shared" si="9"/>
        <v>6064.0230000000001</v>
      </c>
      <c r="P200" s="54">
        <f t="shared" si="10"/>
        <v>42.586999999999534</v>
      </c>
      <c r="Q200" s="56">
        <f t="shared" si="11"/>
        <v>6.9739184260988567E-3</v>
      </c>
      <c r="R200" s="33" t="s">
        <v>638</v>
      </c>
      <c r="S200" s="34"/>
      <c r="T200" s="33" t="s">
        <v>558</v>
      </c>
    </row>
    <row r="201" spans="1:21" x14ac:dyDescent="0.35">
      <c r="A201" s="32">
        <v>1800007801</v>
      </c>
      <c r="B201" s="33" t="s">
        <v>563</v>
      </c>
      <c r="C201" s="34">
        <v>45770</v>
      </c>
      <c r="D201" s="34">
        <v>45773</v>
      </c>
      <c r="E201" s="33" t="s">
        <v>557</v>
      </c>
      <c r="F201" s="35">
        <v>256779412692</v>
      </c>
      <c r="G201" s="33" t="s">
        <v>559</v>
      </c>
      <c r="H201" s="36">
        <v>70</v>
      </c>
      <c r="I201" s="37" t="s">
        <v>560</v>
      </c>
      <c r="J201" s="38">
        <v>6084.53</v>
      </c>
      <c r="K201" s="33" t="s">
        <v>561</v>
      </c>
      <c r="L201" s="33" t="s">
        <v>557</v>
      </c>
      <c r="M201" s="54" cm="1">
        <f t="array" ref="M201:N201">_xlfn.XLOOKUP(F201,'Customer Data Vlookup'!$L:$L,'Customer Data Vlookup'!$M:$N,,0)</f>
        <v>0</v>
      </c>
      <c r="N201" s="54">
        <v>6084</v>
      </c>
      <c r="O201" s="54">
        <f t="shared" si="9"/>
        <v>6084</v>
      </c>
      <c r="P201" s="54">
        <f t="shared" si="10"/>
        <v>0.52999999999974534</v>
      </c>
      <c r="Q201" s="56">
        <f t="shared" si="11"/>
        <v>8.7106152817020434E-5</v>
      </c>
      <c r="R201" s="33" t="s">
        <v>673</v>
      </c>
      <c r="S201" s="34">
        <v>45976</v>
      </c>
      <c r="T201" s="32">
        <v>1400001901</v>
      </c>
      <c r="U201" t="s">
        <v>954</v>
      </c>
    </row>
    <row r="202" spans="1:21" x14ac:dyDescent="0.35">
      <c r="A202" s="32">
        <v>1800014523</v>
      </c>
      <c r="B202" s="33" t="s">
        <v>563</v>
      </c>
      <c r="C202" s="34">
        <v>45966</v>
      </c>
      <c r="D202" s="34">
        <v>45967</v>
      </c>
      <c r="E202" s="33" t="s">
        <v>557</v>
      </c>
      <c r="F202" s="35">
        <v>256779419172</v>
      </c>
      <c r="G202" s="33" t="s">
        <v>559</v>
      </c>
      <c r="H202" s="36">
        <v>68.150000000000006</v>
      </c>
      <c r="I202" s="37" t="s">
        <v>560</v>
      </c>
      <c r="J202" s="38">
        <v>5997.43</v>
      </c>
      <c r="K202" s="33" t="s">
        <v>561</v>
      </c>
      <c r="L202" s="33" t="s">
        <v>827</v>
      </c>
      <c r="M202" s="54" cm="1">
        <f t="array" ref="M202:N202">_xlfn.XLOOKUP(F202,'Customer Data Vlookup'!$L:$L,'Customer Data Vlookup'!$M:$N,,0)</f>
        <v>0</v>
      </c>
      <c r="N202" s="54">
        <v>5909.4276</v>
      </c>
      <c r="O202" s="54">
        <f t="shared" si="9"/>
        <v>5909.4276</v>
      </c>
      <c r="P202" s="54">
        <f t="shared" si="10"/>
        <v>88.002400000000307</v>
      </c>
      <c r="Q202" s="56">
        <f t="shared" si="11"/>
        <v>1.4673351752333967E-2</v>
      </c>
      <c r="R202" s="33" t="s">
        <v>828</v>
      </c>
      <c r="S202" s="34"/>
      <c r="T202" s="33" t="s">
        <v>558</v>
      </c>
    </row>
    <row r="203" spans="1:21" x14ac:dyDescent="0.35">
      <c r="A203" s="32">
        <v>1800002091</v>
      </c>
      <c r="B203" s="33" t="s">
        <v>563</v>
      </c>
      <c r="C203" s="34">
        <v>45733</v>
      </c>
      <c r="D203" s="34">
        <v>45734</v>
      </c>
      <c r="E203" s="33" t="s">
        <v>557</v>
      </c>
      <c r="F203" s="35">
        <v>246779411756</v>
      </c>
      <c r="G203" s="33" t="s">
        <v>559</v>
      </c>
      <c r="H203" s="36">
        <v>59.46</v>
      </c>
      <c r="I203" s="37" t="s">
        <v>560</v>
      </c>
      <c r="J203" s="38">
        <v>5154.66</v>
      </c>
      <c r="K203" s="33" t="s">
        <v>561</v>
      </c>
      <c r="L203" s="33" t="s">
        <v>557</v>
      </c>
      <c r="M203" s="54" cm="1">
        <f t="array" ref="M203:N203">_xlfn.XLOOKUP(F203,'Customer Data Vlookup'!$L:$L,'Customer Data Vlookup'!$M:$N,,0)</f>
        <v>0</v>
      </c>
      <c r="N203" s="54">
        <v>4339</v>
      </c>
      <c r="O203" s="54">
        <f t="shared" si="9"/>
        <v>4339</v>
      </c>
      <c r="P203" s="54">
        <f t="shared" si="10"/>
        <v>815.65999999999985</v>
      </c>
      <c r="Q203" s="56">
        <f t="shared" si="11"/>
        <v>0.15823740072090106</v>
      </c>
      <c r="R203" s="33" t="s">
        <v>764</v>
      </c>
      <c r="S203" s="34"/>
      <c r="T203" s="33" t="s">
        <v>558</v>
      </c>
    </row>
    <row r="204" spans="1:21" x14ac:dyDescent="0.35">
      <c r="A204" s="32">
        <v>1800005264</v>
      </c>
      <c r="B204" s="33" t="s">
        <v>563</v>
      </c>
      <c r="C204" s="34">
        <v>45750</v>
      </c>
      <c r="D204" s="34">
        <v>45752</v>
      </c>
      <c r="E204" s="33" t="s">
        <v>557</v>
      </c>
      <c r="F204" s="35">
        <v>256779410156</v>
      </c>
      <c r="G204" s="33" t="s">
        <v>559</v>
      </c>
      <c r="H204" s="36">
        <v>58.75</v>
      </c>
      <c r="I204" s="37" t="s">
        <v>560</v>
      </c>
      <c r="J204" s="38">
        <v>5106.66</v>
      </c>
      <c r="K204" s="33" t="s">
        <v>558</v>
      </c>
      <c r="L204" s="33" t="s">
        <v>557</v>
      </c>
      <c r="M204" s="54" cm="1">
        <f t="array" ref="M204:N204">_xlfn.XLOOKUP(F204,'Customer Data Vlookup'!$L:$L,'Customer Data Vlookup'!$M:$N,,0)</f>
        <v>0</v>
      </c>
      <c r="N204" s="54">
        <v>4913</v>
      </c>
      <c r="O204" s="54">
        <f t="shared" si="9"/>
        <v>4913</v>
      </c>
      <c r="P204" s="54">
        <f t="shared" si="10"/>
        <v>193.65999999999985</v>
      </c>
      <c r="Q204" s="56">
        <f t="shared" si="11"/>
        <v>3.7923026009172307E-2</v>
      </c>
      <c r="R204" s="33" t="s">
        <v>602</v>
      </c>
      <c r="S204" s="34"/>
      <c r="T204" s="33" t="s">
        <v>558</v>
      </c>
    </row>
    <row r="205" spans="1:21" x14ac:dyDescent="0.35">
      <c r="A205" s="32">
        <v>1800016935</v>
      </c>
      <c r="B205" s="33" t="s">
        <v>563</v>
      </c>
      <c r="C205" s="34">
        <v>46043</v>
      </c>
      <c r="D205" s="34">
        <v>46045</v>
      </c>
      <c r="E205" s="33" t="s">
        <v>750</v>
      </c>
      <c r="F205" s="35">
        <v>256779440383</v>
      </c>
      <c r="G205" s="33" t="s">
        <v>559</v>
      </c>
      <c r="H205" s="36">
        <v>54.41</v>
      </c>
      <c r="I205" s="37" t="s">
        <v>560</v>
      </c>
      <c r="J205" s="38">
        <v>4937.33</v>
      </c>
      <c r="K205" s="33" t="s">
        <v>561</v>
      </c>
      <c r="L205" s="33" t="s">
        <v>557</v>
      </c>
      <c r="M205" s="54" cm="1">
        <f t="array" ref="M205:N205">_xlfn.XLOOKUP(F205,'Customer Data Vlookup'!$L:$L,'Customer Data Vlookup'!$M:$N,,0)</f>
        <v>90</v>
      </c>
      <c r="N205" s="54">
        <v>4904.3774000000003</v>
      </c>
      <c r="O205" s="54">
        <f t="shared" si="9"/>
        <v>4814.3774000000003</v>
      </c>
      <c r="P205" s="54">
        <f t="shared" si="10"/>
        <v>122.95259999999962</v>
      </c>
      <c r="Q205" s="56">
        <f t="shared" si="11"/>
        <v>2.4902649812752971E-2</v>
      </c>
      <c r="R205" s="33" t="s">
        <v>751</v>
      </c>
      <c r="S205" s="34"/>
      <c r="T205" s="33" t="s">
        <v>558</v>
      </c>
    </row>
    <row r="206" spans="1:21" x14ac:dyDescent="0.35">
      <c r="A206" s="32">
        <v>1800012177</v>
      </c>
      <c r="B206" s="33" t="s">
        <v>563</v>
      </c>
      <c r="C206" s="34">
        <v>45889</v>
      </c>
      <c r="D206" s="34">
        <v>45891</v>
      </c>
      <c r="E206" s="33" t="s">
        <v>557</v>
      </c>
      <c r="F206" s="35">
        <v>256779416615</v>
      </c>
      <c r="G206" s="33" t="s">
        <v>559</v>
      </c>
      <c r="H206" s="36">
        <v>56.82</v>
      </c>
      <c r="I206" s="37" t="s">
        <v>560</v>
      </c>
      <c r="J206" s="38">
        <v>4888.2299999999996</v>
      </c>
      <c r="K206" s="33" t="s">
        <v>561</v>
      </c>
      <c r="L206" s="33" t="s">
        <v>557</v>
      </c>
      <c r="M206" s="54" cm="1">
        <f t="array" ref="M206:N206">_xlfn.XLOOKUP(F206,'Customer Data Vlookup'!$L:$L,'Customer Data Vlookup'!$M:$N,,0)</f>
        <v>0</v>
      </c>
      <c r="N206" s="54">
        <v>4790</v>
      </c>
      <c r="O206" s="54">
        <f t="shared" si="9"/>
        <v>4790</v>
      </c>
      <c r="P206" s="54">
        <f t="shared" si="10"/>
        <v>98.229999999999563</v>
      </c>
      <c r="Q206" s="56">
        <f t="shared" si="11"/>
        <v>2.0095208286025734E-2</v>
      </c>
      <c r="R206" s="33" t="s">
        <v>882</v>
      </c>
      <c r="S206" s="34"/>
      <c r="T206" s="33" t="s">
        <v>558</v>
      </c>
    </row>
    <row r="207" spans="1:21" x14ac:dyDescent="0.35">
      <c r="A207" s="32">
        <v>1800011406</v>
      </c>
      <c r="B207" s="33" t="s">
        <v>563</v>
      </c>
      <c r="C207" s="34">
        <v>45877</v>
      </c>
      <c r="D207" s="34">
        <v>45877</v>
      </c>
      <c r="E207" s="33" t="s">
        <v>557</v>
      </c>
      <c r="F207" s="35">
        <v>256779416256</v>
      </c>
      <c r="G207" s="33" t="s">
        <v>559</v>
      </c>
      <c r="H207" s="36">
        <v>56.4</v>
      </c>
      <c r="I207" s="37" t="s">
        <v>560</v>
      </c>
      <c r="J207" s="38">
        <v>4852.1000000000004</v>
      </c>
      <c r="K207" s="33" t="s">
        <v>561</v>
      </c>
      <c r="L207" s="33" t="s">
        <v>557</v>
      </c>
      <c r="M207" s="54" cm="1">
        <f t="array" ref="M207:N207">_xlfn.XLOOKUP(F207,'Customer Data Vlookup'!$L:$L,'Customer Data Vlookup'!$M:$N,,0)</f>
        <v>0</v>
      </c>
      <c r="N207" s="54">
        <v>4755</v>
      </c>
      <c r="O207" s="54">
        <f t="shared" si="9"/>
        <v>4755</v>
      </c>
      <c r="P207" s="54">
        <f t="shared" si="10"/>
        <v>97.100000000000364</v>
      </c>
      <c r="Q207" s="56">
        <f t="shared" si="11"/>
        <v>2.0011953587106689E-2</v>
      </c>
      <c r="R207" s="33" t="s">
        <v>836</v>
      </c>
      <c r="S207" s="34"/>
      <c r="T207" s="33" t="s">
        <v>558</v>
      </c>
    </row>
    <row r="208" spans="1:21" x14ac:dyDescent="0.35">
      <c r="A208" s="32">
        <v>1800004273</v>
      </c>
      <c r="B208" s="33" t="s">
        <v>563</v>
      </c>
      <c r="C208" s="34">
        <v>45736</v>
      </c>
      <c r="D208" s="34">
        <v>45737</v>
      </c>
      <c r="E208" s="33" t="s">
        <v>557</v>
      </c>
      <c r="F208" s="35">
        <v>246779414141</v>
      </c>
      <c r="G208" s="33" t="s">
        <v>559</v>
      </c>
      <c r="H208" s="36">
        <v>55</v>
      </c>
      <c r="I208" s="37" t="s">
        <v>560</v>
      </c>
      <c r="J208" s="38">
        <v>4768.0200000000004</v>
      </c>
      <c r="K208" s="33" t="s">
        <v>561</v>
      </c>
      <c r="L208" s="33" t="s">
        <v>557</v>
      </c>
      <c r="M208" s="54" cm="1">
        <f t="array" ref="M208:N208">_xlfn.XLOOKUP(F208,'Customer Data Vlookup'!$L:$L,'Customer Data Vlookup'!$M:$N,,0)</f>
        <v>0</v>
      </c>
      <c r="N208" s="54">
        <v>4652</v>
      </c>
      <c r="O208" s="54">
        <f t="shared" si="9"/>
        <v>4652</v>
      </c>
      <c r="P208" s="54">
        <f t="shared" si="10"/>
        <v>116.02000000000044</v>
      </c>
      <c r="Q208" s="56">
        <f t="shared" si="11"/>
        <v>2.4332951623525157E-2</v>
      </c>
      <c r="R208" s="33" t="s">
        <v>865</v>
      </c>
      <c r="S208" s="34"/>
      <c r="T208" s="33" t="s">
        <v>558</v>
      </c>
    </row>
    <row r="209" spans="1:20" x14ac:dyDescent="0.35">
      <c r="A209" s="32">
        <v>1800001118</v>
      </c>
      <c r="B209" s="33" t="s">
        <v>563</v>
      </c>
      <c r="C209" s="34">
        <v>45722</v>
      </c>
      <c r="D209" s="34">
        <v>45723</v>
      </c>
      <c r="E209" s="33" t="s">
        <v>557</v>
      </c>
      <c r="F209" s="35">
        <v>246779411054</v>
      </c>
      <c r="G209" s="33" t="s">
        <v>559</v>
      </c>
      <c r="H209" s="36">
        <v>54.05</v>
      </c>
      <c r="I209" s="37" t="s">
        <v>560</v>
      </c>
      <c r="J209" s="38">
        <v>4685.66</v>
      </c>
      <c r="K209" s="33" t="s">
        <v>561</v>
      </c>
      <c r="L209" s="33" t="s">
        <v>557</v>
      </c>
      <c r="M209" s="54" cm="1">
        <f t="array" ref="M209:N209">_xlfn.XLOOKUP(F209,'Customer Data Vlookup'!$L:$L,'Customer Data Vlookup'!$M:$N,,0)</f>
        <v>0</v>
      </c>
      <c r="N209" s="54">
        <v>4387</v>
      </c>
      <c r="O209" s="54">
        <f t="shared" si="9"/>
        <v>4387</v>
      </c>
      <c r="P209" s="54">
        <f t="shared" si="10"/>
        <v>298.65999999999985</v>
      </c>
      <c r="Q209" s="56">
        <f t="shared" si="11"/>
        <v>6.3739153075553889E-2</v>
      </c>
      <c r="R209" s="33" t="s">
        <v>925</v>
      </c>
      <c r="S209" s="34"/>
      <c r="T209" s="33" t="s">
        <v>558</v>
      </c>
    </row>
    <row r="210" spans="1:20" x14ac:dyDescent="0.35">
      <c r="A210" s="32">
        <v>1800010215</v>
      </c>
      <c r="B210" s="33" t="s">
        <v>563</v>
      </c>
      <c r="C210" s="34">
        <v>45842</v>
      </c>
      <c r="D210" s="34">
        <v>45847</v>
      </c>
      <c r="E210" s="33" t="s">
        <v>557</v>
      </c>
      <c r="F210" s="35">
        <v>256779414975</v>
      </c>
      <c r="G210" s="33" t="s">
        <v>559</v>
      </c>
      <c r="H210" s="36">
        <v>54.05</v>
      </c>
      <c r="I210" s="37" t="s">
        <v>560</v>
      </c>
      <c r="J210" s="38">
        <v>4648.34</v>
      </c>
      <c r="K210" s="33" t="s">
        <v>561</v>
      </c>
      <c r="L210" s="33" t="s">
        <v>557</v>
      </c>
      <c r="M210" s="54" cm="1">
        <f t="array" ref="M210:N210">_xlfn.XLOOKUP(F210,'Customer Data Vlookup'!$L:$L,'Customer Data Vlookup'!$M:$N,,0)</f>
        <v>0</v>
      </c>
      <c r="N210" s="54">
        <v>4562.3355000000001</v>
      </c>
      <c r="O210" s="54">
        <f t="shared" si="9"/>
        <v>4562.3355000000001</v>
      </c>
      <c r="P210" s="54">
        <f t="shared" si="10"/>
        <v>86.004500000000007</v>
      </c>
      <c r="Q210" s="56">
        <f t="shared" si="11"/>
        <v>1.850219648304556E-2</v>
      </c>
      <c r="R210" s="33" t="s">
        <v>558</v>
      </c>
      <c r="S210" s="34"/>
      <c r="T210" s="33" t="s">
        <v>558</v>
      </c>
    </row>
    <row r="211" spans="1:20" hidden="1" x14ac:dyDescent="0.35">
      <c r="A211" s="32">
        <v>1800003346</v>
      </c>
      <c r="B211" s="33" t="s">
        <v>563</v>
      </c>
      <c r="C211" s="34">
        <v>45735</v>
      </c>
      <c r="D211" s="34">
        <v>45736</v>
      </c>
      <c r="E211" s="33" t="s">
        <v>557</v>
      </c>
      <c r="F211" s="35">
        <v>246779413213</v>
      </c>
      <c r="G211" s="33" t="s">
        <v>559</v>
      </c>
      <c r="H211" s="36">
        <v>52.08</v>
      </c>
      <c r="I211" s="37" t="s">
        <v>560</v>
      </c>
      <c r="J211" s="38">
        <v>4514.88</v>
      </c>
      <c r="K211" s="33" t="s">
        <v>561</v>
      </c>
      <c r="L211" s="33" t="s">
        <v>557</v>
      </c>
      <c r="M211" s="54" t="e" cm="1">
        <f t="array" ref="M211">_xlfn.XLOOKUP(F211,'Customer Data Vlookup'!$L:$L,'Customer Data Vlookup'!$M:$N,,0)</f>
        <v>#N/A</v>
      </c>
      <c r="N211" s="54"/>
      <c r="O211" s="53" t="e">
        <f t="shared" si="9"/>
        <v>#N/A</v>
      </c>
      <c r="P211" s="53" t="e">
        <f t="shared" si="10"/>
        <v>#N/A</v>
      </c>
      <c r="Q211" s="33" t="e">
        <f t="shared" si="11"/>
        <v>#N/A</v>
      </c>
      <c r="R211" s="33" t="s">
        <v>636</v>
      </c>
      <c r="S211" s="34"/>
      <c r="T211" s="33" t="s">
        <v>558</v>
      </c>
    </row>
    <row r="212" spans="1:20" hidden="1" x14ac:dyDescent="0.35">
      <c r="A212" s="32">
        <v>1800016321</v>
      </c>
      <c r="B212" s="33" t="s">
        <v>563</v>
      </c>
      <c r="C212" s="34">
        <v>46034</v>
      </c>
      <c r="D212" s="34">
        <v>46034</v>
      </c>
      <c r="E212" s="33" t="s">
        <v>735</v>
      </c>
      <c r="F212" s="35">
        <v>256779440174</v>
      </c>
      <c r="G212" s="33" t="s">
        <v>559</v>
      </c>
      <c r="H212" s="36">
        <v>48.8</v>
      </c>
      <c r="I212" s="37" t="s">
        <v>560</v>
      </c>
      <c r="J212" s="38">
        <v>4428.2700000000004</v>
      </c>
      <c r="K212" s="33" t="s">
        <v>561</v>
      </c>
      <c r="L212" s="33" t="s">
        <v>557</v>
      </c>
      <c r="M212" s="54" t="e" cm="1">
        <f t="array" ref="M212">_xlfn.XLOOKUP(F212,'Customer Data Vlookup'!$L:$L,'Customer Data Vlookup'!$M:$N,,0)</f>
        <v>#N/A</v>
      </c>
      <c r="N212" s="54"/>
      <c r="O212" s="53" t="e">
        <f t="shared" si="9"/>
        <v>#N/A</v>
      </c>
      <c r="P212" s="53" t="e">
        <f t="shared" si="10"/>
        <v>#N/A</v>
      </c>
      <c r="Q212" s="33" t="e">
        <f t="shared" si="11"/>
        <v>#N/A</v>
      </c>
      <c r="R212" s="33" t="s">
        <v>736</v>
      </c>
      <c r="S212" s="34"/>
      <c r="T212" s="33" t="s">
        <v>558</v>
      </c>
    </row>
    <row r="213" spans="1:20" x14ac:dyDescent="0.35">
      <c r="A213" s="32">
        <v>1800012684</v>
      </c>
      <c r="B213" s="33" t="s">
        <v>563</v>
      </c>
      <c r="C213" s="34">
        <v>45904</v>
      </c>
      <c r="D213" s="34">
        <v>45909</v>
      </c>
      <c r="E213" s="33" t="s">
        <v>557</v>
      </c>
      <c r="F213" s="35">
        <v>256779417324</v>
      </c>
      <c r="G213" s="33" t="s">
        <v>559</v>
      </c>
      <c r="H213" s="36">
        <v>49.35</v>
      </c>
      <c r="I213" s="37" t="s">
        <v>560</v>
      </c>
      <c r="J213" s="38">
        <v>4318.83</v>
      </c>
      <c r="K213" s="33" t="s">
        <v>561</v>
      </c>
      <c r="L213" s="33" t="s">
        <v>801</v>
      </c>
      <c r="M213" s="54" cm="1">
        <f t="array" ref="M213:N213">_xlfn.XLOOKUP(F213,'Customer Data Vlookup'!$L:$L,'Customer Data Vlookup'!$M:$N,,0)</f>
        <v>0</v>
      </c>
      <c r="N213" s="54">
        <v>4231.3179</v>
      </c>
      <c r="O213" s="54">
        <f t="shared" si="9"/>
        <v>4231.3179</v>
      </c>
      <c r="P213" s="54">
        <f t="shared" si="10"/>
        <v>87.512099999999919</v>
      </c>
      <c r="Q213" s="56">
        <f t="shared" si="11"/>
        <v>2.0262918429296804E-2</v>
      </c>
      <c r="R213" s="33" t="s">
        <v>802</v>
      </c>
      <c r="S213" s="34"/>
      <c r="T213" s="33" t="s">
        <v>558</v>
      </c>
    </row>
    <row r="214" spans="1:20" x14ac:dyDescent="0.35">
      <c r="A214" s="32">
        <v>1800007722</v>
      </c>
      <c r="B214" s="33" t="s">
        <v>563</v>
      </c>
      <c r="C214" s="34">
        <v>45769</v>
      </c>
      <c r="D214" s="34">
        <v>45770</v>
      </c>
      <c r="E214" s="33" t="s">
        <v>557</v>
      </c>
      <c r="F214" s="35">
        <v>256779412613</v>
      </c>
      <c r="G214" s="33" t="s">
        <v>559</v>
      </c>
      <c r="H214" s="36">
        <v>47</v>
      </c>
      <c r="I214" s="37" t="s">
        <v>560</v>
      </c>
      <c r="J214" s="38">
        <v>4085.33</v>
      </c>
      <c r="K214" s="33" t="s">
        <v>561</v>
      </c>
      <c r="L214" s="33" t="s">
        <v>557</v>
      </c>
      <c r="M214" s="54" cm="1">
        <f t="array" ref="M214:N214">_xlfn.XLOOKUP(F214,'Customer Data Vlookup'!$L:$L,'Customer Data Vlookup'!$M:$N,,0)</f>
        <v>0</v>
      </c>
      <c r="N214" s="54">
        <v>3922</v>
      </c>
      <c r="O214" s="54">
        <f t="shared" si="9"/>
        <v>3922</v>
      </c>
      <c r="P214" s="54">
        <f t="shared" si="10"/>
        <v>163.32999999999993</v>
      </c>
      <c r="Q214" s="56">
        <f t="shared" si="11"/>
        <v>3.997963444813514E-2</v>
      </c>
      <c r="R214" s="33" t="s">
        <v>653</v>
      </c>
      <c r="S214" s="34"/>
      <c r="T214" s="33" t="s">
        <v>558</v>
      </c>
    </row>
    <row r="215" spans="1:20" hidden="1" x14ac:dyDescent="0.35">
      <c r="A215" s="32">
        <v>1800007087</v>
      </c>
      <c r="B215" s="33" t="s">
        <v>563</v>
      </c>
      <c r="C215" s="34">
        <v>45763</v>
      </c>
      <c r="D215" s="34">
        <v>45764</v>
      </c>
      <c r="E215" s="33" t="s">
        <v>557</v>
      </c>
      <c r="F215" s="35">
        <v>256779411978</v>
      </c>
      <c r="G215" s="33" t="s">
        <v>559</v>
      </c>
      <c r="H215" s="36">
        <v>46.85</v>
      </c>
      <c r="I215" s="37" t="s">
        <v>560</v>
      </c>
      <c r="J215" s="38">
        <v>4072.29</v>
      </c>
      <c r="K215" s="33" t="s">
        <v>561</v>
      </c>
      <c r="L215" s="33" t="s">
        <v>557</v>
      </c>
      <c r="M215" s="54" t="e" cm="1">
        <f t="array" ref="M215">_xlfn.XLOOKUP(F215,'Customer Data Vlookup'!$L:$L,'Customer Data Vlookup'!$M:$N,,0)</f>
        <v>#N/A</v>
      </c>
      <c r="N215" s="54"/>
      <c r="O215" s="53" t="e">
        <f t="shared" si="9"/>
        <v>#N/A</v>
      </c>
      <c r="P215" s="53" t="e">
        <f t="shared" si="10"/>
        <v>#N/A</v>
      </c>
      <c r="Q215" s="33" t="e">
        <f t="shared" si="11"/>
        <v>#N/A</v>
      </c>
      <c r="R215" s="33" t="s">
        <v>782</v>
      </c>
      <c r="S215" s="34"/>
      <c r="T215" s="33" t="s">
        <v>558</v>
      </c>
    </row>
    <row r="216" spans="1:20" x14ac:dyDescent="0.35">
      <c r="A216" s="32">
        <v>1800008641</v>
      </c>
      <c r="B216" s="33" t="s">
        <v>563</v>
      </c>
      <c r="C216" s="34">
        <v>45798</v>
      </c>
      <c r="D216" s="34">
        <v>45800</v>
      </c>
      <c r="E216" s="33" t="s">
        <v>557</v>
      </c>
      <c r="F216" s="35">
        <v>256779413405</v>
      </c>
      <c r="G216" s="33" t="s">
        <v>559</v>
      </c>
      <c r="H216" s="36">
        <v>47</v>
      </c>
      <c r="I216" s="37" t="s">
        <v>560</v>
      </c>
      <c r="J216" s="38">
        <v>4041.23</v>
      </c>
      <c r="K216" s="33" t="s">
        <v>561</v>
      </c>
      <c r="L216" s="33" t="s">
        <v>557</v>
      </c>
      <c r="M216" s="54" cm="1">
        <f t="array" ref="M216:N216">_xlfn.XLOOKUP(F216,'Customer Data Vlookup'!$L:$L,'Customer Data Vlookup'!$M:$N,,0)</f>
        <v>0</v>
      </c>
      <c r="N216" s="54">
        <v>3960</v>
      </c>
      <c r="O216" s="54">
        <f t="shared" si="9"/>
        <v>3960</v>
      </c>
      <c r="P216" s="54">
        <f t="shared" si="10"/>
        <v>81.230000000000018</v>
      </c>
      <c r="Q216" s="56">
        <f t="shared" si="11"/>
        <v>2.0100315992903156E-2</v>
      </c>
      <c r="R216" s="33" t="s">
        <v>624</v>
      </c>
      <c r="S216" s="34"/>
      <c r="T216" s="33" t="s">
        <v>558</v>
      </c>
    </row>
    <row r="217" spans="1:20" hidden="1" x14ac:dyDescent="0.35">
      <c r="A217" s="32">
        <v>1800015963</v>
      </c>
      <c r="B217" s="33" t="s">
        <v>563</v>
      </c>
      <c r="C217" s="34">
        <v>46027</v>
      </c>
      <c r="D217" s="34">
        <v>46027</v>
      </c>
      <c r="E217" s="33" t="s">
        <v>720</v>
      </c>
      <c r="F217" s="35">
        <v>256779440080</v>
      </c>
      <c r="G217" s="33" t="s">
        <v>559</v>
      </c>
      <c r="H217" s="36">
        <v>41.46</v>
      </c>
      <c r="I217" s="37" t="s">
        <v>560</v>
      </c>
      <c r="J217" s="38">
        <v>3762.21</v>
      </c>
      <c r="K217" s="33" t="s">
        <v>561</v>
      </c>
      <c r="L217" s="33" t="s">
        <v>557</v>
      </c>
      <c r="M217" s="54" t="e" cm="1">
        <f t="array" ref="M217">_xlfn.XLOOKUP(F217,'Customer Data Vlookup'!$L:$L,'Customer Data Vlookup'!$M:$N,,0)</f>
        <v>#N/A</v>
      </c>
      <c r="N217" s="54"/>
      <c r="O217" s="53" t="e">
        <f t="shared" si="9"/>
        <v>#N/A</v>
      </c>
      <c r="P217" s="53" t="e">
        <f t="shared" si="10"/>
        <v>#N/A</v>
      </c>
      <c r="Q217" s="33" t="e">
        <f t="shared" si="11"/>
        <v>#N/A</v>
      </c>
      <c r="R217" s="33" t="s">
        <v>721</v>
      </c>
      <c r="S217" s="34"/>
      <c r="T217" s="33" t="s">
        <v>558</v>
      </c>
    </row>
    <row r="218" spans="1:20" x14ac:dyDescent="0.35">
      <c r="A218" s="32">
        <v>1800003760</v>
      </c>
      <c r="B218" s="33" t="s">
        <v>563</v>
      </c>
      <c r="C218" s="34">
        <v>45736</v>
      </c>
      <c r="D218" s="34">
        <v>45736</v>
      </c>
      <c r="E218" s="33" t="s">
        <v>557</v>
      </c>
      <c r="F218" s="35">
        <v>246779413627</v>
      </c>
      <c r="G218" s="33" t="s">
        <v>559</v>
      </c>
      <c r="H218" s="36">
        <v>42.3</v>
      </c>
      <c r="I218" s="37" t="s">
        <v>560</v>
      </c>
      <c r="J218" s="38">
        <v>3667.04</v>
      </c>
      <c r="K218" s="33" t="s">
        <v>561</v>
      </c>
      <c r="L218" s="33" t="s">
        <v>557</v>
      </c>
      <c r="M218" s="54" cm="1">
        <f t="array" ref="M218:N218">_xlfn.XLOOKUP(F218,'Customer Data Vlookup'!$L:$L,'Customer Data Vlookup'!$M:$N,,0)</f>
        <v>0</v>
      </c>
      <c r="N218" s="54">
        <v>3578</v>
      </c>
      <c r="O218" s="54">
        <f t="shared" si="9"/>
        <v>3578</v>
      </c>
      <c r="P218" s="54">
        <f t="shared" si="10"/>
        <v>89.039999999999964</v>
      </c>
      <c r="Q218" s="56">
        <f t="shared" si="11"/>
        <v>2.4281164099655299E-2</v>
      </c>
      <c r="R218" s="33" t="s">
        <v>860</v>
      </c>
      <c r="S218" s="34"/>
      <c r="T218" s="33" t="s">
        <v>558</v>
      </c>
    </row>
    <row r="219" spans="1:20" x14ac:dyDescent="0.35">
      <c r="A219" s="32">
        <v>1800003832</v>
      </c>
      <c r="B219" s="33" t="s">
        <v>563</v>
      </c>
      <c r="C219" s="34">
        <v>45736</v>
      </c>
      <c r="D219" s="34">
        <v>45736</v>
      </c>
      <c r="E219" s="33" t="s">
        <v>557</v>
      </c>
      <c r="F219" s="35">
        <v>246779413694</v>
      </c>
      <c r="G219" s="33" t="s">
        <v>559</v>
      </c>
      <c r="H219" s="36">
        <v>42.3</v>
      </c>
      <c r="I219" s="37" t="s">
        <v>560</v>
      </c>
      <c r="J219" s="38">
        <v>3667.04</v>
      </c>
      <c r="K219" s="33" t="s">
        <v>561</v>
      </c>
      <c r="L219" s="33" t="s">
        <v>557</v>
      </c>
      <c r="M219" s="54" cm="1">
        <f t="array" ref="M219:N219">_xlfn.XLOOKUP(F219,'Customer Data Vlookup'!$L:$L,'Customer Data Vlookup'!$M:$N,,0)</f>
        <v>0</v>
      </c>
      <c r="N219" s="54">
        <v>3448</v>
      </c>
      <c r="O219" s="54">
        <f t="shared" si="9"/>
        <v>3448</v>
      </c>
      <c r="P219" s="54">
        <f t="shared" si="10"/>
        <v>219.03999999999996</v>
      </c>
      <c r="Q219" s="56">
        <f t="shared" si="11"/>
        <v>5.973210000436318E-2</v>
      </c>
      <c r="R219" s="33" t="s">
        <v>860</v>
      </c>
      <c r="S219" s="34"/>
      <c r="T219" s="33" t="s">
        <v>558</v>
      </c>
    </row>
    <row r="220" spans="1:20" x14ac:dyDescent="0.35">
      <c r="A220" s="32">
        <v>1800003866</v>
      </c>
      <c r="B220" s="33" t="s">
        <v>563</v>
      </c>
      <c r="C220" s="34">
        <v>45736</v>
      </c>
      <c r="D220" s="34">
        <v>45736</v>
      </c>
      <c r="E220" s="33" t="s">
        <v>557</v>
      </c>
      <c r="F220" s="35">
        <v>246779413734</v>
      </c>
      <c r="G220" s="33" t="s">
        <v>559</v>
      </c>
      <c r="H220" s="36">
        <v>42.3</v>
      </c>
      <c r="I220" s="37" t="s">
        <v>560</v>
      </c>
      <c r="J220" s="38">
        <v>3667.04</v>
      </c>
      <c r="K220" s="33" t="s">
        <v>561</v>
      </c>
      <c r="L220" s="33" t="s">
        <v>557</v>
      </c>
      <c r="M220" s="54" cm="1">
        <f t="array" ref="M220:N220">_xlfn.XLOOKUP(F220,'Customer Data Vlookup'!$L:$L,'Customer Data Vlookup'!$M:$N,,0)</f>
        <v>0</v>
      </c>
      <c r="N220" s="54">
        <v>3448</v>
      </c>
      <c r="O220" s="54">
        <f t="shared" si="9"/>
        <v>3448</v>
      </c>
      <c r="P220" s="54">
        <f t="shared" si="10"/>
        <v>219.03999999999996</v>
      </c>
      <c r="Q220" s="56">
        <f t="shared" si="11"/>
        <v>5.973210000436318E-2</v>
      </c>
      <c r="R220" s="33" t="s">
        <v>860</v>
      </c>
      <c r="S220" s="34"/>
      <c r="T220" s="33" t="s">
        <v>558</v>
      </c>
    </row>
    <row r="221" spans="1:20" x14ac:dyDescent="0.35">
      <c r="A221" s="32">
        <v>1800003870</v>
      </c>
      <c r="B221" s="33" t="s">
        <v>563</v>
      </c>
      <c r="C221" s="34">
        <v>45736</v>
      </c>
      <c r="D221" s="34">
        <v>45736</v>
      </c>
      <c r="E221" s="33" t="s">
        <v>557</v>
      </c>
      <c r="F221" s="35">
        <v>246779413738</v>
      </c>
      <c r="G221" s="33" t="s">
        <v>559</v>
      </c>
      <c r="H221" s="36">
        <v>42.3</v>
      </c>
      <c r="I221" s="37" t="s">
        <v>560</v>
      </c>
      <c r="J221" s="38">
        <v>3667.04</v>
      </c>
      <c r="K221" s="33" t="s">
        <v>561</v>
      </c>
      <c r="L221" s="33" t="s">
        <v>557</v>
      </c>
      <c r="M221" s="54" cm="1">
        <f t="array" ref="M221:N221">_xlfn.XLOOKUP(F221,'Customer Data Vlookup'!$L:$L,'Customer Data Vlookup'!$M:$N,,0)</f>
        <v>0</v>
      </c>
      <c r="N221" s="54">
        <v>3603</v>
      </c>
      <c r="O221" s="54">
        <f t="shared" si="9"/>
        <v>3603</v>
      </c>
      <c r="P221" s="54">
        <f t="shared" si="10"/>
        <v>64.039999999999964</v>
      </c>
      <c r="Q221" s="56">
        <f t="shared" si="11"/>
        <v>1.7463676425673012E-2</v>
      </c>
      <c r="R221" s="33" t="s">
        <v>860</v>
      </c>
      <c r="S221" s="34"/>
      <c r="T221" s="33" t="s">
        <v>558</v>
      </c>
    </row>
    <row r="222" spans="1:20" x14ac:dyDescent="0.35">
      <c r="A222" s="32">
        <v>1800000750</v>
      </c>
      <c r="B222" s="33" t="s">
        <v>563</v>
      </c>
      <c r="C222" s="34">
        <v>45720</v>
      </c>
      <c r="D222" s="34">
        <v>45720</v>
      </c>
      <c r="E222" s="33" t="s">
        <v>557</v>
      </c>
      <c r="F222" s="35">
        <v>246779410690</v>
      </c>
      <c r="G222" s="33" t="s">
        <v>559</v>
      </c>
      <c r="H222" s="36">
        <v>42.3</v>
      </c>
      <c r="I222" s="37" t="s">
        <v>560</v>
      </c>
      <c r="J222" s="38">
        <v>3667.04</v>
      </c>
      <c r="K222" s="33" t="s">
        <v>561</v>
      </c>
      <c r="L222" s="33" t="s">
        <v>557</v>
      </c>
      <c r="M222" s="54" cm="1">
        <f t="array" ref="M222:N222">_xlfn.XLOOKUP(F222,'Customer Data Vlookup'!$L:$L,'Customer Data Vlookup'!$M:$N,,0)</f>
        <v>0</v>
      </c>
      <c r="N222" s="54">
        <v>3622</v>
      </c>
      <c r="O222" s="54">
        <f t="shared" si="9"/>
        <v>3622</v>
      </c>
      <c r="P222" s="54">
        <f t="shared" si="10"/>
        <v>45.039999999999964</v>
      </c>
      <c r="Q222" s="56">
        <f t="shared" si="11"/>
        <v>1.2282385793446475E-2</v>
      </c>
      <c r="R222" s="33" t="s">
        <v>914</v>
      </c>
      <c r="S222" s="34"/>
      <c r="T222" s="33" t="s">
        <v>558</v>
      </c>
    </row>
    <row r="223" spans="1:20" x14ac:dyDescent="0.35">
      <c r="A223" s="32">
        <v>1800000815</v>
      </c>
      <c r="B223" s="33" t="s">
        <v>563</v>
      </c>
      <c r="C223" s="34">
        <v>45720</v>
      </c>
      <c r="D223" s="34">
        <v>45721</v>
      </c>
      <c r="E223" s="33" t="s">
        <v>557</v>
      </c>
      <c r="F223" s="35">
        <v>246779410755</v>
      </c>
      <c r="G223" s="33" t="s">
        <v>559</v>
      </c>
      <c r="H223" s="36">
        <v>42.3</v>
      </c>
      <c r="I223" s="37" t="s">
        <v>560</v>
      </c>
      <c r="J223" s="38">
        <v>3667.04</v>
      </c>
      <c r="K223" s="33" t="s">
        <v>561</v>
      </c>
      <c r="L223" s="33" t="s">
        <v>557</v>
      </c>
      <c r="M223" s="54" cm="1">
        <f t="array" ref="M223:N223">_xlfn.XLOOKUP(F223,'Customer Data Vlookup'!$L:$L,'Customer Data Vlookup'!$M:$N,,0)</f>
        <v>0</v>
      </c>
      <c r="N223" s="54">
        <v>3594</v>
      </c>
      <c r="O223" s="54">
        <f t="shared" si="9"/>
        <v>3594</v>
      </c>
      <c r="P223" s="54">
        <f t="shared" si="10"/>
        <v>73.039999999999964</v>
      </c>
      <c r="Q223" s="56">
        <f t="shared" si="11"/>
        <v>1.9917971988306634E-2</v>
      </c>
      <c r="R223" s="33" t="s">
        <v>907</v>
      </c>
      <c r="S223" s="34"/>
      <c r="T223" s="33" t="s">
        <v>558</v>
      </c>
    </row>
    <row r="224" spans="1:20" x14ac:dyDescent="0.35">
      <c r="A224" s="32">
        <v>1800000908</v>
      </c>
      <c r="B224" s="33" t="s">
        <v>563</v>
      </c>
      <c r="C224" s="34">
        <v>45720</v>
      </c>
      <c r="D224" s="34">
        <v>45721</v>
      </c>
      <c r="E224" s="33" t="s">
        <v>557</v>
      </c>
      <c r="F224" s="35">
        <v>246779410849</v>
      </c>
      <c r="G224" s="33" t="s">
        <v>559</v>
      </c>
      <c r="H224" s="36">
        <v>42.3</v>
      </c>
      <c r="I224" s="37" t="s">
        <v>560</v>
      </c>
      <c r="J224" s="38">
        <v>3667.04</v>
      </c>
      <c r="K224" s="33" t="s">
        <v>561</v>
      </c>
      <c r="L224" s="33" t="s">
        <v>557</v>
      </c>
      <c r="M224" s="54" cm="1">
        <f t="array" ref="M224:N224">_xlfn.XLOOKUP(F224,'Customer Data Vlookup'!$L:$L,'Customer Data Vlookup'!$M:$N,,0)</f>
        <v>0</v>
      </c>
      <c r="N224" s="54">
        <v>3436</v>
      </c>
      <c r="O224" s="54">
        <f t="shared" si="9"/>
        <v>3436</v>
      </c>
      <c r="P224" s="54">
        <f t="shared" si="10"/>
        <v>231.03999999999996</v>
      </c>
      <c r="Q224" s="56">
        <f t="shared" si="11"/>
        <v>6.3004494087874674E-2</v>
      </c>
      <c r="R224" s="33" t="s">
        <v>915</v>
      </c>
      <c r="S224" s="34"/>
      <c r="T224" s="33" t="s">
        <v>558</v>
      </c>
    </row>
    <row r="225" spans="1:20" x14ac:dyDescent="0.35">
      <c r="A225" s="32">
        <v>1800001379</v>
      </c>
      <c r="B225" s="33" t="s">
        <v>563</v>
      </c>
      <c r="C225" s="34">
        <v>45722</v>
      </c>
      <c r="D225" s="34">
        <v>45723</v>
      </c>
      <c r="E225" s="33" t="s">
        <v>557</v>
      </c>
      <c r="F225" s="35">
        <v>246779411248</v>
      </c>
      <c r="G225" s="33" t="s">
        <v>559</v>
      </c>
      <c r="H225" s="36">
        <v>42.3</v>
      </c>
      <c r="I225" s="37" t="s">
        <v>560</v>
      </c>
      <c r="J225" s="38">
        <v>3667.04</v>
      </c>
      <c r="K225" s="33" t="s">
        <v>561</v>
      </c>
      <c r="L225" s="33" t="s">
        <v>557</v>
      </c>
      <c r="M225" s="54" cm="1">
        <f t="array" ref="M225:N225">_xlfn.XLOOKUP(F225,'Customer Data Vlookup'!$L:$L,'Customer Data Vlookup'!$M:$N,,0)</f>
        <v>0</v>
      </c>
      <c r="N225" s="54">
        <v>3434</v>
      </c>
      <c r="O225" s="54">
        <f t="shared" si="9"/>
        <v>3434</v>
      </c>
      <c r="P225" s="54">
        <f t="shared" si="10"/>
        <v>233.03999999999996</v>
      </c>
      <c r="Q225" s="56">
        <f t="shared" si="11"/>
        <v>6.3549893101793264E-2</v>
      </c>
      <c r="R225" s="33" t="s">
        <v>779</v>
      </c>
      <c r="S225" s="34"/>
      <c r="T225" s="33" t="s">
        <v>558</v>
      </c>
    </row>
    <row r="226" spans="1:20" x14ac:dyDescent="0.35">
      <c r="A226" s="32">
        <v>1800008360</v>
      </c>
      <c r="B226" s="33" t="s">
        <v>563</v>
      </c>
      <c r="C226" s="34">
        <v>45787</v>
      </c>
      <c r="D226" s="34">
        <v>45792</v>
      </c>
      <c r="E226" s="33" t="s">
        <v>557</v>
      </c>
      <c r="F226" s="35">
        <v>256779413243</v>
      </c>
      <c r="G226" s="33" t="s">
        <v>559</v>
      </c>
      <c r="H226" s="36">
        <v>42.53</v>
      </c>
      <c r="I226" s="37" t="s">
        <v>560</v>
      </c>
      <c r="J226" s="38">
        <v>3656.89</v>
      </c>
      <c r="K226" s="33" t="s">
        <v>561</v>
      </c>
      <c r="L226" s="33" t="s">
        <v>557</v>
      </c>
      <c r="M226" s="54" cm="1">
        <f t="array" ref="M226:N226">_xlfn.XLOOKUP(F226,'Customer Data Vlookup'!$L:$L,'Customer Data Vlookup'!$M:$N,,0)</f>
        <v>0</v>
      </c>
      <c r="N226" s="54">
        <v>3623</v>
      </c>
      <c r="O226" s="54">
        <f t="shared" si="9"/>
        <v>3623</v>
      </c>
      <c r="P226" s="54">
        <f t="shared" si="10"/>
        <v>33.889999999999873</v>
      </c>
      <c r="Q226" s="56">
        <f t="shared" si="11"/>
        <v>9.2674376314299516E-3</v>
      </c>
      <c r="R226" s="33" t="s">
        <v>687</v>
      </c>
      <c r="S226" s="34"/>
      <c r="T226" s="33" t="s">
        <v>558</v>
      </c>
    </row>
    <row r="227" spans="1:20" x14ac:dyDescent="0.35">
      <c r="A227" s="32">
        <v>1800012275</v>
      </c>
      <c r="B227" s="33" t="s">
        <v>563</v>
      </c>
      <c r="C227" s="34">
        <v>45904</v>
      </c>
      <c r="D227" s="34">
        <v>45908</v>
      </c>
      <c r="E227" s="33" t="s">
        <v>557</v>
      </c>
      <c r="F227" s="35">
        <v>256779416911</v>
      </c>
      <c r="G227" s="33" t="s">
        <v>559</v>
      </c>
      <c r="H227" s="36">
        <v>40.85</v>
      </c>
      <c r="I227" s="37" t="s">
        <v>560</v>
      </c>
      <c r="J227" s="38">
        <v>3574.96</v>
      </c>
      <c r="K227" s="33" t="s">
        <v>561</v>
      </c>
      <c r="L227" s="33" t="s">
        <v>557</v>
      </c>
      <c r="M227" s="54" cm="1">
        <f t="array" ref="M227:N227">_xlfn.XLOOKUP(F227,'Customer Data Vlookup'!$L:$L,'Customer Data Vlookup'!$M:$N,,0)</f>
        <v>0</v>
      </c>
      <c r="N227" s="54">
        <v>3487.4461000000001</v>
      </c>
      <c r="O227" s="54">
        <f t="shared" si="9"/>
        <v>3487.4461000000001</v>
      </c>
      <c r="P227" s="54">
        <f t="shared" si="10"/>
        <v>87.513899999999921</v>
      </c>
      <c r="Q227" s="56">
        <f t="shared" si="11"/>
        <v>2.4479686486002617E-2</v>
      </c>
      <c r="R227" s="33" t="s">
        <v>793</v>
      </c>
      <c r="S227" s="34"/>
      <c r="T227" s="33" t="s">
        <v>558</v>
      </c>
    </row>
    <row r="228" spans="1:20" hidden="1" x14ac:dyDescent="0.35">
      <c r="A228" s="32">
        <v>1800003342</v>
      </c>
      <c r="B228" s="33" t="s">
        <v>563</v>
      </c>
      <c r="C228" s="34">
        <v>45735</v>
      </c>
      <c r="D228" s="34">
        <v>45736</v>
      </c>
      <c r="E228" s="33" t="s">
        <v>557</v>
      </c>
      <c r="F228" s="35">
        <v>246779413209</v>
      </c>
      <c r="G228" s="33" t="s">
        <v>559</v>
      </c>
      <c r="H228" s="36">
        <v>39.06</v>
      </c>
      <c r="I228" s="37" t="s">
        <v>560</v>
      </c>
      <c r="J228" s="38">
        <v>3386.16</v>
      </c>
      <c r="K228" s="33" t="s">
        <v>561</v>
      </c>
      <c r="L228" s="33" t="s">
        <v>557</v>
      </c>
      <c r="M228" s="54" t="e" cm="1">
        <f t="array" ref="M228">_xlfn.XLOOKUP(F228,'Customer Data Vlookup'!$L:$L,'Customer Data Vlookup'!$M:$N,,0)</f>
        <v>#N/A</v>
      </c>
      <c r="N228" s="54"/>
      <c r="O228" s="53" t="e">
        <f t="shared" si="9"/>
        <v>#N/A</v>
      </c>
      <c r="P228" s="53" t="e">
        <f t="shared" si="10"/>
        <v>#N/A</v>
      </c>
      <c r="Q228" s="33" t="e">
        <f t="shared" si="11"/>
        <v>#N/A</v>
      </c>
      <c r="R228" s="33" t="s">
        <v>632</v>
      </c>
      <c r="S228" s="34"/>
      <c r="T228" s="33" t="s">
        <v>558</v>
      </c>
    </row>
    <row r="229" spans="1:20" hidden="1" x14ac:dyDescent="0.35">
      <c r="A229" s="32">
        <v>1800003343</v>
      </c>
      <c r="B229" s="33" t="s">
        <v>563</v>
      </c>
      <c r="C229" s="34">
        <v>45735</v>
      </c>
      <c r="D229" s="34">
        <v>45736</v>
      </c>
      <c r="E229" s="33" t="s">
        <v>557</v>
      </c>
      <c r="F229" s="35">
        <v>246779413210</v>
      </c>
      <c r="G229" s="33" t="s">
        <v>559</v>
      </c>
      <c r="H229" s="36">
        <v>39.06</v>
      </c>
      <c r="I229" s="37" t="s">
        <v>560</v>
      </c>
      <c r="J229" s="38">
        <v>3386.16</v>
      </c>
      <c r="K229" s="33" t="s">
        <v>561</v>
      </c>
      <c r="L229" s="33" t="s">
        <v>557</v>
      </c>
      <c r="M229" s="54" t="e" cm="1">
        <f t="array" ref="M229">_xlfn.XLOOKUP(F229,'Customer Data Vlookup'!$L:$L,'Customer Data Vlookup'!$M:$N,,0)</f>
        <v>#N/A</v>
      </c>
      <c r="N229" s="54"/>
      <c r="O229" s="53" t="e">
        <f t="shared" si="9"/>
        <v>#N/A</v>
      </c>
      <c r="P229" s="53" t="e">
        <f t="shared" si="10"/>
        <v>#N/A</v>
      </c>
      <c r="Q229" s="33" t="e">
        <f t="shared" si="11"/>
        <v>#N/A</v>
      </c>
      <c r="R229" s="33" t="s">
        <v>633</v>
      </c>
      <c r="S229" s="34"/>
      <c r="T229" s="33" t="s">
        <v>558</v>
      </c>
    </row>
    <row r="230" spans="1:20" hidden="1" x14ac:dyDescent="0.35">
      <c r="A230" s="32">
        <v>1800003345</v>
      </c>
      <c r="B230" s="33" t="s">
        <v>563</v>
      </c>
      <c r="C230" s="34">
        <v>45735</v>
      </c>
      <c r="D230" s="34">
        <v>45736</v>
      </c>
      <c r="E230" s="33" t="s">
        <v>557</v>
      </c>
      <c r="F230" s="35">
        <v>246779413212</v>
      </c>
      <c r="G230" s="33" t="s">
        <v>559</v>
      </c>
      <c r="H230" s="36">
        <v>39.06</v>
      </c>
      <c r="I230" s="37" t="s">
        <v>560</v>
      </c>
      <c r="J230" s="38">
        <v>3386.16</v>
      </c>
      <c r="K230" s="33" t="s">
        <v>561</v>
      </c>
      <c r="L230" s="33" t="s">
        <v>557</v>
      </c>
      <c r="M230" s="54" t="e" cm="1">
        <f t="array" ref="M230">_xlfn.XLOOKUP(F230,'Customer Data Vlookup'!$L:$L,'Customer Data Vlookup'!$M:$N,,0)</f>
        <v>#N/A</v>
      </c>
      <c r="N230" s="54"/>
      <c r="O230" s="53" t="e">
        <f t="shared" si="9"/>
        <v>#N/A</v>
      </c>
      <c r="P230" s="53" t="e">
        <f t="shared" si="10"/>
        <v>#N/A</v>
      </c>
      <c r="Q230" s="33" t="e">
        <f t="shared" si="11"/>
        <v>#N/A</v>
      </c>
      <c r="R230" s="33" t="s">
        <v>635</v>
      </c>
      <c r="S230" s="34"/>
      <c r="T230" s="33" t="s">
        <v>558</v>
      </c>
    </row>
    <row r="231" spans="1:20" x14ac:dyDescent="0.35">
      <c r="A231" s="32">
        <v>1800002092</v>
      </c>
      <c r="B231" s="33" t="s">
        <v>563</v>
      </c>
      <c r="C231" s="34">
        <v>45733</v>
      </c>
      <c r="D231" s="34">
        <v>45734</v>
      </c>
      <c r="E231" s="33" t="s">
        <v>557</v>
      </c>
      <c r="F231" s="35">
        <v>246779411757</v>
      </c>
      <c r="G231" s="33" t="s">
        <v>559</v>
      </c>
      <c r="H231" s="36">
        <v>38.29</v>
      </c>
      <c r="I231" s="37" t="s">
        <v>560</v>
      </c>
      <c r="J231" s="38">
        <v>3319.41</v>
      </c>
      <c r="K231" s="33" t="s">
        <v>561</v>
      </c>
      <c r="L231" s="33" t="s">
        <v>557</v>
      </c>
      <c r="M231" s="54" cm="1">
        <f t="array" ref="M231:N231">_xlfn.XLOOKUP(F231,'Customer Data Vlookup'!$L:$L,'Customer Data Vlookup'!$M:$N,,0)</f>
        <v>0</v>
      </c>
      <c r="N231" s="54">
        <v>3110</v>
      </c>
      <c r="O231" s="54">
        <f t="shared" si="9"/>
        <v>3110</v>
      </c>
      <c r="P231" s="54">
        <f t="shared" si="10"/>
        <v>209.40999999999985</v>
      </c>
      <c r="Q231" s="56">
        <f t="shared" si="11"/>
        <v>6.308651236213661E-2</v>
      </c>
      <c r="R231" s="33" t="s">
        <v>764</v>
      </c>
      <c r="S231" s="34"/>
      <c r="T231" s="33" t="s">
        <v>558</v>
      </c>
    </row>
    <row r="232" spans="1:20" hidden="1" x14ac:dyDescent="0.35">
      <c r="A232" s="32">
        <v>1800007088</v>
      </c>
      <c r="B232" s="33" t="s">
        <v>563</v>
      </c>
      <c r="C232" s="34">
        <v>45763</v>
      </c>
      <c r="D232" s="34">
        <v>45764</v>
      </c>
      <c r="E232" s="33" t="s">
        <v>557</v>
      </c>
      <c r="F232" s="35">
        <v>256779411979</v>
      </c>
      <c r="G232" s="33" t="s">
        <v>559</v>
      </c>
      <c r="H232" s="36">
        <v>37.56</v>
      </c>
      <c r="I232" s="37" t="s">
        <v>560</v>
      </c>
      <c r="J232" s="38">
        <v>3264.78</v>
      </c>
      <c r="K232" s="33" t="s">
        <v>561</v>
      </c>
      <c r="L232" s="33" t="s">
        <v>557</v>
      </c>
      <c r="M232" s="54" t="e" cm="1">
        <f t="array" ref="M232">_xlfn.XLOOKUP(F232,'Customer Data Vlookup'!$L:$L,'Customer Data Vlookup'!$M:$N,,0)</f>
        <v>#N/A</v>
      </c>
      <c r="N232" s="54"/>
      <c r="O232" s="53" t="e">
        <f t="shared" si="9"/>
        <v>#N/A</v>
      </c>
      <c r="P232" s="53" t="e">
        <f t="shared" si="10"/>
        <v>#N/A</v>
      </c>
      <c r="Q232" s="33" t="e">
        <f t="shared" si="11"/>
        <v>#N/A</v>
      </c>
      <c r="R232" s="33" t="s">
        <v>783</v>
      </c>
      <c r="S232" s="34"/>
      <c r="T232" s="33" t="s">
        <v>558</v>
      </c>
    </row>
    <row r="233" spans="1:20" x14ac:dyDescent="0.35">
      <c r="A233" s="32">
        <v>1800003877</v>
      </c>
      <c r="B233" s="33" t="s">
        <v>563</v>
      </c>
      <c r="C233" s="34">
        <v>45736</v>
      </c>
      <c r="D233" s="34">
        <v>45736</v>
      </c>
      <c r="E233" s="33" t="s">
        <v>557</v>
      </c>
      <c r="F233" s="35">
        <v>246779413745</v>
      </c>
      <c r="G233" s="33" t="s">
        <v>559</v>
      </c>
      <c r="H233" s="36">
        <v>37.6</v>
      </c>
      <c r="I233" s="37" t="s">
        <v>560</v>
      </c>
      <c r="J233" s="38">
        <v>3259.59</v>
      </c>
      <c r="K233" s="33" t="s">
        <v>561</v>
      </c>
      <c r="L233" s="33" t="s">
        <v>557</v>
      </c>
      <c r="M233" s="54" cm="1">
        <f t="array" ref="M233:N233">_xlfn.XLOOKUP(F233,'Customer Data Vlookup'!$L:$L,'Customer Data Vlookup'!$M:$N,,0)</f>
        <v>0</v>
      </c>
      <c r="N233" s="54">
        <v>3064</v>
      </c>
      <c r="O233" s="54">
        <f t="shared" si="9"/>
        <v>3064</v>
      </c>
      <c r="P233" s="54">
        <f t="shared" si="10"/>
        <v>195.59000000000015</v>
      </c>
      <c r="Q233" s="56">
        <f t="shared" si="11"/>
        <v>6.0004479090928653E-2</v>
      </c>
      <c r="R233" s="33" t="s">
        <v>860</v>
      </c>
      <c r="S233" s="34"/>
      <c r="T233" s="33" t="s">
        <v>558</v>
      </c>
    </row>
    <row r="234" spans="1:20" x14ac:dyDescent="0.35">
      <c r="A234" s="32">
        <v>1800000818</v>
      </c>
      <c r="B234" s="33" t="s">
        <v>563</v>
      </c>
      <c r="C234" s="34">
        <v>45720</v>
      </c>
      <c r="D234" s="34">
        <v>45721</v>
      </c>
      <c r="E234" s="33" t="s">
        <v>557</v>
      </c>
      <c r="F234" s="35">
        <v>246779410758</v>
      </c>
      <c r="G234" s="33" t="s">
        <v>559</v>
      </c>
      <c r="H234" s="36">
        <v>37.6</v>
      </c>
      <c r="I234" s="37" t="s">
        <v>560</v>
      </c>
      <c r="J234" s="38">
        <v>3259.59</v>
      </c>
      <c r="K234" s="33" t="s">
        <v>561</v>
      </c>
      <c r="L234" s="33" t="s">
        <v>557</v>
      </c>
      <c r="M234" s="54" cm="1">
        <f t="array" ref="M234:N234">_xlfn.XLOOKUP(F234,'Customer Data Vlookup'!$L:$L,'Customer Data Vlookup'!$M:$N,,0)</f>
        <v>0</v>
      </c>
      <c r="N234" s="54">
        <v>3219</v>
      </c>
      <c r="O234" s="54">
        <f t="shared" si="9"/>
        <v>3219</v>
      </c>
      <c r="P234" s="54">
        <f t="shared" si="10"/>
        <v>40.590000000000146</v>
      </c>
      <c r="Q234" s="56">
        <f t="shared" si="11"/>
        <v>1.2452486355645999E-2</v>
      </c>
      <c r="R234" s="33" t="s">
        <v>907</v>
      </c>
      <c r="S234" s="34"/>
      <c r="T234" s="33" t="s">
        <v>558</v>
      </c>
    </row>
    <row r="235" spans="1:20" x14ac:dyDescent="0.35">
      <c r="A235" s="32">
        <v>1800000669</v>
      </c>
      <c r="B235" s="33" t="s">
        <v>563</v>
      </c>
      <c r="C235" s="34">
        <v>45719</v>
      </c>
      <c r="D235" s="34">
        <v>45720</v>
      </c>
      <c r="E235" s="33" t="s">
        <v>557</v>
      </c>
      <c r="F235" s="35">
        <v>246779410609</v>
      </c>
      <c r="G235" s="33" t="s">
        <v>559</v>
      </c>
      <c r="H235" s="36">
        <v>37.6</v>
      </c>
      <c r="I235" s="37" t="s">
        <v>560</v>
      </c>
      <c r="J235" s="38">
        <v>3259.59</v>
      </c>
      <c r="K235" s="33" t="s">
        <v>561</v>
      </c>
      <c r="L235" s="33" t="s">
        <v>557</v>
      </c>
      <c r="M235" s="54" cm="1">
        <f t="array" ref="M235:N235">_xlfn.XLOOKUP(F235,'Customer Data Vlookup'!$L:$L,'Customer Data Vlookup'!$M:$N,,0)</f>
        <v>0</v>
      </c>
      <c r="N235" s="54">
        <v>3203</v>
      </c>
      <c r="O235" s="54">
        <f t="shared" si="9"/>
        <v>3203</v>
      </c>
      <c r="P235" s="54">
        <f t="shared" si="10"/>
        <v>56.590000000000146</v>
      </c>
      <c r="Q235" s="56">
        <f t="shared" si="11"/>
        <v>1.7361079154126789E-2</v>
      </c>
      <c r="R235" s="33" t="s">
        <v>906</v>
      </c>
      <c r="S235" s="34"/>
      <c r="T235" s="33" t="s">
        <v>558</v>
      </c>
    </row>
    <row r="236" spans="1:20" x14ac:dyDescent="0.35">
      <c r="A236" s="32">
        <v>1800014641</v>
      </c>
      <c r="B236" s="33" t="s">
        <v>563</v>
      </c>
      <c r="C236" s="34">
        <v>45966</v>
      </c>
      <c r="D236" s="34">
        <v>45967</v>
      </c>
      <c r="E236" s="33" t="s">
        <v>557</v>
      </c>
      <c r="F236" s="35">
        <v>256779418906</v>
      </c>
      <c r="G236" s="33" t="s">
        <v>559</v>
      </c>
      <c r="H236" s="36">
        <v>35.25</v>
      </c>
      <c r="I236" s="37" t="s">
        <v>560</v>
      </c>
      <c r="J236" s="38">
        <v>3102.12</v>
      </c>
      <c r="K236" s="33" t="s">
        <v>561</v>
      </c>
      <c r="L236" s="33" t="s">
        <v>821</v>
      </c>
      <c r="M236" s="54" cm="1">
        <f t="array" ref="M236:N236">_xlfn.XLOOKUP(F236,'Customer Data Vlookup'!$L:$L,'Customer Data Vlookup'!$M:$N,,0)</f>
        <v>0</v>
      </c>
      <c r="N236" s="54">
        <v>3014.1161000000002</v>
      </c>
      <c r="O236" s="54">
        <f t="shared" si="9"/>
        <v>3014.1161000000002</v>
      </c>
      <c r="P236" s="54">
        <f t="shared" si="10"/>
        <v>88.003899999999703</v>
      </c>
      <c r="Q236" s="56">
        <f t="shared" si="11"/>
        <v>2.8368954134591732E-2</v>
      </c>
      <c r="R236" s="33" t="s">
        <v>822</v>
      </c>
      <c r="S236" s="34"/>
      <c r="T236" s="33" t="s">
        <v>558</v>
      </c>
    </row>
    <row r="237" spans="1:20" x14ac:dyDescent="0.35">
      <c r="A237" s="32">
        <v>1800005265</v>
      </c>
      <c r="B237" s="33" t="s">
        <v>563</v>
      </c>
      <c r="C237" s="34">
        <v>45750</v>
      </c>
      <c r="D237" s="34">
        <v>45752</v>
      </c>
      <c r="E237" s="33" t="s">
        <v>557</v>
      </c>
      <c r="F237" s="35">
        <v>256779410157</v>
      </c>
      <c r="G237" s="33" t="s">
        <v>559</v>
      </c>
      <c r="H237" s="36">
        <v>34.479999999999997</v>
      </c>
      <c r="I237" s="37" t="s">
        <v>560</v>
      </c>
      <c r="J237" s="38">
        <v>2997.06</v>
      </c>
      <c r="K237" s="33" t="s">
        <v>558</v>
      </c>
      <c r="L237" s="33" t="s">
        <v>557</v>
      </c>
      <c r="M237" s="54" cm="1">
        <f t="array" ref="M237:N237">_xlfn.XLOOKUP(F237,'Customer Data Vlookup'!$L:$L,'Customer Data Vlookup'!$M:$N,,0)</f>
        <v>0</v>
      </c>
      <c r="N237" s="54">
        <v>2883</v>
      </c>
      <c r="O237" s="54">
        <f t="shared" si="9"/>
        <v>2883</v>
      </c>
      <c r="P237" s="54">
        <f t="shared" si="10"/>
        <v>114.05999999999995</v>
      </c>
      <c r="Q237" s="56">
        <f t="shared" si="11"/>
        <v>3.8057296150227203E-2</v>
      </c>
      <c r="R237" s="33" t="s">
        <v>603</v>
      </c>
      <c r="S237" s="34"/>
      <c r="T237" s="33" t="s">
        <v>558</v>
      </c>
    </row>
    <row r="238" spans="1:20" x14ac:dyDescent="0.35">
      <c r="A238" s="32">
        <v>1800005309</v>
      </c>
      <c r="B238" s="33" t="s">
        <v>563</v>
      </c>
      <c r="C238" s="34">
        <v>45750</v>
      </c>
      <c r="D238" s="34">
        <v>45752</v>
      </c>
      <c r="E238" s="33" t="s">
        <v>557</v>
      </c>
      <c r="F238" s="35">
        <v>256779410201</v>
      </c>
      <c r="G238" s="33" t="s">
        <v>559</v>
      </c>
      <c r="H238" s="36">
        <v>34.479999999999997</v>
      </c>
      <c r="I238" s="37" t="s">
        <v>560</v>
      </c>
      <c r="J238" s="38">
        <v>2997.06</v>
      </c>
      <c r="K238" s="33" t="s">
        <v>558</v>
      </c>
      <c r="L238" s="33" t="s">
        <v>557</v>
      </c>
      <c r="M238" s="54" cm="1">
        <f t="array" ref="M238:N238">_xlfn.XLOOKUP(F238,'Customer Data Vlookup'!$L:$L,'Customer Data Vlookup'!$M:$N,,0)</f>
        <v>0</v>
      </c>
      <c r="N238" s="54">
        <v>2937</v>
      </c>
      <c r="O238" s="54">
        <f t="shared" si="9"/>
        <v>2937</v>
      </c>
      <c r="P238" s="54">
        <f t="shared" si="10"/>
        <v>60.059999999999945</v>
      </c>
      <c r="Q238" s="56">
        <f t="shared" si="11"/>
        <v>2.003963884606913E-2</v>
      </c>
      <c r="R238" s="33" t="s">
        <v>605</v>
      </c>
      <c r="S238" s="34"/>
      <c r="T238" s="33" t="s">
        <v>558</v>
      </c>
    </row>
    <row r="239" spans="1:20" x14ac:dyDescent="0.35">
      <c r="A239" s="32">
        <v>1800001033</v>
      </c>
      <c r="B239" s="33" t="s">
        <v>563</v>
      </c>
      <c r="C239" s="34">
        <v>45722</v>
      </c>
      <c r="D239" s="34">
        <v>45722</v>
      </c>
      <c r="E239" s="33" t="s">
        <v>557</v>
      </c>
      <c r="F239" s="35">
        <v>246779410973</v>
      </c>
      <c r="G239" s="33" t="s">
        <v>559</v>
      </c>
      <c r="H239" s="36">
        <v>33.799999999999997</v>
      </c>
      <c r="I239" s="37" t="s">
        <v>560</v>
      </c>
      <c r="J239" s="38">
        <v>2930.16</v>
      </c>
      <c r="K239" s="33" t="s">
        <v>561</v>
      </c>
      <c r="L239" s="33" t="s">
        <v>557</v>
      </c>
      <c r="M239" s="54" cm="1">
        <f t="array" ref="M239:N239">_xlfn.XLOOKUP(F239,'Customer Data Vlookup'!$L:$L,'Customer Data Vlookup'!$M:$N,,0)</f>
        <v>0</v>
      </c>
      <c r="N239" s="54">
        <v>2884</v>
      </c>
      <c r="O239" s="54">
        <f t="shared" si="9"/>
        <v>2884</v>
      </c>
      <c r="P239" s="54">
        <f t="shared" si="10"/>
        <v>46.159999999999854</v>
      </c>
      <c r="Q239" s="56">
        <f t="shared" si="11"/>
        <v>1.5753405957353816E-2</v>
      </c>
      <c r="R239" s="33" t="s">
        <v>924</v>
      </c>
      <c r="S239" s="34"/>
      <c r="T239" s="33" t="s">
        <v>558</v>
      </c>
    </row>
    <row r="240" spans="1:20" x14ac:dyDescent="0.35">
      <c r="A240" s="32">
        <v>1800014004</v>
      </c>
      <c r="B240" s="33" t="s">
        <v>563</v>
      </c>
      <c r="C240" s="34">
        <v>45948</v>
      </c>
      <c r="D240" s="34">
        <v>45951</v>
      </c>
      <c r="E240" s="33" t="s">
        <v>557</v>
      </c>
      <c r="F240" s="35">
        <v>256779418428</v>
      </c>
      <c r="G240" s="33" t="s">
        <v>559</v>
      </c>
      <c r="H240" s="36">
        <v>32.9</v>
      </c>
      <c r="I240" s="37" t="s">
        <v>560</v>
      </c>
      <c r="J240" s="38">
        <v>2901.48</v>
      </c>
      <c r="K240" s="33" t="s">
        <v>561</v>
      </c>
      <c r="L240" s="33" t="s">
        <v>692</v>
      </c>
      <c r="M240" s="54" cm="1">
        <f t="array" ref="M240:N240">_xlfn.XLOOKUP(F240,'Customer Data Vlookup'!$L:$L,'Customer Data Vlookup'!$M:$N,,0)</f>
        <v>88</v>
      </c>
      <c r="N240" s="54">
        <v>2901.2856000000002</v>
      </c>
      <c r="O240" s="54">
        <f t="shared" si="9"/>
        <v>2813.2856000000002</v>
      </c>
      <c r="P240" s="54">
        <f t="shared" si="10"/>
        <v>88.19439999999986</v>
      </c>
      <c r="Q240" s="56">
        <f t="shared" si="11"/>
        <v>3.0396349449246542E-2</v>
      </c>
      <c r="R240" s="33" t="s">
        <v>693</v>
      </c>
      <c r="S240" s="34"/>
      <c r="T240" s="33" t="s">
        <v>558</v>
      </c>
    </row>
    <row r="241" spans="1:20" x14ac:dyDescent="0.35">
      <c r="A241" s="32">
        <v>1800014282</v>
      </c>
      <c r="B241" s="33" t="s">
        <v>563</v>
      </c>
      <c r="C241" s="34">
        <v>45966</v>
      </c>
      <c r="D241" s="34">
        <v>45967</v>
      </c>
      <c r="E241" s="33" t="s">
        <v>557</v>
      </c>
      <c r="F241" s="35">
        <v>256779418819</v>
      </c>
      <c r="G241" s="33" t="s">
        <v>559</v>
      </c>
      <c r="H241" s="36">
        <v>32.74</v>
      </c>
      <c r="I241" s="37" t="s">
        <v>560</v>
      </c>
      <c r="J241" s="38">
        <v>2881.23</v>
      </c>
      <c r="K241" s="33" t="s">
        <v>561</v>
      </c>
      <c r="L241" s="33" t="s">
        <v>815</v>
      </c>
      <c r="M241" s="54" cm="1">
        <f t="array" ref="M241:N241">_xlfn.XLOOKUP(F241,'Customer Data Vlookup'!$L:$L,'Customer Data Vlookup'!$M:$N,,0)</f>
        <v>0</v>
      </c>
      <c r="N241" s="54">
        <v>2793.2276000000002</v>
      </c>
      <c r="O241" s="54">
        <f t="shared" si="9"/>
        <v>2793.2276000000002</v>
      </c>
      <c r="P241" s="54">
        <f t="shared" si="10"/>
        <v>88.002399999999852</v>
      </c>
      <c r="Q241" s="56">
        <f t="shared" si="11"/>
        <v>3.0543344335578849E-2</v>
      </c>
      <c r="R241" s="33" t="s">
        <v>816</v>
      </c>
      <c r="S241" s="34"/>
      <c r="T241" s="33" t="s">
        <v>558</v>
      </c>
    </row>
    <row r="242" spans="1:20" x14ac:dyDescent="0.35">
      <c r="A242" s="32">
        <v>1800006258</v>
      </c>
      <c r="B242" s="33" t="s">
        <v>563</v>
      </c>
      <c r="C242" s="34">
        <v>45762</v>
      </c>
      <c r="D242" s="34">
        <v>45763</v>
      </c>
      <c r="E242" s="33" t="s">
        <v>557</v>
      </c>
      <c r="F242" s="35">
        <v>256779411149</v>
      </c>
      <c r="G242" s="33" t="s">
        <v>559</v>
      </c>
      <c r="H242" s="36">
        <v>31.72</v>
      </c>
      <c r="I242" s="37" t="s">
        <v>560</v>
      </c>
      <c r="J242" s="38">
        <v>2757.16</v>
      </c>
      <c r="K242" s="33" t="s">
        <v>558</v>
      </c>
      <c r="L242" s="33" t="s">
        <v>557</v>
      </c>
      <c r="M242" s="54" cm="1">
        <f t="array" ref="M242:N242">_xlfn.XLOOKUP(F242,'Customer Data Vlookup'!$L:$L,'Customer Data Vlookup'!$M:$N,,0)</f>
        <v>0</v>
      </c>
      <c r="N242" s="54">
        <v>2664</v>
      </c>
      <c r="O242" s="54">
        <f t="shared" si="9"/>
        <v>2664</v>
      </c>
      <c r="P242" s="54">
        <f t="shared" si="10"/>
        <v>93.159999999999854</v>
      </c>
      <c r="Q242" s="56">
        <f t="shared" si="11"/>
        <v>3.3788390953009569E-2</v>
      </c>
      <c r="R242" s="33" t="s">
        <v>772</v>
      </c>
      <c r="S242" s="34"/>
      <c r="T242" s="33" t="s">
        <v>558</v>
      </c>
    </row>
    <row r="243" spans="1:20" x14ac:dyDescent="0.35">
      <c r="A243" s="32">
        <v>1800004599</v>
      </c>
      <c r="B243" s="33" t="s">
        <v>563</v>
      </c>
      <c r="C243" s="34">
        <v>45736</v>
      </c>
      <c r="D243" s="34">
        <v>45737</v>
      </c>
      <c r="E243" s="33" t="s">
        <v>557</v>
      </c>
      <c r="F243" s="35">
        <v>246779414467</v>
      </c>
      <c r="G243" s="33" t="s">
        <v>559</v>
      </c>
      <c r="H243" s="36">
        <v>31.73</v>
      </c>
      <c r="I243" s="37" t="s">
        <v>560</v>
      </c>
      <c r="J243" s="38">
        <v>2750.71</v>
      </c>
      <c r="K243" s="33" t="s">
        <v>561</v>
      </c>
      <c r="L243" s="33" t="s">
        <v>557</v>
      </c>
      <c r="M243" s="54" cm="1">
        <f t="array" ref="M243:N243">_xlfn.XLOOKUP(F243,'Customer Data Vlookup'!$L:$L,'Customer Data Vlookup'!$M:$N,,0)</f>
        <v>0</v>
      </c>
      <c r="N243" s="54">
        <v>2674</v>
      </c>
      <c r="O243" s="54">
        <f t="shared" si="9"/>
        <v>2674</v>
      </c>
      <c r="P243" s="54">
        <f t="shared" si="10"/>
        <v>76.710000000000036</v>
      </c>
      <c r="Q243" s="56">
        <f t="shared" si="11"/>
        <v>2.788734544899318E-2</v>
      </c>
      <c r="R243" s="33" t="s">
        <v>868</v>
      </c>
      <c r="S243" s="34"/>
      <c r="T243" s="33" t="s">
        <v>558</v>
      </c>
    </row>
    <row r="244" spans="1:20" x14ac:dyDescent="0.35">
      <c r="A244" s="32">
        <v>1800010118</v>
      </c>
      <c r="B244" s="33" t="s">
        <v>563</v>
      </c>
      <c r="C244" s="34">
        <v>45842</v>
      </c>
      <c r="D244" s="34">
        <v>45847</v>
      </c>
      <c r="E244" s="33" t="s">
        <v>557</v>
      </c>
      <c r="F244" s="35">
        <v>256779414878</v>
      </c>
      <c r="G244" s="33" t="s">
        <v>559</v>
      </c>
      <c r="H244" s="36">
        <v>31.73</v>
      </c>
      <c r="I244" s="37" t="s">
        <v>560</v>
      </c>
      <c r="J244" s="38">
        <v>2728.8</v>
      </c>
      <c r="K244" s="33" t="s">
        <v>561</v>
      </c>
      <c r="L244" s="33" t="s">
        <v>557</v>
      </c>
      <c r="M244" s="54" cm="1">
        <f t="array" ref="M244:N244">_xlfn.XLOOKUP(F244,'Customer Data Vlookup'!$L:$L,'Customer Data Vlookup'!$M:$N,,0)</f>
        <v>0</v>
      </c>
      <c r="N244" s="54">
        <v>2642.8006</v>
      </c>
      <c r="O244" s="54">
        <f t="shared" si="9"/>
        <v>2642.8006</v>
      </c>
      <c r="P244" s="54">
        <f t="shared" si="10"/>
        <v>85.999400000000151</v>
      </c>
      <c r="Q244" s="56">
        <f t="shared" si="11"/>
        <v>3.1515464673116445E-2</v>
      </c>
      <c r="R244" s="33" t="s">
        <v>806</v>
      </c>
      <c r="S244" s="34"/>
      <c r="T244" s="33" t="s">
        <v>558</v>
      </c>
    </row>
    <row r="245" spans="1:20" x14ac:dyDescent="0.35">
      <c r="A245" s="32">
        <v>1800010208</v>
      </c>
      <c r="B245" s="33" t="s">
        <v>563</v>
      </c>
      <c r="C245" s="34">
        <v>45845</v>
      </c>
      <c r="D245" s="34">
        <v>45847</v>
      </c>
      <c r="E245" s="33" t="s">
        <v>557</v>
      </c>
      <c r="F245" s="35">
        <v>256779414968</v>
      </c>
      <c r="G245" s="33" t="s">
        <v>559</v>
      </c>
      <c r="H245" s="36">
        <v>31.58</v>
      </c>
      <c r="I245" s="37" t="s">
        <v>560</v>
      </c>
      <c r="J245" s="38">
        <v>2715.9</v>
      </c>
      <c r="K245" s="33" t="s">
        <v>561</v>
      </c>
      <c r="L245" s="33" t="s">
        <v>557</v>
      </c>
      <c r="M245" s="54" cm="1">
        <f t="array" ref="M245:N245">_xlfn.XLOOKUP(F245,'Customer Data Vlookup'!$L:$L,'Customer Data Vlookup'!$M:$N,,0)</f>
        <v>0</v>
      </c>
      <c r="N245" s="54">
        <v>2629.9005000000002</v>
      </c>
      <c r="O245" s="54">
        <f t="shared" si="9"/>
        <v>2629.9005000000002</v>
      </c>
      <c r="P245" s="54">
        <f t="shared" si="10"/>
        <v>85.999499999999898</v>
      </c>
      <c r="Q245" s="56">
        <f t="shared" si="11"/>
        <v>3.1665193858389444E-2</v>
      </c>
      <c r="R245" s="33" t="s">
        <v>558</v>
      </c>
      <c r="S245" s="34"/>
      <c r="T245" s="33" t="s">
        <v>558</v>
      </c>
    </row>
    <row r="246" spans="1:20" x14ac:dyDescent="0.35">
      <c r="A246" s="32">
        <v>1800011011</v>
      </c>
      <c r="B246" s="33" t="s">
        <v>563</v>
      </c>
      <c r="C246" s="34">
        <v>45857</v>
      </c>
      <c r="D246" s="34">
        <v>45859</v>
      </c>
      <c r="E246" s="33" t="s">
        <v>557</v>
      </c>
      <c r="F246" s="35">
        <v>256779415771</v>
      </c>
      <c r="G246" s="33" t="s">
        <v>559</v>
      </c>
      <c r="H246" s="36">
        <v>30.76</v>
      </c>
      <c r="I246" s="37" t="s">
        <v>560</v>
      </c>
      <c r="J246" s="38">
        <v>2645.38</v>
      </c>
      <c r="K246" s="33" t="s">
        <v>561</v>
      </c>
      <c r="L246" s="33" t="s">
        <v>557</v>
      </c>
      <c r="M246" s="54" cm="1">
        <f t="array" ref="M246:N246">_xlfn.XLOOKUP(F246,'Customer Data Vlookup'!$L:$L,'Customer Data Vlookup'!$M:$N,,0)</f>
        <v>0</v>
      </c>
      <c r="N246" s="54">
        <v>2559.3798999999999</v>
      </c>
      <c r="O246" s="54">
        <f t="shared" si="9"/>
        <v>2559.3798999999999</v>
      </c>
      <c r="P246" s="54">
        <f t="shared" si="10"/>
        <v>86.000100000000202</v>
      </c>
      <c r="Q246" s="56">
        <f t="shared" si="11"/>
        <v>3.2509544942503611E-2</v>
      </c>
      <c r="R246" s="33" t="s">
        <v>682</v>
      </c>
      <c r="S246" s="34"/>
      <c r="T246" s="33" t="s">
        <v>558</v>
      </c>
    </row>
    <row r="247" spans="1:20" x14ac:dyDescent="0.35">
      <c r="A247" s="32">
        <v>1800001259</v>
      </c>
      <c r="B247" s="33" t="s">
        <v>563</v>
      </c>
      <c r="C247" s="34">
        <v>45722</v>
      </c>
      <c r="D247" s="34">
        <v>45723</v>
      </c>
      <c r="E247" s="33" t="s">
        <v>557</v>
      </c>
      <c r="F247" s="35">
        <v>246779411128</v>
      </c>
      <c r="G247" s="33" t="s">
        <v>559</v>
      </c>
      <c r="H247" s="36">
        <v>28.2</v>
      </c>
      <c r="I247" s="37" t="s">
        <v>560</v>
      </c>
      <c r="J247" s="38">
        <v>2444.69</v>
      </c>
      <c r="K247" s="33" t="s">
        <v>561</v>
      </c>
      <c r="L247" s="33" t="s">
        <v>557</v>
      </c>
      <c r="M247" s="54" cm="1">
        <f t="array" ref="M247:N247">_xlfn.XLOOKUP(F247,'Customer Data Vlookup'!$L:$L,'Customer Data Vlookup'!$M:$N,,0)</f>
        <v>0</v>
      </c>
      <c r="N247" s="54">
        <v>2406</v>
      </c>
      <c r="O247" s="54">
        <f t="shared" si="9"/>
        <v>2406</v>
      </c>
      <c r="P247" s="54">
        <f t="shared" si="10"/>
        <v>38.690000000000055</v>
      </c>
      <c r="Q247" s="56">
        <f t="shared" si="11"/>
        <v>1.5826137465281918E-2</v>
      </c>
      <c r="R247" s="33" t="s">
        <v>675</v>
      </c>
      <c r="S247" s="34"/>
      <c r="T247" s="33" t="s">
        <v>558</v>
      </c>
    </row>
    <row r="248" spans="1:20" x14ac:dyDescent="0.35">
      <c r="A248" s="32">
        <v>1800007764</v>
      </c>
      <c r="B248" s="33" t="s">
        <v>563</v>
      </c>
      <c r="C248" s="34">
        <v>45769</v>
      </c>
      <c r="D248" s="34">
        <v>45770</v>
      </c>
      <c r="E248" s="33" t="s">
        <v>557</v>
      </c>
      <c r="F248" s="35">
        <v>256779412655</v>
      </c>
      <c r="G248" s="33" t="s">
        <v>559</v>
      </c>
      <c r="H248" s="36">
        <v>25</v>
      </c>
      <c r="I248" s="37" t="s">
        <v>560</v>
      </c>
      <c r="J248" s="38">
        <v>2173.0500000000002</v>
      </c>
      <c r="K248" s="33" t="s">
        <v>561</v>
      </c>
      <c r="L248" s="33" t="s">
        <v>557</v>
      </c>
      <c r="M248" s="54" cm="1">
        <f t="array" ref="M248:N248">_xlfn.XLOOKUP(F248,'Customer Data Vlookup'!$L:$L,'Customer Data Vlookup'!$M:$N,,0)</f>
        <v>0</v>
      </c>
      <c r="N248" s="54">
        <v>2085</v>
      </c>
      <c r="O248" s="54">
        <f t="shared" si="9"/>
        <v>2085</v>
      </c>
      <c r="P248" s="54">
        <f t="shared" si="10"/>
        <v>88.050000000000182</v>
      </c>
      <c r="Q248" s="56">
        <f t="shared" si="11"/>
        <v>4.0519086077172715E-2</v>
      </c>
      <c r="R248" s="33" t="s">
        <v>654</v>
      </c>
      <c r="S248" s="34"/>
      <c r="T248" s="33" t="s">
        <v>558</v>
      </c>
    </row>
    <row r="249" spans="1:20" x14ac:dyDescent="0.35">
      <c r="A249" s="32">
        <v>1800004449</v>
      </c>
      <c r="B249" s="33" t="s">
        <v>563</v>
      </c>
      <c r="C249" s="34">
        <v>45737</v>
      </c>
      <c r="D249" s="34">
        <v>45737</v>
      </c>
      <c r="E249" s="33" t="s">
        <v>557</v>
      </c>
      <c r="F249" s="35">
        <v>246779414317</v>
      </c>
      <c r="G249" s="33" t="s">
        <v>559</v>
      </c>
      <c r="H249" s="36">
        <v>25</v>
      </c>
      <c r="I249" s="37" t="s">
        <v>560</v>
      </c>
      <c r="J249" s="38">
        <v>2167.2800000000002</v>
      </c>
      <c r="K249" s="33" t="s">
        <v>561</v>
      </c>
      <c r="L249" s="33" t="s">
        <v>557</v>
      </c>
      <c r="M249" s="54" cm="1">
        <f t="array" ref="M249:N249">_xlfn.XLOOKUP(F249,'Customer Data Vlookup'!$L:$L,'Customer Data Vlookup'!$M:$N,,0)</f>
        <v>0</v>
      </c>
      <c r="N249" s="54">
        <v>1907</v>
      </c>
      <c r="O249" s="54">
        <f t="shared" si="9"/>
        <v>1907</v>
      </c>
      <c r="P249" s="54">
        <f t="shared" si="10"/>
        <v>260.2800000000002</v>
      </c>
      <c r="Q249" s="56">
        <f t="shared" si="11"/>
        <v>0.12009523457974981</v>
      </c>
      <c r="R249" s="33" t="s">
        <v>675</v>
      </c>
      <c r="S249" s="34"/>
      <c r="T249" s="33" t="s">
        <v>558</v>
      </c>
    </row>
    <row r="250" spans="1:20" x14ac:dyDescent="0.35">
      <c r="A250" s="32">
        <v>1800001117</v>
      </c>
      <c r="B250" s="33" t="s">
        <v>563</v>
      </c>
      <c r="C250" s="34">
        <v>45722</v>
      </c>
      <c r="D250" s="34">
        <v>45723</v>
      </c>
      <c r="E250" s="33" t="s">
        <v>557</v>
      </c>
      <c r="F250" s="35">
        <v>246779411053</v>
      </c>
      <c r="G250" s="33" t="s">
        <v>559</v>
      </c>
      <c r="H250" s="36">
        <v>24.4</v>
      </c>
      <c r="I250" s="37" t="s">
        <v>560</v>
      </c>
      <c r="J250" s="38">
        <v>2115.27</v>
      </c>
      <c r="K250" s="33" t="s">
        <v>561</v>
      </c>
      <c r="L250" s="33" t="s">
        <v>557</v>
      </c>
      <c r="M250" s="54" cm="1">
        <f t="array" ref="M250:N250">_xlfn.XLOOKUP(F250,'Customer Data Vlookup'!$L:$L,'Customer Data Vlookup'!$M:$N,,0)</f>
        <v>0</v>
      </c>
      <c r="N250" s="54">
        <v>1981</v>
      </c>
      <c r="O250" s="54">
        <f t="shared" si="9"/>
        <v>1981</v>
      </c>
      <c r="P250" s="54">
        <f t="shared" si="10"/>
        <v>134.26999999999998</v>
      </c>
      <c r="Q250" s="56">
        <f t="shared" si="11"/>
        <v>6.3476530182908081E-2</v>
      </c>
      <c r="R250" s="33" t="s">
        <v>925</v>
      </c>
      <c r="S250" s="34"/>
      <c r="T250" s="33" t="s">
        <v>558</v>
      </c>
    </row>
    <row r="251" spans="1:20" x14ac:dyDescent="0.35">
      <c r="A251" s="32">
        <v>1800006916</v>
      </c>
      <c r="B251" s="33" t="s">
        <v>563</v>
      </c>
      <c r="C251" s="34">
        <v>45763</v>
      </c>
      <c r="D251" s="34">
        <v>45764</v>
      </c>
      <c r="E251" s="33" t="s">
        <v>557</v>
      </c>
      <c r="F251" s="35">
        <v>256779411807</v>
      </c>
      <c r="G251" s="33" t="s">
        <v>559</v>
      </c>
      <c r="H251" s="36">
        <v>23.5</v>
      </c>
      <c r="I251" s="37" t="s">
        <v>560</v>
      </c>
      <c r="J251" s="38">
        <v>2042.66</v>
      </c>
      <c r="K251" s="33" t="s">
        <v>561</v>
      </c>
      <c r="L251" s="33" t="s">
        <v>557</v>
      </c>
      <c r="M251" s="54" cm="1">
        <f t="array" ref="M251:N251">_xlfn.XLOOKUP(F251,'Customer Data Vlookup'!$L:$L,'Customer Data Vlookup'!$M:$N,,0)</f>
        <v>0</v>
      </c>
      <c r="N251" s="54">
        <v>2053.9</v>
      </c>
      <c r="O251" s="54">
        <f t="shared" si="9"/>
        <v>2053.9</v>
      </c>
      <c r="P251" s="54">
        <f t="shared" si="10"/>
        <v>-11.240000000000009</v>
      </c>
      <c r="Q251" s="56">
        <f t="shared" si="11"/>
        <v>-5.502628925029133E-3</v>
      </c>
      <c r="R251" s="33" t="s">
        <v>779</v>
      </c>
      <c r="S251" s="34"/>
      <c r="T251" s="33" t="s">
        <v>558</v>
      </c>
    </row>
    <row r="252" spans="1:20" x14ac:dyDescent="0.35">
      <c r="A252" s="32">
        <v>1800001383</v>
      </c>
      <c r="B252" s="33" t="s">
        <v>563</v>
      </c>
      <c r="C252" s="34">
        <v>45722</v>
      </c>
      <c r="D252" s="34">
        <v>45723</v>
      </c>
      <c r="E252" s="33" t="s">
        <v>557</v>
      </c>
      <c r="F252" s="35">
        <v>246779411252</v>
      </c>
      <c r="G252" s="33" t="s">
        <v>559</v>
      </c>
      <c r="H252" s="36">
        <v>23.5</v>
      </c>
      <c r="I252" s="37" t="s">
        <v>560</v>
      </c>
      <c r="J252" s="38">
        <v>2037.24</v>
      </c>
      <c r="K252" s="33" t="s">
        <v>561</v>
      </c>
      <c r="L252" s="33" t="s">
        <v>557</v>
      </c>
      <c r="M252" s="54" cm="1">
        <f t="array" ref="M252:N252">_xlfn.XLOOKUP(F252,'Customer Data Vlookup'!$L:$L,'Customer Data Vlookup'!$M:$N,,0)</f>
        <v>0</v>
      </c>
      <c r="N252" s="54">
        <v>1907</v>
      </c>
      <c r="O252" s="54">
        <f t="shared" si="9"/>
        <v>1907</v>
      </c>
      <c r="P252" s="54">
        <f t="shared" si="10"/>
        <v>130.24</v>
      </c>
      <c r="Q252" s="56">
        <f t="shared" si="11"/>
        <v>6.3929630284109876E-2</v>
      </c>
      <c r="R252" s="33" t="s">
        <v>779</v>
      </c>
      <c r="S252" s="34"/>
      <c r="T252" s="33" t="s">
        <v>558</v>
      </c>
    </row>
    <row r="253" spans="1:20" x14ac:dyDescent="0.35">
      <c r="A253" s="32">
        <v>1800001114</v>
      </c>
      <c r="B253" s="33" t="s">
        <v>563</v>
      </c>
      <c r="C253" s="34">
        <v>45722</v>
      </c>
      <c r="D253" s="34">
        <v>45723</v>
      </c>
      <c r="E253" s="33" t="s">
        <v>557</v>
      </c>
      <c r="F253" s="35">
        <v>246779411050</v>
      </c>
      <c r="G253" s="33" t="s">
        <v>559</v>
      </c>
      <c r="H253" s="36">
        <v>23.5</v>
      </c>
      <c r="I253" s="37" t="s">
        <v>560</v>
      </c>
      <c r="J253" s="38">
        <v>2037.24</v>
      </c>
      <c r="K253" s="33" t="s">
        <v>561</v>
      </c>
      <c r="L253" s="33" t="s">
        <v>557</v>
      </c>
      <c r="M253" s="54" cm="1">
        <f t="array" ref="M253:N253">_xlfn.XLOOKUP(F253,'Customer Data Vlookup'!$L:$L,'Customer Data Vlookup'!$M:$N,,0)</f>
        <v>0</v>
      </c>
      <c r="N253" s="54">
        <v>1907</v>
      </c>
      <c r="O253" s="54">
        <f t="shared" si="9"/>
        <v>1907</v>
      </c>
      <c r="P253" s="54">
        <f t="shared" si="10"/>
        <v>130.24</v>
      </c>
      <c r="Q253" s="56">
        <f t="shared" si="11"/>
        <v>6.3929630284109876E-2</v>
      </c>
      <c r="R253" s="33" t="s">
        <v>925</v>
      </c>
      <c r="S253" s="34"/>
      <c r="T253" s="33" t="s">
        <v>558</v>
      </c>
    </row>
    <row r="254" spans="1:20" x14ac:dyDescent="0.35">
      <c r="A254" s="32">
        <v>1800001316</v>
      </c>
      <c r="B254" s="33" t="s">
        <v>563</v>
      </c>
      <c r="C254" s="34">
        <v>45722</v>
      </c>
      <c r="D254" s="34">
        <v>45723</v>
      </c>
      <c r="E254" s="33" t="s">
        <v>557</v>
      </c>
      <c r="F254" s="35">
        <v>246779411185</v>
      </c>
      <c r="G254" s="33" t="s">
        <v>559</v>
      </c>
      <c r="H254" s="36">
        <v>23.5</v>
      </c>
      <c r="I254" s="37" t="s">
        <v>560</v>
      </c>
      <c r="J254" s="38">
        <v>2037.24</v>
      </c>
      <c r="K254" s="33" t="s">
        <v>561</v>
      </c>
      <c r="L254" s="33" t="s">
        <v>557</v>
      </c>
      <c r="M254" s="54" cm="1">
        <f t="array" ref="M254:N254">_xlfn.XLOOKUP(F254,'Customer Data Vlookup'!$L:$L,'Customer Data Vlookup'!$M:$N,,0)</f>
        <v>0</v>
      </c>
      <c r="N254" s="54">
        <v>2004</v>
      </c>
      <c r="O254" s="54">
        <f t="shared" si="9"/>
        <v>2004</v>
      </c>
      <c r="P254" s="54">
        <f t="shared" si="10"/>
        <v>33.240000000000009</v>
      </c>
      <c r="Q254" s="56">
        <f t="shared" si="11"/>
        <v>1.631619249572952E-2</v>
      </c>
      <c r="R254" s="33" t="s">
        <v>926</v>
      </c>
      <c r="S254" s="34"/>
      <c r="T254" s="33" t="s">
        <v>558</v>
      </c>
    </row>
    <row r="255" spans="1:20" x14ac:dyDescent="0.35">
      <c r="A255" s="32">
        <v>1800001317</v>
      </c>
      <c r="B255" s="33" t="s">
        <v>563</v>
      </c>
      <c r="C255" s="34">
        <v>45722</v>
      </c>
      <c r="D255" s="34">
        <v>45723</v>
      </c>
      <c r="E255" s="33" t="s">
        <v>557</v>
      </c>
      <c r="F255" s="35">
        <v>246779411186</v>
      </c>
      <c r="G255" s="33" t="s">
        <v>559</v>
      </c>
      <c r="H255" s="36">
        <v>23.5</v>
      </c>
      <c r="I255" s="37" t="s">
        <v>560</v>
      </c>
      <c r="J255" s="38">
        <v>2037.24</v>
      </c>
      <c r="K255" s="33" t="s">
        <v>561</v>
      </c>
      <c r="L255" s="33" t="s">
        <v>557</v>
      </c>
      <c r="M255" s="54" cm="1">
        <f t="array" ref="M255:N255">_xlfn.XLOOKUP(F255,'Customer Data Vlookup'!$L:$L,'Customer Data Vlookup'!$M:$N,,0)</f>
        <v>0</v>
      </c>
      <c r="N255" s="54">
        <v>2004</v>
      </c>
      <c r="O255" s="54">
        <f t="shared" si="9"/>
        <v>2004</v>
      </c>
      <c r="P255" s="54">
        <f t="shared" si="10"/>
        <v>33.240000000000009</v>
      </c>
      <c r="Q255" s="56">
        <f t="shared" si="11"/>
        <v>1.631619249572952E-2</v>
      </c>
      <c r="R255" s="33" t="s">
        <v>926</v>
      </c>
      <c r="S255" s="34"/>
      <c r="T255" s="33" t="s">
        <v>558</v>
      </c>
    </row>
    <row r="256" spans="1:20" x14ac:dyDescent="0.35">
      <c r="A256" s="32">
        <v>1800001318</v>
      </c>
      <c r="B256" s="33" t="s">
        <v>563</v>
      </c>
      <c r="C256" s="34">
        <v>45722</v>
      </c>
      <c r="D256" s="34">
        <v>45723</v>
      </c>
      <c r="E256" s="33" t="s">
        <v>557</v>
      </c>
      <c r="F256" s="35">
        <v>246779411187</v>
      </c>
      <c r="G256" s="33" t="s">
        <v>559</v>
      </c>
      <c r="H256" s="36">
        <v>23.5</v>
      </c>
      <c r="I256" s="37" t="s">
        <v>560</v>
      </c>
      <c r="J256" s="38">
        <v>2037.24</v>
      </c>
      <c r="K256" s="33" t="s">
        <v>561</v>
      </c>
      <c r="L256" s="33" t="s">
        <v>557</v>
      </c>
      <c r="M256" s="54" cm="1">
        <f t="array" ref="M256:N256">_xlfn.XLOOKUP(F256,'Customer Data Vlookup'!$L:$L,'Customer Data Vlookup'!$M:$N,,0)</f>
        <v>0</v>
      </c>
      <c r="N256" s="54">
        <v>2004</v>
      </c>
      <c r="O256" s="54">
        <f t="shared" si="9"/>
        <v>2004</v>
      </c>
      <c r="P256" s="54">
        <f t="shared" si="10"/>
        <v>33.240000000000009</v>
      </c>
      <c r="Q256" s="56">
        <f t="shared" si="11"/>
        <v>1.631619249572952E-2</v>
      </c>
      <c r="R256" s="33" t="s">
        <v>926</v>
      </c>
      <c r="S256" s="34"/>
      <c r="T256" s="33" t="s">
        <v>558</v>
      </c>
    </row>
    <row r="257" spans="1:20" x14ac:dyDescent="0.35">
      <c r="A257" s="32">
        <v>1800001319</v>
      </c>
      <c r="B257" s="33" t="s">
        <v>563</v>
      </c>
      <c r="C257" s="34">
        <v>45722</v>
      </c>
      <c r="D257" s="34">
        <v>45723</v>
      </c>
      <c r="E257" s="33" t="s">
        <v>557</v>
      </c>
      <c r="F257" s="35">
        <v>246779411188</v>
      </c>
      <c r="G257" s="33" t="s">
        <v>559</v>
      </c>
      <c r="H257" s="36">
        <v>23.5</v>
      </c>
      <c r="I257" s="37" t="s">
        <v>560</v>
      </c>
      <c r="J257" s="38">
        <v>2037.24</v>
      </c>
      <c r="K257" s="33" t="s">
        <v>561</v>
      </c>
      <c r="L257" s="33" t="s">
        <v>557</v>
      </c>
      <c r="M257" s="54" cm="1">
        <f t="array" ref="M257:N257">_xlfn.XLOOKUP(F257,'Customer Data Vlookup'!$L:$L,'Customer Data Vlookup'!$M:$N,,0)</f>
        <v>0</v>
      </c>
      <c r="N257" s="54">
        <v>2004</v>
      </c>
      <c r="O257" s="54">
        <f t="shared" si="9"/>
        <v>2004</v>
      </c>
      <c r="P257" s="54">
        <f t="shared" si="10"/>
        <v>33.240000000000009</v>
      </c>
      <c r="Q257" s="56">
        <f t="shared" si="11"/>
        <v>1.631619249572952E-2</v>
      </c>
      <c r="R257" s="33" t="s">
        <v>926</v>
      </c>
      <c r="S257" s="34"/>
      <c r="T257" s="33" t="s">
        <v>558</v>
      </c>
    </row>
    <row r="258" spans="1:20" x14ac:dyDescent="0.35">
      <c r="A258" s="32">
        <v>1800001320</v>
      </c>
      <c r="B258" s="33" t="s">
        <v>563</v>
      </c>
      <c r="C258" s="34">
        <v>45722</v>
      </c>
      <c r="D258" s="34">
        <v>45723</v>
      </c>
      <c r="E258" s="33" t="s">
        <v>557</v>
      </c>
      <c r="F258" s="35">
        <v>246779411189</v>
      </c>
      <c r="G258" s="33" t="s">
        <v>559</v>
      </c>
      <c r="H258" s="36">
        <v>23.5</v>
      </c>
      <c r="I258" s="37" t="s">
        <v>560</v>
      </c>
      <c r="J258" s="38">
        <v>2037.24</v>
      </c>
      <c r="K258" s="33" t="s">
        <v>561</v>
      </c>
      <c r="L258" s="33" t="s">
        <v>557</v>
      </c>
      <c r="M258" s="54" cm="1">
        <f t="array" ref="M258:N258">_xlfn.XLOOKUP(F258,'Customer Data Vlookup'!$L:$L,'Customer Data Vlookup'!$M:$N,,0)</f>
        <v>0</v>
      </c>
      <c r="N258" s="54">
        <v>2004</v>
      </c>
      <c r="O258" s="54">
        <f t="shared" si="9"/>
        <v>2004</v>
      </c>
      <c r="P258" s="54">
        <f t="shared" si="10"/>
        <v>33.240000000000009</v>
      </c>
      <c r="Q258" s="56">
        <f t="shared" si="11"/>
        <v>1.631619249572952E-2</v>
      </c>
      <c r="R258" s="33" t="s">
        <v>926</v>
      </c>
      <c r="S258" s="34"/>
      <c r="T258" s="33" t="s">
        <v>558</v>
      </c>
    </row>
    <row r="259" spans="1:20" x14ac:dyDescent="0.35">
      <c r="A259" s="32">
        <v>1800000545</v>
      </c>
      <c r="B259" s="33" t="s">
        <v>563</v>
      </c>
      <c r="C259" s="34">
        <v>45719</v>
      </c>
      <c r="D259" s="34">
        <v>45719</v>
      </c>
      <c r="E259" s="33" t="s">
        <v>557</v>
      </c>
      <c r="F259" s="35">
        <v>246779410495</v>
      </c>
      <c r="G259" s="33" t="s">
        <v>559</v>
      </c>
      <c r="H259" s="36">
        <v>23.5</v>
      </c>
      <c r="I259" s="37" t="s">
        <v>560</v>
      </c>
      <c r="J259" s="38">
        <v>2037.24</v>
      </c>
      <c r="K259" s="33" t="s">
        <v>561</v>
      </c>
      <c r="L259" s="33" t="s">
        <v>557</v>
      </c>
      <c r="M259" s="54" cm="1">
        <f t="array" ref="M259:N259">_xlfn.XLOOKUP(F259,'Customer Data Vlookup'!$L:$L,'Customer Data Vlookup'!$M:$N,,0)</f>
        <v>0</v>
      </c>
      <c r="N259" s="54">
        <v>2009</v>
      </c>
      <c r="O259" s="54">
        <f t="shared" si="9"/>
        <v>2009</v>
      </c>
      <c r="P259" s="54">
        <f t="shared" si="10"/>
        <v>28.240000000000009</v>
      </c>
      <c r="Q259" s="56">
        <f t="shared" si="11"/>
        <v>1.3861891578802698E-2</v>
      </c>
      <c r="R259" s="33" t="s">
        <v>928</v>
      </c>
      <c r="S259" s="34"/>
      <c r="T259" s="33" t="s">
        <v>558</v>
      </c>
    </row>
    <row r="260" spans="1:20" x14ac:dyDescent="0.35">
      <c r="A260" s="32">
        <v>1800000552</v>
      </c>
      <c r="B260" s="33" t="s">
        <v>563</v>
      </c>
      <c r="C260" s="34">
        <v>45719</v>
      </c>
      <c r="D260" s="34">
        <v>45719</v>
      </c>
      <c r="E260" s="33" t="s">
        <v>557</v>
      </c>
      <c r="F260" s="35">
        <v>246779410502</v>
      </c>
      <c r="G260" s="33" t="s">
        <v>559</v>
      </c>
      <c r="H260" s="36">
        <v>23.5</v>
      </c>
      <c r="I260" s="37" t="s">
        <v>560</v>
      </c>
      <c r="J260" s="38">
        <v>2037.24</v>
      </c>
      <c r="K260" s="33" t="s">
        <v>561</v>
      </c>
      <c r="L260" s="33" t="s">
        <v>557</v>
      </c>
      <c r="M260" s="54" cm="1">
        <f t="array" ref="M260:N260">_xlfn.XLOOKUP(F260,'Customer Data Vlookup'!$L:$L,'Customer Data Vlookup'!$M:$N,,0)</f>
        <v>0</v>
      </c>
      <c r="N260" s="54">
        <v>2009</v>
      </c>
      <c r="O260" s="54">
        <f t="shared" ref="O260:O323" si="12">N260-M260</f>
        <v>2009</v>
      </c>
      <c r="P260" s="54">
        <f t="shared" ref="P260:P323" si="13">J260-O260</f>
        <v>28.240000000000009</v>
      </c>
      <c r="Q260" s="56">
        <f t="shared" ref="Q260:Q323" si="14">P260/J260</f>
        <v>1.3861891578802698E-2</v>
      </c>
      <c r="R260" s="33" t="s">
        <v>928</v>
      </c>
      <c r="S260" s="34"/>
      <c r="T260" s="33" t="s">
        <v>558</v>
      </c>
    </row>
    <row r="261" spans="1:20" x14ac:dyDescent="0.35">
      <c r="A261" s="32">
        <v>1800000665</v>
      </c>
      <c r="B261" s="33" t="s">
        <v>563</v>
      </c>
      <c r="C261" s="34">
        <v>45719</v>
      </c>
      <c r="D261" s="34">
        <v>45720</v>
      </c>
      <c r="E261" s="33" t="s">
        <v>557</v>
      </c>
      <c r="F261" s="35">
        <v>246779410605</v>
      </c>
      <c r="G261" s="33" t="s">
        <v>559</v>
      </c>
      <c r="H261" s="36">
        <v>23.5</v>
      </c>
      <c r="I261" s="37" t="s">
        <v>560</v>
      </c>
      <c r="J261" s="38">
        <v>2037.24</v>
      </c>
      <c r="K261" s="33" t="s">
        <v>561</v>
      </c>
      <c r="L261" s="33" t="s">
        <v>557</v>
      </c>
      <c r="M261" s="54" cm="1">
        <f t="array" ref="M261:N261">_xlfn.XLOOKUP(F261,'Customer Data Vlookup'!$L:$L,'Customer Data Vlookup'!$M:$N,,0)</f>
        <v>0</v>
      </c>
      <c r="N261" s="54">
        <v>2009</v>
      </c>
      <c r="O261" s="54">
        <f t="shared" si="12"/>
        <v>2009</v>
      </c>
      <c r="P261" s="54">
        <f t="shared" si="13"/>
        <v>28.240000000000009</v>
      </c>
      <c r="Q261" s="56">
        <f t="shared" si="14"/>
        <v>1.3861891578802698E-2</v>
      </c>
      <c r="R261" s="33" t="s">
        <v>906</v>
      </c>
      <c r="S261" s="34"/>
      <c r="T261" s="33" t="s">
        <v>558</v>
      </c>
    </row>
    <row r="262" spans="1:20" x14ac:dyDescent="0.35">
      <c r="A262" s="32">
        <v>1800012603</v>
      </c>
      <c r="B262" s="33" t="s">
        <v>563</v>
      </c>
      <c r="C262" s="34">
        <v>45904</v>
      </c>
      <c r="D262" s="34">
        <v>45909</v>
      </c>
      <c r="E262" s="33" t="s">
        <v>557</v>
      </c>
      <c r="F262" s="35">
        <v>256779417261</v>
      </c>
      <c r="G262" s="33" t="s">
        <v>559</v>
      </c>
      <c r="H262" s="36">
        <v>22.77</v>
      </c>
      <c r="I262" s="37" t="s">
        <v>560</v>
      </c>
      <c r="J262" s="38">
        <v>1992.7</v>
      </c>
      <c r="K262" s="33" t="s">
        <v>561</v>
      </c>
      <c r="L262" s="33" t="s">
        <v>557</v>
      </c>
      <c r="M262" s="54" cm="1">
        <f t="array" ref="M262:N262">_xlfn.XLOOKUP(F262,'Customer Data Vlookup'!$L:$L,'Customer Data Vlookup'!$M:$N,,0)</f>
        <v>0</v>
      </c>
      <c r="N262" s="54">
        <v>1992.7012</v>
      </c>
      <c r="O262" s="54">
        <f t="shared" si="12"/>
        <v>1992.7012</v>
      </c>
      <c r="P262" s="54">
        <f t="shared" si="13"/>
        <v>-1.199999999926149E-3</v>
      </c>
      <c r="Q262" s="56">
        <f t="shared" si="14"/>
        <v>-6.0219802274609781E-7</v>
      </c>
      <c r="R262" s="33" t="s">
        <v>799</v>
      </c>
      <c r="S262" s="34"/>
      <c r="T262" s="33" t="s">
        <v>558</v>
      </c>
    </row>
    <row r="263" spans="1:20" x14ac:dyDescent="0.35">
      <c r="A263" s="32">
        <v>1800002093</v>
      </c>
      <c r="B263" s="33" t="s">
        <v>563</v>
      </c>
      <c r="C263" s="34">
        <v>45733</v>
      </c>
      <c r="D263" s="34">
        <v>45734</v>
      </c>
      <c r="E263" s="33" t="s">
        <v>557</v>
      </c>
      <c r="F263" s="35">
        <v>246779411758</v>
      </c>
      <c r="G263" s="33" t="s">
        <v>559</v>
      </c>
      <c r="H263" s="36">
        <v>22.69</v>
      </c>
      <c r="I263" s="37" t="s">
        <v>560</v>
      </c>
      <c r="J263" s="38">
        <v>1967.02</v>
      </c>
      <c r="K263" s="33" t="s">
        <v>561</v>
      </c>
      <c r="L263" s="33" t="s">
        <v>557</v>
      </c>
      <c r="M263" s="54" cm="1">
        <f t="array" ref="M263:N263">_xlfn.XLOOKUP(F263,'Customer Data Vlookup'!$L:$L,'Customer Data Vlookup'!$M:$N,,0)</f>
        <v>0</v>
      </c>
      <c r="N263" s="54">
        <v>1842</v>
      </c>
      <c r="O263" s="54">
        <f t="shared" si="12"/>
        <v>1842</v>
      </c>
      <c r="P263" s="54">
        <f t="shared" si="13"/>
        <v>125.01999999999998</v>
      </c>
      <c r="Q263" s="56">
        <f t="shared" si="14"/>
        <v>6.3558072617461936E-2</v>
      </c>
      <c r="R263" s="33" t="s">
        <v>764</v>
      </c>
      <c r="S263" s="34"/>
      <c r="T263" s="33" t="s">
        <v>558</v>
      </c>
    </row>
    <row r="264" spans="1:20" x14ac:dyDescent="0.35">
      <c r="A264" s="32">
        <v>1800008035</v>
      </c>
      <c r="B264" s="33" t="s">
        <v>563</v>
      </c>
      <c r="C264" s="34">
        <v>45770</v>
      </c>
      <c r="D264" s="34">
        <v>45776</v>
      </c>
      <c r="E264" s="33" t="s">
        <v>557</v>
      </c>
      <c r="F264" s="35">
        <v>256779412926</v>
      </c>
      <c r="G264" s="33" t="s">
        <v>559</v>
      </c>
      <c r="H264" s="36">
        <v>22.5</v>
      </c>
      <c r="I264" s="37" t="s">
        <v>560</v>
      </c>
      <c r="J264" s="38">
        <v>1955.74</v>
      </c>
      <c r="K264" s="33" t="s">
        <v>561</v>
      </c>
      <c r="L264" s="33" t="s">
        <v>557</v>
      </c>
      <c r="M264" s="54" cm="1">
        <f t="array" ref="M264:N264">_xlfn.XLOOKUP(F264,'Customer Data Vlookup'!$L:$L,'Customer Data Vlookup'!$M:$N,,0)</f>
        <v>0</v>
      </c>
      <c r="N264" s="54">
        <v>1878</v>
      </c>
      <c r="O264" s="54">
        <f t="shared" si="12"/>
        <v>1878</v>
      </c>
      <c r="P264" s="54">
        <f t="shared" si="13"/>
        <v>77.740000000000009</v>
      </c>
      <c r="Q264" s="56">
        <f t="shared" si="14"/>
        <v>3.9749659975252337E-2</v>
      </c>
      <c r="R264" s="33" t="s">
        <v>671</v>
      </c>
      <c r="S264" s="34"/>
      <c r="T264" s="33" t="s">
        <v>558</v>
      </c>
    </row>
    <row r="265" spans="1:20" x14ac:dyDescent="0.35">
      <c r="A265" s="32">
        <v>1800001030</v>
      </c>
      <c r="B265" s="33" t="s">
        <v>563</v>
      </c>
      <c r="C265" s="34">
        <v>45722</v>
      </c>
      <c r="D265" s="34">
        <v>45722</v>
      </c>
      <c r="E265" s="33" t="s">
        <v>557</v>
      </c>
      <c r="F265" s="35">
        <v>246779410970</v>
      </c>
      <c r="G265" s="33" t="s">
        <v>559</v>
      </c>
      <c r="H265" s="36">
        <v>22.05</v>
      </c>
      <c r="I265" s="37" t="s">
        <v>560</v>
      </c>
      <c r="J265" s="38">
        <v>1911.54</v>
      </c>
      <c r="K265" s="33" t="s">
        <v>561</v>
      </c>
      <c r="L265" s="33" t="s">
        <v>557</v>
      </c>
      <c r="M265" s="54" cm="1">
        <f t="array" ref="M265:N265">_xlfn.XLOOKUP(F265,'Customer Data Vlookup'!$L:$L,'Customer Data Vlookup'!$M:$N,,0)</f>
        <v>0</v>
      </c>
      <c r="N265" s="54">
        <v>1882</v>
      </c>
      <c r="O265" s="54">
        <f t="shared" si="12"/>
        <v>1882</v>
      </c>
      <c r="P265" s="54">
        <f t="shared" si="13"/>
        <v>29.539999999999964</v>
      </c>
      <c r="Q265" s="56">
        <f t="shared" si="14"/>
        <v>1.5453508689329003E-2</v>
      </c>
      <c r="R265" s="33" t="s">
        <v>924</v>
      </c>
      <c r="S265" s="34"/>
      <c r="T265" s="33" t="s">
        <v>558</v>
      </c>
    </row>
    <row r="266" spans="1:20" x14ac:dyDescent="0.35">
      <c r="A266" s="32">
        <v>1800003871</v>
      </c>
      <c r="B266" s="33" t="s">
        <v>563</v>
      </c>
      <c r="C266" s="34">
        <v>45736</v>
      </c>
      <c r="D266" s="34">
        <v>45736</v>
      </c>
      <c r="E266" s="33" t="s">
        <v>557</v>
      </c>
      <c r="F266" s="35">
        <v>246779413739</v>
      </c>
      <c r="G266" s="33" t="s">
        <v>559</v>
      </c>
      <c r="H266" s="36">
        <v>21.15</v>
      </c>
      <c r="I266" s="37" t="s">
        <v>560</v>
      </c>
      <c r="J266" s="38">
        <v>1833.52</v>
      </c>
      <c r="K266" s="33" t="s">
        <v>561</v>
      </c>
      <c r="L266" s="33" t="s">
        <v>557</v>
      </c>
      <c r="M266" s="54" cm="1">
        <f t="array" ref="M266:N266">_xlfn.XLOOKUP(F266,'Customer Data Vlookup'!$L:$L,'Customer Data Vlookup'!$M:$N,,0)</f>
        <v>0</v>
      </c>
      <c r="N266" s="54">
        <v>1724</v>
      </c>
      <c r="O266" s="54">
        <f t="shared" si="12"/>
        <v>1724</v>
      </c>
      <c r="P266" s="54">
        <f t="shared" si="13"/>
        <v>109.51999999999998</v>
      </c>
      <c r="Q266" s="56">
        <f t="shared" si="14"/>
        <v>5.973210000436318E-2</v>
      </c>
      <c r="R266" s="33" t="s">
        <v>860</v>
      </c>
      <c r="S266" s="34"/>
      <c r="T266" s="33" t="s">
        <v>558</v>
      </c>
    </row>
    <row r="267" spans="1:20" x14ac:dyDescent="0.35">
      <c r="A267" s="32">
        <v>1800000747</v>
      </c>
      <c r="B267" s="33" t="s">
        <v>563</v>
      </c>
      <c r="C267" s="34">
        <v>45720</v>
      </c>
      <c r="D267" s="34">
        <v>45720</v>
      </c>
      <c r="E267" s="33" t="s">
        <v>557</v>
      </c>
      <c r="F267" s="35">
        <v>246779410687</v>
      </c>
      <c r="G267" s="33" t="s">
        <v>559</v>
      </c>
      <c r="H267" s="36">
        <v>21.15</v>
      </c>
      <c r="I267" s="37" t="s">
        <v>560</v>
      </c>
      <c r="J267" s="38">
        <v>1833.52</v>
      </c>
      <c r="K267" s="33" t="s">
        <v>561</v>
      </c>
      <c r="L267" s="33" t="s">
        <v>557</v>
      </c>
      <c r="M267" s="54" cm="1">
        <f t="array" ref="M267:N267">_xlfn.XLOOKUP(F267,'Customer Data Vlookup'!$L:$L,'Customer Data Vlookup'!$M:$N,,0)</f>
        <v>0</v>
      </c>
      <c r="N267" s="54">
        <v>1797</v>
      </c>
      <c r="O267" s="54">
        <f t="shared" si="12"/>
        <v>1797</v>
      </c>
      <c r="P267" s="54">
        <f t="shared" si="13"/>
        <v>36.519999999999982</v>
      </c>
      <c r="Q267" s="56">
        <f t="shared" si="14"/>
        <v>1.9917971988306634E-2</v>
      </c>
      <c r="R267" s="33" t="s">
        <v>914</v>
      </c>
      <c r="S267" s="34"/>
      <c r="T267" s="33" t="s">
        <v>558</v>
      </c>
    </row>
    <row r="268" spans="1:20" x14ac:dyDescent="0.35">
      <c r="A268" s="32">
        <v>1800009984</v>
      </c>
      <c r="B268" s="33" t="s">
        <v>563</v>
      </c>
      <c r="C268" s="34">
        <v>45827</v>
      </c>
      <c r="D268" s="34">
        <v>45829</v>
      </c>
      <c r="E268" s="33" t="s">
        <v>557</v>
      </c>
      <c r="F268" s="35">
        <v>256779414748</v>
      </c>
      <c r="G268" s="33" t="s">
        <v>559</v>
      </c>
      <c r="H268" s="36">
        <v>20.91</v>
      </c>
      <c r="I268" s="37" t="s">
        <v>560</v>
      </c>
      <c r="J268" s="38">
        <v>1787.61</v>
      </c>
      <c r="K268" s="33" t="s">
        <v>561</v>
      </c>
      <c r="L268" s="33" t="s">
        <v>558</v>
      </c>
      <c r="M268" s="54" cm="1">
        <f t="array" ref="M268:N268">_xlfn.XLOOKUP(F268,'Customer Data Vlookup'!$L:$L,'Customer Data Vlookup'!$M:$N,,0)</f>
        <v>0</v>
      </c>
      <c r="N268" s="54">
        <v>1800.3510000000001</v>
      </c>
      <c r="O268" s="54">
        <f t="shared" si="12"/>
        <v>1800.3510000000001</v>
      </c>
      <c r="P268" s="54">
        <f t="shared" si="13"/>
        <v>-12.741000000000213</v>
      </c>
      <c r="Q268" s="56">
        <f t="shared" si="14"/>
        <v>-7.1273935589978871E-3</v>
      </c>
      <c r="R268" s="33" t="s">
        <v>639</v>
      </c>
      <c r="S268" s="34"/>
      <c r="T268" s="33" t="s">
        <v>558</v>
      </c>
    </row>
    <row r="269" spans="1:20" x14ac:dyDescent="0.35">
      <c r="A269" s="32">
        <v>1800001381</v>
      </c>
      <c r="B269" s="33" t="s">
        <v>563</v>
      </c>
      <c r="C269" s="34">
        <v>45722</v>
      </c>
      <c r="D269" s="34">
        <v>45723</v>
      </c>
      <c r="E269" s="33" t="s">
        <v>557</v>
      </c>
      <c r="F269" s="35">
        <v>246779411250</v>
      </c>
      <c r="G269" s="33" t="s">
        <v>559</v>
      </c>
      <c r="H269" s="36">
        <v>19.7</v>
      </c>
      <c r="I269" s="37" t="s">
        <v>560</v>
      </c>
      <c r="J269" s="38">
        <v>1707.82</v>
      </c>
      <c r="K269" s="33" t="s">
        <v>561</v>
      </c>
      <c r="L269" s="33" t="s">
        <v>557</v>
      </c>
      <c r="M269" s="54" cm="1">
        <f t="array" ref="M269:N269">_xlfn.XLOOKUP(F269,'Customer Data Vlookup'!$L:$L,'Customer Data Vlookup'!$M:$N,,0)</f>
        <v>0</v>
      </c>
      <c r="N269" s="54">
        <v>1599</v>
      </c>
      <c r="O269" s="54">
        <f t="shared" si="12"/>
        <v>1599</v>
      </c>
      <c r="P269" s="54">
        <f t="shared" si="13"/>
        <v>108.81999999999994</v>
      </c>
      <c r="Q269" s="56">
        <f t="shared" si="14"/>
        <v>6.3718658875057052E-2</v>
      </c>
      <c r="R269" s="33" t="s">
        <v>779</v>
      </c>
      <c r="S269" s="34"/>
      <c r="T269" s="33" t="s">
        <v>558</v>
      </c>
    </row>
    <row r="270" spans="1:20" x14ac:dyDescent="0.35">
      <c r="A270" s="32">
        <v>1800007174</v>
      </c>
      <c r="B270" s="33" t="s">
        <v>563</v>
      </c>
      <c r="C270" s="34">
        <v>45763</v>
      </c>
      <c r="D270" s="34">
        <v>45764</v>
      </c>
      <c r="E270" s="33" t="s">
        <v>557</v>
      </c>
      <c r="F270" s="35">
        <v>256779412065</v>
      </c>
      <c r="G270" s="33" t="s">
        <v>559</v>
      </c>
      <c r="H270" s="36">
        <v>18.88</v>
      </c>
      <c r="I270" s="37" t="s">
        <v>560</v>
      </c>
      <c r="J270" s="38">
        <v>1641.08</v>
      </c>
      <c r="K270" s="33" t="s">
        <v>561</v>
      </c>
      <c r="L270" s="33" t="s">
        <v>557</v>
      </c>
      <c r="M270" s="54" cm="1">
        <f t="array" ref="M270:N270">_xlfn.XLOOKUP(F270,'Customer Data Vlookup'!$L:$L,'Customer Data Vlookup'!$M:$N,,0)</f>
        <v>0</v>
      </c>
      <c r="N270" s="54">
        <v>1584</v>
      </c>
      <c r="O270" s="54">
        <f t="shared" si="12"/>
        <v>1584</v>
      </c>
      <c r="P270" s="54">
        <f t="shared" si="13"/>
        <v>57.079999999999927</v>
      </c>
      <c r="Q270" s="56">
        <f t="shared" si="14"/>
        <v>3.4781972847149394E-2</v>
      </c>
      <c r="R270" s="33" t="s">
        <v>785</v>
      </c>
      <c r="S270" s="34"/>
      <c r="T270" s="33" t="s">
        <v>558</v>
      </c>
    </row>
    <row r="271" spans="1:20" x14ac:dyDescent="0.35">
      <c r="A271" s="32">
        <v>1800003755</v>
      </c>
      <c r="B271" s="33" t="s">
        <v>563</v>
      </c>
      <c r="C271" s="34">
        <v>45736</v>
      </c>
      <c r="D271" s="34">
        <v>45736</v>
      </c>
      <c r="E271" s="33" t="s">
        <v>557</v>
      </c>
      <c r="F271" s="35">
        <v>246779413622</v>
      </c>
      <c r="G271" s="33" t="s">
        <v>559</v>
      </c>
      <c r="H271" s="36">
        <v>18.8</v>
      </c>
      <c r="I271" s="37" t="s">
        <v>560</v>
      </c>
      <c r="J271" s="38">
        <v>1629.8</v>
      </c>
      <c r="K271" s="33" t="s">
        <v>561</v>
      </c>
      <c r="L271" s="33" t="s">
        <v>557</v>
      </c>
      <c r="M271" s="54" cm="1">
        <f t="array" ref="M271:N271">_xlfn.XLOOKUP(F271,'Customer Data Vlookup'!$L:$L,'Customer Data Vlookup'!$M:$N,,0)</f>
        <v>0</v>
      </c>
      <c r="N271" s="54">
        <v>1590</v>
      </c>
      <c r="O271" s="54">
        <f t="shared" si="12"/>
        <v>1590</v>
      </c>
      <c r="P271" s="54">
        <f t="shared" si="13"/>
        <v>39.799999999999955</v>
      </c>
      <c r="Q271" s="56">
        <f t="shared" si="14"/>
        <v>2.4420174254509729E-2</v>
      </c>
      <c r="R271" s="33" t="s">
        <v>860</v>
      </c>
      <c r="S271" s="34"/>
      <c r="T271" s="33" t="s">
        <v>558</v>
      </c>
    </row>
    <row r="272" spans="1:20" x14ac:dyDescent="0.35">
      <c r="A272" s="32">
        <v>1800003827</v>
      </c>
      <c r="B272" s="33" t="s">
        <v>563</v>
      </c>
      <c r="C272" s="34">
        <v>45736</v>
      </c>
      <c r="D272" s="34">
        <v>45736</v>
      </c>
      <c r="E272" s="33" t="s">
        <v>557</v>
      </c>
      <c r="F272" s="35">
        <v>246779413689</v>
      </c>
      <c r="G272" s="33" t="s">
        <v>559</v>
      </c>
      <c r="H272" s="36">
        <v>18.8</v>
      </c>
      <c r="I272" s="37" t="s">
        <v>560</v>
      </c>
      <c r="J272" s="38">
        <v>1629.8</v>
      </c>
      <c r="K272" s="33" t="s">
        <v>561</v>
      </c>
      <c r="L272" s="33" t="s">
        <v>557</v>
      </c>
      <c r="M272" s="54" cm="1">
        <f t="array" ref="M272:N272">_xlfn.XLOOKUP(F272,'Customer Data Vlookup'!$L:$L,'Customer Data Vlookup'!$M:$N,,0)</f>
        <v>0</v>
      </c>
      <c r="N272" s="54">
        <v>1591</v>
      </c>
      <c r="O272" s="54">
        <f t="shared" si="12"/>
        <v>1591</v>
      </c>
      <c r="P272" s="54">
        <f t="shared" si="13"/>
        <v>38.799999999999955</v>
      </c>
      <c r="Q272" s="56">
        <f t="shared" si="14"/>
        <v>2.3806602037059733E-2</v>
      </c>
      <c r="R272" s="33" t="s">
        <v>860</v>
      </c>
      <c r="S272" s="34"/>
      <c r="T272" s="33" t="s">
        <v>558</v>
      </c>
    </row>
    <row r="273" spans="1:20" x14ac:dyDescent="0.35">
      <c r="A273" s="32">
        <v>1800000906</v>
      </c>
      <c r="B273" s="33" t="s">
        <v>563</v>
      </c>
      <c r="C273" s="34">
        <v>45720</v>
      </c>
      <c r="D273" s="34">
        <v>45721</v>
      </c>
      <c r="E273" s="33" t="s">
        <v>557</v>
      </c>
      <c r="F273" s="35">
        <v>246779410847</v>
      </c>
      <c r="G273" s="33" t="s">
        <v>559</v>
      </c>
      <c r="H273" s="36">
        <v>18.8</v>
      </c>
      <c r="I273" s="37" t="s">
        <v>560</v>
      </c>
      <c r="J273" s="38">
        <v>1629.8</v>
      </c>
      <c r="K273" s="33" t="s">
        <v>561</v>
      </c>
      <c r="L273" s="33" t="s">
        <v>557</v>
      </c>
      <c r="M273" s="54" cm="1">
        <f t="array" ref="M273:N273">_xlfn.XLOOKUP(F273,'Customer Data Vlookup'!$L:$L,'Customer Data Vlookup'!$M:$N,,0)</f>
        <v>0</v>
      </c>
      <c r="N273" s="54">
        <v>1528</v>
      </c>
      <c r="O273" s="54">
        <f t="shared" si="12"/>
        <v>1528</v>
      </c>
      <c r="P273" s="54">
        <f t="shared" si="13"/>
        <v>101.79999999999995</v>
      </c>
      <c r="Q273" s="56">
        <f t="shared" si="14"/>
        <v>6.246165173640935E-2</v>
      </c>
      <c r="R273" s="33" t="s">
        <v>915</v>
      </c>
      <c r="S273" s="34"/>
      <c r="T273" s="33" t="s">
        <v>558</v>
      </c>
    </row>
    <row r="274" spans="1:20" x14ac:dyDescent="0.35">
      <c r="A274" s="32">
        <v>1800000914</v>
      </c>
      <c r="B274" s="33" t="s">
        <v>563</v>
      </c>
      <c r="C274" s="34">
        <v>45720</v>
      </c>
      <c r="D274" s="34">
        <v>45721</v>
      </c>
      <c r="E274" s="33" t="s">
        <v>557</v>
      </c>
      <c r="F274" s="35">
        <v>246779410855</v>
      </c>
      <c r="G274" s="33" t="s">
        <v>559</v>
      </c>
      <c r="H274" s="36">
        <v>18.8</v>
      </c>
      <c r="I274" s="37" t="s">
        <v>560</v>
      </c>
      <c r="J274" s="38">
        <v>1629.8</v>
      </c>
      <c r="K274" s="33" t="s">
        <v>561</v>
      </c>
      <c r="L274" s="33" t="s">
        <v>557</v>
      </c>
      <c r="M274" s="54" cm="1">
        <f t="array" ref="M274:N274">_xlfn.XLOOKUP(F274,'Customer Data Vlookup'!$L:$L,'Customer Data Vlookup'!$M:$N,,0)</f>
        <v>0</v>
      </c>
      <c r="N274" s="54">
        <v>1527</v>
      </c>
      <c r="O274" s="54">
        <f t="shared" si="12"/>
        <v>1527</v>
      </c>
      <c r="P274" s="54">
        <f t="shared" si="13"/>
        <v>102.79999999999995</v>
      </c>
      <c r="Q274" s="56">
        <f t="shared" si="14"/>
        <v>6.3075223953859338E-2</v>
      </c>
      <c r="R274" s="33" t="s">
        <v>915</v>
      </c>
      <c r="S274" s="34"/>
      <c r="T274" s="33" t="s">
        <v>558</v>
      </c>
    </row>
    <row r="275" spans="1:20" x14ac:dyDescent="0.35">
      <c r="A275" s="32">
        <v>1800000551</v>
      </c>
      <c r="B275" s="33" t="s">
        <v>563</v>
      </c>
      <c r="C275" s="34">
        <v>45719</v>
      </c>
      <c r="D275" s="34">
        <v>45719</v>
      </c>
      <c r="E275" s="33" t="s">
        <v>557</v>
      </c>
      <c r="F275" s="35">
        <v>246779410501</v>
      </c>
      <c r="G275" s="33" t="s">
        <v>559</v>
      </c>
      <c r="H275" s="36">
        <v>18.8</v>
      </c>
      <c r="I275" s="37" t="s">
        <v>560</v>
      </c>
      <c r="J275" s="38">
        <v>1629.8</v>
      </c>
      <c r="K275" s="33" t="s">
        <v>561</v>
      </c>
      <c r="L275" s="33" t="s">
        <v>557</v>
      </c>
      <c r="M275" s="54" cm="1">
        <f t="array" ref="M275:N275">_xlfn.XLOOKUP(F275,'Customer Data Vlookup'!$L:$L,'Customer Data Vlookup'!$M:$N,,0)</f>
        <v>0</v>
      </c>
      <c r="N275" s="54">
        <v>1607</v>
      </c>
      <c r="O275" s="54">
        <f t="shared" si="12"/>
        <v>1607</v>
      </c>
      <c r="P275" s="54">
        <f t="shared" si="13"/>
        <v>22.799999999999955</v>
      </c>
      <c r="Q275" s="56">
        <f t="shared" si="14"/>
        <v>1.3989446557859832E-2</v>
      </c>
      <c r="R275" s="33" t="s">
        <v>928</v>
      </c>
      <c r="S275" s="34"/>
      <c r="T275" s="33" t="s">
        <v>558</v>
      </c>
    </row>
    <row r="276" spans="1:20" hidden="1" x14ac:dyDescent="0.35">
      <c r="A276" s="32">
        <v>1800007089</v>
      </c>
      <c r="B276" s="33" t="s">
        <v>563</v>
      </c>
      <c r="C276" s="34">
        <v>45763</v>
      </c>
      <c r="D276" s="34">
        <v>45764</v>
      </c>
      <c r="E276" s="33" t="s">
        <v>557</v>
      </c>
      <c r="F276" s="35">
        <v>256779411980</v>
      </c>
      <c r="G276" s="33" t="s">
        <v>559</v>
      </c>
      <c r="H276" s="36">
        <v>17.420000000000002</v>
      </c>
      <c r="I276" s="37" t="s">
        <v>560</v>
      </c>
      <c r="J276" s="38">
        <v>1514.18</v>
      </c>
      <c r="K276" s="33" t="s">
        <v>561</v>
      </c>
      <c r="L276" s="33" t="s">
        <v>557</v>
      </c>
      <c r="M276" s="54" t="e" cm="1">
        <f t="array" ref="M276">_xlfn.XLOOKUP(F276,'Customer Data Vlookup'!$L:$L,'Customer Data Vlookup'!$M:$N,,0)</f>
        <v>#N/A</v>
      </c>
      <c r="N276" s="54"/>
      <c r="O276" s="53" t="e">
        <f t="shared" si="12"/>
        <v>#N/A</v>
      </c>
      <c r="P276" s="53" t="e">
        <f t="shared" si="13"/>
        <v>#N/A</v>
      </c>
      <c r="Q276" s="33" t="e">
        <f t="shared" si="14"/>
        <v>#N/A</v>
      </c>
      <c r="R276" s="33" t="s">
        <v>784</v>
      </c>
      <c r="S276" s="34"/>
      <c r="T276" s="33" t="s">
        <v>558</v>
      </c>
    </row>
    <row r="277" spans="1:20" x14ac:dyDescent="0.35">
      <c r="A277" s="32">
        <v>1800007784</v>
      </c>
      <c r="B277" s="33" t="s">
        <v>563</v>
      </c>
      <c r="C277" s="34">
        <v>45769</v>
      </c>
      <c r="D277" s="34">
        <v>45770</v>
      </c>
      <c r="E277" s="33" t="s">
        <v>557</v>
      </c>
      <c r="F277" s="35">
        <v>256779412675</v>
      </c>
      <c r="G277" s="33" t="s">
        <v>559</v>
      </c>
      <c r="H277" s="36">
        <v>17.350000000000001</v>
      </c>
      <c r="I277" s="37" t="s">
        <v>560</v>
      </c>
      <c r="J277" s="38">
        <v>1508.09</v>
      </c>
      <c r="K277" s="33" t="s">
        <v>561</v>
      </c>
      <c r="L277" s="33" t="s">
        <v>557</v>
      </c>
      <c r="M277" s="54" cm="1">
        <f t="array" ref="M277:N277">_xlfn.XLOOKUP(F277,'Customer Data Vlookup'!$L:$L,'Customer Data Vlookup'!$M:$N,,0)</f>
        <v>0</v>
      </c>
      <c r="N277" s="54">
        <v>1447</v>
      </c>
      <c r="O277" s="54">
        <f t="shared" si="12"/>
        <v>1447</v>
      </c>
      <c r="P277" s="54">
        <f t="shared" si="13"/>
        <v>61.089999999999918</v>
      </c>
      <c r="Q277" s="56">
        <f t="shared" si="14"/>
        <v>4.0508192481881006E-2</v>
      </c>
      <c r="R277" s="33" t="s">
        <v>655</v>
      </c>
      <c r="S277" s="34"/>
      <c r="T277" s="33" t="s">
        <v>558</v>
      </c>
    </row>
    <row r="278" spans="1:20" x14ac:dyDescent="0.35">
      <c r="A278" s="32">
        <v>1800001032</v>
      </c>
      <c r="B278" s="33" t="s">
        <v>563</v>
      </c>
      <c r="C278" s="34">
        <v>45722</v>
      </c>
      <c r="D278" s="34">
        <v>45722</v>
      </c>
      <c r="E278" s="33" t="s">
        <v>557</v>
      </c>
      <c r="F278" s="35">
        <v>246779410972</v>
      </c>
      <c r="G278" s="33" t="s">
        <v>559</v>
      </c>
      <c r="H278" s="36">
        <v>17.350000000000001</v>
      </c>
      <c r="I278" s="37" t="s">
        <v>560</v>
      </c>
      <c r="J278" s="38">
        <v>1504.09</v>
      </c>
      <c r="K278" s="33" t="s">
        <v>561</v>
      </c>
      <c r="L278" s="33" t="s">
        <v>557</v>
      </c>
      <c r="M278" s="54" cm="1">
        <f t="array" ref="M278:N278">_xlfn.XLOOKUP(F278,'Customer Data Vlookup'!$L:$L,'Customer Data Vlookup'!$M:$N,,0)</f>
        <v>0</v>
      </c>
      <c r="N278" s="54">
        <v>1481</v>
      </c>
      <c r="O278" s="54">
        <f t="shared" si="12"/>
        <v>1481</v>
      </c>
      <c r="P278" s="54">
        <f t="shared" si="13"/>
        <v>23.089999999999918</v>
      </c>
      <c r="Q278" s="56">
        <f t="shared" si="14"/>
        <v>1.5351474978225983E-2</v>
      </c>
      <c r="R278" s="33" t="s">
        <v>924</v>
      </c>
      <c r="S278" s="34"/>
      <c r="T278" s="33" t="s">
        <v>558</v>
      </c>
    </row>
    <row r="279" spans="1:20" x14ac:dyDescent="0.35">
      <c r="A279" s="32">
        <v>1800001115</v>
      </c>
      <c r="B279" s="33" t="s">
        <v>563</v>
      </c>
      <c r="C279" s="34">
        <v>45722</v>
      </c>
      <c r="D279" s="34">
        <v>45723</v>
      </c>
      <c r="E279" s="33" t="s">
        <v>557</v>
      </c>
      <c r="F279" s="35">
        <v>246779411051</v>
      </c>
      <c r="G279" s="33" t="s">
        <v>559</v>
      </c>
      <c r="H279" s="36">
        <v>17.350000000000001</v>
      </c>
      <c r="I279" s="37" t="s">
        <v>560</v>
      </c>
      <c r="J279" s="38">
        <v>1504.09</v>
      </c>
      <c r="K279" s="33" t="s">
        <v>561</v>
      </c>
      <c r="L279" s="33" t="s">
        <v>557</v>
      </c>
      <c r="M279" s="54" cm="1">
        <f t="array" ref="M279:N279">_xlfn.XLOOKUP(F279,'Customer Data Vlookup'!$L:$L,'Customer Data Vlookup'!$M:$N,,0)</f>
        <v>0</v>
      </c>
      <c r="N279" s="54">
        <v>1408</v>
      </c>
      <c r="O279" s="54">
        <f t="shared" si="12"/>
        <v>1408</v>
      </c>
      <c r="P279" s="54">
        <f t="shared" si="13"/>
        <v>96.089999999999918</v>
      </c>
      <c r="Q279" s="56">
        <f t="shared" si="14"/>
        <v>6.3885804705835367E-2</v>
      </c>
      <c r="R279" s="33" t="s">
        <v>925</v>
      </c>
      <c r="S279" s="34"/>
      <c r="T279" s="33" t="s">
        <v>558</v>
      </c>
    </row>
    <row r="280" spans="1:20" x14ac:dyDescent="0.35">
      <c r="A280" s="32">
        <v>1800001119</v>
      </c>
      <c r="B280" s="33" t="s">
        <v>563</v>
      </c>
      <c r="C280" s="34">
        <v>45722</v>
      </c>
      <c r="D280" s="34">
        <v>45723</v>
      </c>
      <c r="E280" s="33" t="s">
        <v>557</v>
      </c>
      <c r="F280" s="35">
        <v>246779411055</v>
      </c>
      <c r="G280" s="33" t="s">
        <v>559</v>
      </c>
      <c r="H280" s="36">
        <v>17.350000000000001</v>
      </c>
      <c r="I280" s="37" t="s">
        <v>560</v>
      </c>
      <c r="J280" s="38">
        <v>1504.09</v>
      </c>
      <c r="K280" s="33" t="s">
        <v>561</v>
      </c>
      <c r="L280" s="33" t="s">
        <v>557</v>
      </c>
      <c r="M280" s="54" cm="1">
        <f t="array" ref="M280:N280">_xlfn.XLOOKUP(F280,'Customer Data Vlookup'!$L:$L,'Customer Data Vlookup'!$M:$N,,0)</f>
        <v>0</v>
      </c>
      <c r="N280" s="54">
        <v>1408</v>
      </c>
      <c r="O280" s="54">
        <f t="shared" si="12"/>
        <v>1408</v>
      </c>
      <c r="P280" s="54">
        <f t="shared" si="13"/>
        <v>96.089999999999918</v>
      </c>
      <c r="Q280" s="56">
        <f t="shared" si="14"/>
        <v>6.3885804705835367E-2</v>
      </c>
      <c r="R280" s="33" t="s">
        <v>925</v>
      </c>
      <c r="S280" s="34"/>
      <c r="T280" s="33" t="s">
        <v>558</v>
      </c>
    </row>
    <row r="281" spans="1:20" hidden="1" x14ac:dyDescent="0.35">
      <c r="A281" s="32">
        <v>1800016160</v>
      </c>
      <c r="B281" s="33" t="s">
        <v>563</v>
      </c>
      <c r="C281" s="34">
        <v>46031</v>
      </c>
      <c r="D281" s="34">
        <v>46031</v>
      </c>
      <c r="E281" s="33" t="s">
        <v>557</v>
      </c>
      <c r="F281" s="35">
        <v>256779440130</v>
      </c>
      <c r="G281" s="33" t="s">
        <v>559</v>
      </c>
      <c r="H281" s="36">
        <v>16.45</v>
      </c>
      <c r="I281" s="37" t="s">
        <v>560</v>
      </c>
      <c r="J281" s="38">
        <v>1492.72</v>
      </c>
      <c r="K281" s="33" t="s">
        <v>561</v>
      </c>
      <c r="L281" s="33" t="s">
        <v>557</v>
      </c>
      <c r="M281" s="54" t="e" cm="1">
        <f t="array" ref="M281">_xlfn.XLOOKUP(F281,'Customer Data Vlookup'!$L:$L,'Customer Data Vlookup'!$M:$N,,0)</f>
        <v>#N/A</v>
      </c>
      <c r="N281" s="54"/>
      <c r="O281" s="53" t="e">
        <f t="shared" si="12"/>
        <v>#N/A</v>
      </c>
      <c r="P281" s="53" t="e">
        <f t="shared" si="13"/>
        <v>#N/A</v>
      </c>
      <c r="Q281" s="33" t="e">
        <f t="shared" si="14"/>
        <v>#N/A</v>
      </c>
      <c r="R281" s="33" t="s">
        <v>647</v>
      </c>
      <c r="S281" s="34"/>
      <c r="T281" s="33" t="s">
        <v>558</v>
      </c>
    </row>
    <row r="282" spans="1:20" x14ac:dyDescent="0.35">
      <c r="A282" s="32">
        <v>1800012068</v>
      </c>
      <c r="B282" s="33" t="s">
        <v>563</v>
      </c>
      <c r="C282" s="34">
        <v>45889</v>
      </c>
      <c r="D282" s="34">
        <v>45891</v>
      </c>
      <c r="E282" s="33" t="s">
        <v>557</v>
      </c>
      <c r="F282" s="35">
        <v>256779416603</v>
      </c>
      <c r="G282" s="33" t="s">
        <v>559</v>
      </c>
      <c r="H282" s="36">
        <v>17.350000000000001</v>
      </c>
      <c r="I282" s="37" t="s">
        <v>560</v>
      </c>
      <c r="J282" s="38">
        <v>1492.62</v>
      </c>
      <c r="K282" s="33" t="s">
        <v>561</v>
      </c>
      <c r="L282" s="33" t="s">
        <v>557</v>
      </c>
      <c r="M282" s="54" cm="1">
        <f t="array" ref="M282:N282">_xlfn.XLOOKUP(F282,'Customer Data Vlookup'!$L:$L,'Customer Data Vlookup'!$M:$N,,0)</f>
        <v>0</v>
      </c>
      <c r="N282" s="54">
        <v>1463</v>
      </c>
      <c r="O282" s="54">
        <f t="shared" si="12"/>
        <v>1463</v>
      </c>
      <c r="P282" s="54">
        <f t="shared" si="13"/>
        <v>29.619999999999891</v>
      </c>
      <c r="Q282" s="56">
        <f t="shared" si="14"/>
        <v>1.9844300625745263E-2</v>
      </c>
      <c r="R282" s="33" t="s">
        <v>881</v>
      </c>
      <c r="S282" s="34"/>
      <c r="T282" s="33" t="s">
        <v>558</v>
      </c>
    </row>
    <row r="283" spans="1:20" x14ac:dyDescent="0.35">
      <c r="A283" s="32">
        <v>1800010004</v>
      </c>
      <c r="B283" s="33" t="s">
        <v>563</v>
      </c>
      <c r="C283" s="34">
        <v>45842</v>
      </c>
      <c r="D283" s="34">
        <v>45845</v>
      </c>
      <c r="E283" s="33" t="s">
        <v>557</v>
      </c>
      <c r="F283" s="35">
        <v>256779414768</v>
      </c>
      <c r="G283" s="33" t="s">
        <v>559</v>
      </c>
      <c r="H283" s="36">
        <v>17.350000000000001</v>
      </c>
      <c r="I283" s="37" t="s">
        <v>560</v>
      </c>
      <c r="J283" s="38">
        <v>1492.11</v>
      </c>
      <c r="K283" s="33" t="s">
        <v>561</v>
      </c>
      <c r="L283" s="33" t="s">
        <v>557</v>
      </c>
      <c r="M283" s="54" cm="1">
        <f t="array" ref="M283:N283">_xlfn.XLOOKUP(F283,'Customer Data Vlookup'!$L:$L,'Customer Data Vlookup'!$M:$N,,0)</f>
        <v>0</v>
      </c>
      <c r="N283" s="54">
        <v>1492.1116</v>
      </c>
      <c r="O283" s="54">
        <f t="shared" si="12"/>
        <v>1492.1116</v>
      </c>
      <c r="P283" s="54">
        <f t="shared" si="13"/>
        <v>-1.6000000000531145E-3</v>
      </c>
      <c r="Q283" s="56">
        <f t="shared" si="14"/>
        <v>-1.0723070015301249E-6</v>
      </c>
      <c r="R283" s="33" t="s">
        <v>804</v>
      </c>
      <c r="S283" s="34"/>
      <c r="T283" s="33" t="s">
        <v>558</v>
      </c>
    </row>
    <row r="284" spans="1:20" x14ac:dyDescent="0.35">
      <c r="A284" s="32">
        <v>1800006994</v>
      </c>
      <c r="B284" s="33" t="s">
        <v>563</v>
      </c>
      <c r="C284" s="34">
        <v>45763</v>
      </c>
      <c r="D284" s="34">
        <v>45764</v>
      </c>
      <c r="E284" s="33" t="s">
        <v>557</v>
      </c>
      <c r="F284" s="35">
        <v>256779411885</v>
      </c>
      <c r="G284" s="33" t="s">
        <v>559</v>
      </c>
      <c r="H284" s="36">
        <v>15</v>
      </c>
      <c r="I284" s="37" t="s">
        <v>560</v>
      </c>
      <c r="J284" s="38">
        <v>1303.83</v>
      </c>
      <c r="K284" s="33" t="s">
        <v>561</v>
      </c>
      <c r="L284" s="33" t="s">
        <v>557</v>
      </c>
      <c r="M284" s="54" cm="1">
        <f t="array" ref="M284:N284">_xlfn.XLOOKUP(F284,'Customer Data Vlookup'!$L:$L,'Customer Data Vlookup'!$M:$N,,0)</f>
        <v>0</v>
      </c>
      <c r="N284" s="54">
        <v>1256</v>
      </c>
      <c r="O284" s="54">
        <f t="shared" si="12"/>
        <v>1256</v>
      </c>
      <c r="P284" s="54">
        <f t="shared" si="13"/>
        <v>47.829999999999927</v>
      </c>
      <c r="Q284" s="56">
        <f t="shared" si="14"/>
        <v>3.6684230306098131E-2</v>
      </c>
      <c r="R284" s="33" t="s">
        <v>780</v>
      </c>
      <c r="S284" s="34"/>
      <c r="T284" s="33" t="s">
        <v>558</v>
      </c>
    </row>
    <row r="285" spans="1:20" x14ac:dyDescent="0.35">
      <c r="A285" s="32">
        <v>1800004274</v>
      </c>
      <c r="B285" s="33" t="s">
        <v>563</v>
      </c>
      <c r="C285" s="34">
        <v>45736</v>
      </c>
      <c r="D285" s="34">
        <v>45737</v>
      </c>
      <c r="E285" s="33" t="s">
        <v>557</v>
      </c>
      <c r="F285" s="35">
        <v>246779414142</v>
      </c>
      <c r="G285" s="33" t="s">
        <v>559</v>
      </c>
      <c r="H285" s="36">
        <v>15</v>
      </c>
      <c r="I285" s="37" t="s">
        <v>560</v>
      </c>
      <c r="J285" s="38">
        <v>1300.3699999999999</v>
      </c>
      <c r="K285" s="33" t="s">
        <v>561</v>
      </c>
      <c r="L285" s="33" t="s">
        <v>557</v>
      </c>
      <c r="M285" s="54" cm="1">
        <f t="array" ref="M285:N285">_xlfn.XLOOKUP(F285,'Customer Data Vlookup'!$L:$L,'Customer Data Vlookup'!$M:$N,,0)</f>
        <v>0</v>
      </c>
      <c r="N285" s="54">
        <v>1268</v>
      </c>
      <c r="O285" s="54">
        <f t="shared" si="12"/>
        <v>1268</v>
      </c>
      <c r="P285" s="54">
        <f t="shared" si="13"/>
        <v>32.369999999999891</v>
      </c>
      <c r="Q285" s="56">
        <f t="shared" si="14"/>
        <v>2.4892915093396414E-2</v>
      </c>
      <c r="R285" s="33" t="s">
        <v>866</v>
      </c>
      <c r="S285" s="34"/>
      <c r="T285" s="33" t="s">
        <v>558</v>
      </c>
    </row>
    <row r="286" spans="1:20" x14ac:dyDescent="0.35">
      <c r="A286" s="32">
        <v>1800004813</v>
      </c>
      <c r="B286" s="33" t="s">
        <v>563</v>
      </c>
      <c r="C286" s="34">
        <v>45736</v>
      </c>
      <c r="D286" s="34">
        <v>45737</v>
      </c>
      <c r="E286" s="33" t="s">
        <v>557</v>
      </c>
      <c r="F286" s="35">
        <v>246779414681</v>
      </c>
      <c r="G286" s="33" t="s">
        <v>559</v>
      </c>
      <c r="H286" s="36">
        <v>15</v>
      </c>
      <c r="I286" s="37" t="s">
        <v>560</v>
      </c>
      <c r="J286" s="38">
        <v>1300.3699999999999</v>
      </c>
      <c r="K286" s="33" t="s">
        <v>561</v>
      </c>
      <c r="L286" s="33" t="s">
        <v>557</v>
      </c>
      <c r="M286" s="54" cm="1">
        <f t="array" ref="M286:N286">_xlfn.XLOOKUP(F286,'Customer Data Vlookup'!$L:$L,'Customer Data Vlookup'!$M:$N,,0)</f>
        <v>0</v>
      </c>
      <c r="N286" s="54">
        <v>1268</v>
      </c>
      <c r="O286" s="54">
        <f t="shared" si="12"/>
        <v>1268</v>
      </c>
      <c r="P286" s="54">
        <f t="shared" si="13"/>
        <v>32.369999999999891</v>
      </c>
      <c r="Q286" s="56">
        <f t="shared" si="14"/>
        <v>2.4892915093396414E-2</v>
      </c>
      <c r="R286" s="33" t="s">
        <v>869</v>
      </c>
      <c r="S286" s="34"/>
      <c r="T286" s="33" t="s">
        <v>558</v>
      </c>
    </row>
    <row r="287" spans="1:20" x14ac:dyDescent="0.35">
      <c r="A287" s="32">
        <v>1800008593</v>
      </c>
      <c r="B287" s="33" t="s">
        <v>563</v>
      </c>
      <c r="C287" s="34">
        <v>45793</v>
      </c>
      <c r="D287" s="34">
        <v>45800</v>
      </c>
      <c r="E287" s="33" t="s">
        <v>557</v>
      </c>
      <c r="F287" s="35">
        <v>256779413357</v>
      </c>
      <c r="G287" s="33" t="s">
        <v>559</v>
      </c>
      <c r="H287" s="36">
        <v>15</v>
      </c>
      <c r="I287" s="37" t="s">
        <v>560</v>
      </c>
      <c r="J287" s="38">
        <v>1289.76</v>
      </c>
      <c r="K287" s="33" t="s">
        <v>561</v>
      </c>
      <c r="L287" s="33" t="s">
        <v>557</v>
      </c>
      <c r="M287" s="54" cm="1">
        <f t="array" ref="M287:N287">_xlfn.XLOOKUP(F287,'Customer Data Vlookup'!$L:$L,'Customer Data Vlookup'!$M:$N,,0)</f>
        <v>0</v>
      </c>
      <c r="N287" s="54">
        <v>1264</v>
      </c>
      <c r="O287" s="54">
        <f t="shared" si="12"/>
        <v>1264</v>
      </c>
      <c r="P287" s="54">
        <f t="shared" si="13"/>
        <v>25.759999999999991</v>
      </c>
      <c r="Q287" s="56">
        <f t="shared" si="14"/>
        <v>1.9972708100731911E-2</v>
      </c>
      <c r="R287" s="33" t="s">
        <v>848</v>
      </c>
      <c r="S287" s="34"/>
      <c r="T287" s="33" t="s">
        <v>558</v>
      </c>
    </row>
    <row r="288" spans="1:20" x14ac:dyDescent="0.35">
      <c r="A288" s="32">
        <v>1800012460</v>
      </c>
      <c r="B288" s="33" t="s">
        <v>563</v>
      </c>
      <c r="C288" s="34">
        <v>45904</v>
      </c>
      <c r="D288" s="34">
        <v>45909</v>
      </c>
      <c r="E288" s="33" t="s">
        <v>557</v>
      </c>
      <c r="F288" s="35">
        <v>256779417160</v>
      </c>
      <c r="G288" s="33" t="s">
        <v>559</v>
      </c>
      <c r="H288" s="36">
        <v>14.25</v>
      </c>
      <c r="I288" s="37" t="s">
        <v>560</v>
      </c>
      <c r="J288" s="38">
        <v>1247.08</v>
      </c>
      <c r="K288" s="33" t="s">
        <v>561</v>
      </c>
      <c r="L288" s="33" t="s">
        <v>557</v>
      </c>
      <c r="M288" s="54" cm="1">
        <f t="array" ref="M288:N288">_xlfn.XLOOKUP(F288,'Customer Data Vlookup'!$L:$L,'Customer Data Vlookup'!$M:$N,,0)</f>
        <v>0</v>
      </c>
      <c r="N288" s="54">
        <v>1247.0791999999999</v>
      </c>
      <c r="O288" s="54">
        <f t="shared" si="12"/>
        <v>1247.0791999999999</v>
      </c>
      <c r="P288" s="54">
        <f t="shared" si="13"/>
        <v>8.0000000002655725E-4</v>
      </c>
      <c r="Q288" s="56">
        <f t="shared" si="14"/>
        <v>6.4149854061211568E-7</v>
      </c>
      <c r="R288" s="33" t="s">
        <v>795</v>
      </c>
      <c r="S288" s="34"/>
      <c r="T288" s="33" t="s">
        <v>558</v>
      </c>
    </row>
    <row r="289" spans="1:21" x14ac:dyDescent="0.35">
      <c r="A289" s="32">
        <v>1800001783</v>
      </c>
      <c r="B289" s="33" t="s">
        <v>563</v>
      </c>
      <c r="C289" s="34">
        <v>45730</v>
      </c>
      <c r="D289" s="34">
        <v>45733</v>
      </c>
      <c r="E289" s="33" t="s">
        <v>557</v>
      </c>
      <c r="F289" s="35">
        <v>246779411448</v>
      </c>
      <c r="G289" s="33" t="s">
        <v>559</v>
      </c>
      <c r="H289" s="36">
        <v>14.31</v>
      </c>
      <c r="I289" s="37" t="s">
        <v>560</v>
      </c>
      <c r="J289" s="38">
        <v>1240.55</v>
      </c>
      <c r="K289" s="33" t="s">
        <v>561</v>
      </c>
      <c r="L289" s="33" t="s">
        <v>557</v>
      </c>
      <c r="M289" s="54" cm="1">
        <f t="array" ref="M289:N289">_xlfn.XLOOKUP(F289,'Customer Data Vlookup'!$L:$L,'Customer Data Vlookup'!$M:$N,,0)</f>
        <v>0</v>
      </c>
      <c r="N289" s="54">
        <v>1161</v>
      </c>
      <c r="O289" s="54">
        <f t="shared" si="12"/>
        <v>1161</v>
      </c>
      <c r="P289" s="54">
        <f t="shared" si="13"/>
        <v>79.549999999999955</v>
      </c>
      <c r="Q289" s="56">
        <f t="shared" si="14"/>
        <v>6.4124783362218343E-2</v>
      </c>
      <c r="R289" s="33" t="s">
        <v>792</v>
      </c>
      <c r="S289" s="34"/>
      <c r="T289" s="33" t="s">
        <v>558</v>
      </c>
    </row>
    <row r="290" spans="1:21" hidden="1" x14ac:dyDescent="0.35">
      <c r="A290" s="32">
        <v>1800001580</v>
      </c>
      <c r="B290" s="33" t="s">
        <v>563</v>
      </c>
      <c r="C290" s="34">
        <v>45730</v>
      </c>
      <c r="D290" s="34">
        <v>45735</v>
      </c>
      <c r="E290" s="33" t="s">
        <v>557</v>
      </c>
      <c r="F290" s="35">
        <v>246779412237</v>
      </c>
      <c r="G290" s="33" t="s">
        <v>559</v>
      </c>
      <c r="H290" s="36">
        <v>14.31</v>
      </c>
      <c r="I290" s="37" t="s">
        <v>560</v>
      </c>
      <c r="J290" s="38">
        <v>1240.55</v>
      </c>
      <c r="K290" s="33" t="s">
        <v>561</v>
      </c>
      <c r="L290" s="33" t="s">
        <v>557</v>
      </c>
      <c r="M290" s="54" t="e" cm="1">
        <f t="array" ref="M290">_xlfn.XLOOKUP(F290,'Customer Data Vlookup'!$L:$L,'Customer Data Vlookup'!$M:$N,,0)</f>
        <v>#N/A</v>
      </c>
      <c r="N290" s="54"/>
      <c r="O290" s="53" t="e">
        <f t="shared" si="12"/>
        <v>#N/A</v>
      </c>
      <c r="P290" s="53" t="e">
        <f t="shared" si="13"/>
        <v>#N/A</v>
      </c>
      <c r="Q290" s="33" t="e">
        <f t="shared" si="14"/>
        <v>#N/A</v>
      </c>
      <c r="R290" s="33" t="s">
        <v>792</v>
      </c>
      <c r="S290" s="34">
        <v>45842</v>
      </c>
      <c r="T290" s="32">
        <v>1400000245</v>
      </c>
      <c r="U290" t="s">
        <v>954</v>
      </c>
    </row>
    <row r="291" spans="1:21" x14ac:dyDescent="0.35">
      <c r="A291" s="32">
        <v>1800012286</v>
      </c>
      <c r="B291" s="33" t="s">
        <v>563</v>
      </c>
      <c r="C291" s="34">
        <v>45904</v>
      </c>
      <c r="D291" s="34">
        <v>45908</v>
      </c>
      <c r="E291" s="33" t="s">
        <v>557</v>
      </c>
      <c r="F291" s="35">
        <v>256779416948</v>
      </c>
      <c r="G291" s="33" t="s">
        <v>559</v>
      </c>
      <c r="H291" s="36">
        <v>14.1</v>
      </c>
      <c r="I291" s="37" t="s">
        <v>560</v>
      </c>
      <c r="J291" s="38">
        <v>1233.95</v>
      </c>
      <c r="K291" s="33" t="s">
        <v>561</v>
      </c>
      <c r="L291" s="33" t="s">
        <v>557</v>
      </c>
      <c r="M291" s="54" cm="1">
        <f t="array" ref="M291:N291">_xlfn.XLOOKUP(F291,'Customer Data Vlookup'!$L:$L,'Customer Data Vlookup'!$M:$N,,0)</f>
        <v>0</v>
      </c>
      <c r="N291" s="54">
        <v>1233.9521</v>
      </c>
      <c r="O291" s="54">
        <f t="shared" si="12"/>
        <v>1233.9521</v>
      </c>
      <c r="P291" s="54">
        <f t="shared" si="13"/>
        <v>-2.0999999999276042E-3</v>
      </c>
      <c r="Q291" s="56">
        <f t="shared" si="14"/>
        <v>-1.7018517767556255E-6</v>
      </c>
      <c r="R291" s="33" t="s">
        <v>794</v>
      </c>
      <c r="S291" s="34"/>
      <c r="T291" s="33" t="s">
        <v>558</v>
      </c>
    </row>
    <row r="292" spans="1:21" x14ac:dyDescent="0.35">
      <c r="A292" s="32">
        <v>1800003874</v>
      </c>
      <c r="B292" s="33" t="s">
        <v>563</v>
      </c>
      <c r="C292" s="34">
        <v>45736</v>
      </c>
      <c r="D292" s="34">
        <v>45736</v>
      </c>
      <c r="E292" s="33" t="s">
        <v>557</v>
      </c>
      <c r="F292" s="35">
        <v>246779413742</v>
      </c>
      <c r="G292" s="33" t="s">
        <v>559</v>
      </c>
      <c r="H292" s="36">
        <v>14.1</v>
      </c>
      <c r="I292" s="37" t="s">
        <v>560</v>
      </c>
      <c r="J292" s="38">
        <v>1222.3499999999999</v>
      </c>
      <c r="K292" s="33" t="s">
        <v>561</v>
      </c>
      <c r="L292" s="33" t="s">
        <v>557</v>
      </c>
      <c r="M292" s="54" cm="1">
        <f t="array" ref="M292:N292">_xlfn.XLOOKUP(F292,'Customer Data Vlookup'!$L:$L,'Customer Data Vlookup'!$M:$N,,0)</f>
        <v>0</v>
      </c>
      <c r="N292" s="54">
        <v>1149</v>
      </c>
      <c r="O292" s="54">
        <f t="shared" si="12"/>
        <v>1149</v>
      </c>
      <c r="P292" s="54">
        <f t="shared" si="13"/>
        <v>73.349999999999909</v>
      </c>
      <c r="Q292" s="56">
        <f t="shared" si="14"/>
        <v>6.0007362866609328E-2</v>
      </c>
      <c r="R292" s="33" t="s">
        <v>860</v>
      </c>
      <c r="S292" s="34"/>
      <c r="T292" s="33" t="s">
        <v>558</v>
      </c>
    </row>
    <row r="293" spans="1:21" x14ac:dyDescent="0.35">
      <c r="A293" s="32">
        <v>1800000740</v>
      </c>
      <c r="B293" s="33" t="s">
        <v>563</v>
      </c>
      <c r="C293" s="34">
        <v>45720</v>
      </c>
      <c r="D293" s="34">
        <v>45720</v>
      </c>
      <c r="E293" s="33" t="s">
        <v>557</v>
      </c>
      <c r="F293" s="35">
        <v>246779410680</v>
      </c>
      <c r="G293" s="33" t="s">
        <v>559</v>
      </c>
      <c r="H293" s="36">
        <v>14.1</v>
      </c>
      <c r="I293" s="37" t="s">
        <v>560</v>
      </c>
      <c r="J293" s="38">
        <v>1222.3499999999999</v>
      </c>
      <c r="K293" s="33" t="s">
        <v>561</v>
      </c>
      <c r="L293" s="33" t="s">
        <v>557</v>
      </c>
      <c r="M293" s="54" cm="1">
        <f t="array" ref="M293:N293">_xlfn.XLOOKUP(F293,'Customer Data Vlookup'!$L:$L,'Customer Data Vlookup'!$M:$N,,0)</f>
        <v>0</v>
      </c>
      <c r="N293" s="54">
        <v>1207</v>
      </c>
      <c r="O293" s="54">
        <f t="shared" si="12"/>
        <v>1207</v>
      </c>
      <c r="P293" s="54">
        <f t="shared" si="13"/>
        <v>15.349999999999909</v>
      </c>
      <c r="Q293" s="56">
        <f t="shared" si="14"/>
        <v>1.2557778050476467E-2</v>
      </c>
      <c r="R293" s="33" t="s">
        <v>914</v>
      </c>
      <c r="S293" s="34"/>
      <c r="T293" s="33" t="s">
        <v>558</v>
      </c>
    </row>
    <row r="294" spans="1:21" x14ac:dyDescent="0.35">
      <c r="A294" s="32">
        <v>1800000821</v>
      </c>
      <c r="B294" s="33" t="s">
        <v>563</v>
      </c>
      <c r="C294" s="34">
        <v>45720</v>
      </c>
      <c r="D294" s="34">
        <v>45721</v>
      </c>
      <c r="E294" s="33" t="s">
        <v>557</v>
      </c>
      <c r="F294" s="35">
        <v>246779410761</v>
      </c>
      <c r="G294" s="33" t="s">
        <v>559</v>
      </c>
      <c r="H294" s="36">
        <v>14.1</v>
      </c>
      <c r="I294" s="37" t="s">
        <v>560</v>
      </c>
      <c r="J294" s="38">
        <v>1222.3499999999999</v>
      </c>
      <c r="K294" s="33" t="s">
        <v>561</v>
      </c>
      <c r="L294" s="33" t="s">
        <v>557</v>
      </c>
      <c r="M294" s="54" cm="1">
        <f t="array" ref="M294:N294">_xlfn.XLOOKUP(F294,'Customer Data Vlookup'!$L:$L,'Customer Data Vlookup'!$M:$N,,0)</f>
        <v>0</v>
      </c>
      <c r="N294" s="54">
        <v>1207</v>
      </c>
      <c r="O294" s="54">
        <f t="shared" si="12"/>
        <v>1207</v>
      </c>
      <c r="P294" s="54">
        <f t="shared" si="13"/>
        <v>15.349999999999909</v>
      </c>
      <c r="Q294" s="56">
        <f t="shared" si="14"/>
        <v>1.2557778050476467E-2</v>
      </c>
      <c r="R294" s="33" t="s">
        <v>907</v>
      </c>
      <c r="S294" s="34"/>
      <c r="T294" s="33" t="s">
        <v>558</v>
      </c>
    </row>
    <row r="295" spans="1:21" x14ac:dyDescent="0.35">
      <c r="A295" s="32">
        <v>1800000913</v>
      </c>
      <c r="B295" s="33" t="s">
        <v>563</v>
      </c>
      <c r="C295" s="34">
        <v>45720</v>
      </c>
      <c r="D295" s="34">
        <v>45721</v>
      </c>
      <c r="E295" s="33" t="s">
        <v>557</v>
      </c>
      <c r="F295" s="35">
        <v>246779410854</v>
      </c>
      <c r="G295" s="33" t="s">
        <v>559</v>
      </c>
      <c r="H295" s="36">
        <v>14.1</v>
      </c>
      <c r="I295" s="37" t="s">
        <v>560</v>
      </c>
      <c r="J295" s="38">
        <v>1222.3499999999999</v>
      </c>
      <c r="K295" s="33" t="s">
        <v>561</v>
      </c>
      <c r="L295" s="33" t="s">
        <v>557</v>
      </c>
      <c r="M295" s="54" cm="1">
        <f t="array" ref="M295:N295">_xlfn.XLOOKUP(F295,'Customer Data Vlookup'!$L:$L,'Customer Data Vlookup'!$M:$N,,0)</f>
        <v>0</v>
      </c>
      <c r="N295" s="54">
        <v>1145</v>
      </c>
      <c r="O295" s="54">
        <f t="shared" si="12"/>
        <v>1145</v>
      </c>
      <c r="P295" s="54">
        <f t="shared" si="13"/>
        <v>77.349999999999909</v>
      </c>
      <c r="Q295" s="56">
        <f t="shared" si="14"/>
        <v>6.3279748026342633E-2</v>
      </c>
      <c r="R295" s="33" t="s">
        <v>915</v>
      </c>
      <c r="S295" s="34"/>
      <c r="T295" s="33" t="s">
        <v>558</v>
      </c>
    </row>
    <row r="296" spans="1:21" x14ac:dyDescent="0.35">
      <c r="A296" s="32">
        <v>1800008666</v>
      </c>
      <c r="B296" s="33" t="s">
        <v>563</v>
      </c>
      <c r="C296" s="34">
        <v>45798</v>
      </c>
      <c r="D296" s="34">
        <v>45800</v>
      </c>
      <c r="E296" s="33" t="s">
        <v>557</v>
      </c>
      <c r="F296" s="35">
        <v>256779413430</v>
      </c>
      <c r="G296" s="33" t="s">
        <v>559</v>
      </c>
      <c r="H296" s="36">
        <v>14.1</v>
      </c>
      <c r="I296" s="37" t="s">
        <v>560</v>
      </c>
      <c r="J296" s="38">
        <v>1212.3699999999999</v>
      </c>
      <c r="K296" s="33" t="s">
        <v>561</v>
      </c>
      <c r="L296" s="33" t="s">
        <v>557</v>
      </c>
      <c r="M296" s="54" cm="1">
        <f t="array" ref="M296:N296">_xlfn.XLOOKUP(F296,'Customer Data Vlookup'!$L:$L,'Customer Data Vlookup'!$M:$N,,0)</f>
        <v>0</v>
      </c>
      <c r="N296" s="54">
        <v>1201</v>
      </c>
      <c r="O296" s="54">
        <f t="shared" si="12"/>
        <v>1201</v>
      </c>
      <c r="P296" s="54">
        <f t="shared" si="13"/>
        <v>11.369999999999891</v>
      </c>
      <c r="Q296" s="56">
        <f t="shared" si="14"/>
        <v>9.3783250987733869E-3</v>
      </c>
      <c r="R296" s="33" t="s">
        <v>626</v>
      </c>
      <c r="S296" s="34"/>
      <c r="T296" s="33" t="s">
        <v>558</v>
      </c>
    </row>
    <row r="297" spans="1:21" x14ac:dyDescent="0.35">
      <c r="A297" s="32">
        <v>1800008722</v>
      </c>
      <c r="B297" s="33" t="s">
        <v>563</v>
      </c>
      <c r="C297" s="34">
        <v>45797</v>
      </c>
      <c r="D297" s="34">
        <v>45805</v>
      </c>
      <c r="E297" s="33" t="s">
        <v>557</v>
      </c>
      <c r="F297" s="35">
        <v>256779413486</v>
      </c>
      <c r="G297" s="33" t="s">
        <v>559</v>
      </c>
      <c r="H297" s="36">
        <v>12.5</v>
      </c>
      <c r="I297" s="37" t="s">
        <v>560</v>
      </c>
      <c r="J297" s="38">
        <v>1074.8</v>
      </c>
      <c r="K297" s="33" t="s">
        <v>561</v>
      </c>
      <c r="L297" s="33" t="s">
        <v>557</v>
      </c>
      <c r="M297" s="54" cm="1">
        <f t="array" ref="M297:N297">_xlfn.XLOOKUP(F297,'Customer Data Vlookup'!$L:$L,'Customer Data Vlookup'!$M:$N,,0)</f>
        <v>0</v>
      </c>
      <c r="N297" s="54">
        <v>1054</v>
      </c>
      <c r="O297" s="54">
        <f t="shared" si="12"/>
        <v>1054</v>
      </c>
      <c r="P297" s="54">
        <f t="shared" si="13"/>
        <v>20.799999999999955</v>
      </c>
      <c r="Q297" s="56">
        <f t="shared" si="14"/>
        <v>1.9352437662820948E-2</v>
      </c>
      <c r="R297" s="33" t="s">
        <v>597</v>
      </c>
      <c r="S297" s="34"/>
      <c r="T297" s="33" t="s">
        <v>558</v>
      </c>
    </row>
    <row r="298" spans="1:21" x14ac:dyDescent="0.35">
      <c r="A298" s="32">
        <v>1800015985</v>
      </c>
      <c r="B298" s="33" t="s">
        <v>563</v>
      </c>
      <c r="C298" s="34">
        <v>46027</v>
      </c>
      <c r="D298" s="34">
        <v>46027</v>
      </c>
      <c r="E298" s="33" t="s">
        <v>557</v>
      </c>
      <c r="F298" s="35">
        <v>256779440069</v>
      </c>
      <c r="G298" s="33" t="s">
        <v>559</v>
      </c>
      <c r="H298" s="36">
        <v>11.75</v>
      </c>
      <c r="I298" s="37" t="s">
        <v>560</v>
      </c>
      <c r="J298" s="38">
        <v>1066.23</v>
      </c>
      <c r="K298" s="33" t="s">
        <v>561</v>
      </c>
      <c r="L298" s="33" t="s">
        <v>718</v>
      </c>
      <c r="M298" s="54" cm="1">
        <f t="array" ref="M298:N298">_xlfn.XLOOKUP(F298,'Customer Data Vlookup'!$L:$L,'Customer Data Vlookup'!$M:$N,,0)</f>
        <v>0</v>
      </c>
      <c r="N298" s="54">
        <v>1066.231</v>
      </c>
      <c r="O298" s="54">
        <f t="shared" si="12"/>
        <v>1066.231</v>
      </c>
      <c r="P298" s="54">
        <f t="shared" si="13"/>
        <v>-9.9999999997635314E-4</v>
      </c>
      <c r="Q298" s="56">
        <f t="shared" si="14"/>
        <v>-9.3788394621831422E-7</v>
      </c>
      <c r="R298" s="33" t="s">
        <v>719</v>
      </c>
      <c r="S298" s="34"/>
      <c r="T298" s="33" t="s">
        <v>558</v>
      </c>
    </row>
    <row r="299" spans="1:21" x14ac:dyDescent="0.35">
      <c r="A299" s="32">
        <v>1800013527</v>
      </c>
      <c r="B299" s="33" t="s">
        <v>563</v>
      </c>
      <c r="C299" s="34">
        <v>45937</v>
      </c>
      <c r="D299" s="34">
        <v>45940</v>
      </c>
      <c r="E299" s="33" t="s">
        <v>557</v>
      </c>
      <c r="F299" s="35">
        <v>256779418351</v>
      </c>
      <c r="G299" s="33" t="s">
        <v>559</v>
      </c>
      <c r="H299" s="36">
        <v>11.75</v>
      </c>
      <c r="I299" s="37" t="s">
        <v>560</v>
      </c>
      <c r="J299" s="38">
        <v>1036.24</v>
      </c>
      <c r="K299" s="33" t="s">
        <v>561</v>
      </c>
      <c r="L299" s="33" t="s">
        <v>912</v>
      </c>
      <c r="M299" s="54" cm="1">
        <f t="array" ref="M299:N299">_xlfn.XLOOKUP(F299,'Customer Data Vlookup'!$L:$L,'Customer Data Vlookup'!$M:$N,,0)</f>
        <v>0</v>
      </c>
      <c r="N299" s="54">
        <v>1036.08</v>
      </c>
      <c r="O299" s="54">
        <f t="shared" si="12"/>
        <v>1036.08</v>
      </c>
      <c r="P299" s="54">
        <f t="shared" si="13"/>
        <v>0.16000000000008185</v>
      </c>
      <c r="Q299" s="56">
        <f t="shared" si="14"/>
        <v>1.5440438508461539E-4</v>
      </c>
      <c r="R299" s="33" t="s">
        <v>913</v>
      </c>
      <c r="S299" s="34"/>
      <c r="T299" s="33" t="s">
        <v>558</v>
      </c>
    </row>
    <row r="300" spans="1:21" x14ac:dyDescent="0.35">
      <c r="A300" s="32">
        <v>1800012858</v>
      </c>
      <c r="B300" s="33" t="s">
        <v>563</v>
      </c>
      <c r="C300" s="34">
        <v>45918</v>
      </c>
      <c r="D300" s="34">
        <v>45922</v>
      </c>
      <c r="E300" s="33" t="s">
        <v>557</v>
      </c>
      <c r="F300" s="35">
        <v>256779417594</v>
      </c>
      <c r="G300" s="33" t="s">
        <v>559</v>
      </c>
      <c r="H300" s="36">
        <v>11.75</v>
      </c>
      <c r="I300" s="37" t="s">
        <v>560</v>
      </c>
      <c r="J300" s="38">
        <v>1028.29</v>
      </c>
      <c r="K300" s="33" t="s">
        <v>561</v>
      </c>
      <c r="L300" s="33" t="s">
        <v>910</v>
      </c>
      <c r="M300" s="54" cm="1">
        <f t="array" ref="M300:N300">_xlfn.XLOOKUP(F300,'Customer Data Vlookup'!$L:$L,'Customer Data Vlookup'!$M:$N,,0)</f>
        <v>0</v>
      </c>
      <c r="N300" s="54">
        <v>1028.2935</v>
      </c>
      <c r="O300" s="54">
        <f t="shared" si="12"/>
        <v>1028.2935</v>
      </c>
      <c r="P300" s="54">
        <f t="shared" si="13"/>
        <v>-3.5000000000309228E-3</v>
      </c>
      <c r="Q300" s="56">
        <f t="shared" si="14"/>
        <v>-3.4037090704285006E-6</v>
      </c>
      <c r="R300" s="33" t="s">
        <v>911</v>
      </c>
      <c r="S300" s="34"/>
      <c r="T300" s="33" t="s">
        <v>558</v>
      </c>
    </row>
    <row r="301" spans="1:21" x14ac:dyDescent="0.35">
      <c r="A301" s="32">
        <v>1800000672</v>
      </c>
      <c r="B301" s="33" t="s">
        <v>563</v>
      </c>
      <c r="C301" s="34">
        <v>45719</v>
      </c>
      <c r="D301" s="34">
        <v>45720</v>
      </c>
      <c r="E301" s="33" t="s">
        <v>557</v>
      </c>
      <c r="F301" s="35">
        <v>246779410612</v>
      </c>
      <c r="G301" s="33" t="s">
        <v>559</v>
      </c>
      <c r="H301" s="36">
        <v>11.75</v>
      </c>
      <c r="I301" s="37" t="s">
        <v>560</v>
      </c>
      <c r="J301" s="38">
        <v>1018.62</v>
      </c>
      <c r="K301" s="33" t="s">
        <v>561</v>
      </c>
      <c r="L301" s="33" t="s">
        <v>557</v>
      </c>
      <c r="M301" s="54" cm="1">
        <f t="array" ref="M301:N301">_xlfn.XLOOKUP(F301,'Customer Data Vlookup'!$L:$L,'Customer Data Vlookup'!$M:$N,,0)</f>
        <v>0</v>
      </c>
      <c r="N301" s="54">
        <v>1004</v>
      </c>
      <c r="O301" s="54">
        <f t="shared" si="12"/>
        <v>1004</v>
      </c>
      <c r="P301" s="54">
        <f t="shared" si="13"/>
        <v>14.620000000000005</v>
      </c>
      <c r="Q301" s="56">
        <f t="shared" si="14"/>
        <v>1.4352751762188063E-2</v>
      </c>
      <c r="R301" s="33" t="s">
        <v>906</v>
      </c>
      <c r="S301" s="34"/>
      <c r="T301" s="33" t="s">
        <v>558</v>
      </c>
    </row>
    <row r="302" spans="1:21" x14ac:dyDescent="0.35">
      <c r="A302" s="32">
        <v>1800000820</v>
      </c>
      <c r="B302" s="33" t="s">
        <v>563</v>
      </c>
      <c r="C302" s="34">
        <v>45720</v>
      </c>
      <c r="D302" s="34">
        <v>45721</v>
      </c>
      <c r="E302" s="33" t="s">
        <v>557</v>
      </c>
      <c r="F302" s="35">
        <v>246779410760</v>
      </c>
      <c r="G302" s="33" t="s">
        <v>559</v>
      </c>
      <c r="H302" s="36">
        <v>11.75</v>
      </c>
      <c r="I302" s="37" t="s">
        <v>560</v>
      </c>
      <c r="J302" s="38">
        <v>1018.62</v>
      </c>
      <c r="K302" s="33" t="s">
        <v>561</v>
      </c>
      <c r="L302" s="33" t="s">
        <v>557</v>
      </c>
      <c r="M302" s="54" cm="1">
        <f t="array" ref="M302:N302">_xlfn.XLOOKUP(F302,'Customer Data Vlookup'!$L:$L,'Customer Data Vlookup'!$M:$N,,0)</f>
        <v>0</v>
      </c>
      <c r="N302" s="54">
        <v>1006</v>
      </c>
      <c r="O302" s="54">
        <f t="shared" si="12"/>
        <v>1006</v>
      </c>
      <c r="P302" s="54">
        <f t="shared" si="13"/>
        <v>12.620000000000005</v>
      </c>
      <c r="Q302" s="56">
        <f t="shared" si="14"/>
        <v>1.2389311028646604E-2</v>
      </c>
      <c r="R302" s="33" t="s">
        <v>907</v>
      </c>
      <c r="S302" s="34"/>
      <c r="T302" s="33" t="s">
        <v>558</v>
      </c>
    </row>
    <row r="303" spans="1:21" x14ac:dyDescent="0.35">
      <c r="A303" s="32">
        <v>1800003904</v>
      </c>
      <c r="B303" s="33" t="s">
        <v>563</v>
      </c>
      <c r="C303" s="34">
        <v>45736</v>
      </c>
      <c r="D303" s="34">
        <v>45736</v>
      </c>
      <c r="E303" s="33" t="s">
        <v>557</v>
      </c>
      <c r="F303" s="35">
        <v>246779413772</v>
      </c>
      <c r="G303" s="33" t="s">
        <v>559</v>
      </c>
      <c r="H303" s="36">
        <v>11.75</v>
      </c>
      <c r="I303" s="37" t="s">
        <v>560</v>
      </c>
      <c r="J303" s="38">
        <v>1018.62</v>
      </c>
      <c r="K303" s="33" t="s">
        <v>561</v>
      </c>
      <c r="L303" s="33" t="s">
        <v>557</v>
      </c>
      <c r="M303" s="54" cm="1">
        <f t="array" ref="M303:N303">_xlfn.XLOOKUP(F303,'Customer Data Vlookup'!$L:$L,'Customer Data Vlookup'!$M:$N,,0)</f>
        <v>0</v>
      </c>
      <c r="N303" s="54">
        <v>994</v>
      </c>
      <c r="O303" s="54">
        <f t="shared" si="12"/>
        <v>994</v>
      </c>
      <c r="P303" s="54">
        <f t="shared" si="13"/>
        <v>24.620000000000005</v>
      </c>
      <c r="Q303" s="56">
        <f t="shared" si="14"/>
        <v>2.4169955429895352E-2</v>
      </c>
      <c r="R303" s="33" t="s">
        <v>604</v>
      </c>
      <c r="S303" s="34"/>
      <c r="T303" s="33" t="s">
        <v>558</v>
      </c>
    </row>
    <row r="304" spans="1:21" x14ac:dyDescent="0.35">
      <c r="A304" s="32">
        <v>1800008663</v>
      </c>
      <c r="B304" s="33" t="s">
        <v>563</v>
      </c>
      <c r="C304" s="34">
        <v>45798</v>
      </c>
      <c r="D304" s="34">
        <v>45800</v>
      </c>
      <c r="E304" s="33" t="s">
        <v>557</v>
      </c>
      <c r="F304" s="35">
        <v>256779413427</v>
      </c>
      <c r="G304" s="33" t="s">
        <v>559</v>
      </c>
      <c r="H304" s="36">
        <v>11.75</v>
      </c>
      <c r="I304" s="37" t="s">
        <v>560</v>
      </c>
      <c r="J304" s="38">
        <v>1010.31</v>
      </c>
      <c r="K304" s="33" t="s">
        <v>561</v>
      </c>
      <c r="L304" s="33" t="s">
        <v>557</v>
      </c>
      <c r="M304" s="54" cm="1">
        <f t="array" ref="M304:N304">_xlfn.XLOOKUP(F304,'Customer Data Vlookup'!$L:$L,'Customer Data Vlookup'!$M:$N,,0)</f>
        <v>0</v>
      </c>
      <c r="N304" s="54">
        <v>990</v>
      </c>
      <c r="O304" s="54">
        <f t="shared" si="12"/>
        <v>990</v>
      </c>
      <c r="P304" s="54">
        <f t="shared" si="13"/>
        <v>20.309999999999945</v>
      </c>
      <c r="Q304" s="56">
        <f t="shared" si="14"/>
        <v>2.0102740742940231E-2</v>
      </c>
      <c r="R304" s="33" t="s">
        <v>908</v>
      </c>
      <c r="S304" s="34"/>
      <c r="T304" s="33" t="s">
        <v>558</v>
      </c>
    </row>
    <row r="305" spans="1:20" x14ac:dyDescent="0.35">
      <c r="A305" s="32">
        <v>1800008664</v>
      </c>
      <c r="B305" s="33" t="s">
        <v>563</v>
      </c>
      <c r="C305" s="34">
        <v>45798</v>
      </c>
      <c r="D305" s="34">
        <v>45800</v>
      </c>
      <c r="E305" s="33" t="s">
        <v>557</v>
      </c>
      <c r="F305" s="35">
        <v>256779413428</v>
      </c>
      <c r="G305" s="33" t="s">
        <v>559</v>
      </c>
      <c r="H305" s="36">
        <v>11.75</v>
      </c>
      <c r="I305" s="37" t="s">
        <v>560</v>
      </c>
      <c r="J305" s="38">
        <v>1010.31</v>
      </c>
      <c r="K305" s="33" t="s">
        <v>561</v>
      </c>
      <c r="L305" s="33" t="s">
        <v>557</v>
      </c>
      <c r="M305" s="54" cm="1">
        <f t="array" ref="M305:N305">_xlfn.XLOOKUP(F305,'Customer Data Vlookup'!$L:$L,'Customer Data Vlookup'!$M:$N,,0)</f>
        <v>0</v>
      </c>
      <c r="N305" s="54">
        <v>990</v>
      </c>
      <c r="O305" s="54">
        <f t="shared" si="12"/>
        <v>990</v>
      </c>
      <c r="P305" s="54">
        <f t="shared" si="13"/>
        <v>20.309999999999945</v>
      </c>
      <c r="Q305" s="56">
        <f t="shared" si="14"/>
        <v>2.0102740742940231E-2</v>
      </c>
      <c r="R305" s="33" t="s">
        <v>909</v>
      </c>
      <c r="S305" s="34"/>
      <c r="T305" s="33" t="s">
        <v>558</v>
      </c>
    </row>
    <row r="306" spans="1:20" x14ac:dyDescent="0.35">
      <c r="A306" s="32">
        <v>1800013487</v>
      </c>
      <c r="B306" s="33" t="s">
        <v>563</v>
      </c>
      <c r="C306" s="34">
        <v>45938</v>
      </c>
      <c r="D306" s="34">
        <v>45939</v>
      </c>
      <c r="E306" s="33" t="s">
        <v>557</v>
      </c>
      <c r="F306" s="35">
        <v>256779418103</v>
      </c>
      <c r="G306" s="33" t="s">
        <v>559</v>
      </c>
      <c r="H306" s="36">
        <v>11.26</v>
      </c>
      <c r="I306" s="37" t="s">
        <v>560</v>
      </c>
      <c r="J306" s="38">
        <v>993.03</v>
      </c>
      <c r="K306" s="33" t="s">
        <v>561</v>
      </c>
      <c r="L306" s="33" t="s">
        <v>676</v>
      </c>
      <c r="M306" s="54" cm="1">
        <f t="array" ref="M306:N306">_xlfn.XLOOKUP(F306,'Customer Data Vlookup'!$L:$L,'Customer Data Vlookup'!$M:$N,,0)</f>
        <v>980</v>
      </c>
      <c r="N306" s="54">
        <v>47157.936999999998</v>
      </c>
      <c r="O306" s="54">
        <f t="shared" si="12"/>
        <v>46177.936999999998</v>
      </c>
      <c r="P306" s="54">
        <f t="shared" si="13"/>
        <v>-45184.906999999999</v>
      </c>
      <c r="Q306" s="56">
        <f t="shared" si="14"/>
        <v>-45.502056332638489</v>
      </c>
      <c r="R306" s="33" t="s">
        <v>677</v>
      </c>
      <c r="S306" s="34"/>
      <c r="T306" s="33" t="s">
        <v>558</v>
      </c>
    </row>
    <row r="307" spans="1:20" x14ac:dyDescent="0.35">
      <c r="A307" s="32">
        <v>1800014745</v>
      </c>
      <c r="B307" s="33" t="s">
        <v>563</v>
      </c>
      <c r="C307" s="34">
        <v>45966</v>
      </c>
      <c r="D307" s="34">
        <v>45968</v>
      </c>
      <c r="E307" s="33" t="s">
        <v>557</v>
      </c>
      <c r="F307" s="35">
        <v>256779419248</v>
      </c>
      <c r="G307" s="33" t="s">
        <v>559</v>
      </c>
      <c r="H307" s="36">
        <v>11.27</v>
      </c>
      <c r="I307" s="37" t="s">
        <v>560</v>
      </c>
      <c r="J307" s="38">
        <v>991.8</v>
      </c>
      <c r="K307" s="33" t="s">
        <v>561</v>
      </c>
      <c r="L307" s="33" t="s">
        <v>831</v>
      </c>
      <c r="M307" s="54" cm="1">
        <f t="array" ref="M307:N307">_xlfn.XLOOKUP(F307,'Customer Data Vlookup'!$L:$L,'Customer Data Vlookup'!$M:$N,,0)</f>
        <v>0</v>
      </c>
      <c r="N307" s="54">
        <v>991.79819999999995</v>
      </c>
      <c r="O307" s="54">
        <f t="shared" si="12"/>
        <v>991.79819999999995</v>
      </c>
      <c r="P307" s="54">
        <f t="shared" si="13"/>
        <v>1.8000000000029104E-3</v>
      </c>
      <c r="Q307" s="56">
        <f t="shared" si="14"/>
        <v>1.8148820326708112E-6</v>
      </c>
      <c r="R307" s="33" t="s">
        <v>832</v>
      </c>
      <c r="S307" s="34"/>
      <c r="T307" s="33" t="s">
        <v>558</v>
      </c>
    </row>
    <row r="308" spans="1:20" x14ac:dyDescent="0.35">
      <c r="A308" s="32">
        <v>1800012216</v>
      </c>
      <c r="B308" s="33" t="s">
        <v>563</v>
      </c>
      <c r="C308" s="34">
        <v>45889</v>
      </c>
      <c r="D308" s="34">
        <v>45891</v>
      </c>
      <c r="E308" s="33" t="s">
        <v>557</v>
      </c>
      <c r="F308" s="35">
        <v>256779416878</v>
      </c>
      <c r="G308" s="33" t="s">
        <v>559</v>
      </c>
      <c r="H308" s="36">
        <v>11.52</v>
      </c>
      <c r="I308" s="37" t="s">
        <v>560</v>
      </c>
      <c r="J308" s="38">
        <v>991.07</v>
      </c>
      <c r="K308" s="33" t="s">
        <v>561</v>
      </c>
      <c r="L308" s="33" t="s">
        <v>557</v>
      </c>
      <c r="M308" s="54" cm="1">
        <f t="array" ref="M308:N308">_xlfn.XLOOKUP(F308,'Customer Data Vlookup'!$L:$L,'Customer Data Vlookup'!$M:$N,,0)</f>
        <v>0</v>
      </c>
      <c r="N308" s="54">
        <v>971</v>
      </c>
      <c r="O308" s="54">
        <f t="shared" si="12"/>
        <v>971</v>
      </c>
      <c r="P308" s="54">
        <f t="shared" si="13"/>
        <v>20.07000000000005</v>
      </c>
      <c r="Q308" s="56">
        <f t="shared" si="14"/>
        <v>2.025084000121086E-2</v>
      </c>
      <c r="R308" s="33" t="s">
        <v>885</v>
      </c>
      <c r="S308" s="34"/>
      <c r="T308" s="33" t="s">
        <v>558</v>
      </c>
    </row>
    <row r="309" spans="1:20" x14ac:dyDescent="0.35">
      <c r="A309" s="32">
        <v>1800015129</v>
      </c>
      <c r="B309" s="33" t="s">
        <v>563</v>
      </c>
      <c r="C309" s="34">
        <v>45981</v>
      </c>
      <c r="D309" s="34">
        <v>45985</v>
      </c>
      <c r="E309" s="33" t="s">
        <v>557</v>
      </c>
      <c r="F309" s="35">
        <v>256779419628</v>
      </c>
      <c r="G309" s="33" t="s">
        <v>559</v>
      </c>
      <c r="H309" s="36">
        <v>10.199999999999999</v>
      </c>
      <c r="I309" s="37" t="s">
        <v>560</v>
      </c>
      <c r="J309" s="38">
        <v>897.63</v>
      </c>
      <c r="K309" s="33" t="s">
        <v>561</v>
      </c>
      <c r="L309" s="33" t="s">
        <v>650</v>
      </c>
      <c r="M309" s="54" cm="1">
        <f t="array" ref="M309:N309">_xlfn.XLOOKUP(F309,'Customer Data Vlookup'!$L:$L,'Customer Data Vlookup'!$M:$N,,0)</f>
        <v>0</v>
      </c>
      <c r="N309" s="54">
        <v>897.63459999999998</v>
      </c>
      <c r="O309" s="54">
        <f t="shared" si="12"/>
        <v>897.63459999999998</v>
      </c>
      <c r="P309" s="54">
        <f t="shared" si="13"/>
        <v>-4.5999999999821739E-3</v>
      </c>
      <c r="Q309" s="56">
        <f t="shared" si="14"/>
        <v>-5.1246059066454705E-6</v>
      </c>
      <c r="R309" s="33" t="s">
        <v>651</v>
      </c>
      <c r="S309" s="34"/>
      <c r="T309" s="33" t="s">
        <v>558</v>
      </c>
    </row>
    <row r="310" spans="1:20" x14ac:dyDescent="0.35">
      <c r="A310" s="32">
        <v>1800004077</v>
      </c>
      <c r="B310" s="33" t="s">
        <v>563</v>
      </c>
      <c r="C310" s="34">
        <v>45736</v>
      </c>
      <c r="D310" s="34">
        <v>45737</v>
      </c>
      <c r="E310" s="33" t="s">
        <v>557</v>
      </c>
      <c r="F310" s="35">
        <v>246779413933</v>
      </c>
      <c r="G310" s="33" t="s">
        <v>559</v>
      </c>
      <c r="H310" s="36">
        <v>10</v>
      </c>
      <c r="I310" s="37" t="s">
        <v>560</v>
      </c>
      <c r="J310" s="38">
        <v>866.91</v>
      </c>
      <c r="K310" s="33" t="s">
        <v>561</v>
      </c>
      <c r="L310" s="33" t="s">
        <v>557</v>
      </c>
      <c r="M310" s="54" cm="1">
        <f t="array" ref="M310:N310">_xlfn.XLOOKUP(F310,'Customer Data Vlookup'!$L:$L,'Customer Data Vlookup'!$M:$N,,0)</f>
        <v>0</v>
      </c>
      <c r="N310" s="54">
        <v>846</v>
      </c>
      <c r="O310" s="54">
        <f t="shared" si="12"/>
        <v>846</v>
      </c>
      <c r="P310" s="54">
        <f t="shared" si="13"/>
        <v>20.909999999999968</v>
      </c>
      <c r="Q310" s="56">
        <f t="shared" si="14"/>
        <v>2.4120150880714224E-2</v>
      </c>
      <c r="R310" s="33" t="s">
        <v>604</v>
      </c>
      <c r="S310" s="34"/>
      <c r="T310" s="33" t="s">
        <v>558</v>
      </c>
    </row>
    <row r="311" spans="1:20" x14ac:dyDescent="0.35">
      <c r="A311" s="32">
        <v>1800006673</v>
      </c>
      <c r="B311" s="33" t="s">
        <v>563</v>
      </c>
      <c r="C311" s="34">
        <v>45762</v>
      </c>
      <c r="D311" s="34">
        <v>45763</v>
      </c>
      <c r="E311" s="33" t="s">
        <v>557</v>
      </c>
      <c r="F311" s="35">
        <v>256779411564</v>
      </c>
      <c r="G311" s="33" t="s">
        <v>559</v>
      </c>
      <c r="H311" s="36">
        <v>9.4</v>
      </c>
      <c r="I311" s="37" t="s">
        <v>560</v>
      </c>
      <c r="J311" s="38">
        <v>817.07</v>
      </c>
      <c r="K311" s="33" t="s">
        <v>558</v>
      </c>
      <c r="L311" s="33" t="s">
        <v>557</v>
      </c>
      <c r="M311" s="54" cm="1">
        <f t="array" ref="M311:N311">_xlfn.XLOOKUP(F311,'Customer Data Vlookup'!$L:$L,'Customer Data Vlookup'!$M:$N,,0)</f>
        <v>0</v>
      </c>
      <c r="N311" s="54">
        <v>790</v>
      </c>
      <c r="O311" s="54">
        <f t="shared" si="12"/>
        <v>790</v>
      </c>
      <c r="P311" s="54">
        <f t="shared" si="13"/>
        <v>27.07000000000005</v>
      </c>
      <c r="Q311" s="56">
        <f t="shared" si="14"/>
        <v>3.3130576327609691E-2</v>
      </c>
      <c r="R311" s="33" t="s">
        <v>774</v>
      </c>
      <c r="S311" s="34"/>
      <c r="T311" s="33" t="s">
        <v>558</v>
      </c>
    </row>
    <row r="312" spans="1:20" x14ac:dyDescent="0.35">
      <c r="A312" s="32">
        <v>1800000746</v>
      </c>
      <c r="B312" s="33" t="s">
        <v>563</v>
      </c>
      <c r="C312" s="34">
        <v>45720</v>
      </c>
      <c r="D312" s="34">
        <v>45720</v>
      </c>
      <c r="E312" s="33" t="s">
        <v>557</v>
      </c>
      <c r="F312" s="35">
        <v>246779410686</v>
      </c>
      <c r="G312" s="33" t="s">
        <v>559</v>
      </c>
      <c r="H312" s="36">
        <v>9.4</v>
      </c>
      <c r="I312" s="37" t="s">
        <v>560</v>
      </c>
      <c r="J312" s="38">
        <v>814.9</v>
      </c>
      <c r="K312" s="33" t="s">
        <v>561</v>
      </c>
      <c r="L312" s="33" t="s">
        <v>557</v>
      </c>
      <c r="M312" s="54" cm="1">
        <f t="array" ref="M312:N312">_xlfn.XLOOKUP(F312,'Customer Data Vlookup'!$L:$L,'Customer Data Vlookup'!$M:$N,,0)</f>
        <v>0</v>
      </c>
      <c r="N312" s="54">
        <v>805</v>
      </c>
      <c r="O312" s="54">
        <f t="shared" si="12"/>
        <v>805</v>
      </c>
      <c r="P312" s="54">
        <f t="shared" si="13"/>
        <v>9.8999999999999773</v>
      </c>
      <c r="Q312" s="56">
        <f t="shared" si="14"/>
        <v>1.2148729905509852E-2</v>
      </c>
      <c r="R312" s="33" t="s">
        <v>914</v>
      </c>
      <c r="S312" s="34"/>
      <c r="T312" s="33" t="s">
        <v>558</v>
      </c>
    </row>
    <row r="313" spans="1:20" x14ac:dyDescent="0.35">
      <c r="A313" s="32">
        <v>1800000748</v>
      </c>
      <c r="B313" s="33" t="s">
        <v>563</v>
      </c>
      <c r="C313" s="34">
        <v>45720</v>
      </c>
      <c r="D313" s="34">
        <v>45720</v>
      </c>
      <c r="E313" s="33" t="s">
        <v>557</v>
      </c>
      <c r="F313" s="35">
        <v>246779410688</v>
      </c>
      <c r="G313" s="33" t="s">
        <v>559</v>
      </c>
      <c r="H313" s="36">
        <v>9.4</v>
      </c>
      <c r="I313" s="37" t="s">
        <v>560</v>
      </c>
      <c r="J313" s="38">
        <v>814.9</v>
      </c>
      <c r="K313" s="33" t="s">
        <v>561</v>
      </c>
      <c r="L313" s="33" t="s">
        <v>557</v>
      </c>
      <c r="M313" s="54" cm="1">
        <f t="array" ref="M313:N313">_xlfn.XLOOKUP(F313,'Customer Data Vlookup'!$L:$L,'Customer Data Vlookup'!$M:$N,,0)</f>
        <v>0</v>
      </c>
      <c r="N313" s="54">
        <v>799</v>
      </c>
      <c r="O313" s="54">
        <f t="shared" si="12"/>
        <v>799</v>
      </c>
      <c r="P313" s="54">
        <f t="shared" si="13"/>
        <v>15.899999999999977</v>
      </c>
      <c r="Q313" s="56">
        <f t="shared" si="14"/>
        <v>1.9511596514909777E-2</v>
      </c>
      <c r="R313" s="33" t="s">
        <v>914</v>
      </c>
      <c r="S313" s="34"/>
      <c r="T313" s="33" t="s">
        <v>558</v>
      </c>
    </row>
    <row r="314" spans="1:20" x14ac:dyDescent="0.35">
      <c r="A314" s="32">
        <v>1800000752</v>
      </c>
      <c r="B314" s="33" t="s">
        <v>563</v>
      </c>
      <c r="C314" s="34">
        <v>45720</v>
      </c>
      <c r="D314" s="34">
        <v>45720</v>
      </c>
      <c r="E314" s="33" t="s">
        <v>557</v>
      </c>
      <c r="F314" s="35">
        <v>246779410692</v>
      </c>
      <c r="G314" s="33" t="s">
        <v>559</v>
      </c>
      <c r="H314" s="36">
        <v>9.4</v>
      </c>
      <c r="I314" s="37" t="s">
        <v>560</v>
      </c>
      <c r="J314" s="38">
        <v>814.9</v>
      </c>
      <c r="K314" s="33" t="s">
        <v>561</v>
      </c>
      <c r="L314" s="33" t="s">
        <v>557</v>
      </c>
      <c r="M314" s="54" cm="1">
        <f t="array" ref="M314:N314">_xlfn.XLOOKUP(F314,'Customer Data Vlookup'!$L:$L,'Customer Data Vlookup'!$M:$N,,0)</f>
        <v>0</v>
      </c>
      <c r="N314" s="54">
        <v>805</v>
      </c>
      <c r="O314" s="54">
        <f t="shared" si="12"/>
        <v>805</v>
      </c>
      <c r="P314" s="54">
        <f t="shared" si="13"/>
        <v>9.8999999999999773</v>
      </c>
      <c r="Q314" s="56">
        <f t="shared" si="14"/>
        <v>1.2148729905509852E-2</v>
      </c>
      <c r="R314" s="33" t="s">
        <v>914</v>
      </c>
      <c r="S314" s="34"/>
      <c r="T314" s="33" t="s">
        <v>558</v>
      </c>
    </row>
    <row r="315" spans="1:20" x14ac:dyDescent="0.35">
      <c r="A315" s="32">
        <v>1800000753</v>
      </c>
      <c r="B315" s="33" t="s">
        <v>563</v>
      </c>
      <c r="C315" s="34">
        <v>45720</v>
      </c>
      <c r="D315" s="34">
        <v>45720</v>
      </c>
      <c r="E315" s="33" t="s">
        <v>557</v>
      </c>
      <c r="F315" s="35">
        <v>246779410693</v>
      </c>
      <c r="G315" s="33" t="s">
        <v>559</v>
      </c>
      <c r="H315" s="36">
        <v>9.4</v>
      </c>
      <c r="I315" s="37" t="s">
        <v>560</v>
      </c>
      <c r="J315" s="38">
        <v>814.9</v>
      </c>
      <c r="K315" s="33" t="s">
        <v>561</v>
      </c>
      <c r="L315" s="33" t="s">
        <v>557</v>
      </c>
      <c r="M315" s="54" cm="1">
        <f t="array" ref="M315:N315">_xlfn.XLOOKUP(F315,'Customer Data Vlookup'!$L:$L,'Customer Data Vlookup'!$M:$N,,0)</f>
        <v>0</v>
      </c>
      <c r="N315" s="54">
        <v>805</v>
      </c>
      <c r="O315" s="54">
        <f t="shared" si="12"/>
        <v>805</v>
      </c>
      <c r="P315" s="54">
        <f t="shared" si="13"/>
        <v>9.8999999999999773</v>
      </c>
      <c r="Q315" s="56">
        <f t="shared" si="14"/>
        <v>1.2148729905509852E-2</v>
      </c>
      <c r="R315" s="33" t="s">
        <v>914</v>
      </c>
      <c r="S315" s="34"/>
      <c r="T315" s="33" t="s">
        <v>558</v>
      </c>
    </row>
    <row r="316" spans="1:20" x14ac:dyDescent="0.35">
      <c r="A316" s="32">
        <v>1800000904</v>
      </c>
      <c r="B316" s="33" t="s">
        <v>563</v>
      </c>
      <c r="C316" s="34">
        <v>45720</v>
      </c>
      <c r="D316" s="34">
        <v>45721</v>
      </c>
      <c r="E316" s="33" t="s">
        <v>557</v>
      </c>
      <c r="F316" s="35">
        <v>246779410845</v>
      </c>
      <c r="G316" s="33" t="s">
        <v>559</v>
      </c>
      <c r="H316" s="36">
        <v>9.4</v>
      </c>
      <c r="I316" s="37" t="s">
        <v>560</v>
      </c>
      <c r="J316" s="38">
        <v>814.9</v>
      </c>
      <c r="K316" s="33" t="s">
        <v>561</v>
      </c>
      <c r="L316" s="33" t="s">
        <v>557</v>
      </c>
      <c r="M316" s="54" cm="1">
        <f t="array" ref="M316:N316">_xlfn.XLOOKUP(F316,'Customer Data Vlookup'!$L:$L,'Customer Data Vlookup'!$M:$N,,0)</f>
        <v>0</v>
      </c>
      <c r="N316" s="54">
        <v>805</v>
      </c>
      <c r="O316" s="54">
        <f t="shared" si="12"/>
        <v>805</v>
      </c>
      <c r="P316" s="54">
        <f t="shared" si="13"/>
        <v>9.8999999999999773</v>
      </c>
      <c r="Q316" s="56">
        <f t="shared" si="14"/>
        <v>1.2148729905509852E-2</v>
      </c>
      <c r="R316" s="33" t="s">
        <v>915</v>
      </c>
      <c r="S316" s="34"/>
      <c r="T316" s="33" t="s">
        <v>558</v>
      </c>
    </row>
    <row r="317" spans="1:20" x14ac:dyDescent="0.35">
      <c r="A317" s="32">
        <v>1800000909</v>
      </c>
      <c r="B317" s="33" t="s">
        <v>563</v>
      </c>
      <c r="C317" s="34">
        <v>45720</v>
      </c>
      <c r="D317" s="34">
        <v>45721</v>
      </c>
      <c r="E317" s="33" t="s">
        <v>557</v>
      </c>
      <c r="F317" s="35">
        <v>246779410850</v>
      </c>
      <c r="G317" s="33" t="s">
        <v>559</v>
      </c>
      <c r="H317" s="36">
        <v>9.4</v>
      </c>
      <c r="I317" s="37" t="s">
        <v>560</v>
      </c>
      <c r="J317" s="38">
        <v>814.9</v>
      </c>
      <c r="K317" s="33" t="s">
        <v>561</v>
      </c>
      <c r="L317" s="33" t="s">
        <v>557</v>
      </c>
      <c r="M317" s="54" cm="1">
        <f t="array" ref="M317:N317">_xlfn.XLOOKUP(F317,'Customer Data Vlookup'!$L:$L,'Customer Data Vlookup'!$M:$N,,0)</f>
        <v>0</v>
      </c>
      <c r="N317" s="54">
        <v>763</v>
      </c>
      <c r="O317" s="54">
        <f t="shared" si="12"/>
        <v>763</v>
      </c>
      <c r="P317" s="54">
        <f t="shared" si="13"/>
        <v>51.899999999999977</v>
      </c>
      <c r="Q317" s="56">
        <f t="shared" si="14"/>
        <v>6.3688796171309334E-2</v>
      </c>
      <c r="R317" s="33" t="s">
        <v>915</v>
      </c>
      <c r="S317" s="34"/>
      <c r="T317" s="33" t="s">
        <v>558</v>
      </c>
    </row>
    <row r="318" spans="1:20" x14ac:dyDescent="0.35">
      <c r="A318" s="32">
        <v>1800000549</v>
      </c>
      <c r="B318" s="33" t="s">
        <v>563</v>
      </c>
      <c r="C318" s="34">
        <v>45719</v>
      </c>
      <c r="D318" s="34">
        <v>45719</v>
      </c>
      <c r="E318" s="33" t="s">
        <v>557</v>
      </c>
      <c r="F318" s="35">
        <v>246779410499</v>
      </c>
      <c r="G318" s="33" t="s">
        <v>559</v>
      </c>
      <c r="H318" s="36">
        <v>9.4</v>
      </c>
      <c r="I318" s="37" t="s">
        <v>560</v>
      </c>
      <c r="J318" s="38">
        <v>814.9</v>
      </c>
      <c r="K318" s="33" t="s">
        <v>561</v>
      </c>
      <c r="L318" s="33" t="s">
        <v>557</v>
      </c>
      <c r="M318" s="54" cm="1">
        <f t="array" ref="M318:N318">_xlfn.XLOOKUP(F318,'Customer Data Vlookup'!$L:$L,'Customer Data Vlookup'!$M:$N,,0)</f>
        <v>0</v>
      </c>
      <c r="N318" s="54">
        <v>804</v>
      </c>
      <c r="O318" s="54">
        <f t="shared" si="12"/>
        <v>804</v>
      </c>
      <c r="P318" s="54">
        <f t="shared" si="13"/>
        <v>10.899999999999977</v>
      </c>
      <c r="Q318" s="56">
        <f t="shared" si="14"/>
        <v>1.3375874340409839E-2</v>
      </c>
      <c r="R318" s="33" t="s">
        <v>928</v>
      </c>
      <c r="S318" s="34"/>
      <c r="T318" s="33" t="s">
        <v>558</v>
      </c>
    </row>
    <row r="319" spans="1:20" x14ac:dyDescent="0.35">
      <c r="A319" s="32">
        <v>1800000553</v>
      </c>
      <c r="B319" s="33" t="s">
        <v>563</v>
      </c>
      <c r="C319" s="34">
        <v>45719</v>
      </c>
      <c r="D319" s="34">
        <v>45719</v>
      </c>
      <c r="E319" s="33" t="s">
        <v>557</v>
      </c>
      <c r="F319" s="35">
        <v>246779410503</v>
      </c>
      <c r="G319" s="33" t="s">
        <v>559</v>
      </c>
      <c r="H319" s="36">
        <v>9.4</v>
      </c>
      <c r="I319" s="37" t="s">
        <v>560</v>
      </c>
      <c r="J319" s="38">
        <v>814.9</v>
      </c>
      <c r="K319" s="33" t="s">
        <v>561</v>
      </c>
      <c r="L319" s="33" t="s">
        <v>557</v>
      </c>
      <c r="M319" s="54" cm="1">
        <f t="array" ref="M319:N319">_xlfn.XLOOKUP(F319,'Customer Data Vlookup'!$L:$L,'Customer Data Vlookup'!$M:$N,,0)</f>
        <v>0</v>
      </c>
      <c r="N319" s="54">
        <v>2009</v>
      </c>
      <c r="O319" s="54">
        <f t="shared" si="12"/>
        <v>2009</v>
      </c>
      <c r="P319" s="54">
        <f t="shared" si="13"/>
        <v>-1194.0999999999999</v>
      </c>
      <c r="Q319" s="56">
        <f t="shared" si="14"/>
        <v>-1.4653331697140752</v>
      </c>
      <c r="R319" s="33" t="s">
        <v>928</v>
      </c>
      <c r="S319" s="34"/>
      <c r="T319" s="33" t="s">
        <v>558</v>
      </c>
    </row>
    <row r="320" spans="1:20" x14ac:dyDescent="0.35">
      <c r="A320" s="32">
        <v>1800000668</v>
      </c>
      <c r="B320" s="33" t="s">
        <v>563</v>
      </c>
      <c r="C320" s="34">
        <v>45719</v>
      </c>
      <c r="D320" s="34">
        <v>45720</v>
      </c>
      <c r="E320" s="33" t="s">
        <v>557</v>
      </c>
      <c r="F320" s="35">
        <v>246779410608</v>
      </c>
      <c r="G320" s="33" t="s">
        <v>559</v>
      </c>
      <c r="H320" s="36">
        <v>9.4</v>
      </c>
      <c r="I320" s="37" t="s">
        <v>560</v>
      </c>
      <c r="J320" s="38">
        <v>814.9</v>
      </c>
      <c r="K320" s="33" t="s">
        <v>561</v>
      </c>
      <c r="L320" s="33" t="s">
        <v>557</v>
      </c>
      <c r="M320" s="54" cm="1">
        <f t="array" ref="M320:N320">_xlfn.XLOOKUP(F320,'Customer Data Vlookup'!$L:$L,'Customer Data Vlookup'!$M:$N,,0)</f>
        <v>0</v>
      </c>
      <c r="N320" s="54">
        <v>804</v>
      </c>
      <c r="O320" s="54">
        <f t="shared" si="12"/>
        <v>804</v>
      </c>
      <c r="P320" s="54">
        <f t="shared" si="13"/>
        <v>10.899999999999977</v>
      </c>
      <c r="Q320" s="56">
        <f t="shared" si="14"/>
        <v>1.3375874340409839E-2</v>
      </c>
      <c r="R320" s="33" t="s">
        <v>906</v>
      </c>
      <c r="S320" s="34"/>
      <c r="T320" s="33" t="s">
        <v>558</v>
      </c>
    </row>
    <row r="321" spans="1:20" x14ac:dyDescent="0.35">
      <c r="A321" s="32">
        <v>1800000673</v>
      </c>
      <c r="B321" s="33" t="s">
        <v>563</v>
      </c>
      <c r="C321" s="34">
        <v>45719</v>
      </c>
      <c r="D321" s="34">
        <v>45720</v>
      </c>
      <c r="E321" s="33" t="s">
        <v>557</v>
      </c>
      <c r="F321" s="35">
        <v>246779410613</v>
      </c>
      <c r="G321" s="33" t="s">
        <v>559</v>
      </c>
      <c r="H321" s="36">
        <v>9.4</v>
      </c>
      <c r="I321" s="37" t="s">
        <v>560</v>
      </c>
      <c r="J321" s="38">
        <v>814.9</v>
      </c>
      <c r="K321" s="33" t="s">
        <v>561</v>
      </c>
      <c r="L321" s="33" t="s">
        <v>557</v>
      </c>
      <c r="M321" s="54" cm="1">
        <f t="array" ref="M321:N321">_xlfn.XLOOKUP(F321,'Customer Data Vlookup'!$L:$L,'Customer Data Vlookup'!$M:$N,,0)</f>
        <v>0</v>
      </c>
      <c r="N321" s="54">
        <v>804</v>
      </c>
      <c r="O321" s="54">
        <f t="shared" si="12"/>
        <v>804</v>
      </c>
      <c r="P321" s="54">
        <f t="shared" si="13"/>
        <v>10.899999999999977</v>
      </c>
      <c r="Q321" s="56">
        <f t="shared" si="14"/>
        <v>1.3375874340409839E-2</v>
      </c>
      <c r="R321" s="33" t="s">
        <v>906</v>
      </c>
      <c r="S321" s="34"/>
      <c r="T321" s="33" t="s">
        <v>558</v>
      </c>
    </row>
    <row r="322" spans="1:20" x14ac:dyDescent="0.35">
      <c r="A322" s="32">
        <v>1800005188</v>
      </c>
      <c r="B322" s="33" t="s">
        <v>563</v>
      </c>
      <c r="C322" s="34">
        <v>45750</v>
      </c>
      <c r="D322" s="34">
        <v>45752</v>
      </c>
      <c r="E322" s="33" t="s">
        <v>557</v>
      </c>
      <c r="F322" s="35">
        <v>256779410134</v>
      </c>
      <c r="G322" s="33" t="s">
        <v>559</v>
      </c>
      <c r="H322" s="36">
        <v>7.5</v>
      </c>
      <c r="I322" s="37" t="s">
        <v>560</v>
      </c>
      <c r="J322" s="38">
        <v>651.91</v>
      </c>
      <c r="K322" s="33" t="s">
        <v>558</v>
      </c>
      <c r="L322" s="33" t="s">
        <v>557</v>
      </c>
      <c r="M322" s="54" cm="1">
        <f t="array" ref="M322:N322">_xlfn.XLOOKUP(F322,'Customer Data Vlookup'!$L:$L,'Customer Data Vlookup'!$M:$N,,0)</f>
        <v>0</v>
      </c>
      <c r="N322" s="54">
        <v>639</v>
      </c>
      <c r="O322" s="54">
        <f t="shared" si="12"/>
        <v>639</v>
      </c>
      <c r="P322" s="54">
        <f t="shared" si="13"/>
        <v>12.909999999999968</v>
      </c>
      <c r="Q322" s="56">
        <f t="shared" si="14"/>
        <v>1.9803347087788144E-2</v>
      </c>
      <c r="R322" s="33" t="s">
        <v>600</v>
      </c>
      <c r="S322" s="34"/>
      <c r="T322" s="33" t="s">
        <v>558</v>
      </c>
    </row>
    <row r="323" spans="1:20" x14ac:dyDescent="0.35">
      <c r="A323" s="32">
        <v>1800002268</v>
      </c>
      <c r="B323" s="33" t="s">
        <v>563</v>
      </c>
      <c r="C323" s="34">
        <v>45733</v>
      </c>
      <c r="D323" s="34">
        <v>45734</v>
      </c>
      <c r="E323" s="33" t="s">
        <v>557</v>
      </c>
      <c r="F323" s="35">
        <v>246779411933</v>
      </c>
      <c r="G323" s="33" t="s">
        <v>559</v>
      </c>
      <c r="H323" s="36">
        <v>7.1</v>
      </c>
      <c r="I323" s="37" t="s">
        <v>560</v>
      </c>
      <c r="J323" s="38">
        <v>615.51</v>
      </c>
      <c r="K323" s="33" t="s">
        <v>561</v>
      </c>
      <c r="L323" s="33" t="s">
        <v>557</v>
      </c>
      <c r="M323" s="54" cm="1">
        <f t="array" ref="M323:N323">_xlfn.XLOOKUP(F323,'Customer Data Vlookup'!$L:$L,'Customer Data Vlookup'!$M:$N,,0)</f>
        <v>0</v>
      </c>
      <c r="N323" s="54">
        <v>576</v>
      </c>
      <c r="O323" s="54">
        <f t="shared" si="12"/>
        <v>576</v>
      </c>
      <c r="P323" s="54">
        <f t="shared" si="13"/>
        <v>39.509999999999991</v>
      </c>
      <c r="Q323" s="56">
        <f t="shared" si="14"/>
        <v>6.4190671150753026E-2</v>
      </c>
      <c r="R323" s="33" t="s">
        <v>765</v>
      </c>
      <c r="S323" s="34"/>
      <c r="T323" s="33" t="s">
        <v>558</v>
      </c>
    </row>
    <row r="324" spans="1:20" x14ac:dyDescent="0.35">
      <c r="A324" s="32">
        <v>1800002270</v>
      </c>
      <c r="B324" s="33" t="s">
        <v>563</v>
      </c>
      <c r="C324" s="34">
        <v>45733</v>
      </c>
      <c r="D324" s="34">
        <v>45734</v>
      </c>
      <c r="E324" s="33" t="s">
        <v>557</v>
      </c>
      <c r="F324" s="35">
        <v>246779411935</v>
      </c>
      <c r="G324" s="33" t="s">
        <v>559</v>
      </c>
      <c r="H324" s="36">
        <v>7.1</v>
      </c>
      <c r="I324" s="37" t="s">
        <v>560</v>
      </c>
      <c r="J324" s="38">
        <v>615.51</v>
      </c>
      <c r="K324" s="33" t="s">
        <v>561</v>
      </c>
      <c r="L324" s="33" t="s">
        <v>557</v>
      </c>
      <c r="M324" s="54" cm="1">
        <f t="array" ref="M324:N324">_xlfn.XLOOKUP(F324,'Customer Data Vlookup'!$L:$L,'Customer Data Vlookup'!$M:$N,,0)</f>
        <v>0</v>
      </c>
      <c r="N324" s="54">
        <v>576</v>
      </c>
      <c r="O324" s="54">
        <f t="shared" ref="O324:O387" si="15">N324-M324</f>
        <v>576</v>
      </c>
      <c r="P324" s="54">
        <f t="shared" ref="P324:P387" si="16">J324-O324</f>
        <v>39.509999999999991</v>
      </c>
      <c r="Q324" s="56">
        <f t="shared" ref="Q324:Q387" si="17">P324/J324</f>
        <v>6.4190671150753026E-2</v>
      </c>
      <c r="R324" s="33" t="s">
        <v>765</v>
      </c>
      <c r="S324" s="34"/>
      <c r="T324" s="33" t="s">
        <v>558</v>
      </c>
    </row>
    <row r="325" spans="1:20" x14ac:dyDescent="0.35">
      <c r="A325" s="32">
        <v>1800003757</v>
      </c>
      <c r="B325" s="33" t="s">
        <v>563</v>
      </c>
      <c r="C325" s="34">
        <v>45736</v>
      </c>
      <c r="D325" s="34">
        <v>45736</v>
      </c>
      <c r="E325" s="33" t="s">
        <v>557</v>
      </c>
      <c r="F325" s="35">
        <v>246779413624</v>
      </c>
      <c r="G325" s="33" t="s">
        <v>559</v>
      </c>
      <c r="H325" s="36">
        <v>7.05</v>
      </c>
      <c r="I325" s="37" t="s">
        <v>560</v>
      </c>
      <c r="J325" s="38">
        <v>611.16999999999996</v>
      </c>
      <c r="K325" s="33" t="s">
        <v>561</v>
      </c>
      <c r="L325" s="33" t="s">
        <v>557</v>
      </c>
      <c r="M325" s="54" cm="1">
        <f t="array" ref="M325:N325">_xlfn.XLOOKUP(F325,'Customer Data Vlookup'!$L:$L,'Customer Data Vlookup'!$M:$N,,0)</f>
        <v>0</v>
      </c>
      <c r="N325" s="54">
        <v>596</v>
      </c>
      <c r="O325" s="54">
        <f t="shared" si="15"/>
        <v>596</v>
      </c>
      <c r="P325" s="54">
        <f t="shared" si="16"/>
        <v>15.169999999999959</v>
      </c>
      <c r="Q325" s="56">
        <f t="shared" si="17"/>
        <v>2.4821244498257376E-2</v>
      </c>
      <c r="R325" s="33" t="s">
        <v>860</v>
      </c>
      <c r="S325" s="34"/>
      <c r="T325" s="33" t="s">
        <v>558</v>
      </c>
    </row>
    <row r="326" spans="1:20" x14ac:dyDescent="0.35">
      <c r="A326" s="32">
        <v>1800003829</v>
      </c>
      <c r="B326" s="33" t="s">
        <v>563</v>
      </c>
      <c r="C326" s="34">
        <v>45736</v>
      </c>
      <c r="D326" s="34">
        <v>45736</v>
      </c>
      <c r="E326" s="33" t="s">
        <v>557</v>
      </c>
      <c r="F326" s="35">
        <v>246779413691</v>
      </c>
      <c r="G326" s="33" t="s">
        <v>559</v>
      </c>
      <c r="H326" s="36">
        <v>7.05</v>
      </c>
      <c r="I326" s="37" t="s">
        <v>560</v>
      </c>
      <c r="J326" s="38">
        <v>611.16999999999996</v>
      </c>
      <c r="K326" s="33" t="s">
        <v>561</v>
      </c>
      <c r="L326" s="33" t="s">
        <v>557</v>
      </c>
      <c r="M326" s="54" cm="1">
        <f t="array" ref="M326:N326">_xlfn.XLOOKUP(F326,'Customer Data Vlookup'!$L:$L,'Customer Data Vlookup'!$M:$N,,0)</f>
        <v>0</v>
      </c>
      <c r="N326" s="54">
        <v>596</v>
      </c>
      <c r="O326" s="54">
        <f t="shared" si="15"/>
        <v>596</v>
      </c>
      <c r="P326" s="54">
        <f t="shared" si="16"/>
        <v>15.169999999999959</v>
      </c>
      <c r="Q326" s="56">
        <f t="shared" si="17"/>
        <v>2.4821244498257376E-2</v>
      </c>
      <c r="R326" s="33" t="s">
        <v>860</v>
      </c>
      <c r="S326" s="34"/>
      <c r="T326" s="33" t="s">
        <v>558</v>
      </c>
    </row>
    <row r="327" spans="1:20" x14ac:dyDescent="0.35">
      <c r="A327" s="32">
        <v>1800003872</v>
      </c>
      <c r="B327" s="33" t="s">
        <v>563</v>
      </c>
      <c r="C327" s="34">
        <v>45736</v>
      </c>
      <c r="D327" s="34">
        <v>45736</v>
      </c>
      <c r="E327" s="33" t="s">
        <v>557</v>
      </c>
      <c r="F327" s="35">
        <v>246779413740</v>
      </c>
      <c r="G327" s="33" t="s">
        <v>559</v>
      </c>
      <c r="H327" s="36">
        <v>7.05</v>
      </c>
      <c r="I327" s="37" t="s">
        <v>560</v>
      </c>
      <c r="J327" s="38">
        <v>611.16999999999996</v>
      </c>
      <c r="K327" s="33" t="s">
        <v>561</v>
      </c>
      <c r="L327" s="33" t="s">
        <v>557</v>
      </c>
      <c r="M327" s="54" cm="1">
        <f t="array" ref="M327:N327">_xlfn.XLOOKUP(F327,'Customer Data Vlookup'!$L:$L,'Customer Data Vlookup'!$M:$N,,0)</f>
        <v>0</v>
      </c>
      <c r="N327" s="54">
        <v>574</v>
      </c>
      <c r="O327" s="54">
        <f t="shared" si="15"/>
        <v>574</v>
      </c>
      <c r="P327" s="54">
        <f t="shared" si="16"/>
        <v>37.169999999999959</v>
      </c>
      <c r="Q327" s="56">
        <f t="shared" si="17"/>
        <v>6.0817775741610292E-2</v>
      </c>
      <c r="R327" s="33" t="s">
        <v>860</v>
      </c>
      <c r="S327" s="34"/>
      <c r="T327" s="33" t="s">
        <v>558</v>
      </c>
    </row>
    <row r="328" spans="1:20" x14ac:dyDescent="0.35">
      <c r="A328" s="32">
        <v>1800003914</v>
      </c>
      <c r="B328" s="33" t="s">
        <v>563</v>
      </c>
      <c r="C328" s="34">
        <v>45736</v>
      </c>
      <c r="D328" s="34">
        <v>45736</v>
      </c>
      <c r="E328" s="33" t="s">
        <v>557</v>
      </c>
      <c r="F328" s="35">
        <v>246779413782</v>
      </c>
      <c r="G328" s="33" t="s">
        <v>559</v>
      </c>
      <c r="H328" s="36">
        <v>7.05</v>
      </c>
      <c r="I328" s="37" t="s">
        <v>560</v>
      </c>
      <c r="J328" s="38">
        <v>611.16999999999996</v>
      </c>
      <c r="K328" s="33" t="s">
        <v>561</v>
      </c>
      <c r="L328" s="33" t="s">
        <v>557</v>
      </c>
      <c r="M328" s="54" cm="1">
        <f t="array" ref="M328:N328">_xlfn.XLOOKUP(F328,'Customer Data Vlookup'!$L:$L,'Customer Data Vlookup'!$M:$N,,0)</f>
        <v>0</v>
      </c>
      <c r="N328" s="54">
        <v>596</v>
      </c>
      <c r="O328" s="54">
        <f t="shared" si="15"/>
        <v>596</v>
      </c>
      <c r="P328" s="54">
        <f t="shared" si="16"/>
        <v>15.169999999999959</v>
      </c>
      <c r="Q328" s="56">
        <f t="shared" si="17"/>
        <v>2.4821244498257376E-2</v>
      </c>
      <c r="R328" s="33" t="s">
        <v>604</v>
      </c>
      <c r="S328" s="34"/>
      <c r="T328" s="33" t="s">
        <v>558</v>
      </c>
    </row>
    <row r="329" spans="1:20" x14ac:dyDescent="0.35">
      <c r="A329" s="32">
        <v>1800000744</v>
      </c>
      <c r="B329" s="33" t="s">
        <v>563</v>
      </c>
      <c r="C329" s="34">
        <v>45720</v>
      </c>
      <c r="D329" s="34">
        <v>45720</v>
      </c>
      <c r="E329" s="33" t="s">
        <v>557</v>
      </c>
      <c r="F329" s="35">
        <v>246779410684</v>
      </c>
      <c r="G329" s="33" t="s">
        <v>559</v>
      </c>
      <c r="H329" s="36">
        <v>7.05</v>
      </c>
      <c r="I329" s="37" t="s">
        <v>560</v>
      </c>
      <c r="J329" s="38">
        <v>611.16999999999996</v>
      </c>
      <c r="K329" s="33" t="s">
        <v>561</v>
      </c>
      <c r="L329" s="33" t="s">
        <v>557</v>
      </c>
      <c r="M329" s="54" cm="1">
        <f t="array" ref="M329:N329">_xlfn.XLOOKUP(F329,'Customer Data Vlookup'!$L:$L,'Customer Data Vlookup'!$M:$N,,0)</f>
        <v>0</v>
      </c>
      <c r="N329" s="54">
        <v>604</v>
      </c>
      <c r="O329" s="54">
        <f t="shared" si="15"/>
        <v>604</v>
      </c>
      <c r="P329" s="54">
        <f t="shared" si="16"/>
        <v>7.1699999999999591</v>
      </c>
      <c r="Q329" s="56">
        <f t="shared" si="17"/>
        <v>1.173159677340177E-2</v>
      </c>
      <c r="R329" s="33" t="s">
        <v>914</v>
      </c>
      <c r="S329" s="34"/>
      <c r="T329" s="33" t="s">
        <v>558</v>
      </c>
    </row>
    <row r="330" spans="1:20" x14ac:dyDescent="0.35">
      <c r="A330" s="32">
        <v>1800000751</v>
      </c>
      <c r="B330" s="33" t="s">
        <v>563</v>
      </c>
      <c r="C330" s="34">
        <v>45720</v>
      </c>
      <c r="D330" s="34">
        <v>45720</v>
      </c>
      <c r="E330" s="33" t="s">
        <v>557</v>
      </c>
      <c r="F330" s="35">
        <v>246779410691</v>
      </c>
      <c r="G330" s="33" t="s">
        <v>559</v>
      </c>
      <c r="H330" s="36">
        <v>7.05</v>
      </c>
      <c r="I330" s="37" t="s">
        <v>560</v>
      </c>
      <c r="J330" s="38">
        <v>611.16999999999996</v>
      </c>
      <c r="K330" s="33" t="s">
        <v>561</v>
      </c>
      <c r="L330" s="33" t="s">
        <v>557</v>
      </c>
      <c r="M330" s="54" cm="1">
        <f t="array" ref="M330:N330">_xlfn.XLOOKUP(F330,'Customer Data Vlookup'!$L:$L,'Customer Data Vlookup'!$M:$N,,0)</f>
        <v>0</v>
      </c>
      <c r="N330" s="54">
        <v>604</v>
      </c>
      <c r="O330" s="54">
        <f t="shared" si="15"/>
        <v>604</v>
      </c>
      <c r="P330" s="54">
        <f t="shared" si="16"/>
        <v>7.1699999999999591</v>
      </c>
      <c r="Q330" s="56">
        <f t="shared" si="17"/>
        <v>1.173159677340177E-2</v>
      </c>
      <c r="R330" s="33" t="s">
        <v>914</v>
      </c>
      <c r="S330" s="34"/>
      <c r="T330" s="33" t="s">
        <v>558</v>
      </c>
    </row>
    <row r="331" spans="1:20" x14ac:dyDescent="0.35">
      <c r="A331" s="32">
        <v>1800000819</v>
      </c>
      <c r="B331" s="33" t="s">
        <v>563</v>
      </c>
      <c r="C331" s="34">
        <v>45720</v>
      </c>
      <c r="D331" s="34">
        <v>45721</v>
      </c>
      <c r="E331" s="33" t="s">
        <v>557</v>
      </c>
      <c r="F331" s="35">
        <v>246779410759</v>
      </c>
      <c r="G331" s="33" t="s">
        <v>559</v>
      </c>
      <c r="H331" s="36">
        <v>7.05</v>
      </c>
      <c r="I331" s="37" t="s">
        <v>560</v>
      </c>
      <c r="J331" s="38">
        <v>611.16999999999996</v>
      </c>
      <c r="K331" s="33" t="s">
        <v>561</v>
      </c>
      <c r="L331" s="33" t="s">
        <v>557</v>
      </c>
      <c r="M331" s="54" cm="1">
        <f t="array" ref="M331:N331">_xlfn.XLOOKUP(F331,'Customer Data Vlookup'!$L:$L,'Customer Data Vlookup'!$M:$N,,0)</f>
        <v>0</v>
      </c>
      <c r="N331" s="54">
        <v>604</v>
      </c>
      <c r="O331" s="54">
        <f t="shared" si="15"/>
        <v>604</v>
      </c>
      <c r="P331" s="54">
        <f t="shared" si="16"/>
        <v>7.1699999999999591</v>
      </c>
      <c r="Q331" s="56">
        <f t="shared" si="17"/>
        <v>1.173159677340177E-2</v>
      </c>
      <c r="R331" s="33" t="s">
        <v>907</v>
      </c>
      <c r="S331" s="34"/>
      <c r="T331" s="33" t="s">
        <v>558</v>
      </c>
    </row>
    <row r="332" spans="1:20" x14ac:dyDescent="0.35">
      <c r="A332" s="32">
        <v>1800000900</v>
      </c>
      <c r="B332" s="33" t="s">
        <v>563</v>
      </c>
      <c r="C332" s="34">
        <v>45720</v>
      </c>
      <c r="D332" s="34">
        <v>45721</v>
      </c>
      <c r="E332" s="33" t="s">
        <v>557</v>
      </c>
      <c r="F332" s="35">
        <v>246779410841</v>
      </c>
      <c r="G332" s="33" t="s">
        <v>559</v>
      </c>
      <c r="H332" s="36">
        <v>7.05</v>
      </c>
      <c r="I332" s="37" t="s">
        <v>560</v>
      </c>
      <c r="J332" s="38">
        <v>611.16999999999996</v>
      </c>
      <c r="K332" s="33" t="s">
        <v>561</v>
      </c>
      <c r="L332" s="33" t="s">
        <v>557</v>
      </c>
      <c r="M332" s="54" cm="1">
        <f t="array" ref="M332:N332">_xlfn.XLOOKUP(F332,'Customer Data Vlookup'!$L:$L,'Customer Data Vlookup'!$M:$N,,0)</f>
        <v>0</v>
      </c>
      <c r="N332" s="54">
        <v>604</v>
      </c>
      <c r="O332" s="54">
        <f t="shared" si="15"/>
        <v>604</v>
      </c>
      <c r="P332" s="54">
        <f t="shared" si="16"/>
        <v>7.1699999999999591</v>
      </c>
      <c r="Q332" s="56">
        <f t="shared" si="17"/>
        <v>1.173159677340177E-2</v>
      </c>
      <c r="R332" s="33" t="s">
        <v>915</v>
      </c>
      <c r="S332" s="34"/>
      <c r="T332" s="33" t="s">
        <v>558</v>
      </c>
    </row>
    <row r="333" spans="1:20" x14ac:dyDescent="0.35">
      <c r="A333" s="32">
        <v>1800000555</v>
      </c>
      <c r="B333" s="33" t="s">
        <v>563</v>
      </c>
      <c r="C333" s="34">
        <v>45719</v>
      </c>
      <c r="D333" s="34">
        <v>45719</v>
      </c>
      <c r="E333" s="33" t="s">
        <v>557</v>
      </c>
      <c r="F333" s="35">
        <v>246779410505</v>
      </c>
      <c r="G333" s="33" t="s">
        <v>559</v>
      </c>
      <c r="H333" s="36">
        <v>7.05</v>
      </c>
      <c r="I333" s="37" t="s">
        <v>560</v>
      </c>
      <c r="J333" s="38">
        <v>611.16999999999996</v>
      </c>
      <c r="K333" s="33" t="s">
        <v>561</v>
      </c>
      <c r="L333" s="33" t="s">
        <v>557</v>
      </c>
      <c r="M333" s="54" cm="1">
        <f t="array" ref="M333:N333">_xlfn.XLOOKUP(F333,'Customer Data Vlookup'!$L:$L,'Customer Data Vlookup'!$M:$N,,0)</f>
        <v>0</v>
      </c>
      <c r="N333" s="54">
        <v>603</v>
      </c>
      <c r="O333" s="54">
        <f t="shared" si="15"/>
        <v>603</v>
      </c>
      <c r="P333" s="54">
        <f t="shared" si="16"/>
        <v>8.1699999999999591</v>
      </c>
      <c r="Q333" s="56">
        <f t="shared" si="17"/>
        <v>1.336780273900872E-2</v>
      </c>
      <c r="R333" s="33" t="s">
        <v>928</v>
      </c>
      <c r="S333" s="34"/>
      <c r="T333" s="33" t="s">
        <v>558</v>
      </c>
    </row>
    <row r="334" spans="1:20" x14ac:dyDescent="0.35">
      <c r="A334" s="32">
        <v>1800008665</v>
      </c>
      <c r="B334" s="33" t="s">
        <v>563</v>
      </c>
      <c r="C334" s="34">
        <v>45798</v>
      </c>
      <c r="D334" s="34">
        <v>45800</v>
      </c>
      <c r="E334" s="33" t="s">
        <v>557</v>
      </c>
      <c r="F334" s="35">
        <v>256779413429</v>
      </c>
      <c r="G334" s="33" t="s">
        <v>559</v>
      </c>
      <c r="H334" s="36">
        <v>7.05</v>
      </c>
      <c r="I334" s="37" t="s">
        <v>560</v>
      </c>
      <c r="J334" s="38">
        <v>606.19000000000005</v>
      </c>
      <c r="K334" s="33" t="s">
        <v>561</v>
      </c>
      <c r="L334" s="33" t="s">
        <v>557</v>
      </c>
      <c r="M334" s="54" cm="1">
        <f t="array" ref="M334:N334">_xlfn.XLOOKUP(F334,'Customer Data Vlookup'!$L:$L,'Customer Data Vlookup'!$M:$N,,0)</f>
        <v>0</v>
      </c>
      <c r="N334" s="54">
        <v>601</v>
      </c>
      <c r="O334" s="54">
        <f t="shared" si="15"/>
        <v>601</v>
      </c>
      <c r="P334" s="54">
        <f t="shared" si="16"/>
        <v>5.1900000000000546</v>
      </c>
      <c r="Q334" s="56">
        <f t="shared" si="17"/>
        <v>8.561672083010367E-3</v>
      </c>
      <c r="R334" s="33" t="s">
        <v>625</v>
      </c>
      <c r="S334" s="34"/>
      <c r="T334" s="33" t="s">
        <v>558</v>
      </c>
    </row>
    <row r="335" spans="1:20" x14ac:dyDescent="0.35">
      <c r="A335" s="32">
        <v>1800010288</v>
      </c>
      <c r="B335" s="33" t="s">
        <v>563</v>
      </c>
      <c r="C335" s="34">
        <v>45842</v>
      </c>
      <c r="D335" s="34">
        <v>45847</v>
      </c>
      <c r="E335" s="33" t="s">
        <v>557</v>
      </c>
      <c r="F335" s="35">
        <v>256779415048</v>
      </c>
      <c r="G335" s="33" t="s">
        <v>559</v>
      </c>
      <c r="H335" s="36">
        <v>6.43</v>
      </c>
      <c r="I335" s="37" t="s">
        <v>560</v>
      </c>
      <c r="J335" s="38">
        <v>552.98</v>
      </c>
      <c r="K335" s="33" t="s">
        <v>561</v>
      </c>
      <c r="L335" s="33" t="s">
        <v>557</v>
      </c>
      <c r="M335" s="54" cm="1">
        <f t="array" ref="M335:N335">_xlfn.XLOOKUP(F335,'Customer Data Vlookup'!$L:$L,'Customer Data Vlookup'!$M:$N,,0)</f>
        <v>0</v>
      </c>
      <c r="N335" s="54">
        <v>552.98429999999996</v>
      </c>
      <c r="O335" s="54">
        <f t="shared" si="15"/>
        <v>552.98429999999996</v>
      </c>
      <c r="P335" s="54">
        <f t="shared" si="16"/>
        <v>-4.2999999999437932E-3</v>
      </c>
      <c r="Q335" s="56">
        <f t="shared" si="17"/>
        <v>-7.7760497666168628E-6</v>
      </c>
      <c r="R335" s="33" t="s">
        <v>810</v>
      </c>
      <c r="S335" s="34"/>
      <c r="T335" s="33" t="s">
        <v>558</v>
      </c>
    </row>
    <row r="336" spans="1:20" x14ac:dyDescent="0.35">
      <c r="A336" s="32">
        <v>1800012788</v>
      </c>
      <c r="B336" s="33" t="s">
        <v>563</v>
      </c>
      <c r="C336" s="34">
        <v>45917</v>
      </c>
      <c r="D336" s="34">
        <v>45922</v>
      </c>
      <c r="E336" s="33" t="s">
        <v>557</v>
      </c>
      <c r="F336" s="35">
        <v>256779417442</v>
      </c>
      <c r="G336" s="33" t="s">
        <v>559</v>
      </c>
      <c r="H336" s="36">
        <v>6.23</v>
      </c>
      <c r="I336" s="37" t="s">
        <v>560</v>
      </c>
      <c r="J336" s="38">
        <v>545.21</v>
      </c>
      <c r="K336" s="33" t="s">
        <v>561</v>
      </c>
      <c r="L336" s="33" t="s">
        <v>767</v>
      </c>
      <c r="M336" s="54" cm="1">
        <f t="array" ref="M336:N336">_xlfn.XLOOKUP(F336,'Customer Data Vlookup'!$L:$L,'Customer Data Vlookup'!$M:$N,,0)</f>
        <v>0</v>
      </c>
      <c r="N336" s="54">
        <v>545.21420000000001</v>
      </c>
      <c r="O336" s="54">
        <f t="shared" si="15"/>
        <v>545.21420000000001</v>
      </c>
      <c r="P336" s="54">
        <f t="shared" si="16"/>
        <v>-4.1999999999688953E-3</v>
      </c>
      <c r="Q336" s="56">
        <f t="shared" si="17"/>
        <v>-7.7034537150252102E-6</v>
      </c>
      <c r="R336" s="33" t="s">
        <v>768</v>
      </c>
      <c r="S336" s="34"/>
      <c r="T336" s="33" t="s">
        <v>558</v>
      </c>
    </row>
    <row r="337" spans="1:20" x14ac:dyDescent="0.35">
      <c r="A337" s="32">
        <v>1800002271</v>
      </c>
      <c r="B337" s="33" t="s">
        <v>563</v>
      </c>
      <c r="C337" s="34">
        <v>45733</v>
      </c>
      <c r="D337" s="34">
        <v>45734</v>
      </c>
      <c r="E337" s="33" t="s">
        <v>557</v>
      </c>
      <c r="F337" s="35">
        <v>246779411936</v>
      </c>
      <c r="G337" s="33" t="s">
        <v>559</v>
      </c>
      <c r="H337" s="36">
        <v>5.92</v>
      </c>
      <c r="I337" s="37" t="s">
        <v>560</v>
      </c>
      <c r="J337" s="38">
        <v>513.21</v>
      </c>
      <c r="K337" s="33" t="s">
        <v>561</v>
      </c>
      <c r="L337" s="33" t="s">
        <v>557</v>
      </c>
      <c r="M337" s="54" cm="1">
        <f t="array" ref="M337:N337">_xlfn.XLOOKUP(F337,'Customer Data Vlookup'!$L:$L,'Customer Data Vlookup'!$M:$N,,0)</f>
        <v>0</v>
      </c>
      <c r="N337" s="54">
        <v>480</v>
      </c>
      <c r="O337" s="54">
        <f t="shared" si="15"/>
        <v>480</v>
      </c>
      <c r="P337" s="54">
        <f t="shared" si="16"/>
        <v>33.210000000000036</v>
      </c>
      <c r="Q337" s="56">
        <f t="shared" si="17"/>
        <v>6.4710352487285974E-2</v>
      </c>
      <c r="R337" s="33" t="s">
        <v>765</v>
      </c>
      <c r="S337" s="34"/>
      <c r="T337" s="33" t="s">
        <v>558</v>
      </c>
    </row>
    <row r="338" spans="1:20" x14ac:dyDescent="0.35">
      <c r="A338" s="32">
        <v>1800006995</v>
      </c>
      <c r="B338" s="33" t="s">
        <v>563</v>
      </c>
      <c r="C338" s="34">
        <v>45763</v>
      </c>
      <c r="D338" s="34">
        <v>45764</v>
      </c>
      <c r="E338" s="33" t="s">
        <v>557</v>
      </c>
      <c r="F338" s="35">
        <v>256779411886</v>
      </c>
      <c r="G338" s="33" t="s">
        <v>559</v>
      </c>
      <c r="H338" s="36">
        <v>5.25</v>
      </c>
      <c r="I338" s="37" t="s">
        <v>560</v>
      </c>
      <c r="J338" s="38">
        <v>456.34</v>
      </c>
      <c r="K338" s="33" t="s">
        <v>561</v>
      </c>
      <c r="L338" s="33" t="s">
        <v>557</v>
      </c>
      <c r="M338" s="54" cm="1">
        <f t="array" ref="M338:N338">_xlfn.XLOOKUP(F338,'Customer Data Vlookup'!$L:$L,'Customer Data Vlookup'!$M:$N,,0)</f>
        <v>0</v>
      </c>
      <c r="N338" s="54">
        <v>447</v>
      </c>
      <c r="O338" s="54">
        <f t="shared" si="15"/>
        <v>447</v>
      </c>
      <c r="P338" s="54">
        <f t="shared" si="16"/>
        <v>9.339999999999975</v>
      </c>
      <c r="Q338" s="56">
        <f t="shared" si="17"/>
        <v>2.0467195512118105E-2</v>
      </c>
      <c r="R338" s="33" t="s">
        <v>781</v>
      </c>
      <c r="S338" s="34"/>
      <c r="T338" s="33" t="s">
        <v>558</v>
      </c>
    </row>
    <row r="339" spans="1:20" hidden="1" x14ac:dyDescent="0.35">
      <c r="A339" s="32">
        <v>1800016637</v>
      </c>
      <c r="B339" s="33" t="s">
        <v>563</v>
      </c>
      <c r="C339" s="34">
        <v>46028</v>
      </c>
      <c r="D339" s="34">
        <v>46035</v>
      </c>
      <c r="E339" s="33" t="s">
        <v>742</v>
      </c>
      <c r="F339" s="35">
        <v>256779440257</v>
      </c>
      <c r="G339" s="33" t="s">
        <v>559</v>
      </c>
      <c r="H339" s="36">
        <v>4.7</v>
      </c>
      <c r="I339" s="37" t="s">
        <v>560</v>
      </c>
      <c r="J339" s="38">
        <v>426.49</v>
      </c>
      <c r="K339" s="33" t="s">
        <v>561</v>
      </c>
      <c r="L339" s="33" t="s">
        <v>557</v>
      </c>
      <c r="M339" s="54" t="e" cm="1">
        <f t="array" ref="M339">_xlfn.XLOOKUP(F339,'Customer Data Vlookup'!$L:$L,'Customer Data Vlookup'!$M:$N,,0)</f>
        <v>#N/A</v>
      </c>
      <c r="N339" s="54"/>
      <c r="O339" s="53" t="e">
        <f t="shared" si="15"/>
        <v>#N/A</v>
      </c>
      <c r="P339" s="53" t="e">
        <f t="shared" si="16"/>
        <v>#N/A</v>
      </c>
      <c r="Q339" s="33" t="e">
        <f t="shared" si="17"/>
        <v>#N/A</v>
      </c>
      <c r="R339" s="33" t="s">
        <v>743</v>
      </c>
      <c r="S339" s="34"/>
      <c r="T339" s="33" t="s">
        <v>558</v>
      </c>
    </row>
    <row r="340" spans="1:20" x14ac:dyDescent="0.35">
      <c r="A340" s="32">
        <v>1800003762</v>
      </c>
      <c r="B340" s="33" t="s">
        <v>563</v>
      </c>
      <c r="C340" s="34">
        <v>45736</v>
      </c>
      <c r="D340" s="34">
        <v>45736</v>
      </c>
      <c r="E340" s="33" t="s">
        <v>557</v>
      </c>
      <c r="F340" s="35">
        <v>246779413629</v>
      </c>
      <c r="G340" s="33" t="s">
        <v>559</v>
      </c>
      <c r="H340" s="36">
        <v>4.7</v>
      </c>
      <c r="I340" s="37" t="s">
        <v>560</v>
      </c>
      <c r="J340" s="38">
        <v>407.45</v>
      </c>
      <c r="K340" s="33" t="s">
        <v>561</v>
      </c>
      <c r="L340" s="33" t="s">
        <v>557</v>
      </c>
      <c r="M340" s="54" cm="1">
        <f t="array" ref="M340:N340">_xlfn.XLOOKUP(F340,'Customer Data Vlookup'!$L:$L,'Customer Data Vlookup'!$M:$N,,0)</f>
        <v>0</v>
      </c>
      <c r="N340" s="54">
        <v>397</v>
      </c>
      <c r="O340" s="54">
        <f t="shared" si="15"/>
        <v>397</v>
      </c>
      <c r="P340" s="54">
        <f t="shared" si="16"/>
        <v>10.449999999999989</v>
      </c>
      <c r="Q340" s="56">
        <f t="shared" si="17"/>
        <v>2.5647318689409716E-2</v>
      </c>
      <c r="R340" s="33" t="s">
        <v>860</v>
      </c>
      <c r="S340" s="34"/>
      <c r="T340" s="33" t="s">
        <v>558</v>
      </c>
    </row>
    <row r="341" spans="1:20" x14ac:dyDescent="0.35">
      <c r="A341" s="32">
        <v>1800003834</v>
      </c>
      <c r="B341" s="33" t="s">
        <v>563</v>
      </c>
      <c r="C341" s="34">
        <v>45736</v>
      </c>
      <c r="D341" s="34">
        <v>45736</v>
      </c>
      <c r="E341" s="33" t="s">
        <v>557</v>
      </c>
      <c r="F341" s="35">
        <v>246779413696</v>
      </c>
      <c r="G341" s="33" t="s">
        <v>559</v>
      </c>
      <c r="H341" s="36">
        <v>4.7</v>
      </c>
      <c r="I341" s="37" t="s">
        <v>560</v>
      </c>
      <c r="J341" s="38">
        <v>407.45</v>
      </c>
      <c r="K341" s="33" t="s">
        <v>561</v>
      </c>
      <c r="L341" s="33" t="s">
        <v>557</v>
      </c>
      <c r="M341" s="54" cm="1">
        <f t="array" ref="M341:N341">_xlfn.XLOOKUP(F341,'Customer Data Vlookup'!$L:$L,'Customer Data Vlookup'!$M:$N,,0)</f>
        <v>0</v>
      </c>
      <c r="N341" s="54">
        <v>382</v>
      </c>
      <c r="O341" s="54">
        <f t="shared" si="15"/>
        <v>382</v>
      </c>
      <c r="P341" s="54">
        <f t="shared" si="16"/>
        <v>25.449999999999989</v>
      </c>
      <c r="Q341" s="56">
        <f t="shared" si="17"/>
        <v>6.246165173640935E-2</v>
      </c>
      <c r="R341" s="33" t="s">
        <v>860</v>
      </c>
      <c r="S341" s="34"/>
      <c r="T341" s="33" t="s">
        <v>558</v>
      </c>
    </row>
    <row r="342" spans="1:20" x14ac:dyDescent="0.35">
      <c r="A342" s="32">
        <v>1800003875</v>
      </c>
      <c r="B342" s="33" t="s">
        <v>563</v>
      </c>
      <c r="C342" s="34">
        <v>45736</v>
      </c>
      <c r="D342" s="34">
        <v>45736</v>
      </c>
      <c r="E342" s="33" t="s">
        <v>557</v>
      </c>
      <c r="F342" s="35">
        <v>246779413743</v>
      </c>
      <c r="G342" s="33" t="s">
        <v>559</v>
      </c>
      <c r="H342" s="36">
        <v>4.7</v>
      </c>
      <c r="I342" s="37" t="s">
        <v>560</v>
      </c>
      <c r="J342" s="38">
        <v>407.45</v>
      </c>
      <c r="K342" s="33" t="s">
        <v>561</v>
      </c>
      <c r="L342" s="33" t="s">
        <v>557</v>
      </c>
      <c r="M342" s="54" cm="1">
        <f t="array" ref="M342:N342">_xlfn.XLOOKUP(F342,'Customer Data Vlookup'!$L:$L,'Customer Data Vlookup'!$M:$N,,0)</f>
        <v>0</v>
      </c>
      <c r="N342" s="54">
        <v>383</v>
      </c>
      <c r="O342" s="54">
        <f t="shared" si="15"/>
        <v>383</v>
      </c>
      <c r="P342" s="54">
        <f t="shared" si="16"/>
        <v>24.449999999999989</v>
      </c>
      <c r="Q342" s="56">
        <f t="shared" si="17"/>
        <v>6.0007362866609376E-2</v>
      </c>
      <c r="R342" s="33" t="s">
        <v>860</v>
      </c>
      <c r="S342" s="34"/>
      <c r="T342" s="33" t="s">
        <v>558</v>
      </c>
    </row>
    <row r="343" spans="1:20" x14ac:dyDescent="0.35">
      <c r="A343" s="32">
        <v>1800000742</v>
      </c>
      <c r="B343" s="33" t="s">
        <v>563</v>
      </c>
      <c r="C343" s="34">
        <v>45720</v>
      </c>
      <c r="D343" s="34">
        <v>45720</v>
      </c>
      <c r="E343" s="33" t="s">
        <v>557</v>
      </c>
      <c r="F343" s="35">
        <v>246779410682</v>
      </c>
      <c r="G343" s="33" t="s">
        <v>559</v>
      </c>
      <c r="H343" s="36">
        <v>4.7</v>
      </c>
      <c r="I343" s="37" t="s">
        <v>560</v>
      </c>
      <c r="J343" s="38">
        <v>407.45</v>
      </c>
      <c r="K343" s="33" t="s">
        <v>561</v>
      </c>
      <c r="L343" s="33" t="s">
        <v>557</v>
      </c>
      <c r="M343" s="54" cm="1">
        <f t="array" ref="M343:N343">_xlfn.XLOOKUP(F343,'Customer Data Vlookup'!$L:$L,'Customer Data Vlookup'!$M:$N,,0)</f>
        <v>0</v>
      </c>
      <c r="N343" s="54">
        <v>201</v>
      </c>
      <c r="O343" s="54">
        <f t="shared" si="15"/>
        <v>201</v>
      </c>
      <c r="P343" s="54">
        <f t="shared" si="16"/>
        <v>206.45</v>
      </c>
      <c r="Q343" s="56">
        <f t="shared" si="17"/>
        <v>0.50668793717020488</v>
      </c>
      <c r="R343" s="33" t="s">
        <v>914</v>
      </c>
      <c r="S343" s="34"/>
      <c r="T343" s="33" t="s">
        <v>558</v>
      </c>
    </row>
    <row r="344" spans="1:20" x14ac:dyDescent="0.35">
      <c r="A344" s="32">
        <v>1800000749</v>
      </c>
      <c r="B344" s="33" t="s">
        <v>563</v>
      </c>
      <c r="C344" s="34">
        <v>45720</v>
      </c>
      <c r="D344" s="34">
        <v>45720</v>
      </c>
      <c r="E344" s="33" t="s">
        <v>557</v>
      </c>
      <c r="F344" s="35">
        <v>246779410689</v>
      </c>
      <c r="G344" s="33" t="s">
        <v>559</v>
      </c>
      <c r="H344" s="36">
        <v>4.7</v>
      </c>
      <c r="I344" s="37" t="s">
        <v>560</v>
      </c>
      <c r="J344" s="38">
        <v>407.45</v>
      </c>
      <c r="K344" s="33" t="s">
        <v>561</v>
      </c>
      <c r="L344" s="33" t="s">
        <v>557</v>
      </c>
      <c r="M344" s="54" cm="1">
        <f t="array" ref="M344:N344">_xlfn.XLOOKUP(F344,'Customer Data Vlookup'!$L:$L,'Customer Data Vlookup'!$M:$N,,0)</f>
        <v>0</v>
      </c>
      <c r="N344" s="54">
        <v>403</v>
      </c>
      <c r="O344" s="54">
        <f t="shared" si="15"/>
        <v>403</v>
      </c>
      <c r="P344" s="54">
        <f t="shared" si="16"/>
        <v>4.4499999999999886</v>
      </c>
      <c r="Q344" s="56">
        <f t="shared" si="17"/>
        <v>1.0921585470609863E-2</v>
      </c>
      <c r="R344" s="33" t="s">
        <v>914</v>
      </c>
      <c r="S344" s="34"/>
      <c r="T344" s="33" t="s">
        <v>558</v>
      </c>
    </row>
    <row r="345" spans="1:20" x14ac:dyDescent="0.35">
      <c r="A345" s="32">
        <v>1800000816</v>
      </c>
      <c r="B345" s="33" t="s">
        <v>563</v>
      </c>
      <c r="C345" s="34">
        <v>45720</v>
      </c>
      <c r="D345" s="34">
        <v>45721</v>
      </c>
      <c r="E345" s="33" t="s">
        <v>557</v>
      </c>
      <c r="F345" s="35">
        <v>246779410756</v>
      </c>
      <c r="G345" s="33" t="s">
        <v>559</v>
      </c>
      <c r="H345" s="36">
        <v>4.7</v>
      </c>
      <c r="I345" s="37" t="s">
        <v>560</v>
      </c>
      <c r="J345" s="38">
        <v>407.45</v>
      </c>
      <c r="K345" s="33" t="s">
        <v>561</v>
      </c>
      <c r="L345" s="33" t="s">
        <v>557</v>
      </c>
      <c r="M345" s="54" cm="1">
        <f t="array" ref="M345:N345">_xlfn.XLOOKUP(F345,'Customer Data Vlookup'!$L:$L,'Customer Data Vlookup'!$M:$N,,0)</f>
        <v>0</v>
      </c>
      <c r="N345" s="54">
        <v>403</v>
      </c>
      <c r="O345" s="54">
        <f t="shared" si="15"/>
        <v>403</v>
      </c>
      <c r="P345" s="54">
        <f t="shared" si="16"/>
        <v>4.4499999999999886</v>
      </c>
      <c r="Q345" s="56">
        <f t="shared" si="17"/>
        <v>1.0921585470609863E-2</v>
      </c>
      <c r="R345" s="33" t="s">
        <v>907</v>
      </c>
      <c r="S345" s="34"/>
      <c r="T345" s="33" t="s">
        <v>558</v>
      </c>
    </row>
    <row r="346" spans="1:20" x14ac:dyDescent="0.35">
      <c r="A346" s="32">
        <v>1800000817</v>
      </c>
      <c r="B346" s="33" t="s">
        <v>563</v>
      </c>
      <c r="C346" s="34">
        <v>45720</v>
      </c>
      <c r="D346" s="34">
        <v>45721</v>
      </c>
      <c r="E346" s="33" t="s">
        <v>557</v>
      </c>
      <c r="F346" s="35">
        <v>246779410757</v>
      </c>
      <c r="G346" s="33" t="s">
        <v>559</v>
      </c>
      <c r="H346" s="36">
        <v>4.7</v>
      </c>
      <c r="I346" s="37" t="s">
        <v>560</v>
      </c>
      <c r="J346" s="38">
        <v>407.45</v>
      </c>
      <c r="K346" s="33" t="s">
        <v>561</v>
      </c>
      <c r="L346" s="33" t="s">
        <v>557</v>
      </c>
      <c r="M346" s="54" cm="1">
        <f t="array" ref="M346:N346">_xlfn.XLOOKUP(F346,'Customer Data Vlookup'!$L:$L,'Customer Data Vlookup'!$M:$N,,0)</f>
        <v>0</v>
      </c>
      <c r="N346" s="54">
        <v>403</v>
      </c>
      <c r="O346" s="54">
        <f t="shared" si="15"/>
        <v>403</v>
      </c>
      <c r="P346" s="54">
        <f t="shared" si="16"/>
        <v>4.4499999999999886</v>
      </c>
      <c r="Q346" s="56">
        <f t="shared" si="17"/>
        <v>1.0921585470609863E-2</v>
      </c>
      <c r="R346" s="33" t="s">
        <v>907</v>
      </c>
      <c r="S346" s="34"/>
      <c r="T346" s="33" t="s">
        <v>558</v>
      </c>
    </row>
    <row r="347" spans="1:20" x14ac:dyDescent="0.35">
      <c r="A347" s="32">
        <v>1800000822</v>
      </c>
      <c r="B347" s="33" t="s">
        <v>563</v>
      </c>
      <c r="C347" s="34">
        <v>45720</v>
      </c>
      <c r="D347" s="34">
        <v>45721</v>
      </c>
      <c r="E347" s="33" t="s">
        <v>557</v>
      </c>
      <c r="F347" s="35">
        <v>246779410762</v>
      </c>
      <c r="G347" s="33" t="s">
        <v>559</v>
      </c>
      <c r="H347" s="36">
        <v>4.7</v>
      </c>
      <c r="I347" s="37" t="s">
        <v>560</v>
      </c>
      <c r="J347" s="38">
        <v>407.45</v>
      </c>
      <c r="K347" s="33" t="s">
        <v>561</v>
      </c>
      <c r="L347" s="33" t="s">
        <v>557</v>
      </c>
      <c r="M347" s="54" cm="1">
        <f t="array" ref="M347:N347">_xlfn.XLOOKUP(F347,'Customer Data Vlookup'!$L:$L,'Customer Data Vlookup'!$M:$N,,0)</f>
        <v>0</v>
      </c>
      <c r="N347" s="54">
        <v>403</v>
      </c>
      <c r="O347" s="54">
        <f t="shared" si="15"/>
        <v>403</v>
      </c>
      <c r="P347" s="54">
        <f t="shared" si="16"/>
        <v>4.4499999999999886</v>
      </c>
      <c r="Q347" s="56">
        <f t="shared" si="17"/>
        <v>1.0921585470609863E-2</v>
      </c>
      <c r="R347" s="33" t="s">
        <v>907</v>
      </c>
      <c r="S347" s="34"/>
      <c r="T347" s="33" t="s">
        <v>558</v>
      </c>
    </row>
    <row r="348" spans="1:20" x14ac:dyDescent="0.35">
      <c r="A348" s="32">
        <v>1800000826</v>
      </c>
      <c r="B348" s="33" t="s">
        <v>563</v>
      </c>
      <c r="C348" s="34">
        <v>45720</v>
      </c>
      <c r="D348" s="34">
        <v>45721</v>
      </c>
      <c r="E348" s="33" t="s">
        <v>557</v>
      </c>
      <c r="F348" s="35">
        <v>246779410766</v>
      </c>
      <c r="G348" s="33" t="s">
        <v>559</v>
      </c>
      <c r="H348" s="36">
        <v>4.7</v>
      </c>
      <c r="I348" s="37" t="s">
        <v>560</v>
      </c>
      <c r="J348" s="38">
        <v>407.45</v>
      </c>
      <c r="K348" s="33" t="s">
        <v>561</v>
      </c>
      <c r="L348" s="33" t="s">
        <v>557</v>
      </c>
      <c r="M348" s="54" cm="1">
        <f t="array" ref="M348:N348">_xlfn.XLOOKUP(F348,'Customer Data Vlookup'!$L:$L,'Customer Data Vlookup'!$M:$N,,0)</f>
        <v>0</v>
      </c>
      <c r="N348" s="54">
        <v>403</v>
      </c>
      <c r="O348" s="54">
        <f t="shared" si="15"/>
        <v>403</v>
      </c>
      <c r="P348" s="54">
        <f t="shared" si="16"/>
        <v>4.4499999999999886</v>
      </c>
      <c r="Q348" s="56">
        <f t="shared" si="17"/>
        <v>1.0921585470609863E-2</v>
      </c>
      <c r="R348" s="33" t="s">
        <v>907</v>
      </c>
      <c r="S348" s="34"/>
      <c r="T348" s="33" t="s">
        <v>558</v>
      </c>
    </row>
    <row r="349" spans="1:20" x14ac:dyDescent="0.35">
      <c r="A349" s="32">
        <v>1800000901</v>
      </c>
      <c r="B349" s="33" t="s">
        <v>563</v>
      </c>
      <c r="C349" s="34">
        <v>45720</v>
      </c>
      <c r="D349" s="34">
        <v>45721</v>
      </c>
      <c r="E349" s="33" t="s">
        <v>557</v>
      </c>
      <c r="F349" s="35">
        <v>246779410842</v>
      </c>
      <c r="G349" s="33" t="s">
        <v>559</v>
      </c>
      <c r="H349" s="36">
        <v>4.7</v>
      </c>
      <c r="I349" s="37" t="s">
        <v>560</v>
      </c>
      <c r="J349" s="38">
        <v>407.45</v>
      </c>
      <c r="K349" s="33" t="s">
        <v>561</v>
      </c>
      <c r="L349" s="33" t="s">
        <v>557</v>
      </c>
      <c r="M349" s="54" cm="1">
        <f t="array" ref="M349:N349">_xlfn.XLOOKUP(F349,'Customer Data Vlookup'!$L:$L,'Customer Data Vlookup'!$M:$N,,0)</f>
        <v>0</v>
      </c>
      <c r="N349" s="54">
        <v>403</v>
      </c>
      <c r="O349" s="54">
        <f t="shared" si="15"/>
        <v>403</v>
      </c>
      <c r="P349" s="54">
        <f t="shared" si="16"/>
        <v>4.4499999999999886</v>
      </c>
      <c r="Q349" s="56">
        <f t="shared" si="17"/>
        <v>1.0921585470609863E-2</v>
      </c>
      <c r="R349" s="33" t="s">
        <v>915</v>
      </c>
      <c r="S349" s="34"/>
      <c r="T349" s="33" t="s">
        <v>558</v>
      </c>
    </row>
    <row r="350" spans="1:20" x14ac:dyDescent="0.35">
      <c r="A350" s="32">
        <v>1800000902</v>
      </c>
      <c r="B350" s="33" t="s">
        <v>563</v>
      </c>
      <c r="C350" s="34">
        <v>45720</v>
      </c>
      <c r="D350" s="34">
        <v>45721</v>
      </c>
      <c r="E350" s="33" t="s">
        <v>557</v>
      </c>
      <c r="F350" s="35">
        <v>246779410843</v>
      </c>
      <c r="G350" s="33" t="s">
        <v>559</v>
      </c>
      <c r="H350" s="36">
        <v>4.7</v>
      </c>
      <c r="I350" s="37" t="s">
        <v>560</v>
      </c>
      <c r="J350" s="38">
        <v>407.45</v>
      </c>
      <c r="K350" s="33" t="s">
        <v>561</v>
      </c>
      <c r="L350" s="33" t="s">
        <v>557</v>
      </c>
      <c r="M350" s="54" cm="1">
        <f t="array" ref="M350:N350">_xlfn.XLOOKUP(F350,'Customer Data Vlookup'!$L:$L,'Customer Data Vlookup'!$M:$N,,0)</f>
        <v>0</v>
      </c>
      <c r="N350" s="54">
        <v>403</v>
      </c>
      <c r="O350" s="54">
        <f t="shared" si="15"/>
        <v>403</v>
      </c>
      <c r="P350" s="54">
        <f t="shared" si="16"/>
        <v>4.4499999999999886</v>
      </c>
      <c r="Q350" s="56">
        <f t="shared" si="17"/>
        <v>1.0921585470609863E-2</v>
      </c>
      <c r="R350" s="33" t="s">
        <v>915</v>
      </c>
      <c r="S350" s="34"/>
      <c r="T350" s="33" t="s">
        <v>558</v>
      </c>
    </row>
    <row r="351" spans="1:20" x14ac:dyDescent="0.35">
      <c r="A351" s="32">
        <v>1800000903</v>
      </c>
      <c r="B351" s="33" t="s">
        <v>563</v>
      </c>
      <c r="C351" s="34">
        <v>45720</v>
      </c>
      <c r="D351" s="34">
        <v>45721</v>
      </c>
      <c r="E351" s="33" t="s">
        <v>557</v>
      </c>
      <c r="F351" s="35">
        <v>246779410844</v>
      </c>
      <c r="G351" s="33" t="s">
        <v>559</v>
      </c>
      <c r="H351" s="36">
        <v>4.7</v>
      </c>
      <c r="I351" s="37" t="s">
        <v>560</v>
      </c>
      <c r="J351" s="38">
        <v>407.45</v>
      </c>
      <c r="K351" s="33" t="s">
        <v>561</v>
      </c>
      <c r="L351" s="33" t="s">
        <v>557</v>
      </c>
      <c r="M351" s="54" cm="1">
        <f t="array" ref="M351:N351">_xlfn.XLOOKUP(F351,'Customer Data Vlookup'!$L:$L,'Customer Data Vlookup'!$M:$N,,0)</f>
        <v>0</v>
      </c>
      <c r="N351" s="54">
        <v>403</v>
      </c>
      <c r="O351" s="54">
        <f t="shared" si="15"/>
        <v>403</v>
      </c>
      <c r="P351" s="54">
        <f t="shared" si="16"/>
        <v>4.4499999999999886</v>
      </c>
      <c r="Q351" s="56">
        <f t="shared" si="17"/>
        <v>1.0921585470609863E-2</v>
      </c>
      <c r="R351" s="33" t="s">
        <v>915</v>
      </c>
      <c r="S351" s="34"/>
      <c r="T351" s="33" t="s">
        <v>558</v>
      </c>
    </row>
    <row r="352" spans="1:20" x14ac:dyDescent="0.35">
      <c r="A352" s="32">
        <v>1800000905</v>
      </c>
      <c r="B352" s="33" t="s">
        <v>563</v>
      </c>
      <c r="C352" s="34">
        <v>45720</v>
      </c>
      <c r="D352" s="34">
        <v>45721</v>
      </c>
      <c r="E352" s="33" t="s">
        <v>557</v>
      </c>
      <c r="F352" s="35">
        <v>246779410846</v>
      </c>
      <c r="G352" s="33" t="s">
        <v>559</v>
      </c>
      <c r="H352" s="36">
        <v>4.7</v>
      </c>
      <c r="I352" s="37" t="s">
        <v>560</v>
      </c>
      <c r="J352" s="38">
        <v>407.45</v>
      </c>
      <c r="K352" s="33" t="s">
        <v>561</v>
      </c>
      <c r="L352" s="33" t="s">
        <v>557</v>
      </c>
      <c r="M352" s="54" cm="1">
        <f t="array" ref="M352:N352">_xlfn.XLOOKUP(F352,'Customer Data Vlookup'!$L:$L,'Customer Data Vlookup'!$M:$N,,0)</f>
        <v>0</v>
      </c>
      <c r="N352" s="54">
        <v>381</v>
      </c>
      <c r="O352" s="54">
        <f t="shared" si="15"/>
        <v>381</v>
      </c>
      <c r="P352" s="54">
        <f t="shared" si="16"/>
        <v>26.449999999999989</v>
      </c>
      <c r="Q352" s="56">
        <f t="shared" si="17"/>
        <v>6.4915940606209324E-2</v>
      </c>
      <c r="R352" s="33" t="s">
        <v>915</v>
      </c>
      <c r="S352" s="34"/>
      <c r="T352" s="33" t="s">
        <v>558</v>
      </c>
    </row>
    <row r="353" spans="1:20" x14ac:dyDescent="0.35">
      <c r="A353" s="32">
        <v>1800000910</v>
      </c>
      <c r="B353" s="33" t="s">
        <v>563</v>
      </c>
      <c r="C353" s="34">
        <v>45720</v>
      </c>
      <c r="D353" s="34">
        <v>45721</v>
      </c>
      <c r="E353" s="33" t="s">
        <v>557</v>
      </c>
      <c r="F353" s="35">
        <v>246779410851</v>
      </c>
      <c r="G353" s="33" t="s">
        <v>559</v>
      </c>
      <c r="H353" s="36">
        <v>4.7</v>
      </c>
      <c r="I353" s="37" t="s">
        <v>560</v>
      </c>
      <c r="J353" s="38">
        <v>407.45</v>
      </c>
      <c r="K353" s="33" t="s">
        <v>561</v>
      </c>
      <c r="L353" s="33" t="s">
        <v>557</v>
      </c>
      <c r="M353" s="54" cm="1">
        <f t="array" ref="M353:N353">_xlfn.XLOOKUP(F353,'Customer Data Vlookup'!$L:$L,'Customer Data Vlookup'!$M:$N,,0)</f>
        <v>0</v>
      </c>
      <c r="N353" s="54">
        <v>381</v>
      </c>
      <c r="O353" s="54">
        <f t="shared" si="15"/>
        <v>381</v>
      </c>
      <c r="P353" s="54">
        <f t="shared" si="16"/>
        <v>26.449999999999989</v>
      </c>
      <c r="Q353" s="56">
        <f t="shared" si="17"/>
        <v>6.4915940606209324E-2</v>
      </c>
      <c r="R353" s="33" t="s">
        <v>915</v>
      </c>
      <c r="S353" s="34"/>
      <c r="T353" s="33" t="s">
        <v>558</v>
      </c>
    </row>
    <row r="354" spans="1:20" x14ac:dyDescent="0.35">
      <c r="A354" s="32">
        <v>1800000911</v>
      </c>
      <c r="B354" s="33" t="s">
        <v>563</v>
      </c>
      <c r="C354" s="34">
        <v>45720</v>
      </c>
      <c r="D354" s="34">
        <v>45721</v>
      </c>
      <c r="E354" s="33" t="s">
        <v>557</v>
      </c>
      <c r="F354" s="35">
        <v>246779410852</v>
      </c>
      <c r="G354" s="33" t="s">
        <v>559</v>
      </c>
      <c r="H354" s="36">
        <v>4.7</v>
      </c>
      <c r="I354" s="37" t="s">
        <v>560</v>
      </c>
      <c r="J354" s="38">
        <v>407.45</v>
      </c>
      <c r="K354" s="33" t="s">
        <v>561</v>
      </c>
      <c r="L354" s="33" t="s">
        <v>557</v>
      </c>
      <c r="M354" s="54" cm="1">
        <f t="array" ref="M354:N354">_xlfn.XLOOKUP(F354,'Customer Data Vlookup'!$L:$L,'Customer Data Vlookup'!$M:$N,,0)</f>
        <v>0</v>
      </c>
      <c r="N354" s="54">
        <v>381</v>
      </c>
      <c r="O354" s="54">
        <f t="shared" si="15"/>
        <v>381</v>
      </c>
      <c r="P354" s="54">
        <f t="shared" si="16"/>
        <v>26.449999999999989</v>
      </c>
      <c r="Q354" s="56">
        <f t="shared" si="17"/>
        <v>6.4915940606209324E-2</v>
      </c>
      <c r="R354" s="33" t="s">
        <v>915</v>
      </c>
      <c r="S354" s="34"/>
      <c r="T354" s="33" t="s">
        <v>558</v>
      </c>
    </row>
    <row r="355" spans="1:20" x14ac:dyDescent="0.35">
      <c r="A355" s="32">
        <v>1800001034</v>
      </c>
      <c r="B355" s="33" t="s">
        <v>563</v>
      </c>
      <c r="C355" s="34">
        <v>45722</v>
      </c>
      <c r="D355" s="34">
        <v>45722</v>
      </c>
      <c r="E355" s="33" t="s">
        <v>557</v>
      </c>
      <c r="F355" s="35">
        <v>246779410974</v>
      </c>
      <c r="G355" s="33" t="s">
        <v>559</v>
      </c>
      <c r="H355" s="36">
        <v>4.7</v>
      </c>
      <c r="I355" s="37" t="s">
        <v>560</v>
      </c>
      <c r="J355" s="38">
        <v>407.45</v>
      </c>
      <c r="K355" s="33" t="s">
        <v>561</v>
      </c>
      <c r="L355" s="33" t="s">
        <v>557</v>
      </c>
      <c r="M355" s="54" cm="1">
        <f t="array" ref="M355:N355">_xlfn.XLOOKUP(F355,'Customer Data Vlookup'!$L:$L,'Customer Data Vlookup'!$M:$N,,0)</f>
        <v>0</v>
      </c>
      <c r="N355" s="54">
        <v>401</v>
      </c>
      <c r="O355" s="54">
        <f t="shared" si="15"/>
        <v>401</v>
      </c>
      <c r="P355" s="54">
        <f t="shared" si="16"/>
        <v>6.4499999999999886</v>
      </c>
      <c r="Q355" s="56">
        <f t="shared" si="17"/>
        <v>1.5830163210209813E-2</v>
      </c>
      <c r="R355" s="33" t="s">
        <v>924</v>
      </c>
      <c r="S355" s="34"/>
      <c r="T355" s="33" t="s">
        <v>558</v>
      </c>
    </row>
    <row r="356" spans="1:20" x14ac:dyDescent="0.35">
      <c r="A356" s="32">
        <v>1800001116</v>
      </c>
      <c r="B356" s="33" t="s">
        <v>563</v>
      </c>
      <c r="C356" s="34">
        <v>45722</v>
      </c>
      <c r="D356" s="34">
        <v>45723</v>
      </c>
      <c r="E356" s="33" t="s">
        <v>557</v>
      </c>
      <c r="F356" s="35">
        <v>246779411052</v>
      </c>
      <c r="G356" s="33" t="s">
        <v>559</v>
      </c>
      <c r="H356" s="36">
        <v>4.7</v>
      </c>
      <c r="I356" s="37" t="s">
        <v>560</v>
      </c>
      <c r="J356" s="38">
        <v>407.45</v>
      </c>
      <c r="K356" s="33" t="s">
        <v>561</v>
      </c>
      <c r="L356" s="33" t="s">
        <v>557</v>
      </c>
      <c r="M356" s="54" cm="1">
        <f t="array" ref="M356:N356">_xlfn.XLOOKUP(F356,'Customer Data Vlookup'!$L:$L,'Customer Data Vlookup'!$M:$N,,0)</f>
        <v>0</v>
      </c>
      <c r="N356" s="54">
        <v>381</v>
      </c>
      <c r="O356" s="54">
        <f t="shared" si="15"/>
        <v>381</v>
      </c>
      <c r="P356" s="54">
        <f t="shared" si="16"/>
        <v>26.449999999999989</v>
      </c>
      <c r="Q356" s="56">
        <f t="shared" si="17"/>
        <v>6.4915940606209324E-2</v>
      </c>
      <c r="R356" s="33" t="s">
        <v>925</v>
      </c>
      <c r="S356" s="34"/>
      <c r="T356" s="33" t="s">
        <v>558</v>
      </c>
    </row>
    <row r="357" spans="1:20" x14ac:dyDescent="0.35">
      <c r="A357" s="32">
        <v>1800000556</v>
      </c>
      <c r="B357" s="33" t="s">
        <v>563</v>
      </c>
      <c r="C357" s="34">
        <v>45719</v>
      </c>
      <c r="D357" s="34">
        <v>45719</v>
      </c>
      <c r="E357" s="33" t="s">
        <v>557</v>
      </c>
      <c r="F357" s="35">
        <v>246779410506</v>
      </c>
      <c r="G357" s="33" t="s">
        <v>559</v>
      </c>
      <c r="H357" s="36">
        <v>4.7</v>
      </c>
      <c r="I357" s="37" t="s">
        <v>560</v>
      </c>
      <c r="J357" s="38">
        <v>407.45</v>
      </c>
      <c r="K357" s="33" t="s">
        <v>561</v>
      </c>
      <c r="L357" s="33" t="s">
        <v>557</v>
      </c>
      <c r="M357" s="54" cm="1">
        <f t="array" ref="M357:N357">_xlfn.XLOOKUP(F357,'Customer Data Vlookup'!$L:$L,'Customer Data Vlookup'!$M:$N,,0)</f>
        <v>0</v>
      </c>
      <c r="N357" s="54">
        <v>402</v>
      </c>
      <c r="O357" s="54">
        <f t="shared" si="15"/>
        <v>402</v>
      </c>
      <c r="P357" s="54">
        <f t="shared" si="16"/>
        <v>5.4499999999999886</v>
      </c>
      <c r="Q357" s="56">
        <f t="shared" si="17"/>
        <v>1.3375874340409839E-2</v>
      </c>
      <c r="R357" s="33" t="s">
        <v>928</v>
      </c>
      <c r="S357" s="34"/>
      <c r="T357" s="33" t="s">
        <v>558</v>
      </c>
    </row>
    <row r="358" spans="1:20" x14ac:dyDescent="0.35">
      <c r="A358" s="32">
        <v>1800000666</v>
      </c>
      <c r="B358" s="33" t="s">
        <v>563</v>
      </c>
      <c r="C358" s="34">
        <v>45719</v>
      </c>
      <c r="D358" s="34">
        <v>45720</v>
      </c>
      <c r="E358" s="33" t="s">
        <v>557</v>
      </c>
      <c r="F358" s="35">
        <v>246779410606</v>
      </c>
      <c r="G358" s="33" t="s">
        <v>559</v>
      </c>
      <c r="H358" s="36">
        <v>4.7</v>
      </c>
      <c r="I358" s="37" t="s">
        <v>560</v>
      </c>
      <c r="J358" s="38">
        <v>407.45</v>
      </c>
      <c r="K358" s="33" t="s">
        <v>561</v>
      </c>
      <c r="L358" s="33" t="s">
        <v>557</v>
      </c>
      <c r="M358" s="54" cm="1">
        <f t="array" ref="M358:N358">_xlfn.XLOOKUP(F358,'Customer Data Vlookup'!$L:$L,'Customer Data Vlookup'!$M:$N,,0)</f>
        <v>0</v>
      </c>
      <c r="N358" s="54">
        <v>402</v>
      </c>
      <c r="O358" s="54">
        <f t="shared" si="15"/>
        <v>402</v>
      </c>
      <c r="P358" s="54">
        <f t="shared" si="16"/>
        <v>5.4499999999999886</v>
      </c>
      <c r="Q358" s="56">
        <f t="shared" si="17"/>
        <v>1.3375874340409839E-2</v>
      </c>
      <c r="R358" s="33" t="s">
        <v>906</v>
      </c>
      <c r="S358" s="34"/>
      <c r="T358" s="33" t="s">
        <v>558</v>
      </c>
    </row>
    <row r="359" spans="1:20" x14ac:dyDescent="0.35">
      <c r="A359" s="32">
        <v>1800000667</v>
      </c>
      <c r="B359" s="33" t="s">
        <v>563</v>
      </c>
      <c r="C359" s="34">
        <v>45719</v>
      </c>
      <c r="D359" s="34">
        <v>45720</v>
      </c>
      <c r="E359" s="33" t="s">
        <v>557</v>
      </c>
      <c r="F359" s="35">
        <v>246779410607</v>
      </c>
      <c r="G359" s="33" t="s">
        <v>559</v>
      </c>
      <c r="H359" s="36">
        <v>4.7</v>
      </c>
      <c r="I359" s="37" t="s">
        <v>560</v>
      </c>
      <c r="J359" s="38">
        <v>407.45</v>
      </c>
      <c r="K359" s="33" t="s">
        <v>561</v>
      </c>
      <c r="L359" s="33" t="s">
        <v>557</v>
      </c>
      <c r="M359" s="54" cm="1">
        <f t="array" ref="M359:N359">_xlfn.XLOOKUP(F359,'Customer Data Vlookup'!$L:$L,'Customer Data Vlookup'!$M:$N,,0)</f>
        <v>0</v>
      </c>
      <c r="N359" s="54">
        <v>402</v>
      </c>
      <c r="O359" s="54">
        <f t="shared" si="15"/>
        <v>402</v>
      </c>
      <c r="P359" s="54">
        <f t="shared" si="16"/>
        <v>5.4499999999999886</v>
      </c>
      <c r="Q359" s="56">
        <f t="shared" si="17"/>
        <v>1.3375874340409839E-2</v>
      </c>
      <c r="R359" s="33" t="s">
        <v>906</v>
      </c>
      <c r="S359" s="34"/>
      <c r="T359" s="33" t="s">
        <v>558</v>
      </c>
    </row>
    <row r="360" spans="1:20" x14ac:dyDescent="0.35">
      <c r="A360" s="32">
        <v>1800000671</v>
      </c>
      <c r="B360" s="33" t="s">
        <v>563</v>
      </c>
      <c r="C360" s="34">
        <v>45719</v>
      </c>
      <c r="D360" s="34">
        <v>45720</v>
      </c>
      <c r="E360" s="33" t="s">
        <v>557</v>
      </c>
      <c r="F360" s="35">
        <v>246779410611</v>
      </c>
      <c r="G360" s="33" t="s">
        <v>559</v>
      </c>
      <c r="H360" s="36">
        <v>4.7</v>
      </c>
      <c r="I360" s="37" t="s">
        <v>560</v>
      </c>
      <c r="J360" s="38">
        <v>407.45</v>
      </c>
      <c r="K360" s="33" t="s">
        <v>561</v>
      </c>
      <c r="L360" s="33" t="s">
        <v>557</v>
      </c>
      <c r="M360" s="54" cm="1">
        <f t="array" ref="M360:N360">_xlfn.XLOOKUP(F360,'Customer Data Vlookup'!$L:$L,'Customer Data Vlookup'!$M:$N,,0)</f>
        <v>0</v>
      </c>
      <c r="N360" s="54">
        <v>402</v>
      </c>
      <c r="O360" s="54">
        <f t="shared" si="15"/>
        <v>402</v>
      </c>
      <c r="P360" s="54">
        <f t="shared" si="16"/>
        <v>5.4499999999999886</v>
      </c>
      <c r="Q360" s="56">
        <f t="shared" si="17"/>
        <v>1.3375874340409839E-2</v>
      </c>
      <c r="R360" s="33" t="s">
        <v>906</v>
      </c>
      <c r="S360" s="34"/>
      <c r="T360" s="33" t="s">
        <v>558</v>
      </c>
    </row>
    <row r="361" spans="1:20" hidden="1" x14ac:dyDescent="0.35">
      <c r="A361" s="32">
        <v>1800003457</v>
      </c>
      <c r="B361" s="33" t="s">
        <v>563</v>
      </c>
      <c r="C361" s="34">
        <v>45735</v>
      </c>
      <c r="D361" s="34">
        <v>45736</v>
      </c>
      <c r="E361" s="33" t="s">
        <v>557</v>
      </c>
      <c r="F361" s="35">
        <v>246779413324</v>
      </c>
      <c r="G361" s="33" t="s">
        <v>559</v>
      </c>
      <c r="H361" s="36">
        <v>4.3</v>
      </c>
      <c r="I361" s="37" t="s">
        <v>560</v>
      </c>
      <c r="J361" s="38">
        <v>372.77</v>
      </c>
      <c r="K361" s="33" t="s">
        <v>561</v>
      </c>
      <c r="L361" s="33" t="s">
        <v>557</v>
      </c>
      <c r="M361" s="54" t="e" cm="1">
        <f t="array" ref="M361">_xlfn.XLOOKUP(F361,'Customer Data Vlookup'!$L:$L,'Customer Data Vlookup'!$M:$N,,0)</f>
        <v>#N/A</v>
      </c>
      <c r="N361" s="54"/>
      <c r="O361" s="53" t="e">
        <f t="shared" si="15"/>
        <v>#N/A</v>
      </c>
      <c r="P361" s="53" t="e">
        <f t="shared" si="16"/>
        <v>#N/A</v>
      </c>
      <c r="Q361" s="33" t="e">
        <f t="shared" si="17"/>
        <v>#N/A</v>
      </c>
      <c r="R361" s="33" t="s">
        <v>637</v>
      </c>
      <c r="S361" s="34"/>
      <c r="T361" s="33" t="s">
        <v>558</v>
      </c>
    </row>
    <row r="362" spans="1:20" x14ac:dyDescent="0.35">
      <c r="A362" s="32">
        <v>1800002269</v>
      </c>
      <c r="B362" s="33" t="s">
        <v>563</v>
      </c>
      <c r="C362" s="34">
        <v>45733</v>
      </c>
      <c r="D362" s="34">
        <v>45734</v>
      </c>
      <c r="E362" s="33" t="s">
        <v>557</v>
      </c>
      <c r="F362" s="35">
        <v>246779411934</v>
      </c>
      <c r="G362" s="33" t="s">
        <v>559</v>
      </c>
      <c r="H362" s="36">
        <v>4.1399999999999997</v>
      </c>
      <c r="I362" s="37" t="s">
        <v>560</v>
      </c>
      <c r="J362" s="38">
        <v>358.9</v>
      </c>
      <c r="K362" s="33" t="s">
        <v>561</v>
      </c>
      <c r="L362" s="33" t="s">
        <v>557</v>
      </c>
      <c r="M362" s="54" cm="1">
        <f t="array" ref="M362:N362">_xlfn.XLOOKUP(F362,'Customer Data Vlookup'!$L:$L,'Customer Data Vlookup'!$M:$N,,0)</f>
        <v>0</v>
      </c>
      <c r="N362" s="54">
        <v>336</v>
      </c>
      <c r="O362" s="54">
        <f t="shared" si="15"/>
        <v>336</v>
      </c>
      <c r="P362" s="54">
        <f t="shared" si="16"/>
        <v>22.899999999999977</v>
      </c>
      <c r="Q362" s="56">
        <f t="shared" si="17"/>
        <v>6.3806074115352412E-2</v>
      </c>
      <c r="R362" s="33" t="s">
        <v>765</v>
      </c>
      <c r="S362" s="34"/>
      <c r="T362" s="33" t="s">
        <v>558</v>
      </c>
    </row>
    <row r="363" spans="1:20" x14ac:dyDescent="0.35">
      <c r="A363" s="32">
        <v>1800005189</v>
      </c>
      <c r="B363" s="33" t="s">
        <v>563</v>
      </c>
      <c r="C363" s="34">
        <v>45750</v>
      </c>
      <c r="D363" s="34">
        <v>45752</v>
      </c>
      <c r="E363" s="33" t="s">
        <v>557</v>
      </c>
      <c r="F363" s="35">
        <v>256779410135</v>
      </c>
      <c r="G363" s="33" t="s">
        <v>559</v>
      </c>
      <c r="H363" s="36">
        <v>3.75</v>
      </c>
      <c r="I363" s="37" t="s">
        <v>560</v>
      </c>
      <c r="J363" s="38">
        <v>325.95999999999998</v>
      </c>
      <c r="K363" s="33" t="s">
        <v>558</v>
      </c>
      <c r="L363" s="33" t="s">
        <v>557</v>
      </c>
      <c r="M363" s="54" cm="1">
        <f t="array" ref="M363:N363">_xlfn.XLOOKUP(F363,'Customer Data Vlookup'!$L:$L,'Customer Data Vlookup'!$M:$N,,0)</f>
        <v>0</v>
      </c>
      <c r="N363" s="54">
        <v>319</v>
      </c>
      <c r="O363" s="54">
        <f t="shared" si="15"/>
        <v>319</v>
      </c>
      <c r="P363" s="54">
        <f t="shared" si="16"/>
        <v>6.9599999999999795</v>
      </c>
      <c r="Q363" s="56">
        <f t="shared" si="17"/>
        <v>2.1352313167259725E-2</v>
      </c>
      <c r="R363" s="33" t="s">
        <v>601</v>
      </c>
      <c r="S363" s="34"/>
      <c r="T363" s="33" t="s">
        <v>558</v>
      </c>
    </row>
    <row r="364" spans="1:20" x14ac:dyDescent="0.35">
      <c r="A364" s="32">
        <v>1800002090</v>
      </c>
      <c r="B364" s="33" t="s">
        <v>563</v>
      </c>
      <c r="C364" s="34">
        <v>45733</v>
      </c>
      <c r="D364" s="34">
        <v>45734</v>
      </c>
      <c r="E364" s="33" t="s">
        <v>557</v>
      </c>
      <c r="F364" s="35">
        <v>246779411755</v>
      </c>
      <c r="G364" s="33" t="s">
        <v>559</v>
      </c>
      <c r="H364" s="36">
        <v>3.57</v>
      </c>
      <c r="I364" s="37" t="s">
        <v>560</v>
      </c>
      <c r="J364" s="38">
        <v>309.49</v>
      </c>
      <c r="K364" s="33" t="s">
        <v>561</v>
      </c>
      <c r="L364" s="33" t="s">
        <v>557</v>
      </c>
      <c r="M364" s="54" cm="1">
        <f t="array" ref="M364:N364">_xlfn.XLOOKUP(F364,'Customer Data Vlookup'!$L:$L,'Customer Data Vlookup'!$M:$N,,0)</f>
        <v>0</v>
      </c>
      <c r="N364" s="54">
        <v>5816</v>
      </c>
      <c r="O364" s="54">
        <f t="shared" si="15"/>
        <v>5816</v>
      </c>
      <c r="P364" s="54">
        <f t="shared" si="16"/>
        <v>-5506.51</v>
      </c>
      <c r="Q364" s="56">
        <f t="shared" si="17"/>
        <v>-17.792206533329026</v>
      </c>
      <c r="R364" s="33" t="s">
        <v>764</v>
      </c>
      <c r="S364" s="34"/>
      <c r="T364" s="33" t="s">
        <v>558</v>
      </c>
    </row>
    <row r="365" spans="1:20" x14ac:dyDescent="0.35">
      <c r="A365" s="32">
        <v>1800013945</v>
      </c>
      <c r="B365" s="33" t="s">
        <v>563</v>
      </c>
      <c r="C365" s="34">
        <v>45951</v>
      </c>
      <c r="D365" s="34">
        <v>45951</v>
      </c>
      <c r="E365" s="33" t="s">
        <v>557</v>
      </c>
      <c r="F365" s="35">
        <v>256779418477</v>
      </c>
      <c r="G365" s="33" t="s">
        <v>559</v>
      </c>
      <c r="H365" s="36">
        <v>3.4</v>
      </c>
      <c r="I365" s="37" t="s">
        <v>560</v>
      </c>
      <c r="J365" s="38">
        <v>299.85000000000002</v>
      </c>
      <c r="K365" s="33" t="s">
        <v>561</v>
      </c>
      <c r="L365" s="33" t="s">
        <v>629</v>
      </c>
      <c r="M365" s="54" cm="1">
        <f t="array" ref="M365:N365">_xlfn.XLOOKUP(F365,'Customer Data Vlookup'!$L:$L,'Customer Data Vlookup'!$M:$N,,0)</f>
        <v>0</v>
      </c>
      <c r="N365" s="54">
        <v>299.84859999999998</v>
      </c>
      <c r="O365" s="54">
        <f t="shared" si="15"/>
        <v>299.84859999999998</v>
      </c>
      <c r="P365" s="54">
        <f t="shared" si="16"/>
        <v>1.4000000000464752E-3</v>
      </c>
      <c r="Q365" s="56">
        <f t="shared" si="17"/>
        <v>4.669001167405286E-6</v>
      </c>
      <c r="R365" s="33" t="s">
        <v>630</v>
      </c>
      <c r="S365" s="34"/>
      <c r="T365" s="33" t="s">
        <v>558</v>
      </c>
    </row>
    <row r="366" spans="1:20" x14ac:dyDescent="0.35">
      <c r="A366" s="32">
        <v>1800013962</v>
      </c>
      <c r="B366" s="33" t="s">
        <v>563</v>
      </c>
      <c r="C366" s="34">
        <v>45951</v>
      </c>
      <c r="D366" s="34">
        <v>45951</v>
      </c>
      <c r="E366" s="33" t="s">
        <v>557</v>
      </c>
      <c r="F366" s="35">
        <v>256779418492</v>
      </c>
      <c r="G366" s="33" t="s">
        <v>559</v>
      </c>
      <c r="H366" s="36">
        <v>3.4</v>
      </c>
      <c r="I366" s="37" t="s">
        <v>560</v>
      </c>
      <c r="J366" s="38">
        <v>299.85000000000002</v>
      </c>
      <c r="K366" s="33" t="s">
        <v>561</v>
      </c>
      <c r="L366" s="33" t="s">
        <v>629</v>
      </c>
      <c r="M366" s="54" cm="1">
        <f t="array" ref="M366:N366">_xlfn.XLOOKUP(F366,'Customer Data Vlookup'!$L:$L,'Customer Data Vlookup'!$M:$N,,0)</f>
        <v>6</v>
      </c>
      <c r="N366" s="54">
        <v>306</v>
      </c>
      <c r="O366" s="54">
        <f t="shared" si="15"/>
        <v>300</v>
      </c>
      <c r="P366" s="54">
        <f t="shared" si="16"/>
        <v>-0.14999999999997726</v>
      </c>
      <c r="Q366" s="56">
        <f t="shared" si="17"/>
        <v>-5.0025012506245544E-4</v>
      </c>
      <c r="R366" s="33" t="s">
        <v>630</v>
      </c>
      <c r="S366" s="34"/>
      <c r="T366" s="33" t="s">
        <v>558</v>
      </c>
    </row>
    <row r="367" spans="1:20" x14ac:dyDescent="0.35">
      <c r="A367" s="32">
        <v>1800004866</v>
      </c>
      <c r="B367" s="33" t="s">
        <v>563</v>
      </c>
      <c r="C367" s="34">
        <v>45736</v>
      </c>
      <c r="D367" s="34">
        <v>45737</v>
      </c>
      <c r="E367" s="33" t="s">
        <v>557</v>
      </c>
      <c r="F367" s="35">
        <v>246779414734</v>
      </c>
      <c r="G367" s="33" t="s">
        <v>559</v>
      </c>
      <c r="H367" s="36">
        <v>2.5</v>
      </c>
      <c r="I367" s="37" t="s">
        <v>560</v>
      </c>
      <c r="J367" s="38">
        <v>216.73</v>
      </c>
      <c r="K367" s="33" t="s">
        <v>561</v>
      </c>
      <c r="L367" s="33" t="s">
        <v>557</v>
      </c>
      <c r="M367" s="54" cm="1">
        <f t="array" ref="M367:N367">_xlfn.XLOOKUP(F367,'Customer Data Vlookup'!$L:$L,'Customer Data Vlookup'!$M:$N,,0)</f>
        <v>0</v>
      </c>
      <c r="N367" s="54">
        <v>211</v>
      </c>
      <c r="O367" s="54">
        <f t="shared" si="15"/>
        <v>211</v>
      </c>
      <c r="P367" s="54">
        <f t="shared" si="16"/>
        <v>5.7299999999999898</v>
      </c>
      <c r="Q367" s="56">
        <f t="shared" si="17"/>
        <v>2.6438425690951829E-2</v>
      </c>
      <c r="R367" s="33" t="s">
        <v>860</v>
      </c>
      <c r="S367" s="34"/>
      <c r="T367" s="33" t="s">
        <v>558</v>
      </c>
    </row>
    <row r="368" spans="1:20" x14ac:dyDescent="0.35">
      <c r="A368" s="32">
        <v>1800005017</v>
      </c>
      <c r="B368" s="33" t="s">
        <v>563</v>
      </c>
      <c r="C368" s="34">
        <v>45736</v>
      </c>
      <c r="D368" s="34">
        <v>45737</v>
      </c>
      <c r="E368" s="33" t="s">
        <v>557</v>
      </c>
      <c r="F368" s="35">
        <v>246779414885</v>
      </c>
      <c r="G368" s="33" t="s">
        <v>559</v>
      </c>
      <c r="H368" s="36">
        <v>2.5</v>
      </c>
      <c r="I368" s="37" t="s">
        <v>560</v>
      </c>
      <c r="J368" s="38">
        <v>216.73</v>
      </c>
      <c r="K368" s="33" t="s">
        <v>561</v>
      </c>
      <c r="L368" s="33" t="s">
        <v>557</v>
      </c>
      <c r="M368" s="54" cm="1">
        <f t="array" ref="M368:N368">_xlfn.XLOOKUP(F368,'Customer Data Vlookup'!$L:$L,'Customer Data Vlookup'!$M:$N,,0)</f>
        <v>0</v>
      </c>
      <c r="N368" s="54">
        <v>211</v>
      </c>
      <c r="O368" s="54">
        <f t="shared" si="15"/>
        <v>211</v>
      </c>
      <c r="P368" s="54">
        <f t="shared" si="16"/>
        <v>5.7299999999999898</v>
      </c>
      <c r="Q368" s="56">
        <f t="shared" si="17"/>
        <v>2.6438425690951829E-2</v>
      </c>
      <c r="R368" s="33" t="s">
        <v>860</v>
      </c>
      <c r="S368" s="34"/>
      <c r="T368" s="33" t="s">
        <v>558</v>
      </c>
    </row>
    <row r="369" spans="1:20" x14ac:dyDescent="0.35">
      <c r="A369" s="32">
        <v>1800004812</v>
      </c>
      <c r="B369" s="33" t="s">
        <v>563</v>
      </c>
      <c r="C369" s="34">
        <v>45736</v>
      </c>
      <c r="D369" s="34">
        <v>45737</v>
      </c>
      <c r="E369" s="33" t="s">
        <v>557</v>
      </c>
      <c r="F369" s="35">
        <v>246779414680</v>
      </c>
      <c r="G369" s="33" t="s">
        <v>559</v>
      </c>
      <c r="H369" s="36">
        <v>2.5</v>
      </c>
      <c r="I369" s="37" t="s">
        <v>560</v>
      </c>
      <c r="J369" s="38">
        <v>216.73</v>
      </c>
      <c r="K369" s="33" t="s">
        <v>561</v>
      </c>
      <c r="L369" s="33" t="s">
        <v>557</v>
      </c>
      <c r="M369" s="54" cm="1">
        <f t="array" ref="M369:N369">_xlfn.XLOOKUP(F369,'Customer Data Vlookup'!$L:$L,'Customer Data Vlookup'!$M:$N,,0)</f>
        <v>0</v>
      </c>
      <c r="N369" s="54">
        <v>383</v>
      </c>
      <c r="O369" s="54">
        <f t="shared" si="15"/>
        <v>383</v>
      </c>
      <c r="P369" s="54">
        <f t="shared" si="16"/>
        <v>-166.27</v>
      </c>
      <c r="Q369" s="56">
        <f t="shared" si="17"/>
        <v>-0.76717574862732441</v>
      </c>
      <c r="R369" s="33" t="s">
        <v>875</v>
      </c>
      <c r="S369" s="34"/>
      <c r="T369" s="33" t="s">
        <v>558</v>
      </c>
    </row>
    <row r="370" spans="1:20" x14ac:dyDescent="0.35">
      <c r="A370" s="32">
        <v>1800006672</v>
      </c>
      <c r="B370" s="33" t="s">
        <v>563</v>
      </c>
      <c r="C370" s="34">
        <v>45762</v>
      </c>
      <c r="D370" s="34">
        <v>45763</v>
      </c>
      <c r="E370" s="33" t="s">
        <v>557</v>
      </c>
      <c r="F370" s="35">
        <v>256779411563</v>
      </c>
      <c r="G370" s="33" t="s">
        <v>559</v>
      </c>
      <c r="H370" s="36">
        <v>2.35</v>
      </c>
      <c r="I370" s="37" t="s">
        <v>560</v>
      </c>
      <c r="J370" s="38">
        <v>204.27</v>
      </c>
      <c r="K370" s="33" t="s">
        <v>558</v>
      </c>
      <c r="L370" s="33" t="s">
        <v>557</v>
      </c>
      <c r="M370" s="54" cm="1">
        <f t="array" ref="M370:N370">_xlfn.XLOOKUP(F370,'Customer Data Vlookup'!$L:$L,'Customer Data Vlookup'!$M:$N,,0)</f>
        <v>0</v>
      </c>
      <c r="N370" s="54">
        <v>198</v>
      </c>
      <c r="O370" s="54">
        <f t="shared" si="15"/>
        <v>198</v>
      </c>
      <c r="P370" s="54">
        <f t="shared" si="16"/>
        <v>6.2700000000000102</v>
      </c>
      <c r="Q370" s="56">
        <f t="shared" si="17"/>
        <v>3.0694668820678561E-2</v>
      </c>
      <c r="R370" s="33" t="s">
        <v>774</v>
      </c>
      <c r="S370" s="34"/>
      <c r="T370" s="33" t="s">
        <v>558</v>
      </c>
    </row>
    <row r="371" spans="1:20" x14ac:dyDescent="0.35">
      <c r="A371" s="32">
        <v>1800003756</v>
      </c>
      <c r="B371" s="33" t="s">
        <v>563</v>
      </c>
      <c r="C371" s="34">
        <v>45736</v>
      </c>
      <c r="D371" s="34">
        <v>45736</v>
      </c>
      <c r="E371" s="33" t="s">
        <v>557</v>
      </c>
      <c r="F371" s="35">
        <v>246779413623</v>
      </c>
      <c r="G371" s="33" t="s">
        <v>559</v>
      </c>
      <c r="H371" s="36">
        <v>2.35</v>
      </c>
      <c r="I371" s="37" t="s">
        <v>560</v>
      </c>
      <c r="J371" s="38">
        <v>203.72</v>
      </c>
      <c r="K371" s="33" t="s">
        <v>561</v>
      </c>
      <c r="L371" s="33" t="s">
        <v>557</v>
      </c>
      <c r="M371" s="54" cm="1">
        <f t="array" ref="M371:N371">_xlfn.XLOOKUP(F371,'Customer Data Vlookup'!$L:$L,'Customer Data Vlookup'!$M:$N,,0)</f>
        <v>0</v>
      </c>
      <c r="N371" s="54">
        <v>198</v>
      </c>
      <c r="O371" s="54">
        <f t="shared" si="15"/>
        <v>198</v>
      </c>
      <c r="P371" s="54">
        <f t="shared" si="16"/>
        <v>5.7199999999999989</v>
      </c>
      <c r="Q371" s="56">
        <f t="shared" si="17"/>
        <v>2.8077753779697619E-2</v>
      </c>
      <c r="R371" s="33" t="s">
        <v>860</v>
      </c>
      <c r="S371" s="34"/>
      <c r="T371" s="33" t="s">
        <v>558</v>
      </c>
    </row>
    <row r="372" spans="1:20" x14ac:dyDescent="0.35">
      <c r="A372" s="32">
        <v>1800003758</v>
      </c>
      <c r="B372" s="33" t="s">
        <v>563</v>
      </c>
      <c r="C372" s="34">
        <v>45736</v>
      </c>
      <c r="D372" s="34">
        <v>45736</v>
      </c>
      <c r="E372" s="33" t="s">
        <v>557</v>
      </c>
      <c r="F372" s="35">
        <v>246779413625</v>
      </c>
      <c r="G372" s="33" t="s">
        <v>559</v>
      </c>
      <c r="H372" s="36">
        <v>2.35</v>
      </c>
      <c r="I372" s="37" t="s">
        <v>560</v>
      </c>
      <c r="J372" s="38">
        <v>203.72</v>
      </c>
      <c r="K372" s="33" t="s">
        <v>561</v>
      </c>
      <c r="L372" s="33" t="s">
        <v>557</v>
      </c>
      <c r="M372" s="54" cm="1">
        <f t="array" ref="M372:N372">_xlfn.XLOOKUP(F372,'Customer Data Vlookup'!$L:$L,'Customer Data Vlookup'!$M:$N,,0)</f>
        <v>0</v>
      </c>
      <c r="N372" s="54">
        <v>198</v>
      </c>
      <c r="O372" s="54">
        <f t="shared" si="15"/>
        <v>198</v>
      </c>
      <c r="P372" s="54">
        <f t="shared" si="16"/>
        <v>5.7199999999999989</v>
      </c>
      <c r="Q372" s="56">
        <f t="shared" si="17"/>
        <v>2.8077753779697619E-2</v>
      </c>
      <c r="R372" s="33" t="s">
        <v>860</v>
      </c>
      <c r="S372" s="34"/>
      <c r="T372" s="33" t="s">
        <v>558</v>
      </c>
    </row>
    <row r="373" spans="1:20" x14ac:dyDescent="0.35">
      <c r="A373" s="32">
        <v>1800003761</v>
      </c>
      <c r="B373" s="33" t="s">
        <v>563</v>
      </c>
      <c r="C373" s="34">
        <v>45736</v>
      </c>
      <c r="D373" s="34">
        <v>45736</v>
      </c>
      <c r="E373" s="33" t="s">
        <v>557</v>
      </c>
      <c r="F373" s="35">
        <v>246779413628</v>
      </c>
      <c r="G373" s="33" t="s">
        <v>559</v>
      </c>
      <c r="H373" s="36">
        <v>2.35</v>
      </c>
      <c r="I373" s="37" t="s">
        <v>560</v>
      </c>
      <c r="J373" s="38">
        <v>203.72</v>
      </c>
      <c r="K373" s="33" t="s">
        <v>561</v>
      </c>
      <c r="L373" s="33" t="s">
        <v>557</v>
      </c>
      <c r="M373" s="54" cm="1">
        <f t="array" ref="M373:N373">_xlfn.XLOOKUP(F373,'Customer Data Vlookup'!$L:$L,'Customer Data Vlookup'!$M:$N,,0)</f>
        <v>0</v>
      </c>
      <c r="N373" s="54">
        <v>198</v>
      </c>
      <c r="O373" s="54">
        <f t="shared" si="15"/>
        <v>198</v>
      </c>
      <c r="P373" s="54">
        <f t="shared" si="16"/>
        <v>5.7199999999999989</v>
      </c>
      <c r="Q373" s="56">
        <f t="shared" si="17"/>
        <v>2.8077753779697619E-2</v>
      </c>
      <c r="R373" s="33" t="s">
        <v>860</v>
      </c>
      <c r="S373" s="34"/>
      <c r="T373" s="33" t="s">
        <v>558</v>
      </c>
    </row>
    <row r="374" spans="1:20" x14ac:dyDescent="0.35">
      <c r="A374" s="32">
        <v>1800003828</v>
      </c>
      <c r="B374" s="33" t="s">
        <v>563</v>
      </c>
      <c r="C374" s="34">
        <v>45736</v>
      </c>
      <c r="D374" s="34">
        <v>45736</v>
      </c>
      <c r="E374" s="33" t="s">
        <v>557</v>
      </c>
      <c r="F374" s="35">
        <v>246779413690</v>
      </c>
      <c r="G374" s="33" t="s">
        <v>559</v>
      </c>
      <c r="H374" s="36">
        <v>2.35</v>
      </c>
      <c r="I374" s="37" t="s">
        <v>560</v>
      </c>
      <c r="J374" s="38">
        <v>203.72</v>
      </c>
      <c r="K374" s="33" t="s">
        <v>561</v>
      </c>
      <c r="L374" s="33" t="s">
        <v>557</v>
      </c>
      <c r="M374" s="54" cm="1">
        <f t="array" ref="M374:N374">_xlfn.XLOOKUP(F374,'Customer Data Vlookup'!$L:$L,'Customer Data Vlookup'!$M:$N,,0)</f>
        <v>0</v>
      </c>
      <c r="N374" s="54">
        <v>198</v>
      </c>
      <c r="O374" s="54">
        <f t="shared" si="15"/>
        <v>198</v>
      </c>
      <c r="P374" s="54">
        <f t="shared" si="16"/>
        <v>5.7199999999999989</v>
      </c>
      <c r="Q374" s="56">
        <f t="shared" si="17"/>
        <v>2.8077753779697619E-2</v>
      </c>
      <c r="R374" s="33" t="s">
        <v>860</v>
      </c>
      <c r="S374" s="34"/>
      <c r="T374" s="33" t="s">
        <v>558</v>
      </c>
    </row>
    <row r="375" spans="1:20" x14ac:dyDescent="0.35">
      <c r="A375" s="32">
        <v>1800003830</v>
      </c>
      <c r="B375" s="33" t="s">
        <v>563</v>
      </c>
      <c r="C375" s="34">
        <v>45736</v>
      </c>
      <c r="D375" s="34">
        <v>45736</v>
      </c>
      <c r="E375" s="33" t="s">
        <v>557</v>
      </c>
      <c r="F375" s="35">
        <v>246779413692</v>
      </c>
      <c r="G375" s="33" t="s">
        <v>559</v>
      </c>
      <c r="H375" s="36">
        <v>2.35</v>
      </c>
      <c r="I375" s="37" t="s">
        <v>560</v>
      </c>
      <c r="J375" s="38">
        <v>203.72</v>
      </c>
      <c r="K375" s="33" t="s">
        <v>561</v>
      </c>
      <c r="L375" s="33" t="s">
        <v>557</v>
      </c>
      <c r="M375" s="54" cm="1">
        <f t="array" ref="M375:N375">_xlfn.XLOOKUP(F375,'Customer Data Vlookup'!$L:$L,'Customer Data Vlookup'!$M:$N,,0)</f>
        <v>0</v>
      </c>
      <c r="N375" s="54">
        <v>191</v>
      </c>
      <c r="O375" s="54">
        <f t="shared" si="15"/>
        <v>191</v>
      </c>
      <c r="P375" s="54">
        <f t="shared" si="16"/>
        <v>12.719999999999999</v>
      </c>
      <c r="Q375" s="56">
        <f t="shared" si="17"/>
        <v>6.2438641272334575E-2</v>
      </c>
      <c r="R375" s="33" t="s">
        <v>860</v>
      </c>
      <c r="S375" s="34"/>
      <c r="T375" s="33" t="s">
        <v>558</v>
      </c>
    </row>
    <row r="376" spans="1:20" x14ac:dyDescent="0.35">
      <c r="A376" s="32">
        <v>1800003833</v>
      </c>
      <c r="B376" s="33" t="s">
        <v>563</v>
      </c>
      <c r="C376" s="34">
        <v>45736</v>
      </c>
      <c r="D376" s="34">
        <v>45736</v>
      </c>
      <c r="E376" s="33" t="s">
        <v>557</v>
      </c>
      <c r="F376" s="35">
        <v>246779413695</v>
      </c>
      <c r="G376" s="33" t="s">
        <v>559</v>
      </c>
      <c r="H376" s="36">
        <v>2.35</v>
      </c>
      <c r="I376" s="37" t="s">
        <v>560</v>
      </c>
      <c r="J376" s="38">
        <v>203.72</v>
      </c>
      <c r="K376" s="33" t="s">
        <v>561</v>
      </c>
      <c r="L376" s="33" t="s">
        <v>557</v>
      </c>
      <c r="M376" s="54" cm="1">
        <f t="array" ref="M376:N376">_xlfn.XLOOKUP(F376,'Customer Data Vlookup'!$L:$L,'Customer Data Vlookup'!$M:$N,,0)</f>
        <v>0</v>
      </c>
      <c r="N376" s="54">
        <v>191</v>
      </c>
      <c r="O376" s="54">
        <f t="shared" si="15"/>
        <v>191</v>
      </c>
      <c r="P376" s="54">
        <f t="shared" si="16"/>
        <v>12.719999999999999</v>
      </c>
      <c r="Q376" s="56">
        <f t="shared" si="17"/>
        <v>6.2438641272334575E-2</v>
      </c>
      <c r="R376" s="33" t="s">
        <v>860</v>
      </c>
      <c r="S376" s="34"/>
      <c r="T376" s="33" t="s">
        <v>558</v>
      </c>
    </row>
    <row r="377" spans="1:20" x14ac:dyDescent="0.35">
      <c r="A377" s="32">
        <v>1800003865</v>
      </c>
      <c r="B377" s="33" t="s">
        <v>563</v>
      </c>
      <c r="C377" s="34">
        <v>45736</v>
      </c>
      <c r="D377" s="34">
        <v>45736</v>
      </c>
      <c r="E377" s="33" t="s">
        <v>557</v>
      </c>
      <c r="F377" s="35">
        <v>246779413733</v>
      </c>
      <c r="G377" s="33" t="s">
        <v>559</v>
      </c>
      <c r="H377" s="36">
        <v>2.35</v>
      </c>
      <c r="I377" s="37" t="s">
        <v>560</v>
      </c>
      <c r="J377" s="38">
        <v>203.72</v>
      </c>
      <c r="K377" s="33" t="s">
        <v>561</v>
      </c>
      <c r="L377" s="33" t="s">
        <v>557</v>
      </c>
      <c r="M377" s="54" cm="1">
        <f t="array" ref="M377:N377">_xlfn.XLOOKUP(F377,'Customer Data Vlookup'!$L:$L,'Customer Data Vlookup'!$M:$N,,0)</f>
        <v>0</v>
      </c>
      <c r="N377" s="54">
        <v>191</v>
      </c>
      <c r="O377" s="54">
        <f t="shared" si="15"/>
        <v>191</v>
      </c>
      <c r="P377" s="54">
        <f t="shared" si="16"/>
        <v>12.719999999999999</v>
      </c>
      <c r="Q377" s="56">
        <f t="shared" si="17"/>
        <v>6.2438641272334575E-2</v>
      </c>
      <c r="R377" s="33" t="s">
        <v>860</v>
      </c>
      <c r="S377" s="34"/>
      <c r="T377" s="33" t="s">
        <v>558</v>
      </c>
    </row>
    <row r="378" spans="1:20" x14ac:dyDescent="0.35">
      <c r="A378" s="32">
        <v>1800003869</v>
      </c>
      <c r="B378" s="33" t="s">
        <v>563</v>
      </c>
      <c r="C378" s="34">
        <v>45736</v>
      </c>
      <c r="D378" s="34">
        <v>45736</v>
      </c>
      <c r="E378" s="33" t="s">
        <v>557</v>
      </c>
      <c r="F378" s="35">
        <v>246779413737</v>
      </c>
      <c r="G378" s="33" t="s">
        <v>559</v>
      </c>
      <c r="H378" s="36">
        <v>2.35</v>
      </c>
      <c r="I378" s="37" t="s">
        <v>560</v>
      </c>
      <c r="J378" s="38">
        <v>203.72</v>
      </c>
      <c r="K378" s="33" t="s">
        <v>561</v>
      </c>
      <c r="L378" s="33" t="s">
        <v>557</v>
      </c>
      <c r="M378" s="54" cm="1">
        <f t="array" ref="M378:N378">_xlfn.XLOOKUP(F378,'Customer Data Vlookup'!$L:$L,'Customer Data Vlookup'!$M:$N,,0)</f>
        <v>0</v>
      </c>
      <c r="N378" s="54">
        <v>574</v>
      </c>
      <c r="O378" s="54">
        <f t="shared" si="15"/>
        <v>574</v>
      </c>
      <c r="P378" s="54">
        <f t="shared" si="16"/>
        <v>-370.28</v>
      </c>
      <c r="Q378" s="56">
        <f t="shared" si="17"/>
        <v>-1.8175927743962299</v>
      </c>
      <c r="R378" s="33" t="s">
        <v>860</v>
      </c>
      <c r="S378" s="34"/>
      <c r="T378" s="33" t="s">
        <v>558</v>
      </c>
    </row>
    <row r="379" spans="1:20" x14ac:dyDescent="0.35">
      <c r="A379" s="32">
        <v>1800003876</v>
      </c>
      <c r="B379" s="33" t="s">
        <v>563</v>
      </c>
      <c r="C379" s="34">
        <v>45736</v>
      </c>
      <c r="D379" s="34">
        <v>45736</v>
      </c>
      <c r="E379" s="33" t="s">
        <v>557</v>
      </c>
      <c r="F379" s="35">
        <v>246779413744</v>
      </c>
      <c r="G379" s="33" t="s">
        <v>559</v>
      </c>
      <c r="H379" s="36">
        <v>2.35</v>
      </c>
      <c r="I379" s="37" t="s">
        <v>560</v>
      </c>
      <c r="J379" s="38">
        <v>203.72</v>
      </c>
      <c r="K379" s="33" t="s">
        <v>561</v>
      </c>
      <c r="L379" s="33" t="s">
        <v>557</v>
      </c>
      <c r="M379" s="54" cm="1">
        <f t="array" ref="M379:N379">_xlfn.XLOOKUP(F379,'Customer Data Vlookup'!$L:$L,'Customer Data Vlookup'!$M:$N,,0)</f>
        <v>0</v>
      </c>
      <c r="N379" s="54">
        <v>191</v>
      </c>
      <c r="O379" s="54">
        <f t="shared" si="15"/>
        <v>191</v>
      </c>
      <c r="P379" s="54">
        <f t="shared" si="16"/>
        <v>12.719999999999999</v>
      </c>
      <c r="Q379" s="56">
        <f t="shared" si="17"/>
        <v>6.2438641272334575E-2</v>
      </c>
      <c r="R379" s="33" t="s">
        <v>860</v>
      </c>
      <c r="S379" s="34"/>
      <c r="T379" s="33" t="s">
        <v>558</v>
      </c>
    </row>
    <row r="380" spans="1:20" x14ac:dyDescent="0.35">
      <c r="A380" s="32">
        <v>1800003894</v>
      </c>
      <c r="B380" s="33" t="s">
        <v>563</v>
      </c>
      <c r="C380" s="34">
        <v>45736</v>
      </c>
      <c r="D380" s="34">
        <v>45736</v>
      </c>
      <c r="E380" s="33" t="s">
        <v>557</v>
      </c>
      <c r="F380" s="35">
        <v>246779413762</v>
      </c>
      <c r="G380" s="33" t="s">
        <v>559</v>
      </c>
      <c r="H380" s="36">
        <v>2.35</v>
      </c>
      <c r="I380" s="37" t="s">
        <v>560</v>
      </c>
      <c r="J380" s="38">
        <v>203.72</v>
      </c>
      <c r="K380" s="33" t="s">
        <v>561</v>
      </c>
      <c r="L380" s="33" t="s">
        <v>557</v>
      </c>
      <c r="M380" s="54" cm="1">
        <f t="array" ref="M380:N380">_xlfn.XLOOKUP(F380,'Customer Data Vlookup'!$L:$L,'Customer Data Vlookup'!$M:$N,,0)</f>
        <v>0</v>
      </c>
      <c r="N380" s="54">
        <v>191</v>
      </c>
      <c r="O380" s="54">
        <f t="shared" si="15"/>
        <v>191</v>
      </c>
      <c r="P380" s="54">
        <f t="shared" si="16"/>
        <v>12.719999999999999</v>
      </c>
      <c r="Q380" s="56">
        <f t="shared" si="17"/>
        <v>6.2438641272334575E-2</v>
      </c>
      <c r="R380" s="33" t="s">
        <v>604</v>
      </c>
      <c r="S380" s="34"/>
      <c r="T380" s="33" t="s">
        <v>558</v>
      </c>
    </row>
    <row r="381" spans="1:20" x14ac:dyDescent="0.35">
      <c r="A381" s="32">
        <v>1800003885</v>
      </c>
      <c r="B381" s="33" t="s">
        <v>563</v>
      </c>
      <c r="C381" s="34">
        <v>45736</v>
      </c>
      <c r="D381" s="34">
        <v>45736</v>
      </c>
      <c r="E381" s="33" t="s">
        <v>557</v>
      </c>
      <c r="F381" s="35">
        <v>246779413753</v>
      </c>
      <c r="G381" s="33" t="s">
        <v>559</v>
      </c>
      <c r="H381" s="36">
        <v>2.35</v>
      </c>
      <c r="I381" s="37" t="s">
        <v>560</v>
      </c>
      <c r="J381" s="38">
        <v>203.72</v>
      </c>
      <c r="K381" s="33" t="s">
        <v>561</v>
      </c>
      <c r="L381" s="33" t="s">
        <v>557</v>
      </c>
      <c r="M381" s="54" cm="1">
        <f t="array" ref="M381:N381">_xlfn.XLOOKUP(F381,'Customer Data Vlookup'!$L:$L,'Customer Data Vlookup'!$M:$N,,0)</f>
        <v>0</v>
      </c>
      <c r="N381" s="54">
        <v>31723</v>
      </c>
      <c r="O381" s="54">
        <f t="shared" si="15"/>
        <v>31723</v>
      </c>
      <c r="P381" s="54">
        <f t="shared" si="16"/>
        <v>-31519.279999999999</v>
      </c>
      <c r="Q381" s="56">
        <f t="shared" si="17"/>
        <v>-154.71863341841743</v>
      </c>
      <c r="R381" s="33" t="s">
        <v>604</v>
      </c>
      <c r="S381" s="34"/>
      <c r="T381" s="33" t="s">
        <v>558</v>
      </c>
    </row>
    <row r="382" spans="1:20" x14ac:dyDescent="0.35">
      <c r="A382" s="32">
        <v>1800000738</v>
      </c>
      <c r="B382" s="33" t="s">
        <v>563</v>
      </c>
      <c r="C382" s="34">
        <v>45720</v>
      </c>
      <c r="D382" s="34">
        <v>45720</v>
      </c>
      <c r="E382" s="33" t="s">
        <v>557</v>
      </c>
      <c r="F382" s="35">
        <v>246779410678</v>
      </c>
      <c r="G382" s="33" t="s">
        <v>559</v>
      </c>
      <c r="H382" s="36">
        <v>2.35</v>
      </c>
      <c r="I382" s="37" t="s">
        <v>560</v>
      </c>
      <c r="J382" s="38">
        <v>203.72</v>
      </c>
      <c r="K382" s="33" t="s">
        <v>561</v>
      </c>
      <c r="L382" s="33" t="s">
        <v>557</v>
      </c>
      <c r="M382" s="54" cm="1">
        <f t="array" ref="M382:N382">_xlfn.XLOOKUP(F382,'Customer Data Vlookup'!$L:$L,'Customer Data Vlookup'!$M:$N,,0)</f>
        <v>0</v>
      </c>
      <c r="N382" s="54">
        <v>201</v>
      </c>
      <c r="O382" s="54">
        <f t="shared" si="15"/>
        <v>201</v>
      </c>
      <c r="P382" s="54">
        <f t="shared" si="16"/>
        <v>2.7199999999999989</v>
      </c>
      <c r="Q382" s="56">
        <f t="shared" si="17"/>
        <v>1.3351659139996067E-2</v>
      </c>
      <c r="R382" s="33" t="s">
        <v>914</v>
      </c>
      <c r="S382" s="34"/>
      <c r="T382" s="33" t="s">
        <v>558</v>
      </c>
    </row>
    <row r="383" spans="1:20" x14ac:dyDescent="0.35">
      <c r="A383" s="32">
        <v>1800000739</v>
      </c>
      <c r="B383" s="33" t="s">
        <v>563</v>
      </c>
      <c r="C383" s="34">
        <v>45720</v>
      </c>
      <c r="D383" s="34">
        <v>45720</v>
      </c>
      <c r="E383" s="33" t="s">
        <v>557</v>
      </c>
      <c r="F383" s="35">
        <v>246779410679</v>
      </c>
      <c r="G383" s="33" t="s">
        <v>559</v>
      </c>
      <c r="H383" s="36">
        <v>2.35</v>
      </c>
      <c r="I383" s="37" t="s">
        <v>560</v>
      </c>
      <c r="J383" s="38">
        <v>203.72</v>
      </c>
      <c r="K383" s="33" t="s">
        <v>561</v>
      </c>
      <c r="L383" s="33" t="s">
        <v>557</v>
      </c>
      <c r="M383" s="54" cm="1">
        <f t="array" ref="M383:N383">_xlfn.XLOOKUP(F383,'Customer Data Vlookup'!$L:$L,'Customer Data Vlookup'!$M:$N,,0)</f>
        <v>0</v>
      </c>
      <c r="N383" s="54">
        <v>201</v>
      </c>
      <c r="O383" s="54">
        <f t="shared" si="15"/>
        <v>201</v>
      </c>
      <c r="P383" s="54">
        <f t="shared" si="16"/>
        <v>2.7199999999999989</v>
      </c>
      <c r="Q383" s="56">
        <f t="shared" si="17"/>
        <v>1.3351659139996067E-2</v>
      </c>
      <c r="R383" s="33" t="s">
        <v>914</v>
      </c>
      <c r="S383" s="34"/>
      <c r="T383" s="33" t="s">
        <v>558</v>
      </c>
    </row>
    <row r="384" spans="1:20" x14ac:dyDescent="0.35">
      <c r="A384" s="32">
        <v>1800000741</v>
      </c>
      <c r="B384" s="33" t="s">
        <v>563</v>
      </c>
      <c r="C384" s="34">
        <v>45720</v>
      </c>
      <c r="D384" s="34">
        <v>45720</v>
      </c>
      <c r="E384" s="33" t="s">
        <v>557</v>
      </c>
      <c r="F384" s="35">
        <v>246779410681</v>
      </c>
      <c r="G384" s="33" t="s">
        <v>559</v>
      </c>
      <c r="H384" s="36">
        <v>2.35</v>
      </c>
      <c r="I384" s="37" t="s">
        <v>560</v>
      </c>
      <c r="J384" s="38">
        <v>203.72</v>
      </c>
      <c r="K384" s="33" t="s">
        <v>561</v>
      </c>
      <c r="L384" s="33" t="s">
        <v>557</v>
      </c>
      <c r="M384" s="54" cm="1">
        <f t="array" ref="M384:N384">_xlfn.XLOOKUP(F384,'Customer Data Vlookup'!$L:$L,'Customer Data Vlookup'!$M:$N,,0)</f>
        <v>0</v>
      </c>
      <c r="N384" s="54">
        <v>201</v>
      </c>
      <c r="O384" s="54">
        <f t="shared" si="15"/>
        <v>201</v>
      </c>
      <c r="P384" s="54">
        <f t="shared" si="16"/>
        <v>2.7199999999999989</v>
      </c>
      <c r="Q384" s="56">
        <f t="shared" si="17"/>
        <v>1.3351659139996067E-2</v>
      </c>
      <c r="R384" s="33" t="s">
        <v>914</v>
      </c>
      <c r="S384" s="34"/>
      <c r="T384" s="33" t="s">
        <v>558</v>
      </c>
    </row>
    <row r="385" spans="1:20" x14ac:dyDescent="0.35">
      <c r="A385" s="32">
        <v>1800000743</v>
      </c>
      <c r="B385" s="33" t="s">
        <v>563</v>
      </c>
      <c r="C385" s="34">
        <v>45720</v>
      </c>
      <c r="D385" s="34">
        <v>45720</v>
      </c>
      <c r="E385" s="33" t="s">
        <v>557</v>
      </c>
      <c r="F385" s="35">
        <v>246779410683</v>
      </c>
      <c r="G385" s="33" t="s">
        <v>559</v>
      </c>
      <c r="H385" s="36">
        <v>2.35</v>
      </c>
      <c r="I385" s="37" t="s">
        <v>560</v>
      </c>
      <c r="J385" s="38">
        <v>203.72</v>
      </c>
      <c r="K385" s="33" t="s">
        <v>561</v>
      </c>
      <c r="L385" s="33" t="s">
        <v>557</v>
      </c>
      <c r="M385" s="54" cm="1">
        <f t="array" ref="M385:N385">_xlfn.XLOOKUP(F385,'Customer Data Vlookup'!$L:$L,'Customer Data Vlookup'!$M:$N,,0)</f>
        <v>0</v>
      </c>
      <c r="N385" s="54">
        <v>201</v>
      </c>
      <c r="O385" s="54">
        <f t="shared" si="15"/>
        <v>201</v>
      </c>
      <c r="P385" s="54">
        <f t="shared" si="16"/>
        <v>2.7199999999999989</v>
      </c>
      <c r="Q385" s="56">
        <f t="shared" si="17"/>
        <v>1.3351659139996067E-2</v>
      </c>
      <c r="R385" s="33" t="s">
        <v>914</v>
      </c>
      <c r="S385" s="34"/>
      <c r="T385" s="33" t="s">
        <v>558</v>
      </c>
    </row>
    <row r="386" spans="1:20" x14ac:dyDescent="0.35">
      <c r="A386" s="32">
        <v>1800000745</v>
      </c>
      <c r="B386" s="33" t="s">
        <v>563</v>
      </c>
      <c r="C386" s="34">
        <v>45720</v>
      </c>
      <c r="D386" s="34">
        <v>45720</v>
      </c>
      <c r="E386" s="33" t="s">
        <v>557</v>
      </c>
      <c r="F386" s="35">
        <v>246779410685</v>
      </c>
      <c r="G386" s="33" t="s">
        <v>559</v>
      </c>
      <c r="H386" s="36">
        <v>2.35</v>
      </c>
      <c r="I386" s="37" t="s">
        <v>560</v>
      </c>
      <c r="J386" s="38">
        <v>203.72</v>
      </c>
      <c r="K386" s="33" t="s">
        <v>561</v>
      </c>
      <c r="L386" s="33" t="s">
        <v>557</v>
      </c>
      <c r="M386" s="54" cm="1">
        <f t="array" ref="M386:N386">_xlfn.XLOOKUP(F386,'Customer Data Vlookup'!$L:$L,'Customer Data Vlookup'!$M:$N,,0)</f>
        <v>0</v>
      </c>
      <c r="N386" s="54">
        <v>201</v>
      </c>
      <c r="O386" s="54">
        <f t="shared" si="15"/>
        <v>201</v>
      </c>
      <c r="P386" s="54">
        <f t="shared" si="16"/>
        <v>2.7199999999999989</v>
      </c>
      <c r="Q386" s="56">
        <f t="shared" si="17"/>
        <v>1.3351659139996067E-2</v>
      </c>
      <c r="R386" s="33" t="s">
        <v>914</v>
      </c>
      <c r="S386" s="34"/>
      <c r="T386" s="33" t="s">
        <v>558</v>
      </c>
    </row>
    <row r="387" spans="1:20" x14ac:dyDescent="0.35">
      <c r="A387" s="32">
        <v>1800000823</v>
      </c>
      <c r="B387" s="33" t="s">
        <v>563</v>
      </c>
      <c r="C387" s="34">
        <v>45720</v>
      </c>
      <c r="D387" s="34">
        <v>45721</v>
      </c>
      <c r="E387" s="33" t="s">
        <v>557</v>
      </c>
      <c r="F387" s="35">
        <v>246779410763</v>
      </c>
      <c r="G387" s="33" t="s">
        <v>559</v>
      </c>
      <c r="H387" s="36">
        <v>2.35</v>
      </c>
      <c r="I387" s="37" t="s">
        <v>560</v>
      </c>
      <c r="J387" s="38">
        <v>203.72</v>
      </c>
      <c r="K387" s="33" t="s">
        <v>561</v>
      </c>
      <c r="L387" s="33" t="s">
        <v>557</v>
      </c>
      <c r="M387" s="54" cm="1">
        <f t="array" ref="M387:N387">_xlfn.XLOOKUP(F387,'Customer Data Vlookup'!$L:$L,'Customer Data Vlookup'!$M:$N,,0)</f>
        <v>0</v>
      </c>
      <c r="N387" s="54">
        <v>201</v>
      </c>
      <c r="O387" s="54">
        <f t="shared" si="15"/>
        <v>201</v>
      </c>
      <c r="P387" s="54">
        <f t="shared" si="16"/>
        <v>2.7199999999999989</v>
      </c>
      <c r="Q387" s="56">
        <f t="shared" si="17"/>
        <v>1.3351659139996067E-2</v>
      </c>
      <c r="R387" s="33" t="s">
        <v>907</v>
      </c>
      <c r="S387" s="34"/>
      <c r="T387" s="33" t="s">
        <v>558</v>
      </c>
    </row>
    <row r="388" spans="1:20" x14ac:dyDescent="0.35">
      <c r="A388" s="32">
        <v>1800000824</v>
      </c>
      <c r="B388" s="33" t="s">
        <v>563</v>
      </c>
      <c r="C388" s="34">
        <v>45720</v>
      </c>
      <c r="D388" s="34">
        <v>45721</v>
      </c>
      <c r="E388" s="33" t="s">
        <v>557</v>
      </c>
      <c r="F388" s="35">
        <v>246779410764</v>
      </c>
      <c r="G388" s="33" t="s">
        <v>559</v>
      </c>
      <c r="H388" s="36">
        <v>2.35</v>
      </c>
      <c r="I388" s="37" t="s">
        <v>560</v>
      </c>
      <c r="J388" s="38">
        <v>203.72</v>
      </c>
      <c r="K388" s="33" t="s">
        <v>561</v>
      </c>
      <c r="L388" s="33" t="s">
        <v>557</v>
      </c>
      <c r="M388" s="54" cm="1">
        <f t="array" ref="M388:N388">_xlfn.XLOOKUP(F388,'Customer Data Vlookup'!$L:$L,'Customer Data Vlookup'!$M:$N,,0)</f>
        <v>0</v>
      </c>
      <c r="N388" s="54">
        <v>201</v>
      </c>
      <c r="O388" s="54">
        <f t="shared" ref="O388:O447" si="18">N388-M388</f>
        <v>201</v>
      </c>
      <c r="P388" s="54">
        <f t="shared" ref="P388:P447" si="19">J388-O388</f>
        <v>2.7199999999999989</v>
      </c>
      <c r="Q388" s="56">
        <f t="shared" ref="Q388:Q447" si="20">P388/J388</f>
        <v>1.3351659139996067E-2</v>
      </c>
      <c r="R388" s="33" t="s">
        <v>907</v>
      </c>
      <c r="S388" s="34"/>
      <c r="T388" s="33" t="s">
        <v>558</v>
      </c>
    </row>
    <row r="389" spans="1:20" x14ac:dyDescent="0.35">
      <c r="A389" s="32">
        <v>1800000825</v>
      </c>
      <c r="B389" s="33" t="s">
        <v>563</v>
      </c>
      <c r="C389" s="34">
        <v>45720</v>
      </c>
      <c r="D389" s="34">
        <v>45721</v>
      </c>
      <c r="E389" s="33" t="s">
        <v>557</v>
      </c>
      <c r="F389" s="35">
        <v>246779410765</v>
      </c>
      <c r="G389" s="33" t="s">
        <v>559</v>
      </c>
      <c r="H389" s="36">
        <v>2.35</v>
      </c>
      <c r="I389" s="37" t="s">
        <v>560</v>
      </c>
      <c r="J389" s="38">
        <v>203.72</v>
      </c>
      <c r="K389" s="33" t="s">
        <v>561</v>
      </c>
      <c r="L389" s="33" t="s">
        <v>557</v>
      </c>
      <c r="M389" s="54" cm="1">
        <f t="array" ref="M389:N389">_xlfn.XLOOKUP(F389,'Customer Data Vlookup'!$L:$L,'Customer Data Vlookup'!$M:$N,,0)</f>
        <v>0</v>
      </c>
      <c r="N389" s="54">
        <v>201</v>
      </c>
      <c r="O389" s="54">
        <f t="shared" si="18"/>
        <v>201</v>
      </c>
      <c r="P389" s="54">
        <f t="shared" si="19"/>
        <v>2.7199999999999989</v>
      </c>
      <c r="Q389" s="56">
        <f t="shared" si="20"/>
        <v>1.3351659139996067E-2</v>
      </c>
      <c r="R389" s="33" t="s">
        <v>907</v>
      </c>
      <c r="S389" s="34"/>
      <c r="T389" s="33" t="s">
        <v>558</v>
      </c>
    </row>
    <row r="390" spans="1:20" x14ac:dyDescent="0.35">
      <c r="A390" s="32">
        <v>1800000907</v>
      </c>
      <c r="B390" s="33" t="s">
        <v>563</v>
      </c>
      <c r="C390" s="34">
        <v>45720</v>
      </c>
      <c r="D390" s="34">
        <v>45721</v>
      </c>
      <c r="E390" s="33" t="s">
        <v>557</v>
      </c>
      <c r="F390" s="35">
        <v>246779410848</v>
      </c>
      <c r="G390" s="33" t="s">
        <v>559</v>
      </c>
      <c r="H390" s="36">
        <v>2.35</v>
      </c>
      <c r="I390" s="37" t="s">
        <v>560</v>
      </c>
      <c r="J390" s="38">
        <v>203.72</v>
      </c>
      <c r="K390" s="33" t="s">
        <v>561</v>
      </c>
      <c r="L390" s="33" t="s">
        <v>557</v>
      </c>
      <c r="M390" s="54" cm="1">
        <f t="array" ref="M390:N390">_xlfn.XLOOKUP(F390,'Customer Data Vlookup'!$L:$L,'Customer Data Vlookup'!$M:$N,,0)</f>
        <v>0</v>
      </c>
      <c r="N390" s="54">
        <v>200</v>
      </c>
      <c r="O390" s="54">
        <f t="shared" si="18"/>
        <v>200</v>
      </c>
      <c r="P390" s="54">
        <f t="shared" si="19"/>
        <v>3.7199999999999989</v>
      </c>
      <c r="Q390" s="56">
        <f t="shared" si="20"/>
        <v>1.8260357353229919E-2</v>
      </c>
      <c r="R390" s="33" t="s">
        <v>915</v>
      </c>
      <c r="S390" s="34"/>
      <c r="T390" s="33" t="s">
        <v>558</v>
      </c>
    </row>
    <row r="391" spans="1:20" x14ac:dyDescent="0.35">
      <c r="A391" s="32">
        <v>1800000912</v>
      </c>
      <c r="B391" s="33" t="s">
        <v>563</v>
      </c>
      <c r="C391" s="34">
        <v>45720</v>
      </c>
      <c r="D391" s="34">
        <v>45721</v>
      </c>
      <c r="E391" s="33" t="s">
        <v>557</v>
      </c>
      <c r="F391" s="35">
        <v>246779410853</v>
      </c>
      <c r="G391" s="33" t="s">
        <v>559</v>
      </c>
      <c r="H391" s="36">
        <v>2.35</v>
      </c>
      <c r="I391" s="37" t="s">
        <v>560</v>
      </c>
      <c r="J391" s="38">
        <v>203.72</v>
      </c>
      <c r="K391" s="33" t="s">
        <v>561</v>
      </c>
      <c r="L391" s="33" t="s">
        <v>557</v>
      </c>
      <c r="M391" s="54" cm="1">
        <f t="array" ref="M391:N391">_xlfn.XLOOKUP(F391,'Customer Data Vlookup'!$L:$L,'Customer Data Vlookup'!$M:$N,,0)</f>
        <v>0</v>
      </c>
      <c r="N391" s="54">
        <v>190</v>
      </c>
      <c r="O391" s="54">
        <f t="shared" si="18"/>
        <v>190</v>
      </c>
      <c r="P391" s="54">
        <f t="shared" si="19"/>
        <v>13.719999999999999</v>
      </c>
      <c r="Q391" s="56">
        <f t="shared" si="20"/>
        <v>6.7347339485568425E-2</v>
      </c>
      <c r="R391" s="33" t="s">
        <v>915</v>
      </c>
      <c r="S391" s="34"/>
      <c r="T391" s="33" t="s">
        <v>558</v>
      </c>
    </row>
    <row r="392" spans="1:20" x14ac:dyDescent="0.35">
      <c r="A392" s="32">
        <v>1800000554</v>
      </c>
      <c r="B392" s="33" t="s">
        <v>563</v>
      </c>
      <c r="C392" s="34">
        <v>45719</v>
      </c>
      <c r="D392" s="34">
        <v>45719</v>
      </c>
      <c r="E392" s="33" t="s">
        <v>557</v>
      </c>
      <c r="F392" s="35">
        <v>246779410504</v>
      </c>
      <c r="G392" s="33" t="s">
        <v>559</v>
      </c>
      <c r="H392" s="36">
        <v>2.35</v>
      </c>
      <c r="I392" s="37" t="s">
        <v>560</v>
      </c>
      <c r="J392" s="38">
        <v>203.72</v>
      </c>
      <c r="K392" s="33" t="s">
        <v>561</v>
      </c>
      <c r="L392" s="33" t="s">
        <v>557</v>
      </c>
      <c r="M392" s="54" cm="1">
        <f t="array" ref="M392:N392">_xlfn.XLOOKUP(F392,'Customer Data Vlookup'!$L:$L,'Customer Data Vlookup'!$M:$N,,0)</f>
        <v>0</v>
      </c>
      <c r="N392" s="54">
        <v>201</v>
      </c>
      <c r="O392" s="54">
        <f t="shared" si="18"/>
        <v>201</v>
      </c>
      <c r="P392" s="54">
        <f t="shared" si="19"/>
        <v>2.7199999999999989</v>
      </c>
      <c r="Q392" s="56">
        <f t="shared" si="20"/>
        <v>1.3351659139996067E-2</v>
      </c>
      <c r="R392" s="33" t="s">
        <v>928</v>
      </c>
      <c r="S392" s="34"/>
      <c r="T392" s="33" t="s">
        <v>558</v>
      </c>
    </row>
    <row r="393" spans="1:20" x14ac:dyDescent="0.35">
      <c r="A393" s="32">
        <v>1800000544</v>
      </c>
      <c r="B393" s="33" t="s">
        <v>563</v>
      </c>
      <c r="C393" s="34">
        <v>45719</v>
      </c>
      <c r="D393" s="34">
        <v>45719</v>
      </c>
      <c r="E393" s="33" t="s">
        <v>557</v>
      </c>
      <c r="F393" s="35">
        <v>246779410494</v>
      </c>
      <c r="G393" s="33" t="s">
        <v>559</v>
      </c>
      <c r="H393" s="36">
        <v>2.35</v>
      </c>
      <c r="I393" s="37" t="s">
        <v>560</v>
      </c>
      <c r="J393" s="38">
        <v>203.72</v>
      </c>
      <c r="K393" s="33" t="s">
        <v>561</v>
      </c>
      <c r="L393" s="33" t="s">
        <v>557</v>
      </c>
      <c r="M393" s="54" cm="1">
        <f t="array" ref="M393:N393">_xlfn.XLOOKUP(F393,'Customer Data Vlookup'!$L:$L,'Customer Data Vlookup'!$M:$N,,0)</f>
        <v>0</v>
      </c>
      <c r="N393" s="54">
        <v>201</v>
      </c>
      <c r="O393" s="54">
        <f t="shared" si="18"/>
        <v>201</v>
      </c>
      <c r="P393" s="54">
        <f t="shared" si="19"/>
        <v>2.7199999999999989</v>
      </c>
      <c r="Q393" s="56">
        <f t="shared" si="20"/>
        <v>1.3351659139996067E-2</v>
      </c>
      <c r="R393" s="33" t="s">
        <v>928</v>
      </c>
      <c r="S393" s="34"/>
      <c r="T393" s="33" t="s">
        <v>558</v>
      </c>
    </row>
    <row r="394" spans="1:20" x14ac:dyDescent="0.35">
      <c r="A394" s="32">
        <v>1800000546</v>
      </c>
      <c r="B394" s="33" t="s">
        <v>563</v>
      </c>
      <c r="C394" s="34">
        <v>45719</v>
      </c>
      <c r="D394" s="34">
        <v>45719</v>
      </c>
      <c r="E394" s="33" t="s">
        <v>557</v>
      </c>
      <c r="F394" s="35">
        <v>246779410496</v>
      </c>
      <c r="G394" s="33" t="s">
        <v>559</v>
      </c>
      <c r="H394" s="36">
        <v>2.35</v>
      </c>
      <c r="I394" s="37" t="s">
        <v>560</v>
      </c>
      <c r="J394" s="38">
        <v>203.72</v>
      </c>
      <c r="K394" s="33" t="s">
        <v>561</v>
      </c>
      <c r="L394" s="33" t="s">
        <v>557</v>
      </c>
      <c r="M394" s="54" cm="1">
        <f t="array" ref="M394:N394">_xlfn.XLOOKUP(F394,'Customer Data Vlookup'!$L:$L,'Customer Data Vlookup'!$M:$N,,0)</f>
        <v>0</v>
      </c>
      <c r="N394" s="54">
        <v>201</v>
      </c>
      <c r="O394" s="54">
        <f t="shared" si="18"/>
        <v>201</v>
      </c>
      <c r="P394" s="54">
        <f t="shared" si="19"/>
        <v>2.7199999999999989</v>
      </c>
      <c r="Q394" s="56">
        <f t="shared" si="20"/>
        <v>1.3351659139996067E-2</v>
      </c>
      <c r="R394" s="33" t="s">
        <v>928</v>
      </c>
      <c r="S394" s="34"/>
      <c r="T394" s="33" t="s">
        <v>558</v>
      </c>
    </row>
    <row r="395" spans="1:20" x14ac:dyDescent="0.35">
      <c r="A395" s="32">
        <v>1800000547</v>
      </c>
      <c r="B395" s="33" t="s">
        <v>563</v>
      </c>
      <c r="C395" s="34">
        <v>45719</v>
      </c>
      <c r="D395" s="34">
        <v>45719</v>
      </c>
      <c r="E395" s="33" t="s">
        <v>557</v>
      </c>
      <c r="F395" s="35">
        <v>246779410497</v>
      </c>
      <c r="G395" s="33" t="s">
        <v>559</v>
      </c>
      <c r="H395" s="36">
        <v>2.35</v>
      </c>
      <c r="I395" s="37" t="s">
        <v>560</v>
      </c>
      <c r="J395" s="38">
        <v>203.72</v>
      </c>
      <c r="K395" s="33" t="s">
        <v>561</v>
      </c>
      <c r="L395" s="33" t="s">
        <v>557</v>
      </c>
      <c r="M395" s="54" cm="1">
        <f t="array" ref="M395:N395">_xlfn.XLOOKUP(F395,'Customer Data Vlookup'!$L:$L,'Customer Data Vlookup'!$M:$N,,0)</f>
        <v>0</v>
      </c>
      <c r="N395" s="54">
        <v>201</v>
      </c>
      <c r="O395" s="54">
        <f t="shared" si="18"/>
        <v>201</v>
      </c>
      <c r="P395" s="54">
        <f t="shared" si="19"/>
        <v>2.7199999999999989</v>
      </c>
      <c r="Q395" s="56">
        <f t="shared" si="20"/>
        <v>1.3351659139996067E-2</v>
      </c>
      <c r="R395" s="33" t="s">
        <v>928</v>
      </c>
      <c r="S395" s="34"/>
      <c r="T395" s="33" t="s">
        <v>558</v>
      </c>
    </row>
    <row r="396" spans="1:20" x14ac:dyDescent="0.35">
      <c r="A396" s="32">
        <v>1800000548</v>
      </c>
      <c r="B396" s="33" t="s">
        <v>563</v>
      </c>
      <c r="C396" s="34">
        <v>45719</v>
      </c>
      <c r="D396" s="34">
        <v>45719</v>
      </c>
      <c r="E396" s="33" t="s">
        <v>557</v>
      </c>
      <c r="F396" s="35">
        <v>246779410498</v>
      </c>
      <c r="G396" s="33" t="s">
        <v>559</v>
      </c>
      <c r="H396" s="36">
        <v>2.35</v>
      </c>
      <c r="I396" s="37" t="s">
        <v>560</v>
      </c>
      <c r="J396" s="38">
        <v>203.72</v>
      </c>
      <c r="K396" s="33" t="s">
        <v>561</v>
      </c>
      <c r="L396" s="33" t="s">
        <v>557</v>
      </c>
      <c r="M396" s="54" cm="1">
        <f t="array" ref="M396:N396">_xlfn.XLOOKUP(F396,'Customer Data Vlookup'!$L:$L,'Customer Data Vlookup'!$M:$N,,0)</f>
        <v>0</v>
      </c>
      <c r="N396" s="54">
        <v>200</v>
      </c>
      <c r="O396" s="54">
        <f t="shared" si="18"/>
        <v>200</v>
      </c>
      <c r="P396" s="54">
        <f t="shared" si="19"/>
        <v>3.7199999999999989</v>
      </c>
      <c r="Q396" s="56">
        <f t="shared" si="20"/>
        <v>1.8260357353229919E-2</v>
      </c>
      <c r="R396" s="33" t="s">
        <v>928</v>
      </c>
      <c r="S396" s="34"/>
      <c r="T396" s="33" t="s">
        <v>558</v>
      </c>
    </row>
    <row r="397" spans="1:20" x14ac:dyDescent="0.35">
      <c r="A397" s="32">
        <v>1800000550</v>
      </c>
      <c r="B397" s="33" t="s">
        <v>563</v>
      </c>
      <c r="C397" s="34">
        <v>45719</v>
      </c>
      <c r="D397" s="34">
        <v>45719</v>
      </c>
      <c r="E397" s="33" t="s">
        <v>557</v>
      </c>
      <c r="F397" s="35">
        <v>246779410500</v>
      </c>
      <c r="G397" s="33" t="s">
        <v>559</v>
      </c>
      <c r="H397" s="36">
        <v>2.35</v>
      </c>
      <c r="I397" s="37" t="s">
        <v>560</v>
      </c>
      <c r="J397" s="38">
        <v>203.72</v>
      </c>
      <c r="K397" s="33" t="s">
        <v>561</v>
      </c>
      <c r="L397" s="33" t="s">
        <v>557</v>
      </c>
      <c r="M397" s="54" cm="1">
        <f t="array" ref="M397:N397">_xlfn.XLOOKUP(F397,'Customer Data Vlookup'!$L:$L,'Customer Data Vlookup'!$M:$N,,0)</f>
        <v>0</v>
      </c>
      <c r="N397" s="54">
        <v>201</v>
      </c>
      <c r="O397" s="54">
        <f t="shared" si="18"/>
        <v>201</v>
      </c>
      <c r="P397" s="54">
        <f t="shared" si="19"/>
        <v>2.7199999999999989</v>
      </c>
      <c r="Q397" s="56">
        <f t="shared" si="20"/>
        <v>1.3351659139996067E-2</v>
      </c>
      <c r="R397" s="33" t="s">
        <v>928</v>
      </c>
      <c r="S397" s="34"/>
      <c r="T397" s="33" t="s">
        <v>558</v>
      </c>
    </row>
    <row r="398" spans="1:20" x14ac:dyDescent="0.35">
      <c r="A398" s="32">
        <v>1800000557</v>
      </c>
      <c r="B398" s="33" t="s">
        <v>563</v>
      </c>
      <c r="C398" s="34">
        <v>45719</v>
      </c>
      <c r="D398" s="34">
        <v>45719</v>
      </c>
      <c r="E398" s="33" t="s">
        <v>557</v>
      </c>
      <c r="F398" s="35">
        <v>246779410507</v>
      </c>
      <c r="G398" s="33" t="s">
        <v>559</v>
      </c>
      <c r="H398" s="36">
        <v>2.35</v>
      </c>
      <c r="I398" s="37" t="s">
        <v>560</v>
      </c>
      <c r="J398" s="38">
        <v>203.72</v>
      </c>
      <c r="K398" s="33" t="s">
        <v>561</v>
      </c>
      <c r="L398" s="33" t="s">
        <v>557</v>
      </c>
      <c r="M398" s="54" cm="1">
        <f t="array" ref="M398:N398">_xlfn.XLOOKUP(F398,'Customer Data Vlookup'!$L:$L,'Customer Data Vlookup'!$M:$N,,0)</f>
        <v>0</v>
      </c>
      <c r="N398" s="54">
        <v>402</v>
      </c>
      <c r="O398" s="54">
        <f t="shared" si="18"/>
        <v>402</v>
      </c>
      <c r="P398" s="54">
        <f t="shared" si="19"/>
        <v>-198.28</v>
      </c>
      <c r="Q398" s="56">
        <f t="shared" si="20"/>
        <v>-0.97329668172000783</v>
      </c>
      <c r="R398" s="33" t="s">
        <v>928</v>
      </c>
      <c r="S398" s="34"/>
      <c r="T398" s="33" t="s">
        <v>558</v>
      </c>
    </row>
    <row r="399" spans="1:20" x14ac:dyDescent="0.35">
      <c r="A399" s="32">
        <v>1800000558</v>
      </c>
      <c r="B399" s="33" t="s">
        <v>563</v>
      </c>
      <c r="C399" s="34">
        <v>45719</v>
      </c>
      <c r="D399" s="34">
        <v>45719</v>
      </c>
      <c r="E399" s="33" t="s">
        <v>557</v>
      </c>
      <c r="F399" s="35">
        <v>246779410508</v>
      </c>
      <c r="G399" s="33" t="s">
        <v>559</v>
      </c>
      <c r="H399" s="36">
        <v>2.35</v>
      </c>
      <c r="I399" s="37" t="s">
        <v>560</v>
      </c>
      <c r="J399" s="38">
        <v>203.72</v>
      </c>
      <c r="K399" s="33" t="s">
        <v>561</v>
      </c>
      <c r="L399" s="33" t="s">
        <v>557</v>
      </c>
      <c r="M399" s="54" cm="1">
        <f t="array" ref="M399:N399">_xlfn.XLOOKUP(F399,'Customer Data Vlookup'!$L:$L,'Customer Data Vlookup'!$M:$N,,0)</f>
        <v>0</v>
      </c>
      <c r="N399" s="54">
        <v>201</v>
      </c>
      <c r="O399" s="54">
        <f t="shared" si="18"/>
        <v>201</v>
      </c>
      <c r="P399" s="54">
        <f t="shared" si="19"/>
        <v>2.7199999999999989</v>
      </c>
      <c r="Q399" s="56">
        <f t="shared" si="20"/>
        <v>1.3351659139996067E-2</v>
      </c>
      <c r="R399" s="33" t="s">
        <v>928</v>
      </c>
      <c r="S399" s="34"/>
      <c r="T399" s="33" t="s">
        <v>558</v>
      </c>
    </row>
    <row r="400" spans="1:20" x14ac:dyDescent="0.35">
      <c r="A400" s="32">
        <v>1800000670</v>
      </c>
      <c r="B400" s="33" t="s">
        <v>563</v>
      </c>
      <c r="C400" s="34">
        <v>45719</v>
      </c>
      <c r="D400" s="34">
        <v>45720</v>
      </c>
      <c r="E400" s="33" t="s">
        <v>557</v>
      </c>
      <c r="F400" s="35">
        <v>246779410610</v>
      </c>
      <c r="G400" s="33" t="s">
        <v>559</v>
      </c>
      <c r="H400" s="36">
        <v>2.35</v>
      </c>
      <c r="I400" s="37" t="s">
        <v>560</v>
      </c>
      <c r="J400" s="38">
        <v>203.72</v>
      </c>
      <c r="K400" s="33" t="s">
        <v>561</v>
      </c>
      <c r="L400" s="33" t="s">
        <v>557</v>
      </c>
      <c r="M400" s="54" cm="1">
        <f t="array" ref="M400:N400">_xlfn.XLOOKUP(F400,'Customer Data Vlookup'!$L:$L,'Customer Data Vlookup'!$M:$N,,0)</f>
        <v>0</v>
      </c>
      <c r="N400" s="54">
        <v>201</v>
      </c>
      <c r="O400" s="54">
        <f t="shared" si="18"/>
        <v>201</v>
      </c>
      <c r="P400" s="54">
        <f t="shared" si="19"/>
        <v>2.7199999999999989</v>
      </c>
      <c r="Q400" s="56">
        <f t="shared" si="20"/>
        <v>1.3351659139996067E-2</v>
      </c>
      <c r="R400" s="33" t="s">
        <v>906</v>
      </c>
      <c r="S400" s="34"/>
      <c r="T400" s="33" t="s">
        <v>558</v>
      </c>
    </row>
    <row r="401" spans="1:21" x14ac:dyDescent="0.35">
      <c r="A401" s="32">
        <v>1800011263</v>
      </c>
      <c r="B401" s="33" t="s">
        <v>563</v>
      </c>
      <c r="C401" s="34">
        <v>45863</v>
      </c>
      <c r="D401" s="34">
        <v>45863</v>
      </c>
      <c r="E401" s="33" t="s">
        <v>557</v>
      </c>
      <c r="F401" s="35">
        <v>256779415995</v>
      </c>
      <c r="G401" s="33" t="s">
        <v>559</v>
      </c>
      <c r="H401" s="36">
        <v>2.34</v>
      </c>
      <c r="I401" s="37" t="s">
        <v>560</v>
      </c>
      <c r="J401" s="38">
        <v>201.24</v>
      </c>
      <c r="K401" s="33" t="s">
        <v>561</v>
      </c>
      <c r="L401" s="33" t="s">
        <v>557</v>
      </c>
      <c r="M401" s="54" cm="1">
        <f t="array" ref="M401:N401">_xlfn.XLOOKUP(F401,'Customer Data Vlookup'!$L:$L,'Customer Data Vlookup'!$M:$N,,0)</f>
        <v>0</v>
      </c>
      <c r="N401" s="54">
        <v>196</v>
      </c>
      <c r="O401" s="54">
        <f t="shared" si="18"/>
        <v>196</v>
      </c>
      <c r="P401" s="54">
        <f t="shared" si="19"/>
        <v>5.2400000000000091</v>
      </c>
      <c r="Q401" s="56">
        <f t="shared" si="20"/>
        <v>2.6038560922281895E-2</v>
      </c>
      <c r="R401" s="33" t="s">
        <v>791</v>
      </c>
      <c r="S401" s="34"/>
      <c r="T401" s="33" t="s">
        <v>558</v>
      </c>
    </row>
    <row r="402" spans="1:21" x14ac:dyDescent="0.35">
      <c r="A402" s="32">
        <v>1800010503</v>
      </c>
      <c r="B402" s="33" t="s">
        <v>563</v>
      </c>
      <c r="C402" s="34">
        <v>45842</v>
      </c>
      <c r="D402" s="34">
        <v>45847</v>
      </c>
      <c r="E402" s="33" t="s">
        <v>557</v>
      </c>
      <c r="F402" s="35">
        <v>256779415263</v>
      </c>
      <c r="G402" s="33" t="s">
        <v>559</v>
      </c>
      <c r="H402" s="36">
        <v>2.34</v>
      </c>
      <c r="I402" s="37" t="s">
        <v>560</v>
      </c>
      <c r="J402" s="38">
        <v>201.24</v>
      </c>
      <c r="K402" s="33" t="s">
        <v>561</v>
      </c>
      <c r="L402" s="33" t="s">
        <v>558</v>
      </c>
      <c r="M402" s="54" cm="1">
        <f t="array" ref="M402:N402">_xlfn.XLOOKUP(F402,'Customer Data Vlookup'!$L:$L,'Customer Data Vlookup'!$M:$N,,0)</f>
        <v>0</v>
      </c>
      <c r="N402" s="54">
        <v>201.24160000000001</v>
      </c>
      <c r="O402" s="54">
        <f t="shared" si="18"/>
        <v>201.24160000000001</v>
      </c>
      <c r="P402" s="54">
        <f t="shared" si="19"/>
        <v>-1.5999999999962711E-3</v>
      </c>
      <c r="Q402" s="56">
        <f t="shared" si="20"/>
        <v>-7.9507056251056991E-6</v>
      </c>
      <c r="R402" s="33" t="s">
        <v>812</v>
      </c>
      <c r="S402" s="34"/>
      <c r="T402" s="33" t="s">
        <v>558</v>
      </c>
    </row>
    <row r="403" spans="1:21" hidden="1" x14ac:dyDescent="0.35">
      <c r="A403" s="32">
        <v>1400000245</v>
      </c>
      <c r="B403" s="33" t="s">
        <v>888</v>
      </c>
      <c r="C403" s="34">
        <v>45842</v>
      </c>
      <c r="D403" s="34">
        <v>45842</v>
      </c>
      <c r="E403" s="33" t="s">
        <v>557</v>
      </c>
      <c r="F403" s="35" t="s">
        <v>904</v>
      </c>
      <c r="G403" s="33" t="s">
        <v>559</v>
      </c>
      <c r="H403" s="36">
        <v>0</v>
      </c>
      <c r="I403" s="37" t="s">
        <v>560</v>
      </c>
      <c r="J403" s="38">
        <v>0</v>
      </c>
      <c r="K403" s="33" t="s">
        <v>561</v>
      </c>
      <c r="L403" s="33" t="s">
        <v>558</v>
      </c>
      <c r="M403" s="54" t="e" cm="1">
        <f t="array" ref="M403">_xlfn.XLOOKUP(F403,'Customer Data Vlookup'!$L:$L,'Customer Data Vlookup'!$M:$N,,0)</f>
        <v>#N/A</v>
      </c>
      <c r="N403" s="54"/>
      <c r="O403" s="53" t="e">
        <f t="shared" si="18"/>
        <v>#N/A</v>
      </c>
      <c r="P403" s="53" t="e">
        <f t="shared" si="19"/>
        <v>#N/A</v>
      </c>
      <c r="Q403" s="33" t="e">
        <f t="shared" si="20"/>
        <v>#N/A</v>
      </c>
      <c r="R403" s="33" t="s">
        <v>558</v>
      </c>
      <c r="S403" s="34">
        <v>45842</v>
      </c>
      <c r="T403" s="32">
        <v>1400000245</v>
      </c>
      <c r="U403" t="s">
        <v>954</v>
      </c>
    </row>
    <row r="404" spans="1:21" hidden="1" x14ac:dyDescent="0.35">
      <c r="A404" s="32">
        <v>1400000248</v>
      </c>
      <c r="B404" s="33" t="s">
        <v>888</v>
      </c>
      <c r="C404" s="34">
        <v>45842</v>
      </c>
      <c r="D404" s="34">
        <v>45842</v>
      </c>
      <c r="E404" s="33" t="s">
        <v>557</v>
      </c>
      <c r="F404" s="35" t="s">
        <v>904</v>
      </c>
      <c r="G404" s="33" t="s">
        <v>559</v>
      </c>
      <c r="H404" s="36">
        <v>0</v>
      </c>
      <c r="I404" s="37" t="s">
        <v>560</v>
      </c>
      <c r="J404" s="38">
        <v>0</v>
      </c>
      <c r="K404" s="33" t="s">
        <v>561</v>
      </c>
      <c r="L404" s="33" t="s">
        <v>558</v>
      </c>
      <c r="M404" s="54" t="e" cm="1">
        <f t="array" ref="M404">_xlfn.XLOOKUP(F404,'Customer Data Vlookup'!$L:$L,'Customer Data Vlookup'!$M:$N,,0)</f>
        <v>#N/A</v>
      </c>
      <c r="N404" s="54"/>
      <c r="O404" s="53" t="e">
        <f t="shared" si="18"/>
        <v>#N/A</v>
      </c>
      <c r="P404" s="53" t="e">
        <f t="shared" si="19"/>
        <v>#N/A</v>
      </c>
      <c r="Q404" s="33" t="e">
        <f t="shared" si="20"/>
        <v>#N/A</v>
      </c>
      <c r="R404" s="33" t="s">
        <v>558</v>
      </c>
      <c r="S404" s="34">
        <v>45842</v>
      </c>
      <c r="T404" s="32">
        <v>1400000248</v>
      </c>
      <c r="U404" t="s">
        <v>954</v>
      </c>
    </row>
    <row r="405" spans="1:21" hidden="1" x14ac:dyDescent="0.35">
      <c r="A405" s="32">
        <v>1600002697</v>
      </c>
      <c r="B405" s="33" t="s">
        <v>556</v>
      </c>
      <c r="C405" s="34">
        <v>46027</v>
      </c>
      <c r="D405" s="34">
        <v>46027</v>
      </c>
      <c r="E405" s="33" t="s">
        <v>557</v>
      </c>
      <c r="F405" s="35">
        <v>256779422167</v>
      </c>
      <c r="G405" s="33" t="s">
        <v>559</v>
      </c>
      <c r="H405" s="36">
        <v>-3.4</v>
      </c>
      <c r="I405" s="37" t="s">
        <v>560</v>
      </c>
      <c r="J405" s="38">
        <v>-308.52999999999997</v>
      </c>
      <c r="K405" s="33" t="s">
        <v>561</v>
      </c>
      <c r="L405" s="33" t="s">
        <v>716</v>
      </c>
      <c r="M405" s="54" t="e" cm="1">
        <f t="array" ref="M405">_xlfn.XLOOKUP(F405,'Customer Data Vlookup'!$L:$L,'Customer Data Vlookup'!$M:$N,,0)</f>
        <v>#N/A</v>
      </c>
      <c r="N405" s="54"/>
      <c r="O405" s="53" t="e">
        <f t="shared" si="18"/>
        <v>#N/A</v>
      </c>
      <c r="P405" s="53" t="e">
        <f t="shared" si="19"/>
        <v>#N/A</v>
      </c>
      <c r="Q405" s="33" t="e">
        <f t="shared" si="20"/>
        <v>#N/A</v>
      </c>
      <c r="R405" s="33" t="s">
        <v>717</v>
      </c>
      <c r="S405" s="34"/>
      <c r="T405" s="33" t="s">
        <v>558</v>
      </c>
    </row>
    <row r="406" spans="1:21" hidden="1" x14ac:dyDescent="0.35">
      <c r="A406" s="32">
        <v>1600000595</v>
      </c>
      <c r="B406" s="33" t="s">
        <v>556</v>
      </c>
      <c r="C406" s="34">
        <v>45791</v>
      </c>
      <c r="D406" s="34">
        <v>45793</v>
      </c>
      <c r="E406" s="33" t="s">
        <v>557</v>
      </c>
      <c r="F406" s="35">
        <v>256779420304</v>
      </c>
      <c r="G406" s="33" t="s">
        <v>559</v>
      </c>
      <c r="H406" s="36">
        <v>-14.31</v>
      </c>
      <c r="I406" s="37" t="s">
        <v>560</v>
      </c>
      <c r="J406" s="38">
        <v>-1240.55</v>
      </c>
      <c r="K406" s="33" t="s">
        <v>561</v>
      </c>
      <c r="L406" s="33" t="s">
        <v>557</v>
      </c>
      <c r="M406" s="54" t="e" cm="1">
        <f t="array" ref="M406">_xlfn.XLOOKUP(F406,'Customer Data Vlookup'!$L:$L,'Customer Data Vlookup'!$M:$N,,0)</f>
        <v>#N/A</v>
      </c>
      <c r="N406" s="54"/>
      <c r="O406" s="53" t="e">
        <f t="shared" si="18"/>
        <v>#N/A</v>
      </c>
      <c r="P406" s="53" t="e">
        <f t="shared" si="19"/>
        <v>#N/A</v>
      </c>
      <c r="Q406" s="33" t="e">
        <f t="shared" si="20"/>
        <v>#N/A</v>
      </c>
      <c r="R406" s="33" t="s">
        <v>845</v>
      </c>
      <c r="S406" s="34">
        <v>45842</v>
      </c>
      <c r="T406" s="32">
        <v>1400000245</v>
      </c>
      <c r="U406" t="s">
        <v>954</v>
      </c>
    </row>
    <row r="407" spans="1:21" hidden="1" x14ac:dyDescent="0.35">
      <c r="A407" s="32">
        <v>1600001749</v>
      </c>
      <c r="B407" s="33" t="s">
        <v>556</v>
      </c>
      <c r="C407" s="34">
        <v>45854</v>
      </c>
      <c r="D407" s="34">
        <v>45855</v>
      </c>
      <c r="E407" s="33" t="s">
        <v>557</v>
      </c>
      <c r="F407" s="35">
        <v>256779421381</v>
      </c>
      <c r="G407" s="33" t="s">
        <v>559</v>
      </c>
      <c r="H407" s="36">
        <v>-55.46</v>
      </c>
      <c r="I407" s="37" t="s">
        <v>560</v>
      </c>
      <c r="J407" s="38">
        <v>-4786.3999999999996</v>
      </c>
      <c r="K407" s="33" t="s">
        <v>561</v>
      </c>
      <c r="L407" s="33" t="s">
        <v>557</v>
      </c>
      <c r="M407" s="54" t="e" cm="1">
        <f t="array" ref="M407">_xlfn.XLOOKUP(F407,'Customer Data Vlookup'!$L:$L,'Customer Data Vlookup'!$M:$N,,0)</f>
        <v>#N/A</v>
      </c>
      <c r="N407" s="54"/>
      <c r="O407" s="54" t="e">
        <f>N407-M407</f>
        <v>#N/A</v>
      </c>
      <c r="P407" s="54" t="e">
        <f t="shared" si="19"/>
        <v>#N/A</v>
      </c>
      <c r="Q407" s="56" t="e">
        <f t="shared" si="20"/>
        <v>#N/A</v>
      </c>
      <c r="R407" s="33" t="s">
        <v>592</v>
      </c>
      <c r="S407" s="34">
        <v>45976</v>
      </c>
      <c r="T407" s="32">
        <v>1400001902</v>
      </c>
      <c r="U407" t="s">
        <v>954</v>
      </c>
    </row>
    <row r="408" spans="1:21" hidden="1" x14ac:dyDescent="0.35">
      <c r="A408" s="32">
        <v>1400001902</v>
      </c>
      <c r="B408" s="33" t="s">
        <v>888</v>
      </c>
      <c r="C408" s="34">
        <v>45976</v>
      </c>
      <c r="D408" s="34">
        <v>45976</v>
      </c>
      <c r="E408" s="33" t="s">
        <v>557</v>
      </c>
      <c r="F408" s="35" t="s">
        <v>904</v>
      </c>
      <c r="G408" s="33" t="s">
        <v>559</v>
      </c>
      <c r="H408" s="36">
        <v>-55.46</v>
      </c>
      <c r="I408" s="37" t="s">
        <v>560</v>
      </c>
      <c r="J408" s="38">
        <v>-4880.67</v>
      </c>
      <c r="K408" s="33" t="s">
        <v>561</v>
      </c>
      <c r="L408" s="33" t="s">
        <v>557</v>
      </c>
      <c r="M408" s="54" t="e" cm="1">
        <f t="array" ref="M408">_xlfn.XLOOKUP(F408,'Customer Data Vlookup'!$L:$L,'Customer Data Vlookup'!$M:$N,,0)</f>
        <v>#N/A</v>
      </c>
      <c r="N408" s="54"/>
      <c r="O408" s="53" t="e">
        <f t="shared" si="18"/>
        <v>#N/A</v>
      </c>
      <c r="P408" s="53" t="e">
        <f t="shared" si="19"/>
        <v>#N/A</v>
      </c>
      <c r="Q408" s="33" t="e">
        <f t="shared" si="20"/>
        <v>#N/A</v>
      </c>
      <c r="R408" s="33" t="s">
        <v>558</v>
      </c>
      <c r="S408" s="34"/>
      <c r="T408" s="33" t="s">
        <v>558</v>
      </c>
    </row>
    <row r="409" spans="1:21" hidden="1" x14ac:dyDescent="0.35">
      <c r="A409" s="32">
        <v>1600001744</v>
      </c>
      <c r="B409" s="33" t="s">
        <v>556</v>
      </c>
      <c r="C409" s="34">
        <v>45854</v>
      </c>
      <c r="D409" s="34">
        <v>45854</v>
      </c>
      <c r="E409" s="33" t="s">
        <v>557</v>
      </c>
      <c r="F409" s="35">
        <v>256779421376</v>
      </c>
      <c r="G409" s="33" t="s">
        <v>559</v>
      </c>
      <c r="H409" s="36">
        <v>-70</v>
      </c>
      <c r="I409" s="37" t="s">
        <v>560</v>
      </c>
      <c r="J409" s="38">
        <v>-6084.53</v>
      </c>
      <c r="K409" s="33" t="s">
        <v>561</v>
      </c>
      <c r="L409" s="33" t="s">
        <v>557</v>
      </c>
      <c r="M409" s="54" t="e" cm="1">
        <f t="array" ref="M409">_xlfn.XLOOKUP(F409,'Customer Data Vlookup'!$L:$L,'Customer Data Vlookup'!$M:$N,,0)</f>
        <v>#N/A</v>
      </c>
      <c r="N409" s="54"/>
      <c r="O409" s="54" t="e">
        <f t="shared" si="18"/>
        <v>#N/A</v>
      </c>
      <c r="P409" s="54" t="e">
        <f t="shared" si="19"/>
        <v>#N/A</v>
      </c>
      <c r="Q409" s="56" t="e">
        <f t="shared" si="20"/>
        <v>#N/A</v>
      </c>
      <c r="R409" s="33" t="s">
        <v>587</v>
      </c>
      <c r="S409" s="34">
        <v>45976</v>
      </c>
      <c r="T409" s="32">
        <v>1400001901</v>
      </c>
      <c r="U409" t="s">
        <v>954</v>
      </c>
    </row>
    <row r="410" spans="1:21" hidden="1" x14ac:dyDescent="0.35">
      <c r="A410" s="32">
        <v>1600001741</v>
      </c>
      <c r="B410" s="33" t="s">
        <v>556</v>
      </c>
      <c r="C410" s="34">
        <v>45854</v>
      </c>
      <c r="D410" s="34">
        <v>45854</v>
      </c>
      <c r="E410" s="33" t="s">
        <v>557</v>
      </c>
      <c r="F410" s="35">
        <v>256779421373</v>
      </c>
      <c r="G410" s="33" t="s">
        <v>559</v>
      </c>
      <c r="H410" s="36">
        <v>-105</v>
      </c>
      <c r="I410" s="37" t="s">
        <v>560</v>
      </c>
      <c r="J410" s="38">
        <v>-9102.58</v>
      </c>
      <c r="K410" s="33" t="s">
        <v>561</v>
      </c>
      <c r="L410" s="33" t="s">
        <v>557</v>
      </c>
      <c r="M410" s="54" t="e" cm="1">
        <f t="array" ref="M410">_xlfn.XLOOKUP(F410,'Customer Data Vlookup'!$L:$L,'Customer Data Vlookup'!$M:$N,,0)</f>
        <v>#N/A</v>
      </c>
      <c r="N410" s="54"/>
      <c r="O410" s="54" t="e">
        <f t="shared" si="18"/>
        <v>#N/A</v>
      </c>
      <c r="P410" s="54" t="e">
        <f>J410-O410</f>
        <v>#N/A</v>
      </c>
      <c r="Q410" s="56" t="e">
        <f t="shared" si="20"/>
        <v>#N/A</v>
      </c>
      <c r="R410" s="33" t="s">
        <v>584</v>
      </c>
      <c r="S410" s="34">
        <v>45976</v>
      </c>
      <c r="T410" s="32">
        <v>1400001901</v>
      </c>
      <c r="U410" t="s">
        <v>954</v>
      </c>
    </row>
    <row r="411" spans="1:21" hidden="1" x14ac:dyDescent="0.35">
      <c r="A411" s="32">
        <v>1600001822</v>
      </c>
      <c r="B411" s="33" t="s">
        <v>556</v>
      </c>
      <c r="C411" s="34">
        <v>45862</v>
      </c>
      <c r="D411" s="34">
        <v>45862</v>
      </c>
      <c r="E411" s="33" t="s">
        <v>557</v>
      </c>
      <c r="F411" s="35">
        <v>256779421442</v>
      </c>
      <c r="G411" s="33" t="s">
        <v>559</v>
      </c>
      <c r="H411" s="36">
        <v>-111.15</v>
      </c>
      <c r="I411" s="37" t="s">
        <v>560</v>
      </c>
      <c r="J411" s="38">
        <v>-9557.09</v>
      </c>
      <c r="K411" s="33" t="s">
        <v>561</v>
      </c>
      <c r="L411" s="33" t="s">
        <v>557</v>
      </c>
      <c r="M411" s="54" t="e" cm="1">
        <f t="array" ref="M411">_xlfn.XLOOKUP(F411,'Customer Data Vlookup'!$L:$L,'Customer Data Vlookup'!$M:$N,,0)</f>
        <v>#N/A</v>
      </c>
      <c r="N411" s="54"/>
      <c r="O411" s="53" t="e">
        <f t="shared" si="18"/>
        <v>#N/A</v>
      </c>
      <c r="P411" s="53" t="e">
        <f t="shared" si="19"/>
        <v>#N/A</v>
      </c>
      <c r="Q411" s="33" t="e">
        <f t="shared" si="20"/>
        <v>#N/A</v>
      </c>
      <c r="R411" s="33" t="s">
        <v>622</v>
      </c>
      <c r="S411" s="34">
        <v>45976</v>
      </c>
      <c r="T411" s="32">
        <v>1400001901</v>
      </c>
      <c r="U411" t="s">
        <v>954</v>
      </c>
    </row>
    <row r="412" spans="1:21" hidden="1" x14ac:dyDescent="0.35">
      <c r="A412" s="32">
        <v>1600001752</v>
      </c>
      <c r="B412" s="33" t="s">
        <v>556</v>
      </c>
      <c r="C412" s="34">
        <v>45854</v>
      </c>
      <c r="D412" s="34">
        <v>45855</v>
      </c>
      <c r="E412" s="33" t="s">
        <v>557</v>
      </c>
      <c r="F412" s="35">
        <v>256779421384</v>
      </c>
      <c r="G412" s="33" t="s">
        <v>559</v>
      </c>
      <c r="H412" s="36">
        <v>-137.9</v>
      </c>
      <c r="I412" s="37" t="s">
        <v>560</v>
      </c>
      <c r="J412" s="38">
        <v>-11954.72</v>
      </c>
      <c r="K412" s="33" t="s">
        <v>561</v>
      </c>
      <c r="L412" s="33" t="s">
        <v>557</v>
      </c>
      <c r="M412" s="54" t="e" cm="1">
        <f t="array" ref="M412">_xlfn.XLOOKUP(F412,'Customer Data Vlookup'!$L:$L,'Customer Data Vlookup'!$M:$N,,0)</f>
        <v>#N/A</v>
      </c>
      <c r="N412" s="54"/>
      <c r="O412" s="53" t="e">
        <f t="shared" si="18"/>
        <v>#N/A</v>
      </c>
      <c r="P412" s="53" t="e">
        <f t="shared" si="19"/>
        <v>#N/A</v>
      </c>
      <c r="Q412" s="33" t="e">
        <f t="shared" si="20"/>
        <v>#N/A</v>
      </c>
      <c r="R412" s="33" t="s">
        <v>595</v>
      </c>
      <c r="S412" s="34">
        <v>45976</v>
      </c>
      <c r="T412" s="32">
        <v>1400001902</v>
      </c>
      <c r="U412" t="s">
        <v>954</v>
      </c>
    </row>
    <row r="413" spans="1:21" hidden="1" x14ac:dyDescent="0.35">
      <c r="A413" s="32">
        <v>1600001745</v>
      </c>
      <c r="B413" s="33" t="s">
        <v>556</v>
      </c>
      <c r="C413" s="34">
        <v>45854</v>
      </c>
      <c r="D413" s="34">
        <v>45854</v>
      </c>
      <c r="E413" s="33" t="s">
        <v>557</v>
      </c>
      <c r="F413" s="35">
        <v>256779421377</v>
      </c>
      <c r="G413" s="33" t="s">
        <v>559</v>
      </c>
      <c r="H413" s="36">
        <v>-140</v>
      </c>
      <c r="I413" s="37" t="s">
        <v>560</v>
      </c>
      <c r="J413" s="38">
        <v>-12037.72</v>
      </c>
      <c r="K413" s="33" t="s">
        <v>561</v>
      </c>
      <c r="L413" s="33" t="s">
        <v>557</v>
      </c>
      <c r="M413" s="54" t="e" cm="1">
        <f t="array" ref="M413">_xlfn.XLOOKUP(F413,'Customer Data Vlookup'!$L:$L,'Customer Data Vlookup'!$M:$N,,0)</f>
        <v>#N/A</v>
      </c>
      <c r="N413" s="54"/>
      <c r="O413" s="53" t="e">
        <f t="shared" si="18"/>
        <v>#N/A</v>
      </c>
      <c r="P413" s="53" t="e">
        <f t="shared" si="19"/>
        <v>#N/A</v>
      </c>
      <c r="Q413" s="33" t="e">
        <f t="shared" si="20"/>
        <v>#N/A</v>
      </c>
      <c r="R413" s="33" t="s">
        <v>588</v>
      </c>
      <c r="S413" s="34">
        <v>45976</v>
      </c>
      <c r="T413" s="32">
        <v>1400001901</v>
      </c>
      <c r="U413" t="s">
        <v>954</v>
      </c>
    </row>
    <row r="414" spans="1:21" hidden="1" x14ac:dyDescent="0.35">
      <c r="A414" s="32">
        <v>1600001746</v>
      </c>
      <c r="B414" s="33" t="s">
        <v>556</v>
      </c>
      <c r="C414" s="34">
        <v>45854</v>
      </c>
      <c r="D414" s="34">
        <v>45854</v>
      </c>
      <c r="E414" s="33" t="s">
        <v>557</v>
      </c>
      <c r="F414" s="35">
        <v>256779421378</v>
      </c>
      <c r="G414" s="33" t="s">
        <v>559</v>
      </c>
      <c r="H414" s="36">
        <v>-140</v>
      </c>
      <c r="I414" s="37" t="s">
        <v>560</v>
      </c>
      <c r="J414" s="38">
        <v>-12037.72</v>
      </c>
      <c r="K414" s="33" t="s">
        <v>561</v>
      </c>
      <c r="L414" s="33" t="s">
        <v>557</v>
      </c>
      <c r="M414" s="54" t="e" cm="1">
        <f t="array" ref="M414">_xlfn.XLOOKUP(F414,'Customer Data Vlookup'!$L:$L,'Customer Data Vlookup'!$M:$N,,0)</f>
        <v>#N/A</v>
      </c>
      <c r="N414" s="54"/>
      <c r="O414" s="53" t="e">
        <f t="shared" si="18"/>
        <v>#N/A</v>
      </c>
      <c r="P414" s="53" t="e">
        <f t="shared" si="19"/>
        <v>#N/A</v>
      </c>
      <c r="Q414" s="33" t="e">
        <f t="shared" si="20"/>
        <v>#N/A</v>
      </c>
      <c r="R414" s="33" t="s">
        <v>589</v>
      </c>
      <c r="S414" s="34">
        <v>45976</v>
      </c>
      <c r="T414" s="32">
        <v>1400001901</v>
      </c>
      <c r="U414" t="s">
        <v>954</v>
      </c>
    </row>
    <row r="415" spans="1:21" hidden="1" x14ac:dyDescent="0.35">
      <c r="A415" s="32">
        <v>1600001816</v>
      </c>
      <c r="B415" s="33" t="s">
        <v>556</v>
      </c>
      <c r="C415" s="34">
        <v>45862</v>
      </c>
      <c r="D415" s="34">
        <v>45862</v>
      </c>
      <c r="E415" s="33" t="s">
        <v>557</v>
      </c>
      <c r="F415" s="35">
        <v>256779421436</v>
      </c>
      <c r="G415" s="33" t="s">
        <v>559</v>
      </c>
      <c r="H415" s="36">
        <v>-140</v>
      </c>
      <c r="I415" s="37" t="s">
        <v>560</v>
      </c>
      <c r="J415" s="38">
        <v>-12037.72</v>
      </c>
      <c r="K415" s="33" t="s">
        <v>561</v>
      </c>
      <c r="L415" s="33" t="s">
        <v>557</v>
      </c>
      <c r="M415" s="54" t="e" cm="1">
        <f t="array" ref="M415">_xlfn.XLOOKUP(F415,'Customer Data Vlookup'!$L:$L,'Customer Data Vlookup'!$M:$N,,0)</f>
        <v>#N/A</v>
      </c>
      <c r="N415" s="54"/>
      <c r="O415" s="53" t="e">
        <f t="shared" si="18"/>
        <v>#N/A</v>
      </c>
      <c r="P415" s="53" t="e">
        <f t="shared" si="19"/>
        <v>#N/A</v>
      </c>
      <c r="Q415" s="33" t="e">
        <f t="shared" si="20"/>
        <v>#N/A</v>
      </c>
      <c r="R415" s="33" t="s">
        <v>618</v>
      </c>
      <c r="S415" s="34"/>
      <c r="T415" s="33" t="s">
        <v>558</v>
      </c>
    </row>
    <row r="416" spans="1:21" hidden="1" x14ac:dyDescent="0.35">
      <c r="A416" s="32">
        <v>1400001902</v>
      </c>
      <c r="B416" s="33" t="s">
        <v>888</v>
      </c>
      <c r="C416" s="34">
        <v>45976</v>
      </c>
      <c r="D416" s="34">
        <v>45976</v>
      </c>
      <c r="E416" s="33" t="s">
        <v>557</v>
      </c>
      <c r="F416" s="35" t="s">
        <v>904</v>
      </c>
      <c r="G416" s="33" t="s">
        <v>559</v>
      </c>
      <c r="H416" s="36">
        <v>-137.9</v>
      </c>
      <c r="I416" s="37" t="s">
        <v>560</v>
      </c>
      <c r="J416" s="38">
        <v>-12135.67</v>
      </c>
      <c r="K416" s="33" t="s">
        <v>561</v>
      </c>
      <c r="L416" s="33" t="s">
        <v>557</v>
      </c>
      <c r="M416" s="54" t="e" cm="1">
        <f t="array" ref="M416">_xlfn.XLOOKUP(F416,'Customer Data Vlookup'!$L:$L,'Customer Data Vlookup'!$M:$N,,0)</f>
        <v>#N/A</v>
      </c>
      <c r="N416" s="54"/>
      <c r="O416" s="53" t="e">
        <f t="shared" si="18"/>
        <v>#N/A</v>
      </c>
      <c r="P416" s="53" t="e">
        <f t="shared" si="19"/>
        <v>#N/A</v>
      </c>
      <c r="Q416" s="33" t="e">
        <f t="shared" si="20"/>
        <v>#N/A</v>
      </c>
      <c r="R416" s="33" t="s">
        <v>558</v>
      </c>
      <c r="S416" s="34"/>
      <c r="T416" s="33" t="s">
        <v>558</v>
      </c>
    </row>
    <row r="417" spans="1:21" hidden="1" x14ac:dyDescent="0.35">
      <c r="A417" s="32">
        <v>1600001738</v>
      </c>
      <c r="B417" s="33" t="s">
        <v>556</v>
      </c>
      <c r="C417" s="34">
        <v>45854</v>
      </c>
      <c r="D417" s="34">
        <v>45854</v>
      </c>
      <c r="E417" s="33" t="s">
        <v>557</v>
      </c>
      <c r="F417" s="35">
        <v>256779421370</v>
      </c>
      <c r="G417" s="33" t="s">
        <v>559</v>
      </c>
      <c r="H417" s="36">
        <v>-140</v>
      </c>
      <c r="I417" s="37" t="s">
        <v>560</v>
      </c>
      <c r="J417" s="38">
        <v>-12169.05</v>
      </c>
      <c r="K417" s="33" t="s">
        <v>561</v>
      </c>
      <c r="L417" s="33" t="s">
        <v>557</v>
      </c>
      <c r="M417" s="54" t="e" cm="1">
        <f t="array" ref="M417">_xlfn.XLOOKUP(F417,'Customer Data Vlookup'!$L:$L,'Customer Data Vlookup'!$M:$N,,0)</f>
        <v>#N/A</v>
      </c>
      <c r="N417" s="54"/>
      <c r="O417" s="54" t="e">
        <f t="shared" si="18"/>
        <v>#N/A</v>
      </c>
      <c r="P417" s="54" t="e">
        <f t="shared" si="19"/>
        <v>#N/A</v>
      </c>
      <c r="Q417" s="56" t="e">
        <f t="shared" si="20"/>
        <v>#N/A</v>
      </c>
      <c r="R417" s="33" t="s">
        <v>582</v>
      </c>
      <c r="S417" s="34">
        <v>45976</v>
      </c>
      <c r="T417" s="32">
        <v>1400001901</v>
      </c>
      <c r="U417" t="s">
        <v>954</v>
      </c>
    </row>
    <row r="418" spans="1:21" hidden="1" x14ac:dyDescent="0.35">
      <c r="A418" s="32">
        <v>1600001751</v>
      </c>
      <c r="B418" s="33" t="s">
        <v>556</v>
      </c>
      <c r="C418" s="34">
        <v>45854</v>
      </c>
      <c r="D418" s="34">
        <v>45855</v>
      </c>
      <c r="E418" s="33" t="s">
        <v>557</v>
      </c>
      <c r="F418" s="35">
        <v>256779421383</v>
      </c>
      <c r="G418" s="33" t="s">
        <v>559</v>
      </c>
      <c r="H418" s="36">
        <v>-143.81</v>
      </c>
      <c r="I418" s="37" t="s">
        <v>560</v>
      </c>
      <c r="J418" s="38">
        <v>-12467.07</v>
      </c>
      <c r="K418" s="33" t="s">
        <v>561</v>
      </c>
      <c r="L418" s="33" t="s">
        <v>557</v>
      </c>
      <c r="M418" s="54" t="e" cm="1">
        <f t="array" ref="M418">_xlfn.XLOOKUP(F418,'Customer Data Vlookup'!$L:$L,'Customer Data Vlookup'!$M:$N,,0)</f>
        <v>#N/A</v>
      </c>
      <c r="N418" s="54"/>
      <c r="O418" s="54" t="e">
        <f t="shared" si="18"/>
        <v>#N/A</v>
      </c>
      <c r="P418" s="54" t="e">
        <f t="shared" si="19"/>
        <v>#N/A</v>
      </c>
      <c r="Q418" s="56" t="e">
        <f t="shared" si="20"/>
        <v>#N/A</v>
      </c>
      <c r="R418" s="33" t="s">
        <v>594</v>
      </c>
      <c r="S418" s="34">
        <v>45976</v>
      </c>
      <c r="T418" s="32">
        <v>1400001902</v>
      </c>
      <c r="U418" t="s">
        <v>954</v>
      </c>
    </row>
    <row r="419" spans="1:21" hidden="1" x14ac:dyDescent="0.35">
      <c r="A419" s="32">
        <v>1400001902</v>
      </c>
      <c r="B419" s="33" t="s">
        <v>888</v>
      </c>
      <c r="C419" s="34">
        <v>45976</v>
      </c>
      <c r="D419" s="34">
        <v>45976</v>
      </c>
      <c r="E419" s="33" t="s">
        <v>557</v>
      </c>
      <c r="F419" s="35" t="s">
        <v>904</v>
      </c>
      <c r="G419" s="33" t="s">
        <v>559</v>
      </c>
      <c r="H419" s="36">
        <v>-143.81</v>
      </c>
      <c r="I419" s="37" t="s">
        <v>560</v>
      </c>
      <c r="J419" s="38">
        <v>-12655.77</v>
      </c>
      <c r="K419" s="33" t="s">
        <v>561</v>
      </c>
      <c r="L419" s="33" t="s">
        <v>557</v>
      </c>
      <c r="M419" s="54" t="e" cm="1">
        <f t="array" ref="M419">_xlfn.XLOOKUP(F419,'Customer Data Vlookup'!$L:$L,'Customer Data Vlookup'!$M:$N,,0)</f>
        <v>#N/A</v>
      </c>
      <c r="N419" s="54"/>
      <c r="O419" s="53" t="e">
        <f t="shared" si="18"/>
        <v>#N/A</v>
      </c>
      <c r="P419" s="53" t="e">
        <f t="shared" si="19"/>
        <v>#N/A</v>
      </c>
      <c r="Q419" s="33" t="e">
        <f t="shared" si="20"/>
        <v>#N/A</v>
      </c>
      <c r="R419" s="33" t="s">
        <v>558</v>
      </c>
      <c r="S419" s="34"/>
      <c r="T419" s="33" t="s">
        <v>558</v>
      </c>
    </row>
    <row r="420" spans="1:21" hidden="1" x14ac:dyDescent="0.35">
      <c r="A420" s="32">
        <v>1600001750</v>
      </c>
      <c r="B420" s="33" t="s">
        <v>556</v>
      </c>
      <c r="C420" s="34">
        <v>45854</v>
      </c>
      <c r="D420" s="34">
        <v>45855</v>
      </c>
      <c r="E420" s="33" t="s">
        <v>557</v>
      </c>
      <c r="F420" s="35">
        <v>256779421382</v>
      </c>
      <c r="G420" s="33" t="s">
        <v>559</v>
      </c>
      <c r="H420" s="36">
        <v>-177.66</v>
      </c>
      <c r="I420" s="37" t="s">
        <v>560</v>
      </c>
      <c r="J420" s="38">
        <v>-15401.57</v>
      </c>
      <c r="K420" s="33" t="s">
        <v>561</v>
      </c>
      <c r="L420" s="33" t="s">
        <v>557</v>
      </c>
      <c r="M420" s="54" t="e" cm="1">
        <f t="array" ref="M420">_xlfn.XLOOKUP(F420,'Customer Data Vlookup'!$L:$L,'Customer Data Vlookup'!$M:$N,,0)</f>
        <v>#N/A</v>
      </c>
      <c r="N420" s="54"/>
      <c r="O420" s="53" t="e">
        <f t="shared" si="18"/>
        <v>#N/A</v>
      </c>
      <c r="P420" s="53" t="e">
        <f t="shared" si="19"/>
        <v>#N/A</v>
      </c>
      <c r="Q420" s="33" t="e">
        <f t="shared" si="20"/>
        <v>#N/A</v>
      </c>
      <c r="R420" s="33" t="s">
        <v>593</v>
      </c>
      <c r="S420" s="34">
        <v>45976</v>
      </c>
      <c r="T420" s="32">
        <v>1400001902</v>
      </c>
      <c r="U420" t="s">
        <v>954</v>
      </c>
    </row>
    <row r="421" spans="1:21" hidden="1" x14ac:dyDescent="0.35">
      <c r="A421" s="32">
        <v>1400001902</v>
      </c>
      <c r="B421" s="33" t="s">
        <v>888</v>
      </c>
      <c r="C421" s="34">
        <v>45976</v>
      </c>
      <c r="D421" s="34">
        <v>45976</v>
      </c>
      <c r="E421" s="33" t="s">
        <v>557</v>
      </c>
      <c r="F421" s="35" t="s">
        <v>904</v>
      </c>
      <c r="G421" s="33" t="s">
        <v>559</v>
      </c>
      <c r="H421" s="36">
        <v>-177.66</v>
      </c>
      <c r="I421" s="37" t="s">
        <v>560</v>
      </c>
      <c r="J421" s="38">
        <v>-15634.68</v>
      </c>
      <c r="K421" s="33" t="s">
        <v>561</v>
      </c>
      <c r="L421" s="33" t="s">
        <v>557</v>
      </c>
      <c r="M421" s="54" t="e" cm="1">
        <f t="array" ref="M421">_xlfn.XLOOKUP(F421,'Customer Data Vlookup'!$L:$L,'Customer Data Vlookup'!$M:$N,,0)</f>
        <v>#N/A</v>
      </c>
      <c r="N421" s="54"/>
      <c r="O421" s="53" t="e">
        <f t="shared" si="18"/>
        <v>#N/A</v>
      </c>
      <c r="P421" s="53" t="e">
        <f t="shared" si="19"/>
        <v>#N/A</v>
      </c>
      <c r="Q421" s="33" t="e">
        <f t="shared" si="20"/>
        <v>#N/A</v>
      </c>
      <c r="R421" s="33" t="s">
        <v>558</v>
      </c>
      <c r="S421" s="34"/>
      <c r="T421" s="33" t="s">
        <v>558</v>
      </c>
    </row>
    <row r="422" spans="1:21" hidden="1" x14ac:dyDescent="0.35">
      <c r="A422" s="32">
        <v>1600001748</v>
      </c>
      <c r="B422" s="33" t="s">
        <v>556</v>
      </c>
      <c r="C422" s="34">
        <v>45854</v>
      </c>
      <c r="D422" s="34">
        <v>45855</v>
      </c>
      <c r="E422" s="33" t="s">
        <v>557</v>
      </c>
      <c r="F422" s="35">
        <v>256779421380</v>
      </c>
      <c r="G422" s="33" t="s">
        <v>559</v>
      </c>
      <c r="H422" s="36">
        <v>-182.83</v>
      </c>
      <c r="I422" s="37" t="s">
        <v>560</v>
      </c>
      <c r="J422" s="38">
        <v>-15778.9</v>
      </c>
      <c r="K422" s="33" t="s">
        <v>561</v>
      </c>
      <c r="L422" s="33" t="s">
        <v>557</v>
      </c>
      <c r="M422" s="54" t="e" cm="1">
        <f t="array" ref="M422">_xlfn.XLOOKUP(F422,'Customer Data Vlookup'!$L:$L,'Customer Data Vlookup'!$M:$N,,0)</f>
        <v>#N/A</v>
      </c>
      <c r="N422" s="54"/>
      <c r="O422" s="53" t="e">
        <f t="shared" si="18"/>
        <v>#N/A</v>
      </c>
      <c r="P422" s="53" t="e">
        <f t="shared" si="19"/>
        <v>#N/A</v>
      </c>
      <c r="Q422" s="33" t="e">
        <f t="shared" si="20"/>
        <v>#N/A</v>
      </c>
      <c r="R422" s="33" t="s">
        <v>591</v>
      </c>
      <c r="S422" s="34">
        <v>45976</v>
      </c>
      <c r="T422" s="32">
        <v>1400001902</v>
      </c>
      <c r="U422" t="s">
        <v>954</v>
      </c>
    </row>
    <row r="423" spans="1:21" hidden="1" x14ac:dyDescent="0.35">
      <c r="A423" s="32">
        <v>1400001902</v>
      </c>
      <c r="B423" s="33" t="s">
        <v>888</v>
      </c>
      <c r="C423" s="34">
        <v>45976</v>
      </c>
      <c r="D423" s="34">
        <v>45976</v>
      </c>
      <c r="E423" s="33" t="s">
        <v>557</v>
      </c>
      <c r="F423" s="35" t="s">
        <v>904</v>
      </c>
      <c r="G423" s="33" t="s">
        <v>559</v>
      </c>
      <c r="H423" s="36">
        <v>-182.83</v>
      </c>
      <c r="I423" s="37" t="s">
        <v>560</v>
      </c>
      <c r="J423" s="38">
        <v>-16089.66</v>
      </c>
      <c r="K423" s="33" t="s">
        <v>561</v>
      </c>
      <c r="L423" s="33" t="s">
        <v>557</v>
      </c>
      <c r="M423" s="54" t="e" cm="1">
        <f t="array" ref="M423">_xlfn.XLOOKUP(F423,'Customer Data Vlookup'!$L:$L,'Customer Data Vlookup'!$M:$N,,0)</f>
        <v>#N/A</v>
      </c>
      <c r="N423" s="54"/>
      <c r="O423" s="53" t="e">
        <f t="shared" si="18"/>
        <v>#N/A</v>
      </c>
      <c r="P423" s="53" t="e">
        <f t="shared" si="19"/>
        <v>#N/A</v>
      </c>
      <c r="Q423" s="33" t="e">
        <f t="shared" si="20"/>
        <v>#N/A</v>
      </c>
      <c r="R423" s="33" t="s">
        <v>558</v>
      </c>
      <c r="S423" s="34"/>
      <c r="T423" s="33" t="s">
        <v>558</v>
      </c>
    </row>
    <row r="424" spans="1:21" hidden="1" x14ac:dyDescent="0.35">
      <c r="A424" s="32">
        <v>1600001747</v>
      </c>
      <c r="B424" s="33" t="s">
        <v>556</v>
      </c>
      <c r="C424" s="34">
        <v>45854</v>
      </c>
      <c r="D424" s="34">
        <v>45854</v>
      </c>
      <c r="E424" s="33" t="s">
        <v>557</v>
      </c>
      <c r="F424" s="35">
        <v>256779421379</v>
      </c>
      <c r="G424" s="33" t="s">
        <v>559</v>
      </c>
      <c r="H424" s="36">
        <v>-190</v>
      </c>
      <c r="I424" s="37" t="s">
        <v>560</v>
      </c>
      <c r="J424" s="38">
        <v>-16243.25</v>
      </c>
      <c r="K424" s="33" t="s">
        <v>561</v>
      </c>
      <c r="L424" s="33" t="s">
        <v>557</v>
      </c>
      <c r="M424" s="54" t="e" cm="1">
        <f t="array" ref="M424">_xlfn.XLOOKUP(F424,'Customer Data Vlookup'!$L:$L,'Customer Data Vlookup'!$M:$N,,0)</f>
        <v>#N/A</v>
      </c>
      <c r="N424" s="54"/>
      <c r="O424" s="54" t="e">
        <f t="shared" si="18"/>
        <v>#N/A</v>
      </c>
      <c r="P424" s="54" t="e">
        <f t="shared" si="19"/>
        <v>#N/A</v>
      </c>
      <c r="Q424" s="56" t="e">
        <f t="shared" si="20"/>
        <v>#N/A</v>
      </c>
      <c r="R424" s="33" t="s">
        <v>590</v>
      </c>
      <c r="S424" s="34">
        <v>45976</v>
      </c>
      <c r="T424" s="32">
        <v>1400001901</v>
      </c>
      <c r="U424" t="s">
        <v>954</v>
      </c>
    </row>
    <row r="425" spans="1:21" hidden="1" x14ac:dyDescent="0.35">
      <c r="A425" s="32">
        <v>1600001728</v>
      </c>
      <c r="B425" s="33" t="s">
        <v>556</v>
      </c>
      <c r="C425" s="34">
        <v>45854</v>
      </c>
      <c r="D425" s="34">
        <v>45854</v>
      </c>
      <c r="E425" s="33" t="s">
        <v>557</v>
      </c>
      <c r="F425" s="35">
        <v>256779421360</v>
      </c>
      <c r="G425" s="33" t="s">
        <v>559</v>
      </c>
      <c r="H425" s="36">
        <v>-216.2</v>
      </c>
      <c r="I425" s="37" t="s">
        <v>560</v>
      </c>
      <c r="J425" s="38">
        <v>-18742.650000000001</v>
      </c>
      <c r="K425" s="33" t="s">
        <v>561</v>
      </c>
      <c r="L425" s="33" t="s">
        <v>557</v>
      </c>
      <c r="M425" s="54" t="e" cm="1">
        <f t="array" ref="M425">_xlfn.XLOOKUP(F425,'Customer Data Vlookup'!$L:$L,'Customer Data Vlookup'!$M:$N,,0)</f>
        <v>#N/A</v>
      </c>
      <c r="N425" s="54"/>
      <c r="O425" s="53" t="e">
        <f t="shared" si="18"/>
        <v>#N/A</v>
      </c>
      <c r="P425" s="53" t="e">
        <f t="shared" si="19"/>
        <v>#N/A</v>
      </c>
      <c r="Q425" s="33" t="e">
        <f t="shared" si="20"/>
        <v>#N/A</v>
      </c>
      <c r="R425" s="33" t="s">
        <v>567</v>
      </c>
      <c r="S425" s="34">
        <v>45854</v>
      </c>
      <c r="T425" s="32">
        <v>1400000287</v>
      </c>
      <c r="U425" t="s">
        <v>954</v>
      </c>
    </row>
    <row r="426" spans="1:21" hidden="1" x14ac:dyDescent="0.35">
      <c r="A426" s="32">
        <v>1400000287</v>
      </c>
      <c r="B426" s="33" t="s">
        <v>888</v>
      </c>
      <c r="C426" s="34">
        <v>45854</v>
      </c>
      <c r="D426" s="34">
        <v>45855</v>
      </c>
      <c r="E426" s="33" t="s">
        <v>557</v>
      </c>
      <c r="F426" s="35" t="s">
        <v>558</v>
      </c>
      <c r="G426" s="33" t="s">
        <v>559</v>
      </c>
      <c r="H426" s="36">
        <v>-216.2</v>
      </c>
      <c r="I426" s="37" t="s">
        <v>560</v>
      </c>
      <c r="J426" s="38">
        <v>-18742.650000000001</v>
      </c>
      <c r="K426" s="33" t="s">
        <v>561</v>
      </c>
      <c r="L426" s="33" t="s">
        <v>558</v>
      </c>
      <c r="M426" s="54" t="e" cm="1">
        <f t="array" ref="M426">_xlfn.XLOOKUP(F426,'Customer Data Vlookup'!$L:$L,'Customer Data Vlookup'!$M:$N,,0)</f>
        <v>#N/A</v>
      </c>
      <c r="N426" s="54"/>
      <c r="O426" s="53" t="e">
        <f t="shared" si="18"/>
        <v>#N/A</v>
      </c>
      <c r="P426" s="53" t="e">
        <f t="shared" si="19"/>
        <v>#N/A</v>
      </c>
      <c r="Q426" s="33" t="e">
        <f t="shared" si="20"/>
        <v>#N/A</v>
      </c>
      <c r="R426" s="33" t="s">
        <v>558</v>
      </c>
      <c r="S426" s="34">
        <v>45854</v>
      </c>
      <c r="T426" s="32">
        <v>1400000287</v>
      </c>
      <c r="U426" t="s">
        <v>954</v>
      </c>
    </row>
    <row r="427" spans="1:21" hidden="1" x14ac:dyDescent="0.35">
      <c r="A427" s="32">
        <v>1600001732</v>
      </c>
      <c r="B427" s="33" t="s">
        <v>556</v>
      </c>
      <c r="C427" s="34">
        <v>45854</v>
      </c>
      <c r="D427" s="34">
        <v>45854</v>
      </c>
      <c r="E427" s="33" t="s">
        <v>557</v>
      </c>
      <c r="F427" s="35">
        <v>256779421364</v>
      </c>
      <c r="G427" s="33" t="s">
        <v>559</v>
      </c>
      <c r="H427" s="36">
        <v>-220</v>
      </c>
      <c r="I427" s="37" t="s">
        <v>560</v>
      </c>
      <c r="J427" s="38">
        <v>-19072.080000000002</v>
      </c>
      <c r="K427" s="33" t="s">
        <v>561</v>
      </c>
      <c r="L427" s="33" t="s">
        <v>557</v>
      </c>
      <c r="M427" s="54" t="e" cm="1">
        <f t="array" ref="M427">_xlfn.XLOOKUP(F427,'Customer Data Vlookup'!$L:$L,'Customer Data Vlookup'!$M:$N,,0)</f>
        <v>#N/A</v>
      </c>
      <c r="N427" s="54"/>
      <c r="O427" s="53" t="e">
        <f t="shared" si="18"/>
        <v>#N/A</v>
      </c>
      <c r="P427" s="53" t="e">
        <f t="shared" si="19"/>
        <v>#N/A</v>
      </c>
      <c r="Q427" s="33" t="e">
        <f t="shared" si="20"/>
        <v>#N/A</v>
      </c>
      <c r="R427" s="33" t="s">
        <v>577</v>
      </c>
      <c r="S427" s="34">
        <v>45976</v>
      </c>
      <c r="T427" s="32">
        <v>1400001901</v>
      </c>
      <c r="U427" t="s">
        <v>954</v>
      </c>
    </row>
    <row r="428" spans="1:21" hidden="1" x14ac:dyDescent="0.35">
      <c r="A428" s="32">
        <v>1600001743</v>
      </c>
      <c r="B428" s="33" t="s">
        <v>556</v>
      </c>
      <c r="C428" s="34">
        <v>45854</v>
      </c>
      <c r="D428" s="34">
        <v>45854</v>
      </c>
      <c r="E428" s="33" t="s">
        <v>557</v>
      </c>
      <c r="F428" s="35">
        <v>256779421375</v>
      </c>
      <c r="G428" s="33" t="s">
        <v>559</v>
      </c>
      <c r="H428" s="36">
        <v>-220</v>
      </c>
      <c r="I428" s="37" t="s">
        <v>560</v>
      </c>
      <c r="J428" s="38">
        <v>-19072.080000000002</v>
      </c>
      <c r="K428" s="33" t="s">
        <v>561</v>
      </c>
      <c r="L428" s="33" t="s">
        <v>557</v>
      </c>
      <c r="M428" s="54" t="e" cm="1">
        <f t="array" ref="M428">_xlfn.XLOOKUP(F428,'Customer Data Vlookup'!$L:$L,'Customer Data Vlookup'!$M:$N,,0)</f>
        <v>#N/A</v>
      </c>
      <c r="N428" s="54"/>
      <c r="O428" s="53" t="e">
        <f t="shared" si="18"/>
        <v>#N/A</v>
      </c>
      <c r="P428" s="53" t="e">
        <f t="shared" si="19"/>
        <v>#N/A</v>
      </c>
      <c r="Q428" s="33" t="e">
        <f t="shared" si="20"/>
        <v>#N/A</v>
      </c>
      <c r="R428" s="33" t="s">
        <v>586</v>
      </c>
      <c r="S428" s="34">
        <v>45976</v>
      </c>
      <c r="T428" s="32">
        <v>1400001901</v>
      </c>
      <c r="U428" t="s">
        <v>954</v>
      </c>
    </row>
    <row r="429" spans="1:21" hidden="1" x14ac:dyDescent="0.35">
      <c r="A429" s="32">
        <v>1600001730</v>
      </c>
      <c r="B429" s="33" t="s">
        <v>556</v>
      </c>
      <c r="C429" s="34">
        <v>45854</v>
      </c>
      <c r="D429" s="34">
        <v>45854</v>
      </c>
      <c r="E429" s="33" t="s">
        <v>557</v>
      </c>
      <c r="F429" s="35">
        <v>256779421362</v>
      </c>
      <c r="G429" s="33" t="s">
        <v>559</v>
      </c>
      <c r="H429" s="36">
        <v>-237.35</v>
      </c>
      <c r="I429" s="37" t="s">
        <v>560</v>
      </c>
      <c r="J429" s="38">
        <v>-20576.169999999998</v>
      </c>
      <c r="K429" s="33" t="s">
        <v>561</v>
      </c>
      <c r="L429" s="33" t="s">
        <v>557</v>
      </c>
      <c r="M429" s="54" t="e" cm="1">
        <f t="array" ref="M429">_xlfn.XLOOKUP(F429,'Customer Data Vlookup'!$L:$L,'Customer Data Vlookup'!$M:$N,,0)</f>
        <v>#N/A</v>
      </c>
      <c r="N429" s="54"/>
      <c r="O429" s="53" t="e">
        <f t="shared" si="18"/>
        <v>#N/A</v>
      </c>
      <c r="P429" s="53" t="e">
        <f t="shared" si="19"/>
        <v>#N/A</v>
      </c>
      <c r="Q429" s="33" t="e">
        <f t="shared" si="20"/>
        <v>#N/A</v>
      </c>
      <c r="R429" s="33" t="s">
        <v>576</v>
      </c>
      <c r="S429" s="34">
        <v>45976</v>
      </c>
      <c r="T429" s="32">
        <v>1400001901</v>
      </c>
      <c r="U429" t="s">
        <v>954</v>
      </c>
    </row>
    <row r="430" spans="1:21" hidden="1" x14ac:dyDescent="0.35">
      <c r="A430" s="32">
        <v>1600001742</v>
      </c>
      <c r="B430" s="33" t="s">
        <v>556</v>
      </c>
      <c r="C430" s="34">
        <v>45854</v>
      </c>
      <c r="D430" s="34">
        <v>45854</v>
      </c>
      <c r="E430" s="33" t="s">
        <v>557</v>
      </c>
      <c r="F430" s="35">
        <v>256779421374</v>
      </c>
      <c r="G430" s="33" t="s">
        <v>559</v>
      </c>
      <c r="H430" s="36">
        <v>-245</v>
      </c>
      <c r="I430" s="37" t="s">
        <v>560</v>
      </c>
      <c r="J430" s="38">
        <v>-21239.360000000001</v>
      </c>
      <c r="K430" s="33" t="s">
        <v>561</v>
      </c>
      <c r="L430" s="33" t="s">
        <v>557</v>
      </c>
      <c r="M430" s="54" t="e" cm="1">
        <f t="array" ref="M430">_xlfn.XLOOKUP(F430,'Customer Data Vlookup'!$L:$L,'Customer Data Vlookup'!$M:$N,,0)</f>
        <v>#N/A</v>
      </c>
      <c r="N430" s="54"/>
      <c r="O430" s="53" t="e">
        <f t="shared" si="18"/>
        <v>#N/A</v>
      </c>
      <c r="P430" s="53" t="e">
        <f t="shared" si="19"/>
        <v>#N/A</v>
      </c>
      <c r="Q430" s="33" t="e">
        <f t="shared" si="20"/>
        <v>#N/A</v>
      </c>
      <c r="R430" s="33" t="s">
        <v>585</v>
      </c>
      <c r="S430" s="34">
        <v>45976</v>
      </c>
      <c r="T430" s="32">
        <v>1400001901</v>
      </c>
      <c r="U430" t="s">
        <v>954</v>
      </c>
    </row>
    <row r="431" spans="1:21" hidden="1" x14ac:dyDescent="0.35">
      <c r="A431" s="32">
        <v>1600001729</v>
      </c>
      <c r="B431" s="33" t="s">
        <v>556</v>
      </c>
      <c r="C431" s="34">
        <v>45854</v>
      </c>
      <c r="D431" s="34">
        <v>45854</v>
      </c>
      <c r="E431" s="33" t="s">
        <v>557</v>
      </c>
      <c r="F431" s="35">
        <v>256779421361</v>
      </c>
      <c r="G431" s="33" t="s">
        <v>559</v>
      </c>
      <c r="H431" s="36">
        <v>-364.25</v>
      </c>
      <c r="I431" s="37" t="s">
        <v>560</v>
      </c>
      <c r="J431" s="38">
        <v>-31577.29</v>
      </c>
      <c r="K431" s="33" t="s">
        <v>561</v>
      </c>
      <c r="L431" s="33" t="s">
        <v>557</v>
      </c>
      <c r="M431" s="54" t="e" cm="1">
        <f t="array" ref="M431">_xlfn.XLOOKUP(F431,'Customer Data Vlookup'!$L:$L,'Customer Data Vlookup'!$M:$N,,0)</f>
        <v>#N/A</v>
      </c>
      <c r="N431" s="54"/>
      <c r="O431" s="54" t="e">
        <f t="shared" si="18"/>
        <v>#N/A</v>
      </c>
      <c r="P431" s="54" t="e">
        <f t="shared" si="19"/>
        <v>#N/A</v>
      </c>
      <c r="Q431" s="56" t="e">
        <f t="shared" si="20"/>
        <v>#N/A</v>
      </c>
      <c r="R431" s="33" t="s">
        <v>575</v>
      </c>
      <c r="S431" s="34">
        <v>45976</v>
      </c>
      <c r="T431" s="32">
        <v>1400001901</v>
      </c>
      <c r="U431" t="s">
        <v>954</v>
      </c>
    </row>
    <row r="432" spans="1:21" hidden="1" x14ac:dyDescent="0.35">
      <c r="A432" s="32">
        <v>1600001733</v>
      </c>
      <c r="B432" s="33" t="s">
        <v>556</v>
      </c>
      <c r="C432" s="34">
        <v>45854</v>
      </c>
      <c r="D432" s="34">
        <v>45854</v>
      </c>
      <c r="E432" s="33" t="s">
        <v>557</v>
      </c>
      <c r="F432" s="35">
        <v>256779421365</v>
      </c>
      <c r="G432" s="33" t="s">
        <v>559</v>
      </c>
      <c r="H432" s="36">
        <v>-375</v>
      </c>
      <c r="I432" s="37" t="s">
        <v>560</v>
      </c>
      <c r="J432" s="38">
        <v>-32509.22</v>
      </c>
      <c r="K432" s="33" t="s">
        <v>561</v>
      </c>
      <c r="L432" s="33" t="s">
        <v>557</v>
      </c>
      <c r="M432" s="54" t="e" cm="1">
        <f t="array" ref="M432">_xlfn.XLOOKUP(F432,'Customer Data Vlookup'!$L:$L,'Customer Data Vlookup'!$M:$N,,0)</f>
        <v>#N/A</v>
      </c>
      <c r="N432" s="54"/>
      <c r="O432" s="53" t="e">
        <f t="shared" si="18"/>
        <v>#N/A</v>
      </c>
      <c r="P432" s="53" t="e">
        <f t="shared" si="19"/>
        <v>#N/A</v>
      </c>
      <c r="Q432" s="33" t="e">
        <f t="shared" si="20"/>
        <v>#N/A</v>
      </c>
      <c r="R432" s="33" t="s">
        <v>578</v>
      </c>
      <c r="S432" s="34">
        <v>45976</v>
      </c>
      <c r="T432" s="32">
        <v>1400001901</v>
      </c>
      <c r="U432" t="s">
        <v>954</v>
      </c>
    </row>
    <row r="433" spans="1:21" hidden="1" x14ac:dyDescent="0.35">
      <c r="A433" s="32">
        <v>1600001740</v>
      </c>
      <c r="B433" s="33" t="s">
        <v>556</v>
      </c>
      <c r="C433" s="34">
        <v>45854</v>
      </c>
      <c r="D433" s="34">
        <v>45854</v>
      </c>
      <c r="E433" s="33" t="s">
        <v>557</v>
      </c>
      <c r="F433" s="35">
        <v>256779421372</v>
      </c>
      <c r="G433" s="33" t="s">
        <v>559</v>
      </c>
      <c r="H433" s="36">
        <v>-385</v>
      </c>
      <c r="I433" s="37" t="s">
        <v>560</v>
      </c>
      <c r="J433" s="38">
        <v>-33376.14</v>
      </c>
      <c r="K433" s="33" t="s">
        <v>561</v>
      </c>
      <c r="L433" s="33" t="s">
        <v>557</v>
      </c>
      <c r="M433" s="54" t="e" cm="1">
        <f t="array" ref="M433">_xlfn.XLOOKUP(F433,'Customer Data Vlookup'!$L:$L,'Customer Data Vlookup'!$M:$N,,0)</f>
        <v>#N/A</v>
      </c>
      <c r="N433" s="54"/>
      <c r="O433" s="53" t="e">
        <f t="shared" si="18"/>
        <v>#N/A</v>
      </c>
      <c r="P433" s="53" t="e">
        <f t="shared" si="19"/>
        <v>#N/A</v>
      </c>
      <c r="Q433" s="33" t="e">
        <f t="shared" si="20"/>
        <v>#N/A</v>
      </c>
      <c r="R433" s="33" t="s">
        <v>583</v>
      </c>
      <c r="S433" s="34">
        <v>45976</v>
      </c>
      <c r="T433" s="32">
        <v>1400001901</v>
      </c>
      <c r="U433" t="s">
        <v>954</v>
      </c>
    </row>
    <row r="434" spans="1:21" hidden="1" x14ac:dyDescent="0.35">
      <c r="A434" s="32">
        <v>1600001753</v>
      </c>
      <c r="B434" s="33" t="s">
        <v>556</v>
      </c>
      <c r="C434" s="34">
        <v>45854</v>
      </c>
      <c r="D434" s="34">
        <v>45855</v>
      </c>
      <c r="E434" s="33" t="s">
        <v>557</v>
      </c>
      <c r="F434" s="35">
        <v>256779421385</v>
      </c>
      <c r="G434" s="33" t="s">
        <v>559</v>
      </c>
      <c r="H434" s="36">
        <v>-420</v>
      </c>
      <c r="I434" s="37" t="s">
        <v>560</v>
      </c>
      <c r="J434" s="38">
        <v>-36410.33</v>
      </c>
      <c r="K434" s="33" t="s">
        <v>561</v>
      </c>
      <c r="L434" s="33" t="s">
        <v>557</v>
      </c>
      <c r="M434" s="54" t="e" cm="1">
        <f t="array" ref="M434">_xlfn.XLOOKUP(F434,'Customer Data Vlookup'!$L:$L,'Customer Data Vlookup'!$M:$N,,0)</f>
        <v>#N/A</v>
      </c>
      <c r="N434" s="54"/>
      <c r="O434" s="53" t="e">
        <f t="shared" si="18"/>
        <v>#N/A</v>
      </c>
      <c r="P434" s="53" t="e">
        <f t="shared" si="19"/>
        <v>#N/A</v>
      </c>
      <c r="Q434" s="33" t="e">
        <f t="shared" si="20"/>
        <v>#N/A</v>
      </c>
      <c r="R434" s="33" t="s">
        <v>596</v>
      </c>
      <c r="S434" s="34">
        <v>45976</v>
      </c>
      <c r="T434" s="32">
        <v>1400001902</v>
      </c>
      <c r="U434" t="s">
        <v>954</v>
      </c>
    </row>
    <row r="435" spans="1:21" hidden="1" x14ac:dyDescent="0.35">
      <c r="A435" s="32">
        <v>1400001902</v>
      </c>
      <c r="B435" s="33" t="s">
        <v>888</v>
      </c>
      <c r="C435" s="34">
        <v>45976</v>
      </c>
      <c r="D435" s="34">
        <v>45976</v>
      </c>
      <c r="E435" s="33" t="s">
        <v>557</v>
      </c>
      <c r="F435" s="35" t="s">
        <v>904</v>
      </c>
      <c r="G435" s="33" t="s">
        <v>559</v>
      </c>
      <c r="H435" s="36">
        <v>-420</v>
      </c>
      <c r="I435" s="37" t="s">
        <v>560</v>
      </c>
      <c r="J435" s="38">
        <v>-36961.42</v>
      </c>
      <c r="K435" s="33" t="s">
        <v>561</v>
      </c>
      <c r="L435" s="33" t="s">
        <v>557</v>
      </c>
      <c r="M435" s="54" t="e" cm="1">
        <f t="array" ref="M435">_xlfn.XLOOKUP(F435,'Customer Data Vlookup'!$L:$L,'Customer Data Vlookup'!$M:$N,,0)</f>
        <v>#N/A</v>
      </c>
      <c r="N435" s="54"/>
      <c r="O435" s="53" t="e">
        <f t="shared" si="18"/>
        <v>#N/A</v>
      </c>
      <c r="P435" s="53" t="e">
        <f t="shared" si="19"/>
        <v>#N/A</v>
      </c>
      <c r="Q435" s="33" t="e">
        <f t="shared" si="20"/>
        <v>#N/A</v>
      </c>
      <c r="R435" s="33" t="s">
        <v>558</v>
      </c>
      <c r="S435" s="34"/>
      <c r="T435" s="33" t="s">
        <v>558</v>
      </c>
    </row>
    <row r="436" spans="1:21" hidden="1" x14ac:dyDescent="0.35">
      <c r="A436" s="32">
        <v>1600001906</v>
      </c>
      <c r="B436" s="33" t="s">
        <v>556</v>
      </c>
      <c r="C436" s="34">
        <v>45862</v>
      </c>
      <c r="D436" s="34">
        <v>45862</v>
      </c>
      <c r="E436" s="33" t="s">
        <v>557</v>
      </c>
      <c r="F436" s="35">
        <v>256779421526</v>
      </c>
      <c r="G436" s="33" t="s">
        <v>559</v>
      </c>
      <c r="H436" s="36">
        <v>-456.75</v>
      </c>
      <c r="I436" s="37" t="s">
        <v>560</v>
      </c>
      <c r="J436" s="38">
        <v>-39280.81</v>
      </c>
      <c r="K436" s="33" t="s">
        <v>561</v>
      </c>
      <c r="L436" s="33" t="s">
        <v>557</v>
      </c>
      <c r="M436" s="54" t="e" cm="1">
        <f t="array" ref="M436">_xlfn.XLOOKUP(F436,'Customer Data Vlookup'!$L:$L,'Customer Data Vlookup'!$M:$N,,0)</f>
        <v>#N/A</v>
      </c>
      <c r="N436" s="54"/>
      <c r="O436" s="53" t="e">
        <f t="shared" si="18"/>
        <v>#N/A</v>
      </c>
      <c r="P436" s="53" t="e">
        <f t="shared" si="19"/>
        <v>#N/A</v>
      </c>
      <c r="Q436" s="33" t="e">
        <f t="shared" si="20"/>
        <v>#N/A</v>
      </c>
      <c r="R436" s="33" t="s">
        <v>620</v>
      </c>
      <c r="S436" s="34">
        <v>45902</v>
      </c>
      <c r="T436" s="32">
        <v>1400001112</v>
      </c>
      <c r="U436" t="s">
        <v>954</v>
      </c>
    </row>
    <row r="437" spans="1:21" hidden="1" x14ac:dyDescent="0.35">
      <c r="A437" s="32">
        <v>1600001923</v>
      </c>
      <c r="B437" s="33" t="s">
        <v>556</v>
      </c>
      <c r="C437" s="34">
        <v>45862</v>
      </c>
      <c r="D437" s="34">
        <v>45862</v>
      </c>
      <c r="E437" s="33" t="s">
        <v>557</v>
      </c>
      <c r="F437" s="35">
        <v>256779421543</v>
      </c>
      <c r="G437" s="33" t="s">
        <v>559</v>
      </c>
      <c r="H437" s="36">
        <v>-456.75</v>
      </c>
      <c r="I437" s="37" t="s">
        <v>560</v>
      </c>
      <c r="J437" s="38">
        <v>-39280.81</v>
      </c>
      <c r="K437" s="33" t="s">
        <v>561</v>
      </c>
      <c r="L437" s="33" t="s">
        <v>557</v>
      </c>
      <c r="M437" s="54" t="e" cm="1">
        <f t="array" ref="M437">_xlfn.XLOOKUP(F437,'Customer Data Vlookup'!$L:$L,'Customer Data Vlookup'!$M:$N,,0)</f>
        <v>#N/A</v>
      </c>
      <c r="N437" s="54"/>
      <c r="O437" s="53" t="e">
        <f t="shared" si="18"/>
        <v>#N/A</v>
      </c>
      <c r="P437" s="53" t="e">
        <f t="shared" si="19"/>
        <v>#N/A</v>
      </c>
      <c r="Q437" s="33" t="e">
        <f t="shared" si="20"/>
        <v>#N/A</v>
      </c>
      <c r="R437" s="33" t="s">
        <v>621</v>
      </c>
      <c r="S437" s="34">
        <v>45902</v>
      </c>
      <c r="T437" s="32">
        <v>1400001112</v>
      </c>
      <c r="U437" t="s">
        <v>954</v>
      </c>
    </row>
    <row r="438" spans="1:21" hidden="1" x14ac:dyDescent="0.35">
      <c r="A438" s="32">
        <v>1600000715</v>
      </c>
      <c r="B438" s="33" t="s">
        <v>556</v>
      </c>
      <c r="C438" s="34">
        <v>45791</v>
      </c>
      <c r="D438" s="34">
        <v>45793</v>
      </c>
      <c r="E438" s="33" t="s">
        <v>557</v>
      </c>
      <c r="F438" s="35">
        <v>256779420424</v>
      </c>
      <c r="G438" s="33" t="s">
        <v>559</v>
      </c>
      <c r="H438" s="36">
        <v>-456.75</v>
      </c>
      <c r="I438" s="37" t="s">
        <v>560</v>
      </c>
      <c r="J438" s="38">
        <v>-39701.54</v>
      </c>
      <c r="K438" s="33" t="s">
        <v>561</v>
      </c>
      <c r="L438" s="33" t="s">
        <v>557</v>
      </c>
      <c r="M438" s="54" t="e" cm="1">
        <f t="array" ref="M438">_xlfn.XLOOKUP(F438,'Customer Data Vlookup'!$L:$L,'Customer Data Vlookup'!$M:$N,,0)</f>
        <v>#N/A</v>
      </c>
      <c r="N438" s="54"/>
      <c r="O438" s="53" t="e">
        <f t="shared" si="18"/>
        <v>#N/A</v>
      </c>
      <c r="P438" s="53" t="e">
        <f t="shared" si="19"/>
        <v>#N/A</v>
      </c>
      <c r="Q438" s="33" t="e">
        <f t="shared" si="20"/>
        <v>#N/A</v>
      </c>
      <c r="R438" s="33" t="s">
        <v>846</v>
      </c>
      <c r="S438" s="34">
        <v>45842</v>
      </c>
      <c r="T438" s="32">
        <v>1400000246</v>
      </c>
      <c r="U438" t="s">
        <v>954</v>
      </c>
    </row>
    <row r="439" spans="1:21" hidden="1" x14ac:dyDescent="0.35">
      <c r="A439" s="32">
        <v>1600000802</v>
      </c>
      <c r="B439" s="33" t="s">
        <v>556</v>
      </c>
      <c r="C439" s="34">
        <v>45791</v>
      </c>
      <c r="D439" s="34">
        <v>45793</v>
      </c>
      <c r="E439" s="33" t="s">
        <v>557</v>
      </c>
      <c r="F439" s="35">
        <v>256779420511</v>
      </c>
      <c r="G439" s="33" t="s">
        <v>559</v>
      </c>
      <c r="H439" s="36">
        <v>-456.75</v>
      </c>
      <c r="I439" s="37" t="s">
        <v>560</v>
      </c>
      <c r="J439" s="38">
        <v>-39701.54</v>
      </c>
      <c r="K439" s="33" t="s">
        <v>561</v>
      </c>
      <c r="L439" s="33" t="s">
        <v>557</v>
      </c>
      <c r="M439" s="54" t="e" cm="1">
        <f t="array" ref="M439">_xlfn.XLOOKUP(F439,'Customer Data Vlookup'!$L:$L,'Customer Data Vlookup'!$M:$N,,0)</f>
        <v>#N/A</v>
      </c>
      <c r="N439" s="54"/>
      <c r="O439" s="53" t="e">
        <f t="shared" si="18"/>
        <v>#N/A</v>
      </c>
      <c r="P439" s="53" t="e">
        <f t="shared" si="19"/>
        <v>#N/A</v>
      </c>
      <c r="Q439" s="33" t="e">
        <f t="shared" si="20"/>
        <v>#N/A</v>
      </c>
      <c r="R439" s="33" t="s">
        <v>847</v>
      </c>
      <c r="S439" s="34">
        <v>45842</v>
      </c>
      <c r="T439" s="32">
        <v>1400000247</v>
      </c>
      <c r="U439" t="s">
        <v>954</v>
      </c>
    </row>
    <row r="440" spans="1:21" hidden="1" x14ac:dyDescent="0.35">
      <c r="A440" s="32">
        <v>1400000246</v>
      </c>
      <c r="B440" s="33" t="s">
        <v>888</v>
      </c>
      <c r="C440" s="34">
        <v>45842</v>
      </c>
      <c r="D440" s="34">
        <v>45842</v>
      </c>
      <c r="E440" s="33" t="s">
        <v>557</v>
      </c>
      <c r="F440" s="35" t="s">
        <v>904</v>
      </c>
      <c r="G440" s="33" t="s">
        <v>559</v>
      </c>
      <c r="H440" s="36">
        <v>-456.75</v>
      </c>
      <c r="I440" s="37" t="s">
        <v>560</v>
      </c>
      <c r="J440" s="38">
        <v>-39701.54</v>
      </c>
      <c r="K440" s="33" t="s">
        <v>561</v>
      </c>
      <c r="L440" s="33" t="s">
        <v>558</v>
      </c>
      <c r="M440" s="54" t="e" cm="1">
        <f t="array" ref="M440">_xlfn.XLOOKUP(F440,'Customer Data Vlookup'!$L:$L,'Customer Data Vlookup'!$M:$N,,0)</f>
        <v>#N/A</v>
      </c>
      <c r="N440" s="54"/>
      <c r="O440" s="53" t="e">
        <f t="shared" si="18"/>
        <v>#N/A</v>
      </c>
      <c r="P440" s="53" t="e">
        <f t="shared" si="19"/>
        <v>#N/A</v>
      </c>
      <c r="Q440" s="33" t="e">
        <f t="shared" si="20"/>
        <v>#N/A</v>
      </c>
      <c r="R440" s="33" t="s">
        <v>558</v>
      </c>
      <c r="S440" s="34">
        <v>45842</v>
      </c>
      <c r="T440" s="32">
        <v>1400000246</v>
      </c>
      <c r="U440" t="s">
        <v>954</v>
      </c>
    </row>
    <row r="441" spans="1:21" hidden="1" x14ac:dyDescent="0.35">
      <c r="A441" s="32">
        <v>1400000247</v>
      </c>
      <c r="B441" s="33" t="s">
        <v>888</v>
      </c>
      <c r="C441" s="34">
        <v>45842</v>
      </c>
      <c r="D441" s="34">
        <v>45842</v>
      </c>
      <c r="E441" s="33" t="s">
        <v>557</v>
      </c>
      <c r="F441" s="35" t="s">
        <v>904</v>
      </c>
      <c r="G441" s="33" t="s">
        <v>559</v>
      </c>
      <c r="H441" s="36">
        <v>-456.75</v>
      </c>
      <c r="I441" s="37" t="s">
        <v>560</v>
      </c>
      <c r="J441" s="38">
        <v>-39701.54</v>
      </c>
      <c r="K441" s="33" t="s">
        <v>561</v>
      </c>
      <c r="L441" s="33" t="s">
        <v>558</v>
      </c>
      <c r="M441" s="54" t="e" cm="1">
        <f t="array" ref="M441">_xlfn.XLOOKUP(F441,'Customer Data Vlookup'!$L:$L,'Customer Data Vlookup'!$M:$N,,0)</f>
        <v>#N/A</v>
      </c>
      <c r="N441" s="54"/>
      <c r="O441" s="53" t="e">
        <f t="shared" si="18"/>
        <v>#N/A</v>
      </c>
      <c r="P441" s="53" t="e">
        <f t="shared" si="19"/>
        <v>#N/A</v>
      </c>
      <c r="Q441" s="33" t="e">
        <f t="shared" si="20"/>
        <v>#N/A</v>
      </c>
      <c r="R441" s="33" t="s">
        <v>558</v>
      </c>
      <c r="S441" s="34">
        <v>45842</v>
      </c>
      <c r="T441" s="32">
        <v>1400000247</v>
      </c>
      <c r="U441" t="s">
        <v>954</v>
      </c>
    </row>
    <row r="442" spans="1:21" hidden="1" x14ac:dyDescent="0.35">
      <c r="A442" s="32">
        <v>1600001068</v>
      </c>
      <c r="B442" s="33" t="s">
        <v>556</v>
      </c>
      <c r="C442" s="34">
        <v>45799</v>
      </c>
      <c r="D442" s="34">
        <v>45800</v>
      </c>
      <c r="E442" s="33" t="s">
        <v>557</v>
      </c>
      <c r="F442" s="35">
        <v>256779420756</v>
      </c>
      <c r="G442" s="33" t="s">
        <v>559</v>
      </c>
      <c r="H442" s="36">
        <v>-500.63</v>
      </c>
      <c r="I442" s="37" t="s">
        <v>560</v>
      </c>
      <c r="J442" s="38">
        <v>-43400.25</v>
      </c>
      <c r="K442" s="33" t="s">
        <v>561</v>
      </c>
      <c r="L442" s="33" t="s">
        <v>557</v>
      </c>
      <c r="M442" s="54" t="e" cm="1">
        <f t="array" ref="M442">_xlfn.XLOOKUP(F442,'Customer Data Vlookup'!$L:$L,'Customer Data Vlookup'!$M:$N,,0)</f>
        <v>#N/A</v>
      </c>
      <c r="N442" s="54"/>
      <c r="O442" s="53" t="e">
        <f t="shared" si="18"/>
        <v>#N/A</v>
      </c>
      <c r="P442" s="53" t="e">
        <f t="shared" si="19"/>
        <v>#N/A</v>
      </c>
      <c r="Q442" s="33" t="e">
        <f t="shared" si="20"/>
        <v>#N/A</v>
      </c>
      <c r="R442" s="33" t="s">
        <v>670</v>
      </c>
      <c r="S442" s="34">
        <v>45842</v>
      </c>
      <c r="T442" s="32">
        <v>1400000248</v>
      </c>
      <c r="U442" t="s">
        <v>954</v>
      </c>
    </row>
    <row r="443" spans="1:21" hidden="1" x14ac:dyDescent="0.35">
      <c r="A443" s="32">
        <v>1600001739</v>
      </c>
      <c r="B443" s="33" t="s">
        <v>556</v>
      </c>
      <c r="C443" s="34">
        <v>45854</v>
      </c>
      <c r="D443" s="34">
        <v>45854</v>
      </c>
      <c r="E443" s="33" t="s">
        <v>557</v>
      </c>
      <c r="F443" s="35">
        <v>256779421371</v>
      </c>
      <c r="G443" s="33" t="s">
        <v>559</v>
      </c>
      <c r="H443" s="36">
        <v>-525</v>
      </c>
      <c r="I443" s="37" t="s">
        <v>560</v>
      </c>
      <c r="J443" s="38">
        <v>-45512.91</v>
      </c>
      <c r="K443" s="33" t="s">
        <v>561</v>
      </c>
      <c r="L443" s="33" t="s">
        <v>557</v>
      </c>
      <c r="M443" s="54" t="e" cm="1">
        <f t="array" ref="M443">_xlfn.XLOOKUP(F443,'Customer Data Vlookup'!$L:$L,'Customer Data Vlookup'!$M:$N,,0)</f>
        <v>#N/A</v>
      </c>
      <c r="N443" s="54"/>
      <c r="O443" s="53" t="e">
        <f t="shared" si="18"/>
        <v>#N/A</v>
      </c>
      <c r="P443" s="53" t="e">
        <f t="shared" si="19"/>
        <v>#N/A</v>
      </c>
      <c r="Q443" s="33" t="e">
        <f t="shared" si="20"/>
        <v>#N/A</v>
      </c>
      <c r="R443" s="33" t="s">
        <v>573</v>
      </c>
      <c r="S443" s="34">
        <v>45854</v>
      </c>
      <c r="T443" s="32">
        <v>1400000290</v>
      </c>
      <c r="U443" t="s">
        <v>954</v>
      </c>
    </row>
    <row r="444" spans="1:21" hidden="1" x14ac:dyDescent="0.35">
      <c r="A444" s="32">
        <v>1400000290</v>
      </c>
      <c r="B444" s="33" t="s">
        <v>888</v>
      </c>
      <c r="C444" s="34">
        <v>45854</v>
      </c>
      <c r="D444" s="34">
        <v>45855</v>
      </c>
      <c r="E444" s="33" t="s">
        <v>557</v>
      </c>
      <c r="F444" s="35" t="s">
        <v>904</v>
      </c>
      <c r="G444" s="33" t="s">
        <v>559</v>
      </c>
      <c r="H444" s="36">
        <v>-525</v>
      </c>
      <c r="I444" s="37" t="s">
        <v>560</v>
      </c>
      <c r="J444" s="38">
        <v>-45512.91</v>
      </c>
      <c r="K444" s="33" t="s">
        <v>561</v>
      </c>
      <c r="L444" s="33" t="s">
        <v>558</v>
      </c>
      <c r="M444" s="54" t="e" cm="1">
        <f t="array" ref="M444">_xlfn.XLOOKUP(F444,'Customer Data Vlookup'!$L:$L,'Customer Data Vlookup'!$M:$N,,0)</f>
        <v>#N/A</v>
      </c>
      <c r="N444" s="54"/>
      <c r="O444" s="53" t="e">
        <f t="shared" si="18"/>
        <v>#N/A</v>
      </c>
      <c r="P444" s="53" t="e">
        <f t="shared" si="19"/>
        <v>#N/A</v>
      </c>
      <c r="Q444" s="33" t="e">
        <f t="shared" si="20"/>
        <v>#N/A</v>
      </c>
      <c r="R444" s="33" t="s">
        <v>558</v>
      </c>
      <c r="S444" s="34">
        <v>45854</v>
      </c>
      <c r="T444" s="32">
        <v>1400000290</v>
      </c>
      <c r="U444" t="s">
        <v>954</v>
      </c>
    </row>
    <row r="445" spans="1:21" hidden="1" x14ac:dyDescent="0.35">
      <c r="A445" s="32">
        <v>1600001734</v>
      </c>
      <c r="B445" s="33" t="s">
        <v>556</v>
      </c>
      <c r="C445" s="34">
        <v>45854</v>
      </c>
      <c r="D445" s="34">
        <v>45854</v>
      </c>
      <c r="E445" s="33" t="s">
        <v>557</v>
      </c>
      <c r="F445" s="35">
        <v>256779421366</v>
      </c>
      <c r="G445" s="33" t="s">
        <v>559</v>
      </c>
      <c r="H445" s="36">
        <v>-531.9</v>
      </c>
      <c r="I445" s="37" t="s">
        <v>560</v>
      </c>
      <c r="J445" s="38">
        <v>-46111.08</v>
      </c>
      <c r="K445" s="33" t="s">
        <v>561</v>
      </c>
      <c r="L445" s="33" t="s">
        <v>557</v>
      </c>
      <c r="M445" s="54" t="e" cm="1">
        <f t="array" ref="M445">_xlfn.XLOOKUP(F445,'Customer Data Vlookup'!$L:$L,'Customer Data Vlookup'!$M:$N,,0)</f>
        <v>#N/A</v>
      </c>
      <c r="N445" s="54"/>
      <c r="O445" s="53" t="e">
        <f t="shared" si="18"/>
        <v>#N/A</v>
      </c>
      <c r="P445" s="53" t="e">
        <f t="shared" si="19"/>
        <v>#N/A</v>
      </c>
      <c r="Q445" s="33" t="e">
        <f t="shared" si="20"/>
        <v>#N/A</v>
      </c>
      <c r="R445" s="33" t="s">
        <v>571</v>
      </c>
      <c r="S445" s="34">
        <v>45854</v>
      </c>
      <c r="T445" s="32">
        <v>1400000289</v>
      </c>
      <c r="U445" t="s">
        <v>954</v>
      </c>
    </row>
    <row r="446" spans="1:21" hidden="1" x14ac:dyDescent="0.35">
      <c r="A446" s="32">
        <v>1400000289</v>
      </c>
      <c r="B446" s="33" t="s">
        <v>888</v>
      </c>
      <c r="C446" s="34">
        <v>45854</v>
      </c>
      <c r="D446" s="34">
        <v>45855</v>
      </c>
      <c r="E446" s="33" t="s">
        <v>557</v>
      </c>
      <c r="F446" s="35" t="s">
        <v>558</v>
      </c>
      <c r="G446" s="33" t="s">
        <v>559</v>
      </c>
      <c r="H446" s="36">
        <v>-531.9</v>
      </c>
      <c r="I446" s="37" t="s">
        <v>560</v>
      </c>
      <c r="J446" s="38">
        <v>-46111.08</v>
      </c>
      <c r="K446" s="33" t="s">
        <v>561</v>
      </c>
      <c r="L446" s="33" t="s">
        <v>558</v>
      </c>
      <c r="M446" s="54" t="e" cm="1">
        <f t="array" ref="M446">_xlfn.XLOOKUP(F446,'Customer Data Vlookup'!$L:$L,'Customer Data Vlookup'!$M:$N,,0)</f>
        <v>#N/A</v>
      </c>
      <c r="N446" s="54"/>
      <c r="O446" s="53" t="e">
        <f t="shared" si="18"/>
        <v>#N/A</v>
      </c>
      <c r="P446" s="53" t="e">
        <f t="shared" si="19"/>
        <v>#N/A</v>
      </c>
      <c r="Q446" s="33" t="e">
        <f t="shared" si="20"/>
        <v>#N/A</v>
      </c>
      <c r="R446" s="33" t="s">
        <v>558</v>
      </c>
      <c r="S446" s="34">
        <v>45854</v>
      </c>
      <c r="T446" s="32">
        <v>1400000289</v>
      </c>
      <c r="U446" t="s">
        <v>954</v>
      </c>
    </row>
    <row r="447" spans="1:21" hidden="1" x14ac:dyDescent="0.35">
      <c r="A447" s="32">
        <v>1600002471</v>
      </c>
      <c r="B447" s="33" t="s">
        <v>556</v>
      </c>
      <c r="C447" s="34">
        <v>45947</v>
      </c>
      <c r="D447" s="34">
        <v>45953</v>
      </c>
      <c r="E447" s="33" t="s">
        <v>557</v>
      </c>
      <c r="F447" s="35">
        <v>256779422013</v>
      </c>
      <c r="G447" s="33" t="s">
        <v>559</v>
      </c>
      <c r="H447" s="36">
        <v>-582.79999999999995</v>
      </c>
      <c r="I447" s="37" t="s">
        <v>560</v>
      </c>
      <c r="J447" s="38">
        <v>-51397.58</v>
      </c>
      <c r="K447" s="33" t="s">
        <v>561</v>
      </c>
      <c r="L447" s="33" t="s">
        <v>777</v>
      </c>
      <c r="M447" s="54" t="e" cm="1">
        <f t="array" ref="M447">_xlfn.XLOOKUP(F447,'Customer Data Vlookup'!$L:$L,'Customer Data Vlookup'!$M:$N,,0)</f>
        <v>#N/A</v>
      </c>
      <c r="N447" s="54"/>
      <c r="O447" s="53" t="e">
        <f t="shared" si="18"/>
        <v>#N/A</v>
      </c>
      <c r="P447" s="53" t="e">
        <f t="shared" si="19"/>
        <v>#N/A</v>
      </c>
      <c r="Q447" s="33" t="e">
        <f t="shared" si="20"/>
        <v>#N/A</v>
      </c>
      <c r="R447" s="33" t="s">
        <v>778</v>
      </c>
      <c r="S447" s="34">
        <v>45976</v>
      </c>
      <c r="T447" s="32">
        <v>1400001901</v>
      </c>
      <c r="U447" t="s">
        <v>954</v>
      </c>
    </row>
    <row r="448" spans="1:21" hidden="1" x14ac:dyDescent="0.35">
      <c r="A448" s="32">
        <v>1600001727</v>
      </c>
      <c r="B448" s="33" t="s">
        <v>556</v>
      </c>
      <c r="C448" s="34">
        <v>45854</v>
      </c>
      <c r="D448" s="34">
        <v>45854</v>
      </c>
      <c r="E448" s="33" t="s">
        <v>557</v>
      </c>
      <c r="F448" s="35">
        <v>256779421359</v>
      </c>
      <c r="G448" s="33" t="s">
        <v>559</v>
      </c>
      <c r="H448" s="36">
        <v>-705</v>
      </c>
      <c r="I448" s="37" t="s">
        <v>560</v>
      </c>
      <c r="J448" s="38">
        <v>-60844.08</v>
      </c>
      <c r="K448" s="33" t="s">
        <v>561</v>
      </c>
      <c r="L448" s="33" t="s">
        <v>557</v>
      </c>
      <c r="M448" s="54" t="e" cm="1">
        <f t="array" ref="M448">_xlfn.XLOOKUP(F448,'Customer Data Vlookup'!$L:$L,'Customer Data Vlookup'!$M:$N,,0)</f>
        <v>#N/A</v>
      </c>
      <c r="N448" s="54"/>
      <c r="O448" s="53" t="e">
        <f t="shared" ref="O448:O476" si="21">N448-M448</f>
        <v>#N/A</v>
      </c>
      <c r="P448" s="53" t="e">
        <f t="shared" ref="P448:P476" si="22">J448-O448</f>
        <v>#N/A</v>
      </c>
      <c r="Q448" s="33" t="e">
        <f t="shared" ref="Q448:Q476" si="23">P448/J448</f>
        <v>#N/A</v>
      </c>
      <c r="R448" s="33" t="s">
        <v>565</v>
      </c>
      <c r="S448" s="34">
        <v>45854</v>
      </c>
      <c r="T448" s="32">
        <v>1400000286</v>
      </c>
      <c r="U448" t="s">
        <v>954</v>
      </c>
    </row>
    <row r="449" spans="1:21" hidden="1" x14ac:dyDescent="0.35">
      <c r="A449" s="32">
        <v>1400000286</v>
      </c>
      <c r="B449" s="33" t="s">
        <v>888</v>
      </c>
      <c r="C449" s="34">
        <v>45854</v>
      </c>
      <c r="D449" s="34">
        <v>45855</v>
      </c>
      <c r="E449" s="33" t="s">
        <v>557</v>
      </c>
      <c r="F449" s="35" t="s">
        <v>558</v>
      </c>
      <c r="G449" s="33" t="s">
        <v>559</v>
      </c>
      <c r="H449" s="36">
        <v>-705</v>
      </c>
      <c r="I449" s="37" t="s">
        <v>560</v>
      </c>
      <c r="J449" s="38">
        <v>-60844.08</v>
      </c>
      <c r="K449" s="33" t="s">
        <v>561</v>
      </c>
      <c r="L449" s="33" t="s">
        <v>558</v>
      </c>
      <c r="M449" s="54" t="e" cm="1">
        <f t="array" ref="M449">_xlfn.XLOOKUP(F449,'Customer Data Vlookup'!$L:$L,'Customer Data Vlookup'!$M:$N,,0)</f>
        <v>#N/A</v>
      </c>
      <c r="N449" s="54"/>
      <c r="O449" s="53" t="e">
        <f t="shared" si="21"/>
        <v>#N/A</v>
      </c>
      <c r="P449" s="53" t="e">
        <f t="shared" si="22"/>
        <v>#N/A</v>
      </c>
      <c r="Q449" s="33" t="e">
        <f t="shared" si="23"/>
        <v>#N/A</v>
      </c>
      <c r="R449" s="33" t="s">
        <v>558</v>
      </c>
      <c r="S449" s="34">
        <v>45854</v>
      </c>
      <c r="T449" s="32">
        <v>1400000286</v>
      </c>
      <c r="U449" t="s">
        <v>954</v>
      </c>
    </row>
    <row r="450" spans="1:21" hidden="1" x14ac:dyDescent="0.35">
      <c r="A450" s="32">
        <v>1600001736</v>
      </c>
      <c r="B450" s="33" t="s">
        <v>556</v>
      </c>
      <c r="C450" s="34">
        <v>45854</v>
      </c>
      <c r="D450" s="34">
        <v>45854</v>
      </c>
      <c r="E450" s="33" t="s">
        <v>557</v>
      </c>
      <c r="F450" s="35">
        <v>256779421368</v>
      </c>
      <c r="G450" s="33" t="s">
        <v>559</v>
      </c>
      <c r="H450" s="36">
        <v>-705</v>
      </c>
      <c r="I450" s="37" t="s">
        <v>560</v>
      </c>
      <c r="J450" s="38">
        <v>-61279.88</v>
      </c>
      <c r="K450" s="33" t="s">
        <v>561</v>
      </c>
      <c r="L450" s="33" t="s">
        <v>557</v>
      </c>
      <c r="M450" s="54" t="e" cm="1">
        <f t="array" ref="M450">_xlfn.XLOOKUP(F450,'Customer Data Vlookup'!$L:$L,'Customer Data Vlookup'!$M:$N,,0)</f>
        <v>#N/A</v>
      </c>
      <c r="N450" s="54"/>
      <c r="O450" s="53" t="e">
        <f t="shared" si="21"/>
        <v>#N/A</v>
      </c>
      <c r="P450" s="53" t="e">
        <f t="shared" si="22"/>
        <v>#N/A</v>
      </c>
      <c r="Q450" s="33" t="e">
        <f t="shared" si="23"/>
        <v>#N/A</v>
      </c>
      <c r="R450" s="33" t="s">
        <v>580</v>
      </c>
      <c r="S450" s="34">
        <v>45976</v>
      </c>
      <c r="T450" s="32">
        <v>1400001901</v>
      </c>
      <c r="U450" t="s">
        <v>954</v>
      </c>
    </row>
    <row r="451" spans="1:21" hidden="1" x14ac:dyDescent="0.35">
      <c r="A451" s="32">
        <v>1400001112</v>
      </c>
      <c r="B451" s="33" t="s">
        <v>888</v>
      </c>
      <c r="C451" s="34">
        <v>45902</v>
      </c>
      <c r="D451" s="34">
        <v>45902</v>
      </c>
      <c r="E451" s="33" t="s">
        <v>558</v>
      </c>
      <c r="F451" s="35" t="s">
        <v>558</v>
      </c>
      <c r="G451" s="33" t="s">
        <v>560</v>
      </c>
      <c r="H451" s="36">
        <v>-79944.34</v>
      </c>
      <c r="I451" s="37" t="s">
        <v>560</v>
      </c>
      <c r="J451" s="38">
        <v>-78095.820000000007</v>
      </c>
      <c r="K451" s="33" t="s">
        <v>561</v>
      </c>
      <c r="L451" s="33" t="s">
        <v>558</v>
      </c>
      <c r="M451" s="54" t="e" cm="1">
        <f t="array" ref="M451">_xlfn.XLOOKUP(F451,'Customer Data Vlookup'!$L:$L,'Customer Data Vlookup'!$M:$N,,0)</f>
        <v>#N/A</v>
      </c>
      <c r="N451" s="54"/>
      <c r="O451" s="53" t="e">
        <f t="shared" si="21"/>
        <v>#N/A</v>
      </c>
      <c r="P451" s="53" t="e">
        <f t="shared" si="22"/>
        <v>#N/A</v>
      </c>
      <c r="Q451" s="33" t="e">
        <f t="shared" si="23"/>
        <v>#N/A</v>
      </c>
      <c r="R451" s="33" t="s">
        <v>558</v>
      </c>
      <c r="S451" s="34">
        <v>45902</v>
      </c>
      <c r="T451" s="32">
        <v>1400001112</v>
      </c>
      <c r="U451" t="s">
        <v>954</v>
      </c>
    </row>
    <row r="452" spans="1:21" hidden="1" x14ac:dyDescent="0.35">
      <c r="A452" s="32">
        <v>1400001439</v>
      </c>
      <c r="B452" s="33" t="s">
        <v>726</v>
      </c>
      <c r="C452" s="34">
        <v>45946</v>
      </c>
      <c r="D452" s="34">
        <v>45946</v>
      </c>
      <c r="E452" s="33" t="s">
        <v>899</v>
      </c>
      <c r="F452" s="35" t="s">
        <v>558</v>
      </c>
      <c r="G452" s="33" t="s">
        <v>560</v>
      </c>
      <c r="H452" s="36">
        <v>-108564</v>
      </c>
      <c r="I452" s="37" t="s">
        <v>560</v>
      </c>
      <c r="J452" s="38">
        <v>-108564</v>
      </c>
      <c r="K452" s="33" t="s">
        <v>728</v>
      </c>
      <c r="L452" s="33" t="s">
        <v>558</v>
      </c>
      <c r="M452" s="54" t="e" cm="1">
        <f t="array" ref="M452">_xlfn.XLOOKUP(F452,'Customer Data Vlookup'!$L:$L,'Customer Data Vlookup'!$M:$N,,0)</f>
        <v>#N/A</v>
      </c>
      <c r="N452" s="54"/>
      <c r="O452" s="53" t="e">
        <f t="shared" si="21"/>
        <v>#N/A</v>
      </c>
      <c r="P452" s="53" t="e">
        <f t="shared" si="22"/>
        <v>#N/A</v>
      </c>
      <c r="Q452" s="33" t="e">
        <f t="shared" si="23"/>
        <v>#N/A</v>
      </c>
      <c r="R452" s="33" t="s">
        <v>558</v>
      </c>
      <c r="S452" s="34"/>
      <c r="T452" s="33" t="s">
        <v>558</v>
      </c>
    </row>
    <row r="453" spans="1:21" hidden="1" x14ac:dyDescent="0.35">
      <c r="A453" s="32">
        <v>1600001735</v>
      </c>
      <c r="B453" s="33" t="s">
        <v>556</v>
      </c>
      <c r="C453" s="34">
        <v>45854</v>
      </c>
      <c r="D453" s="34">
        <v>45854</v>
      </c>
      <c r="E453" s="33" t="s">
        <v>557</v>
      </c>
      <c r="F453" s="35">
        <v>256779421367</v>
      </c>
      <c r="G453" s="33" t="s">
        <v>559</v>
      </c>
      <c r="H453" s="36">
        <v>-1314.12</v>
      </c>
      <c r="I453" s="37" t="s">
        <v>560</v>
      </c>
      <c r="J453" s="38">
        <v>-114225.7</v>
      </c>
      <c r="K453" s="33" t="s">
        <v>561</v>
      </c>
      <c r="L453" s="33" t="s">
        <v>557</v>
      </c>
      <c r="M453" s="54" t="e" cm="1">
        <f t="array" ref="M453">_xlfn.XLOOKUP(F453,'Customer Data Vlookup'!$L:$L,'Customer Data Vlookup'!$M:$N,,0)</f>
        <v>#N/A</v>
      </c>
      <c r="N453" s="54"/>
      <c r="O453" s="54" t="e">
        <f t="shared" si="21"/>
        <v>#N/A</v>
      </c>
      <c r="P453" s="54" t="e">
        <f t="shared" si="22"/>
        <v>#N/A</v>
      </c>
      <c r="Q453" s="56" t="e">
        <f t="shared" si="23"/>
        <v>#N/A</v>
      </c>
      <c r="R453" s="33" t="s">
        <v>579</v>
      </c>
      <c r="S453" s="34">
        <v>45976</v>
      </c>
      <c r="T453" s="32">
        <v>1400001901</v>
      </c>
      <c r="U453" t="s">
        <v>954</v>
      </c>
    </row>
    <row r="454" spans="1:21" hidden="1" x14ac:dyDescent="0.35">
      <c r="A454" s="32">
        <v>1600001726</v>
      </c>
      <c r="B454" s="33" t="s">
        <v>556</v>
      </c>
      <c r="C454" s="34">
        <v>45854</v>
      </c>
      <c r="D454" s="34">
        <v>45854</v>
      </c>
      <c r="E454" s="33" t="s">
        <v>557</v>
      </c>
      <c r="F454" s="35">
        <v>256779421358</v>
      </c>
      <c r="G454" s="33" t="s">
        <v>559</v>
      </c>
      <c r="H454" s="36">
        <v>-1793.99</v>
      </c>
      <c r="I454" s="37" t="s">
        <v>560</v>
      </c>
      <c r="J454" s="38">
        <v>-154827.9</v>
      </c>
      <c r="K454" s="33" t="s">
        <v>561</v>
      </c>
      <c r="L454" s="33" t="s">
        <v>557</v>
      </c>
      <c r="M454" s="54" t="e" cm="1">
        <f t="array" ref="M454">_xlfn.XLOOKUP(F454,'Customer Data Vlookup'!$L:$L,'Customer Data Vlookup'!$M:$N,,0)</f>
        <v>#N/A</v>
      </c>
      <c r="N454" s="54"/>
      <c r="O454" s="53" t="e">
        <f t="shared" si="21"/>
        <v>#N/A</v>
      </c>
      <c r="P454" s="53" t="e">
        <f t="shared" si="22"/>
        <v>#N/A</v>
      </c>
      <c r="Q454" s="33" t="e">
        <f t="shared" si="23"/>
        <v>#N/A</v>
      </c>
      <c r="R454" s="33" t="s">
        <v>562</v>
      </c>
      <c r="S454" s="34">
        <v>45854</v>
      </c>
      <c r="T454" s="32">
        <v>1400000285</v>
      </c>
      <c r="U454" t="s">
        <v>954</v>
      </c>
    </row>
    <row r="455" spans="1:21" hidden="1" x14ac:dyDescent="0.35">
      <c r="A455" s="32">
        <v>1400000285</v>
      </c>
      <c r="B455" s="33" t="s">
        <v>888</v>
      </c>
      <c r="C455" s="34">
        <v>45854</v>
      </c>
      <c r="D455" s="34">
        <v>45855</v>
      </c>
      <c r="E455" s="33" t="s">
        <v>557</v>
      </c>
      <c r="F455" s="35" t="s">
        <v>558</v>
      </c>
      <c r="G455" s="33" t="s">
        <v>559</v>
      </c>
      <c r="H455" s="36">
        <v>-1793.99</v>
      </c>
      <c r="I455" s="37" t="s">
        <v>560</v>
      </c>
      <c r="J455" s="38">
        <v>-154827.9</v>
      </c>
      <c r="K455" s="33" t="s">
        <v>561</v>
      </c>
      <c r="L455" s="33" t="s">
        <v>558</v>
      </c>
      <c r="M455" s="54" t="e" cm="1">
        <f t="array" ref="M455">_xlfn.XLOOKUP(F455,'Customer Data Vlookup'!$L:$L,'Customer Data Vlookup'!$M:$N,,0)</f>
        <v>#N/A</v>
      </c>
      <c r="N455" s="54"/>
      <c r="O455" s="53" t="e">
        <f t="shared" si="21"/>
        <v>#N/A</v>
      </c>
      <c r="P455" s="53" t="e">
        <f t="shared" si="22"/>
        <v>#N/A</v>
      </c>
      <c r="Q455" s="33" t="e">
        <f t="shared" si="23"/>
        <v>#N/A</v>
      </c>
      <c r="R455" s="33" t="s">
        <v>558</v>
      </c>
      <c r="S455" s="34">
        <v>45854</v>
      </c>
      <c r="T455" s="32">
        <v>1400000285</v>
      </c>
      <c r="U455" t="s">
        <v>954</v>
      </c>
    </row>
    <row r="456" spans="1:21" hidden="1" x14ac:dyDescent="0.35">
      <c r="A456" s="32">
        <v>1600001737</v>
      </c>
      <c r="B456" s="33" t="s">
        <v>556</v>
      </c>
      <c r="C456" s="34">
        <v>45854</v>
      </c>
      <c r="D456" s="34">
        <v>45854</v>
      </c>
      <c r="E456" s="33" t="s">
        <v>557</v>
      </c>
      <c r="F456" s="35">
        <v>256779421369</v>
      </c>
      <c r="G456" s="33" t="s">
        <v>559</v>
      </c>
      <c r="H456" s="36">
        <v>-1793.99</v>
      </c>
      <c r="I456" s="37" t="s">
        <v>560</v>
      </c>
      <c r="J456" s="38">
        <v>-155936.88</v>
      </c>
      <c r="K456" s="33" t="s">
        <v>561</v>
      </c>
      <c r="L456" s="33" t="s">
        <v>557</v>
      </c>
      <c r="M456" s="54" t="e" cm="1">
        <f t="array" ref="M456">_xlfn.XLOOKUP(F456,'Customer Data Vlookup'!$L:$L,'Customer Data Vlookup'!$M:$N,,0)</f>
        <v>#N/A</v>
      </c>
      <c r="N456" s="54"/>
      <c r="O456" s="53" t="e">
        <f t="shared" si="21"/>
        <v>#N/A</v>
      </c>
      <c r="P456" s="53" t="e">
        <f t="shared" si="22"/>
        <v>#N/A</v>
      </c>
      <c r="Q456" s="33" t="e">
        <f t="shared" si="23"/>
        <v>#N/A</v>
      </c>
      <c r="R456" s="33" t="s">
        <v>581</v>
      </c>
      <c r="S456" s="34">
        <v>45976</v>
      </c>
      <c r="T456" s="32">
        <v>1400001901</v>
      </c>
      <c r="U456" t="s">
        <v>954</v>
      </c>
    </row>
    <row r="457" spans="1:21" hidden="1" x14ac:dyDescent="0.35">
      <c r="A457" s="32">
        <v>1600001731</v>
      </c>
      <c r="B457" s="33" t="s">
        <v>556</v>
      </c>
      <c r="C457" s="34">
        <v>45854</v>
      </c>
      <c r="D457" s="34">
        <v>45854</v>
      </c>
      <c r="E457" s="33" t="s">
        <v>557</v>
      </c>
      <c r="F457" s="35">
        <v>256779421363</v>
      </c>
      <c r="G457" s="33" t="s">
        <v>559</v>
      </c>
      <c r="H457" s="36">
        <v>-1926.06</v>
      </c>
      <c r="I457" s="37" t="s">
        <v>560</v>
      </c>
      <c r="J457" s="38">
        <v>-166972.57</v>
      </c>
      <c r="K457" s="33" t="s">
        <v>561</v>
      </c>
      <c r="L457" s="33" t="s">
        <v>557</v>
      </c>
      <c r="M457" s="54" t="e" cm="1">
        <f t="array" ref="M457">_xlfn.XLOOKUP(F457,'Customer Data Vlookup'!$L:$L,'Customer Data Vlookup'!$M:$N,,0)</f>
        <v>#N/A</v>
      </c>
      <c r="N457" s="54"/>
      <c r="O457" s="53" t="e">
        <f t="shared" si="21"/>
        <v>#N/A</v>
      </c>
      <c r="P457" s="53" t="e">
        <f t="shared" si="22"/>
        <v>#N/A</v>
      </c>
      <c r="Q457" s="33" t="e">
        <f t="shared" si="23"/>
        <v>#N/A</v>
      </c>
      <c r="R457" s="33" t="s">
        <v>569</v>
      </c>
      <c r="S457" s="34">
        <v>45854</v>
      </c>
      <c r="T457" s="32">
        <v>1400000288</v>
      </c>
      <c r="U457" t="s">
        <v>954</v>
      </c>
    </row>
    <row r="458" spans="1:21" hidden="1" x14ac:dyDescent="0.35">
      <c r="A458" s="32">
        <v>1400000288</v>
      </c>
      <c r="B458" s="33" t="s">
        <v>888</v>
      </c>
      <c r="C458" s="34">
        <v>45854</v>
      </c>
      <c r="D458" s="34">
        <v>45855</v>
      </c>
      <c r="E458" s="33" t="s">
        <v>557</v>
      </c>
      <c r="F458" s="35" t="s">
        <v>558</v>
      </c>
      <c r="G458" s="33" t="s">
        <v>559</v>
      </c>
      <c r="H458" s="36">
        <v>-1926.06</v>
      </c>
      <c r="I458" s="37" t="s">
        <v>560</v>
      </c>
      <c r="J458" s="38">
        <v>-166972.57</v>
      </c>
      <c r="K458" s="33" t="s">
        <v>561</v>
      </c>
      <c r="L458" s="33" t="s">
        <v>558</v>
      </c>
      <c r="M458" s="54" t="e" cm="1">
        <f t="array" ref="M458">_xlfn.XLOOKUP(F458,'Customer Data Vlookup'!$L:$L,'Customer Data Vlookup'!$M:$N,,0)</f>
        <v>#N/A</v>
      </c>
      <c r="N458" s="54"/>
      <c r="O458" s="53" t="e">
        <f t="shared" si="21"/>
        <v>#N/A</v>
      </c>
      <c r="P458" s="53" t="e">
        <f t="shared" si="22"/>
        <v>#N/A</v>
      </c>
      <c r="Q458" s="33" t="e">
        <f t="shared" si="23"/>
        <v>#N/A</v>
      </c>
      <c r="R458" s="33" t="s">
        <v>558</v>
      </c>
      <c r="S458" s="34">
        <v>45854</v>
      </c>
      <c r="T458" s="32">
        <v>1400000288</v>
      </c>
      <c r="U458" t="s">
        <v>954</v>
      </c>
    </row>
    <row r="459" spans="1:21" hidden="1" x14ac:dyDescent="0.35">
      <c r="A459" s="32">
        <v>1400000091</v>
      </c>
      <c r="B459" s="33" t="s">
        <v>726</v>
      </c>
      <c r="C459" s="34">
        <v>45832</v>
      </c>
      <c r="D459" s="34">
        <v>45832</v>
      </c>
      <c r="E459" s="33" t="s">
        <v>900</v>
      </c>
      <c r="F459" s="35" t="s">
        <v>558</v>
      </c>
      <c r="G459" s="33" t="s">
        <v>560</v>
      </c>
      <c r="H459" s="36">
        <v>-177773</v>
      </c>
      <c r="I459" s="37" t="s">
        <v>560</v>
      </c>
      <c r="J459" s="38">
        <v>-177773</v>
      </c>
      <c r="K459" s="33" t="s">
        <v>728</v>
      </c>
      <c r="L459" s="33" t="s">
        <v>558</v>
      </c>
      <c r="M459" s="54" t="e" cm="1">
        <f t="array" ref="M459">_xlfn.XLOOKUP(F459,'Customer Data Vlookup'!$L:$L,'Customer Data Vlookup'!$M:$N,,0)</f>
        <v>#N/A</v>
      </c>
      <c r="N459" s="54"/>
      <c r="O459" s="53" t="e">
        <f t="shared" si="21"/>
        <v>#N/A</v>
      </c>
      <c r="P459" s="53" t="e">
        <f t="shared" si="22"/>
        <v>#N/A</v>
      </c>
      <c r="Q459" s="33" t="e">
        <f t="shared" si="23"/>
        <v>#N/A</v>
      </c>
      <c r="R459" s="33" t="s">
        <v>558</v>
      </c>
      <c r="S459" s="34"/>
      <c r="T459" s="33" t="s">
        <v>558</v>
      </c>
    </row>
    <row r="460" spans="1:21" hidden="1" x14ac:dyDescent="0.35">
      <c r="A460" s="32">
        <v>1400001594</v>
      </c>
      <c r="B460" s="33" t="s">
        <v>726</v>
      </c>
      <c r="C460" s="34">
        <v>45964</v>
      </c>
      <c r="D460" s="34">
        <v>45964</v>
      </c>
      <c r="E460" s="33" t="s">
        <v>903</v>
      </c>
      <c r="F460" s="35" t="s">
        <v>558</v>
      </c>
      <c r="G460" s="33" t="s">
        <v>560</v>
      </c>
      <c r="H460" s="36">
        <v>-300000</v>
      </c>
      <c r="I460" s="37" t="s">
        <v>560</v>
      </c>
      <c r="J460" s="38">
        <v>-300000</v>
      </c>
      <c r="K460" s="33" t="s">
        <v>728</v>
      </c>
      <c r="L460" s="33" t="s">
        <v>558</v>
      </c>
      <c r="M460" s="54" t="e" cm="1">
        <f t="array" ref="M460">_xlfn.XLOOKUP(F460,'Customer Data Vlookup'!$L:$L,'Customer Data Vlookup'!$M:$N,,0)</f>
        <v>#N/A</v>
      </c>
      <c r="N460" s="54"/>
      <c r="O460" s="53" t="e">
        <f t="shared" si="21"/>
        <v>#N/A</v>
      </c>
      <c r="P460" s="53" t="e">
        <f t="shared" si="22"/>
        <v>#N/A</v>
      </c>
      <c r="Q460" s="33" t="e">
        <f t="shared" si="23"/>
        <v>#N/A</v>
      </c>
      <c r="R460" s="33" t="s">
        <v>558</v>
      </c>
      <c r="S460" s="34"/>
      <c r="T460" s="33" t="s">
        <v>558</v>
      </c>
    </row>
    <row r="461" spans="1:21" hidden="1" x14ac:dyDescent="0.35">
      <c r="A461" s="32">
        <v>1400001901</v>
      </c>
      <c r="B461" s="33" t="s">
        <v>888</v>
      </c>
      <c r="C461" s="34">
        <v>45976</v>
      </c>
      <c r="D461" s="34">
        <v>45976</v>
      </c>
      <c r="E461" s="33" t="s">
        <v>557</v>
      </c>
      <c r="F461" s="35" t="s">
        <v>904</v>
      </c>
      <c r="G461" s="33" t="s">
        <v>559</v>
      </c>
      <c r="H461" s="36">
        <v>-3813.11</v>
      </c>
      <c r="I461" s="37" t="s">
        <v>560</v>
      </c>
      <c r="J461" s="38">
        <v>-331442.46000000002</v>
      </c>
      <c r="K461" s="33" t="s">
        <v>561</v>
      </c>
      <c r="L461" s="33" t="s">
        <v>558</v>
      </c>
      <c r="M461" s="54" t="e" cm="1">
        <f t="array" ref="M461">_xlfn.XLOOKUP(F461,'Customer Data Vlookup'!$L:$L,'Customer Data Vlookup'!$M:$N,,0)</f>
        <v>#N/A</v>
      </c>
      <c r="N461" s="54"/>
      <c r="O461" s="53" t="e">
        <f t="shared" si="21"/>
        <v>#N/A</v>
      </c>
      <c r="P461" s="53" t="e">
        <f t="shared" si="22"/>
        <v>#N/A</v>
      </c>
      <c r="Q461" s="33" t="e">
        <f t="shared" si="23"/>
        <v>#N/A</v>
      </c>
      <c r="R461" s="33" t="s">
        <v>558</v>
      </c>
      <c r="S461" s="34">
        <v>45976</v>
      </c>
      <c r="T461" s="32">
        <v>1400001901</v>
      </c>
      <c r="U461" t="s">
        <v>954</v>
      </c>
    </row>
    <row r="462" spans="1:21" hidden="1" x14ac:dyDescent="0.35">
      <c r="A462" s="32">
        <v>1400000963</v>
      </c>
      <c r="B462" s="33" t="s">
        <v>726</v>
      </c>
      <c r="C462" s="34">
        <v>45890</v>
      </c>
      <c r="D462" s="34">
        <v>45890</v>
      </c>
      <c r="E462" s="33" t="s">
        <v>898</v>
      </c>
      <c r="F462" s="35" t="s">
        <v>558</v>
      </c>
      <c r="G462" s="33" t="s">
        <v>560</v>
      </c>
      <c r="H462" s="36">
        <v>-350672</v>
      </c>
      <c r="I462" s="37" t="s">
        <v>560</v>
      </c>
      <c r="J462" s="38">
        <v>-350672</v>
      </c>
      <c r="K462" s="33" t="s">
        <v>728</v>
      </c>
      <c r="L462" s="33" t="s">
        <v>558</v>
      </c>
      <c r="M462" s="54" t="e" cm="1">
        <f t="array" ref="M462">_xlfn.XLOOKUP(F462,'Customer Data Vlookup'!$L:$L,'Customer Data Vlookup'!$M:$N,,0)</f>
        <v>#N/A</v>
      </c>
      <c r="N462" s="54"/>
      <c r="O462" s="53" t="e">
        <f t="shared" si="21"/>
        <v>#N/A</v>
      </c>
      <c r="P462" s="53" t="e">
        <f t="shared" si="22"/>
        <v>#N/A</v>
      </c>
      <c r="Q462" s="33" t="e">
        <f t="shared" si="23"/>
        <v>#N/A</v>
      </c>
      <c r="R462" s="33" t="s">
        <v>558</v>
      </c>
      <c r="S462" s="34"/>
      <c r="T462" s="33" t="s">
        <v>558</v>
      </c>
    </row>
    <row r="463" spans="1:21" hidden="1" x14ac:dyDescent="0.35">
      <c r="A463" s="32">
        <v>1400002411</v>
      </c>
      <c r="B463" s="33" t="s">
        <v>726</v>
      </c>
      <c r="C463" s="34">
        <v>46030</v>
      </c>
      <c r="D463" s="34">
        <v>46030</v>
      </c>
      <c r="E463" s="33" t="s">
        <v>727</v>
      </c>
      <c r="F463" s="35" t="s">
        <v>558</v>
      </c>
      <c r="G463" s="33" t="s">
        <v>560</v>
      </c>
      <c r="H463" s="36">
        <v>-500000</v>
      </c>
      <c r="I463" s="37" t="s">
        <v>560</v>
      </c>
      <c r="J463" s="38">
        <v>-500000</v>
      </c>
      <c r="K463" s="33" t="s">
        <v>728</v>
      </c>
      <c r="L463" s="33" t="s">
        <v>558</v>
      </c>
      <c r="M463" s="54" t="e" cm="1">
        <f t="array" ref="M463">_xlfn.XLOOKUP(F463,'Customer Data Vlookup'!$L:$L,'Customer Data Vlookup'!$M:$N,,0)</f>
        <v>#N/A</v>
      </c>
      <c r="N463" s="54"/>
      <c r="O463" s="53" t="e">
        <f t="shared" si="21"/>
        <v>#N/A</v>
      </c>
      <c r="P463" s="53" t="e">
        <f t="shared" si="22"/>
        <v>#N/A</v>
      </c>
      <c r="Q463" s="33" t="e">
        <f t="shared" si="23"/>
        <v>#N/A</v>
      </c>
      <c r="R463" s="33" t="s">
        <v>558</v>
      </c>
      <c r="S463" s="34"/>
      <c r="T463" s="33" t="s">
        <v>558</v>
      </c>
    </row>
    <row r="464" spans="1:21" hidden="1" x14ac:dyDescent="0.35">
      <c r="A464" s="32">
        <v>1400001437</v>
      </c>
      <c r="B464" s="33" t="s">
        <v>726</v>
      </c>
      <c r="C464" s="34">
        <v>45946</v>
      </c>
      <c r="D464" s="34">
        <v>45946</v>
      </c>
      <c r="E464" s="33" t="s">
        <v>889</v>
      </c>
      <c r="F464" s="35" t="s">
        <v>558</v>
      </c>
      <c r="G464" s="33" t="s">
        <v>560</v>
      </c>
      <c r="H464" s="36">
        <v>-500000</v>
      </c>
      <c r="I464" s="37" t="s">
        <v>560</v>
      </c>
      <c r="J464" s="38">
        <v>-500000</v>
      </c>
      <c r="K464" s="33" t="s">
        <v>728</v>
      </c>
      <c r="L464" s="33" t="s">
        <v>558</v>
      </c>
      <c r="M464" s="54" t="e" cm="1">
        <f t="array" ref="M464">_xlfn.XLOOKUP(F464,'Customer Data Vlookup'!$L:$L,'Customer Data Vlookup'!$M:$N,,0)</f>
        <v>#N/A</v>
      </c>
      <c r="N464" s="54"/>
      <c r="O464" s="53" t="e">
        <f t="shared" si="21"/>
        <v>#N/A</v>
      </c>
      <c r="P464" s="53" t="e">
        <f t="shared" si="22"/>
        <v>#N/A</v>
      </c>
      <c r="Q464" s="33" t="e">
        <f t="shared" si="23"/>
        <v>#N/A</v>
      </c>
      <c r="R464" s="33" t="s">
        <v>558</v>
      </c>
      <c r="S464" s="34"/>
      <c r="T464" s="33" t="s">
        <v>558</v>
      </c>
    </row>
    <row r="465" spans="1:21" hidden="1" x14ac:dyDescent="0.35">
      <c r="A465" s="32">
        <v>1400001551</v>
      </c>
      <c r="B465" s="33" t="s">
        <v>726</v>
      </c>
      <c r="C465" s="34">
        <v>45959</v>
      </c>
      <c r="D465" s="34">
        <v>45959</v>
      </c>
      <c r="E465" s="33" t="s">
        <v>890</v>
      </c>
      <c r="F465" s="35" t="s">
        <v>558</v>
      </c>
      <c r="G465" s="33" t="s">
        <v>560</v>
      </c>
      <c r="H465" s="36">
        <v>-500000</v>
      </c>
      <c r="I465" s="37" t="s">
        <v>560</v>
      </c>
      <c r="J465" s="38">
        <v>-500000</v>
      </c>
      <c r="K465" s="33" t="s">
        <v>728</v>
      </c>
      <c r="L465" s="33" t="s">
        <v>558</v>
      </c>
      <c r="M465" s="54" t="e" cm="1">
        <f t="array" ref="M465">_xlfn.XLOOKUP(F465,'Customer Data Vlookup'!$L:$L,'Customer Data Vlookup'!$M:$N,,0)</f>
        <v>#N/A</v>
      </c>
      <c r="N465" s="54"/>
      <c r="O465" s="53" t="e">
        <f t="shared" si="21"/>
        <v>#N/A</v>
      </c>
      <c r="P465" s="53" t="e">
        <f t="shared" si="22"/>
        <v>#N/A</v>
      </c>
      <c r="Q465" s="33" t="e">
        <f t="shared" si="23"/>
        <v>#N/A</v>
      </c>
      <c r="R465" s="33" t="s">
        <v>558</v>
      </c>
      <c r="S465" s="34"/>
      <c r="T465" s="33" t="s">
        <v>558</v>
      </c>
    </row>
    <row r="466" spans="1:21" hidden="1" x14ac:dyDescent="0.35">
      <c r="A466" s="32">
        <v>1400001616</v>
      </c>
      <c r="B466" s="33" t="s">
        <v>726</v>
      </c>
      <c r="C466" s="34">
        <v>45972</v>
      </c>
      <c r="D466" s="34">
        <v>45972</v>
      </c>
      <c r="E466" s="33" t="s">
        <v>891</v>
      </c>
      <c r="F466" s="35" t="s">
        <v>558</v>
      </c>
      <c r="G466" s="33" t="s">
        <v>560</v>
      </c>
      <c r="H466" s="36">
        <v>-500000</v>
      </c>
      <c r="I466" s="37" t="s">
        <v>560</v>
      </c>
      <c r="J466" s="38">
        <v>-500000</v>
      </c>
      <c r="K466" s="33" t="s">
        <v>728</v>
      </c>
      <c r="L466" s="33" t="s">
        <v>558</v>
      </c>
      <c r="M466" s="54" t="e" cm="1">
        <f t="array" ref="M466">_xlfn.XLOOKUP(F466,'Customer Data Vlookup'!$L:$L,'Customer Data Vlookup'!$M:$N,,0)</f>
        <v>#N/A</v>
      </c>
      <c r="N466" s="54"/>
      <c r="O466" s="53" t="e">
        <f t="shared" si="21"/>
        <v>#N/A</v>
      </c>
      <c r="P466" s="53" t="e">
        <f t="shared" si="22"/>
        <v>#N/A</v>
      </c>
      <c r="Q466" s="33" t="e">
        <f t="shared" si="23"/>
        <v>#N/A</v>
      </c>
      <c r="R466" s="33" t="s">
        <v>558</v>
      </c>
      <c r="S466" s="34"/>
      <c r="T466" s="33" t="s">
        <v>558</v>
      </c>
    </row>
    <row r="467" spans="1:21" hidden="1" x14ac:dyDescent="0.35">
      <c r="A467" s="32">
        <v>1400001619</v>
      </c>
      <c r="B467" s="33" t="s">
        <v>726</v>
      </c>
      <c r="C467" s="34">
        <v>45972</v>
      </c>
      <c r="D467" s="34">
        <v>45972</v>
      </c>
      <c r="E467" s="33" t="s">
        <v>891</v>
      </c>
      <c r="F467" s="35" t="s">
        <v>558</v>
      </c>
      <c r="G467" s="33" t="s">
        <v>560</v>
      </c>
      <c r="H467" s="36">
        <v>-500000</v>
      </c>
      <c r="I467" s="37" t="s">
        <v>560</v>
      </c>
      <c r="J467" s="38">
        <v>-500000</v>
      </c>
      <c r="K467" s="33" t="s">
        <v>728</v>
      </c>
      <c r="L467" s="33" t="s">
        <v>558</v>
      </c>
      <c r="M467" s="54" t="e" cm="1">
        <f t="array" ref="M467">_xlfn.XLOOKUP(F467,'Customer Data Vlookup'!$L:$L,'Customer Data Vlookup'!$M:$N,,0)</f>
        <v>#N/A</v>
      </c>
      <c r="N467" s="54"/>
      <c r="O467" s="53" t="e">
        <f t="shared" si="21"/>
        <v>#N/A</v>
      </c>
      <c r="P467" s="53" t="e">
        <f t="shared" si="22"/>
        <v>#N/A</v>
      </c>
      <c r="Q467" s="33" t="e">
        <f t="shared" si="23"/>
        <v>#N/A</v>
      </c>
      <c r="R467" s="33" t="s">
        <v>558</v>
      </c>
      <c r="S467" s="34">
        <v>45972</v>
      </c>
      <c r="T467" s="32">
        <v>1400001985</v>
      </c>
      <c r="U467" t="s">
        <v>954</v>
      </c>
    </row>
    <row r="468" spans="1:21" hidden="1" x14ac:dyDescent="0.35">
      <c r="A468" s="32">
        <v>1400002209</v>
      </c>
      <c r="B468" s="33" t="s">
        <v>726</v>
      </c>
      <c r="C468" s="34">
        <v>46007</v>
      </c>
      <c r="D468" s="34">
        <v>46007</v>
      </c>
      <c r="E468" s="33" t="s">
        <v>892</v>
      </c>
      <c r="F468" s="35" t="s">
        <v>558</v>
      </c>
      <c r="G468" s="33" t="s">
        <v>560</v>
      </c>
      <c r="H468" s="36">
        <v>-500000</v>
      </c>
      <c r="I468" s="37" t="s">
        <v>560</v>
      </c>
      <c r="J468" s="38">
        <v>-500000</v>
      </c>
      <c r="K468" s="33" t="s">
        <v>728</v>
      </c>
      <c r="L468" s="33" t="s">
        <v>558</v>
      </c>
      <c r="M468" s="54" t="e" cm="1">
        <f t="array" ref="M468">_xlfn.XLOOKUP(F468,'Customer Data Vlookup'!$L:$L,'Customer Data Vlookup'!$M:$N,,0)</f>
        <v>#N/A</v>
      </c>
      <c r="N468" s="54"/>
      <c r="O468" s="53" t="e">
        <f t="shared" si="21"/>
        <v>#N/A</v>
      </c>
      <c r="P468" s="53" t="e">
        <f t="shared" si="22"/>
        <v>#N/A</v>
      </c>
      <c r="Q468" s="33" t="e">
        <f t="shared" si="23"/>
        <v>#N/A</v>
      </c>
      <c r="R468" s="33" t="s">
        <v>558</v>
      </c>
      <c r="S468" s="34"/>
      <c r="T468" s="33" t="s">
        <v>558</v>
      </c>
    </row>
    <row r="469" spans="1:21" hidden="1" x14ac:dyDescent="0.35">
      <c r="A469" s="32">
        <v>1400000095</v>
      </c>
      <c r="B469" s="33" t="s">
        <v>726</v>
      </c>
      <c r="C469" s="34">
        <v>45832</v>
      </c>
      <c r="D469" s="34">
        <v>45832</v>
      </c>
      <c r="E469" s="33" t="s">
        <v>901</v>
      </c>
      <c r="F469" s="35" t="s">
        <v>558</v>
      </c>
      <c r="G469" s="33" t="s">
        <v>560</v>
      </c>
      <c r="H469" s="36">
        <v>-500947</v>
      </c>
      <c r="I469" s="37" t="s">
        <v>560</v>
      </c>
      <c r="J469" s="38">
        <v>-500947</v>
      </c>
      <c r="K469" s="33" t="s">
        <v>728</v>
      </c>
      <c r="L469" s="33" t="s">
        <v>558</v>
      </c>
      <c r="M469" s="54" t="e" cm="1">
        <f t="array" ref="M469">_xlfn.XLOOKUP(F469,'Customer Data Vlookup'!$L:$L,'Customer Data Vlookup'!$M:$N,,0)</f>
        <v>#N/A</v>
      </c>
      <c r="N469" s="54"/>
      <c r="O469" s="53" t="e">
        <f t="shared" si="21"/>
        <v>#N/A</v>
      </c>
      <c r="P469" s="53" t="e">
        <f t="shared" si="22"/>
        <v>#N/A</v>
      </c>
      <c r="Q469" s="33" t="e">
        <f t="shared" si="23"/>
        <v>#N/A</v>
      </c>
      <c r="R469" s="33" t="s">
        <v>558</v>
      </c>
      <c r="S469" s="34"/>
      <c r="T469" s="33" t="s">
        <v>558</v>
      </c>
    </row>
    <row r="470" spans="1:21" hidden="1" x14ac:dyDescent="0.35">
      <c r="A470" s="32">
        <v>1400002583</v>
      </c>
      <c r="B470" s="33" t="s">
        <v>726</v>
      </c>
      <c r="C470" s="34">
        <v>46055</v>
      </c>
      <c r="D470" s="34">
        <v>46052</v>
      </c>
      <c r="E470" s="33" t="s">
        <v>762</v>
      </c>
      <c r="F470" s="35" t="s">
        <v>762</v>
      </c>
      <c r="G470" s="33" t="s">
        <v>560</v>
      </c>
      <c r="H470" s="36">
        <v>-674751</v>
      </c>
      <c r="I470" s="37" t="s">
        <v>560</v>
      </c>
      <c r="J470" s="38">
        <v>-674751</v>
      </c>
      <c r="K470" s="33" t="s">
        <v>728</v>
      </c>
      <c r="L470" s="33" t="s">
        <v>558</v>
      </c>
      <c r="M470" s="54" t="e" cm="1">
        <f t="array" ref="M470">_xlfn.XLOOKUP(F470,'Customer Data Vlookup'!$L:$L,'Customer Data Vlookup'!$M:$N,,0)</f>
        <v>#N/A</v>
      </c>
      <c r="N470" s="54"/>
      <c r="O470" s="53" t="e">
        <f t="shared" si="21"/>
        <v>#N/A</v>
      </c>
      <c r="P470" s="53" t="e">
        <f t="shared" si="22"/>
        <v>#N/A</v>
      </c>
      <c r="Q470" s="33" t="e">
        <f t="shared" si="23"/>
        <v>#N/A</v>
      </c>
      <c r="R470" s="33" t="s">
        <v>558</v>
      </c>
      <c r="S470" s="34"/>
      <c r="T470" s="33" t="s">
        <v>558</v>
      </c>
    </row>
    <row r="471" spans="1:21" hidden="1" x14ac:dyDescent="0.35">
      <c r="A471" s="32">
        <v>1400000896</v>
      </c>
      <c r="B471" s="33" t="s">
        <v>726</v>
      </c>
      <c r="C471" s="34">
        <v>45890</v>
      </c>
      <c r="D471" s="34">
        <v>45890</v>
      </c>
      <c r="E471" s="33" t="s">
        <v>893</v>
      </c>
      <c r="F471" s="35" t="s">
        <v>558</v>
      </c>
      <c r="G471" s="33" t="s">
        <v>560</v>
      </c>
      <c r="H471" s="36">
        <v>-700000</v>
      </c>
      <c r="I471" s="37" t="s">
        <v>560</v>
      </c>
      <c r="J471" s="38">
        <v>-700000</v>
      </c>
      <c r="K471" s="33" t="s">
        <v>728</v>
      </c>
      <c r="L471" s="33" t="s">
        <v>558</v>
      </c>
      <c r="M471" s="54" t="e" cm="1">
        <f t="array" ref="M471">_xlfn.XLOOKUP(F471,'Customer Data Vlookup'!$L:$L,'Customer Data Vlookup'!$M:$N,,0)</f>
        <v>#N/A</v>
      </c>
      <c r="N471" s="54"/>
      <c r="O471" s="53" t="e">
        <f t="shared" si="21"/>
        <v>#N/A</v>
      </c>
      <c r="P471" s="53" t="e">
        <f t="shared" si="22"/>
        <v>#N/A</v>
      </c>
      <c r="Q471" s="33" t="e">
        <f t="shared" si="23"/>
        <v>#N/A</v>
      </c>
      <c r="R471" s="33" t="s">
        <v>558</v>
      </c>
      <c r="S471" s="34"/>
      <c r="T471" s="33" t="s">
        <v>558</v>
      </c>
    </row>
    <row r="472" spans="1:21" hidden="1" x14ac:dyDescent="0.35">
      <c r="A472" s="32">
        <v>1400000909</v>
      </c>
      <c r="B472" s="33" t="s">
        <v>726</v>
      </c>
      <c r="C472" s="34">
        <v>45890</v>
      </c>
      <c r="D472" s="34">
        <v>45890</v>
      </c>
      <c r="E472" s="33" t="s">
        <v>894</v>
      </c>
      <c r="F472" s="35" t="s">
        <v>558</v>
      </c>
      <c r="G472" s="33" t="s">
        <v>560</v>
      </c>
      <c r="H472" s="36">
        <v>-700000</v>
      </c>
      <c r="I472" s="37" t="s">
        <v>560</v>
      </c>
      <c r="J472" s="38">
        <v>-700000</v>
      </c>
      <c r="K472" s="33" t="s">
        <v>728</v>
      </c>
      <c r="L472" s="33" t="s">
        <v>558</v>
      </c>
      <c r="M472" s="54" t="e" cm="1">
        <f t="array" ref="M472">_xlfn.XLOOKUP(F472,'Customer Data Vlookup'!$L:$L,'Customer Data Vlookup'!$M:$N,,0)</f>
        <v>#N/A</v>
      </c>
      <c r="N472" s="54"/>
      <c r="O472" s="53" t="e">
        <f t="shared" si="21"/>
        <v>#N/A</v>
      </c>
      <c r="P472" s="53" t="e">
        <f t="shared" si="22"/>
        <v>#N/A</v>
      </c>
      <c r="Q472" s="33" t="e">
        <f t="shared" si="23"/>
        <v>#N/A</v>
      </c>
      <c r="R472" s="33" t="s">
        <v>558</v>
      </c>
      <c r="S472" s="34"/>
      <c r="T472" s="33" t="s">
        <v>558</v>
      </c>
    </row>
    <row r="473" spans="1:21" hidden="1" x14ac:dyDescent="0.35">
      <c r="A473" s="32">
        <v>1400000924</v>
      </c>
      <c r="B473" s="33" t="s">
        <v>726</v>
      </c>
      <c r="C473" s="34">
        <v>45890</v>
      </c>
      <c r="D473" s="34">
        <v>45890</v>
      </c>
      <c r="E473" s="33" t="s">
        <v>895</v>
      </c>
      <c r="F473" s="35" t="s">
        <v>558</v>
      </c>
      <c r="G473" s="33" t="s">
        <v>560</v>
      </c>
      <c r="H473" s="36">
        <v>-700000</v>
      </c>
      <c r="I473" s="37" t="s">
        <v>560</v>
      </c>
      <c r="J473" s="38">
        <v>-700000</v>
      </c>
      <c r="K473" s="33" t="s">
        <v>728</v>
      </c>
      <c r="L473" s="33" t="s">
        <v>558</v>
      </c>
      <c r="M473" s="54" t="e" cm="1">
        <f t="array" ref="M473">_xlfn.XLOOKUP(F473,'Customer Data Vlookup'!$L:$L,'Customer Data Vlookup'!$M:$N,,0)</f>
        <v>#N/A</v>
      </c>
      <c r="N473" s="54"/>
      <c r="O473" s="53" t="e">
        <f t="shared" si="21"/>
        <v>#N/A</v>
      </c>
      <c r="P473" s="53" t="e">
        <f t="shared" si="22"/>
        <v>#N/A</v>
      </c>
      <c r="Q473" s="33" t="e">
        <f t="shared" si="23"/>
        <v>#N/A</v>
      </c>
      <c r="R473" s="33" t="s">
        <v>558</v>
      </c>
      <c r="S473" s="34"/>
      <c r="T473" s="33" t="s">
        <v>558</v>
      </c>
    </row>
    <row r="474" spans="1:21" hidden="1" x14ac:dyDescent="0.35">
      <c r="A474" s="32">
        <v>1400000939</v>
      </c>
      <c r="B474" s="33" t="s">
        <v>726</v>
      </c>
      <c r="C474" s="34">
        <v>45890</v>
      </c>
      <c r="D474" s="34">
        <v>45890</v>
      </c>
      <c r="E474" s="33" t="s">
        <v>896</v>
      </c>
      <c r="F474" s="35" t="s">
        <v>558</v>
      </c>
      <c r="G474" s="33" t="s">
        <v>560</v>
      </c>
      <c r="H474" s="36">
        <v>-700000</v>
      </c>
      <c r="I474" s="37" t="s">
        <v>560</v>
      </c>
      <c r="J474" s="38">
        <v>-700000</v>
      </c>
      <c r="K474" s="33" t="s">
        <v>728</v>
      </c>
      <c r="L474" s="33" t="s">
        <v>558</v>
      </c>
      <c r="M474" s="54" t="e" cm="1">
        <f t="array" ref="M474">_xlfn.XLOOKUP(F474,'Customer Data Vlookup'!$L:$L,'Customer Data Vlookup'!$M:$N,,0)</f>
        <v>#N/A</v>
      </c>
      <c r="N474" s="54"/>
      <c r="O474" s="53" t="e">
        <f t="shared" si="21"/>
        <v>#N/A</v>
      </c>
      <c r="P474" s="53" t="e">
        <f t="shared" si="22"/>
        <v>#N/A</v>
      </c>
      <c r="Q474" s="33" t="e">
        <f t="shared" si="23"/>
        <v>#N/A</v>
      </c>
      <c r="R474" s="33" t="s">
        <v>558</v>
      </c>
      <c r="S474" s="34"/>
      <c r="T474" s="33" t="s">
        <v>558</v>
      </c>
    </row>
    <row r="475" spans="1:21" hidden="1" x14ac:dyDescent="0.35">
      <c r="A475" s="32">
        <v>1400000954</v>
      </c>
      <c r="B475" s="33" t="s">
        <v>726</v>
      </c>
      <c r="C475" s="34">
        <v>45890</v>
      </c>
      <c r="D475" s="34">
        <v>45890</v>
      </c>
      <c r="E475" s="33" t="s">
        <v>897</v>
      </c>
      <c r="F475" s="35" t="s">
        <v>558</v>
      </c>
      <c r="G475" s="33" t="s">
        <v>560</v>
      </c>
      <c r="H475" s="36">
        <v>-700000</v>
      </c>
      <c r="I475" s="37" t="s">
        <v>560</v>
      </c>
      <c r="J475" s="38">
        <v>-700000</v>
      </c>
      <c r="K475" s="33" t="s">
        <v>728</v>
      </c>
      <c r="L475" s="33" t="s">
        <v>558</v>
      </c>
      <c r="M475" s="54" t="e" cm="1">
        <f t="array" ref="M475">_xlfn.XLOOKUP(F475,'Customer Data Vlookup'!$L:$L,'Customer Data Vlookup'!$M:$N,,0)</f>
        <v>#N/A</v>
      </c>
      <c r="N475" s="54"/>
      <c r="O475" s="53" t="e">
        <f t="shared" si="21"/>
        <v>#N/A</v>
      </c>
      <c r="P475" s="53" t="e">
        <f t="shared" si="22"/>
        <v>#N/A</v>
      </c>
      <c r="Q475" s="33" t="e">
        <f t="shared" si="23"/>
        <v>#N/A</v>
      </c>
      <c r="R475" s="33" t="s">
        <v>558</v>
      </c>
      <c r="S475" s="34"/>
      <c r="T475" s="33" t="s">
        <v>558</v>
      </c>
    </row>
    <row r="476" spans="1:21" hidden="1" x14ac:dyDescent="0.35">
      <c r="A476" s="32">
        <v>1400000097</v>
      </c>
      <c r="B476" s="33" t="s">
        <v>726</v>
      </c>
      <c r="C476" s="34">
        <v>45832</v>
      </c>
      <c r="D476" s="34">
        <v>45832</v>
      </c>
      <c r="E476" s="33" t="s">
        <v>902</v>
      </c>
      <c r="F476" s="35" t="s">
        <v>558</v>
      </c>
      <c r="G476" s="33" t="s">
        <v>560</v>
      </c>
      <c r="H476" s="36">
        <v>-700000</v>
      </c>
      <c r="I476" s="37" t="s">
        <v>560</v>
      </c>
      <c r="J476" s="38">
        <v>-700000</v>
      </c>
      <c r="K476" s="33" t="s">
        <v>728</v>
      </c>
      <c r="L476" s="33" t="s">
        <v>558</v>
      </c>
      <c r="M476" s="54" t="e" cm="1">
        <f t="array" ref="M476">_xlfn.XLOOKUP(F476,'Customer Data Vlookup'!$L:$L,'Customer Data Vlookup'!$M:$N,,0)</f>
        <v>#N/A</v>
      </c>
      <c r="N476" s="54"/>
      <c r="O476" s="53" t="e">
        <f t="shared" si="21"/>
        <v>#N/A</v>
      </c>
      <c r="P476" s="53" t="e">
        <f t="shared" si="22"/>
        <v>#N/A</v>
      </c>
      <c r="Q476" s="33" t="e">
        <f t="shared" si="23"/>
        <v>#N/A</v>
      </c>
      <c r="R476" s="33" t="s">
        <v>558</v>
      </c>
      <c r="S476" s="34"/>
      <c r="T476" s="33" t="s">
        <v>558</v>
      </c>
    </row>
    <row r="477" spans="1:21" x14ac:dyDescent="0.35">
      <c r="A477" s="16"/>
      <c r="B477" s="10"/>
      <c r="C477" s="11"/>
      <c r="D477" s="11"/>
      <c r="E477" s="10"/>
      <c r="F477" s="17"/>
      <c r="G477" s="10"/>
      <c r="H477" s="20"/>
      <c r="I477" s="21"/>
      <c r="J477" s="26"/>
      <c r="K477" s="10"/>
      <c r="L477" s="10"/>
      <c r="M477" s="31"/>
      <c r="N477" s="10"/>
      <c r="O477" s="10"/>
      <c r="P477" s="10"/>
      <c r="Q477" s="57"/>
      <c r="R477" s="27"/>
      <c r="S477" s="11"/>
      <c r="T477" s="10"/>
    </row>
    <row r="478" spans="1:21" x14ac:dyDescent="0.35">
      <c r="A478" s="16"/>
      <c r="B478" s="10"/>
      <c r="C478" s="11"/>
      <c r="D478" s="11"/>
      <c r="E478" s="10"/>
      <c r="F478" s="17"/>
      <c r="G478" s="10"/>
      <c r="H478" s="20"/>
      <c r="I478" s="21"/>
      <c r="J478" s="26"/>
      <c r="K478" s="10"/>
      <c r="L478" s="10"/>
      <c r="M478" s="31"/>
      <c r="N478" s="10"/>
      <c r="O478" s="10"/>
      <c r="P478" s="10"/>
      <c r="Q478" s="57"/>
      <c r="R478" s="27"/>
      <c r="S478" s="11"/>
      <c r="T478" s="10"/>
    </row>
    <row r="479" spans="1:21" x14ac:dyDescent="0.35">
      <c r="A479" s="12" t="s">
        <v>558</v>
      </c>
      <c r="B479" s="12" t="s">
        <v>558</v>
      </c>
      <c r="C479" s="13"/>
      <c r="D479" s="13"/>
      <c r="E479" s="12" t="s">
        <v>558</v>
      </c>
      <c r="F479" s="18" t="s">
        <v>558</v>
      </c>
      <c r="G479" s="12" t="s">
        <v>560</v>
      </c>
      <c r="H479" s="22">
        <v>-8812707</v>
      </c>
      <c r="I479" s="23" t="s">
        <v>560</v>
      </c>
      <c r="J479" s="22">
        <v>4683369.57</v>
      </c>
      <c r="K479" s="12" t="s">
        <v>558</v>
      </c>
      <c r="L479" s="12" t="s">
        <v>558</v>
      </c>
      <c r="M479" s="28"/>
      <c r="N479" s="28"/>
      <c r="O479" s="28"/>
      <c r="P479" s="28"/>
      <c r="Q479" s="58"/>
      <c r="R479" s="28" t="s">
        <v>558</v>
      </c>
      <c r="S479" s="13"/>
      <c r="T479" s="12" t="s">
        <v>558</v>
      </c>
    </row>
    <row r="480" spans="1:21" x14ac:dyDescent="0.35">
      <c r="A480" s="12" t="s">
        <v>558</v>
      </c>
      <c r="B480" s="12" t="s">
        <v>558</v>
      </c>
      <c r="C480" s="13"/>
      <c r="D480" s="13"/>
      <c r="E480" s="12" t="s">
        <v>558</v>
      </c>
      <c r="F480" s="18" t="s">
        <v>558</v>
      </c>
      <c r="G480" s="12" t="s">
        <v>559</v>
      </c>
      <c r="H480" s="22">
        <v>154544.14000000001</v>
      </c>
      <c r="I480" s="23" t="s">
        <v>558</v>
      </c>
      <c r="J480" s="22"/>
      <c r="K480" s="12" t="s">
        <v>558</v>
      </c>
      <c r="L480" s="12" t="s">
        <v>558</v>
      </c>
      <c r="M480" s="28"/>
      <c r="N480" s="28"/>
      <c r="O480" s="28"/>
      <c r="P480" s="28"/>
      <c r="Q480" s="58"/>
      <c r="R480" s="28" t="s">
        <v>558</v>
      </c>
      <c r="S480" s="13"/>
      <c r="T480" s="12" t="s">
        <v>558</v>
      </c>
    </row>
    <row r="481" spans="1:20" x14ac:dyDescent="0.35">
      <c r="A481" s="14" t="s">
        <v>558</v>
      </c>
      <c r="B481" s="14" t="s">
        <v>558</v>
      </c>
      <c r="C481" s="15"/>
      <c r="D481" s="15"/>
      <c r="E481" s="14" t="s">
        <v>558</v>
      </c>
      <c r="F481" s="19" t="s">
        <v>558</v>
      </c>
      <c r="G481" s="14" t="s">
        <v>560</v>
      </c>
      <c r="H481" s="24">
        <v>-8812707</v>
      </c>
      <c r="I481" s="25" t="s">
        <v>560</v>
      </c>
      <c r="J481" s="24">
        <v>4683369.57</v>
      </c>
      <c r="K481" s="14" t="s">
        <v>558</v>
      </c>
      <c r="L481" s="14" t="s">
        <v>558</v>
      </c>
      <c r="M481" s="29"/>
      <c r="N481" s="29"/>
      <c r="O481" s="29"/>
      <c r="P481" s="29"/>
      <c r="Q481" s="59"/>
      <c r="R481" s="29" t="s">
        <v>558</v>
      </c>
      <c r="S481" s="15"/>
      <c r="T481" s="14" t="s">
        <v>558</v>
      </c>
    </row>
    <row r="482" spans="1:20" x14ac:dyDescent="0.35">
      <c r="A482" s="14" t="s">
        <v>558</v>
      </c>
      <c r="B482" s="14" t="s">
        <v>558</v>
      </c>
      <c r="C482" s="15"/>
      <c r="D482" s="15"/>
      <c r="E482" s="14" t="s">
        <v>558</v>
      </c>
      <c r="F482" s="19" t="s">
        <v>558</v>
      </c>
      <c r="G482" s="14" t="s">
        <v>559</v>
      </c>
      <c r="H482" s="24">
        <v>154544.14000000001</v>
      </c>
      <c r="I482" s="25" t="s">
        <v>558</v>
      </c>
      <c r="J482" s="24"/>
      <c r="K482" s="14" t="s">
        <v>558</v>
      </c>
      <c r="L482" s="14" t="s">
        <v>558</v>
      </c>
      <c r="M482" s="29"/>
      <c r="N482" s="29"/>
      <c r="O482" s="29"/>
      <c r="P482" s="29"/>
      <c r="Q482" s="59"/>
      <c r="R482" s="29" t="s">
        <v>558</v>
      </c>
      <c r="S482" s="15"/>
      <c r="T482" s="14" t="s">
        <v>558</v>
      </c>
    </row>
  </sheetData>
  <autoFilter ref="A2:AP476" xr:uid="{DCD70654-9B60-4599-9160-7A4E3D90D7D9}">
    <filterColumn colId="15">
      <filters>
        <filter val="0"/>
        <filter val="-0"/>
        <filter val="1"/>
        <filter val="1,058"/>
        <filter val="-1,070"/>
        <filter val="1,089"/>
        <filter val="1,095"/>
        <filter val="1,147"/>
        <filter val="1,153"/>
        <filter val="-1,194"/>
        <filter val="1,215"/>
        <filter val="1,220"/>
        <filter val="1,242"/>
        <filter val="1,290"/>
        <filter val="1,554"/>
        <filter val="1,799"/>
        <filter val="1,813"/>
        <filter val="1,815"/>
        <filter val="1,838"/>
        <filter val="10"/>
        <filter val="10,148"/>
        <filter val="102"/>
        <filter val="103"/>
        <filter val="109"/>
        <filter val="11"/>
        <filter val="-11"/>
        <filter val="11,310"/>
        <filter val="110"/>
        <filter val="112"/>
        <filter val="114"/>
        <filter val="116"/>
        <filter val="123"/>
        <filter val="125"/>
        <filter val="127"/>
        <filter val="13"/>
        <filter val="-13"/>
        <filter val="130"/>
        <filter val="134"/>
        <filter val="14"/>
        <filter val="142"/>
        <filter val="145"/>
        <filter val="15"/>
        <filter val="15,288"/>
        <filter val="16"/>
        <filter val="16,059"/>
        <filter val="163"/>
        <filter val="-166"/>
        <filter val="172"/>
        <filter val="175"/>
        <filter val="176"/>
        <filter val="178"/>
        <filter val="181"/>
        <filter val="186"/>
        <filter val="191"/>
        <filter val="194"/>
        <filter val="196"/>
        <filter val="-198"/>
        <filter val="2,409"/>
        <filter val="2,581"/>
        <filter val="2,992"/>
        <filter val="20"/>
        <filter val="201"/>
        <filter val="206"/>
        <filter val="209"/>
        <filter val="21"/>
        <filter val="219"/>
        <filter val="221"/>
        <filter val="23"/>
        <filter val="231"/>
        <filter val="233"/>
        <filter val="24"/>
        <filter val="241"/>
        <filter val="243"/>
        <filter val="249"/>
        <filter val="25"/>
        <filter val="25,624"/>
        <filter val="256"/>
        <filter val="258"/>
        <filter val="26"/>
        <filter val="260"/>
        <filter val="264"/>
        <filter val="266"/>
        <filter val="27"/>
        <filter val="271"/>
        <filter val="278"/>
        <filter val="28"/>
        <filter val="28,638"/>
        <filter val="299"/>
        <filter val="3"/>
        <filter val="3,010"/>
        <filter val="3,011"/>
        <filter val="3,080"/>
        <filter val="3,103"/>
        <filter val="3,193"/>
        <filter val="3,238"/>
        <filter val="3,342"/>
        <filter val="3,367"/>
        <filter val="3,617"/>
        <filter val="3,865"/>
        <filter val="3,942"/>
        <filter val="3,956"/>
        <filter val="3,957"/>
        <filter val="30"/>
        <filter val="-31,519"/>
        <filter val="310"/>
        <filter val="32"/>
        <filter val="33"/>
        <filter val="34"/>
        <filter val="35,339"/>
        <filter val="365"/>
        <filter val="37"/>
        <filter val="37,076"/>
        <filter val="37,906"/>
        <filter val="-370"/>
        <filter val="376"/>
        <filter val="39"/>
        <filter val="39,199"/>
        <filter val="392"/>
        <filter val="4"/>
        <filter val="4,048"/>
        <filter val="4,057"/>
        <filter val="4,108"/>
        <filter val="4,174"/>
        <filter val="4,176"/>
        <filter val="4,232"/>
        <filter val="4,400"/>
        <filter val="4,638"/>
        <filter val="40"/>
        <filter val="41"/>
        <filter val="414"/>
        <filter val="43"/>
        <filter val="43,186"/>
        <filter val="438"/>
        <filter val="439"/>
        <filter val="440"/>
        <filter val="45"/>
        <filter val="-45,185"/>
        <filter val="455"/>
        <filter val="458"/>
        <filter val="46"/>
        <filter val="462"/>
        <filter val="47,818"/>
        <filter val="48"/>
        <filter val="49,426"/>
        <filter val="5"/>
        <filter val="5,008"/>
        <filter val="5,044"/>
        <filter val="-5,507"/>
        <filter val="50,140"/>
        <filter val="51,426"/>
        <filter val="52"/>
        <filter val="525"/>
        <filter val="53,470"/>
        <filter val="559"/>
        <filter val="57"/>
        <filter val="58,874"/>
        <filter val="581"/>
        <filter val="588"/>
        <filter val="6"/>
        <filter val="6,008"/>
        <filter val="6,476"/>
        <filter val="6,490"/>
        <filter val="6,651"/>
        <filter val="6,791"/>
        <filter val="60"/>
        <filter val="60,316"/>
        <filter val="61"/>
        <filter val="616"/>
        <filter val="64"/>
        <filter val="653"/>
        <filter val="67,942"/>
        <filter val="7"/>
        <filter val="7,040"/>
        <filter val="73"/>
        <filter val="75,579"/>
        <filter val="77"/>
        <filter val="77,275"/>
        <filter val="78"/>
        <filter val="786"/>
        <filter val="794"/>
        <filter val="8"/>
        <filter val="80"/>
        <filter val="81"/>
        <filter val="816"/>
        <filter val="852"/>
        <filter val="86"/>
        <filter val="879"/>
        <filter val="88"/>
        <filter val="89"/>
        <filter val="9"/>
        <filter val="9,402"/>
        <filter val="9,654"/>
        <filter val="91"/>
        <filter val="911"/>
        <filter val="923"/>
        <filter val="93"/>
        <filter val="931"/>
        <filter val="96"/>
        <filter val="97"/>
        <filter val="98"/>
        <filter val="99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A809-4F54-46DE-B47E-0252BF4E6D7F}">
  <dimension ref="A2:O78"/>
  <sheetViews>
    <sheetView topLeftCell="A47" workbookViewId="0">
      <selection activeCell="A3" sqref="A3:N78"/>
    </sheetView>
  </sheetViews>
  <sheetFormatPr defaultRowHeight="14.5" x14ac:dyDescent="0.35"/>
  <cols>
    <col min="1" max="1" width="16.81640625" bestFit="1" customWidth="1"/>
    <col min="2" max="2" width="3.453125" bestFit="1" customWidth="1"/>
    <col min="3" max="3" width="13.90625" bestFit="1" customWidth="1"/>
    <col min="4" max="4" width="12.90625" bestFit="1" customWidth="1"/>
    <col min="5" max="5" width="4.6328125" bestFit="1" customWidth="1"/>
    <col min="6" max="6" width="8.81640625" bestFit="1" customWidth="1"/>
    <col min="7" max="7" width="5.08984375" bestFit="1" customWidth="1"/>
    <col min="8" max="8" width="10.1796875" bestFit="1" customWidth="1"/>
    <col min="9" max="9" width="5.26953125" bestFit="1" customWidth="1"/>
    <col min="10" max="10" width="8.6328125" bestFit="1" customWidth="1"/>
    <col min="11" max="11" width="10.90625" bestFit="1" customWidth="1"/>
    <col min="12" max="12" width="9.7265625" bestFit="1" customWidth="1"/>
    <col min="13" max="13" width="7.90625" bestFit="1" customWidth="1"/>
    <col min="14" max="14" width="44.6328125" bestFit="1" customWidth="1"/>
    <col min="15" max="15" width="9.90625" bestFit="1" customWidth="1"/>
  </cols>
  <sheetData>
    <row r="2" spans="1:15" x14ac:dyDescent="0.3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86">
        <f>SUBTOTAL(9,L4:L78)</f>
        <v>72025.130999999834</v>
      </c>
      <c r="M2" s="71"/>
      <c r="N2" s="71"/>
    </row>
    <row r="3" spans="1:15" ht="87" x14ac:dyDescent="0.35">
      <c r="A3" s="51" t="s">
        <v>541</v>
      </c>
      <c r="B3" s="51" t="s">
        <v>542</v>
      </c>
      <c r="C3" s="51" t="s">
        <v>543</v>
      </c>
      <c r="D3" s="51" t="s">
        <v>546</v>
      </c>
      <c r="E3" s="51" t="s">
        <v>547</v>
      </c>
      <c r="F3" s="51" t="s">
        <v>548</v>
      </c>
      <c r="G3" s="51" t="s">
        <v>549</v>
      </c>
      <c r="H3" s="51" t="s">
        <v>550</v>
      </c>
      <c r="I3" s="51" t="s">
        <v>948</v>
      </c>
      <c r="J3" s="51" t="s">
        <v>949</v>
      </c>
      <c r="K3" s="51" t="s">
        <v>950</v>
      </c>
      <c r="L3" s="51" t="s">
        <v>966</v>
      </c>
      <c r="M3" s="87" t="s">
        <v>952</v>
      </c>
      <c r="N3" s="51" t="s">
        <v>553</v>
      </c>
    </row>
    <row r="4" spans="1:15" x14ac:dyDescent="0.35">
      <c r="A4" s="88">
        <v>1800001954</v>
      </c>
      <c r="B4" s="89" t="s">
        <v>563</v>
      </c>
      <c r="C4" s="90">
        <v>45733</v>
      </c>
      <c r="D4" s="91">
        <v>246779411619</v>
      </c>
      <c r="E4" s="89" t="s">
        <v>559</v>
      </c>
      <c r="F4" s="92">
        <v>1765.65</v>
      </c>
      <c r="G4" s="93" t="s">
        <v>560</v>
      </c>
      <c r="H4" s="94">
        <v>153066.42000000001</v>
      </c>
      <c r="I4" s="95">
        <v>0</v>
      </c>
      <c r="J4" s="95">
        <v>143412</v>
      </c>
      <c r="K4" s="95">
        <v>143412</v>
      </c>
      <c r="L4" s="95">
        <v>9654.4200000000128</v>
      </c>
      <c r="M4" s="96">
        <v>6.3073403036407405E-2</v>
      </c>
      <c r="N4" s="89" t="s">
        <v>763</v>
      </c>
      <c r="O4" s="83"/>
    </row>
    <row r="5" spans="1:15" x14ac:dyDescent="0.35">
      <c r="A5" s="88">
        <v>1800001031</v>
      </c>
      <c r="B5" s="89" t="s">
        <v>563</v>
      </c>
      <c r="C5" s="90">
        <v>45722</v>
      </c>
      <c r="D5" s="91">
        <v>246779410971</v>
      </c>
      <c r="E5" s="89" t="s">
        <v>559</v>
      </c>
      <c r="F5" s="92">
        <v>1205.2</v>
      </c>
      <c r="G5" s="93" t="s">
        <v>560</v>
      </c>
      <c r="H5" s="94">
        <v>104480.31</v>
      </c>
      <c r="I5" s="95">
        <v>0</v>
      </c>
      <c r="J5" s="95">
        <v>36538</v>
      </c>
      <c r="K5" s="95">
        <v>36538</v>
      </c>
      <c r="L5" s="95">
        <v>67942.31</v>
      </c>
      <c r="M5" s="96">
        <v>0.65028817391525728</v>
      </c>
      <c r="N5" s="89" t="s">
        <v>924</v>
      </c>
    </row>
    <row r="6" spans="1:15" x14ac:dyDescent="0.35">
      <c r="A6" s="88">
        <v>1800013428</v>
      </c>
      <c r="B6" s="89" t="s">
        <v>563</v>
      </c>
      <c r="C6" s="90">
        <v>45935</v>
      </c>
      <c r="D6" s="91">
        <v>256779418075</v>
      </c>
      <c r="E6" s="89" t="s">
        <v>559</v>
      </c>
      <c r="F6" s="92">
        <v>582.79999999999995</v>
      </c>
      <c r="G6" s="93" t="s">
        <v>560</v>
      </c>
      <c r="H6" s="94">
        <v>51397.58</v>
      </c>
      <c r="I6" s="95">
        <v>0</v>
      </c>
      <c r="J6" s="95">
        <v>1972</v>
      </c>
      <c r="K6" s="95">
        <v>1972</v>
      </c>
      <c r="L6" s="95">
        <v>49425.58</v>
      </c>
      <c r="M6" s="96">
        <v>0.96163243483448058</v>
      </c>
      <c r="N6" s="89" t="s">
        <v>701</v>
      </c>
    </row>
    <row r="7" spans="1:15" x14ac:dyDescent="0.35">
      <c r="A7" s="88">
        <v>1800007792</v>
      </c>
      <c r="B7" s="89" t="s">
        <v>563</v>
      </c>
      <c r="C7" s="90">
        <v>45769</v>
      </c>
      <c r="D7" s="91">
        <v>256779412683</v>
      </c>
      <c r="E7" s="89" t="s">
        <v>559</v>
      </c>
      <c r="F7" s="92">
        <v>517.64</v>
      </c>
      <c r="G7" s="93" t="s">
        <v>560</v>
      </c>
      <c r="H7" s="94">
        <v>44994.21</v>
      </c>
      <c r="I7" s="95">
        <v>0</v>
      </c>
      <c r="J7" s="95">
        <v>43195</v>
      </c>
      <c r="K7" s="95">
        <v>43195</v>
      </c>
      <c r="L7" s="95">
        <v>1799.2099999999991</v>
      </c>
      <c r="M7" s="96">
        <v>3.9987589514295263E-2</v>
      </c>
      <c r="N7" s="89" t="s">
        <v>654</v>
      </c>
    </row>
    <row r="8" spans="1:15" x14ac:dyDescent="0.35">
      <c r="A8" s="88">
        <v>1800012739</v>
      </c>
      <c r="B8" s="89" t="s">
        <v>563</v>
      </c>
      <c r="C8" s="90">
        <v>45904</v>
      </c>
      <c r="D8" s="91">
        <v>256779417373</v>
      </c>
      <c r="E8" s="89" t="s">
        <v>559</v>
      </c>
      <c r="F8" s="92">
        <v>456.75</v>
      </c>
      <c r="G8" s="93" t="s">
        <v>560</v>
      </c>
      <c r="H8" s="94">
        <v>39972.17</v>
      </c>
      <c r="I8" s="95">
        <v>0</v>
      </c>
      <c r="J8" s="95">
        <v>33482.010999999999</v>
      </c>
      <c r="K8" s="95">
        <v>33482.010999999999</v>
      </c>
      <c r="L8" s="95">
        <v>6490.1589999999997</v>
      </c>
      <c r="M8" s="96">
        <v>0.16236694179975719</v>
      </c>
      <c r="N8" s="89" t="s">
        <v>803</v>
      </c>
    </row>
    <row r="9" spans="1:15" x14ac:dyDescent="0.35">
      <c r="A9" s="88">
        <v>1800003783</v>
      </c>
      <c r="B9" s="89" t="s">
        <v>563</v>
      </c>
      <c r="C9" s="90">
        <v>45736</v>
      </c>
      <c r="D9" s="91">
        <v>246779413705</v>
      </c>
      <c r="E9" s="89" t="s">
        <v>559</v>
      </c>
      <c r="F9" s="92">
        <v>237.35</v>
      </c>
      <c r="G9" s="93" t="s">
        <v>560</v>
      </c>
      <c r="H9" s="94">
        <v>20576.169999999998</v>
      </c>
      <c r="I9" s="95">
        <v>0</v>
      </c>
      <c r="J9" s="95">
        <v>19429</v>
      </c>
      <c r="K9" s="95">
        <v>19429</v>
      </c>
      <c r="L9" s="95">
        <v>1147.1699999999983</v>
      </c>
      <c r="M9" s="96">
        <v>5.5752358189108973E-2</v>
      </c>
      <c r="N9" s="89" t="s">
        <v>871</v>
      </c>
    </row>
    <row r="10" spans="1:15" x14ac:dyDescent="0.35">
      <c r="A10" s="88">
        <v>1800001426</v>
      </c>
      <c r="B10" s="89" t="s">
        <v>563</v>
      </c>
      <c r="C10" s="90">
        <v>45729</v>
      </c>
      <c r="D10" s="91">
        <v>246779411339</v>
      </c>
      <c r="E10" s="89" t="s">
        <v>559</v>
      </c>
      <c r="F10" s="92">
        <v>220</v>
      </c>
      <c r="G10" s="93" t="s">
        <v>560</v>
      </c>
      <c r="H10" s="94">
        <v>19072.080000000002</v>
      </c>
      <c r="I10" s="95">
        <v>0</v>
      </c>
      <c r="J10" s="95">
        <v>17857</v>
      </c>
      <c r="K10" s="95">
        <v>17857</v>
      </c>
      <c r="L10" s="95">
        <v>1215.0800000000017</v>
      </c>
      <c r="M10" s="96">
        <v>6.3709883767266162E-2</v>
      </c>
      <c r="N10" s="89" t="s">
        <v>856</v>
      </c>
    </row>
    <row r="11" spans="1:15" x14ac:dyDescent="0.35">
      <c r="A11" s="88">
        <v>1800009524</v>
      </c>
      <c r="B11" s="89" t="s">
        <v>563</v>
      </c>
      <c r="C11" s="90">
        <v>45812</v>
      </c>
      <c r="D11" s="91">
        <v>256779414288</v>
      </c>
      <c r="E11" s="89" t="s">
        <v>559</v>
      </c>
      <c r="F11" s="92">
        <v>190</v>
      </c>
      <c r="G11" s="93" t="s">
        <v>560</v>
      </c>
      <c r="H11" s="94">
        <v>16243.25</v>
      </c>
      <c r="I11" s="95">
        <v>0</v>
      </c>
      <c r="J11" s="95">
        <v>17313</v>
      </c>
      <c r="K11" s="95">
        <v>17313</v>
      </c>
      <c r="L11" s="95">
        <v>-1069.75</v>
      </c>
      <c r="M11" s="96">
        <v>-6.5858125682975999E-2</v>
      </c>
      <c r="N11" s="89" t="s">
        <v>844</v>
      </c>
    </row>
    <row r="12" spans="1:15" x14ac:dyDescent="0.35">
      <c r="A12" s="88">
        <v>1800007577</v>
      </c>
      <c r="B12" s="89" t="s">
        <v>563</v>
      </c>
      <c r="C12" s="90">
        <v>45769</v>
      </c>
      <c r="D12" s="91">
        <v>256779412468</v>
      </c>
      <c r="E12" s="89" t="s">
        <v>559</v>
      </c>
      <c r="F12" s="92">
        <v>169.2</v>
      </c>
      <c r="G12" s="93" t="s">
        <v>560</v>
      </c>
      <c r="H12" s="94">
        <v>14707.17</v>
      </c>
      <c r="I12" s="95">
        <v>0</v>
      </c>
      <c r="J12" s="95">
        <v>14119</v>
      </c>
      <c r="K12" s="95">
        <v>14119</v>
      </c>
      <c r="L12" s="95">
        <v>588.17000000000007</v>
      </c>
      <c r="M12" s="96">
        <v>3.9992058295375658E-2</v>
      </c>
      <c r="N12" s="89" t="s">
        <v>652</v>
      </c>
    </row>
    <row r="13" spans="1:15" x14ac:dyDescent="0.35">
      <c r="A13" s="88">
        <v>1800001380</v>
      </c>
      <c r="B13" s="89" t="s">
        <v>563</v>
      </c>
      <c r="C13" s="90">
        <v>45722</v>
      </c>
      <c r="D13" s="91">
        <v>246779411249</v>
      </c>
      <c r="E13" s="89" t="s">
        <v>559</v>
      </c>
      <c r="F13" s="92">
        <v>169.2</v>
      </c>
      <c r="G13" s="93" t="s">
        <v>560</v>
      </c>
      <c r="H13" s="94">
        <v>14668.16</v>
      </c>
      <c r="I13" s="95">
        <v>0</v>
      </c>
      <c r="J13" s="95">
        <v>13737</v>
      </c>
      <c r="K13" s="95">
        <v>13737</v>
      </c>
      <c r="L13" s="95">
        <v>931.15999999999985</v>
      </c>
      <c r="M13" s="96">
        <v>6.3481718225053441E-2</v>
      </c>
      <c r="N13" s="89" t="s">
        <v>779</v>
      </c>
    </row>
    <row r="14" spans="1:15" x14ac:dyDescent="0.35">
      <c r="A14" s="88">
        <v>1800001382</v>
      </c>
      <c r="B14" s="89" t="s">
        <v>563</v>
      </c>
      <c r="C14" s="90">
        <v>45722</v>
      </c>
      <c r="D14" s="91">
        <v>246779411251</v>
      </c>
      <c r="E14" s="89" t="s">
        <v>559</v>
      </c>
      <c r="F14" s="92">
        <v>126.9</v>
      </c>
      <c r="G14" s="93" t="s">
        <v>560</v>
      </c>
      <c r="H14" s="94">
        <v>11001.12</v>
      </c>
      <c r="I14" s="95">
        <v>0</v>
      </c>
      <c r="J14" s="95">
        <v>1599</v>
      </c>
      <c r="K14" s="95">
        <v>1599</v>
      </c>
      <c r="L14" s="95">
        <v>9402.1200000000008</v>
      </c>
      <c r="M14" s="96">
        <v>0.85465116279069764</v>
      </c>
      <c r="N14" s="89" t="s">
        <v>779</v>
      </c>
    </row>
    <row r="15" spans="1:15" x14ac:dyDescent="0.35">
      <c r="A15" s="88">
        <v>1800001450</v>
      </c>
      <c r="B15" s="89" t="s">
        <v>563</v>
      </c>
      <c r="C15" s="90">
        <v>45729</v>
      </c>
      <c r="D15" s="91">
        <v>246779411314</v>
      </c>
      <c r="E15" s="89" t="s">
        <v>559</v>
      </c>
      <c r="F15" s="92">
        <v>105</v>
      </c>
      <c r="G15" s="93" t="s">
        <v>560</v>
      </c>
      <c r="H15" s="94">
        <v>9102.58</v>
      </c>
      <c r="I15" s="95">
        <v>0</v>
      </c>
      <c r="J15" s="95">
        <v>8522</v>
      </c>
      <c r="K15" s="95">
        <v>8522</v>
      </c>
      <c r="L15" s="95">
        <v>580.57999999999993</v>
      </c>
      <c r="M15" s="96">
        <v>6.3781916775243933E-2</v>
      </c>
      <c r="N15" s="89" t="s">
        <v>858</v>
      </c>
    </row>
    <row r="16" spans="1:15" x14ac:dyDescent="0.35">
      <c r="A16" s="88">
        <v>1800007886</v>
      </c>
      <c r="B16" s="89" t="s">
        <v>563</v>
      </c>
      <c r="C16" s="90">
        <v>45771</v>
      </c>
      <c r="D16" s="91">
        <v>256779412777</v>
      </c>
      <c r="E16" s="89" t="s">
        <v>559</v>
      </c>
      <c r="F16" s="92">
        <v>95.39</v>
      </c>
      <c r="G16" s="93" t="s">
        <v>560</v>
      </c>
      <c r="H16" s="94">
        <v>8291.4699999999993</v>
      </c>
      <c r="I16" s="95">
        <v>0</v>
      </c>
      <c r="J16" s="95">
        <v>7981</v>
      </c>
      <c r="K16" s="95">
        <v>7981</v>
      </c>
      <c r="L16" s="95">
        <v>310.46999999999935</v>
      </c>
      <c r="M16" s="96">
        <v>3.7444506221454024E-2</v>
      </c>
      <c r="N16" s="89" t="s">
        <v>627</v>
      </c>
    </row>
    <row r="17" spans="1:14" x14ac:dyDescent="0.35">
      <c r="A17" s="88">
        <v>1800003831</v>
      </c>
      <c r="B17" s="89" t="s">
        <v>563</v>
      </c>
      <c r="C17" s="90">
        <v>45736</v>
      </c>
      <c r="D17" s="91">
        <v>246779413693</v>
      </c>
      <c r="E17" s="89" t="s">
        <v>559</v>
      </c>
      <c r="F17" s="92">
        <v>84.6</v>
      </c>
      <c r="G17" s="93" t="s">
        <v>560</v>
      </c>
      <c r="H17" s="94">
        <v>7334.08</v>
      </c>
      <c r="I17" s="95">
        <v>0</v>
      </c>
      <c r="J17" s="95">
        <v>6896</v>
      </c>
      <c r="K17" s="95">
        <v>6896</v>
      </c>
      <c r="L17" s="95">
        <v>438.07999999999993</v>
      </c>
      <c r="M17" s="96">
        <v>5.973210000436318E-2</v>
      </c>
      <c r="N17" s="89" t="s">
        <v>860</v>
      </c>
    </row>
    <row r="18" spans="1:14" x14ac:dyDescent="0.35">
      <c r="A18" s="88">
        <v>1800003867</v>
      </c>
      <c r="B18" s="89" t="s">
        <v>563</v>
      </c>
      <c r="C18" s="90">
        <v>45736</v>
      </c>
      <c r="D18" s="91">
        <v>246779413735</v>
      </c>
      <c r="E18" s="89" t="s">
        <v>559</v>
      </c>
      <c r="F18" s="92">
        <v>84.6</v>
      </c>
      <c r="G18" s="93" t="s">
        <v>560</v>
      </c>
      <c r="H18" s="94">
        <v>7334.08</v>
      </c>
      <c r="I18" s="95">
        <v>0</v>
      </c>
      <c r="J18" s="95">
        <v>6896</v>
      </c>
      <c r="K18" s="95">
        <v>6896</v>
      </c>
      <c r="L18" s="95">
        <v>438.07999999999993</v>
      </c>
      <c r="M18" s="96">
        <v>5.973210000436318E-2</v>
      </c>
      <c r="N18" s="89" t="s">
        <v>860</v>
      </c>
    </row>
    <row r="19" spans="1:14" x14ac:dyDescent="0.35">
      <c r="A19" s="88">
        <v>1800003873</v>
      </c>
      <c r="B19" s="89" t="s">
        <v>563</v>
      </c>
      <c r="C19" s="90">
        <v>45736</v>
      </c>
      <c r="D19" s="91">
        <v>246779413741</v>
      </c>
      <c r="E19" s="89" t="s">
        <v>559</v>
      </c>
      <c r="F19" s="92">
        <v>84.6</v>
      </c>
      <c r="G19" s="93" t="s">
        <v>560</v>
      </c>
      <c r="H19" s="94">
        <v>7334.08</v>
      </c>
      <c r="I19" s="95">
        <v>0</v>
      </c>
      <c r="J19" s="95">
        <v>6895</v>
      </c>
      <c r="K19" s="95">
        <v>6895</v>
      </c>
      <c r="L19" s="95">
        <v>439.07999999999993</v>
      </c>
      <c r="M19" s="96">
        <v>5.9868449757842827E-2</v>
      </c>
      <c r="N19" s="89" t="s">
        <v>860</v>
      </c>
    </row>
    <row r="20" spans="1:14" x14ac:dyDescent="0.35">
      <c r="A20" s="88">
        <v>1800002094</v>
      </c>
      <c r="B20" s="89" t="s">
        <v>563</v>
      </c>
      <c r="C20" s="90">
        <v>45733</v>
      </c>
      <c r="D20" s="91">
        <v>246779411759</v>
      </c>
      <c r="E20" s="89" t="s">
        <v>559</v>
      </c>
      <c r="F20" s="92">
        <v>83.24</v>
      </c>
      <c r="G20" s="93" t="s">
        <v>560</v>
      </c>
      <c r="H20" s="94">
        <v>7216.18</v>
      </c>
      <c r="I20" s="95">
        <v>0</v>
      </c>
      <c r="J20" s="95">
        <v>6761</v>
      </c>
      <c r="K20" s="95">
        <v>6761</v>
      </c>
      <c r="L20" s="95">
        <v>455.18000000000029</v>
      </c>
      <c r="M20" s="96">
        <v>6.3077694846858073E-2</v>
      </c>
      <c r="N20" s="89" t="s">
        <v>764</v>
      </c>
    </row>
    <row r="21" spans="1:14" x14ac:dyDescent="0.35">
      <c r="A21" s="88">
        <v>1800003868</v>
      </c>
      <c r="B21" s="89" t="s">
        <v>563</v>
      </c>
      <c r="C21" s="90">
        <v>45736</v>
      </c>
      <c r="D21" s="91">
        <v>246779413736</v>
      </c>
      <c r="E21" s="89" t="s">
        <v>559</v>
      </c>
      <c r="F21" s="92">
        <v>79.900000000000006</v>
      </c>
      <c r="G21" s="93" t="s">
        <v>560</v>
      </c>
      <c r="H21" s="94">
        <v>6926.63</v>
      </c>
      <c r="I21" s="95">
        <v>0</v>
      </c>
      <c r="J21" s="95">
        <v>6513</v>
      </c>
      <c r="K21" s="95">
        <v>6513</v>
      </c>
      <c r="L21" s="95">
        <v>413.63000000000011</v>
      </c>
      <c r="M21" s="96">
        <v>5.9715908024537197E-2</v>
      </c>
      <c r="N21" s="89" t="s">
        <v>860</v>
      </c>
    </row>
    <row r="22" spans="1:14" x14ac:dyDescent="0.35">
      <c r="A22" s="88">
        <v>1800001955</v>
      </c>
      <c r="B22" s="89" t="s">
        <v>563</v>
      </c>
      <c r="C22" s="90">
        <v>45733</v>
      </c>
      <c r="D22" s="91">
        <v>246779411620</v>
      </c>
      <c r="E22" s="89" t="s">
        <v>559</v>
      </c>
      <c r="F22" s="92">
        <v>71.61</v>
      </c>
      <c r="G22" s="93" t="s">
        <v>560</v>
      </c>
      <c r="H22" s="94">
        <v>6207.96</v>
      </c>
      <c r="I22" s="95">
        <v>0</v>
      </c>
      <c r="J22" s="95">
        <v>5816</v>
      </c>
      <c r="K22" s="95">
        <v>5816</v>
      </c>
      <c r="L22" s="95">
        <v>391.96000000000004</v>
      </c>
      <c r="M22" s="96">
        <v>6.3138293416839034E-2</v>
      </c>
      <c r="N22" s="89" t="s">
        <v>763</v>
      </c>
    </row>
    <row r="23" spans="1:14" x14ac:dyDescent="0.35">
      <c r="A23" s="88">
        <v>1800002091</v>
      </c>
      <c r="B23" s="89" t="s">
        <v>563</v>
      </c>
      <c r="C23" s="90">
        <v>45733</v>
      </c>
      <c r="D23" s="91">
        <v>246779411756</v>
      </c>
      <c r="E23" s="89" t="s">
        <v>559</v>
      </c>
      <c r="F23" s="92">
        <v>59.46</v>
      </c>
      <c r="G23" s="93" t="s">
        <v>560</v>
      </c>
      <c r="H23" s="94">
        <v>5154.66</v>
      </c>
      <c r="I23" s="95">
        <v>0</v>
      </c>
      <c r="J23" s="95">
        <v>4339</v>
      </c>
      <c r="K23" s="95">
        <v>4339</v>
      </c>
      <c r="L23" s="95">
        <v>815.65999999999985</v>
      </c>
      <c r="M23" s="96">
        <v>0.15823740072090106</v>
      </c>
      <c r="N23" s="89" t="s">
        <v>764</v>
      </c>
    </row>
    <row r="24" spans="1:14" x14ac:dyDescent="0.35">
      <c r="A24" s="88">
        <v>1800005264</v>
      </c>
      <c r="B24" s="89" t="s">
        <v>563</v>
      </c>
      <c r="C24" s="90">
        <v>45750</v>
      </c>
      <c r="D24" s="91">
        <v>256779410156</v>
      </c>
      <c r="E24" s="89" t="s">
        <v>559</v>
      </c>
      <c r="F24" s="92">
        <v>58.75</v>
      </c>
      <c r="G24" s="93" t="s">
        <v>560</v>
      </c>
      <c r="H24" s="94">
        <v>5106.66</v>
      </c>
      <c r="I24" s="95">
        <v>0</v>
      </c>
      <c r="J24" s="95">
        <v>4913</v>
      </c>
      <c r="K24" s="95">
        <v>4913</v>
      </c>
      <c r="L24" s="95">
        <v>193.65999999999985</v>
      </c>
      <c r="M24" s="96">
        <v>3.7923026009172307E-2</v>
      </c>
      <c r="N24" s="89" t="s">
        <v>602</v>
      </c>
    </row>
    <row r="25" spans="1:14" x14ac:dyDescent="0.35">
      <c r="A25" s="88">
        <v>1800001118</v>
      </c>
      <c r="B25" s="89" t="s">
        <v>563</v>
      </c>
      <c r="C25" s="90">
        <v>45722</v>
      </c>
      <c r="D25" s="91">
        <v>246779411054</v>
      </c>
      <c r="E25" s="89" t="s">
        <v>559</v>
      </c>
      <c r="F25" s="92">
        <v>54.05</v>
      </c>
      <c r="G25" s="93" t="s">
        <v>560</v>
      </c>
      <c r="H25" s="94">
        <v>4685.66</v>
      </c>
      <c r="I25" s="95">
        <v>0</v>
      </c>
      <c r="J25" s="95">
        <v>4387</v>
      </c>
      <c r="K25" s="95">
        <v>4387</v>
      </c>
      <c r="L25" s="95">
        <v>298.65999999999985</v>
      </c>
      <c r="M25" s="96">
        <v>6.3739153075553889E-2</v>
      </c>
      <c r="N25" s="89" t="s">
        <v>925</v>
      </c>
    </row>
    <row r="26" spans="1:14" x14ac:dyDescent="0.35">
      <c r="A26" s="88">
        <v>1800007722</v>
      </c>
      <c r="B26" s="89" t="s">
        <v>563</v>
      </c>
      <c r="C26" s="90">
        <v>45769</v>
      </c>
      <c r="D26" s="91">
        <v>256779412613</v>
      </c>
      <c r="E26" s="89" t="s">
        <v>559</v>
      </c>
      <c r="F26" s="92">
        <v>47</v>
      </c>
      <c r="G26" s="93" t="s">
        <v>560</v>
      </c>
      <c r="H26" s="94">
        <v>4085.33</v>
      </c>
      <c r="I26" s="95">
        <v>0</v>
      </c>
      <c r="J26" s="95">
        <v>3922</v>
      </c>
      <c r="K26" s="95">
        <v>3922</v>
      </c>
      <c r="L26" s="95">
        <v>163.32999999999993</v>
      </c>
      <c r="M26" s="96">
        <v>3.997963444813514E-2</v>
      </c>
      <c r="N26" s="89" t="s">
        <v>653</v>
      </c>
    </row>
    <row r="27" spans="1:14" x14ac:dyDescent="0.35">
      <c r="A27" s="88">
        <v>1800003832</v>
      </c>
      <c r="B27" s="89" t="s">
        <v>563</v>
      </c>
      <c r="C27" s="90">
        <v>45736</v>
      </c>
      <c r="D27" s="91">
        <v>246779413694</v>
      </c>
      <c r="E27" s="89" t="s">
        <v>559</v>
      </c>
      <c r="F27" s="92">
        <v>42.3</v>
      </c>
      <c r="G27" s="93" t="s">
        <v>560</v>
      </c>
      <c r="H27" s="94">
        <v>3667.04</v>
      </c>
      <c r="I27" s="95">
        <v>0</v>
      </c>
      <c r="J27" s="95">
        <v>3448</v>
      </c>
      <c r="K27" s="95">
        <v>3448</v>
      </c>
      <c r="L27" s="95">
        <v>219.03999999999996</v>
      </c>
      <c r="M27" s="96">
        <v>5.973210000436318E-2</v>
      </c>
      <c r="N27" s="89" t="s">
        <v>860</v>
      </c>
    </row>
    <row r="28" spans="1:14" x14ac:dyDescent="0.35">
      <c r="A28" s="88">
        <v>1800003866</v>
      </c>
      <c r="B28" s="89" t="s">
        <v>563</v>
      </c>
      <c r="C28" s="90">
        <v>45736</v>
      </c>
      <c r="D28" s="91">
        <v>246779413734</v>
      </c>
      <c r="E28" s="89" t="s">
        <v>559</v>
      </c>
      <c r="F28" s="92">
        <v>42.3</v>
      </c>
      <c r="G28" s="93" t="s">
        <v>560</v>
      </c>
      <c r="H28" s="94">
        <v>3667.04</v>
      </c>
      <c r="I28" s="95">
        <v>0</v>
      </c>
      <c r="J28" s="95">
        <v>3448</v>
      </c>
      <c r="K28" s="95">
        <v>3448</v>
      </c>
      <c r="L28" s="95">
        <v>219.03999999999996</v>
      </c>
      <c r="M28" s="96">
        <v>5.973210000436318E-2</v>
      </c>
      <c r="N28" s="89" t="s">
        <v>860</v>
      </c>
    </row>
    <row r="29" spans="1:14" x14ac:dyDescent="0.35">
      <c r="A29" s="88">
        <v>1800000908</v>
      </c>
      <c r="B29" s="89" t="s">
        <v>563</v>
      </c>
      <c r="C29" s="90">
        <v>45720</v>
      </c>
      <c r="D29" s="91">
        <v>246779410849</v>
      </c>
      <c r="E29" s="89" t="s">
        <v>559</v>
      </c>
      <c r="F29" s="92">
        <v>42.3</v>
      </c>
      <c r="G29" s="93" t="s">
        <v>560</v>
      </c>
      <c r="H29" s="94">
        <v>3667.04</v>
      </c>
      <c r="I29" s="95">
        <v>0</v>
      </c>
      <c r="J29" s="95">
        <v>3436</v>
      </c>
      <c r="K29" s="95">
        <v>3436</v>
      </c>
      <c r="L29" s="95">
        <v>231.03999999999996</v>
      </c>
      <c r="M29" s="96">
        <v>6.3004494087874674E-2</v>
      </c>
      <c r="N29" s="89" t="s">
        <v>915</v>
      </c>
    </row>
    <row r="30" spans="1:14" x14ac:dyDescent="0.35">
      <c r="A30" s="88">
        <v>1800001379</v>
      </c>
      <c r="B30" s="89" t="s">
        <v>563</v>
      </c>
      <c r="C30" s="90">
        <v>45722</v>
      </c>
      <c r="D30" s="91">
        <v>246779411248</v>
      </c>
      <c r="E30" s="89" t="s">
        <v>559</v>
      </c>
      <c r="F30" s="92">
        <v>42.3</v>
      </c>
      <c r="G30" s="93" t="s">
        <v>560</v>
      </c>
      <c r="H30" s="94">
        <v>3667.04</v>
      </c>
      <c r="I30" s="95">
        <v>0</v>
      </c>
      <c r="J30" s="95">
        <v>3434</v>
      </c>
      <c r="K30" s="95">
        <v>3434</v>
      </c>
      <c r="L30" s="95">
        <v>233.03999999999996</v>
      </c>
      <c r="M30" s="96">
        <v>6.3549893101793264E-2</v>
      </c>
      <c r="N30" s="89" t="s">
        <v>779</v>
      </c>
    </row>
    <row r="31" spans="1:14" x14ac:dyDescent="0.35">
      <c r="A31" s="88">
        <v>1800002092</v>
      </c>
      <c r="B31" s="89" t="s">
        <v>563</v>
      </c>
      <c r="C31" s="90">
        <v>45733</v>
      </c>
      <c r="D31" s="91">
        <v>246779411757</v>
      </c>
      <c r="E31" s="89" t="s">
        <v>559</v>
      </c>
      <c r="F31" s="92">
        <v>38.29</v>
      </c>
      <c r="G31" s="93" t="s">
        <v>560</v>
      </c>
      <c r="H31" s="94">
        <v>3319.41</v>
      </c>
      <c r="I31" s="95">
        <v>0</v>
      </c>
      <c r="J31" s="95">
        <v>3110</v>
      </c>
      <c r="K31" s="95">
        <v>3110</v>
      </c>
      <c r="L31" s="95">
        <v>209.40999999999985</v>
      </c>
      <c r="M31" s="96">
        <v>6.308651236213661E-2</v>
      </c>
      <c r="N31" s="89" t="s">
        <v>764</v>
      </c>
    </row>
    <row r="32" spans="1:14" x14ac:dyDescent="0.35">
      <c r="A32" s="88">
        <v>1800003877</v>
      </c>
      <c r="B32" s="89" t="s">
        <v>563</v>
      </c>
      <c r="C32" s="90">
        <v>45736</v>
      </c>
      <c r="D32" s="91">
        <v>246779413745</v>
      </c>
      <c r="E32" s="89" t="s">
        <v>559</v>
      </c>
      <c r="F32" s="92">
        <v>37.6</v>
      </c>
      <c r="G32" s="93" t="s">
        <v>560</v>
      </c>
      <c r="H32" s="94">
        <v>3259.59</v>
      </c>
      <c r="I32" s="95">
        <v>0</v>
      </c>
      <c r="J32" s="95">
        <v>3064</v>
      </c>
      <c r="K32" s="95">
        <v>3064</v>
      </c>
      <c r="L32" s="95">
        <v>195.59000000000015</v>
      </c>
      <c r="M32" s="96">
        <v>6.0004479090928653E-2</v>
      </c>
      <c r="N32" s="89" t="s">
        <v>860</v>
      </c>
    </row>
    <row r="33" spans="1:14" x14ac:dyDescent="0.35">
      <c r="A33" s="88">
        <v>1800005265</v>
      </c>
      <c r="B33" s="89" t="s">
        <v>563</v>
      </c>
      <c r="C33" s="90">
        <v>45750</v>
      </c>
      <c r="D33" s="91">
        <v>256779410157</v>
      </c>
      <c r="E33" s="89" t="s">
        <v>559</v>
      </c>
      <c r="F33" s="92">
        <v>34.479999999999997</v>
      </c>
      <c r="G33" s="93" t="s">
        <v>560</v>
      </c>
      <c r="H33" s="94">
        <v>2997.06</v>
      </c>
      <c r="I33" s="95">
        <v>0</v>
      </c>
      <c r="J33" s="95">
        <v>2883</v>
      </c>
      <c r="K33" s="95">
        <v>2883</v>
      </c>
      <c r="L33" s="95">
        <v>114.05999999999995</v>
      </c>
      <c r="M33" s="96">
        <v>3.8057296150227203E-2</v>
      </c>
      <c r="N33" s="89" t="s">
        <v>603</v>
      </c>
    </row>
    <row r="34" spans="1:14" x14ac:dyDescent="0.35">
      <c r="A34" s="88">
        <v>1800007764</v>
      </c>
      <c r="B34" s="89" t="s">
        <v>563</v>
      </c>
      <c r="C34" s="90">
        <v>45769</v>
      </c>
      <c r="D34" s="91">
        <v>256779412655</v>
      </c>
      <c r="E34" s="89" t="s">
        <v>559</v>
      </c>
      <c r="F34" s="92">
        <v>25</v>
      </c>
      <c r="G34" s="93" t="s">
        <v>560</v>
      </c>
      <c r="H34" s="94">
        <v>2173.0500000000002</v>
      </c>
      <c r="I34" s="95">
        <v>0</v>
      </c>
      <c r="J34" s="95">
        <v>2085</v>
      </c>
      <c r="K34" s="95">
        <v>2085</v>
      </c>
      <c r="L34" s="95">
        <v>88.050000000000182</v>
      </c>
      <c r="M34" s="96">
        <v>4.0519086077172715E-2</v>
      </c>
      <c r="N34" s="89" t="s">
        <v>654</v>
      </c>
    </row>
    <row r="35" spans="1:14" x14ac:dyDescent="0.35">
      <c r="A35" s="88">
        <v>1800001117</v>
      </c>
      <c r="B35" s="89" t="s">
        <v>563</v>
      </c>
      <c r="C35" s="90">
        <v>45722</v>
      </c>
      <c r="D35" s="91">
        <v>246779411053</v>
      </c>
      <c r="E35" s="89" t="s">
        <v>559</v>
      </c>
      <c r="F35" s="92">
        <v>24.4</v>
      </c>
      <c r="G35" s="93" t="s">
        <v>560</v>
      </c>
      <c r="H35" s="94">
        <v>2115.27</v>
      </c>
      <c r="I35" s="95">
        <v>0</v>
      </c>
      <c r="J35" s="95">
        <v>1981</v>
      </c>
      <c r="K35" s="95">
        <v>1981</v>
      </c>
      <c r="L35" s="95">
        <v>134.26999999999998</v>
      </c>
      <c r="M35" s="96">
        <v>6.3476530182908081E-2</v>
      </c>
      <c r="N35" s="89" t="s">
        <v>925</v>
      </c>
    </row>
    <row r="36" spans="1:14" x14ac:dyDescent="0.35">
      <c r="A36" s="88">
        <v>1800006916</v>
      </c>
      <c r="B36" s="89" t="s">
        <v>563</v>
      </c>
      <c r="C36" s="90">
        <v>45763</v>
      </c>
      <c r="D36" s="91">
        <v>256779411807</v>
      </c>
      <c r="E36" s="89" t="s">
        <v>559</v>
      </c>
      <c r="F36" s="92">
        <v>23.5</v>
      </c>
      <c r="G36" s="93" t="s">
        <v>560</v>
      </c>
      <c r="H36" s="94">
        <v>2042.66</v>
      </c>
      <c r="I36" s="95">
        <v>0</v>
      </c>
      <c r="J36" s="95">
        <v>2053.9</v>
      </c>
      <c r="K36" s="95">
        <v>2053.9</v>
      </c>
      <c r="L36" s="95">
        <v>-11.240000000000009</v>
      </c>
      <c r="M36" s="96">
        <v>-5.502628925029133E-3</v>
      </c>
      <c r="N36" s="89" t="s">
        <v>779</v>
      </c>
    </row>
    <row r="37" spans="1:14" x14ac:dyDescent="0.35">
      <c r="A37" s="88">
        <v>1800001383</v>
      </c>
      <c r="B37" s="89" t="s">
        <v>563</v>
      </c>
      <c r="C37" s="90">
        <v>45722</v>
      </c>
      <c r="D37" s="91">
        <v>246779411252</v>
      </c>
      <c r="E37" s="89" t="s">
        <v>559</v>
      </c>
      <c r="F37" s="92">
        <v>23.5</v>
      </c>
      <c r="G37" s="93" t="s">
        <v>560</v>
      </c>
      <c r="H37" s="94">
        <v>2037.24</v>
      </c>
      <c r="I37" s="95">
        <v>0</v>
      </c>
      <c r="J37" s="95">
        <v>1907</v>
      </c>
      <c r="K37" s="95">
        <v>1907</v>
      </c>
      <c r="L37" s="95">
        <v>130.24</v>
      </c>
      <c r="M37" s="96">
        <v>6.3929630284109876E-2</v>
      </c>
      <c r="N37" s="89" t="s">
        <v>779</v>
      </c>
    </row>
    <row r="38" spans="1:14" x14ac:dyDescent="0.35">
      <c r="A38" s="88">
        <v>1800001114</v>
      </c>
      <c r="B38" s="89" t="s">
        <v>563</v>
      </c>
      <c r="C38" s="90">
        <v>45722</v>
      </c>
      <c r="D38" s="91">
        <v>246779411050</v>
      </c>
      <c r="E38" s="89" t="s">
        <v>559</v>
      </c>
      <c r="F38" s="92">
        <v>23.5</v>
      </c>
      <c r="G38" s="93" t="s">
        <v>560</v>
      </c>
      <c r="H38" s="94">
        <v>2037.24</v>
      </c>
      <c r="I38" s="95">
        <v>0</v>
      </c>
      <c r="J38" s="95">
        <v>1907</v>
      </c>
      <c r="K38" s="95">
        <v>1907</v>
      </c>
      <c r="L38" s="95">
        <v>130.24</v>
      </c>
      <c r="M38" s="96">
        <v>6.3929630284109876E-2</v>
      </c>
      <c r="N38" s="89" t="s">
        <v>925</v>
      </c>
    </row>
    <row r="39" spans="1:14" x14ac:dyDescent="0.35">
      <c r="A39" s="88">
        <v>1800002093</v>
      </c>
      <c r="B39" s="89" t="s">
        <v>563</v>
      </c>
      <c r="C39" s="90">
        <v>45733</v>
      </c>
      <c r="D39" s="91">
        <v>246779411758</v>
      </c>
      <c r="E39" s="89" t="s">
        <v>559</v>
      </c>
      <c r="F39" s="92">
        <v>22.69</v>
      </c>
      <c r="G39" s="93" t="s">
        <v>560</v>
      </c>
      <c r="H39" s="94">
        <v>1967.02</v>
      </c>
      <c r="I39" s="95">
        <v>0</v>
      </c>
      <c r="J39" s="95">
        <v>1842</v>
      </c>
      <c r="K39" s="95">
        <v>1842</v>
      </c>
      <c r="L39" s="95">
        <v>125.01999999999998</v>
      </c>
      <c r="M39" s="96">
        <v>6.3558072617461936E-2</v>
      </c>
      <c r="N39" s="89" t="s">
        <v>764</v>
      </c>
    </row>
    <row r="40" spans="1:14" x14ac:dyDescent="0.35">
      <c r="A40" s="88">
        <v>1800008035</v>
      </c>
      <c r="B40" s="89" t="s">
        <v>563</v>
      </c>
      <c r="C40" s="90">
        <v>45770</v>
      </c>
      <c r="D40" s="91">
        <v>256779412926</v>
      </c>
      <c r="E40" s="89" t="s">
        <v>559</v>
      </c>
      <c r="F40" s="92">
        <v>22.5</v>
      </c>
      <c r="G40" s="93" t="s">
        <v>560</v>
      </c>
      <c r="H40" s="94">
        <v>1955.74</v>
      </c>
      <c r="I40" s="95">
        <v>0</v>
      </c>
      <c r="J40" s="95">
        <v>1878</v>
      </c>
      <c r="K40" s="95">
        <v>1878</v>
      </c>
      <c r="L40" s="95">
        <v>77.740000000000009</v>
      </c>
      <c r="M40" s="96">
        <v>3.9749659975252337E-2</v>
      </c>
      <c r="N40" s="89" t="s">
        <v>671</v>
      </c>
    </row>
    <row r="41" spans="1:14" x14ac:dyDescent="0.35">
      <c r="A41" s="88">
        <v>1800003871</v>
      </c>
      <c r="B41" s="89" t="s">
        <v>563</v>
      </c>
      <c r="C41" s="90">
        <v>45736</v>
      </c>
      <c r="D41" s="91">
        <v>246779413739</v>
      </c>
      <c r="E41" s="89" t="s">
        <v>559</v>
      </c>
      <c r="F41" s="92">
        <v>21.15</v>
      </c>
      <c r="G41" s="93" t="s">
        <v>560</v>
      </c>
      <c r="H41" s="94">
        <v>1833.52</v>
      </c>
      <c r="I41" s="95">
        <v>0</v>
      </c>
      <c r="J41" s="95">
        <v>1724</v>
      </c>
      <c r="K41" s="95">
        <v>1724</v>
      </c>
      <c r="L41" s="95">
        <v>109.51999999999998</v>
      </c>
      <c r="M41" s="96">
        <v>5.973210000436318E-2</v>
      </c>
      <c r="N41" s="89" t="s">
        <v>860</v>
      </c>
    </row>
    <row r="42" spans="1:14" x14ac:dyDescent="0.35">
      <c r="A42" s="88">
        <v>1800009984</v>
      </c>
      <c r="B42" s="89" t="s">
        <v>563</v>
      </c>
      <c r="C42" s="90">
        <v>45827</v>
      </c>
      <c r="D42" s="91">
        <v>256779414748</v>
      </c>
      <c r="E42" s="89" t="s">
        <v>559</v>
      </c>
      <c r="F42" s="92">
        <v>20.91</v>
      </c>
      <c r="G42" s="93" t="s">
        <v>560</v>
      </c>
      <c r="H42" s="94">
        <v>1787.61</v>
      </c>
      <c r="I42" s="95">
        <v>0</v>
      </c>
      <c r="J42" s="95">
        <v>1800.3510000000001</v>
      </c>
      <c r="K42" s="95">
        <v>1800.3510000000001</v>
      </c>
      <c r="L42" s="95">
        <v>-12.741000000000213</v>
      </c>
      <c r="M42" s="96">
        <v>-7.1273935589978871E-3</v>
      </c>
      <c r="N42" s="89" t="s">
        <v>639</v>
      </c>
    </row>
    <row r="43" spans="1:14" x14ac:dyDescent="0.35">
      <c r="A43" s="88">
        <v>1800001381</v>
      </c>
      <c r="B43" s="89" t="s">
        <v>563</v>
      </c>
      <c r="C43" s="90">
        <v>45722</v>
      </c>
      <c r="D43" s="91">
        <v>246779411250</v>
      </c>
      <c r="E43" s="89" t="s">
        <v>559</v>
      </c>
      <c r="F43" s="92">
        <v>19.7</v>
      </c>
      <c r="G43" s="93" t="s">
        <v>560</v>
      </c>
      <c r="H43" s="94">
        <v>1707.82</v>
      </c>
      <c r="I43" s="95">
        <v>0</v>
      </c>
      <c r="J43" s="95">
        <v>1599</v>
      </c>
      <c r="K43" s="95">
        <v>1599</v>
      </c>
      <c r="L43" s="95">
        <v>108.81999999999994</v>
      </c>
      <c r="M43" s="96">
        <v>6.3718658875057052E-2</v>
      </c>
      <c r="N43" s="89" t="s">
        <v>779</v>
      </c>
    </row>
    <row r="44" spans="1:14" x14ac:dyDescent="0.35">
      <c r="A44" s="88">
        <v>1800000906</v>
      </c>
      <c r="B44" s="89" t="s">
        <v>563</v>
      </c>
      <c r="C44" s="90">
        <v>45720</v>
      </c>
      <c r="D44" s="91">
        <v>246779410847</v>
      </c>
      <c r="E44" s="89" t="s">
        <v>559</v>
      </c>
      <c r="F44" s="92">
        <v>18.8</v>
      </c>
      <c r="G44" s="93" t="s">
        <v>560</v>
      </c>
      <c r="H44" s="94">
        <v>1629.8</v>
      </c>
      <c r="I44" s="95">
        <v>0</v>
      </c>
      <c r="J44" s="95">
        <v>1528</v>
      </c>
      <c r="K44" s="95">
        <v>1528</v>
      </c>
      <c r="L44" s="95">
        <v>101.79999999999995</v>
      </c>
      <c r="M44" s="96">
        <v>6.246165173640935E-2</v>
      </c>
      <c r="N44" s="89" t="s">
        <v>915</v>
      </c>
    </row>
    <row r="45" spans="1:14" x14ac:dyDescent="0.35">
      <c r="A45" s="88">
        <v>1800000914</v>
      </c>
      <c r="B45" s="89" t="s">
        <v>563</v>
      </c>
      <c r="C45" s="90">
        <v>45720</v>
      </c>
      <c r="D45" s="91">
        <v>246779410855</v>
      </c>
      <c r="E45" s="89" t="s">
        <v>559</v>
      </c>
      <c r="F45" s="92">
        <v>18.8</v>
      </c>
      <c r="G45" s="93" t="s">
        <v>560</v>
      </c>
      <c r="H45" s="94">
        <v>1629.8</v>
      </c>
      <c r="I45" s="95">
        <v>0</v>
      </c>
      <c r="J45" s="95">
        <v>1527</v>
      </c>
      <c r="K45" s="95">
        <v>1527</v>
      </c>
      <c r="L45" s="95">
        <v>102.79999999999995</v>
      </c>
      <c r="M45" s="96">
        <v>6.3075223953859338E-2</v>
      </c>
      <c r="N45" s="89" t="s">
        <v>915</v>
      </c>
    </row>
    <row r="46" spans="1:14" x14ac:dyDescent="0.35">
      <c r="A46" s="88">
        <v>1800007784</v>
      </c>
      <c r="B46" s="89" t="s">
        <v>563</v>
      </c>
      <c r="C46" s="90">
        <v>45769</v>
      </c>
      <c r="D46" s="91">
        <v>256779412675</v>
      </c>
      <c r="E46" s="89" t="s">
        <v>559</v>
      </c>
      <c r="F46" s="92">
        <v>17.350000000000001</v>
      </c>
      <c r="G46" s="93" t="s">
        <v>560</v>
      </c>
      <c r="H46" s="94">
        <v>1508.09</v>
      </c>
      <c r="I46" s="95">
        <v>0</v>
      </c>
      <c r="J46" s="95">
        <v>1447</v>
      </c>
      <c r="K46" s="95">
        <v>1447</v>
      </c>
      <c r="L46" s="95">
        <v>61.089999999999918</v>
      </c>
      <c r="M46" s="96">
        <v>4.0508192481881006E-2</v>
      </c>
      <c r="N46" s="89" t="s">
        <v>655</v>
      </c>
    </row>
    <row r="47" spans="1:14" x14ac:dyDescent="0.35">
      <c r="A47" s="88">
        <v>1800001115</v>
      </c>
      <c r="B47" s="89" t="s">
        <v>563</v>
      </c>
      <c r="C47" s="90">
        <v>45722</v>
      </c>
      <c r="D47" s="91">
        <v>246779411051</v>
      </c>
      <c r="E47" s="89" t="s">
        <v>559</v>
      </c>
      <c r="F47" s="92">
        <v>17.350000000000001</v>
      </c>
      <c r="G47" s="93" t="s">
        <v>560</v>
      </c>
      <c r="H47" s="94">
        <v>1504.09</v>
      </c>
      <c r="I47" s="95">
        <v>0</v>
      </c>
      <c r="J47" s="95">
        <v>1408</v>
      </c>
      <c r="K47" s="95">
        <v>1408</v>
      </c>
      <c r="L47" s="95">
        <v>96.089999999999918</v>
      </c>
      <c r="M47" s="96">
        <v>6.3885804705835367E-2</v>
      </c>
      <c r="N47" s="89" t="s">
        <v>925</v>
      </c>
    </row>
    <row r="48" spans="1:14" x14ac:dyDescent="0.35">
      <c r="A48" s="88">
        <v>1800001119</v>
      </c>
      <c r="B48" s="89" t="s">
        <v>563</v>
      </c>
      <c r="C48" s="90">
        <v>45722</v>
      </c>
      <c r="D48" s="91">
        <v>246779411055</v>
      </c>
      <c r="E48" s="89" t="s">
        <v>559</v>
      </c>
      <c r="F48" s="92">
        <v>17.350000000000001</v>
      </c>
      <c r="G48" s="93" t="s">
        <v>560</v>
      </c>
      <c r="H48" s="94">
        <v>1504.09</v>
      </c>
      <c r="I48" s="95">
        <v>0</v>
      </c>
      <c r="J48" s="95">
        <v>1408</v>
      </c>
      <c r="K48" s="95">
        <v>1408</v>
      </c>
      <c r="L48" s="95">
        <v>96.089999999999918</v>
      </c>
      <c r="M48" s="96">
        <v>6.3885804705835367E-2</v>
      </c>
      <c r="N48" s="89" t="s">
        <v>925</v>
      </c>
    </row>
    <row r="49" spans="1:14" x14ac:dyDescent="0.35">
      <c r="A49" s="88">
        <v>1800006994</v>
      </c>
      <c r="B49" s="89" t="s">
        <v>563</v>
      </c>
      <c r="C49" s="90">
        <v>45763</v>
      </c>
      <c r="D49" s="91">
        <v>256779411885</v>
      </c>
      <c r="E49" s="89" t="s">
        <v>559</v>
      </c>
      <c r="F49" s="92">
        <v>15</v>
      </c>
      <c r="G49" s="93" t="s">
        <v>560</v>
      </c>
      <c r="H49" s="94">
        <v>1303.83</v>
      </c>
      <c r="I49" s="95">
        <v>0</v>
      </c>
      <c r="J49" s="95">
        <v>1256</v>
      </c>
      <c r="K49" s="95">
        <v>1256</v>
      </c>
      <c r="L49" s="95">
        <v>47.829999999999927</v>
      </c>
      <c r="M49" s="96">
        <v>3.6684230306098131E-2</v>
      </c>
      <c r="N49" s="89" t="s">
        <v>780</v>
      </c>
    </row>
    <row r="50" spans="1:14" x14ac:dyDescent="0.35">
      <c r="A50" s="88">
        <v>1800001783</v>
      </c>
      <c r="B50" s="89" t="s">
        <v>563</v>
      </c>
      <c r="C50" s="90">
        <v>45730</v>
      </c>
      <c r="D50" s="91">
        <v>246779411448</v>
      </c>
      <c r="E50" s="89" t="s">
        <v>559</v>
      </c>
      <c r="F50" s="92">
        <v>14.31</v>
      </c>
      <c r="G50" s="93" t="s">
        <v>560</v>
      </c>
      <c r="H50" s="94">
        <v>1240.55</v>
      </c>
      <c r="I50" s="95">
        <v>0</v>
      </c>
      <c r="J50" s="95">
        <v>1161</v>
      </c>
      <c r="K50" s="95">
        <v>1161</v>
      </c>
      <c r="L50" s="95">
        <v>79.549999999999955</v>
      </c>
      <c r="M50" s="96">
        <v>6.4124783362218343E-2</v>
      </c>
      <c r="N50" s="89" t="s">
        <v>792</v>
      </c>
    </row>
    <row r="51" spans="1:14" x14ac:dyDescent="0.35">
      <c r="A51" s="88">
        <v>1800003874</v>
      </c>
      <c r="B51" s="89" t="s">
        <v>563</v>
      </c>
      <c r="C51" s="90">
        <v>45736</v>
      </c>
      <c r="D51" s="91">
        <v>246779413742</v>
      </c>
      <c r="E51" s="89" t="s">
        <v>559</v>
      </c>
      <c r="F51" s="92">
        <v>14.1</v>
      </c>
      <c r="G51" s="93" t="s">
        <v>560</v>
      </c>
      <c r="H51" s="94">
        <v>1222.3499999999999</v>
      </c>
      <c r="I51" s="95">
        <v>0</v>
      </c>
      <c r="J51" s="95">
        <v>1149</v>
      </c>
      <c r="K51" s="95">
        <v>1149</v>
      </c>
      <c r="L51" s="95">
        <v>73.349999999999909</v>
      </c>
      <c r="M51" s="96">
        <v>6.0007362866609328E-2</v>
      </c>
      <c r="N51" s="89" t="s">
        <v>860</v>
      </c>
    </row>
    <row r="52" spans="1:14" x14ac:dyDescent="0.35">
      <c r="A52" s="88">
        <v>1800000913</v>
      </c>
      <c r="B52" s="89" t="s">
        <v>563</v>
      </c>
      <c r="C52" s="90">
        <v>45720</v>
      </c>
      <c r="D52" s="91">
        <v>246779410854</v>
      </c>
      <c r="E52" s="89" t="s">
        <v>559</v>
      </c>
      <c r="F52" s="92">
        <v>14.1</v>
      </c>
      <c r="G52" s="93" t="s">
        <v>560</v>
      </c>
      <c r="H52" s="94">
        <v>1222.3499999999999</v>
      </c>
      <c r="I52" s="95">
        <v>0</v>
      </c>
      <c r="J52" s="95">
        <v>1145</v>
      </c>
      <c r="K52" s="95">
        <v>1145</v>
      </c>
      <c r="L52" s="95">
        <v>77.349999999999909</v>
      </c>
      <c r="M52" s="96">
        <v>6.3279748026342633E-2</v>
      </c>
      <c r="N52" s="89" t="s">
        <v>915</v>
      </c>
    </row>
    <row r="53" spans="1:14" x14ac:dyDescent="0.35">
      <c r="A53" s="88">
        <v>1800013487</v>
      </c>
      <c r="B53" s="89" t="s">
        <v>563</v>
      </c>
      <c r="C53" s="90">
        <v>45938</v>
      </c>
      <c r="D53" s="91">
        <v>256779418103</v>
      </c>
      <c r="E53" s="89" t="s">
        <v>559</v>
      </c>
      <c r="F53" s="92">
        <v>11.26</v>
      </c>
      <c r="G53" s="93" t="s">
        <v>560</v>
      </c>
      <c r="H53" s="94">
        <v>993.03</v>
      </c>
      <c r="I53" s="95">
        <v>980</v>
      </c>
      <c r="J53" s="95">
        <v>47157.936999999998</v>
      </c>
      <c r="K53" s="95">
        <v>46177.936999999998</v>
      </c>
      <c r="L53" s="95">
        <v>-45184.906999999999</v>
      </c>
      <c r="M53" s="96">
        <v>-45.502056332638489</v>
      </c>
      <c r="N53" s="89" t="s">
        <v>677</v>
      </c>
    </row>
    <row r="54" spans="1:14" x14ac:dyDescent="0.35">
      <c r="A54" s="88">
        <v>1800000909</v>
      </c>
      <c r="B54" s="89" t="s">
        <v>563</v>
      </c>
      <c r="C54" s="90">
        <v>45720</v>
      </c>
      <c r="D54" s="91">
        <v>246779410850</v>
      </c>
      <c r="E54" s="89" t="s">
        <v>559</v>
      </c>
      <c r="F54" s="92">
        <v>9.4</v>
      </c>
      <c r="G54" s="93" t="s">
        <v>560</v>
      </c>
      <c r="H54" s="94">
        <v>814.9</v>
      </c>
      <c r="I54" s="95">
        <v>0</v>
      </c>
      <c r="J54" s="95">
        <v>763</v>
      </c>
      <c r="K54" s="95">
        <v>763</v>
      </c>
      <c r="L54" s="95">
        <v>51.899999999999977</v>
      </c>
      <c r="M54" s="96">
        <v>6.3688796171309334E-2</v>
      </c>
      <c r="N54" s="89" t="s">
        <v>915</v>
      </c>
    </row>
    <row r="55" spans="1:14" x14ac:dyDescent="0.35">
      <c r="A55" s="88">
        <v>1800000553</v>
      </c>
      <c r="B55" s="89" t="s">
        <v>563</v>
      </c>
      <c r="C55" s="90">
        <v>45719</v>
      </c>
      <c r="D55" s="91">
        <v>246779410503</v>
      </c>
      <c r="E55" s="89" t="s">
        <v>559</v>
      </c>
      <c r="F55" s="92">
        <v>9.4</v>
      </c>
      <c r="G55" s="93" t="s">
        <v>560</v>
      </c>
      <c r="H55" s="94">
        <v>814.9</v>
      </c>
      <c r="I55" s="95">
        <v>0</v>
      </c>
      <c r="J55" s="95">
        <v>2009</v>
      </c>
      <c r="K55" s="95">
        <v>2009</v>
      </c>
      <c r="L55" s="95">
        <v>-1194.0999999999999</v>
      </c>
      <c r="M55" s="96">
        <v>-1.4653331697140752</v>
      </c>
      <c r="N55" s="89" t="s">
        <v>928</v>
      </c>
    </row>
    <row r="56" spans="1:14" x14ac:dyDescent="0.35">
      <c r="A56" s="88">
        <v>1800002268</v>
      </c>
      <c r="B56" s="89" t="s">
        <v>563</v>
      </c>
      <c r="C56" s="90">
        <v>45733</v>
      </c>
      <c r="D56" s="91">
        <v>246779411933</v>
      </c>
      <c r="E56" s="89" t="s">
        <v>559</v>
      </c>
      <c r="F56" s="92">
        <v>7.1</v>
      </c>
      <c r="G56" s="93" t="s">
        <v>560</v>
      </c>
      <c r="H56" s="94">
        <v>615.51</v>
      </c>
      <c r="I56" s="95">
        <v>0</v>
      </c>
      <c r="J56" s="95">
        <v>576</v>
      </c>
      <c r="K56" s="95">
        <v>576</v>
      </c>
      <c r="L56" s="95">
        <v>39.509999999999991</v>
      </c>
      <c r="M56" s="96">
        <v>6.4190671150753026E-2</v>
      </c>
      <c r="N56" s="89" t="s">
        <v>765</v>
      </c>
    </row>
    <row r="57" spans="1:14" x14ac:dyDescent="0.35">
      <c r="A57" s="88">
        <v>1800002270</v>
      </c>
      <c r="B57" s="89" t="s">
        <v>563</v>
      </c>
      <c r="C57" s="90">
        <v>45733</v>
      </c>
      <c r="D57" s="91">
        <v>246779411935</v>
      </c>
      <c r="E57" s="89" t="s">
        <v>559</v>
      </c>
      <c r="F57" s="92">
        <v>7.1</v>
      </c>
      <c r="G57" s="93" t="s">
        <v>560</v>
      </c>
      <c r="H57" s="94">
        <v>615.51</v>
      </c>
      <c r="I57" s="95">
        <v>0</v>
      </c>
      <c r="J57" s="95">
        <v>576</v>
      </c>
      <c r="K57" s="95">
        <v>576</v>
      </c>
      <c r="L57" s="95">
        <v>39.509999999999991</v>
      </c>
      <c r="M57" s="96">
        <v>6.4190671150753026E-2</v>
      </c>
      <c r="N57" s="89" t="s">
        <v>765</v>
      </c>
    </row>
    <row r="58" spans="1:14" x14ac:dyDescent="0.35">
      <c r="A58" s="88">
        <v>1800003872</v>
      </c>
      <c r="B58" s="89" t="s">
        <v>563</v>
      </c>
      <c r="C58" s="90">
        <v>45736</v>
      </c>
      <c r="D58" s="91">
        <v>246779413740</v>
      </c>
      <c r="E58" s="89" t="s">
        <v>559</v>
      </c>
      <c r="F58" s="92">
        <v>7.05</v>
      </c>
      <c r="G58" s="93" t="s">
        <v>560</v>
      </c>
      <c r="H58" s="94">
        <v>611.16999999999996</v>
      </c>
      <c r="I58" s="95">
        <v>0</v>
      </c>
      <c r="J58" s="95">
        <v>574</v>
      </c>
      <c r="K58" s="95">
        <v>574</v>
      </c>
      <c r="L58" s="95">
        <v>37.169999999999959</v>
      </c>
      <c r="M58" s="96">
        <v>6.0817775741610292E-2</v>
      </c>
      <c r="N58" s="89" t="s">
        <v>860</v>
      </c>
    </row>
    <row r="59" spans="1:14" x14ac:dyDescent="0.35">
      <c r="A59" s="88">
        <v>1800002271</v>
      </c>
      <c r="B59" s="89" t="s">
        <v>563</v>
      </c>
      <c r="C59" s="90">
        <v>45733</v>
      </c>
      <c r="D59" s="91">
        <v>246779411936</v>
      </c>
      <c r="E59" s="89" t="s">
        <v>559</v>
      </c>
      <c r="F59" s="92">
        <v>5.92</v>
      </c>
      <c r="G59" s="93" t="s">
        <v>560</v>
      </c>
      <c r="H59" s="94">
        <v>513.21</v>
      </c>
      <c r="I59" s="95">
        <v>0</v>
      </c>
      <c r="J59" s="95">
        <v>480</v>
      </c>
      <c r="K59" s="95">
        <v>480</v>
      </c>
      <c r="L59" s="95">
        <v>33.210000000000036</v>
      </c>
      <c r="M59" s="96">
        <v>6.4710352487285974E-2</v>
      </c>
      <c r="N59" s="89" t="s">
        <v>765</v>
      </c>
    </row>
    <row r="60" spans="1:14" x14ac:dyDescent="0.35">
      <c r="A60" s="88">
        <v>1800003834</v>
      </c>
      <c r="B60" s="89" t="s">
        <v>563</v>
      </c>
      <c r="C60" s="90">
        <v>45736</v>
      </c>
      <c r="D60" s="91">
        <v>246779413696</v>
      </c>
      <c r="E60" s="89" t="s">
        <v>559</v>
      </c>
      <c r="F60" s="92">
        <v>4.7</v>
      </c>
      <c r="G60" s="93" t="s">
        <v>560</v>
      </c>
      <c r="H60" s="94">
        <v>407.45</v>
      </c>
      <c r="I60" s="95">
        <v>0</v>
      </c>
      <c r="J60" s="95">
        <v>382</v>
      </c>
      <c r="K60" s="95">
        <v>382</v>
      </c>
      <c r="L60" s="95">
        <v>25.449999999999989</v>
      </c>
      <c r="M60" s="96">
        <v>6.246165173640935E-2</v>
      </c>
      <c r="N60" s="89" t="s">
        <v>860</v>
      </c>
    </row>
    <row r="61" spans="1:14" x14ac:dyDescent="0.35">
      <c r="A61" s="88">
        <v>1800003875</v>
      </c>
      <c r="B61" s="89" t="s">
        <v>563</v>
      </c>
      <c r="C61" s="90">
        <v>45736</v>
      </c>
      <c r="D61" s="91">
        <v>246779413743</v>
      </c>
      <c r="E61" s="89" t="s">
        <v>559</v>
      </c>
      <c r="F61" s="92">
        <v>4.7</v>
      </c>
      <c r="G61" s="93" t="s">
        <v>560</v>
      </c>
      <c r="H61" s="94">
        <v>407.45</v>
      </c>
      <c r="I61" s="95">
        <v>0</v>
      </c>
      <c r="J61" s="95">
        <v>383</v>
      </c>
      <c r="K61" s="95">
        <v>383</v>
      </c>
      <c r="L61" s="95">
        <v>24.449999999999989</v>
      </c>
      <c r="M61" s="96">
        <v>6.0007362866609376E-2</v>
      </c>
      <c r="N61" s="89" t="s">
        <v>860</v>
      </c>
    </row>
    <row r="62" spans="1:14" x14ac:dyDescent="0.35">
      <c r="A62" s="88">
        <v>1800000742</v>
      </c>
      <c r="B62" s="89" t="s">
        <v>563</v>
      </c>
      <c r="C62" s="90">
        <v>45720</v>
      </c>
      <c r="D62" s="91">
        <v>246779410682</v>
      </c>
      <c r="E62" s="89" t="s">
        <v>559</v>
      </c>
      <c r="F62" s="92">
        <v>4.7</v>
      </c>
      <c r="G62" s="93" t="s">
        <v>560</v>
      </c>
      <c r="H62" s="94">
        <v>407.45</v>
      </c>
      <c r="I62" s="95">
        <v>0</v>
      </c>
      <c r="J62" s="95">
        <v>201</v>
      </c>
      <c r="K62" s="95">
        <v>201</v>
      </c>
      <c r="L62" s="95">
        <v>206.45</v>
      </c>
      <c r="M62" s="96">
        <v>0.50668793717020488</v>
      </c>
      <c r="N62" s="89" t="s">
        <v>914</v>
      </c>
    </row>
    <row r="63" spans="1:14" x14ac:dyDescent="0.35">
      <c r="A63" s="88">
        <v>1800000905</v>
      </c>
      <c r="B63" s="89" t="s">
        <v>563</v>
      </c>
      <c r="C63" s="90">
        <v>45720</v>
      </c>
      <c r="D63" s="91">
        <v>246779410846</v>
      </c>
      <c r="E63" s="89" t="s">
        <v>559</v>
      </c>
      <c r="F63" s="92">
        <v>4.7</v>
      </c>
      <c r="G63" s="93" t="s">
        <v>560</v>
      </c>
      <c r="H63" s="94">
        <v>407.45</v>
      </c>
      <c r="I63" s="95">
        <v>0</v>
      </c>
      <c r="J63" s="95">
        <v>381</v>
      </c>
      <c r="K63" s="95">
        <v>381</v>
      </c>
      <c r="L63" s="95">
        <v>26.449999999999989</v>
      </c>
      <c r="M63" s="96">
        <v>6.4915940606209324E-2</v>
      </c>
      <c r="N63" s="89" t="s">
        <v>915</v>
      </c>
    </row>
    <row r="64" spans="1:14" x14ac:dyDescent="0.35">
      <c r="A64" s="88">
        <v>1800000910</v>
      </c>
      <c r="B64" s="89" t="s">
        <v>563</v>
      </c>
      <c r="C64" s="90">
        <v>45720</v>
      </c>
      <c r="D64" s="91">
        <v>246779410851</v>
      </c>
      <c r="E64" s="89" t="s">
        <v>559</v>
      </c>
      <c r="F64" s="92">
        <v>4.7</v>
      </c>
      <c r="G64" s="93" t="s">
        <v>560</v>
      </c>
      <c r="H64" s="94">
        <v>407.45</v>
      </c>
      <c r="I64" s="95">
        <v>0</v>
      </c>
      <c r="J64" s="95">
        <v>381</v>
      </c>
      <c r="K64" s="95">
        <v>381</v>
      </c>
      <c r="L64" s="95">
        <v>26.449999999999989</v>
      </c>
      <c r="M64" s="96">
        <v>6.4915940606209324E-2</v>
      </c>
      <c r="N64" s="89" t="s">
        <v>915</v>
      </c>
    </row>
    <row r="65" spans="1:14" x14ac:dyDescent="0.35">
      <c r="A65" s="88">
        <v>1800000911</v>
      </c>
      <c r="B65" s="89" t="s">
        <v>563</v>
      </c>
      <c r="C65" s="90">
        <v>45720</v>
      </c>
      <c r="D65" s="91">
        <v>246779410852</v>
      </c>
      <c r="E65" s="89" t="s">
        <v>559</v>
      </c>
      <c r="F65" s="92">
        <v>4.7</v>
      </c>
      <c r="G65" s="93" t="s">
        <v>560</v>
      </c>
      <c r="H65" s="94">
        <v>407.45</v>
      </c>
      <c r="I65" s="95">
        <v>0</v>
      </c>
      <c r="J65" s="95">
        <v>381</v>
      </c>
      <c r="K65" s="95">
        <v>381</v>
      </c>
      <c r="L65" s="95">
        <v>26.449999999999989</v>
      </c>
      <c r="M65" s="96">
        <v>6.4915940606209324E-2</v>
      </c>
      <c r="N65" s="89" t="s">
        <v>915</v>
      </c>
    </row>
    <row r="66" spans="1:14" x14ac:dyDescent="0.35">
      <c r="A66" s="88">
        <v>1800001116</v>
      </c>
      <c r="B66" s="89" t="s">
        <v>563</v>
      </c>
      <c r="C66" s="90">
        <v>45722</v>
      </c>
      <c r="D66" s="91">
        <v>246779411052</v>
      </c>
      <c r="E66" s="89" t="s">
        <v>559</v>
      </c>
      <c r="F66" s="92">
        <v>4.7</v>
      </c>
      <c r="G66" s="93" t="s">
        <v>560</v>
      </c>
      <c r="H66" s="94">
        <v>407.45</v>
      </c>
      <c r="I66" s="95">
        <v>0</v>
      </c>
      <c r="J66" s="95">
        <v>381</v>
      </c>
      <c r="K66" s="95">
        <v>381</v>
      </c>
      <c r="L66" s="95">
        <v>26.449999999999989</v>
      </c>
      <c r="M66" s="96">
        <v>6.4915940606209324E-2</v>
      </c>
      <c r="N66" s="89" t="s">
        <v>925</v>
      </c>
    </row>
    <row r="67" spans="1:14" x14ac:dyDescent="0.35">
      <c r="A67" s="88">
        <v>1800002269</v>
      </c>
      <c r="B67" s="89" t="s">
        <v>563</v>
      </c>
      <c r="C67" s="90">
        <v>45733</v>
      </c>
      <c r="D67" s="91">
        <v>246779411934</v>
      </c>
      <c r="E67" s="89" t="s">
        <v>559</v>
      </c>
      <c r="F67" s="92">
        <v>4.1399999999999997</v>
      </c>
      <c r="G67" s="93" t="s">
        <v>560</v>
      </c>
      <c r="H67" s="94">
        <v>358.9</v>
      </c>
      <c r="I67" s="95">
        <v>0</v>
      </c>
      <c r="J67" s="95">
        <v>336</v>
      </c>
      <c r="K67" s="95">
        <v>336</v>
      </c>
      <c r="L67" s="95">
        <v>22.899999999999977</v>
      </c>
      <c r="M67" s="96">
        <v>6.3806074115352412E-2</v>
      </c>
      <c r="N67" s="89" t="s">
        <v>765</v>
      </c>
    </row>
    <row r="68" spans="1:14" x14ac:dyDescent="0.35">
      <c r="A68" s="88">
        <v>1800002090</v>
      </c>
      <c r="B68" s="89" t="s">
        <v>563</v>
      </c>
      <c r="C68" s="90">
        <v>45733</v>
      </c>
      <c r="D68" s="91">
        <v>246779411755</v>
      </c>
      <c r="E68" s="89" t="s">
        <v>559</v>
      </c>
      <c r="F68" s="92">
        <v>3.57</v>
      </c>
      <c r="G68" s="93" t="s">
        <v>560</v>
      </c>
      <c r="H68" s="94">
        <v>309.49</v>
      </c>
      <c r="I68" s="95">
        <v>0</v>
      </c>
      <c r="J68" s="95">
        <v>5816</v>
      </c>
      <c r="K68" s="95">
        <v>5816</v>
      </c>
      <c r="L68" s="95">
        <v>-5506.51</v>
      </c>
      <c r="M68" s="96">
        <v>-17.792206533329026</v>
      </c>
      <c r="N68" s="89" t="s">
        <v>764</v>
      </c>
    </row>
    <row r="69" spans="1:14" x14ac:dyDescent="0.35">
      <c r="A69" s="88">
        <v>1800004812</v>
      </c>
      <c r="B69" s="89" t="s">
        <v>563</v>
      </c>
      <c r="C69" s="90">
        <v>45736</v>
      </c>
      <c r="D69" s="91">
        <v>246779414680</v>
      </c>
      <c r="E69" s="89" t="s">
        <v>559</v>
      </c>
      <c r="F69" s="92">
        <v>2.5</v>
      </c>
      <c r="G69" s="93" t="s">
        <v>560</v>
      </c>
      <c r="H69" s="94">
        <v>216.73</v>
      </c>
      <c r="I69" s="95">
        <v>0</v>
      </c>
      <c r="J69" s="95">
        <v>383</v>
      </c>
      <c r="K69" s="95">
        <v>383</v>
      </c>
      <c r="L69" s="95">
        <v>-166.27</v>
      </c>
      <c r="M69" s="96">
        <v>-0.76717574862732441</v>
      </c>
      <c r="N69" s="89" t="s">
        <v>875</v>
      </c>
    </row>
    <row r="70" spans="1:14" x14ac:dyDescent="0.35">
      <c r="A70" s="88">
        <v>1800003830</v>
      </c>
      <c r="B70" s="89" t="s">
        <v>563</v>
      </c>
      <c r="C70" s="90">
        <v>45736</v>
      </c>
      <c r="D70" s="91">
        <v>246779413692</v>
      </c>
      <c r="E70" s="89" t="s">
        <v>559</v>
      </c>
      <c r="F70" s="92">
        <v>2.35</v>
      </c>
      <c r="G70" s="93" t="s">
        <v>560</v>
      </c>
      <c r="H70" s="94">
        <v>203.72</v>
      </c>
      <c r="I70" s="95">
        <v>0</v>
      </c>
      <c r="J70" s="95">
        <v>191</v>
      </c>
      <c r="K70" s="95">
        <v>191</v>
      </c>
      <c r="L70" s="95">
        <v>12.719999999999999</v>
      </c>
      <c r="M70" s="96">
        <v>6.2438641272334575E-2</v>
      </c>
      <c r="N70" s="89" t="s">
        <v>860</v>
      </c>
    </row>
    <row r="71" spans="1:14" x14ac:dyDescent="0.35">
      <c r="A71" s="88">
        <v>1800003833</v>
      </c>
      <c r="B71" s="89" t="s">
        <v>563</v>
      </c>
      <c r="C71" s="90">
        <v>45736</v>
      </c>
      <c r="D71" s="91">
        <v>246779413695</v>
      </c>
      <c r="E71" s="89" t="s">
        <v>559</v>
      </c>
      <c r="F71" s="92">
        <v>2.35</v>
      </c>
      <c r="G71" s="93" t="s">
        <v>560</v>
      </c>
      <c r="H71" s="94">
        <v>203.72</v>
      </c>
      <c r="I71" s="95">
        <v>0</v>
      </c>
      <c r="J71" s="95">
        <v>191</v>
      </c>
      <c r="K71" s="95">
        <v>191</v>
      </c>
      <c r="L71" s="95">
        <v>12.719999999999999</v>
      </c>
      <c r="M71" s="96">
        <v>6.2438641272334575E-2</v>
      </c>
      <c r="N71" s="89" t="s">
        <v>860</v>
      </c>
    </row>
    <row r="72" spans="1:14" x14ac:dyDescent="0.35">
      <c r="A72" s="88">
        <v>1800003865</v>
      </c>
      <c r="B72" s="89" t="s">
        <v>563</v>
      </c>
      <c r="C72" s="90">
        <v>45736</v>
      </c>
      <c r="D72" s="91">
        <v>246779413733</v>
      </c>
      <c r="E72" s="89" t="s">
        <v>559</v>
      </c>
      <c r="F72" s="92">
        <v>2.35</v>
      </c>
      <c r="G72" s="93" t="s">
        <v>560</v>
      </c>
      <c r="H72" s="94">
        <v>203.72</v>
      </c>
      <c r="I72" s="95">
        <v>0</v>
      </c>
      <c r="J72" s="95">
        <v>191</v>
      </c>
      <c r="K72" s="95">
        <v>191</v>
      </c>
      <c r="L72" s="95">
        <v>12.719999999999999</v>
      </c>
      <c r="M72" s="96">
        <v>6.2438641272334575E-2</v>
      </c>
      <c r="N72" s="89" t="s">
        <v>860</v>
      </c>
    </row>
    <row r="73" spans="1:14" x14ac:dyDescent="0.35">
      <c r="A73" s="88">
        <v>1800003869</v>
      </c>
      <c r="B73" s="89" t="s">
        <v>563</v>
      </c>
      <c r="C73" s="90">
        <v>45736</v>
      </c>
      <c r="D73" s="91">
        <v>246779413737</v>
      </c>
      <c r="E73" s="89" t="s">
        <v>559</v>
      </c>
      <c r="F73" s="92">
        <v>2.35</v>
      </c>
      <c r="G73" s="93" t="s">
        <v>560</v>
      </c>
      <c r="H73" s="94">
        <v>203.72</v>
      </c>
      <c r="I73" s="95">
        <v>0</v>
      </c>
      <c r="J73" s="95">
        <v>574</v>
      </c>
      <c r="K73" s="95">
        <v>574</v>
      </c>
      <c r="L73" s="95">
        <v>-370.28</v>
      </c>
      <c r="M73" s="96">
        <v>-1.8175927743962299</v>
      </c>
      <c r="N73" s="89" t="s">
        <v>860</v>
      </c>
    </row>
    <row r="74" spans="1:14" x14ac:dyDescent="0.35">
      <c r="A74" s="88">
        <v>1800003876</v>
      </c>
      <c r="B74" s="89" t="s">
        <v>563</v>
      </c>
      <c r="C74" s="90">
        <v>45736</v>
      </c>
      <c r="D74" s="91">
        <v>246779413744</v>
      </c>
      <c r="E74" s="89" t="s">
        <v>559</v>
      </c>
      <c r="F74" s="92">
        <v>2.35</v>
      </c>
      <c r="G74" s="93" t="s">
        <v>560</v>
      </c>
      <c r="H74" s="94">
        <v>203.72</v>
      </c>
      <c r="I74" s="95">
        <v>0</v>
      </c>
      <c r="J74" s="95">
        <v>191</v>
      </c>
      <c r="K74" s="95">
        <v>191</v>
      </c>
      <c r="L74" s="95">
        <v>12.719999999999999</v>
      </c>
      <c r="M74" s="96">
        <v>6.2438641272334575E-2</v>
      </c>
      <c r="N74" s="89" t="s">
        <v>860</v>
      </c>
    </row>
    <row r="75" spans="1:14" x14ac:dyDescent="0.35">
      <c r="A75" s="88">
        <v>1800003894</v>
      </c>
      <c r="B75" s="89" t="s">
        <v>563</v>
      </c>
      <c r="C75" s="90">
        <v>45736</v>
      </c>
      <c r="D75" s="91">
        <v>246779413762</v>
      </c>
      <c r="E75" s="89" t="s">
        <v>559</v>
      </c>
      <c r="F75" s="92">
        <v>2.35</v>
      </c>
      <c r="G75" s="93" t="s">
        <v>560</v>
      </c>
      <c r="H75" s="94">
        <v>203.72</v>
      </c>
      <c r="I75" s="95">
        <v>0</v>
      </c>
      <c r="J75" s="95">
        <v>191</v>
      </c>
      <c r="K75" s="95">
        <v>191</v>
      </c>
      <c r="L75" s="95">
        <v>12.719999999999999</v>
      </c>
      <c r="M75" s="96">
        <v>6.2438641272334575E-2</v>
      </c>
      <c r="N75" s="89" t="s">
        <v>604</v>
      </c>
    </row>
    <row r="76" spans="1:14" x14ac:dyDescent="0.35">
      <c r="A76" s="88">
        <v>1800003885</v>
      </c>
      <c r="B76" s="89" t="s">
        <v>563</v>
      </c>
      <c r="C76" s="90">
        <v>45736</v>
      </c>
      <c r="D76" s="91">
        <v>246779413753</v>
      </c>
      <c r="E76" s="89" t="s">
        <v>559</v>
      </c>
      <c r="F76" s="92">
        <v>2.35</v>
      </c>
      <c r="G76" s="93" t="s">
        <v>560</v>
      </c>
      <c r="H76" s="94">
        <v>203.72</v>
      </c>
      <c r="I76" s="95">
        <v>0</v>
      </c>
      <c r="J76" s="95">
        <v>31723</v>
      </c>
      <c r="K76" s="95">
        <v>31723</v>
      </c>
      <c r="L76" s="95">
        <v>-31519.279999999999</v>
      </c>
      <c r="M76" s="96">
        <v>-154.71863341841743</v>
      </c>
      <c r="N76" s="89" t="s">
        <v>604</v>
      </c>
    </row>
    <row r="77" spans="1:14" x14ac:dyDescent="0.35">
      <c r="A77" s="88">
        <v>1800000912</v>
      </c>
      <c r="B77" s="89" t="s">
        <v>563</v>
      </c>
      <c r="C77" s="90">
        <v>45720</v>
      </c>
      <c r="D77" s="91">
        <v>246779410853</v>
      </c>
      <c r="E77" s="89" t="s">
        <v>559</v>
      </c>
      <c r="F77" s="92">
        <v>2.35</v>
      </c>
      <c r="G77" s="93" t="s">
        <v>560</v>
      </c>
      <c r="H77" s="94">
        <v>203.72</v>
      </c>
      <c r="I77" s="95">
        <v>0</v>
      </c>
      <c r="J77" s="95">
        <v>190</v>
      </c>
      <c r="K77" s="95">
        <v>190</v>
      </c>
      <c r="L77" s="95">
        <v>13.719999999999999</v>
      </c>
      <c r="M77" s="96">
        <v>6.7347339485568425E-2</v>
      </c>
      <c r="N77" s="89" t="s">
        <v>915</v>
      </c>
    </row>
    <row r="78" spans="1:14" x14ac:dyDescent="0.35">
      <c r="A78" s="88">
        <v>1800000557</v>
      </c>
      <c r="B78" s="89" t="s">
        <v>563</v>
      </c>
      <c r="C78" s="90">
        <v>45719</v>
      </c>
      <c r="D78" s="91">
        <v>246779410507</v>
      </c>
      <c r="E78" s="89" t="s">
        <v>559</v>
      </c>
      <c r="F78" s="92">
        <v>2.35</v>
      </c>
      <c r="G78" s="93" t="s">
        <v>560</v>
      </c>
      <c r="H78" s="94">
        <v>203.72</v>
      </c>
      <c r="I78" s="95">
        <v>0</v>
      </c>
      <c r="J78" s="95">
        <v>402</v>
      </c>
      <c r="K78" s="95">
        <v>402</v>
      </c>
      <c r="L78" s="95">
        <v>-198.28</v>
      </c>
      <c r="M78" s="96">
        <v>-0.97329668172000783</v>
      </c>
      <c r="N78" s="89" t="s">
        <v>928</v>
      </c>
    </row>
  </sheetData>
  <autoFilter ref="A3:N78" xr:uid="{67FDA809-4F54-46DE-B47E-0252BF4E6D7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CC33-7285-4B6D-ADA7-0FBE8A45356C}">
  <dimension ref="A1:I42"/>
  <sheetViews>
    <sheetView tabSelected="1" topLeftCell="A11" workbookViewId="0">
      <selection activeCell="A2" sqref="A2:I42"/>
    </sheetView>
  </sheetViews>
  <sheetFormatPr defaultColWidth="8.81640625" defaultRowHeight="14.5" x14ac:dyDescent="0.35"/>
  <cols>
    <col min="1" max="1" width="16.81640625" style="3" bestFit="1" customWidth="1"/>
    <col min="2" max="2" width="7.81640625" style="3" bestFit="1" customWidth="1"/>
    <col min="3" max="3" width="13.90625" style="3" bestFit="1" customWidth="1"/>
    <col min="4" max="4" width="12.90625" style="3" bestFit="1" customWidth="1"/>
    <col min="5" max="5" width="10.90625" style="3" customWidth="1"/>
    <col min="6" max="6" width="9.453125" style="3" bestFit="1" customWidth="1"/>
    <col min="7" max="7" width="8.81640625" style="3"/>
    <col min="8" max="8" width="12.1796875" style="3" bestFit="1" customWidth="1"/>
    <col min="9" max="9" width="45" style="3" bestFit="1" customWidth="1"/>
    <col min="10" max="16384" width="8.81640625" style="3"/>
  </cols>
  <sheetData>
    <row r="1" spans="1:9" x14ac:dyDescent="0.35">
      <c r="H1" s="30">
        <f>SUBTOTAL(9,H3:H42)</f>
        <v>2304711.4</v>
      </c>
    </row>
    <row r="2" spans="1:9" customFormat="1" ht="58" x14ac:dyDescent="0.35">
      <c r="A2" s="50" t="s">
        <v>541</v>
      </c>
      <c r="B2" s="51" t="s">
        <v>542</v>
      </c>
      <c r="C2" s="50" t="s">
        <v>543</v>
      </c>
      <c r="D2" s="50" t="s">
        <v>546</v>
      </c>
      <c r="E2" s="51" t="s">
        <v>547</v>
      </c>
      <c r="F2" s="51" t="s">
        <v>548</v>
      </c>
      <c r="G2" s="51" t="s">
        <v>549</v>
      </c>
      <c r="H2" s="51" t="s">
        <v>550</v>
      </c>
      <c r="I2" s="50" t="s">
        <v>553</v>
      </c>
    </row>
    <row r="3" spans="1:9" customFormat="1" x14ac:dyDescent="0.35">
      <c r="A3" s="32">
        <v>1800016345</v>
      </c>
      <c r="B3" s="33" t="s">
        <v>563</v>
      </c>
      <c r="C3" s="34">
        <v>46028</v>
      </c>
      <c r="D3" s="35">
        <v>256779440235</v>
      </c>
      <c r="E3" s="33" t="s">
        <v>559</v>
      </c>
      <c r="F3" s="36">
        <v>7267.85</v>
      </c>
      <c r="G3" s="37" t="s">
        <v>560</v>
      </c>
      <c r="H3" s="38">
        <v>659507.53</v>
      </c>
      <c r="I3" s="33" t="s">
        <v>741</v>
      </c>
    </row>
    <row r="4" spans="1:9" customFormat="1" x14ac:dyDescent="0.35">
      <c r="A4" s="32">
        <v>1800015671</v>
      </c>
      <c r="B4" s="33" t="s">
        <v>563</v>
      </c>
      <c r="C4" s="34">
        <v>46024</v>
      </c>
      <c r="D4" s="35">
        <v>256779440004</v>
      </c>
      <c r="E4" s="33" t="s">
        <v>559</v>
      </c>
      <c r="F4" s="36">
        <v>7039.11</v>
      </c>
      <c r="G4" s="37" t="s">
        <v>560</v>
      </c>
      <c r="H4" s="38">
        <v>638750.93999999994</v>
      </c>
      <c r="I4" s="33" t="s">
        <v>711</v>
      </c>
    </row>
    <row r="5" spans="1:9" customFormat="1" x14ac:dyDescent="0.35">
      <c r="A5" s="32">
        <v>1800011863</v>
      </c>
      <c r="B5" s="33" t="s">
        <v>563</v>
      </c>
      <c r="C5" s="34">
        <v>45877</v>
      </c>
      <c r="D5" s="35">
        <v>256779416514</v>
      </c>
      <c r="E5" s="33" t="s">
        <v>559</v>
      </c>
      <c r="F5" s="36">
        <v>1804.03</v>
      </c>
      <c r="G5" s="37" t="s">
        <v>560</v>
      </c>
      <c r="H5" s="38">
        <v>155200.92000000001</v>
      </c>
      <c r="I5" s="33" t="s">
        <v>838</v>
      </c>
    </row>
    <row r="6" spans="1:9" customFormat="1" x14ac:dyDescent="0.35">
      <c r="A6" s="32">
        <v>1800013509</v>
      </c>
      <c r="B6" s="33" t="s">
        <v>563</v>
      </c>
      <c r="C6" s="34">
        <v>45935</v>
      </c>
      <c r="D6" s="35">
        <v>256779418399</v>
      </c>
      <c r="E6" s="33" t="s">
        <v>559</v>
      </c>
      <c r="F6" s="36">
        <v>1432.98</v>
      </c>
      <c r="G6" s="37" t="s">
        <v>560</v>
      </c>
      <c r="H6" s="38">
        <v>126375.61</v>
      </c>
      <c r="I6" s="33" t="s">
        <v>707</v>
      </c>
    </row>
    <row r="7" spans="1:9" customFormat="1" x14ac:dyDescent="0.35">
      <c r="A7" s="32">
        <v>1800014013</v>
      </c>
      <c r="B7" s="33" t="s">
        <v>563</v>
      </c>
      <c r="C7" s="34">
        <v>45950</v>
      </c>
      <c r="D7" s="35">
        <v>256779418620</v>
      </c>
      <c r="E7" s="33" t="s">
        <v>559</v>
      </c>
      <c r="F7" s="36">
        <v>830.96</v>
      </c>
      <c r="G7" s="37" t="s">
        <v>560</v>
      </c>
      <c r="H7" s="38">
        <v>73283</v>
      </c>
      <c r="I7" s="33" t="s">
        <v>612</v>
      </c>
    </row>
    <row r="8" spans="1:9" customFormat="1" x14ac:dyDescent="0.35">
      <c r="A8" s="32">
        <v>1800012586</v>
      </c>
      <c r="B8" s="33" t="s">
        <v>563</v>
      </c>
      <c r="C8" s="34">
        <v>45904</v>
      </c>
      <c r="D8" s="35">
        <v>256779417244</v>
      </c>
      <c r="E8" s="33" t="s">
        <v>559</v>
      </c>
      <c r="F8" s="36">
        <v>685.41</v>
      </c>
      <c r="G8" s="37" t="s">
        <v>560</v>
      </c>
      <c r="H8" s="38">
        <v>59983.199999999997</v>
      </c>
      <c r="I8" s="33" t="s">
        <v>798</v>
      </c>
    </row>
    <row r="9" spans="1:9" customFormat="1" x14ac:dyDescent="0.35">
      <c r="A9" s="32">
        <v>1800009171</v>
      </c>
      <c r="B9" s="33" t="s">
        <v>563</v>
      </c>
      <c r="C9" s="34">
        <v>45810</v>
      </c>
      <c r="D9" s="35">
        <v>256779413935</v>
      </c>
      <c r="E9" s="33" t="s">
        <v>559</v>
      </c>
      <c r="F9" s="36">
        <v>590.74</v>
      </c>
      <c r="G9" s="37" t="s">
        <v>560</v>
      </c>
      <c r="H9" s="38">
        <v>50502.82</v>
      </c>
      <c r="I9" s="33" t="s">
        <v>678</v>
      </c>
    </row>
    <row r="10" spans="1:9" customFormat="1" x14ac:dyDescent="0.35">
      <c r="A10" s="32">
        <v>1800013758</v>
      </c>
      <c r="B10" s="33" t="s">
        <v>563</v>
      </c>
      <c r="C10" s="34">
        <v>45937</v>
      </c>
      <c r="D10" s="35">
        <v>256779418179</v>
      </c>
      <c r="E10" s="33" t="s">
        <v>559</v>
      </c>
      <c r="F10" s="36">
        <v>528.99</v>
      </c>
      <c r="G10" s="37" t="s">
        <v>560</v>
      </c>
      <c r="H10" s="38">
        <v>46652.04</v>
      </c>
      <c r="I10" s="33" t="s">
        <v>681</v>
      </c>
    </row>
    <row r="11" spans="1:9" customFormat="1" x14ac:dyDescent="0.35">
      <c r="A11" s="32">
        <v>1800016282</v>
      </c>
      <c r="B11" s="33" t="s">
        <v>563</v>
      </c>
      <c r="C11" s="34">
        <v>46028</v>
      </c>
      <c r="D11" s="35">
        <v>256779440162</v>
      </c>
      <c r="E11" s="33" t="s">
        <v>559</v>
      </c>
      <c r="F11" s="36">
        <v>505.46</v>
      </c>
      <c r="G11" s="37" t="s">
        <v>560</v>
      </c>
      <c r="H11" s="38">
        <v>45867.03</v>
      </c>
      <c r="I11" s="33" t="s">
        <v>732</v>
      </c>
    </row>
    <row r="12" spans="1:9" customFormat="1" x14ac:dyDescent="0.35">
      <c r="A12" s="32">
        <v>1800016693</v>
      </c>
      <c r="B12" s="33" t="s">
        <v>563</v>
      </c>
      <c r="C12" s="34">
        <v>46034</v>
      </c>
      <c r="D12" s="35">
        <v>256779440282</v>
      </c>
      <c r="E12" s="33" t="s">
        <v>559</v>
      </c>
      <c r="F12" s="36">
        <v>498.5</v>
      </c>
      <c r="G12" s="37" t="s">
        <v>560</v>
      </c>
      <c r="H12" s="38">
        <v>45235.46</v>
      </c>
      <c r="I12" s="33" t="s">
        <v>745</v>
      </c>
    </row>
    <row r="13" spans="1:9" customFormat="1" x14ac:dyDescent="0.35">
      <c r="A13" s="32">
        <v>1800016623</v>
      </c>
      <c r="B13" s="33" t="s">
        <v>563</v>
      </c>
      <c r="C13" s="34">
        <v>46028</v>
      </c>
      <c r="D13" s="35">
        <v>256779440332</v>
      </c>
      <c r="E13" s="33" t="s">
        <v>559</v>
      </c>
      <c r="F13" s="36">
        <v>456.75</v>
      </c>
      <c r="G13" s="37" t="s">
        <v>560</v>
      </c>
      <c r="H13" s="38">
        <v>41446.93</v>
      </c>
      <c r="I13" s="33" t="s">
        <v>747</v>
      </c>
    </row>
    <row r="14" spans="1:9" customFormat="1" x14ac:dyDescent="0.35">
      <c r="A14" s="32">
        <v>1800009411</v>
      </c>
      <c r="B14" s="33" t="s">
        <v>563</v>
      </c>
      <c r="C14" s="34">
        <v>45812</v>
      </c>
      <c r="D14" s="35">
        <v>256779414175</v>
      </c>
      <c r="E14" s="33" t="s">
        <v>559</v>
      </c>
      <c r="F14" s="36">
        <v>472.4</v>
      </c>
      <c r="G14" s="37" t="s">
        <v>560</v>
      </c>
      <c r="H14" s="38">
        <v>40385.839999999997</v>
      </c>
      <c r="I14" s="33" t="s">
        <v>842</v>
      </c>
    </row>
    <row r="15" spans="1:9" customFormat="1" x14ac:dyDescent="0.35">
      <c r="A15" s="32">
        <v>1800015473</v>
      </c>
      <c r="B15" s="33" t="s">
        <v>563</v>
      </c>
      <c r="C15" s="34">
        <v>45997</v>
      </c>
      <c r="D15" s="35">
        <v>256779419990</v>
      </c>
      <c r="E15" s="33" t="s">
        <v>559</v>
      </c>
      <c r="F15" s="36">
        <v>429.75</v>
      </c>
      <c r="G15" s="37" t="s">
        <v>560</v>
      </c>
      <c r="H15" s="38">
        <v>38118.89</v>
      </c>
      <c r="I15" s="33" t="s">
        <v>691</v>
      </c>
    </row>
    <row r="16" spans="1:9" customFormat="1" x14ac:dyDescent="0.35">
      <c r="A16" s="32">
        <v>1800016202</v>
      </c>
      <c r="B16" s="33" t="s">
        <v>563</v>
      </c>
      <c r="C16" s="34">
        <v>46028</v>
      </c>
      <c r="D16" s="35">
        <v>256779440143</v>
      </c>
      <c r="E16" s="33" t="s">
        <v>559</v>
      </c>
      <c r="F16" s="36">
        <v>360.75</v>
      </c>
      <c r="G16" s="37" t="s">
        <v>560</v>
      </c>
      <c r="H16" s="38">
        <v>32735.59</v>
      </c>
      <c r="I16" s="33" t="s">
        <v>730</v>
      </c>
    </row>
    <row r="17" spans="1:9" customFormat="1" x14ac:dyDescent="0.35">
      <c r="A17" s="32">
        <v>1800015801</v>
      </c>
      <c r="B17" s="33" t="s">
        <v>563</v>
      </c>
      <c r="C17" s="34">
        <v>46027</v>
      </c>
      <c r="D17" s="35">
        <v>256779440051</v>
      </c>
      <c r="E17" s="33" t="s">
        <v>559</v>
      </c>
      <c r="F17" s="36">
        <v>358.14</v>
      </c>
      <c r="G17" s="37" t="s">
        <v>560</v>
      </c>
      <c r="H17" s="38">
        <v>32498.75</v>
      </c>
      <c r="I17" s="33" t="s">
        <v>715</v>
      </c>
    </row>
    <row r="18" spans="1:9" customFormat="1" x14ac:dyDescent="0.35">
      <c r="A18" s="32">
        <v>1800010769</v>
      </c>
      <c r="B18" s="33" t="s">
        <v>563</v>
      </c>
      <c r="C18" s="34">
        <v>45856</v>
      </c>
      <c r="D18" s="35">
        <v>256779415431</v>
      </c>
      <c r="E18" s="33" t="s">
        <v>559</v>
      </c>
      <c r="F18" s="36">
        <v>358.33</v>
      </c>
      <c r="G18" s="37" t="s">
        <v>560</v>
      </c>
      <c r="H18" s="38">
        <v>30816.62</v>
      </c>
      <c r="I18" s="33" t="s">
        <v>851</v>
      </c>
    </row>
    <row r="19" spans="1:9" customFormat="1" x14ac:dyDescent="0.35">
      <c r="A19" s="32">
        <v>1800013971</v>
      </c>
      <c r="B19" s="33" t="s">
        <v>563</v>
      </c>
      <c r="C19" s="34">
        <v>45950</v>
      </c>
      <c r="D19" s="35">
        <v>256779418614</v>
      </c>
      <c r="E19" s="33" t="s">
        <v>559</v>
      </c>
      <c r="F19" s="36">
        <v>338.06</v>
      </c>
      <c r="G19" s="37" t="s">
        <v>560</v>
      </c>
      <c r="H19" s="38">
        <v>29813.77</v>
      </c>
      <c r="I19" s="33" t="s">
        <v>610</v>
      </c>
    </row>
    <row r="20" spans="1:9" customFormat="1" x14ac:dyDescent="0.35">
      <c r="A20" s="32">
        <v>1800016416</v>
      </c>
      <c r="B20" s="33" t="s">
        <v>563</v>
      </c>
      <c r="C20" s="34">
        <v>46034</v>
      </c>
      <c r="D20" s="35">
        <v>256779440229</v>
      </c>
      <c r="E20" s="33" t="s">
        <v>559</v>
      </c>
      <c r="F20" s="36">
        <v>308.79000000000002</v>
      </c>
      <c r="G20" s="37" t="s">
        <v>560</v>
      </c>
      <c r="H20" s="38">
        <v>28020.57</v>
      </c>
      <c r="I20" s="33" t="s">
        <v>739</v>
      </c>
    </row>
    <row r="21" spans="1:9" customFormat="1" x14ac:dyDescent="0.35">
      <c r="A21" s="32">
        <v>1800013843</v>
      </c>
      <c r="B21" s="33" t="s">
        <v>563</v>
      </c>
      <c r="C21" s="34">
        <v>45950</v>
      </c>
      <c r="D21" s="35">
        <v>256779418661</v>
      </c>
      <c r="E21" s="33" t="s">
        <v>559</v>
      </c>
      <c r="F21" s="36">
        <v>226.3</v>
      </c>
      <c r="G21" s="37" t="s">
        <v>560</v>
      </c>
      <c r="H21" s="38">
        <v>19957.57</v>
      </c>
      <c r="I21" s="33" t="s">
        <v>614</v>
      </c>
    </row>
    <row r="22" spans="1:9" customFormat="1" x14ac:dyDescent="0.35">
      <c r="A22" s="32">
        <v>1800016314</v>
      </c>
      <c r="B22" s="33" t="s">
        <v>563</v>
      </c>
      <c r="C22" s="34">
        <v>46034</v>
      </c>
      <c r="D22" s="35">
        <v>256779440167</v>
      </c>
      <c r="E22" s="33" t="s">
        <v>559</v>
      </c>
      <c r="F22" s="36">
        <v>188</v>
      </c>
      <c r="G22" s="37" t="s">
        <v>560</v>
      </c>
      <c r="H22" s="38">
        <v>17059.71</v>
      </c>
      <c r="I22" s="33" t="s">
        <v>734</v>
      </c>
    </row>
    <row r="23" spans="1:9" customFormat="1" x14ac:dyDescent="0.35">
      <c r="A23" s="32">
        <v>1800013925</v>
      </c>
      <c r="B23" s="33" t="s">
        <v>563</v>
      </c>
      <c r="C23" s="34">
        <v>45950</v>
      </c>
      <c r="D23" s="35">
        <v>256779418702</v>
      </c>
      <c r="E23" s="33" t="s">
        <v>559</v>
      </c>
      <c r="F23" s="36">
        <v>182.87</v>
      </c>
      <c r="G23" s="37" t="s">
        <v>560</v>
      </c>
      <c r="H23" s="38">
        <v>16127.45</v>
      </c>
      <c r="I23" s="33" t="s">
        <v>616</v>
      </c>
    </row>
    <row r="24" spans="1:9" customFormat="1" x14ac:dyDescent="0.35">
      <c r="A24" s="32">
        <v>1800014729</v>
      </c>
      <c r="B24" s="33" t="s">
        <v>563</v>
      </c>
      <c r="C24" s="34">
        <v>45966</v>
      </c>
      <c r="D24" s="35">
        <v>256779419230</v>
      </c>
      <c r="E24" s="33" t="s">
        <v>559</v>
      </c>
      <c r="F24" s="36">
        <v>179.58</v>
      </c>
      <c r="G24" s="37" t="s">
        <v>560</v>
      </c>
      <c r="H24" s="38">
        <v>15803.65</v>
      </c>
      <c r="I24" s="33" t="s">
        <v>830</v>
      </c>
    </row>
    <row r="25" spans="1:9" customFormat="1" x14ac:dyDescent="0.35">
      <c r="A25" s="32">
        <v>1800010281</v>
      </c>
      <c r="B25" s="33" t="s">
        <v>563</v>
      </c>
      <c r="C25" s="34">
        <v>45842</v>
      </c>
      <c r="D25" s="35">
        <v>256779415041</v>
      </c>
      <c r="E25" s="33" t="s">
        <v>559</v>
      </c>
      <c r="F25" s="36">
        <v>155.09</v>
      </c>
      <c r="G25" s="37" t="s">
        <v>560</v>
      </c>
      <c r="H25" s="38">
        <v>13337.84</v>
      </c>
      <c r="I25" s="33" t="s">
        <v>809</v>
      </c>
    </row>
    <row r="26" spans="1:9" customFormat="1" x14ac:dyDescent="0.35">
      <c r="A26" s="32">
        <v>1800017152</v>
      </c>
      <c r="B26" s="33" t="s">
        <v>563</v>
      </c>
      <c r="C26" s="34">
        <v>46049</v>
      </c>
      <c r="D26" s="35">
        <v>256779440445</v>
      </c>
      <c r="E26" s="33" t="s">
        <v>559</v>
      </c>
      <c r="F26" s="36">
        <v>137.13999999999999</v>
      </c>
      <c r="G26" s="37" t="s">
        <v>560</v>
      </c>
      <c r="H26" s="38">
        <v>12444.51</v>
      </c>
      <c r="I26" s="33" t="s">
        <v>761</v>
      </c>
    </row>
    <row r="27" spans="1:9" customFormat="1" x14ac:dyDescent="0.35">
      <c r="A27" s="32">
        <v>1800003344</v>
      </c>
      <c r="B27" s="33" t="s">
        <v>563</v>
      </c>
      <c r="C27" s="34">
        <v>45735</v>
      </c>
      <c r="D27" s="35">
        <v>246779413211</v>
      </c>
      <c r="E27" s="33" t="s">
        <v>559</v>
      </c>
      <c r="F27" s="36">
        <v>78.12</v>
      </c>
      <c r="G27" s="37" t="s">
        <v>560</v>
      </c>
      <c r="H27" s="38">
        <v>6772.32</v>
      </c>
      <c r="I27" s="33" t="s">
        <v>634</v>
      </c>
    </row>
    <row r="28" spans="1:9" customFormat="1" x14ac:dyDescent="0.35">
      <c r="A28" s="32">
        <v>1800016770</v>
      </c>
      <c r="B28" s="33" t="s">
        <v>563</v>
      </c>
      <c r="C28" s="34">
        <v>46035</v>
      </c>
      <c r="D28" s="35">
        <v>256779440357</v>
      </c>
      <c r="E28" s="33" t="s">
        <v>559</v>
      </c>
      <c r="F28" s="36">
        <v>70</v>
      </c>
      <c r="G28" s="37" t="s">
        <v>560</v>
      </c>
      <c r="H28" s="38">
        <v>6352.02</v>
      </c>
      <c r="I28" s="33" t="s">
        <v>749</v>
      </c>
    </row>
    <row r="29" spans="1:9" customFormat="1" x14ac:dyDescent="0.35">
      <c r="A29" s="32">
        <v>1800003346</v>
      </c>
      <c r="B29" s="33" t="s">
        <v>563</v>
      </c>
      <c r="C29" s="34">
        <v>45735</v>
      </c>
      <c r="D29" s="35">
        <v>246779413213</v>
      </c>
      <c r="E29" s="33" t="s">
        <v>559</v>
      </c>
      <c r="F29" s="36">
        <v>52.08</v>
      </c>
      <c r="G29" s="37" t="s">
        <v>560</v>
      </c>
      <c r="H29" s="38">
        <v>4514.88</v>
      </c>
      <c r="I29" s="33" t="s">
        <v>636</v>
      </c>
    </row>
    <row r="30" spans="1:9" customFormat="1" x14ac:dyDescent="0.35">
      <c r="A30" s="32">
        <v>1800016321</v>
      </c>
      <c r="B30" s="33" t="s">
        <v>563</v>
      </c>
      <c r="C30" s="34">
        <v>46034</v>
      </c>
      <c r="D30" s="35">
        <v>256779440174</v>
      </c>
      <c r="E30" s="33" t="s">
        <v>559</v>
      </c>
      <c r="F30" s="36">
        <v>48.8</v>
      </c>
      <c r="G30" s="37" t="s">
        <v>560</v>
      </c>
      <c r="H30" s="38">
        <v>4428.2700000000004</v>
      </c>
      <c r="I30" s="33" t="s">
        <v>736</v>
      </c>
    </row>
    <row r="31" spans="1:9" customFormat="1" x14ac:dyDescent="0.35">
      <c r="A31" s="32">
        <v>1800007087</v>
      </c>
      <c r="B31" s="33" t="s">
        <v>563</v>
      </c>
      <c r="C31" s="34">
        <v>45763</v>
      </c>
      <c r="D31" s="35">
        <v>256779411978</v>
      </c>
      <c r="E31" s="33" t="s">
        <v>559</v>
      </c>
      <c r="F31" s="36">
        <v>46.85</v>
      </c>
      <c r="G31" s="37" t="s">
        <v>560</v>
      </c>
      <c r="H31" s="38">
        <v>4072.29</v>
      </c>
      <c r="I31" s="33" t="s">
        <v>782</v>
      </c>
    </row>
    <row r="32" spans="1:9" customFormat="1" x14ac:dyDescent="0.35">
      <c r="A32" s="32">
        <v>1800015963</v>
      </c>
      <c r="B32" s="33" t="s">
        <v>563</v>
      </c>
      <c r="C32" s="34">
        <v>46027</v>
      </c>
      <c r="D32" s="35">
        <v>256779440080</v>
      </c>
      <c r="E32" s="33" t="s">
        <v>559</v>
      </c>
      <c r="F32" s="36">
        <v>41.46</v>
      </c>
      <c r="G32" s="37" t="s">
        <v>560</v>
      </c>
      <c r="H32" s="38">
        <v>3762.21</v>
      </c>
      <c r="I32" s="33" t="s">
        <v>721</v>
      </c>
    </row>
    <row r="33" spans="1:9" customFormat="1" x14ac:dyDescent="0.35">
      <c r="A33" s="32">
        <v>1800003342</v>
      </c>
      <c r="B33" s="33" t="s">
        <v>563</v>
      </c>
      <c r="C33" s="34">
        <v>45735</v>
      </c>
      <c r="D33" s="35">
        <v>246779413209</v>
      </c>
      <c r="E33" s="33" t="s">
        <v>559</v>
      </c>
      <c r="F33" s="36">
        <v>39.06</v>
      </c>
      <c r="G33" s="37" t="s">
        <v>560</v>
      </c>
      <c r="H33" s="38">
        <v>3386.16</v>
      </c>
      <c r="I33" s="33" t="s">
        <v>632</v>
      </c>
    </row>
    <row r="34" spans="1:9" customFormat="1" x14ac:dyDescent="0.35">
      <c r="A34" s="32">
        <v>1800003343</v>
      </c>
      <c r="B34" s="33" t="s">
        <v>563</v>
      </c>
      <c r="C34" s="34">
        <v>45735</v>
      </c>
      <c r="D34" s="35">
        <v>246779413210</v>
      </c>
      <c r="E34" s="33" t="s">
        <v>559</v>
      </c>
      <c r="F34" s="36">
        <v>39.06</v>
      </c>
      <c r="G34" s="37" t="s">
        <v>560</v>
      </c>
      <c r="H34" s="38">
        <v>3386.16</v>
      </c>
      <c r="I34" s="33" t="s">
        <v>633</v>
      </c>
    </row>
    <row r="35" spans="1:9" customFormat="1" x14ac:dyDescent="0.35">
      <c r="A35" s="32">
        <v>1800003345</v>
      </c>
      <c r="B35" s="33" t="s">
        <v>563</v>
      </c>
      <c r="C35" s="34">
        <v>45735</v>
      </c>
      <c r="D35" s="35">
        <v>246779413212</v>
      </c>
      <c r="E35" s="33" t="s">
        <v>559</v>
      </c>
      <c r="F35" s="36">
        <v>39.06</v>
      </c>
      <c r="G35" s="37" t="s">
        <v>560</v>
      </c>
      <c r="H35" s="38">
        <v>3386.16</v>
      </c>
      <c r="I35" s="33" t="s">
        <v>635</v>
      </c>
    </row>
    <row r="36" spans="1:9" customFormat="1" x14ac:dyDescent="0.35">
      <c r="A36" s="32">
        <v>1800007088</v>
      </c>
      <c r="B36" s="33" t="s">
        <v>563</v>
      </c>
      <c r="C36" s="34">
        <v>45763</v>
      </c>
      <c r="D36" s="35">
        <v>256779411979</v>
      </c>
      <c r="E36" s="33" t="s">
        <v>559</v>
      </c>
      <c r="F36" s="36">
        <v>37.56</v>
      </c>
      <c r="G36" s="37" t="s">
        <v>560</v>
      </c>
      <c r="H36" s="38">
        <v>3264.78</v>
      </c>
      <c r="I36" s="33" t="s">
        <v>783</v>
      </c>
    </row>
    <row r="37" spans="1:9" customFormat="1" x14ac:dyDescent="0.35">
      <c r="A37" s="32">
        <v>1800007089</v>
      </c>
      <c r="B37" s="33" t="s">
        <v>563</v>
      </c>
      <c r="C37" s="34">
        <v>45763</v>
      </c>
      <c r="D37" s="35">
        <v>256779411980</v>
      </c>
      <c r="E37" s="33" t="s">
        <v>559</v>
      </c>
      <c r="F37" s="36">
        <v>17.420000000000002</v>
      </c>
      <c r="G37" s="37" t="s">
        <v>560</v>
      </c>
      <c r="H37" s="38">
        <v>1514.18</v>
      </c>
      <c r="I37" s="33" t="s">
        <v>784</v>
      </c>
    </row>
    <row r="38" spans="1:9" customFormat="1" x14ac:dyDescent="0.35">
      <c r="A38" s="32">
        <v>1800016160</v>
      </c>
      <c r="B38" s="33" t="s">
        <v>563</v>
      </c>
      <c r="C38" s="34">
        <v>46031</v>
      </c>
      <c r="D38" s="35">
        <v>256779440130</v>
      </c>
      <c r="E38" s="33" t="s">
        <v>559</v>
      </c>
      <c r="F38" s="36">
        <v>16.45</v>
      </c>
      <c r="G38" s="37" t="s">
        <v>560</v>
      </c>
      <c r="H38" s="38">
        <v>1492.72</v>
      </c>
      <c r="I38" s="33" t="s">
        <v>647</v>
      </c>
    </row>
    <row r="39" spans="1:9" customFormat="1" x14ac:dyDescent="0.35">
      <c r="A39" s="32">
        <v>1800016637</v>
      </c>
      <c r="B39" s="33" t="s">
        <v>563</v>
      </c>
      <c r="C39" s="34">
        <v>46028</v>
      </c>
      <c r="D39" s="35">
        <v>256779440257</v>
      </c>
      <c r="E39" s="33" t="s">
        <v>559</v>
      </c>
      <c r="F39" s="36">
        <v>4.7</v>
      </c>
      <c r="G39" s="37" t="s">
        <v>560</v>
      </c>
      <c r="H39" s="38">
        <v>426.49</v>
      </c>
      <c r="I39" s="33" t="s">
        <v>743</v>
      </c>
    </row>
    <row r="40" spans="1:9" customFormat="1" x14ac:dyDescent="0.35">
      <c r="A40" s="32">
        <v>1800003457</v>
      </c>
      <c r="B40" s="33" t="s">
        <v>563</v>
      </c>
      <c r="C40" s="34">
        <v>45735</v>
      </c>
      <c r="D40" s="35">
        <v>246779413324</v>
      </c>
      <c r="E40" s="33" t="s">
        <v>559</v>
      </c>
      <c r="F40" s="36">
        <v>4.3</v>
      </c>
      <c r="G40" s="37" t="s">
        <v>560</v>
      </c>
      <c r="H40" s="38">
        <v>372.77</v>
      </c>
      <c r="I40" s="33" t="s">
        <v>637</v>
      </c>
    </row>
    <row r="41" spans="1:9" customFormat="1" x14ac:dyDescent="0.35">
      <c r="A41" s="32">
        <v>1600002697</v>
      </c>
      <c r="B41" s="33" t="s">
        <v>556</v>
      </c>
      <c r="C41" s="34">
        <v>46027</v>
      </c>
      <c r="D41" s="35">
        <v>256779422167</v>
      </c>
      <c r="E41" s="33" t="s">
        <v>559</v>
      </c>
      <c r="F41" s="36">
        <v>-3.4</v>
      </c>
      <c r="G41" s="37" t="s">
        <v>560</v>
      </c>
      <c r="H41" s="38">
        <v>-308.52999999999997</v>
      </c>
      <c r="I41" s="33" t="s">
        <v>717</v>
      </c>
    </row>
    <row r="42" spans="1:9" x14ac:dyDescent="0.35">
      <c r="A42" s="32">
        <v>1600001816</v>
      </c>
      <c r="B42" s="33" t="s">
        <v>556</v>
      </c>
      <c r="C42" s="34">
        <v>45862</v>
      </c>
      <c r="D42" s="35">
        <v>256779421436</v>
      </c>
      <c r="E42" s="33" t="s">
        <v>559</v>
      </c>
      <c r="F42" s="36">
        <v>-140</v>
      </c>
      <c r="G42" s="37" t="s">
        <v>560</v>
      </c>
      <c r="H42" s="38">
        <v>-12037.72</v>
      </c>
      <c r="I42" s="33" t="s">
        <v>618</v>
      </c>
    </row>
  </sheetData>
  <autoFilter ref="A2:I42" xr:uid="{5C5DCC33-7285-4B6D-ADA7-0FBE8A45356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65F8-5B61-43CD-9EEF-D4CBDC63F549}">
  <dimension ref="A1:P31"/>
  <sheetViews>
    <sheetView workbookViewId="0">
      <selection activeCell="H1" sqref="H1"/>
    </sheetView>
  </sheetViews>
  <sheetFormatPr defaultRowHeight="14.5" x14ac:dyDescent="0.35"/>
  <cols>
    <col min="1" max="1" width="16.81640625" bestFit="1" customWidth="1"/>
    <col min="2" max="2" width="7.81640625" bestFit="1" customWidth="1"/>
    <col min="3" max="3" width="13.90625" bestFit="1" customWidth="1"/>
    <col min="4" max="4" width="16.08984375" bestFit="1" customWidth="1"/>
    <col min="5" max="5" width="8.1796875" bestFit="1" customWidth="1"/>
    <col min="6" max="6" width="10.36328125" bestFit="1" customWidth="1"/>
    <col min="8" max="8" width="10.81640625" bestFit="1" customWidth="1"/>
    <col min="9" max="9" width="5.1796875" bestFit="1" customWidth="1"/>
    <col min="10" max="10" width="5.81640625" bestFit="1" customWidth="1"/>
    <col min="11" max="11" width="10.90625" bestFit="1" customWidth="1"/>
    <col min="12" max="13" width="5.08984375" bestFit="1" customWidth="1"/>
    <col min="14" max="14" width="4.36328125" bestFit="1" customWidth="1"/>
    <col min="15" max="15" width="16.81640625" bestFit="1" customWidth="1"/>
    <col min="16" max="16" width="22.54296875" bestFit="1" customWidth="1"/>
  </cols>
  <sheetData>
    <row r="1" spans="1:16" ht="58" x14ac:dyDescent="0.35">
      <c r="A1" s="50" t="s">
        <v>541</v>
      </c>
      <c r="B1" s="51" t="s">
        <v>542</v>
      </c>
      <c r="C1" s="50" t="s">
        <v>543</v>
      </c>
      <c r="D1" s="50" t="s">
        <v>546</v>
      </c>
      <c r="E1" s="51" t="s">
        <v>547</v>
      </c>
      <c r="F1" s="51" t="s">
        <v>548</v>
      </c>
      <c r="G1" s="51" t="s">
        <v>549</v>
      </c>
      <c r="H1" s="51" t="s">
        <v>550</v>
      </c>
      <c r="I1" s="50" t="s">
        <v>948</v>
      </c>
      <c r="J1" s="50" t="s">
        <v>949</v>
      </c>
      <c r="K1" s="50" t="s">
        <v>950</v>
      </c>
      <c r="L1" s="50" t="s">
        <v>951</v>
      </c>
      <c r="M1" s="55" t="s">
        <v>952</v>
      </c>
      <c r="N1" s="50" t="s">
        <v>553</v>
      </c>
      <c r="O1" s="50" t="s">
        <v>555</v>
      </c>
      <c r="P1" s="52" t="s">
        <v>953</v>
      </c>
    </row>
    <row r="2" spans="1:16" x14ac:dyDescent="0.35">
      <c r="A2" s="32">
        <v>1400001901</v>
      </c>
      <c r="B2" s="33" t="s">
        <v>888</v>
      </c>
      <c r="C2" s="34">
        <v>45976</v>
      </c>
      <c r="D2" s="35" t="s">
        <v>904</v>
      </c>
      <c r="E2" s="33" t="s">
        <v>559</v>
      </c>
      <c r="F2" s="36">
        <v>3813.11</v>
      </c>
      <c r="G2" s="37" t="s">
        <v>560</v>
      </c>
      <c r="H2" s="38">
        <v>331442.46000000002</v>
      </c>
      <c r="I2" s="53" t="e">
        <v>#N/A</v>
      </c>
      <c r="J2" s="33"/>
      <c r="K2" s="53" t="e">
        <v>#N/A</v>
      </c>
      <c r="L2" s="53" t="e">
        <v>#N/A</v>
      </c>
      <c r="M2" s="33" t="e">
        <v>#N/A</v>
      </c>
      <c r="N2" s="33" t="s">
        <v>558</v>
      </c>
      <c r="O2" s="32">
        <v>1400001901</v>
      </c>
      <c r="P2" t="s">
        <v>954</v>
      </c>
    </row>
    <row r="3" spans="1:16" x14ac:dyDescent="0.35">
      <c r="A3" s="32">
        <v>1400000288</v>
      </c>
      <c r="B3" s="33" t="s">
        <v>888</v>
      </c>
      <c r="C3" s="34">
        <v>45854</v>
      </c>
      <c r="D3" s="35" t="s">
        <v>558</v>
      </c>
      <c r="E3" s="33" t="s">
        <v>559</v>
      </c>
      <c r="F3" s="36">
        <v>1926.06</v>
      </c>
      <c r="G3" s="37" t="s">
        <v>560</v>
      </c>
      <c r="H3" s="38">
        <v>166972.57</v>
      </c>
      <c r="I3" s="53" t="e">
        <v>#N/A</v>
      </c>
      <c r="J3" s="33"/>
      <c r="K3" s="53" t="e">
        <v>#N/A</v>
      </c>
      <c r="L3" s="53" t="e">
        <v>#N/A</v>
      </c>
      <c r="M3" s="33" t="e">
        <v>#N/A</v>
      </c>
      <c r="N3" s="33" t="s">
        <v>558</v>
      </c>
      <c r="O3" s="32">
        <v>1400000288</v>
      </c>
      <c r="P3" t="s">
        <v>954</v>
      </c>
    </row>
    <row r="4" spans="1:16" x14ac:dyDescent="0.35">
      <c r="A4" s="32">
        <v>1400000285</v>
      </c>
      <c r="B4" s="33" t="s">
        <v>888</v>
      </c>
      <c r="C4" s="34">
        <v>45854</v>
      </c>
      <c r="D4" s="35" t="s">
        <v>558</v>
      </c>
      <c r="E4" s="33" t="s">
        <v>559</v>
      </c>
      <c r="F4" s="36">
        <v>1793.99</v>
      </c>
      <c r="G4" s="37" t="s">
        <v>560</v>
      </c>
      <c r="H4" s="38">
        <v>154827.9</v>
      </c>
      <c r="I4" s="53" t="e">
        <v>#N/A</v>
      </c>
      <c r="J4" s="33"/>
      <c r="K4" s="53" t="e">
        <v>#N/A</v>
      </c>
      <c r="L4" s="53" t="e">
        <v>#N/A</v>
      </c>
      <c r="M4" s="33" t="e">
        <v>#N/A</v>
      </c>
      <c r="N4" s="33" t="s">
        <v>558</v>
      </c>
      <c r="O4" s="32">
        <v>1400000285</v>
      </c>
      <c r="P4" t="s">
        <v>954</v>
      </c>
    </row>
    <row r="5" spans="1:16" x14ac:dyDescent="0.35">
      <c r="A5" s="32">
        <v>1400001902</v>
      </c>
      <c r="B5" s="33" t="s">
        <v>888</v>
      </c>
      <c r="C5" s="34">
        <v>45976</v>
      </c>
      <c r="D5" s="35" t="s">
        <v>904</v>
      </c>
      <c r="E5" s="33" t="s">
        <v>559</v>
      </c>
      <c r="F5" s="36">
        <v>1117.6600000000001</v>
      </c>
      <c r="G5" s="37" t="s">
        <v>560</v>
      </c>
      <c r="H5" s="38">
        <v>96798.99</v>
      </c>
      <c r="I5" s="53" t="e">
        <v>#N/A</v>
      </c>
      <c r="J5" s="33"/>
      <c r="K5" s="53" t="e">
        <v>#N/A</v>
      </c>
      <c r="L5" s="53" t="e">
        <v>#N/A</v>
      </c>
      <c r="M5" s="33" t="e">
        <v>#N/A</v>
      </c>
      <c r="N5" s="33" t="s">
        <v>558</v>
      </c>
      <c r="O5" s="32">
        <v>1400001902</v>
      </c>
      <c r="P5" t="s">
        <v>954</v>
      </c>
    </row>
    <row r="6" spans="1:16" x14ac:dyDescent="0.35">
      <c r="A6" s="32">
        <v>1400001112</v>
      </c>
      <c r="B6" s="33" t="s">
        <v>888</v>
      </c>
      <c r="C6" s="34">
        <v>45902</v>
      </c>
      <c r="D6" s="35" t="s">
        <v>558</v>
      </c>
      <c r="E6" s="33" t="s">
        <v>560</v>
      </c>
      <c r="F6" s="36">
        <v>79944.34</v>
      </c>
      <c r="G6" s="37" t="s">
        <v>560</v>
      </c>
      <c r="H6" s="38">
        <v>78561.62</v>
      </c>
      <c r="I6" s="53" t="e">
        <v>#N/A</v>
      </c>
      <c r="J6" s="33"/>
      <c r="K6" s="53" t="e">
        <v>#N/A</v>
      </c>
      <c r="L6" s="53" t="e">
        <v>#N/A</v>
      </c>
      <c r="M6" s="33" t="e">
        <v>#N/A</v>
      </c>
      <c r="N6" s="33" t="s">
        <v>558</v>
      </c>
      <c r="O6" s="32">
        <v>1400001112</v>
      </c>
      <c r="P6" t="s">
        <v>954</v>
      </c>
    </row>
    <row r="7" spans="1:16" x14ac:dyDescent="0.35">
      <c r="A7" s="32">
        <v>1400000286</v>
      </c>
      <c r="B7" s="33" t="s">
        <v>888</v>
      </c>
      <c r="C7" s="34">
        <v>45854</v>
      </c>
      <c r="D7" s="35" t="s">
        <v>558</v>
      </c>
      <c r="E7" s="33" t="s">
        <v>559</v>
      </c>
      <c r="F7" s="36">
        <v>705</v>
      </c>
      <c r="G7" s="37" t="s">
        <v>560</v>
      </c>
      <c r="H7" s="38">
        <v>60844.08</v>
      </c>
      <c r="I7" s="53" t="e">
        <v>#N/A</v>
      </c>
      <c r="J7" s="33"/>
      <c r="K7" s="53" t="e">
        <v>#N/A</v>
      </c>
      <c r="L7" s="53" t="e">
        <v>#N/A</v>
      </c>
      <c r="M7" s="33" t="e">
        <v>#N/A</v>
      </c>
      <c r="N7" s="33" t="s">
        <v>558</v>
      </c>
      <c r="O7" s="32">
        <v>1400000286</v>
      </c>
      <c r="P7" t="s">
        <v>954</v>
      </c>
    </row>
    <row r="8" spans="1:16" x14ac:dyDescent="0.35">
      <c r="A8" s="32">
        <v>1400000289</v>
      </c>
      <c r="B8" s="33" t="s">
        <v>888</v>
      </c>
      <c r="C8" s="34">
        <v>45854</v>
      </c>
      <c r="D8" s="35" t="s">
        <v>558</v>
      </c>
      <c r="E8" s="33" t="s">
        <v>559</v>
      </c>
      <c r="F8" s="36">
        <v>531.9</v>
      </c>
      <c r="G8" s="37" t="s">
        <v>560</v>
      </c>
      <c r="H8" s="38">
        <v>46111.08</v>
      </c>
      <c r="I8" s="53" t="e">
        <v>#N/A</v>
      </c>
      <c r="J8" s="33"/>
      <c r="K8" s="53" t="e">
        <v>#N/A</v>
      </c>
      <c r="L8" s="53" t="e">
        <v>#N/A</v>
      </c>
      <c r="M8" s="33" t="e">
        <v>#N/A</v>
      </c>
      <c r="N8" s="33" t="s">
        <v>558</v>
      </c>
      <c r="O8" s="32">
        <v>1400000289</v>
      </c>
      <c r="P8" t="s">
        <v>954</v>
      </c>
    </row>
    <row r="9" spans="1:16" x14ac:dyDescent="0.35">
      <c r="A9" s="32">
        <v>1400000290</v>
      </c>
      <c r="B9" s="33" t="s">
        <v>888</v>
      </c>
      <c r="C9" s="34">
        <v>45854</v>
      </c>
      <c r="D9" s="35" t="s">
        <v>904</v>
      </c>
      <c r="E9" s="33" t="s">
        <v>559</v>
      </c>
      <c r="F9" s="36">
        <v>525</v>
      </c>
      <c r="G9" s="37" t="s">
        <v>560</v>
      </c>
      <c r="H9" s="38">
        <v>45512.91</v>
      </c>
      <c r="I9" s="53" t="e">
        <v>#N/A</v>
      </c>
      <c r="J9" s="33"/>
      <c r="K9" s="53" t="e">
        <v>#N/A</v>
      </c>
      <c r="L9" s="53" t="e">
        <v>#N/A</v>
      </c>
      <c r="M9" s="33" t="e">
        <v>#N/A</v>
      </c>
      <c r="N9" s="33" t="s">
        <v>558</v>
      </c>
      <c r="O9" s="32">
        <v>1400000290</v>
      </c>
      <c r="P9" t="s">
        <v>954</v>
      </c>
    </row>
    <row r="10" spans="1:16" x14ac:dyDescent="0.35">
      <c r="A10" s="32">
        <v>1400000246</v>
      </c>
      <c r="B10" s="33" t="s">
        <v>888</v>
      </c>
      <c r="C10" s="34">
        <v>45842</v>
      </c>
      <c r="D10" s="35" t="s">
        <v>904</v>
      </c>
      <c r="E10" s="33" t="s">
        <v>559</v>
      </c>
      <c r="F10" s="36">
        <v>456.75</v>
      </c>
      <c r="G10" s="37" t="s">
        <v>560</v>
      </c>
      <c r="H10" s="38">
        <v>39701.54</v>
      </c>
      <c r="I10" s="53" t="e">
        <v>#N/A</v>
      </c>
      <c r="J10" s="33"/>
      <c r="K10" s="53" t="e">
        <v>#N/A</v>
      </c>
      <c r="L10" s="53" t="e">
        <v>#N/A</v>
      </c>
      <c r="M10" s="33" t="e">
        <v>#N/A</v>
      </c>
      <c r="N10" s="33" t="s">
        <v>558</v>
      </c>
      <c r="O10" s="32">
        <v>1400000246</v>
      </c>
      <c r="P10" t="s">
        <v>954</v>
      </c>
    </row>
    <row r="11" spans="1:16" x14ac:dyDescent="0.35">
      <c r="A11" s="32">
        <v>1400000247</v>
      </c>
      <c r="B11" s="33" t="s">
        <v>888</v>
      </c>
      <c r="C11" s="34">
        <v>45842</v>
      </c>
      <c r="D11" s="35" t="s">
        <v>904</v>
      </c>
      <c r="E11" s="33" t="s">
        <v>559</v>
      </c>
      <c r="F11" s="36">
        <v>456.75</v>
      </c>
      <c r="G11" s="37" t="s">
        <v>560</v>
      </c>
      <c r="H11" s="38">
        <v>39701.54</v>
      </c>
      <c r="I11" s="53" t="e">
        <v>#N/A</v>
      </c>
      <c r="J11" s="33"/>
      <c r="K11" s="53" t="e">
        <v>#N/A</v>
      </c>
      <c r="L11" s="53" t="e">
        <v>#N/A</v>
      </c>
      <c r="M11" s="33" t="e">
        <v>#N/A</v>
      </c>
      <c r="N11" s="33" t="s">
        <v>558</v>
      </c>
      <c r="O11" s="32">
        <v>1400000247</v>
      </c>
      <c r="P11" t="s">
        <v>954</v>
      </c>
    </row>
    <row r="12" spans="1:16" x14ac:dyDescent="0.35">
      <c r="A12" s="32">
        <v>1400000287</v>
      </c>
      <c r="B12" s="33" t="s">
        <v>888</v>
      </c>
      <c r="C12" s="34">
        <v>45854</v>
      </c>
      <c r="D12" s="35" t="s">
        <v>558</v>
      </c>
      <c r="E12" s="33" t="s">
        <v>559</v>
      </c>
      <c r="F12" s="36">
        <v>216.2</v>
      </c>
      <c r="G12" s="37" t="s">
        <v>560</v>
      </c>
      <c r="H12" s="38">
        <v>18742.650000000001</v>
      </c>
      <c r="I12" s="53" t="e">
        <v>#N/A</v>
      </c>
      <c r="J12" s="33"/>
      <c r="K12" s="53" t="e">
        <v>#N/A</v>
      </c>
      <c r="L12" s="53" t="e">
        <v>#N/A</v>
      </c>
      <c r="M12" s="33" t="e">
        <v>#N/A</v>
      </c>
      <c r="N12" s="33" t="s">
        <v>558</v>
      </c>
      <c r="O12" s="32">
        <v>1400000287</v>
      </c>
      <c r="P12" t="s">
        <v>954</v>
      </c>
    </row>
    <row r="13" spans="1:16" x14ac:dyDescent="0.35">
      <c r="A13" s="32">
        <v>1400000245</v>
      </c>
      <c r="B13" s="33" t="s">
        <v>888</v>
      </c>
      <c r="C13" s="34">
        <v>45842</v>
      </c>
      <c r="D13" s="35" t="s">
        <v>904</v>
      </c>
      <c r="E13" s="33" t="s">
        <v>559</v>
      </c>
      <c r="F13" s="36">
        <v>0</v>
      </c>
      <c r="G13" s="37" t="s">
        <v>560</v>
      </c>
      <c r="H13" s="38">
        <v>0</v>
      </c>
      <c r="I13" s="53" t="e">
        <v>#N/A</v>
      </c>
      <c r="J13" s="33"/>
      <c r="K13" s="53" t="e">
        <v>#N/A</v>
      </c>
      <c r="L13" s="53" t="e">
        <v>#N/A</v>
      </c>
      <c r="M13" s="33" t="e">
        <v>#N/A</v>
      </c>
      <c r="N13" s="33" t="s">
        <v>558</v>
      </c>
      <c r="O13" s="32">
        <v>1400000245</v>
      </c>
      <c r="P13" t="s">
        <v>954</v>
      </c>
    </row>
    <row r="14" spans="1:16" x14ac:dyDescent="0.35">
      <c r="A14" s="32">
        <v>1400000248</v>
      </c>
      <c r="B14" s="33" t="s">
        <v>888</v>
      </c>
      <c r="C14" s="34">
        <v>45842</v>
      </c>
      <c r="D14" s="35" t="s">
        <v>904</v>
      </c>
      <c r="E14" s="33" t="s">
        <v>559</v>
      </c>
      <c r="F14" s="36">
        <v>0</v>
      </c>
      <c r="G14" s="37" t="s">
        <v>560</v>
      </c>
      <c r="H14" s="38">
        <v>0</v>
      </c>
      <c r="I14" s="53" t="e">
        <v>#N/A</v>
      </c>
      <c r="J14" s="33"/>
      <c r="K14" s="53" t="e">
        <v>#N/A</v>
      </c>
      <c r="L14" s="53" t="e">
        <v>#N/A</v>
      </c>
      <c r="M14" s="33" t="e">
        <v>#N/A</v>
      </c>
      <c r="N14" s="33" t="s">
        <v>558</v>
      </c>
      <c r="O14" s="32">
        <v>1400000248</v>
      </c>
      <c r="P14" t="s">
        <v>954</v>
      </c>
    </row>
    <row r="15" spans="1:16" x14ac:dyDescent="0.35">
      <c r="A15" s="32">
        <v>1400001902</v>
      </c>
      <c r="B15" s="33" t="s">
        <v>888</v>
      </c>
      <c r="C15" s="34">
        <v>45976</v>
      </c>
      <c r="D15" s="35" t="s">
        <v>904</v>
      </c>
      <c r="E15" s="33" t="s">
        <v>559</v>
      </c>
      <c r="F15" s="36">
        <v>-55.46</v>
      </c>
      <c r="G15" s="37" t="s">
        <v>560</v>
      </c>
      <c r="H15" s="38">
        <v>-4880.67</v>
      </c>
      <c r="I15" s="53" t="e">
        <v>#N/A</v>
      </c>
      <c r="J15" s="33"/>
      <c r="K15" s="53" t="e">
        <v>#N/A</v>
      </c>
      <c r="L15" s="53" t="e">
        <v>#N/A</v>
      </c>
      <c r="M15" s="33" t="e">
        <v>#N/A</v>
      </c>
      <c r="N15" s="33" t="s">
        <v>558</v>
      </c>
      <c r="O15" s="33" t="s">
        <v>558</v>
      </c>
    </row>
    <row r="16" spans="1:16" x14ac:dyDescent="0.35">
      <c r="A16" s="32">
        <v>1400001902</v>
      </c>
      <c r="B16" s="33" t="s">
        <v>888</v>
      </c>
      <c r="C16" s="34">
        <v>45976</v>
      </c>
      <c r="D16" s="35" t="s">
        <v>904</v>
      </c>
      <c r="E16" s="33" t="s">
        <v>559</v>
      </c>
      <c r="F16" s="36">
        <v>-137.9</v>
      </c>
      <c r="G16" s="37" t="s">
        <v>560</v>
      </c>
      <c r="H16" s="38">
        <v>-12135.67</v>
      </c>
      <c r="I16" s="53" t="e">
        <v>#N/A</v>
      </c>
      <c r="J16" s="33"/>
      <c r="K16" s="53" t="e">
        <v>#N/A</v>
      </c>
      <c r="L16" s="53" t="e">
        <v>#N/A</v>
      </c>
      <c r="M16" s="33" t="e">
        <v>#N/A</v>
      </c>
      <c r="N16" s="33" t="s">
        <v>558</v>
      </c>
      <c r="O16" s="33" t="s">
        <v>558</v>
      </c>
    </row>
    <row r="17" spans="1:16" x14ac:dyDescent="0.35">
      <c r="A17" s="32">
        <v>1400001902</v>
      </c>
      <c r="B17" s="33" t="s">
        <v>888</v>
      </c>
      <c r="C17" s="34">
        <v>45976</v>
      </c>
      <c r="D17" s="35" t="s">
        <v>904</v>
      </c>
      <c r="E17" s="33" t="s">
        <v>559</v>
      </c>
      <c r="F17" s="36">
        <v>-143.81</v>
      </c>
      <c r="G17" s="37" t="s">
        <v>560</v>
      </c>
      <c r="H17" s="38">
        <v>-12655.77</v>
      </c>
      <c r="I17" s="53" t="e">
        <v>#N/A</v>
      </c>
      <c r="J17" s="33"/>
      <c r="K17" s="53" t="e">
        <v>#N/A</v>
      </c>
      <c r="L17" s="53" t="e">
        <v>#N/A</v>
      </c>
      <c r="M17" s="33" t="e">
        <v>#N/A</v>
      </c>
      <c r="N17" s="33" t="s">
        <v>558</v>
      </c>
      <c r="O17" s="33" t="s">
        <v>558</v>
      </c>
    </row>
    <row r="18" spans="1:16" x14ac:dyDescent="0.35">
      <c r="A18" s="32">
        <v>1400001902</v>
      </c>
      <c r="B18" s="33" t="s">
        <v>888</v>
      </c>
      <c r="C18" s="34">
        <v>45976</v>
      </c>
      <c r="D18" s="35" t="s">
        <v>904</v>
      </c>
      <c r="E18" s="33" t="s">
        <v>559</v>
      </c>
      <c r="F18" s="36">
        <v>-177.66</v>
      </c>
      <c r="G18" s="37" t="s">
        <v>560</v>
      </c>
      <c r="H18" s="38">
        <v>-15634.68</v>
      </c>
      <c r="I18" s="53" t="e">
        <v>#N/A</v>
      </c>
      <c r="J18" s="33"/>
      <c r="K18" s="53" t="e">
        <v>#N/A</v>
      </c>
      <c r="L18" s="53" t="e">
        <v>#N/A</v>
      </c>
      <c r="M18" s="33" t="e">
        <v>#N/A</v>
      </c>
      <c r="N18" s="33" t="s">
        <v>558</v>
      </c>
      <c r="O18" s="33" t="s">
        <v>558</v>
      </c>
    </row>
    <row r="19" spans="1:16" x14ac:dyDescent="0.35">
      <c r="A19" s="32">
        <v>1400001902</v>
      </c>
      <c r="B19" s="33" t="s">
        <v>888</v>
      </c>
      <c r="C19" s="34">
        <v>45976</v>
      </c>
      <c r="D19" s="35" t="s">
        <v>904</v>
      </c>
      <c r="E19" s="33" t="s">
        <v>559</v>
      </c>
      <c r="F19" s="36">
        <v>-182.83</v>
      </c>
      <c r="G19" s="37" t="s">
        <v>560</v>
      </c>
      <c r="H19" s="38">
        <v>-16089.66</v>
      </c>
      <c r="I19" s="53" t="e">
        <v>#N/A</v>
      </c>
      <c r="J19" s="33"/>
      <c r="K19" s="53" t="e">
        <v>#N/A</v>
      </c>
      <c r="L19" s="53" t="e">
        <v>#N/A</v>
      </c>
      <c r="M19" s="33" t="e">
        <v>#N/A</v>
      </c>
      <c r="N19" s="33" t="s">
        <v>558</v>
      </c>
      <c r="O19" s="33" t="s">
        <v>558</v>
      </c>
    </row>
    <row r="20" spans="1:16" x14ac:dyDescent="0.35">
      <c r="A20" s="32">
        <v>1400000287</v>
      </c>
      <c r="B20" s="33" t="s">
        <v>888</v>
      </c>
      <c r="C20" s="34">
        <v>45854</v>
      </c>
      <c r="D20" s="35" t="s">
        <v>558</v>
      </c>
      <c r="E20" s="33" t="s">
        <v>559</v>
      </c>
      <c r="F20" s="36">
        <v>-216.2</v>
      </c>
      <c r="G20" s="37" t="s">
        <v>560</v>
      </c>
      <c r="H20" s="38">
        <v>-18742.650000000001</v>
      </c>
      <c r="I20" s="53" t="e">
        <v>#N/A</v>
      </c>
      <c r="J20" s="33"/>
      <c r="K20" s="53" t="e">
        <v>#N/A</v>
      </c>
      <c r="L20" s="53" t="e">
        <v>#N/A</v>
      </c>
      <c r="M20" s="33" t="e">
        <v>#N/A</v>
      </c>
      <c r="N20" s="33" t="s">
        <v>558</v>
      </c>
      <c r="O20" s="32">
        <v>1400000287</v>
      </c>
      <c r="P20" t="s">
        <v>954</v>
      </c>
    </row>
    <row r="21" spans="1:16" x14ac:dyDescent="0.35">
      <c r="A21" s="32">
        <v>1400001902</v>
      </c>
      <c r="B21" s="33" t="s">
        <v>888</v>
      </c>
      <c r="C21" s="34">
        <v>45976</v>
      </c>
      <c r="D21" s="35" t="s">
        <v>904</v>
      </c>
      <c r="E21" s="33" t="s">
        <v>559</v>
      </c>
      <c r="F21" s="36">
        <v>-420</v>
      </c>
      <c r="G21" s="37" t="s">
        <v>560</v>
      </c>
      <c r="H21" s="38">
        <v>-36961.42</v>
      </c>
      <c r="I21" s="53" t="e">
        <v>#N/A</v>
      </c>
      <c r="J21" s="33"/>
      <c r="K21" s="53" t="e">
        <v>#N/A</v>
      </c>
      <c r="L21" s="53" t="e">
        <v>#N/A</v>
      </c>
      <c r="M21" s="33" t="e">
        <v>#N/A</v>
      </c>
      <c r="N21" s="33" t="s">
        <v>558</v>
      </c>
      <c r="O21" s="33" t="s">
        <v>558</v>
      </c>
    </row>
    <row r="22" spans="1:16" x14ac:dyDescent="0.35">
      <c r="A22" s="32">
        <v>1400000246</v>
      </c>
      <c r="B22" s="33" t="s">
        <v>888</v>
      </c>
      <c r="C22" s="34">
        <v>45842</v>
      </c>
      <c r="D22" s="35" t="s">
        <v>904</v>
      </c>
      <c r="E22" s="33" t="s">
        <v>559</v>
      </c>
      <c r="F22" s="36">
        <v>-456.75</v>
      </c>
      <c r="G22" s="37" t="s">
        <v>560</v>
      </c>
      <c r="H22" s="38">
        <v>-39701.54</v>
      </c>
      <c r="I22" s="53" t="e">
        <v>#N/A</v>
      </c>
      <c r="J22" s="33"/>
      <c r="K22" s="53" t="e">
        <v>#N/A</v>
      </c>
      <c r="L22" s="53" t="e">
        <v>#N/A</v>
      </c>
      <c r="M22" s="33" t="e">
        <v>#N/A</v>
      </c>
      <c r="N22" s="33" t="s">
        <v>558</v>
      </c>
      <c r="O22" s="32">
        <v>1400000246</v>
      </c>
      <c r="P22" t="s">
        <v>954</v>
      </c>
    </row>
    <row r="23" spans="1:16" x14ac:dyDescent="0.35">
      <c r="A23" s="32">
        <v>1400000247</v>
      </c>
      <c r="B23" s="33" t="s">
        <v>888</v>
      </c>
      <c r="C23" s="34">
        <v>45842</v>
      </c>
      <c r="D23" s="35" t="s">
        <v>904</v>
      </c>
      <c r="E23" s="33" t="s">
        <v>559</v>
      </c>
      <c r="F23" s="36">
        <v>-456.75</v>
      </c>
      <c r="G23" s="37" t="s">
        <v>560</v>
      </c>
      <c r="H23" s="38">
        <v>-39701.54</v>
      </c>
      <c r="I23" s="53" t="e">
        <v>#N/A</v>
      </c>
      <c r="J23" s="33"/>
      <c r="K23" s="53" t="e">
        <v>#N/A</v>
      </c>
      <c r="L23" s="53" t="e">
        <v>#N/A</v>
      </c>
      <c r="M23" s="33" t="e">
        <v>#N/A</v>
      </c>
      <c r="N23" s="33" t="s">
        <v>558</v>
      </c>
      <c r="O23" s="32">
        <v>1400000247</v>
      </c>
      <c r="P23" t="s">
        <v>954</v>
      </c>
    </row>
    <row r="24" spans="1:16" x14ac:dyDescent="0.35">
      <c r="A24" s="32">
        <v>1400000290</v>
      </c>
      <c r="B24" s="33" t="s">
        <v>888</v>
      </c>
      <c r="C24" s="34">
        <v>45854</v>
      </c>
      <c r="D24" s="35" t="s">
        <v>904</v>
      </c>
      <c r="E24" s="33" t="s">
        <v>559</v>
      </c>
      <c r="F24" s="36">
        <v>-525</v>
      </c>
      <c r="G24" s="37" t="s">
        <v>560</v>
      </c>
      <c r="H24" s="38">
        <v>-45512.91</v>
      </c>
      <c r="I24" s="53" t="e">
        <v>#N/A</v>
      </c>
      <c r="J24" s="33"/>
      <c r="K24" s="53" t="e">
        <v>#N/A</v>
      </c>
      <c r="L24" s="53" t="e">
        <v>#N/A</v>
      </c>
      <c r="M24" s="33" t="e">
        <v>#N/A</v>
      </c>
      <c r="N24" s="33" t="s">
        <v>558</v>
      </c>
      <c r="O24" s="32">
        <v>1400000290</v>
      </c>
      <c r="P24" t="s">
        <v>954</v>
      </c>
    </row>
    <row r="25" spans="1:16" x14ac:dyDescent="0.35">
      <c r="A25" s="32">
        <v>1400000289</v>
      </c>
      <c r="B25" s="33" t="s">
        <v>888</v>
      </c>
      <c r="C25" s="34">
        <v>45854</v>
      </c>
      <c r="D25" s="35" t="s">
        <v>558</v>
      </c>
      <c r="E25" s="33" t="s">
        <v>559</v>
      </c>
      <c r="F25" s="36">
        <v>-531.9</v>
      </c>
      <c r="G25" s="37" t="s">
        <v>560</v>
      </c>
      <c r="H25" s="38">
        <v>-46111.08</v>
      </c>
      <c r="I25" s="53" t="e">
        <v>#N/A</v>
      </c>
      <c r="J25" s="33"/>
      <c r="K25" s="53" t="e">
        <v>#N/A</v>
      </c>
      <c r="L25" s="53" t="e">
        <v>#N/A</v>
      </c>
      <c r="M25" s="33" t="e">
        <v>#N/A</v>
      </c>
      <c r="N25" s="33" t="s">
        <v>558</v>
      </c>
      <c r="O25" s="32">
        <v>1400000289</v>
      </c>
      <c r="P25" t="s">
        <v>954</v>
      </c>
    </row>
    <row r="26" spans="1:16" x14ac:dyDescent="0.35">
      <c r="A26" s="32">
        <v>1400000286</v>
      </c>
      <c r="B26" s="33" t="s">
        <v>888</v>
      </c>
      <c r="C26" s="34">
        <v>45854</v>
      </c>
      <c r="D26" s="35" t="s">
        <v>558</v>
      </c>
      <c r="E26" s="33" t="s">
        <v>559</v>
      </c>
      <c r="F26" s="36">
        <v>-705</v>
      </c>
      <c r="G26" s="37" t="s">
        <v>560</v>
      </c>
      <c r="H26" s="38">
        <v>-60844.08</v>
      </c>
      <c r="I26" s="53" t="e">
        <v>#N/A</v>
      </c>
      <c r="J26" s="33"/>
      <c r="K26" s="53" t="e">
        <v>#N/A</v>
      </c>
      <c r="L26" s="53" t="e">
        <v>#N/A</v>
      </c>
      <c r="M26" s="33" t="e">
        <v>#N/A</v>
      </c>
      <c r="N26" s="33" t="s">
        <v>558</v>
      </c>
      <c r="O26" s="32">
        <v>1400000286</v>
      </c>
      <c r="P26" t="s">
        <v>954</v>
      </c>
    </row>
    <row r="27" spans="1:16" x14ac:dyDescent="0.35">
      <c r="A27" s="32">
        <v>1400001112</v>
      </c>
      <c r="B27" s="33" t="s">
        <v>888</v>
      </c>
      <c r="C27" s="34">
        <v>45902</v>
      </c>
      <c r="D27" s="35" t="s">
        <v>558</v>
      </c>
      <c r="E27" s="33" t="s">
        <v>560</v>
      </c>
      <c r="F27" s="36">
        <v>-79944.34</v>
      </c>
      <c r="G27" s="37" t="s">
        <v>560</v>
      </c>
      <c r="H27" s="38">
        <v>-78095.820000000007</v>
      </c>
      <c r="I27" s="53" t="e">
        <v>#N/A</v>
      </c>
      <c r="J27" s="33"/>
      <c r="K27" s="53" t="e">
        <v>#N/A</v>
      </c>
      <c r="L27" s="53" t="e">
        <v>#N/A</v>
      </c>
      <c r="M27" s="33" t="e">
        <v>#N/A</v>
      </c>
      <c r="N27" s="33" t="s">
        <v>558</v>
      </c>
      <c r="O27" s="32">
        <v>1400001112</v>
      </c>
      <c r="P27" t="s">
        <v>954</v>
      </c>
    </row>
    <row r="28" spans="1:16" x14ac:dyDescent="0.35">
      <c r="A28" s="32">
        <v>1400000285</v>
      </c>
      <c r="B28" s="33" t="s">
        <v>888</v>
      </c>
      <c r="C28" s="34">
        <v>45854</v>
      </c>
      <c r="D28" s="35" t="s">
        <v>558</v>
      </c>
      <c r="E28" s="33" t="s">
        <v>559</v>
      </c>
      <c r="F28" s="36">
        <v>-1793.99</v>
      </c>
      <c r="G28" s="37" t="s">
        <v>560</v>
      </c>
      <c r="H28" s="38">
        <v>-154827.9</v>
      </c>
      <c r="I28" s="53" t="e">
        <v>#N/A</v>
      </c>
      <c r="J28" s="33"/>
      <c r="K28" s="53" t="e">
        <v>#N/A</v>
      </c>
      <c r="L28" s="53" t="e">
        <v>#N/A</v>
      </c>
      <c r="M28" s="33" t="e">
        <v>#N/A</v>
      </c>
      <c r="N28" s="33" t="s">
        <v>558</v>
      </c>
      <c r="O28" s="32">
        <v>1400000285</v>
      </c>
      <c r="P28" t="s">
        <v>954</v>
      </c>
    </row>
    <row r="29" spans="1:16" x14ac:dyDescent="0.35">
      <c r="A29" s="32">
        <v>1400000288</v>
      </c>
      <c r="B29" s="33" t="s">
        <v>888</v>
      </c>
      <c r="C29" s="34">
        <v>45854</v>
      </c>
      <c r="D29" s="35" t="s">
        <v>558</v>
      </c>
      <c r="E29" s="33" t="s">
        <v>559</v>
      </c>
      <c r="F29" s="36">
        <v>-1926.06</v>
      </c>
      <c r="G29" s="37" t="s">
        <v>560</v>
      </c>
      <c r="H29" s="38">
        <v>-166972.57</v>
      </c>
      <c r="I29" s="53" t="e">
        <v>#N/A</v>
      </c>
      <c r="J29" s="33"/>
      <c r="K29" s="53" t="e">
        <v>#N/A</v>
      </c>
      <c r="L29" s="53" t="e">
        <v>#N/A</v>
      </c>
      <c r="M29" s="33" t="e">
        <v>#N/A</v>
      </c>
      <c r="N29" s="33" t="s">
        <v>558</v>
      </c>
      <c r="O29" s="32">
        <v>1400000288</v>
      </c>
      <c r="P29" t="s">
        <v>954</v>
      </c>
    </row>
    <row r="30" spans="1:16" x14ac:dyDescent="0.35">
      <c r="A30" s="32">
        <v>1400001901</v>
      </c>
      <c r="B30" s="33" t="s">
        <v>888</v>
      </c>
      <c r="C30" s="34">
        <v>45976</v>
      </c>
      <c r="D30" s="35" t="s">
        <v>904</v>
      </c>
      <c r="E30" s="33" t="s">
        <v>559</v>
      </c>
      <c r="F30" s="36">
        <v>-3813.11</v>
      </c>
      <c r="G30" s="37" t="s">
        <v>560</v>
      </c>
      <c r="H30" s="38">
        <v>-331442.46000000002</v>
      </c>
      <c r="I30" s="53" t="e">
        <v>#N/A</v>
      </c>
      <c r="J30" s="33"/>
      <c r="K30" s="53" t="e">
        <v>#N/A</v>
      </c>
      <c r="L30" s="53" t="e">
        <v>#N/A</v>
      </c>
      <c r="M30" s="33" t="e">
        <v>#N/A</v>
      </c>
      <c r="N30" s="33" t="s">
        <v>558</v>
      </c>
      <c r="O30" s="32">
        <v>1400001901</v>
      </c>
      <c r="P30" t="s">
        <v>954</v>
      </c>
    </row>
    <row r="31" spans="1:16" x14ac:dyDescent="0.35">
      <c r="H31" s="74">
        <f>SUM(H2:H30)</f>
        <v>-1093.0800000001909</v>
      </c>
    </row>
  </sheetData>
  <autoFilter ref="A1:P31" xr:uid="{95C965F8-5B61-43CD-9EEF-D4CBDC63F54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EDB8-573A-4E8A-901A-9312DADBC153}">
  <dimension ref="A1:N357"/>
  <sheetViews>
    <sheetView zoomScale="70" zoomScaleNormal="70" workbookViewId="0">
      <selection activeCell="L2" sqref="L2"/>
    </sheetView>
  </sheetViews>
  <sheetFormatPr defaultRowHeight="14.5" x14ac:dyDescent="0.35"/>
  <cols>
    <col min="1" max="1" width="11.1796875" bestFit="1" customWidth="1"/>
    <col min="2" max="2" width="10.81640625" bestFit="1" customWidth="1"/>
    <col min="3" max="3" width="11.36328125" bestFit="1" customWidth="1"/>
    <col min="4" max="4" width="14.81640625" bestFit="1" customWidth="1"/>
    <col min="5" max="5" width="15" bestFit="1" customWidth="1"/>
    <col min="6" max="6" width="19.1796875" bestFit="1" customWidth="1"/>
    <col min="7" max="7" width="39.81640625" customWidth="1"/>
    <col min="8" max="8" width="19.36328125" customWidth="1"/>
    <col min="9" max="9" width="26" bestFit="1" customWidth="1"/>
    <col min="12" max="12" width="15.453125" bestFit="1" customWidth="1"/>
    <col min="13" max="13" width="16.453125" bestFit="1" customWidth="1"/>
    <col min="14" max="14" width="17.08984375" bestFit="1" customWidth="1"/>
  </cols>
  <sheetData>
    <row r="1" spans="1:14" x14ac:dyDescent="0.35">
      <c r="B1" s="8">
        <f>SUBTOTAL(9,B2:B360)</f>
        <v>8842595.5199999996</v>
      </c>
      <c r="C1" s="8">
        <f>SUBTOTAL(9,C2:C360)</f>
        <v>10967816.010100003</v>
      </c>
      <c r="D1" s="44">
        <f>C1-B1</f>
        <v>2125220.4901000038</v>
      </c>
      <c r="I1" s="45"/>
    </row>
    <row r="2" spans="1:14" x14ac:dyDescent="0.35">
      <c r="A2" s="1" t="s">
        <v>0</v>
      </c>
      <c r="B2" s="7" t="s">
        <v>2</v>
      </c>
      <c r="C2" s="7" t="s">
        <v>3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11</v>
      </c>
      <c r="I2" s="4" t="s">
        <v>12</v>
      </c>
      <c r="L2" s="4" t="s">
        <v>943</v>
      </c>
      <c r="M2" s="4" t="s">
        <v>945</v>
      </c>
      <c r="N2" s="4" t="s">
        <v>946</v>
      </c>
    </row>
    <row r="3" spans="1:14" x14ac:dyDescent="0.35">
      <c r="A3" s="1" t="s">
        <v>393</v>
      </c>
      <c r="B3" s="7">
        <v>0</v>
      </c>
      <c r="C3" s="7">
        <v>35554.519999999997</v>
      </c>
      <c r="D3" s="1" t="s">
        <v>15</v>
      </c>
      <c r="E3" s="1" t="s">
        <v>15</v>
      </c>
      <c r="F3" s="1" t="s">
        <v>394</v>
      </c>
      <c r="G3" s="1" t="s">
        <v>43</v>
      </c>
      <c r="H3" s="1" t="s">
        <v>394</v>
      </c>
      <c r="I3" s="4">
        <v>246779410049</v>
      </c>
      <c r="L3" s="4">
        <v>246779410049</v>
      </c>
      <c r="M3" s="7">
        <v>0</v>
      </c>
      <c r="N3" s="7">
        <v>35554.519999999997</v>
      </c>
    </row>
    <row r="4" spans="1:14" x14ac:dyDescent="0.35">
      <c r="A4" s="1" t="s">
        <v>393</v>
      </c>
      <c r="B4" s="7">
        <v>0</v>
      </c>
      <c r="C4" s="7">
        <v>35554.519999999997</v>
      </c>
      <c r="D4" s="1" t="s">
        <v>15</v>
      </c>
      <c r="E4" s="1" t="s">
        <v>15</v>
      </c>
      <c r="F4" s="1" t="s">
        <v>395</v>
      </c>
      <c r="G4" s="1" t="s">
        <v>43</v>
      </c>
      <c r="H4" s="1" t="s">
        <v>395</v>
      </c>
      <c r="I4" s="4">
        <v>246779410303</v>
      </c>
      <c r="L4" s="4">
        <v>246779410072</v>
      </c>
      <c r="M4" s="7">
        <v>0</v>
      </c>
      <c r="N4" s="7">
        <v>35477</v>
      </c>
    </row>
    <row r="5" spans="1:14" x14ac:dyDescent="0.35">
      <c r="A5" s="1" t="s">
        <v>393</v>
      </c>
      <c r="B5" s="7">
        <v>0</v>
      </c>
      <c r="C5" s="7">
        <v>35554.519999999997</v>
      </c>
      <c r="D5" s="1" t="s">
        <v>15</v>
      </c>
      <c r="E5" s="1" t="s">
        <v>15</v>
      </c>
      <c r="F5" s="1" t="s">
        <v>396</v>
      </c>
      <c r="G5" s="1" t="s">
        <v>43</v>
      </c>
      <c r="H5" s="1" t="s">
        <v>396</v>
      </c>
      <c r="I5" s="4">
        <v>246779410117</v>
      </c>
      <c r="L5" s="4">
        <v>246779410117</v>
      </c>
      <c r="M5" s="7">
        <v>0</v>
      </c>
      <c r="N5" s="7">
        <v>35554.519999999997</v>
      </c>
    </row>
    <row r="6" spans="1:14" x14ac:dyDescent="0.35">
      <c r="A6" s="1" t="s">
        <v>393</v>
      </c>
      <c r="B6" s="7">
        <v>0</v>
      </c>
      <c r="C6" s="7">
        <v>35554.519999999997</v>
      </c>
      <c r="D6" s="1" t="s">
        <v>15</v>
      </c>
      <c r="E6" s="1" t="s">
        <v>15</v>
      </c>
      <c r="F6" s="1" t="s">
        <v>397</v>
      </c>
      <c r="G6" s="1" t="s">
        <v>43</v>
      </c>
      <c r="H6" s="1" t="s">
        <v>397</v>
      </c>
      <c r="I6" s="4">
        <v>246779410160</v>
      </c>
      <c r="L6" s="4">
        <v>246779410160</v>
      </c>
      <c r="M6" s="7">
        <v>0</v>
      </c>
      <c r="N6" s="7">
        <v>35554.519999999997</v>
      </c>
    </row>
    <row r="7" spans="1:14" x14ac:dyDescent="0.35">
      <c r="A7" s="1" t="s">
        <v>393</v>
      </c>
      <c r="B7" s="7">
        <v>0</v>
      </c>
      <c r="C7" s="7">
        <v>35554.519999999997</v>
      </c>
      <c r="D7" s="1" t="s">
        <v>15</v>
      </c>
      <c r="E7" s="1" t="s">
        <v>15</v>
      </c>
      <c r="F7" s="1" t="s">
        <v>398</v>
      </c>
      <c r="G7" s="1" t="s">
        <v>43</v>
      </c>
      <c r="H7" s="1" t="s">
        <v>398</v>
      </c>
      <c r="I7" s="4">
        <v>246779410203</v>
      </c>
      <c r="L7" s="4">
        <v>246779410203</v>
      </c>
      <c r="M7" s="7">
        <v>0</v>
      </c>
      <c r="N7" s="7">
        <v>35554.519999999997</v>
      </c>
    </row>
    <row r="8" spans="1:14" x14ac:dyDescent="0.35">
      <c r="A8" s="1" t="s">
        <v>393</v>
      </c>
      <c r="B8" s="7">
        <v>0</v>
      </c>
      <c r="C8" s="7">
        <v>35554.519999999997</v>
      </c>
      <c r="D8" s="1" t="s">
        <v>15</v>
      </c>
      <c r="E8" s="1" t="s">
        <v>15</v>
      </c>
      <c r="F8" s="1" t="s">
        <v>399</v>
      </c>
      <c r="G8" s="1" t="s">
        <v>43</v>
      </c>
      <c r="H8" s="1" t="s">
        <v>399</v>
      </c>
      <c r="I8" s="4">
        <v>246779410246</v>
      </c>
      <c r="L8" s="4">
        <v>246779410246</v>
      </c>
      <c r="M8" s="7">
        <v>0</v>
      </c>
      <c r="N8" s="7">
        <v>35554.519999999997</v>
      </c>
    </row>
    <row r="9" spans="1:14" x14ac:dyDescent="0.35">
      <c r="A9" s="1" t="s">
        <v>400</v>
      </c>
      <c r="B9" s="7">
        <v>0</v>
      </c>
      <c r="C9" s="7">
        <v>804</v>
      </c>
      <c r="D9" s="1" t="s">
        <v>15</v>
      </c>
      <c r="E9" s="1" t="s">
        <v>15</v>
      </c>
      <c r="F9" s="1" t="s">
        <v>401</v>
      </c>
      <c r="G9" s="1" t="s">
        <v>21</v>
      </c>
      <c r="H9" s="1" t="s">
        <v>401</v>
      </c>
      <c r="I9" s="4">
        <v>246779410613</v>
      </c>
      <c r="L9" s="4">
        <v>246779410303</v>
      </c>
      <c r="M9" s="7">
        <v>0</v>
      </c>
      <c r="N9" s="7">
        <v>35554.519999999997</v>
      </c>
    </row>
    <row r="10" spans="1:14" x14ac:dyDescent="0.35">
      <c r="A10" s="1" t="s">
        <v>400</v>
      </c>
      <c r="B10" s="7">
        <v>0</v>
      </c>
      <c r="C10" s="7">
        <v>1004</v>
      </c>
      <c r="D10" s="1" t="s">
        <v>15</v>
      </c>
      <c r="E10" s="1" t="s">
        <v>15</v>
      </c>
      <c r="F10" s="1" t="s">
        <v>402</v>
      </c>
      <c r="G10" s="1" t="s">
        <v>21</v>
      </c>
      <c r="H10" s="1" t="s">
        <v>402</v>
      </c>
      <c r="I10" s="4">
        <v>246779410612</v>
      </c>
      <c r="L10" s="4">
        <v>246779410327</v>
      </c>
      <c r="M10" s="7">
        <v>0</v>
      </c>
      <c r="N10" s="7">
        <v>16480.710999999999</v>
      </c>
    </row>
    <row r="11" spans="1:14" x14ac:dyDescent="0.35">
      <c r="A11" s="1" t="s">
        <v>400</v>
      </c>
      <c r="B11" s="7">
        <v>0</v>
      </c>
      <c r="C11" s="7">
        <v>402</v>
      </c>
      <c r="D11" s="1" t="s">
        <v>15</v>
      </c>
      <c r="E11" s="1" t="s">
        <v>15</v>
      </c>
      <c r="F11" s="1" t="s">
        <v>403</v>
      </c>
      <c r="G11" s="1" t="s">
        <v>21</v>
      </c>
      <c r="H11" s="1" t="s">
        <v>403</v>
      </c>
      <c r="I11" s="4">
        <v>246779410611</v>
      </c>
      <c r="L11" s="4">
        <v>246779410333</v>
      </c>
      <c r="M11" s="7">
        <v>0</v>
      </c>
      <c r="N11" s="7">
        <v>29975.441999999999</v>
      </c>
    </row>
    <row r="12" spans="1:14" x14ac:dyDescent="0.35">
      <c r="A12" s="1" t="s">
        <v>400</v>
      </c>
      <c r="B12" s="7">
        <v>0</v>
      </c>
      <c r="C12" s="7">
        <v>201</v>
      </c>
      <c r="D12" s="1" t="s">
        <v>15</v>
      </c>
      <c r="E12" s="1" t="s">
        <v>15</v>
      </c>
      <c r="F12" s="1" t="s">
        <v>404</v>
      </c>
      <c r="G12" s="1" t="s">
        <v>21</v>
      </c>
      <c r="H12" s="1" t="s">
        <v>404</v>
      </c>
      <c r="I12" s="4">
        <v>246779410610</v>
      </c>
      <c r="L12" s="4">
        <v>246779410338</v>
      </c>
      <c r="M12" s="7">
        <v>0</v>
      </c>
      <c r="N12" s="7">
        <v>13859.78</v>
      </c>
    </row>
    <row r="13" spans="1:14" x14ac:dyDescent="0.35">
      <c r="A13" s="1" t="s">
        <v>400</v>
      </c>
      <c r="B13" s="7">
        <v>0</v>
      </c>
      <c r="C13" s="7">
        <v>804</v>
      </c>
      <c r="D13" s="1" t="s">
        <v>15</v>
      </c>
      <c r="E13" s="1" t="s">
        <v>15</v>
      </c>
      <c r="F13" s="1" t="s">
        <v>405</v>
      </c>
      <c r="G13" s="1" t="s">
        <v>21</v>
      </c>
      <c r="H13" s="1" t="s">
        <v>405</v>
      </c>
      <c r="I13" s="4">
        <v>246779410608</v>
      </c>
      <c r="L13" s="4">
        <v>246779410339</v>
      </c>
      <c r="M13" s="7">
        <v>0</v>
      </c>
      <c r="N13" s="7">
        <v>44681.824999999997</v>
      </c>
    </row>
    <row r="14" spans="1:14" x14ac:dyDescent="0.35">
      <c r="A14" s="1" t="s">
        <v>400</v>
      </c>
      <c r="B14" s="7">
        <v>0</v>
      </c>
      <c r="C14" s="7">
        <v>402</v>
      </c>
      <c r="D14" s="1" t="s">
        <v>15</v>
      </c>
      <c r="E14" s="1" t="s">
        <v>15</v>
      </c>
      <c r="F14" s="1" t="s">
        <v>406</v>
      </c>
      <c r="G14" s="1" t="s">
        <v>21</v>
      </c>
      <c r="H14" s="1" t="s">
        <v>406</v>
      </c>
      <c r="I14" s="4">
        <v>246779410607</v>
      </c>
      <c r="L14" s="4">
        <v>246779410340</v>
      </c>
      <c r="M14" s="7">
        <v>0</v>
      </c>
      <c r="N14" s="7">
        <v>144772.565</v>
      </c>
    </row>
    <row r="15" spans="1:14" x14ac:dyDescent="0.35">
      <c r="A15" s="1" t="s">
        <v>400</v>
      </c>
      <c r="B15" s="7">
        <v>0</v>
      </c>
      <c r="C15" s="7">
        <v>580687</v>
      </c>
      <c r="D15" s="1" t="s">
        <v>15</v>
      </c>
      <c r="E15" s="1" t="s">
        <v>15</v>
      </c>
      <c r="F15" s="1" t="s">
        <v>407</v>
      </c>
      <c r="G15" s="1" t="s">
        <v>36</v>
      </c>
      <c r="H15" s="1" t="s">
        <v>407</v>
      </c>
      <c r="I15" s="4">
        <v>246779410404</v>
      </c>
      <c r="L15" s="4">
        <v>246779410348</v>
      </c>
      <c r="M15" s="7">
        <v>0</v>
      </c>
      <c r="N15" s="7">
        <v>151725</v>
      </c>
    </row>
    <row r="16" spans="1:14" x14ac:dyDescent="0.35">
      <c r="A16" s="1" t="s">
        <v>400</v>
      </c>
      <c r="B16" s="7">
        <v>0</v>
      </c>
      <c r="C16" s="7">
        <v>340227</v>
      </c>
      <c r="D16" s="1" t="s">
        <v>15</v>
      </c>
      <c r="E16" s="1" t="s">
        <v>15</v>
      </c>
      <c r="F16" s="1" t="s">
        <v>408</v>
      </c>
      <c r="G16" s="1" t="s">
        <v>36</v>
      </c>
      <c r="H16" s="1" t="s">
        <v>408</v>
      </c>
      <c r="I16" s="4">
        <v>246779410428</v>
      </c>
      <c r="L16" s="4">
        <v>246779410352</v>
      </c>
      <c r="M16" s="7">
        <v>0</v>
      </c>
      <c r="N16" s="7">
        <v>102103.25599999999</v>
      </c>
    </row>
    <row r="17" spans="1:14" x14ac:dyDescent="0.35">
      <c r="A17" s="1" t="s">
        <v>400</v>
      </c>
      <c r="B17" s="7">
        <v>0</v>
      </c>
      <c r="C17" s="7">
        <v>460370</v>
      </c>
      <c r="D17" s="1" t="s">
        <v>15</v>
      </c>
      <c r="E17" s="1" t="s">
        <v>15</v>
      </c>
      <c r="F17" s="1" t="s">
        <v>409</v>
      </c>
      <c r="G17" s="1" t="s">
        <v>36</v>
      </c>
      <c r="H17" s="1" t="s">
        <v>409</v>
      </c>
      <c r="I17" s="4">
        <v>246779410379</v>
      </c>
      <c r="L17" s="4">
        <v>246779410360</v>
      </c>
      <c r="M17" s="7">
        <v>0</v>
      </c>
      <c r="N17" s="7">
        <v>59624</v>
      </c>
    </row>
    <row r="18" spans="1:14" x14ac:dyDescent="0.35">
      <c r="A18" s="1" t="s">
        <v>400</v>
      </c>
      <c r="B18" s="7">
        <v>0</v>
      </c>
      <c r="C18" s="7">
        <v>2009</v>
      </c>
      <c r="D18" s="1" t="s">
        <v>15</v>
      </c>
      <c r="E18" s="1" t="s">
        <v>15</v>
      </c>
      <c r="F18" s="1" t="s">
        <v>410</v>
      </c>
      <c r="G18" s="1" t="s">
        <v>21</v>
      </c>
      <c r="H18" s="1" t="s">
        <v>410</v>
      </c>
      <c r="I18" s="4">
        <v>246779410605</v>
      </c>
      <c r="L18" s="4">
        <v>246779410379</v>
      </c>
      <c r="M18" s="7">
        <v>0</v>
      </c>
      <c r="N18" s="7">
        <v>460370</v>
      </c>
    </row>
    <row r="19" spans="1:14" x14ac:dyDescent="0.35">
      <c r="A19" s="1" t="s">
        <v>400</v>
      </c>
      <c r="B19" s="7">
        <v>0</v>
      </c>
      <c r="C19" s="7">
        <v>402</v>
      </c>
      <c r="D19" s="1" t="s">
        <v>15</v>
      </c>
      <c r="E19" s="1" t="s">
        <v>15</v>
      </c>
      <c r="F19" s="1" t="s">
        <v>411</v>
      </c>
      <c r="G19" s="1" t="s">
        <v>21</v>
      </c>
      <c r="H19" s="1" t="s">
        <v>411</v>
      </c>
      <c r="I19" s="4">
        <v>246779410606</v>
      </c>
      <c r="L19" s="4">
        <v>246779410404</v>
      </c>
      <c r="M19" s="7">
        <v>0</v>
      </c>
      <c r="N19" s="7">
        <v>580687</v>
      </c>
    </row>
    <row r="20" spans="1:14" x14ac:dyDescent="0.35">
      <c r="A20" s="1" t="s">
        <v>400</v>
      </c>
      <c r="B20" s="7">
        <v>0</v>
      </c>
      <c r="C20" s="7">
        <v>2009</v>
      </c>
      <c r="D20" s="1" t="s">
        <v>15</v>
      </c>
      <c r="E20" s="1" t="s">
        <v>15</v>
      </c>
      <c r="F20" s="1" t="s">
        <v>412</v>
      </c>
      <c r="G20" s="1" t="s">
        <v>21</v>
      </c>
      <c r="H20" s="1" t="s">
        <v>412</v>
      </c>
      <c r="I20" s="4">
        <v>246779410495</v>
      </c>
      <c r="L20" s="4">
        <v>246779410428</v>
      </c>
      <c r="M20" s="7">
        <v>0</v>
      </c>
      <c r="N20" s="7">
        <v>340227</v>
      </c>
    </row>
    <row r="21" spans="1:14" x14ac:dyDescent="0.35">
      <c r="A21" s="1" t="s">
        <v>400</v>
      </c>
      <c r="B21" s="7">
        <v>0</v>
      </c>
      <c r="C21" s="7">
        <v>201</v>
      </c>
      <c r="D21" s="1" t="s">
        <v>15</v>
      </c>
      <c r="E21" s="1" t="s">
        <v>15</v>
      </c>
      <c r="F21" s="1" t="s">
        <v>413</v>
      </c>
      <c r="G21" s="1" t="s">
        <v>21</v>
      </c>
      <c r="H21" s="1" t="s">
        <v>413</v>
      </c>
      <c r="I21" s="4">
        <v>246779410494</v>
      </c>
      <c r="L21" s="4">
        <v>246779410494</v>
      </c>
      <c r="M21" s="7">
        <v>0</v>
      </c>
      <c r="N21" s="7">
        <v>201</v>
      </c>
    </row>
    <row r="22" spans="1:14" x14ac:dyDescent="0.35">
      <c r="A22" s="1" t="s">
        <v>400</v>
      </c>
      <c r="B22" s="7">
        <v>0</v>
      </c>
      <c r="C22" s="7">
        <v>201</v>
      </c>
      <c r="D22" s="1" t="s">
        <v>15</v>
      </c>
      <c r="E22" s="1" t="s">
        <v>15</v>
      </c>
      <c r="F22" s="1" t="s">
        <v>414</v>
      </c>
      <c r="G22" s="1" t="s">
        <v>21</v>
      </c>
      <c r="H22" s="1" t="s">
        <v>414</v>
      </c>
      <c r="I22" s="4">
        <v>246779410496</v>
      </c>
      <c r="L22" s="4">
        <v>246779410495</v>
      </c>
      <c r="M22" s="7">
        <v>0</v>
      </c>
      <c r="N22" s="7">
        <v>2009</v>
      </c>
    </row>
    <row r="23" spans="1:14" x14ac:dyDescent="0.35">
      <c r="A23" s="1" t="s">
        <v>400</v>
      </c>
      <c r="B23" s="7">
        <v>0</v>
      </c>
      <c r="C23" s="7">
        <v>201</v>
      </c>
      <c r="D23" s="1" t="s">
        <v>15</v>
      </c>
      <c r="E23" s="1" t="s">
        <v>15</v>
      </c>
      <c r="F23" s="1" t="s">
        <v>415</v>
      </c>
      <c r="G23" s="1" t="s">
        <v>21</v>
      </c>
      <c r="H23" s="1" t="s">
        <v>415</v>
      </c>
      <c r="I23" s="4">
        <v>246779410497</v>
      </c>
      <c r="L23" s="4">
        <v>246779410496</v>
      </c>
      <c r="M23" s="7">
        <v>0</v>
      </c>
      <c r="N23" s="7">
        <v>201</v>
      </c>
    </row>
    <row r="24" spans="1:14" x14ac:dyDescent="0.35">
      <c r="A24" s="1" t="s">
        <v>400</v>
      </c>
      <c r="B24" s="7">
        <v>0</v>
      </c>
      <c r="C24" s="7">
        <v>804</v>
      </c>
      <c r="D24" s="1" t="s">
        <v>15</v>
      </c>
      <c r="E24" s="1" t="s">
        <v>15</v>
      </c>
      <c r="F24" s="1" t="s">
        <v>416</v>
      </c>
      <c r="G24" s="1" t="s">
        <v>21</v>
      </c>
      <c r="H24" s="1" t="s">
        <v>416</v>
      </c>
      <c r="I24" s="4">
        <v>246779410499</v>
      </c>
      <c r="L24" s="4">
        <v>246779410497</v>
      </c>
      <c r="M24" s="7">
        <v>0</v>
      </c>
      <c r="N24" s="7">
        <v>201</v>
      </c>
    </row>
    <row r="25" spans="1:14" x14ac:dyDescent="0.35">
      <c r="A25" s="1" t="s">
        <v>400</v>
      </c>
      <c r="B25" s="7">
        <v>0</v>
      </c>
      <c r="C25" s="7">
        <v>201</v>
      </c>
      <c r="D25" s="1" t="s">
        <v>15</v>
      </c>
      <c r="E25" s="1" t="s">
        <v>15</v>
      </c>
      <c r="F25" s="1" t="s">
        <v>417</v>
      </c>
      <c r="G25" s="1" t="s">
        <v>21</v>
      </c>
      <c r="H25" s="1" t="s">
        <v>417</v>
      </c>
      <c r="I25" s="4">
        <v>246779410500</v>
      </c>
      <c r="L25" s="4">
        <v>246779410498</v>
      </c>
      <c r="M25" s="7">
        <v>0</v>
      </c>
      <c r="N25" s="7">
        <v>200</v>
      </c>
    </row>
    <row r="26" spans="1:14" x14ac:dyDescent="0.35">
      <c r="A26" s="1" t="s">
        <v>400</v>
      </c>
      <c r="B26" s="7">
        <v>0</v>
      </c>
      <c r="C26" s="7">
        <v>1607</v>
      </c>
      <c r="D26" s="1" t="s">
        <v>15</v>
      </c>
      <c r="E26" s="1" t="s">
        <v>15</v>
      </c>
      <c r="F26" s="1" t="s">
        <v>418</v>
      </c>
      <c r="G26" s="1" t="s">
        <v>21</v>
      </c>
      <c r="H26" s="1" t="s">
        <v>418</v>
      </c>
      <c r="I26" s="4">
        <v>246779410501</v>
      </c>
      <c r="L26" s="4">
        <v>246779410499</v>
      </c>
      <c r="M26" s="7">
        <v>0</v>
      </c>
      <c r="N26" s="7">
        <v>804</v>
      </c>
    </row>
    <row r="27" spans="1:14" x14ac:dyDescent="0.35">
      <c r="A27" s="1" t="s">
        <v>400</v>
      </c>
      <c r="B27" s="7">
        <v>0</v>
      </c>
      <c r="C27" s="7">
        <v>2009</v>
      </c>
      <c r="D27" s="1" t="s">
        <v>15</v>
      </c>
      <c r="E27" s="1" t="s">
        <v>15</v>
      </c>
      <c r="F27" s="1" t="s">
        <v>419</v>
      </c>
      <c r="G27" s="1" t="s">
        <v>21</v>
      </c>
      <c r="H27" s="1" t="s">
        <v>419</v>
      </c>
      <c r="I27" s="4">
        <v>246779410502</v>
      </c>
      <c r="L27" s="4">
        <v>246779410500</v>
      </c>
      <c r="M27" s="7">
        <v>0</v>
      </c>
      <c r="N27" s="7">
        <v>201</v>
      </c>
    </row>
    <row r="28" spans="1:14" x14ac:dyDescent="0.35">
      <c r="A28" s="1" t="s">
        <v>400</v>
      </c>
      <c r="B28" s="7">
        <v>0</v>
      </c>
      <c r="C28" s="7">
        <v>2009</v>
      </c>
      <c r="D28" s="1" t="s">
        <v>15</v>
      </c>
      <c r="E28" s="1" t="s">
        <v>15</v>
      </c>
      <c r="F28" s="1" t="s">
        <v>420</v>
      </c>
      <c r="G28" s="1" t="s">
        <v>21</v>
      </c>
      <c r="H28" s="1" t="s">
        <v>420</v>
      </c>
      <c r="I28" s="4">
        <v>246779410503</v>
      </c>
      <c r="L28" s="4">
        <v>246779410501</v>
      </c>
      <c r="M28" s="7">
        <v>0</v>
      </c>
      <c r="N28" s="7">
        <v>1607</v>
      </c>
    </row>
    <row r="29" spans="1:14" x14ac:dyDescent="0.35">
      <c r="A29" s="1" t="s">
        <v>400</v>
      </c>
      <c r="B29" s="7">
        <v>0</v>
      </c>
      <c r="C29" s="7">
        <v>201</v>
      </c>
      <c r="D29" s="1" t="s">
        <v>15</v>
      </c>
      <c r="E29" s="1" t="s">
        <v>15</v>
      </c>
      <c r="F29" s="1" t="s">
        <v>421</v>
      </c>
      <c r="G29" s="1" t="s">
        <v>21</v>
      </c>
      <c r="H29" s="1" t="s">
        <v>421</v>
      </c>
      <c r="I29" s="4">
        <v>246779410504</v>
      </c>
      <c r="L29" s="4">
        <v>246779410502</v>
      </c>
      <c r="M29" s="7">
        <v>0</v>
      </c>
      <c r="N29" s="7">
        <v>2009</v>
      </c>
    </row>
    <row r="30" spans="1:14" x14ac:dyDescent="0.35">
      <c r="A30" s="1" t="s">
        <v>400</v>
      </c>
      <c r="B30" s="7">
        <v>0</v>
      </c>
      <c r="C30" s="7">
        <v>603</v>
      </c>
      <c r="D30" s="1" t="s">
        <v>15</v>
      </c>
      <c r="E30" s="1" t="s">
        <v>15</v>
      </c>
      <c r="F30" s="1" t="s">
        <v>422</v>
      </c>
      <c r="G30" s="1" t="s">
        <v>21</v>
      </c>
      <c r="H30" s="1" t="s">
        <v>422</v>
      </c>
      <c r="I30" s="4">
        <v>246779410505</v>
      </c>
      <c r="L30" s="4">
        <v>246779410503</v>
      </c>
      <c r="M30" s="7">
        <v>0</v>
      </c>
      <c r="N30" s="7">
        <v>2009</v>
      </c>
    </row>
    <row r="31" spans="1:14" x14ac:dyDescent="0.35">
      <c r="A31" s="1" t="s">
        <v>400</v>
      </c>
      <c r="B31" s="7">
        <v>0</v>
      </c>
      <c r="C31" s="7">
        <v>402</v>
      </c>
      <c r="D31" s="1" t="s">
        <v>15</v>
      </c>
      <c r="E31" s="1" t="s">
        <v>15</v>
      </c>
      <c r="F31" s="1" t="s">
        <v>423</v>
      </c>
      <c r="G31" s="1" t="s">
        <v>21</v>
      </c>
      <c r="H31" s="1" t="s">
        <v>423</v>
      </c>
      <c r="I31" s="4">
        <v>246779410506</v>
      </c>
      <c r="L31" s="4">
        <v>246779410504</v>
      </c>
      <c r="M31" s="7">
        <v>0</v>
      </c>
      <c r="N31" s="7">
        <v>201</v>
      </c>
    </row>
    <row r="32" spans="1:14" x14ac:dyDescent="0.35">
      <c r="A32" s="1" t="s">
        <v>400</v>
      </c>
      <c r="B32" s="7">
        <v>0</v>
      </c>
      <c r="C32" s="7">
        <v>402</v>
      </c>
      <c r="D32" s="1" t="s">
        <v>15</v>
      </c>
      <c r="E32" s="1" t="s">
        <v>15</v>
      </c>
      <c r="F32" s="1" t="s">
        <v>424</v>
      </c>
      <c r="G32" s="1" t="s">
        <v>21</v>
      </c>
      <c r="H32" s="1" t="s">
        <v>424</v>
      </c>
      <c r="I32" s="4">
        <v>246779410507</v>
      </c>
      <c r="L32" s="4">
        <v>246779410505</v>
      </c>
      <c r="M32" s="7">
        <v>0</v>
      </c>
      <c r="N32" s="7">
        <v>603</v>
      </c>
    </row>
    <row r="33" spans="1:14" x14ac:dyDescent="0.35">
      <c r="A33" s="1" t="s">
        <v>400</v>
      </c>
      <c r="B33" s="7">
        <v>0</v>
      </c>
      <c r="C33" s="7">
        <v>201</v>
      </c>
      <c r="D33" s="1" t="s">
        <v>15</v>
      </c>
      <c r="E33" s="1" t="s">
        <v>15</v>
      </c>
      <c r="F33" s="1" t="s">
        <v>425</v>
      </c>
      <c r="G33" s="1" t="s">
        <v>21</v>
      </c>
      <c r="H33" s="1" t="s">
        <v>425</v>
      </c>
      <c r="I33" s="4">
        <v>246779410508</v>
      </c>
      <c r="L33" s="4">
        <v>246779410506</v>
      </c>
      <c r="M33" s="7">
        <v>0</v>
      </c>
      <c r="N33" s="7">
        <v>402</v>
      </c>
    </row>
    <row r="34" spans="1:14" x14ac:dyDescent="0.35">
      <c r="A34" s="1" t="s">
        <v>426</v>
      </c>
      <c r="B34" s="7">
        <v>0</v>
      </c>
      <c r="C34" s="7">
        <v>403</v>
      </c>
      <c r="D34" s="1" t="s">
        <v>15</v>
      </c>
      <c r="E34" s="1" t="s">
        <v>15</v>
      </c>
      <c r="F34" s="1" t="s">
        <v>427</v>
      </c>
      <c r="G34" s="1" t="s">
        <v>21</v>
      </c>
      <c r="H34" s="1" t="s">
        <v>427</v>
      </c>
      <c r="I34" s="4">
        <v>246779410843</v>
      </c>
      <c r="L34" s="4">
        <v>246779410507</v>
      </c>
      <c r="M34" s="7">
        <v>0</v>
      </c>
      <c r="N34" s="7">
        <v>402</v>
      </c>
    </row>
    <row r="35" spans="1:14" x14ac:dyDescent="0.35">
      <c r="A35" s="1" t="s">
        <v>426</v>
      </c>
      <c r="B35" s="7">
        <v>0</v>
      </c>
      <c r="C35" s="7">
        <v>805</v>
      </c>
      <c r="D35" s="1" t="s">
        <v>15</v>
      </c>
      <c r="E35" s="1" t="s">
        <v>15</v>
      </c>
      <c r="F35" s="1" t="s">
        <v>428</v>
      </c>
      <c r="G35" s="1" t="s">
        <v>21</v>
      </c>
      <c r="H35" s="1" t="s">
        <v>428</v>
      </c>
      <c r="I35" s="4">
        <v>246779410686</v>
      </c>
      <c r="L35" s="4">
        <v>246779410508</v>
      </c>
      <c r="M35" s="7">
        <v>0</v>
      </c>
      <c r="N35" s="7">
        <v>201</v>
      </c>
    </row>
    <row r="36" spans="1:14" x14ac:dyDescent="0.35">
      <c r="A36" s="1" t="s">
        <v>426</v>
      </c>
      <c r="B36" s="7">
        <v>0</v>
      </c>
      <c r="C36" s="7">
        <v>201</v>
      </c>
      <c r="D36" s="1" t="s">
        <v>15</v>
      </c>
      <c r="E36" s="1" t="s">
        <v>15</v>
      </c>
      <c r="F36" s="1" t="s">
        <v>429</v>
      </c>
      <c r="G36" s="1" t="s">
        <v>21</v>
      </c>
      <c r="H36" s="1" t="s">
        <v>429</v>
      </c>
      <c r="I36" s="4">
        <v>246779410683</v>
      </c>
      <c r="L36" s="4">
        <v>246779410605</v>
      </c>
      <c r="M36" s="7">
        <v>0</v>
      </c>
      <c r="N36" s="7">
        <v>2009</v>
      </c>
    </row>
    <row r="37" spans="1:14" x14ac:dyDescent="0.35">
      <c r="A37" s="1" t="s">
        <v>426</v>
      </c>
      <c r="B37" s="7">
        <v>0</v>
      </c>
      <c r="C37" s="7">
        <v>604</v>
      </c>
      <c r="D37" s="1" t="s">
        <v>15</v>
      </c>
      <c r="E37" s="1" t="s">
        <v>15</v>
      </c>
      <c r="F37" s="1" t="s">
        <v>430</v>
      </c>
      <c r="G37" s="1" t="s">
        <v>21</v>
      </c>
      <c r="H37" s="1" t="s">
        <v>430</v>
      </c>
      <c r="I37" s="4">
        <v>246779410759</v>
      </c>
      <c r="L37" s="4">
        <v>246779410606</v>
      </c>
      <c r="M37" s="7">
        <v>0</v>
      </c>
      <c r="N37" s="7">
        <v>402</v>
      </c>
    </row>
    <row r="38" spans="1:14" x14ac:dyDescent="0.35">
      <c r="A38" s="1" t="s">
        <v>426</v>
      </c>
      <c r="B38" s="7">
        <v>0</v>
      </c>
      <c r="C38" s="7">
        <v>1006</v>
      </c>
      <c r="D38" s="1" t="s">
        <v>15</v>
      </c>
      <c r="E38" s="1" t="s">
        <v>15</v>
      </c>
      <c r="F38" s="1" t="s">
        <v>431</v>
      </c>
      <c r="G38" s="1" t="s">
        <v>21</v>
      </c>
      <c r="H38" s="1" t="s">
        <v>431</v>
      </c>
      <c r="I38" s="4">
        <v>246779410760</v>
      </c>
      <c r="L38" s="4">
        <v>246779410607</v>
      </c>
      <c r="M38" s="7">
        <v>0</v>
      </c>
      <c r="N38" s="7">
        <v>402</v>
      </c>
    </row>
    <row r="39" spans="1:14" x14ac:dyDescent="0.35">
      <c r="A39" s="1" t="s">
        <v>426</v>
      </c>
      <c r="B39" s="7">
        <v>0</v>
      </c>
      <c r="C39" s="7">
        <v>1207</v>
      </c>
      <c r="D39" s="1" t="s">
        <v>15</v>
      </c>
      <c r="E39" s="1" t="s">
        <v>15</v>
      </c>
      <c r="F39" s="1" t="s">
        <v>432</v>
      </c>
      <c r="G39" s="1" t="s">
        <v>21</v>
      </c>
      <c r="H39" s="1" t="s">
        <v>432</v>
      </c>
      <c r="I39" s="4">
        <v>246779410761</v>
      </c>
      <c r="L39" s="4">
        <v>246779410608</v>
      </c>
      <c r="M39" s="7">
        <v>0</v>
      </c>
      <c r="N39" s="7">
        <v>804</v>
      </c>
    </row>
    <row r="40" spans="1:14" x14ac:dyDescent="0.35">
      <c r="A40" s="1" t="s">
        <v>426</v>
      </c>
      <c r="B40" s="7">
        <v>0</v>
      </c>
      <c r="C40" s="7">
        <v>201</v>
      </c>
      <c r="D40" s="1" t="s">
        <v>15</v>
      </c>
      <c r="E40" s="1" t="s">
        <v>15</v>
      </c>
      <c r="F40" s="1" t="s">
        <v>433</v>
      </c>
      <c r="G40" s="1" t="s">
        <v>21</v>
      </c>
      <c r="H40" s="1" t="s">
        <v>433</v>
      </c>
      <c r="I40" s="4">
        <v>246779410763</v>
      </c>
      <c r="L40" s="4">
        <v>246779410609</v>
      </c>
      <c r="M40" s="7">
        <v>0</v>
      </c>
      <c r="N40" s="7">
        <v>3203</v>
      </c>
    </row>
    <row r="41" spans="1:14" x14ac:dyDescent="0.35">
      <c r="A41" s="1" t="s">
        <v>426</v>
      </c>
      <c r="B41" s="7">
        <v>0</v>
      </c>
      <c r="C41" s="7">
        <v>403</v>
      </c>
      <c r="D41" s="1" t="s">
        <v>15</v>
      </c>
      <c r="E41" s="1" t="s">
        <v>15</v>
      </c>
      <c r="F41" s="1" t="s">
        <v>434</v>
      </c>
      <c r="G41" s="1" t="s">
        <v>21</v>
      </c>
      <c r="H41" s="1" t="s">
        <v>434</v>
      </c>
      <c r="I41" s="4">
        <v>246779410762</v>
      </c>
      <c r="L41" s="4">
        <v>246779410610</v>
      </c>
      <c r="M41" s="7">
        <v>0</v>
      </c>
      <c r="N41" s="7">
        <v>201</v>
      </c>
    </row>
    <row r="42" spans="1:14" x14ac:dyDescent="0.35">
      <c r="A42" s="1" t="s">
        <v>426</v>
      </c>
      <c r="B42" s="7">
        <v>0</v>
      </c>
      <c r="C42" s="7">
        <v>403</v>
      </c>
      <c r="D42" s="1" t="s">
        <v>15</v>
      </c>
      <c r="E42" s="1" t="s">
        <v>15</v>
      </c>
      <c r="F42" s="1" t="s">
        <v>435</v>
      </c>
      <c r="G42" s="1" t="s">
        <v>21</v>
      </c>
      <c r="H42" s="1" t="s">
        <v>435</v>
      </c>
      <c r="I42" s="4">
        <v>246779410757</v>
      </c>
      <c r="L42" s="4">
        <v>246779410611</v>
      </c>
      <c r="M42" s="7">
        <v>0</v>
      </c>
      <c r="N42" s="7">
        <v>402</v>
      </c>
    </row>
    <row r="43" spans="1:14" x14ac:dyDescent="0.35">
      <c r="A43" s="1" t="s">
        <v>426</v>
      </c>
      <c r="B43" s="7">
        <v>0</v>
      </c>
      <c r="C43" s="7">
        <v>201</v>
      </c>
      <c r="D43" s="1" t="s">
        <v>15</v>
      </c>
      <c r="E43" s="1" t="s">
        <v>15</v>
      </c>
      <c r="F43" s="1" t="s">
        <v>436</v>
      </c>
      <c r="G43" s="1" t="s">
        <v>21</v>
      </c>
      <c r="H43" s="1" t="s">
        <v>436</v>
      </c>
      <c r="I43" s="4">
        <v>246779410765</v>
      </c>
      <c r="L43" s="4">
        <v>246779410612</v>
      </c>
      <c r="M43" s="7">
        <v>0</v>
      </c>
      <c r="N43" s="7">
        <v>1004</v>
      </c>
    </row>
    <row r="44" spans="1:14" x14ac:dyDescent="0.35">
      <c r="A44" s="1" t="s">
        <v>426</v>
      </c>
      <c r="B44" s="7">
        <v>0</v>
      </c>
      <c r="C44" s="7">
        <v>201</v>
      </c>
      <c r="D44" s="1" t="s">
        <v>15</v>
      </c>
      <c r="E44" s="1" t="s">
        <v>15</v>
      </c>
      <c r="F44" s="1" t="s">
        <v>437</v>
      </c>
      <c r="G44" s="1" t="s">
        <v>21</v>
      </c>
      <c r="H44" s="1" t="s">
        <v>437</v>
      </c>
      <c r="I44" s="4">
        <v>246779410764</v>
      </c>
      <c r="L44" s="4">
        <v>246779410613</v>
      </c>
      <c r="M44" s="7">
        <v>0</v>
      </c>
      <c r="N44" s="7">
        <v>804</v>
      </c>
    </row>
    <row r="45" spans="1:14" x14ac:dyDescent="0.35">
      <c r="A45" s="1" t="s">
        <v>426</v>
      </c>
      <c r="B45" s="7">
        <v>0</v>
      </c>
      <c r="C45" s="7">
        <v>403</v>
      </c>
      <c r="D45" s="1" t="s">
        <v>15</v>
      </c>
      <c r="E45" s="1" t="s">
        <v>15</v>
      </c>
      <c r="F45" s="1" t="s">
        <v>438</v>
      </c>
      <c r="G45" s="1" t="s">
        <v>21</v>
      </c>
      <c r="H45" s="1" t="s">
        <v>438</v>
      </c>
      <c r="I45" s="4">
        <v>246779410766</v>
      </c>
      <c r="L45" s="4">
        <v>246779410678</v>
      </c>
      <c r="M45" s="7">
        <v>0</v>
      </c>
      <c r="N45" s="7">
        <v>201</v>
      </c>
    </row>
    <row r="46" spans="1:14" x14ac:dyDescent="0.35">
      <c r="A46" s="1" t="s">
        <v>426</v>
      </c>
      <c r="B46" s="7">
        <v>0</v>
      </c>
      <c r="C46" s="7">
        <v>403</v>
      </c>
      <c r="D46" s="1" t="s">
        <v>15</v>
      </c>
      <c r="E46" s="1" t="s">
        <v>15</v>
      </c>
      <c r="F46" s="1" t="s">
        <v>439</v>
      </c>
      <c r="G46" s="1" t="s">
        <v>21</v>
      </c>
      <c r="H46" s="1" t="s">
        <v>439</v>
      </c>
      <c r="I46" s="4">
        <v>246779410756</v>
      </c>
      <c r="L46" s="4">
        <v>246779410679</v>
      </c>
      <c r="M46" s="7">
        <v>0</v>
      </c>
      <c r="N46" s="7">
        <v>201</v>
      </c>
    </row>
    <row r="47" spans="1:14" x14ac:dyDescent="0.35">
      <c r="A47" s="1" t="s">
        <v>426</v>
      </c>
      <c r="B47" s="7">
        <v>0</v>
      </c>
      <c r="C47" s="7">
        <v>3219</v>
      </c>
      <c r="D47" s="1" t="s">
        <v>15</v>
      </c>
      <c r="E47" s="1" t="s">
        <v>15</v>
      </c>
      <c r="F47" s="1" t="s">
        <v>440</v>
      </c>
      <c r="G47" s="1" t="s">
        <v>21</v>
      </c>
      <c r="H47" s="1" t="s">
        <v>440</v>
      </c>
      <c r="I47" s="4">
        <v>246779410758</v>
      </c>
      <c r="L47" s="4">
        <v>246779410680</v>
      </c>
      <c r="M47" s="7">
        <v>0</v>
      </c>
      <c r="N47" s="7">
        <v>1207</v>
      </c>
    </row>
    <row r="48" spans="1:14" x14ac:dyDescent="0.35">
      <c r="A48" s="1" t="s">
        <v>426</v>
      </c>
      <c r="B48" s="7">
        <v>0</v>
      </c>
      <c r="C48" s="7">
        <v>403</v>
      </c>
      <c r="D48" s="1" t="s">
        <v>15</v>
      </c>
      <c r="E48" s="1" t="s">
        <v>15</v>
      </c>
      <c r="F48" s="1" t="s">
        <v>441</v>
      </c>
      <c r="G48" s="1" t="s">
        <v>21</v>
      </c>
      <c r="H48" s="1" t="s">
        <v>441</v>
      </c>
      <c r="I48" s="4">
        <v>246779410689</v>
      </c>
      <c r="L48" s="4">
        <v>246779410681</v>
      </c>
      <c r="M48" s="7">
        <v>0</v>
      </c>
      <c r="N48" s="7">
        <v>201</v>
      </c>
    </row>
    <row r="49" spans="1:14" x14ac:dyDescent="0.35">
      <c r="A49" s="1" t="s">
        <v>426</v>
      </c>
      <c r="B49" s="7">
        <v>0</v>
      </c>
      <c r="C49" s="7">
        <v>805</v>
      </c>
      <c r="D49" s="1" t="s">
        <v>15</v>
      </c>
      <c r="E49" s="1" t="s">
        <v>15</v>
      </c>
      <c r="F49" s="1" t="s">
        <v>442</v>
      </c>
      <c r="G49" s="1" t="s">
        <v>21</v>
      </c>
      <c r="H49" s="1" t="s">
        <v>442</v>
      </c>
      <c r="I49" s="4">
        <v>246779410693</v>
      </c>
      <c r="L49" s="4">
        <v>246779410682</v>
      </c>
      <c r="M49" s="7">
        <v>0</v>
      </c>
      <c r="N49" s="7">
        <v>201</v>
      </c>
    </row>
    <row r="50" spans="1:14" x14ac:dyDescent="0.35">
      <c r="A50" s="1" t="s">
        <v>426</v>
      </c>
      <c r="B50" s="7">
        <v>0</v>
      </c>
      <c r="C50" s="7">
        <v>604</v>
      </c>
      <c r="D50" s="1" t="s">
        <v>15</v>
      </c>
      <c r="E50" s="1" t="s">
        <v>15</v>
      </c>
      <c r="F50" s="1" t="s">
        <v>443</v>
      </c>
      <c r="G50" s="1" t="s">
        <v>21</v>
      </c>
      <c r="H50" s="1" t="s">
        <v>443</v>
      </c>
      <c r="I50" s="4">
        <v>246779410691</v>
      </c>
      <c r="L50" s="4">
        <v>246779410683</v>
      </c>
      <c r="M50" s="7">
        <v>0</v>
      </c>
      <c r="N50" s="7">
        <v>201</v>
      </c>
    </row>
    <row r="51" spans="1:14" x14ac:dyDescent="0.35">
      <c r="A51" s="1" t="s">
        <v>426</v>
      </c>
      <c r="B51" s="7">
        <v>0</v>
      </c>
      <c r="C51" s="7">
        <v>604</v>
      </c>
      <c r="D51" s="1" t="s">
        <v>15</v>
      </c>
      <c r="E51" s="1" t="s">
        <v>15</v>
      </c>
      <c r="F51" s="1" t="s">
        <v>444</v>
      </c>
      <c r="G51" s="1" t="s">
        <v>21</v>
      </c>
      <c r="H51" s="1" t="s">
        <v>444</v>
      </c>
      <c r="I51" s="4">
        <v>246779410684</v>
      </c>
      <c r="L51" s="4">
        <v>246779410684</v>
      </c>
      <c r="M51" s="7">
        <v>0</v>
      </c>
      <c r="N51" s="7">
        <v>604</v>
      </c>
    </row>
    <row r="52" spans="1:14" x14ac:dyDescent="0.35">
      <c r="A52" s="1" t="s">
        <v>426</v>
      </c>
      <c r="B52" s="7">
        <v>0</v>
      </c>
      <c r="C52" s="7">
        <v>201</v>
      </c>
      <c r="D52" s="1" t="s">
        <v>15</v>
      </c>
      <c r="E52" s="1" t="s">
        <v>15</v>
      </c>
      <c r="F52" s="1" t="s">
        <v>445</v>
      </c>
      <c r="G52" s="1" t="s">
        <v>21</v>
      </c>
      <c r="H52" s="1" t="s">
        <v>445</v>
      </c>
      <c r="I52" s="4">
        <v>246779410685</v>
      </c>
      <c r="L52" s="4">
        <v>246779410685</v>
      </c>
      <c r="M52" s="7">
        <v>0</v>
      </c>
      <c r="N52" s="7">
        <v>201</v>
      </c>
    </row>
    <row r="53" spans="1:14" x14ac:dyDescent="0.35">
      <c r="A53" s="1" t="s">
        <v>426</v>
      </c>
      <c r="B53" s="7">
        <v>0</v>
      </c>
      <c r="C53" s="7">
        <v>3622</v>
      </c>
      <c r="D53" s="1" t="s">
        <v>15</v>
      </c>
      <c r="E53" s="1" t="s">
        <v>15</v>
      </c>
      <c r="F53" s="1" t="s">
        <v>446</v>
      </c>
      <c r="G53" s="1" t="s">
        <v>21</v>
      </c>
      <c r="H53" s="1" t="s">
        <v>446</v>
      </c>
      <c r="I53" s="4">
        <v>246779410690</v>
      </c>
      <c r="L53" s="4">
        <v>246779410686</v>
      </c>
      <c r="M53" s="7">
        <v>0</v>
      </c>
      <c r="N53" s="7">
        <v>805</v>
      </c>
    </row>
    <row r="54" spans="1:14" x14ac:dyDescent="0.35">
      <c r="A54" s="1" t="s">
        <v>426</v>
      </c>
      <c r="B54" s="7">
        <v>0</v>
      </c>
      <c r="C54" s="7">
        <v>1207</v>
      </c>
      <c r="D54" s="1" t="s">
        <v>15</v>
      </c>
      <c r="E54" s="1" t="s">
        <v>15</v>
      </c>
      <c r="F54" s="1" t="s">
        <v>447</v>
      </c>
      <c r="G54" s="1" t="s">
        <v>21</v>
      </c>
      <c r="H54" s="1" t="s">
        <v>447</v>
      </c>
      <c r="I54" s="4">
        <v>246779410680</v>
      </c>
      <c r="L54" s="4">
        <v>246779410687</v>
      </c>
      <c r="M54" s="7">
        <v>0</v>
      </c>
      <c r="N54" s="7">
        <v>1797</v>
      </c>
    </row>
    <row r="55" spans="1:14" x14ac:dyDescent="0.35">
      <c r="A55" s="1" t="s">
        <v>426</v>
      </c>
      <c r="B55" s="7">
        <v>0</v>
      </c>
      <c r="C55" s="7">
        <v>201</v>
      </c>
      <c r="D55" s="1" t="s">
        <v>15</v>
      </c>
      <c r="E55" s="1" t="s">
        <v>15</v>
      </c>
      <c r="F55" s="1" t="s">
        <v>448</v>
      </c>
      <c r="G55" s="1" t="s">
        <v>21</v>
      </c>
      <c r="H55" s="1" t="s">
        <v>448</v>
      </c>
      <c r="I55" s="4">
        <v>246779410681</v>
      </c>
      <c r="L55" s="4">
        <v>246779410688</v>
      </c>
      <c r="M55" s="7">
        <v>0</v>
      </c>
      <c r="N55" s="7">
        <v>799</v>
      </c>
    </row>
    <row r="56" spans="1:14" x14ac:dyDescent="0.35">
      <c r="A56" s="1" t="s">
        <v>426</v>
      </c>
      <c r="B56" s="7">
        <v>0</v>
      </c>
      <c r="C56" s="7">
        <v>201</v>
      </c>
      <c r="D56" s="1" t="s">
        <v>15</v>
      </c>
      <c r="E56" s="1" t="s">
        <v>15</v>
      </c>
      <c r="F56" s="1" t="s">
        <v>449</v>
      </c>
      <c r="G56" s="1" t="s">
        <v>21</v>
      </c>
      <c r="H56" s="1" t="s">
        <v>449</v>
      </c>
      <c r="I56" s="4">
        <v>246779410682</v>
      </c>
      <c r="L56" s="4">
        <v>246779410689</v>
      </c>
      <c r="M56" s="7">
        <v>0</v>
      </c>
      <c r="N56" s="7">
        <v>403</v>
      </c>
    </row>
    <row r="57" spans="1:14" x14ac:dyDescent="0.35">
      <c r="A57" s="1" t="s">
        <v>426</v>
      </c>
      <c r="B57" s="7">
        <v>0</v>
      </c>
      <c r="C57" s="7">
        <v>201</v>
      </c>
      <c r="D57" s="1" t="s">
        <v>15</v>
      </c>
      <c r="E57" s="1" t="s">
        <v>15</v>
      </c>
      <c r="F57" s="1" t="s">
        <v>450</v>
      </c>
      <c r="G57" s="1" t="s">
        <v>21</v>
      </c>
      <c r="H57" s="1" t="s">
        <v>450</v>
      </c>
      <c r="I57" s="4">
        <v>246779410678</v>
      </c>
      <c r="L57" s="4">
        <v>246779410690</v>
      </c>
      <c r="M57" s="7">
        <v>0</v>
      </c>
      <c r="N57" s="7">
        <v>3622</v>
      </c>
    </row>
    <row r="58" spans="1:14" x14ac:dyDescent="0.35">
      <c r="A58" s="1" t="s">
        <v>426</v>
      </c>
      <c r="B58" s="7">
        <v>0</v>
      </c>
      <c r="C58" s="7">
        <v>805</v>
      </c>
      <c r="D58" s="1" t="s">
        <v>15</v>
      </c>
      <c r="E58" s="1" t="s">
        <v>15</v>
      </c>
      <c r="F58" s="1" t="s">
        <v>451</v>
      </c>
      <c r="G58" s="1" t="s">
        <v>21</v>
      </c>
      <c r="H58" s="1" t="s">
        <v>451</v>
      </c>
      <c r="I58" s="4">
        <v>246779410845</v>
      </c>
      <c r="L58" s="4">
        <v>246779410691</v>
      </c>
      <c r="M58" s="7">
        <v>0</v>
      </c>
      <c r="N58" s="7">
        <v>604</v>
      </c>
    </row>
    <row r="59" spans="1:14" x14ac:dyDescent="0.35">
      <c r="A59" s="1" t="s">
        <v>426</v>
      </c>
      <c r="B59" s="7">
        <v>0</v>
      </c>
      <c r="C59" s="7">
        <v>604</v>
      </c>
      <c r="D59" s="1" t="s">
        <v>15</v>
      </c>
      <c r="E59" s="1" t="s">
        <v>15</v>
      </c>
      <c r="F59" s="1" t="s">
        <v>452</v>
      </c>
      <c r="G59" s="1" t="s">
        <v>21</v>
      </c>
      <c r="H59" s="1" t="s">
        <v>452</v>
      </c>
      <c r="I59" s="4">
        <v>246779410841</v>
      </c>
      <c r="L59" s="4">
        <v>246779410692</v>
      </c>
      <c r="M59" s="7">
        <v>0</v>
      </c>
      <c r="N59" s="7">
        <v>805</v>
      </c>
    </row>
    <row r="60" spans="1:14" x14ac:dyDescent="0.35">
      <c r="A60" s="1" t="s">
        <v>426</v>
      </c>
      <c r="B60" s="7">
        <v>0</v>
      </c>
      <c r="C60" s="7">
        <v>403</v>
      </c>
      <c r="D60" s="1" t="s">
        <v>15</v>
      </c>
      <c r="E60" s="1" t="s">
        <v>15</v>
      </c>
      <c r="F60" s="1" t="s">
        <v>453</v>
      </c>
      <c r="G60" s="1" t="s">
        <v>21</v>
      </c>
      <c r="H60" s="1" t="s">
        <v>453</v>
      </c>
      <c r="I60" s="4">
        <v>246779410844</v>
      </c>
      <c r="L60" s="4">
        <v>246779410693</v>
      </c>
      <c r="M60" s="7">
        <v>0</v>
      </c>
      <c r="N60" s="7">
        <v>805</v>
      </c>
    </row>
    <row r="61" spans="1:14" x14ac:dyDescent="0.35">
      <c r="A61" s="1" t="s">
        <v>426</v>
      </c>
      <c r="B61" s="7">
        <v>0</v>
      </c>
      <c r="C61" s="7">
        <v>403</v>
      </c>
      <c r="D61" s="1" t="s">
        <v>15</v>
      </c>
      <c r="E61" s="1" t="s">
        <v>15</v>
      </c>
      <c r="F61" s="1" t="s">
        <v>454</v>
      </c>
      <c r="G61" s="1" t="s">
        <v>21</v>
      </c>
      <c r="H61" s="1" t="s">
        <v>454</v>
      </c>
      <c r="I61" s="4">
        <v>246779410842</v>
      </c>
      <c r="L61" s="4">
        <v>246779410755</v>
      </c>
      <c r="M61" s="7">
        <v>0</v>
      </c>
      <c r="N61" s="7">
        <v>3594</v>
      </c>
    </row>
    <row r="62" spans="1:14" x14ac:dyDescent="0.35">
      <c r="A62" s="1" t="s">
        <v>426</v>
      </c>
      <c r="B62" s="7">
        <v>0</v>
      </c>
      <c r="C62" s="7">
        <v>805</v>
      </c>
      <c r="D62" s="1" t="s">
        <v>15</v>
      </c>
      <c r="E62" s="1" t="s">
        <v>15</v>
      </c>
      <c r="F62" s="1" t="s">
        <v>455</v>
      </c>
      <c r="G62" s="1" t="s">
        <v>21</v>
      </c>
      <c r="H62" s="1" t="s">
        <v>455</v>
      </c>
      <c r="I62" s="4">
        <v>246779410692</v>
      </c>
      <c r="L62" s="4">
        <v>246779410756</v>
      </c>
      <c r="M62" s="7">
        <v>0</v>
      </c>
      <c r="N62" s="7">
        <v>403</v>
      </c>
    </row>
    <row r="63" spans="1:14" x14ac:dyDescent="0.35">
      <c r="A63" s="1" t="s">
        <v>426</v>
      </c>
      <c r="B63" s="7">
        <v>0</v>
      </c>
      <c r="C63" s="7">
        <v>201</v>
      </c>
      <c r="D63" s="1" t="s">
        <v>15</v>
      </c>
      <c r="E63" s="1" t="s">
        <v>15</v>
      </c>
      <c r="F63" s="1" t="s">
        <v>456</v>
      </c>
      <c r="G63" s="1" t="s">
        <v>21</v>
      </c>
      <c r="H63" s="1" t="s">
        <v>456</v>
      </c>
      <c r="I63" s="4">
        <v>246779410679</v>
      </c>
      <c r="L63" s="4">
        <v>246779410757</v>
      </c>
      <c r="M63" s="7">
        <v>0</v>
      </c>
      <c r="N63" s="7">
        <v>403</v>
      </c>
    </row>
    <row r="64" spans="1:14" x14ac:dyDescent="0.35">
      <c r="A64" s="1" t="s">
        <v>457</v>
      </c>
      <c r="B64" s="7">
        <v>0</v>
      </c>
      <c r="C64" s="7">
        <v>2406</v>
      </c>
      <c r="D64" s="1" t="s">
        <v>15</v>
      </c>
      <c r="E64" s="1" t="s">
        <v>15</v>
      </c>
      <c r="F64" s="1" t="s">
        <v>458</v>
      </c>
      <c r="G64" s="1" t="s">
        <v>31</v>
      </c>
      <c r="H64" s="1" t="s">
        <v>458</v>
      </c>
      <c r="I64" s="4">
        <v>246779411128</v>
      </c>
      <c r="L64" s="4">
        <v>246779410758</v>
      </c>
      <c r="M64" s="7">
        <v>0</v>
      </c>
      <c r="N64" s="7">
        <v>3219</v>
      </c>
    </row>
    <row r="65" spans="1:14" x14ac:dyDescent="0.35">
      <c r="A65" s="1" t="s">
        <v>457</v>
      </c>
      <c r="B65" s="7">
        <v>0</v>
      </c>
      <c r="C65" s="7">
        <v>1882</v>
      </c>
      <c r="D65" s="1" t="s">
        <v>15</v>
      </c>
      <c r="E65" s="1" t="s">
        <v>15</v>
      </c>
      <c r="F65" s="1" t="s">
        <v>459</v>
      </c>
      <c r="G65" s="1" t="s">
        <v>88</v>
      </c>
      <c r="H65" s="1" t="s">
        <v>459</v>
      </c>
      <c r="I65" s="4">
        <v>246779410970</v>
      </c>
      <c r="L65" s="4">
        <v>246779410759</v>
      </c>
      <c r="M65" s="7">
        <v>0</v>
      </c>
      <c r="N65" s="7">
        <v>604</v>
      </c>
    </row>
    <row r="66" spans="1:14" x14ac:dyDescent="0.35">
      <c r="A66" s="1" t="s">
        <v>457</v>
      </c>
      <c r="B66" s="7">
        <v>0</v>
      </c>
      <c r="C66" s="7">
        <v>36538</v>
      </c>
      <c r="D66" s="1" t="s">
        <v>15</v>
      </c>
      <c r="E66" s="1" t="s">
        <v>15</v>
      </c>
      <c r="F66" s="1" t="s">
        <v>460</v>
      </c>
      <c r="G66" s="1" t="s">
        <v>66</v>
      </c>
      <c r="H66" s="1" t="s">
        <v>460</v>
      </c>
      <c r="I66" s="4">
        <v>246779410971</v>
      </c>
      <c r="L66" s="4">
        <v>246779410760</v>
      </c>
      <c r="M66" s="7">
        <v>0</v>
      </c>
      <c r="N66" s="7">
        <v>1006</v>
      </c>
    </row>
    <row r="67" spans="1:14" x14ac:dyDescent="0.35">
      <c r="A67" s="1" t="s">
        <v>457</v>
      </c>
      <c r="B67" s="7">
        <v>0</v>
      </c>
      <c r="C67" s="7">
        <v>401</v>
      </c>
      <c r="D67" s="1" t="s">
        <v>15</v>
      </c>
      <c r="E67" s="1" t="s">
        <v>15</v>
      </c>
      <c r="F67" s="1" t="s">
        <v>461</v>
      </c>
      <c r="G67" s="1" t="s">
        <v>31</v>
      </c>
      <c r="H67" s="1" t="s">
        <v>461</v>
      </c>
      <c r="I67" s="4">
        <v>246779410974</v>
      </c>
      <c r="L67" s="4">
        <v>246779410761</v>
      </c>
      <c r="M67" s="7">
        <v>0</v>
      </c>
      <c r="N67" s="7">
        <v>1207</v>
      </c>
    </row>
    <row r="68" spans="1:14" x14ac:dyDescent="0.35">
      <c r="A68" s="1" t="s">
        <v>457</v>
      </c>
      <c r="B68" s="7">
        <v>0</v>
      </c>
      <c r="C68" s="7">
        <v>1481</v>
      </c>
      <c r="D68" s="1" t="s">
        <v>15</v>
      </c>
      <c r="E68" s="1" t="s">
        <v>15</v>
      </c>
      <c r="F68" s="1" t="s">
        <v>462</v>
      </c>
      <c r="G68" s="1" t="s">
        <v>88</v>
      </c>
      <c r="H68" s="1" t="s">
        <v>462</v>
      </c>
      <c r="I68" s="4">
        <v>246779410972</v>
      </c>
      <c r="L68" s="4">
        <v>246779410762</v>
      </c>
      <c r="M68" s="7">
        <v>0</v>
      </c>
      <c r="N68" s="7">
        <v>403</v>
      </c>
    </row>
    <row r="69" spans="1:14" x14ac:dyDescent="0.35">
      <c r="A69" s="1" t="s">
        <v>457</v>
      </c>
      <c r="B69" s="7">
        <v>0</v>
      </c>
      <c r="C69" s="7">
        <v>2884</v>
      </c>
      <c r="D69" s="1" t="s">
        <v>15</v>
      </c>
      <c r="E69" s="1" t="s">
        <v>15</v>
      </c>
      <c r="F69" s="1" t="s">
        <v>463</v>
      </c>
      <c r="G69" s="1" t="s">
        <v>88</v>
      </c>
      <c r="H69" s="1" t="s">
        <v>463</v>
      </c>
      <c r="I69" s="4">
        <v>246779410973</v>
      </c>
      <c r="L69" s="4">
        <v>246779410763</v>
      </c>
      <c r="M69" s="7">
        <v>0</v>
      </c>
      <c r="N69" s="7">
        <v>201</v>
      </c>
    </row>
    <row r="70" spans="1:14" x14ac:dyDescent="0.35">
      <c r="A70" s="1" t="s">
        <v>457</v>
      </c>
      <c r="B70" s="7">
        <v>0</v>
      </c>
      <c r="C70" s="7">
        <v>357094</v>
      </c>
      <c r="D70" s="1" t="s">
        <v>15</v>
      </c>
      <c r="E70" s="1" t="s">
        <v>15</v>
      </c>
      <c r="F70" s="1" t="s">
        <v>464</v>
      </c>
      <c r="G70" s="1" t="s">
        <v>36</v>
      </c>
      <c r="H70" s="1" t="s">
        <v>464</v>
      </c>
      <c r="I70" s="4">
        <v>246779410896</v>
      </c>
      <c r="L70" s="4">
        <v>246779410764</v>
      </c>
      <c r="M70" s="7">
        <v>0</v>
      </c>
      <c r="N70" s="7">
        <v>201</v>
      </c>
    </row>
    <row r="71" spans="1:14" x14ac:dyDescent="0.35">
      <c r="A71" s="1" t="s">
        <v>457</v>
      </c>
      <c r="B71" s="7">
        <v>0</v>
      </c>
      <c r="C71" s="7">
        <v>241385</v>
      </c>
      <c r="D71" s="1" t="s">
        <v>15</v>
      </c>
      <c r="E71" s="1" t="s">
        <v>15</v>
      </c>
      <c r="F71" s="1" t="s">
        <v>465</v>
      </c>
      <c r="G71" s="1" t="s">
        <v>36</v>
      </c>
      <c r="H71" s="1" t="s">
        <v>465</v>
      </c>
      <c r="I71" s="4">
        <v>246779410874</v>
      </c>
      <c r="L71" s="4">
        <v>246779410765</v>
      </c>
      <c r="M71" s="7">
        <v>0</v>
      </c>
      <c r="N71" s="7">
        <v>201</v>
      </c>
    </row>
    <row r="72" spans="1:14" x14ac:dyDescent="0.35">
      <c r="A72" s="1" t="s">
        <v>457</v>
      </c>
      <c r="B72" s="7">
        <v>0</v>
      </c>
      <c r="C72" s="7">
        <v>2004</v>
      </c>
      <c r="D72" s="1" t="s">
        <v>15</v>
      </c>
      <c r="E72" s="1" t="s">
        <v>15</v>
      </c>
      <c r="F72" s="1" t="s">
        <v>466</v>
      </c>
      <c r="G72" s="1" t="s">
        <v>31</v>
      </c>
      <c r="H72" s="1" t="s">
        <v>466</v>
      </c>
      <c r="I72" s="4">
        <v>246779411189</v>
      </c>
      <c r="L72" s="4">
        <v>246779410766</v>
      </c>
      <c r="M72" s="7">
        <v>0</v>
      </c>
      <c r="N72" s="7">
        <v>403</v>
      </c>
    </row>
    <row r="73" spans="1:14" x14ac:dyDescent="0.35">
      <c r="A73" s="1" t="s">
        <v>457</v>
      </c>
      <c r="B73" s="7">
        <v>0</v>
      </c>
      <c r="C73" s="7">
        <v>2004</v>
      </c>
      <c r="D73" s="1" t="s">
        <v>15</v>
      </c>
      <c r="E73" s="1" t="s">
        <v>15</v>
      </c>
      <c r="F73" s="1" t="s">
        <v>467</v>
      </c>
      <c r="G73" s="1" t="s">
        <v>31</v>
      </c>
      <c r="H73" s="1" t="s">
        <v>467</v>
      </c>
      <c r="I73" s="4">
        <v>246779411188</v>
      </c>
      <c r="L73" s="4">
        <v>246779410841</v>
      </c>
      <c r="M73" s="7">
        <v>0</v>
      </c>
      <c r="N73" s="7">
        <v>604</v>
      </c>
    </row>
    <row r="74" spans="1:14" x14ac:dyDescent="0.35">
      <c r="A74" s="1" t="s">
        <v>457</v>
      </c>
      <c r="B74" s="7">
        <v>0</v>
      </c>
      <c r="C74" s="7">
        <v>2004</v>
      </c>
      <c r="D74" s="1" t="s">
        <v>15</v>
      </c>
      <c r="E74" s="1" t="s">
        <v>15</v>
      </c>
      <c r="F74" s="1" t="s">
        <v>468</v>
      </c>
      <c r="G74" s="1" t="s">
        <v>31</v>
      </c>
      <c r="H74" s="1" t="s">
        <v>468</v>
      </c>
      <c r="I74" s="4">
        <v>246779411187</v>
      </c>
      <c r="L74" s="4">
        <v>246779410842</v>
      </c>
      <c r="M74" s="7">
        <v>0</v>
      </c>
      <c r="N74" s="7">
        <v>403</v>
      </c>
    </row>
    <row r="75" spans="1:14" x14ac:dyDescent="0.35">
      <c r="A75" s="1" t="s">
        <v>457</v>
      </c>
      <c r="B75" s="7">
        <v>0</v>
      </c>
      <c r="C75" s="7">
        <v>2004</v>
      </c>
      <c r="D75" s="1" t="s">
        <v>15</v>
      </c>
      <c r="E75" s="1" t="s">
        <v>15</v>
      </c>
      <c r="F75" s="1" t="s">
        <v>469</v>
      </c>
      <c r="G75" s="1" t="s">
        <v>31</v>
      </c>
      <c r="H75" s="1" t="s">
        <v>469</v>
      </c>
      <c r="I75" s="4">
        <v>246779411186</v>
      </c>
      <c r="L75" s="4">
        <v>246779410843</v>
      </c>
      <c r="M75" s="7">
        <v>0</v>
      </c>
      <c r="N75" s="7">
        <v>403</v>
      </c>
    </row>
    <row r="76" spans="1:14" x14ac:dyDescent="0.35">
      <c r="A76" s="1" t="s">
        <v>457</v>
      </c>
      <c r="B76" s="7">
        <v>0</v>
      </c>
      <c r="C76" s="7">
        <v>2004</v>
      </c>
      <c r="D76" s="1" t="s">
        <v>15</v>
      </c>
      <c r="E76" s="1" t="s">
        <v>15</v>
      </c>
      <c r="F76" s="1" t="s">
        <v>470</v>
      </c>
      <c r="G76" s="1" t="s">
        <v>31</v>
      </c>
      <c r="H76" s="1" t="s">
        <v>470</v>
      </c>
      <c r="I76" s="4">
        <v>246779411185</v>
      </c>
      <c r="L76" s="4">
        <v>246779410844</v>
      </c>
      <c r="M76" s="7">
        <v>0</v>
      </c>
      <c r="N76" s="7">
        <v>403</v>
      </c>
    </row>
    <row r="77" spans="1:14" x14ac:dyDescent="0.35">
      <c r="A77" s="1" t="s">
        <v>471</v>
      </c>
      <c r="B77" s="7">
        <v>0</v>
      </c>
      <c r="C77" s="7">
        <v>1842</v>
      </c>
      <c r="D77" s="1" t="s">
        <v>15</v>
      </c>
      <c r="E77" s="1" t="s">
        <v>15</v>
      </c>
      <c r="F77" s="1" t="s">
        <v>472</v>
      </c>
      <c r="G77" s="1" t="s">
        <v>17</v>
      </c>
      <c r="H77" s="1" t="s">
        <v>472</v>
      </c>
      <c r="I77" s="4">
        <v>246779411758</v>
      </c>
      <c r="L77" s="4">
        <v>246779410845</v>
      </c>
      <c r="M77" s="7">
        <v>0</v>
      </c>
      <c r="N77" s="7">
        <v>805</v>
      </c>
    </row>
    <row r="78" spans="1:14" x14ac:dyDescent="0.35">
      <c r="A78" s="1" t="s">
        <v>471</v>
      </c>
      <c r="B78" s="7">
        <v>0</v>
      </c>
      <c r="C78" s="7">
        <v>576</v>
      </c>
      <c r="D78" s="1" t="s">
        <v>15</v>
      </c>
      <c r="E78" s="1" t="s">
        <v>15</v>
      </c>
      <c r="F78" s="1" t="s">
        <v>473</v>
      </c>
      <c r="G78" s="1" t="s">
        <v>17</v>
      </c>
      <c r="H78" s="1" t="s">
        <v>473</v>
      </c>
      <c r="I78" s="4">
        <v>246779411933</v>
      </c>
      <c r="L78" s="4">
        <v>246779410846</v>
      </c>
      <c r="M78" s="7">
        <v>0</v>
      </c>
      <c r="N78" s="7">
        <v>381</v>
      </c>
    </row>
    <row r="79" spans="1:14" x14ac:dyDescent="0.35">
      <c r="A79" s="1" t="s">
        <v>471</v>
      </c>
      <c r="B79" s="7">
        <v>0</v>
      </c>
      <c r="C79" s="7">
        <v>336</v>
      </c>
      <c r="D79" s="1" t="s">
        <v>15</v>
      </c>
      <c r="E79" s="1" t="s">
        <v>15</v>
      </c>
      <c r="F79" s="1" t="s">
        <v>474</v>
      </c>
      <c r="G79" s="1" t="s">
        <v>17</v>
      </c>
      <c r="H79" s="1" t="s">
        <v>474</v>
      </c>
      <c r="I79" s="4">
        <v>246779411934</v>
      </c>
      <c r="L79" s="4">
        <v>246779410847</v>
      </c>
      <c r="M79" s="7">
        <v>0</v>
      </c>
      <c r="N79" s="7">
        <v>1528</v>
      </c>
    </row>
    <row r="80" spans="1:14" x14ac:dyDescent="0.35">
      <c r="A80" s="1" t="s">
        <v>471</v>
      </c>
      <c r="B80" s="7">
        <v>0</v>
      </c>
      <c r="C80" s="7">
        <v>576</v>
      </c>
      <c r="D80" s="1" t="s">
        <v>15</v>
      </c>
      <c r="E80" s="1" t="s">
        <v>15</v>
      </c>
      <c r="F80" s="1" t="s">
        <v>475</v>
      </c>
      <c r="G80" s="1" t="s">
        <v>17</v>
      </c>
      <c r="H80" s="1" t="s">
        <v>475</v>
      </c>
      <c r="I80" s="4">
        <v>246779411935</v>
      </c>
      <c r="L80" s="4">
        <v>246779410848</v>
      </c>
      <c r="M80" s="7">
        <v>0</v>
      </c>
      <c r="N80" s="7">
        <v>200</v>
      </c>
    </row>
    <row r="81" spans="1:14" x14ac:dyDescent="0.35">
      <c r="A81" s="1" t="s">
        <v>476</v>
      </c>
      <c r="B81" s="7">
        <v>0</v>
      </c>
      <c r="C81" s="7">
        <v>35488</v>
      </c>
      <c r="D81" s="1" t="s">
        <v>15</v>
      </c>
      <c r="E81" s="1" t="s">
        <v>15</v>
      </c>
      <c r="F81" s="1" t="s">
        <v>477</v>
      </c>
      <c r="G81" s="1" t="s">
        <v>43</v>
      </c>
      <c r="H81" s="1" t="s">
        <v>477</v>
      </c>
      <c r="I81" s="4">
        <v>246779413000</v>
      </c>
      <c r="L81" s="4">
        <v>246779410849</v>
      </c>
      <c r="M81" s="7">
        <v>0</v>
      </c>
      <c r="N81" s="7">
        <v>3436</v>
      </c>
    </row>
    <row r="82" spans="1:14" x14ac:dyDescent="0.35">
      <c r="A82" s="1" t="s">
        <v>478</v>
      </c>
      <c r="B82" s="7">
        <v>0</v>
      </c>
      <c r="C82" s="7">
        <v>1268</v>
      </c>
      <c r="D82" s="1" t="s">
        <v>15</v>
      </c>
      <c r="E82" s="1" t="s">
        <v>15</v>
      </c>
      <c r="F82" s="1" t="s">
        <v>479</v>
      </c>
      <c r="G82" s="1" t="s">
        <v>55</v>
      </c>
      <c r="H82" s="1" t="s">
        <v>479</v>
      </c>
      <c r="I82" s="4">
        <v>246779414142</v>
      </c>
      <c r="L82" s="4">
        <v>246779410850</v>
      </c>
      <c r="M82" s="7">
        <v>0</v>
      </c>
      <c r="N82" s="7">
        <v>763</v>
      </c>
    </row>
    <row r="83" spans="1:14" x14ac:dyDescent="0.35">
      <c r="A83" s="1" t="s">
        <v>478</v>
      </c>
      <c r="B83" s="7">
        <v>0</v>
      </c>
      <c r="C83" s="7">
        <v>1408</v>
      </c>
      <c r="D83" s="1" t="s">
        <v>15</v>
      </c>
      <c r="E83" s="1" t="s">
        <v>15</v>
      </c>
      <c r="F83" s="1" t="s">
        <v>480</v>
      </c>
      <c r="G83" s="1" t="s">
        <v>71</v>
      </c>
      <c r="H83" s="1" t="s">
        <v>480</v>
      </c>
      <c r="I83" s="4">
        <v>246779411051</v>
      </c>
      <c r="L83" s="4">
        <v>246779410851</v>
      </c>
      <c r="M83" s="7">
        <v>0</v>
      </c>
      <c r="N83" s="7">
        <v>381</v>
      </c>
    </row>
    <row r="84" spans="1:14" x14ac:dyDescent="0.35">
      <c r="A84" s="1" t="s">
        <v>478</v>
      </c>
      <c r="B84" s="7">
        <v>0</v>
      </c>
      <c r="C84" s="7">
        <v>381</v>
      </c>
      <c r="D84" s="1" t="s">
        <v>15</v>
      </c>
      <c r="E84" s="1" t="s">
        <v>15</v>
      </c>
      <c r="F84" s="1" t="s">
        <v>481</v>
      </c>
      <c r="G84" s="1" t="s">
        <v>31</v>
      </c>
      <c r="H84" s="1" t="s">
        <v>481</v>
      </c>
      <c r="I84" s="4">
        <v>246779411052</v>
      </c>
      <c r="L84" s="4">
        <v>246779410852</v>
      </c>
      <c r="M84" s="7">
        <v>0</v>
      </c>
      <c r="N84" s="7">
        <v>381</v>
      </c>
    </row>
    <row r="85" spans="1:14" x14ac:dyDescent="0.35">
      <c r="A85" s="1" t="s">
        <v>478</v>
      </c>
      <c r="B85" s="7">
        <v>0</v>
      </c>
      <c r="C85" s="7">
        <v>1981</v>
      </c>
      <c r="D85" s="1" t="s">
        <v>15</v>
      </c>
      <c r="E85" s="1" t="s">
        <v>15</v>
      </c>
      <c r="F85" s="1" t="s">
        <v>482</v>
      </c>
      <c r="G85" s="1" t="s">
        <v>71</v>
      </c>
      <c r="H85" s="1" t="s">
        <v>482</v>
      </c>
      <c r="I85" s="4">
        <v>246779411053</v>
      </c>
      <c r="L85" s="4">
        <v>246779410853</v>
      </c>
      <c r="M85" s="7">
        <v>0</v>
      </c>
      <c r="N85" s="7">
        <v>190</v>
      </c>
    </row>
    <row r="86" spans="1:14" x14ac:dyDescent="0.35">
      <c r="A86" s="1" t="s">
        <v>478</v>
      </c>
      <c r="B86" s="7">
        <v>0</v>
      </c>
      <c r="C86" s="7">
        <v>1907</v>
      </c>
      <c r="D86" s="1" t="s">
        <v>15</v>
      </c>
      <c r="E86" s="1" t="s">
        <v>15</v>
      </c>
      <c r="F86" s="1" t="s">
        <v>483</v>
      </c>
      <c r="G86" s="1" t="s">
        <v>31</v>
      </c>
      <c r="H86" s="1" t="s">
        <v>483</v>
      </c>
      <c r="I86" s="4">
        <v>246779411050</v>
      </c>
      <c r="L86" s="4">
        <v>246779410854</v>
      </c>
      <c r="M86" s="7">
        <v>0</v>
      </c>
      <c r="N86" s="7">
        <v>1145</v>
      </c>
    </row>
    <row r="87" spans="1:14" x14ac:dyDescent="0.35">
      <c r="A87" s="1" t="s">
        <v>478</v>
      </c>
      <c r="B87" s="7">
        <v>0</v>
      </c>
      <c r="C87" s="7">
        <v>596</v>
      </c>
      <c r="D87" s="1" t="s">
        <v>15</v>
      </c>
      <c r="E87" s="1" t="s">
        <v>15</v>
      </c>
      <c r="F87" s="1" t="s">
        <v>484</v>
      </c>
      <c r="G87" s="1" t="s">
        <v>21</v>
      </c>
      <c r="H87" s="1" t="s">
        <v>484</v>
      </c>
      <c r="I87" s="4">
        <v>246779413782</v>
      </c>
      <c r="L87" s="4">
        <v>246779410855</v>
      </c>
      <c r="M87" s="7">
        <v>0</v>
      </c>
      <c r="N87" s="7">
        <v>1527</v>
      </c>
    </row>
    <row r="88" spans="1:14" x14ac:dyDescent="0.35">
      <c r="A88" s="1" t="s">
        <v>478</v>
      </c>
      <c r="B88" s="7">
        <v>0</v>
      </c>
      <c r="C88" s="7">
        <v>3578</v>
      </c>
      <c r="D88" s="1" t="s">
        <v>15</v>
      </c>
      <c r="E88" s="1" t="s">
        <v>15</v>
      </c>
      <c r="F88" s="1" t="s">
        <v>485</v>
      </c>
      <c r="G88" s="1" t="s">
        <v>21</v>
      </c>
      <c r="H88" s="1" t="s">
        <v>485</v>
      </c>
      <c r="I88" s="4">
        <v>246779413627</v>
      </c>
      <c r="L88" s="4">
        <v>246779410874</v>
      </c>
      <c r="M88" s="7">
        <v>0</v>
      </c>
      <c r="N88" s="7">
        <v>241385</v>
      </c>
    </row>
    <row r="89" spans="1:14" x14ac:dyDescent="0.35">
      <c r="A89" s="1" t="s">
        <v>478</v>
      </c>
      <c r="B89" s="7">
        <v>0</v>
      </c>
      <c r="C89" s="7">
        <v>198</v>
      </c>
      <c r="D89" s="1" t="s">
        <v>15</v>
      </c>
      <c r="E89" s="1" t="s">
        <v>15</v>
      </c>
      <c r="F89" s="1" t="s">
        <v>486</v>
      </c>
      <c r="G89" s="1" t="s">
        <v>21</v>
      </c>
      <c r="H89" s="1" t="s">
        <v>486</v>
      </c>
      <c r="I89" s="4">
        <v>246779413628</v>
      </c>
      <c r="L89" s="4">
        <v>246779410896</v>
      </c>
      <c r="M89" s="7">
        <v>0</v>
      </c>
      <c r="N89" s="7">
        <v>357094</v>
      </c>
    </row>
    <row r="90" spans="1:14" x14ac:dyDescent="0.35">
      <c r="A90" s="1" t="s">
        <v>478</v>
      </c>
      <c r="B90" s="7">
        <v>0</v>
      </c>
      <c r="C90" s="7">
        <v>397</v>
      </c>
      <c r="D90" s="1" t="s">
        <v>15</v>
      </c>
      <c r="E90" s="1" t="s">
        <v>15</v>
      </c>
      <c r="F90" s="1" t="s">
        <v>487</v>
      </c>
      <c r="G90" s="1" t="s">
        <v>21</v>
      </c>
      <c r="H90" s="1" t="s">
        <v>487</v>
      </c>
      <c r="I90" s="4">
        <v>246779413629</v>
      </c>
      <c r="L90" s="4">
        <v>246779410970</v>
      </c>
      <c r="M90" s="7">
        <v>0</v>
      </c>
      <c r="N90" s="7">
        <v>1882</v>
      </c>
    </row>
    <row r="91" spans="1:14" x14ac:dyDescent="0.35">
      <c r="A91" s="1" t="s">
        <v>478</v>
      </c>
      <c r="B91" s="7">
        <v>0</v>
      </c>
      <c r="C91" s="7">
        <v>198</v>
      </c>
      <c r="D91" s="1" t="s">
        <v>15</v>
      </c>
      <c r="E91" s="1" t="s">
        <v>15</v>
      </c>
      <c r="F91" s="1" t="s">
        <v>488</v>
      </c>
      <c r="G91" s="1" t="s">
        <v>21</v>
      </c>
      <c r="H91" s="1" t="s">
        <v>488</v>
      </c>
      <c r="I91" s="4">
        <v>246779413690</v>
      </c>
      <c r="L91" s="4">
        <v>246779410971</v>
      </c>
      <c r="M91" s="7">
        <v>0</v>
      </c>
      <c r="N91" s="7">
        <v>36538</v>
      </c>
    </row>
    <row r="92" spans="1:14" x14ac:dyDescent="0.35">
      <c r="A92" s="1" t="s">
        <v>478</v>
      </c>
      <c r="B92" s="7">
        <v>0</v>
      </c>
      <c r="C92" s="7">
        <v>7156</v>
      </c>
      <c r="D92" s="1" t="s">
        <v>15</v>
      </c>
      <c r="E92" s="1" t="s">
        <v>15</v>
      </c>
      <c r="F92" s="1" t="s">
        <v>489</v>
      </c>
      <c r="G92" s="1" t="s">
        <v>21</v>
      </c>
      <c r="H92" s="1" t="s">
        <v>489</v>
      </c>
      <c r="I92" s="4">
        <v>246779413626</v>
      </c>
      <c r="L92" s="4">
        <v>246779410972</v>
      </c>
      <c r="M92" s="7">
        <v>0</v>
      </c>
      <c r="N92" s="7">
        <v>1481</v>
      </c>
    </row>
    <row r="93" spans="1:14" x14ac:dyDescent="0.35">
      <c r="A93" s="1" t="s">
        <v>478</v>
      </c>
      <c r="B93" s="7">
        <v>0</v>
      </c>
      <c r="C93" s="7">
        <v>198</v>
      </c>
      <c r="D93" s="1" t="s">
        <v>15</v>
      </c>
      <c r="E93" s="1" t="s">
        <v>15</v>
      </c>
      <c r="F93" s="1" t="s">
        <v>490</v>
      </c>
      <c r="G93" s="1" t="s">
        <v>21</v>
      </c>
      <c r="H93" s="1" t="s">
        <v>490</v>
      </c>
      <c r="I93" s="4">
        <v>246779413625</v>
      </c>
      <c r="L93" s="4">
        <v>246779410973</v>
      </c>
      <c r="M93" s="7">
        <v>0</v>
      </c>
      <c r="N93" s="7">
        <v>2884</v>
      </c>
    </row>
    <row r="94" spans="1:14" x14ac:dyDescent="0.35">
      <c r="A94" s="1" t="s">
        <v>478</v>
      </c>
      <c r="B94" s="7">
        <v>0</v>
      </c>
      <c r="C94" s="7">
        <v>1590</v>
      </c>
      <c r="D94" s="1" t="s">
        <v>15</v>
      </c>
      <c r="E94" s="1" t="s">
        <v>15</v>
      </c>
      <c r="F94" s="1" t="s">
        <v>491</v>
      </c>
      <c r="G94" s="1" t="s">
        <v>21</v>
      </c>
      <c r="H94" s="1" t="s">
        <v>491</v>
      </c>
      <c r="I94" s="4">
        <v>246779413622</v>
      </c>
      <c r="L94" s="4">
        <v>246779410974</v>
      </c>
      <c r="M94" s="7">
        <v>0</v>
      </c>
      <c r="N94" s="7">
        <v>401</v>
      </c>
    </row>
    <row r="95" spans="1:14" x14ac:dyDescent="0.35">
      <c r="A95" s="1" t="s">
        <v>478</v>
      </c>
      <c r="B95" s="7">
        <v>0</v>
      </c>
      <c r="C95" s="7">
        <v>198</v>
      </c>
      <c r="D95" s="1" t="s">
        <v>15</v>
      </c>
      <c r="E95" s="1" t="s">
        <v>15</v>
      </c>
      <c r="F95" s="1" t="s">
        <v>492</v>
      </c>
      <c r="G95" s="1" t="s">
        <v>21</v>
      </c>
      <c r="H95" s="1" t="s">
        <v>492</v>
      </c>
      <c r="I95" s="4">
        <v>246779413623</v>
      </c>
      <c r="L95" s="4">
        <v>246779411050</v>
      </c>
      <c r="M95" s="7">
        <v>0</v>
      </c>
      <c r="N95" s="7">
        <v>1907</v>
      </c>
    </row>
    <row r="96" spans="1:14" x14ac:dyDescent="0.35">
      <c r="A96" s="1" t="s">
        <v>478</v>
      </c>
      <c r="B96" s="7">
        <v>0</v>
      </c>
      <c r="C96" s="7">
        <v>596</v>
      </c>
      <c r="D96" s="1" t="s">
        <v>15</v>
      </c>
      <c r="E96" s="1" t="s">
        <v>15</v>
      </c>
      <c r="F96" s="1" t="s">
        <v>493</v>
      </c>
      <c r="G96" s="1" t="s">
        <v>21</v>
      </c>
      <c r="H96" s="1" t="s">
        <v>493</v>
      </c>
      <c r="I96" s="4">
        <v>246779413624</v>
      </c>
      <c r="L96" s="4">
        <v>246779411051</v>
      </c>
      <c r="M96" s="7">
        <v>0</v>
      </c>
      <c r="N96" s="7">
        <v>1408</v>
      </c>
    </row>
    <row r="97" spans="1:14" x14ac:dyDescent="0.35">
      <c r="A97" s="1" t="s">
        <v>494</v>
      </c>
      <c r="B97" s="7">
        <v>0</v>
      </c>
      <c r="C97" s="7">
        <v>4387</v>
      </c>
      <c r="D97" s="1" t="s">
        <v>15</v>
      </c>
      <c r="E97" s="1" t="s">
        <v>15</v>
      </c>
      <c r="F97" s="1" t="s">
        <v>495</v>
      </c>
      <c r="G97" s="1" t="s">
        <v>31</v>
      </c>
      <c r="H97" s="1" t="s">
        <v>495</v>
      </c>
      <c r="I97" s="4">
        <v>246779411054</v>
      </c>
      <c r="L97" s="4">
        <v>246779411052</v>
      </c>
      <c r="M97" s="7">
        <v>0</v>
      </c>
      <c r="N97" s="7">
        <v>381</v>
      </c>
    </row>
    <row r="98" spans="1:14" x14ac:dyDescent="0.35">
      <c r="A98" s="1" t="s">
        <v>494</v>
      </c>
      <c r="B98" s="7">
        <v>0</v>
      </c>
      <c r="C98" s="7">
        <v>1408</v>
      </c>
      <c r="D98" s="1" t="s">
        <v>15</v>
      </c>
      <c r="E98" s="1" t="s">
        <v>15</v>
      </c>
      <c r="F98" s="1" t="s">
        <v>496</v>
      </c>
      <c r="G98" s="1" t="s">
        <v>88</v>
      </c>
      <c r="H98" s="1" t="s">
        <v>496</v>
      </c>
      <c r="I98" s="4">
        <v>246779411055</v>
      </c>
      <c r="L98" s="4">
        <v>246779411053</v>
      </c>
      <c r="M98" s="7">
        <v>0</v>
      </c>
      <c r="N98" s="7">
        <v>1981</v>
      </c>
    </row>
    <row r="99" spans="1:14" x14ac:dyDescent="0.35">
      <c r="A99" s="1" t="s">
        <v>494</v>
      </c>
      <c r="B99" s="7">
        <v>0</v>
      </c>
      <c r="C99" s="7">
        <v>3434</v>
      </c>
      <c r="D99" s="1" t="s">
        <v>15</v>
      </c>
      <c r="E99" s="1" t="s">
        <v>15</v>
      </c>
      <c r="F99" s="1" t="s">
        <v>497</v>
      </c>
      <c r="G99" s="1" t="s">
        <v>31</v>
      </c>
      <c r="H99" s="1" t="s">
        <v>497</v>
      </c>
      <c r="I99" s="4">
        <v>246779411248</v>
      </c>
      <c r="L99" s="4">
        <v>246779411054</v>
      </c>
      <c r="M99" s="7">
        <v>0</v>
      </c>
      <c r="N99" s="7">
        <v>4387</v>
      </c>
    </row>
    <row r="100" spans="1:14" x14ac:dyDescent="0.35">
      <c r="A100" s="1" t="s">
        <v>494</v>
      </c>
      <c r="B100" s="7">
        <v>0</v>
      </c>
      <c r="C100" s="7">
        <v>13737</v>
      </c>
      <c r="D100" s="1" t="s">
        <v>15</v>
      </c>
      <c r="E100" s="1" t="s">
        <v>15</v>
      </c>
      <c r="F100" s="1" t="s">
        <v>498</v>
      </c>
      <c r="G100" s="1" t="s">
        <v>31</v>
      </c>
      <c r="H100" s="1" t="s">
        <v>498</v>
      </c>
      <c r="I100" s="4">
        <v>246779411249</v>
      </c>
      <c r="L100" s="4">
        <v>246779411055</v>
      </c>
      <c r="M100" s="7">
        <v>0</v>
      </c>
      <c r="N100" s="7">
        <v>1408</v>
      </c>
    </row>
    <row r="101" spans="1:14" x14ac:dyDescent="0.35">
      <c r="A101" s="1" t="s">
        <v>494</v>
      </c>
      <c r="B101" s="7">
        <v>0</v>
      </c>
      <c r="C101" s="7">
        <v>1599</v>
      </c>
      <c r="D101" s="1" t="s">
        <v>15</v>
      </c>
      <c r="E101" s="1" t="s">
        <v>15</v>
      </c>
      <c r="F101" s="1" t="s">
        <v>499</v>
      </c>
      <c r="G101" s="1" t="s">
        <v>88</v>
      </c>
      <c r="H101" s="1" t="s">
        <v>499</v>
      </c>
      <c r="I101" s="4">
        <v>246779411250</v>
      </c>
      <c r="L101" s="4">
        <v>246779411128</v>
      </c>
      <c r="M101" s="7">
        <v>0</v>
      </c>
      <c r="N101" s="7">
        <v>2406</v>
      </c>
    </row>
    <row r="102" spans="1:14" x14ac:dyDescent="0.35">
      <c r="A102" s="1" t="s">
        <v>494</v>
      </c>
      <c r="B102" s="7">
        <v>0</v>
      </c>
      <c r="C102" s="7">
        <v>1599</v>
      </c>
      <c r="D102" s="1" t="s">
        <v>15</v>
      </c>
      <c r="E102" s="1" t="s">
        <v>15</v>
      </c>
      <c r="F102" s="1" t="s">
        <v>500</v>
      </c>
      <c r="G102" s="1" t="s">
        <v>88</v>
      </c>
      <c r="H102" s="1" t="s">
        <v>500</v>
      </c>
      <c r="I102" s="4">
        <v>246779411251</v>
      </c>
      <c r="L102" s="4">
        <v>246779411185</v>
      </c>
      <c r="M102" s="7">
        <v>0</v>
      </c>
      <c r="N102" s="7">
        <v>2004</v>
      </c>
    </row>
    <row r="103" spans="1:14" x14ac:dyDescent="0.35">
      <c r="A103" s="1" t="s">
        <v>494</v>
      </c>
      <c r="B103" s="7">
        <v>0</v>
      </c>
      <c r="C103" s="7">
        <v>1907</v>
      </c>
      <c r="D103" s="1" t="s">
        <v>15</v>
      </c>
      <c r="E103" s="1" t="s">
        <v>15</v>
      </c>
      <c r="F103" s="1" t="s">
        <v>501</v>
      </c>
      <c r="G103" s="1" t="s">
        <v>31</v>
      </c>
      <c r="H103" s="1" t="s">
        <v>501</v>
      </c>
      <c r="I103" s="4">
        <v>246779411252</v>
      </c>
      <c r="L103" s="4">
        <v>246779411186</v>
      </c>
      <c r="M103" s="7">
        <v>0</v>
      </c>
      <c r="N103" s="7">
        <v>2004</v>
      </c>
    </row>
    <row r="104" spans="1:14" x14ac:dyDescent="0.35">
      <c r="A104" s="1" t="s">
        <v>494</v>
      </c>
      <c r="B104" s="7">
        <v>0</v>
      </c>
      <c r="C104" s="7">
        <v>1907</v>
      </c>
      <c r="D104" s="1" t="s">
        <v>15</v>
      </c>
      <c r="E104" s="1" t="s">
        <v>15</v>
      </c>
      <c r="F104" s="1" t="s">
        <v>502</v>
      </c>
      <c r="G104" s="1" t="s">
        <v>31</v>
      </c>
      <c r="H104" s="1" t="s">
        <v>502</v>
      </c>
      <c r="I104" s="4">
        <v>246779414317</v>
      </c>
      <c r="L104" s="4">
        <v>246779411187</v>
      </c>
      <c r="M104" s="7">
        <v>0</v>
      </c>
      <c r="N104" s="7">
        <v>2004</v>
      </c>
    </row>
    <row r="105" spans="1:14" x14ac:dyDescent="0.35">
      <c r="A105" s="1" t="s">
        <v>494</v>
      </c>
      <c r="B105" s="7">
        <v>0</v>
      </c>
      <c r="C105" s="7">
        <v>4652</v>
      </c>
      <c r="D105" s="1" t="s">
        <v>15</v>
      </c>
      <c r="E105" s="1" t="s">
        <v>15</v>
      </c>
      <c r="F105" s="1" t="s">
        <v>503</v>
      </c>
      <c r="G105" s="1" t="s">
        <v>31</v>
      </c>
      <c r="H105" s="1" t="s">
        <v>503</v>
      </c>
      <c r="I105" s="4">
        <v>246779414141</v>
      </c>
      <c r="L105" s="4">
        <v>246779411188</v>
      </c>
      <c r="M105" s="7">
        <v>0</v>
      </c>
      <c r="N105" s="7">
        <v>2004</v>
      </c>
    </row>
    <row r="106" spans="1:14" x14ac:dyDescent="0.35">
      <c r="A106" s="1" t="s">
        <v>494</v>
      </c>
      <c r="B106" s="7">
        <v>0</v>
      </c>
      <c r="C106" s="7">
        <v>2674</v>
      </c>
      <c r="D106" s="1" t="s">
        <v>15</v>
      </c>
      <c r="E106" s="1" t="s">
        <v>15</v>
      </c>
      <c r="F106" s="1" t="s">
        <v>504</v>
      </c>
      <c r="G106" s="1" t="s">
        <v>31</v>
      </c>
      <c r="H106" s="1" t="s">
        <v>504</v>
      </c>
      <c r="I106" s="4">
        <v>246779414467</v>
      </c>
      <c r="L106" s="4">
        <v>246779411189</v>
      </c>
      <c r="M106" s="7">
        <v>0</v>
      </c>
      <c r="N106" s="7">
        <v>2004</v>
      </c>
    </row>
    <row r="107" spans="1:14" x14ac:dyDescent="0.35">
      <c r="A107" s="1" t="s">
        <v>494</v>
      </c>
      <c r="B107" s="7">
        <v>0</v>
      </c>
      <c r="C107" s="7">
        <v>34760</v>
      </c>
      <c r="D107" s="1" t="s">
        <v>15</v>
      </c>
      <c r="E107" s="1" t="s">
        <v>15</v>
      </c>
      <c r="F107" s="1" t="s">
        <v>505</v>
      </c>
      <c r="G107" s="1" t="s">
        <v>21</v>
      </c>
      <c r="H107" s="1" t="s">
        <v>505</v>
      </c>
      <c r="I107" s="4">
        <v>246779414603</v>
      </c>
      <c r="L107" s="4">
        <v>246779411248</v>
      </c>
      <c r="M107" s="7">
        <v>0</v>
      </c>
      <c r="N107" s="7">
        <v>3434</v>
      </c>
    </row>
    <row r="108" spans="1:14" x14ac:dyDescent="0.35">
      <c r="A108" s="1" t="s">
        <v>494</v>
      </c>
      <c r="B108" s="7">
        <v>0</v>
      </c>
      <c r="C108" s="7">
        <v>480</v>
      </c>
      <c r="D108" s="1" t="s">
        <v>15</v>
      </c>
      <c r="E108" s="1" t="s">
        <v>15</v>
      </c>
      <c r="F108" s="1" t="s">
        <v>506</v>
      </c>
      <c r="G108" s="1" t="s">
        <v>17</v>
      </c>
      <c r="H108" s="1" t="s">
        <v>506</v>
      </c>
      <c r="I108" s="4">
        <v>246779411936</v>
      </c>
      <c r="L108" s="4">
        <v>246779411249</v>
      </c>
      <c r="M108" s="7">
        <v>0</v>
      </c>
      <c r="N108" s="7">
        <v>13737</v>
      </c>
    </row>
    <row r="109" spans="1:14" x14ac:dyDescent="0.35">
      <c r="A109" s="1" t="s">
        <v>494</v>
      </c>
      <c r="B109" s="7">
        <v>0</v>
      </c>
      <c r="C109" s="7">
        <v>31723</v>
      </c>
      <c r="D109" s="1" t="s">
        <v>15</v>
      </c>
      <c r="E109" s="1" t="s">
        <v>15</v>
      </c>
      <c r="F109" s="1" t="s">
        <v>507</v>
      </c>
      <c r="G109" s="1" t="s">
        <v>107</v>
      </c>
      <c r="H109" s="1" t="s">
        <v>507</v>
      </c>
      <c r="I109" s="4">
        <v>246779413753</v>
      </c>
      <c r="L109" s="4">
        <v>246779411250</v>
      </c>
      <c r="M109" s="7">
        <v>0</v>
      </c>
      <c r="N109" s="7">
        <v>1599</v>
      </c>
    </row>
    <row r="110" spans="1:14" x14ac:dyDescent="0.35">
      <c r="A110" s="1" t="s">
        <v>494</v>
      </c>
      <c r="B110" s="7">
        <v>0</v>
      </c>
      <c r="C110" s="7">
        <v>191</v>
      </c>
      <c r="D110" s="1" t="s">
        <v>15</v>
      </c>
      <c r="E110" s="1" t="s">
        <v>15</v>
      </c>
      <c r="F110" s="1" t="s">
        <v>508</v>
      </c>
      <c r="G110" s="1" t="s">
        <v>21</v>
      </c>
      <c r="H110" s="1" t="s">
        <v>508</v>
      </c>
      <c r="I110" s="4">
        <v>246779413762</v>
      </c>
      <c r="L110" s="4">
        <v>246779411251</v>
      </c>
      <c r="M110" s="7">
        <v>0</v>
      </c>
      <c r="N110" s="7">
        <v>1599</v>
      </c>
    </row>
    <row r="111" spans="1:14" x14ac:dyDescent="0.35">
      <c r="A111" s="1" t="s">
        <v>494</v>
      </c>
      <c r="B111" s="7">
        <v>0</v>
      </c>
      <c r="C111" s="7">
        <v>3064</v>
      </c>
      <c r="D111" s="1" t="s">
        <v>15</v>
      </c>
      <c r="E111" s="1" t="s">
        <v>15</v>
      </c>
      <c r="F111" s="1" t="s">
        <v>509</v>
      </c>
      <c r="G111" s="1" t="s">
        <v>21</v>
      </c>
      <c r="H111" s="1" t="s">
        <v>509</v>
      </c>
      <c r="I111" s="4">
        <v>246779413745</v>
      </c>
      <c r="L111" s="4">
        <v>246779411252</v>
      </c>
      <c r="M111" s="7">
        <v>0</v>
      </c>
      <c r="N111" s="7">
        <v>1907</v>
      </c>
    </row>
    <row r="112" spans="1:14" x14ac:dyDescent="0.35">
      <c r="A112" s="1" t="s">
        <v>494</v>
      </c>
      <c r="B112" s="7">
        <v>0</v>
      </c>
      <c r="C112" s="7">
        <v>3448</v>
      </c>
      <c r="D112" s="1" t="s">
        <v>15</v>
      </c>
      <c r="E112" s="1" t="s">
        <v>15</v>
      </c>
      <c r="F112" s="1" t="s">
        <v>510</v>
      </c>
      <c r="G112" s="1" t="s">
        <v>21</v>
      </c>
      <c r="H112" s="1" t="s">
        <v>510</v>
      </c>
      <c r="I112" s="4">
        <v>246779413734</v>
      </c>
      <c r="L112" s="4">
        <v>246779411278</v>
      </c>
      <c r="M112" s="7">
        <v>0</v>
      </c>
      <c r="N112" s="7">
        <v>44602</v>
      </c>
    </row>
    <row r="113" spans="1:14" x14ac:dyDescent="0.35">
      <c r="A113" s="1" t="s">
        <v>494</v>
      </c>
      <c r="B113" s="7">
        <v>0</v>
      </c>
      <c r="C113" s="7">
        <v>6513</v>
      </c>
      <c r="D113" s="1" t="s">
        <v>15</v>
      </c>
      <c r="E113" s="1" t="s">
        <v>15</v>
      </c>
      <c r="F113" s="1" t="s">
        <v>511</v>
      </c>
      <c r="G113" s="1" t="s">
        <v>21</v>
      </c>
      <c r="H113" s="1" t="s">
        <v>511</v>
      </c>
      <c r="I113" s="4">
        <v>246779413736</v>
      </c>
      <c r="L113" s="4">
        <v>246779411300</v>
      </c>
      <c r="M113" s="7">
        <v>0</v>
      </c>
      <c r="N113" s="7">
        <v>33376</v>
      </c>
    </row>
    <row r="114" spans="1:14" x14ac:dyDescent="0.35">
      <c r="A114" s="1" t="s">
        <v>494</v>
      </c>
      <c r="B114" s="7">
        <v>0</v>
      </c>
      <c r="C114" s="7">
        <v>1724</v>
      </c>
      <c r="D114" s="1" t="s">
        <v>15</v>
      </c>
      <c r="E114" s="1" t="s">
        <v>15</v>
      </c>
      <c r="F114" s="1" t="s">
        <v>512</v>
      </c>
      <c r="G114" s="1" t="s">
        <v>21</v>
      </c>
      <c r="H114" s="1" t="s">
        <v>512</v>
      </c>
      <c r="I114" s="4">
        <v>246779413739</v>
      </c>
      <c r="L114" s="4">
        <v>246779411314</v>
      </c>
      <c r="M114" s="7">
        <v>0</v>
      </c>
      <c r="N114" s="7">
        <v>8522</v>
      </c>
    </row>
    <row r="115" spans="1:14" x14ac:dyDescent="0.35">
      <c r="A115" s="1" t="s">
        <v>494</v>
      </c>
      <c r="B115" s="7">
        <v>0</v>
      </c>
      <c r="C115" s="7">
        <v>1149</v>
      </c>
      <c r="D115" s="1" t="s">
        <v>15</v>
      </c>
      <c r="E115" s="1" t="s">
        <v>15</v>
      </c>
      <c r="F115" s="1" t="s">
        <v>513</v>
      </c>
      <c r="G115" s="1" t="s">
        <v>21</v>
      </c>
      <c r="H115" s="1" t="s">
        <v>513</v>
      </c>
      <c r="I115" s="4">
        <v>246779413742</v>
      </c>
      <c r="L115" s="4">
        <v>246779411326</v>
      </c>
      <c r="M115" s="7">
        <v>0</v>
      </c>
      <c r="N115" s="7">
        <v>20874</v>
      </c>
    </row>
    <row r="116" spans="1:14" x14ac:dyDescent="0.35">
      <c r="A116" s="1" t="s">
        <v>494</v>
      </c>
      <c r="B116" s="7">
        <v>0</v>
      </c>
      <c r="C116" s="7">
        <v>191</v>
      </c>
      <c r="D116" s="1" t="s">
        <v>15</v>
      </c>
      <c r="E116" s="1" t="s">
        <v>15</v>
      </c>
      <c r="F116" s="1" t="s">
        <v>514</v>
      </c>
      <c r="G116" s="1" t="s">
        <v>21</v>
      </c>
      <c r="H116" s="1" t="s">
        <v>514</v>
      </c>
      <c r="I116" s="4">
        <v>246779413692</v>
      </c>
      <c r="L116" s="4">
        <v>246779411339</v>
      </c>
      <c r="M116" s="7">
        <v>0</v>
      </c>
      <c r="N116" s="7">
        <v>17857</v>
      </c>
    </row>
    <row r="117" spans="1:14" x14ac:dyDescent="0.35">
      <c r="A117" s="1" t="s">
        <v>494</v>
      </c>
      <c r="B117" s="7">
        <v>0</v>
      </c>
      <c r="C117" s="7">
        <v>6896</v>
      </c>
      <c r="D117" s="1" t="s">
        <v>15</v>
      </c>
      <c r="E117" s="1" t="s">
        <v>15</v>
      </c>
      <c r="F117" s="1" t="s">
        <v>515</v>
      </c>
      <c r="G117" s="1" t="s">
        <v>21</v>
      </c>
      <c r="H117" s="1" t="s">
        <v>515</v>
      </c>
      <c r="I117" s="4">
        <v>246779413693</v>
      </c>
      <c r="L117" s="4">
        <v>246779411448</v>
      </c>
      <c r="M117" s="7">
        <v>0</v>
      </c>
      <c r="N117" s="7">
        <v>1161</v>
      </c>
    </row>
    <row r="118" spans="1:14" x14ac:dyDescent="0.35">
      <c r="A118" s="1" t="s">
        <v>494</v>
      </c>
      <c r="B118" s="7">
        <v>0</v>
      </c>
      <c r="C118" s="7">
        <v>3448</v>
      </c>
      <c r="D118" s="1" t="s">
        <v>15</v>
      </c>
      <c r="E118" s="1" t="s">
        <v>15</v>
      </c>
      <c r="F118" s="1" t="s">
        <v>516</v>
      </c>
      <c r="G118" s="1" t="s">
        <v>21</v>
      </c>
      <c r="H118" s="1" t="s">
        <v>516</v>
      </c>
      <c r="I118" s="4">
        <v>246779413694</v>
      </c>
      <c r="L118" s="4">
        <v>246779411619</v>
      </c>
      <c r="M118" s="7">
        <v>0</v>
      </c>
      <c r="N118" s="7">
        <v>143412</v>
      </c>
    </row>
    <row r="119" spans="1:14" x14ac:dyDescent="0.35">
      <c r="A119" s="1" t="s">
        <v>494</v>
      </c>
      <c r="B119" s="7">
        <v>0</v>
      </c>
      <c r="C119" s="7">
        <v>191</v>
      </c>
      <c r="D119" s="1" t="s">
        <v>15</v>
      </c>
      <c r="E119" s="1" t="s">
        <v>15</v>
      </c>
      <c r="F119" s="1" t="s">
        <v>517</v>
      </c>
      <c r="G119" s="1" t="s">
        <v>21</v>
      </c>
      <c r="H119" s="1" t="s">
        <v>517</v>
      </c>
      <c r="I119" s="4">
        <v>246779413695</v>
      </c>
      <c r="L119" s="4">
        <v>246779411620</v>
      </c>
      <c r="M119" s="7">
        <v>0</v>
      </c>
      <c r="N119" s="7">
        <v>5816</v>
      </c>
    </row>
    <row r="120" spans="1:14" x14ac:dyDescent="0.35">
      <c r="A120" s="1" t="s">
        <v>494</v>
      </c>
      <c r="B120" s="7">
        <v>0</v>
      </c>
      <c r="C120" s="7">
        <v>382</v>
      </c>
      <c r="D120" s="1" t="s">
        <v>15</v>
      </c>
      <c r="E120" s="1" t="s">
        <v>15</v>
      </c>
      <c r="F120" s="1" t="s">
        <v>518</v>
      </c>
      <c r="G120" s="1" t="s">
        <v>21</v>
      </c>
      <c r="H120" s="1" t="s">
        <v>518</v>
      </c>
      <c r="I120" s="4">
        <v>246779413696</v>
      </c>
      <c r="L120" s="4">
        <v>246779411755</v>
      </c>
      <c r="M120" s="7">
        <v>0</v>
      </c>
      <c r="N120" s="7">
        <v>5816</v>
      </c>
    </row>
    <row r="121" spans="1:14" x14ac:dyDescent="0.35">
      <c r="A121" s="1" t="s">
        <v>494</v>
      </c>
      <c r="B121" s="7">
        <v>0</v>
      </c>
      <c r="C121" s="7">
        <v>381</v>
      </c>
      <c r="D121" s="1" t="s">
        <v>15</v>
      </c>
      <c r="E121" s="1" t="s">
        <v>15</v>
      </c>
      <c r="F121" s="1" t="s">
        <v>519</v>
      </c>
      <c r="G121" s="1" t="s">
        <v>21</v>
      </c>
      <c r="H121" s="1" t="s">
        <v>519</v>
      </c>
      <c r="I121" s="4">
        <v>246779410846</v>
      </c>
      <c r="L121" s="4">
        <v>246779411756</v>
      </c>
      <c r="M121" s="7">
        <v>0</v>
      </c>
      <c r="N121" s="7">
        <v>4339</v>
      </c>
    </row>
    <row r="122" spans="1:14" x14ac:dyDescent="0.35">
      <c r="A122" s="1" t="s">
        <v>494</v>
      </c>
      <c r="B122" s="7">
        <v>0</v>
      </c>
      <c r="C122" s="7">
        <v>1528</v>
      </c>
      <c r="D122" s="1" t="s">
        <v>15</v>
      </c>
      <c r="E122" s="1" t="s">
        <v>15</v>
      </c>
      <c r="F122" s="1" t="s">
        <v>520</v>
      </c>
      <c r="G122" s="1" t="s">
        <v>21</v>
      </c>
      <c r="H122" s="1" t="s">
        <v>520</v>
      </c>
      <c r="I122" s="4">
        <v>246779410847</v>
      </c>
      <c r="L122" s="4">
        <v>246779411757</v>
      </c>
      <c r="M122" s="7">
        <v>0</v>
      </c>
      <c r="N122" s="7">
        <v>3110</v>
      </c>
    </row>
    <row r="123" spans="1:14" x14ac:dyDescent="0.35">
      <c r="A123" s="1" t="s">
        <v>494</v>
      </c>
      <c r="B123" s="7">
        <v>0</v>
      </c>
      <c r="C123" s="7">
        <v>3436</v>
      </c>
      <c r="D123" s="1" t="s">
        <v>15</v>
      </c>
      <c r="E123" s="1" t="s">
        <v>15</v>
      </c>
      <c r="F123" s="1" t="s">
        <v>521</v>
      </c>
      <c r="G123" s="1" t="s">
        <v>21</v>
      </c>
      <c r="H123" s="1" t="s">
        <v>521</v>
      </c>
      <c r="I123" s="4">
        <v>246779410849</v>
      </c>
      <c r="L123" s="4">
        <v>246779411758</v>
      </c>
      <c r="M123" s="7">
        <v>0</v>
      </c>
      <c r="N123" s="7">
        <v>1842</v>
      </c>
    </row>
    <row r="124" spans="1:14" x14ac:dyDescent="0.35">
      <c r="A124" s="1" t="s">
        <v>494</v>
      </c>
      <c r="B124" s="7">
        <v>0</v>
      </c>
      <c r="C124" s="7">
        <v>763</v>
      </c>
      <c r="D124" s="1" t="s">
        <v>15</v>
      </c>
      <c r="E124" s="1" t="s">
        <v>15</v>
      </c>
      <c r="F124" s="1" t="s">
        <v>522</v>
      </c>
      <c r="G124" s="1" t="s">
        <v>21</v>
      </c>
      <c r="H124" s="1" t="s">
        <v>522</v>
      </c>
      <c r="I124" s="4">
        <v>246779410850</v>
      </c>
      <c r="L124" s="4">
        <v>246779411759</v>
      </c>
      <c r="M124" s="7">
        <v>0</v>
      </c>
      <c r="N124" s="7">
        <v>6761</v>
      </c>
    </row>
    <row r="125" spans="1:14" x14ac:dyDescent="0.35">
      <c r="A125" s="1" t="s">
        <v>494</v>
      </c>
      <c r="B125" s="7">
        <v>0</v>
      </c>
      <c r="C125" s="7">
        <v>381</v>
      </c>
      <c r="D125" s="1" t="s">
        <v>15</v>
      </c>
      <c r="E125" s="1" t="s">
        <v>15</v>
      </c>
      <c r="F125" s="1" t="s">
        <v>523</v>
      </c>
      <c r="G125" s="1" t="s">
        <v>21</v>
      </c>
      <c r="H125" s="1" t="s">
        <v>523</v>
      </c>
      <c r="I125" s="4">
        <v>246779410851</v>
      </c>
      <c r="L125" s="4">
        <v>246779411933</v>
      </c>
      <c r="M125" s="7">
        <v>0</v>
      </c>
      <c r="N125" s="7">
        <v>576</v>
      </c>
    </row>
    <row r="126" spans="1:14" x14ac:dyDescent="0.35">
      <c r="A126" s="1" t="s">
        <v>494</v>
      </c>
      <c r="B126" s="7">
        <v>0</v>
      </c>
      <c r="C126" s="7">
        <v>381</v>
      </c>
      <c r="D126" s="1" t="s">
        <v>15</v>
      </c>
      <c r="E126" s="1" t="s">
        <v>15</v>
      </c>
      <c r="F126" s="1" t="s">
        <v>524</v>
      </c>
      <c r="G126" s="1" t="s">
        <v>21</v>
      </c>
      <c r="H126" s="1" t="s">
        <v>524</v>
      </c>
      <c r="I126" s="4">
        <v>246779410852</v>
      </c>
      <c r="L126" s="4">
        <v>246779411934</v>
      </c>
      <c r="M126" s="7">
        <v>0</v>
      </c>
      <c r="N126" s="7">
        <v>336</v>
      </c>
    </row>
    <row r="127" spans="1:14" x14ac:dyDescent="0.35">
      <c r="A127" s="1" t="s">
        <v>494</v>
      </c>
      <c r="B127" s="7">
        <v>0</v>
      </c>
      <c r="C127" s="7">
        <v>190</v>
      </c>
      <c r="D127" s="1" t="s">
        <v>15</v>
      </c>
      <c r="E127" s="1" t="s">
        <v>15</v>
      </c>
      <c r="F127" s="1" t="s">
        <v>525</v>
      </c>
      <c r="G127" s="1" t="s">
        <v>21</v>
      </c>
      <c r="H127" s="1" t="s">
        <v>525</v>
      </c>
      <c r="I127" s="4">
        <v>246779410853</v>
      </c>
      <c r="L127" s="4">
        <v>246779411935</v>
      </c>
      <c r="M127" s="7">
        <v>0</v>
      </c>
      <c r="N127" s="7">
        <v>576</v>
      </c>
    </row>
    <row r="128" spans="1:14" x14ac:dyDescent="0.35">
      <c r="A128" s="1" t="s">
        <v>494</v>
      </c>
      <c r="B128" s="7">
        <v>0</v>
      </c>
      <c r="C128" s="7">
        <v>1145</v>
      </c>
      <c r="D128" s="1" t="s">
        <v>15</v>
      </c>
      <c r="E128" s="1" t="s">
        <v>15</v>
      </c>
      <c r="F128" s="1" t="s">
        <v>526</v>
      </c>
      <c r="G128" s="1" t="s">
        <v>21</v>
      </c>
      <c r="H128" s="1" t="s">
        <v>526</v>
      </c>
      <c r="I128" s="4">
        <v>246779410854</v>
      </c>
      <c r="L128" s="4">
        <v>246779411936</v>
      </c>
      <c r="M128" s="7">
        <v>0</v>
      </c>
      <c r="N128" s="7">
        <v>480</v>
      </c>
    </row>
    <row r="129" spans="1:14" x14ac:dyDescent="0.35">
      <c r="A129" s="1" t="s">
        <v>494</v>
      </c>
      <c r="B129" s="7">
        <v>0</v>
      </c>
      <c r="C129" s="7">
        <v>1527</v>
      </c>
      <c r="D129" s="1" t="s">
        <v>15</v>
      </c>
      <c r="E129" s="1" t="s">
        <v>15</v>
      </c>
      <c r="F129" s="1" t="s">
        <v>527</v>
      </c>
      <c r="G129" s="1" t="s">
        <v>21</v>
      </c>
      <c r="H129" s="1" t="s">
        <v>527</v>
      </c>
      <c r="I129" s="4">
        <v>246779410855</v>
      </c>
      <c r="L129" s="4">
        <v>246779413000</v>
      </c>
      <c r="M129" s="7">
        <v>0</v>
      </c>
      <c r="N129" s="7">
        <v>35488</v>
      </c>
    </row>
    <row r="130" spans="1:14" x14ac:dyDescent="0.35">
      <c r="A130" s="1" t="s">
        <v>494</v>
      </c>
      <c r="B130" s="7">
        <v>0</v>
      </c>
      <c r="C130" s="7">
        <v>1268</v>
      </c>
      <c r="D130" s="1" t="s">
        <v>15</v>
      </c>
      <c r="E130" s="1" t="s">
        <v>15</v>
      </c>
      <c r="F130" s="1" t="s">
        <v>528</v>
      </c>
      <c r="G130" s="1" t="s">
        <v>21</v>
      </c>
      <c r="H130" s="1" t="s">
        <v>528</v>
      </c>
      <c r="I130" s="4">
        <v>246779414681</v>
      </c>
      <c r="L130" s="4">
        <v>246779413622</v>
      </c>
      <c r="M130" s="7">
        <v>0</v>
      </c>
      <c r="N130" s="7">
        <v>1590</v>
      </c>
    </row>
    <row r="131" spans="1:14" x14ac:dyDescent="0.35">
      <c r="A131" s="1" t="s">
        <v>494</v>
      </c>
      <c r="B131" s="7">
        <v>0</v>
      </c>
      <c r="C131" s="7">
        <v>211</v>
      </c>
      <c r="D131" s="1" t="s">
        <v>15</v>
      </c>
      <c r="E131" s="1" t="s">
        <v>15</v>
      </c>
      <c r="F131" s="1" t="s">
        <v>529</v>
      </c>
      <c r="G131" s="1" t="s">
        <v>31</v>
      </c>
      <c r="H131" s="1" t="s">
        <v>529</v>
      </c>
      <c r="I131" s="4">
        <v>246779414734</v>
      </c>
      <c r="L131" s="4">
        <v>246779413623</v>
      </c>
      <c r="M131" s="7">
        <v>0</v>
      </c>
      <c r="N131" s="7">
        <v>198</v>
      </c>
    </row>
    <row r="132" spans="1:14" x14ac:dyDescent="0.35">
      <c r="A132" s="1" t="s">
        <v>494</v>
      </c>
      <c r="B132" s="7">
        <v>0</v>
      </c>
      <c r="C132" s="7">
        <v>211</v>
      </c>
      <c r="D132" s="1" t="s">
        <v>15</v>
      </c>
      <c r="E132" s="1" t="s">
        <v>15</v>
      </c>
      <c r="F132" s="1" t="s">
        <v>530</v>
      </c>
      <c r="G132" s="1" t="s">
        <v>21</v>
      </c>
      <c r="H132" s="1" t="s">
        <v>530</v>
      </c>
      <c r="I132" s="4">
        <v>246779414885</v>
      </c>
      <c r="L132" s="4">
        <v>246779413624</v>
      </c>
      <c r="M132" s="7">
        <v>0</v>
      </c>
      <c r="N132" s="7">
        <v>596</v>
      </c>
    </row>
    <row r="133" spans="1:14" x14ac:dyDescent="0.35">
      <c r="A133" s="1" t="s">
        <v>494</v>
      </c>
      <c r="B133" s="7">
        <v>0</v>
      </c>
      <c r="C133" s="7">
        <v>17701</v>
      </c>
      <c r="D133" s="1" t="s">
        <v>15</v>
      </c>
      <c r="E133" s="1" t="s">
        <v>15</v>
      </c>
      <c r="F133" s="1" t="s">
        <v>531</v>
      </c>
      <c r="G133" s="1" t="s">
        <v>21</v>
      </c>
      <c r="H133" s="1" t="s">
        <v>531</v>
      </c>
      <c r="I133" s="4">
        <v>246779414221</v>
      </c>
      <c r="L133" s="4">
        <v>246779413625</v>
      </c>
      <c r="M133" s="7">
        <v>0</v>
      </c>
      <c r="N133" s="7">
        <v>198</v>
      </c>
    </row>
    <row r="134" spans="1:14" x14ac:dyDescent="0.35">
      <c r="A134" s="1" t="s">
        <v>494</v>
      </c>
      <c r="B134" s="7">
        <v>0</v>
      </c>
      <c r="C134" s="7">
        <v>596</v>
      </c>
      <c r="D134" s="1" t="s">
        <v>15</v>
      </c>
      <c r="E134" s="1" t="s">
        <v>15</v>
      </c>
      <c r="F134" s="1" t="s">
        <v>532</v>
      </c>
      <c r="G134" s="1" t="s">
        <v>21</v>
      </c>
      <c r="H134" s="1" t="s">
        <v>532</v>
      </c>
      <c r="I134" s="4">
        <v>246779413691</v>
      </c>
      <c r="L134" s="4">
        <v>246779413626</v>
      </c>
      <c r="M134" s="7">
        <v>0</v>
      </c>
      <c r="N134" s="7">
        <v>7156</v>
      </c>
    </row>
    <row r="135" spans="1:14" x14ac:dyDescent="0.35">
      <c r="A135" s="1" t="s">
        <v>494</v>
      </c>
      <c r="B135" s="7">
        <v>0</v>
      </c>
      <c r="C135" s="7">
        <v>994</v>
      </c>
      <c r="D135" s="1" t="s">
        <v>15</v>
      </c>
      <c r="E135" s="1" t="s">
        <v>15</v>
      </c>
      <c r="F135" s="1" t="s">
        <v>533</v>
      </c>
      <c r="G135" s="1" t="s">
        <v>21</v>
      </c>
      <c r="H135" s="1" t="s">
        <v>533</v>
      </c>
      <c r="I135" s="4">
        <v>246779413772</v>
      </c>
      <c r="L135" s="4">
        <v>246779413627</v>
      </c>
      <c r="M135" s="7">
        <v>0</v>
      </c>
      <c r="N135" s="7">
        <v>3578</v>
      </c>
    </row>
    <row r="136" spans="1:14" x14ac:dyDescent="0.35">
      <c r="A136" s="1" t="s">
        <v>494</v>
      </c>
      <c r="B136" s="7">
        <v>0</v>
      </c>
      <c r="C136" s="7">
        <v>143412</v>
      </c>
      <c r="D136" s="1" t="s">
        <v>15</v>
      </c>
      <c r="E136" s="1" t="s">
        <v>15</v>
      </c>
      <c r="F136" s="1" t="s">
        <v>535</v>
      </c>
      <c r="G136" s="1" t="s">
        <v>17</v>
      </c>
      <c r="H136" s="1" t="s">
        <v>535</v>
      </c>
      <c r="I136" s="4">
        <v>246779411619</v>
      </c>
      <c r="L136" s="4">
        <v>246779413628</v>
      </c>
      <c r="M136" s="7">
        <v>0</v>
      </c>
      <c r="N136" s="7">
        <v>198</v>
      </c>
    </row>
    <row r="137" spans="1:14" x14ac:dyDescent="0.35">
      <c r="A137" s="1" t="s">
        <v>494</v>
      </c>
      <c r="B137" s="7">
        <v>0</v>
      </c>
      <c r="C137" s="7">
        <v>5816</v>
      </c>
      <c r="D137" s="1" t="s">
        <v>15</v>
      </c>
      <c r="E137" s="1" t="s">
        <v>15</v>
      </c>
      <c r="F137" s="1" t="s">
        <v>536</v>
      </c>
      <c r="G137" s="1" t="s">
        <v>17</v>
      </c>
      <c r="H137" s="1" t="s">
        <v>536</v>
      </c>
      <c r="I137" s="4">
        <v>246779411620</v>
      </c>
      <c r="L137" s="4">
        <v>246779413629</v>
      </c>
      <c r="M137" s="7">
        <v>0</v>
      </c>
      <c r="N137" s="7">
        <v>397</v>
      </c>
    </row>
    <row r="138" spans="1:14" x14ac:dyDescent="0.35">
      <c r="A138" s="1" t="s">
        <v>494</v>
      </c>
      <c r="B138" s="7">
        <v>0</v>
      </c>
      <c r="C138" s="7">
        <v>5816</v>
      </c>
      <c r="D138" s="1" t="s">
        <v>15</v>
      </c>
      <c r="E138" s="1" t="s">
        <v>15</v>
      </c>
      <c r="F138" s="1" t="s">
        <v>537</v>
      </c>
      <c r="G138" s="1" t="s">
        <v>17</v>
      </c>
      <c r="H138" s="1" t="s">
        <v>537</v>
      </c>
      <c r="I138" s="4">
        <v>246779411755</v>
      </c>
      <c r="L138" s="4">
        <v>246779413689</v>
      </c>
      <c r="M138" s="7">
        <v>0</v>
      </c>
      <c r="N138" s="7">
        <v>1591</v>
      </c>
    </row>
    <row r="139" spans="1:14" x14ac:dyDescent="0.35">
      <c r="A139" s="1" t="s">
        <v>494</v>
      </c>
      <c r="B139" s="7">
        <v>0</v>
      </c>
      <c r="C139" s="7">
        <v>4339</v>
      </c>
      <c r="D139" s="1" t="s">
        <v>15</v>
      </c>
      <c r="E139" s="1" t="s">
        <v>15</v>
      </c>
      <c r="F139" s="1" t="s">
        <v>538</v>
      </c>
      <c r="G139" s="1" t="s">
        <v>17</v>
      </c>
      <c r="H139" s="1" t="s">
        <v>538</v>
      </c>
      <c r="I139" s="4">
        <v>246779411756</v>
      </c>
      <c r="L139" s="4">
        <v>246779413690</v>
      </c>
      <c r="M139" s="7">
        <v>0</v>
      </c>
      <c r="N139" s="7">
        <v>198</v>
      </c>
    </row>
    <row r="140" spans="1:14" x14ac:dyDescent="0.35">
      <c r="A140" s="1" t="s">
        <v>494</v>
      </c>
      <c r="B140" s="7">
        <v>0</v>
      </c>
      <c r="C140" s="7">
        <v>6761</v>
      </c>
      <c r="D140" s="1" t="s">
        <v>15</v>
      </c>
      <c r="E140" s="1" t="s">
        <v>15</v>
      </c>
      <c r="F140" s="1" t="s">
        <v>539</v>
      </c>
      <c r="G140" s="1" t="s">
        <v>17</v>
      </c>
      <c r="H140" s="1" t="s">
        <v>539</v>
      </c>
      <c r="I140" s="4">
        <v>246779411759</v>
      </c>
      <c r="L140" s="4">
        <v>246779413691</v>
      </c>
      <c r="M140" s="7">
        <v>0</v>
      </c>
      <c r="N140" s="7">
        <v>596</v>
      </c>
    </row>
    <row r="141" spans="1:14" x14ac:dyDescent="0.35">
      <c r="A141" s="1" t="s">
        <v>494</v>
      </c>
      <c r="B141" s="7">
        <v>0</v>
      </c>
      <c r="C141" s="7">
        <v>3110</v>
      </c>
      <c r="D141" s="1" t="s">
        <v>15</v>
      </c>
      <c r="E141" s="1" t="s">
        <v>15</v>
      </c>
      <c r="F141" s="1" t="s">
        <v>540</v>
      </c>
      <c r="G141" s="1" t="s">
        <v>17</v>
      </c>
      <c r="H141" s="1" t="s">
        <v>540</v>
      </c>
      <c r="I141" s="4">
        <v>246779411757</v>
      </c>
      <c r="L141" s="4">
        <v>246779413692</v>
      </c>
      <c r="M141" s="7">
        <v>0</v>
      </c>
      <c r="N141" s="7">
        <v>191</v>
      </c>
    </row>
    <row r="142" spans="1:14" x14ac:dyDescent="0.35">
      <c r="A142" s="2" t="s">
        <v>13</v>
      </c>
      <c r="B142" s="6">
        <v>0</v>
      </c>
      <c r="C142" s="6">
        <v>1161</v>
      </c>
      <c r="D142" s="2" t="s">
        <v>15</v>
      </c>
      <c r="E142" s="2" t="s">
        <v>15</v>
      </c>
      <c r="F142" s="2" t="s">
        <v>16</v>
      </c>
      <c r="G142" s="2" t="s">
        <v>17</v>
      </c>
      <c r="H142" s="2" t="s">
        <v>16</v>
      </c>
      <c r="I142" s="4">
        <v>246779411448</v>
      </c>
      <c r="L142" s="4">
        <v>246779413693</v>
      </c>
      <c r="M142" s="7">
        <v>0</v>
      </c>
      <c r="N142" s="7">
        <v>6896</v>
      </c>
    </row>
    <row r="143" spans="1:14" x14ac:dyDescent="0.35">
      <c r="A143" s="2" t="s">
        <v>13</v>
      </c>
      <c r="B143" s="6">
        <v>0</v>
      </c>
      <c r="C143" s="6">
        <v>1591</v>
      </c>
      <c r="D143" s="2" t="s">
        <v>15</v>
      </c>
      <c r="E143" s="2" t="s">
        <v>15</v>
      </c>
      <c r="F143" s="2" t="s">
        <v>20</v>
      </c>
      <c r="G143" s="2" t="s">
        <v>21</v>
      </c>
      <c r="H143" s="2" t="s">
        <v>20</v>
      </c>
      <c r="I143" s="4">
        <v>246779413689</v>
      </c>
      <c r="L143" s="4">
        <v>246779413694</v>
      </c>
      <c r="M143" s="7">
        <v>0</v>
      </c>
      <c r="N143" s="7">
        <v>3448</v>
      </c>
    </row>
    <row r="144" spans="1:14" x14ac:dyDescent="0.35">
      <c r="A144" s="2" t="s">
        <v>13</v>
      </c>
      <c r="B144" s="6">
        <v>0</v>
      </c>
      <c r="C144" s="6">
        <v>574</v>
      </c>
      <c r="D144" s="2" t="s">
        <v>15</v>
      </c>
      <c r="E144" s="2" t="s">
        <v>15</v>
      </c>
      <c r="F144" s="2" t="s">
        <v>22</v>
      </c>
      <c r="G144" s="2" t="s">
        <v>21</v>
      </c>
      <c r="H144" s="2" t="s">
        <v>22</v>
      </c>
      <c r="I144" s="4">
        <v>246779413740</v>
      </c>
      <c r="L144" s="4">
        <v>246779413695</v>
      </c>
      <c r="M144" s="7">
        <v>0</v>
      </c>
      <c r="N144" s="7">
        <v>191</v>
      </c>
    </row>
    <row r="145" spans="1:14" x14ac:dyDescent="0.35">
      <c r="A145" s="2" t="s">
        <v>13</v>
      </c>
      <c r="B145" s="6">
        <v>0</v>
      </c>
      <c r="C145" s="6">
        <v>574</v>
      </c>
      <c r="D145" s="2" t="s">
        <v>15</v>
      </c>
      <c r="E145" s="2" t="s">
        <v>15</v>
      </c>
      <c r="F145" s="2" t="s">
        <v>23</v>
      </c>
      <c r="G145" s="2" t="s">
        <v>21</v>
      </c>
      <c r="H145" s="2" t="s">
        <v>23</v>
      </c>
      <c r="I145" s="4">
        <v>246779413737</v>
      </c>
      <c r="L145" s="4">
        <v>246779413696</v>
      </c>
      <c r="M145" s="7">
        <v>0</v>
      </c>
      <c r="N145" s="7">
        <v>382</v>
      </c>
    </row>
    <row r="146" spans="1:14" x14ac:dyDescent="0.35">
      <c r="A146" s="2" t="s">
        <v>13</v>
      </c>
      <c r="B146" s="6">
        <v>0</v>
      </c>
      <c r="C146" s="6">
        <v>6896</v>
      </c>
      <c r="D146" s="2" t="s">
        <v>15</v>
      </c>
      <c r="E146" s="2" t="s">
        <v>15</v>
      </c>
      <c r="F146" s="2" t="s">
        <v>24</v>
      </c>
      <c r="G146" s="2" t="s">
        <v>21</v>
      </c>
      <c r="H146" s="2" t="s">
        <v>24</v>
      </c>
      <c r="I146" s="4">
        <v>246779413735</v>
      </c>
      <c r="L146" s="4">
        <v>246779413701</v>
      </c>
      <c r="M146" s="7">
        <v>0</v>
      </c>
      <c r="N146" s="7">
        <v>18367</v>
      </c>
    </row>
    <row r="147" spans="1:14" x14ac:dyDescent="0.35">
      <c r="A147" s="2" t="s">
        <v>13</v>
      </c>
      <c r="B147" s="6">
        <v>0</v>
      </c>
      <c r="C147" s="6">
        <v>191</v>
      </c>
      <c r="D147" s="2" t="s">
        <v>15</v>
      </c>
      <c r="E147" s="2" t="s">
        <v>15</v>
      </c>
      <c r="F147" s="2" t="s">
        <v>25</v>
      </c>
      <c r="G147" s="2" t="s">
        <v>21</v>
      </c>
      <c r="H147" s="2" t="s">
        <v>25</v>
      </c>
      <c r="I147" s="4">
        <v>246779413744</v>
      </c>
      <c r="L147" s="4">
        <v>246779413702</v>
      </c>
      <c r="M147" s="7">
        <v>0</v>
      </c>
      <c r="N147" s="7">
        <v>31577</v>
      </c>
    </row>
    <row r="148" spans="1:14" x14ac:dyDescent="0.35">
      <c r="A148" s="2" t="s">
        <v>13</v>
      </c>
      <c r="B148" s="6">
        <v>0</v>
      </c>
      <c r="C148" s="6">
        <v>191</v>
      </c>
      <c r="D148" s="2" t="s">
        <v>15</v>
      </c>
      <c r="E148" s="2" t="s">
        <v>15</v>
      </c>
      <c r="F148" s="2" t="s">
        <v>26</v>
      </c>
      <c r="G148" s="2" t="s">
        <v>21</v>
      </c>
      <c r="H148" s="2" t="s">
        <v>26</v>
      </c>
      <c r="I148" s="4">
        <v>246779413733</v>
      </c>
      <c r="L148" s="4">
        <v>246779413704</v>
      </c>
      <c r="M148" s="7">
        <v>0</v>
      </c>
      <c r="N148" s="7">
        <v>13011</v>
      </c>
    </row>
    <row r="149" spans="1:14" x14ac:dyDescent="0.35">
      <c r="A149" s="2" t="s">
        <v>13</v>
      </c>
      <c r="B149" s="6">
        <v>0</v>
      </c>
      <c r="C149" s="6">
        <v>383</v>
      </c>
      <c r="D149" s="2" t="s">
        <v>15</v>
      </c>
      <c r="E149" s="2" t="s">
        <v>15</v>
      </c>
      <c r="F149" s="2" t="s">
        <v>27</v>
      </c>
      <c r="G149" s="2" t="s">
        <v>21</v>
      </c>
      <c r="H149" s="2" t="s">
        <v>27</v>
      </c>
      <c r="I149" s="4">
        <v>246779413743</v>
      </c>
      <c r="L149" s="4">
        <v>246779413705</v>
      </c>
      <c r="M149" s="7">
        <v>0</v>
      </c>
      <c r="N149" s="7">
        <v>19429</v>
      </c>
    </row>
    <row r="150" spans="1:14" x14ac:dyDescent="0.35">
      <c r="A150" s="2" t="s">
        <v>13</v>
      </c>
      <c r="B150" s="6">
        <v>0</v>
      </c>
      <c r="C150" s="6">
        <v>383</v>
      </c>
      <c r="D150" s="2" t="s">
        <v>15</v>
      </c>
      <c r="E150" s="2" t="s">
        <v>15</v>
      </c>
      <c r="F150" s="2" t="s">
        <v>28</v>
      </c>
      <c r="G150" s="2" t="s">
        <v>21</v>
      </c>
      <c r="H150" s="2" t="s">
        <v>28</v>
      </c>
      <c r="I150" s="4">
        <v>246779414680</v>
      </c>
      <c r="L150" s="4">
        <v>246779413733</v>
      </c>
      <c r="M150" s="7">
        <v>0</v>
      </c>
      <c r="N150" s="7">
        <v>191</v>
      </c>
    </row>
    <row r="151" spans="1:14" x14ac:dyDescent="0.35">
      <c r="A151" s="2" t="s">
        <v>13</v>
      </c>
      <c r="B151" s="6">
        <v>0</v>
      </c>
      <c r="C151" s="6">
        <v>6895</v>
      </c>
      <c r="D151" s="2" t="s">
        <v>15</v>
      </c>
      <c r="E151" s="2" t="s">
        <v>15</v>
      </c>
      <c r="F151" s="2" t="s">
        <v>29</v>
      </c>
      <c r="G151" s="2" t="s">
        <v>21</v>
      </c>
      <c r="H151" s="2" t="s">
        <v>29</v>
      </c>
      <c r="I151" s="4">
        <v>246779413741</v>
      </c>
      <c r="L151" s="4">
        <v>246779413734</v>
      </c>
      <c r="M151" s="7">
        <v>0</v>
      </c>
      <c r="N151" s="7">
        <v>3448</v>
      </c>
    </row>
    <row r="152" spans="1:14" x14ac:dyDescent="0.35">
      <c r="A152" s="2" t="s">
        <v>13</v>
      </c>
      <c r="B152" s="6">
        <v>0</v>
      </c>
      <c r="C152" s="6">
        <v>846</v>
      </c>
      <c r="D152" s="2" t="s">
        <v>15</v>
      </c>
      <c r="E152" s="2" t="s">
        <v>15</v>
      </c>
      <c r="F152" s="2" t="s">
        <v>30</v>
      </c>
      <c r="G152" s="2" t="s">
        <v>31</v>
      </c>
      <c r="H152" s="2" t="s">
        <v>30</v>
      </c>
      <c r="I152" s="4">
        <v>246779413933</v>
      </c>
      <c r="L152" s="4">
        <v>246779413735</v>
      </c>
      <c r="M152" s="7">
        <v>0</v>
      </c>
      <c r="N152" s="7">
        <v>6896</v>
      </c>
    </row>
    <row r="153" spans="1:14" x14ac:dyDescent="0.35">
      <c r="A153" s="2" t="s">
        <v>13</v>
      </c>
      <c r="B153" s="6">
        <v>0</v>
      </c>
      <c r="C153" s="6">
        <v>3203</v>
      </c>
      <c r="D153" s="2" t="s">
        <v>15</v>
      </c>
      <c r="E153" s="2" t="s">
        <v>15</v>
      </c>
      <c r="F153" s="2" t="s">
        <v>32</v>
      </c>
      <c r="G153" s="2" t="s">
        <v>21</v>
      </c>
      <c r="H153" s="2" t="s">
        <v>32</v>
      </c>
      <c r="I153" s="4">
        <v>246779410609</v>
      </c>
      <c r="L153" s="4">
        <v>246779413736</v>
      </c>
      <c r="M153" s="7">
        <v>0</v>
      </c>
      <c r="N153" s="7">
        <v>6513</v>
      </c>
    </row>
    <row r="154" spans="1:14" x14ac:dyDescent="0.35">
      <c r="A154" s="2" t="s">
        <v>13</v>
      </c>
      <c r="B154" s="6">
        <v>0</v>
      </c>
      <c r="C154" s="6">
        <v>3603</v>
      </c>
      <c r="D154" s="2" t="s">
        <v>15</v>
      </c>
      <c r="E154" s="2" t="s">
        <v>15</v>
      </c>
      <c r="F154" s="2" t="s">
        <v>33</v>
      </c>
      <c r="G154" s="2" t="s">
        <v>21</v>
      </c>
      <c r="H154" s="2" t="s">
        <v>33</v>
      </c>
      <c r="I154" s="4">
        <v>246779413738</v>
      </c>
      <c r="L154" s="4">
        <v>246779413737</v>
      </c>
      <c r="M154" s="7">
        <v>0</v>
      </c>
      <c r="N154" s="7">
        <v>574</v>
      </c>
    </row>
    <row r="155" spans="1:14" x14ac:dyDescent="0.35">
      <c r="A155" s="2" t="s">
        <v>13</v>
      </c>
      <c r="B155" s="6">
        <v>0</v>
      </c>
      <c r="C155" s="6">
        <v>200</v>
      </c>
      <c r="D155" s="2" t="s">
        <v>15</v>
      </c>
      <c r="E155" s="2" t="s">
        <v>15</v>
      </c>
      <c r="F155" s="2" t="s">
        <v>34</v>
      </c>
      <c r="G155" s="2" t="s">
        <v>21</v>
      </c>
      <c r="H155" s="2" t="s">
        <v>34</v>
      </c>
      <c r="I155" s="4">
        <v>246779410498</v>
      </c>
      <c r="L155" s="4">
        <v>246779413738</v>
      </c>
      <c r="M155" s="7">
        <v>0</v>
      </c>
      <c r="N155" s="7">
        <v>3603</v>
      </c>
    </row>
    <row r="156" spans="1:14" x14ac:dyDescent="0.35">
      <c r="A156" s="2" t="s">
        <v>13</v>
      </c>
      <c r="B156" s="6">
        <v>0</v>
      </c>
      <c r="C156" s="6">
        <v>13011</v>
      </c>
      <c r="D156" s="2" t="s">
        <v>15</v>
      </c>
      <c r="E156" s="2" t="s">
        <v>15</v>
      </c>
      <c r="F156" s="2" t="s">
        <v>35</v>
      </c>
      <c r="G156" s="2" t="s">
        <v>36</v>
      </c>
      <c r="H156" s="2" t="s">
        <v>35</v>
      </c>
      <c r="I156" s="4">
        <v>246779413704</v>
      </c>
      <c r="L156" s="4">
        <v>246779413739</v>
      </c>
      <c r="M156" s="7">
        <v>0</v>
      </c>
      <c r="N156" s="7">
        <v>1724</v>
      </c>
    </row>
    <row r="157" spans="1:14" x14ac:dyDescent="0.35">
      <c r="A157" s="2" t="s">
        <v>13</v>
      </c>
      <c r="B157" s="6">
        <v>0</v>
      </c>
      <c r="C157" s="6">
        <v>200</v>
      </c>
      <c r="D157" s="2" t="s">
        <v>15</v>
      </c>
      <c r="E157" s="2" t="s">
        <v>15</v>
      </c>
      <c r="F157" s="2" t="s">
        <v>37</v>
      </c>
      <c r="G157" s="2" t="s">
        <v>21</v>
      </c>
      <c r="H157" s="2" t="s">
        <v>37</v>
      </c>
      <c r="I157" s="4">
        <v>246779410848</v>
      </c>
      <c r="L157" s="4">
        <v>246779413740</v>
      </c>
      <c r="M157" s="7">
        <v>0</v>
      </c>
      <c r="N157" s="7">
        <v>574</v>
      </c>
    </row>
    <row r="158" spans="1:14" x14ac:dyDescent="0.35">
      <c r="A158" s="2" t="s">
        <v>13</v>
      </c>
      <c r="B158" s="6">
        <v>0</v>
      </c>
      <c r="C158" s="6">
        <v>3594</v>
      </c>
      <c r="D158" s="2" t="s">
        <v>15</v>
      </c>
      <c r="E158" s="2" t="s">
        <v>15</v>
      </c>
      <c r="F158" s="2" t="s">
        <v>41</v>
      </c>
      <c r="G158" s="2" t="s">
        <v>21</v>
      </c>
      <c r="H158" s="2" t="s">
        <v>41</v>
      </c>
      <c r="I158" s="4">
        <v>246779410755</v>
      </c>
      <c r="L158" s="4">
        <v>246779413741</v>
      </c>
      <c r="M158" s="7">
        <v>0</v>
      </c>
      <c r="N158" s="7">
        <v>6895</v>
      </c>
    </row>
    <row r="159" spans="1:14" x14ac:dyDescent="0.35">
      <c r="A159" s="2" t="s">
        <v>13</v>
      </c>
      <c r="B159" s="6">
        <v>0</v>
      </c>
      <c r="C159" s="6">
        <v>35477</v>
      </c>
      <c r="D159" s="2" t="s">
        <v>15</v>
      </c>
      <c r="E159" s="2" t="s">
        <v>15</v>
      </c>
      <c r="F159" s="2" t="s">
        <v>42</v>
      </c>
      <c r="G159" s="2" t="s">
        <v>43</v>
      </c>
      <c r="H159" s="2" t="s">
        <v>42</v>
      </c>
      <c r="I159" s="4">
        <v>246779410072</v>
      </c>
      <c r="L159" s="4">
        <v>246779413742</v>
      </c>
      <c r="M159" s="7">
        <v>0</v>
      </c>
      <c r="N159" s="7">
        <v>1149</v>
      </c>
    </row>
    <row r="160" spans="1:14" x14ac:dyDescent="0.35">
      <c r="A160" s="2" t="s">
        <v>13</v>
      </c>
      <c r="B160" s="6">
        <v>0</v>
      </c>
      <c r="C160" s="6">
        <v>799</v>
      </c>
      <c r="D160" s="2" t="s">
        <v>15</v>
      </c>
      <c r="E160" s="2" t="s">
        <v>15</v>
      </c>
      <c r="F160" s="2" t="s">
        <v>44</v>
      </c>
      <c r="G160" s="2" t="s">
        <v>21</v>
      </c>
      <c r="H160" s="2" t="s">
        <v>44</v>
      </c>
      <c r="I160" s="4">
        <v>246779410688</v>
      </c>
      <c r="L160" s="4">
        <v>246779413743</v>
      </c>
      <c r="M160" s="7">
        <v>0</v>
      </c>
      <c r="N160" s="7">
        <v>383</v>
      </c>
    </row>
    <row r="161" spans="1:14" x14ac:dyDescent="0.35">
      <c r="A161" s="2" t="s">
        <v>13</v>
      </c>
      <c r="B161" s="6">
        <v>0</v>
      </c>
      <c r="C161" s="6">
        <v>1797</v>
      </c>
      <c r="D161" s="2" t="s">
        <v>15</v>
      </c>
      <c r="E161" s="2" t="s">
        <v>15</v>
      </c>
      <c r="F161" s="2" t="s">
        <v>45</v>
      </c>
      <c r="G161" s="2" t="s">
        <v>21</v>
      </c>
      <c r="H161" s="2" t="s">
        <v>45</v>
      </c>
      <c r="I161" s="4">
        <v>246779410687</v>
      </c>
      <c r="L161" s="4">
        <v>246779413744</v>
      </c>
      <c r="M161" s="7">
        <v>0</v>
      </c>
      <c r="N161" s="7">
        <v>191</v>
      </c>
    </row>
    <row r="162" spans="1:14" x14ac:dyDescent="0.35">
      <c r="A162" s="2" t="s">
        <v>47</v>
      </c>
      <c r="B162" s="6">
        <v>0</v>
      </c>
      <c r="C162" s="6">
        <v>2883</v>
      </c>
      <c r="D162" s="2" t="s">
        <v>15</v>
      </c>
      <c r="E162" s="2" t="s">
        <v>15</v>
      </c>
      <c r="F162" s="2" t="s">
        <v>48</v>
      </c>
      <c r="G162" s="2" t="s">
        <v>49</v>
      </c>
      <c r="H162" s="2" t="s">
        <v>48</v>
      </c>
      <c r="I162" s="4">
        <v>256779410157</v>
      </c>
      <c r="L162" s="4">
        <v>246779413745</v>
      </c>
      <c r="M162" s="7">
        <v>0</v>
      </c>
      <c r="N162" s="7">
        <v>3064</v>
      </c>
    </row>
    <row r="163" spans="1:14" x14ac:dyDescent="0.35">
      <c r="A163" s="2" t="s">
        <v>47</v>
      </c>
      <c r="B163" s="6">
        <v>0</v>
      </c>
      <c r="C163" s="6">
        <v>4913</v>
      </c>
      <c r="D163" s="2" t="s">
        <v>15</v>
      </c>
      <c r="E163" s="2" t="s">
        <v>15</v>
      </c>
      <c r="F163" s="2" t="s">
        <v>50</v>
      </c>
      <c r="G163" s="2" t="s">
        <v>31</v>
      </c>
      <c r="H163" s="2" t="s">
        <v>50</v>
      </c>
      <c r="I163" s="4">
        <v>256779410156</v>
      </c>
      <c r="L163" s="4">
        <v>246779413753</v>
      </c>
      <c r="M163" s="7">
        <v>0</v>
      </c>
      <c r="N163" s="7">
        <v>31723</v>
      </c>
    </row>
    <row r="164" spans="1:14" x14ac:dyDescent="0.35">
      <c r="A164" s="2" t="s">
        <v>47</v>
      </c>
      <c r="B164" s="6">
        <v>0</v>
      </c>
      <c r="C164" s="6">
        <v>13011</v>
      </c>
      <c r="D164" s="2" t="s">
        <v>15</v>
      </c>
      <c r="E164" s="2" t="s">
        <v>15</v>
      </c>
      <c r="F164" s="2" t="s">
        <v>51</v>
      </c>
      <c r="G164" s="2" t="s">
        <v>21</v>
      </c>
      <c r="H164" s="2" t="s">
        <v>51</v>
      </c>
      <c r="I164" s="4">
        <v>256779410166</v>
      </c>
      <c r="L164" s="4">
        <v>246779413762</v>
      </c>
      <c r="M164" s="7">
        <v>0</v>
      </c>
      <c r="N164" s="7">
        <v>191</v>
      </c>
    </row>
    <row r="165" spans="1:14" x14ac:dyDescent="0.35">
      <c r="A165" s="2" t="s">
        <v>47</v>
      </c>
      <c r="B165" s="6">
        <v>0</v>
      </c>
      <c r="C165" s="6">
        <v>6205</v>
      </c>
      <c r="D165" s="2" t="s">
        <v>15</v>
      </c>
      <c r="E165" s="2" t="s">
        <v>15</v>
      </c>
      <c r="F165" s="2" t="s">
        <v>52</v>
      </c>
      <c r="G165" s="2" t="s">
        <v>21</v>
      </c>
      <c r="H165" s="2" t="s">
        <v>52</v>
      </c>
      <c r="I165" s="4">
        <v>256779410174</v>
      </c>
      <c r="L165" s="4">
        <v>246779413772</v>
      </c>
      <c r="M165" s="7">
        <v>0</v>
      </c>
      <c r="N165" s="7">
        <v>994</v>
      </c>
    </row>
    <row r="166" spans="1:14" x14ac:dyDescent="0.35">
      <c r="A166" s="2" t="s">
        <v>47</v>
      </c>
      <c r="B166" s="6">
        <v>0</v>
      </c>
      <c r="C166" s="6">
        <v>2937</v>
      </c>
      <c r="D166" s="2" t="s">
        <v>15</v>
      </c>
      <c r="E166" s="2" t="s">
        <v>15</v>
      </c>
      <c r="F166" s="2" t="s">
        <v>53</v>
      </c>
      <c r="G166" s="2" t="s">
        <v>17</v>
      </c>
      <c r="H166" s="2" t="s">
        <v>53</v>
      </c>
      <c r="I166" s="4">
        <v>256779410201</v>
      </c>
      <c r="L166" s="4">
        <v>246779413782</v>
      </c>
      <c r="M166" s="7">
        <v>0</v>
      </c>
      <c r="N166" s="7">
        <v>596</v>
      </c>
    </row>
    <row r="167" spans="1:14" x14ac:dyDescent="0.35">
      <c r="A167" s="2" t="s">
        <v>47</v>
      </c>
      <c r="B167" s="6">
        <v>0</v>
      </c>
      <c r="C167" s="6">
        <v>319</v>
      </c>
      <c r="D167" s="2" t="s">
        <v>15</v>
      </c>
      <c r="E167" s="2" t="s">
        <v>15</v>
      </c>
      <c r="F167" s="2" t="s">
        <v>54</v>
      </c>
      <c r="G167" s="2" t="s">
        <v>55</v>
      </c>
      <c r="H167" s="2" t="s">
        <v>54</v>
      </c>
      <c r="I167" s="4">
        <v>256779410135</v>
      </c>
      <c r="L167" s="4">
        <v>246779413796</v>
      </c>
      <c r="M167" s="7">
        <v>0</v>
      </c>
      <c r="N167" s="7">
        <v>163631</v>
      </c>
    </row>
    <row r="168" spans="1:14" x14ac:dyDescent="0.35">
      <c r="A168" s="2" t="s">
        <v>47</v>
      </c>
      <c r="B168" s="6">
        <v>0</v>
      </c>
      <c r="C168" s="6">
        <v>639</v>
      </c>
      <c r="D168" s="2" t="s">
        <v>15</v>
      </c>
      <c r="E168" s="2" t="s">
        <v>15</v>
      </c>
      <c r="F168" s="2" t="s">
        <v>56</v>
      </c>
      <c r="G168" s="2" t="s">
        <v>31</v>
      </c>
      <c r="H168" s="2" t="s">
        <v>56</v>
      </c>
      <c r="I168" s="4">
        <v>256779410134</v>
      </c>
      <c r="L168" s="4">
        <v>246779413816</v>
      </c>
      <c r="M168" s="7">
        <v>0</v>
      </c>
      <c r="N168" s="7">
        <v>18610</v>
      </c>
    </row>
    <row r="169" spans="1:14" x14ac:dyDescent="0.35">
      <c r="A169" s="2" t="s">
        <v>60</v>
      </c>
      <c r="B169" s="6">
        <v>0</v>
      </c>
      <c r="C169" s="6">
        <v>331566</v>
      </c>
      <c r="D169" s="2" t="s">
        <v>15</v>
      </c>
      <c r="E169" s="2" t="s">
        <v>15</v>
      </c>
      <c r="F169" s="2" t="s">
        <v>61</v>
      </c>
      <c r="G169" s="2" t="s">
        <v>36</v>
      </c>
      <c r="H169" s="2" t="s">
        <v>61</v>
      </c>
      <c r="I169" s="4">
        <v>256779410812</v>
      </c>
      <c r="L169" s="4">
        <v>246779413827</v>
      </c>
      <c r="M169" s="7">
        <v>0</v>
      </c>
      <c r="N169" s="7">
        <v>31723</v>
      </c>
    </row>
    <row r="170" spans="1:14" x14ac:dyDescent="0.35">
      <c r="A170" s="2" t="s">
        <v>60</v>
      </c>
      <c r="B170" s="6">
        <v>0</v>
      </c>
      <c r="C170" s="6">
        <v>384955</v>
      </c>
      <c r="D170" s="2" t="s">
        <v>15</v>
      </c>
      <c r="E170" s="2" t="s">
        <v>15</v>
      </c>
      <c r="F170" s="2" t="s">
        <v>62</v>
      </c>
      <c r="G170" s="2" t="s">
        <v>36</v>
      </c>
      <c r="H170" s="2" t="s">
        <v>62</v>
      </c>
      <c r="I170" s="4">
        <v>256779410795</v>
      </c>
      <c r="L170" s="4">
        <v>246779413845</v>
      </c>
      <c r="M170" s="7">
        <v>0</v>
      </c>
      <c r="N170" s="7">
        <v>45188</v>
      </c>
    </row>
    <row r="171" spans="1:14" x14ac:dyDescent="0.35">
      <c r="A171" s="2" t="s">
        <v>63</v>
      </c>
      <c r="B171" s="6">
        <v>0</v>
      </c>
      <c r="C171" s="6">
        <v>13328</v>
      </c>
      <c r="D171" s="2" t="s">
        <v>15</v>
      </c>
      <c r="E171" s="2" t="s">
        <v>15</v>
      </c>
      <c r="F171" s="2" t="s">
        <v>64</v>
      </c>
      <c r="G171" s="2" t="s">
        <v>21</v>
      </c>
      <c r="H171" s="2" t="s">
        <v>64</v>
      </c>
      <c r="I171" s="4">
        <v>256779411150</v>
      </c>
      <c r="L171" s="4">
        <v>246779413933</v>
      </c>
      <c r="M171" s="7">
        <v>0</v>
      </c>
      <c r="N171" s="7">
        <v>846</v>
      </c>
    </row>
    <row r="172" spans="1:14" x14ac:dyDescent="0.35">
      <c r="A172" s="2" t="s">
        <v>63</v>
      </c>
      <c r="B172" s="6">
        <v>0</v>
      </c>
      <c r="C172" s="6">
        <v>25546</v>
      </c>
      <c r="D172" s="2" t="s">
        <v>15</v>
      </c>
      <c r="E172" s="2" t="s">
        <v>15</v>
      </c>
      <c r="F172" s="2" t="s">
        <v>65</v>
      </c>
      <c r="G172" s="2" t="s">
        <v>66</v>
      </c>
      <c r="H172" s="2" t="s">
        <v>65</v>
      </c>
      <c r="I172" s="4">
        <v>256779411148</v>
      </c>
      <c r="L172" s="4">
        <v>246779414141</v>
      </c>
      <c r="M172" s="7">
        <v>0</v>
      </c>
      <c r="N172" s="7">
        <v>4652</v>
      </c>
    </row>
    <row r="173" spans="1:14" x14ac:dyDescent="0.35">
      <c r="A173" s="2" t="s">
        <v>63</v>
      </c>
      <c r="B173" s="6">
        <v>0</v>
      </c>
      <c r="C173" s="6">
        <v>2664</v>
      </c>
      <c r="D173" s="2" t="s">
        <v>15</v>
      </c>
      <c r="E173" s="2" t="s">
        <v>15</v>
      </c>
      <c r="F173" s="2" t="s">
        <v>67</v>
      </c>
      <c r="G173" s="2" t="s">
        <v>31</v>
      </c>
      <c r="H173" s="2" t="s">
        <v>67</v>
      </c>
      <c r="I173" s="4">
        <v>256779411149</v>
      </c>
      <c r="L173" s="4">
        <v>246779414142</v>
      </c>
      <c r="M173" s="7">
        <v>0</v>
      </c>
      <c r="N173" s="7">
        <v>1268</v>
      </c>
    </row>
    <row r="174" spans="1:14" x14ac:dyDescent="0.35">
      <c r="A174" s="2" t="s">
        <v>63</v>
      </c>
      <c r="B174" s="6">
        <v>0</v>
      </c>
      <c r="C174" s="6">
        <v>790</v>
      </c>
      <c r="D174" s="2" t="s">
        <v>15</v>
      </c>
      <c r="E174" s="2" t="s">
        <v>15</v>
      </c>
      <c r="F174" s="2" t="s">
        <v>68</v>
      </c>
      <c r="G174" s="2" t="s">
        <v>31</v>
      </c>
      <c r="H174" s="2" t="s">
        <v>68</v>
      </c>
      <c r="I174" s="4">
        <v>256779411564</v>
      </c>
      <c r="L174" s="4">
        <v>246779414221</v>
      </c>
      <c r="M174" s="7">
        <v>0</v>
      </c>
      <c r="N174" s="7">
        <v>17701</v>
      </c>
    </row>
    <row r="175" spans="1:14" x14ac:dyDescent="0.35">
      <c r="A175" s="2" t="s">
        <v>63</v>
      </c>
      <c r="B175" s="6">
        <v>0</v>
      </c>
      <c r="C175" s="6">
        <v>198</v>
      </c>
      <c r="D175" s="2" t="s">
        <v>15</v>
      </c>
      <c r="E175" s="2" t="s">
        <v>15</v>
      </c>
      <c r="F175" s="2" t="s">
        <v>69</v>
      </c>
      <c r="G175" s="2" t="s">
        <v>21</v>
      </c>
      <c r="H175" s="2" t="s">
        <v>69</v>
      </c>
      <c r="I175" s="4">
        <v>256779411563</v>
      </c>
      <c r="L175" s="4">
        <v>246779414317</v>
      </c>
      <c r="M175" s="7">
        <v>0</v>
      </c>
      <c r="N175" s="7">
        <v>1907</v>
      </c>
    </row>
    <row r="176" spans="1:14" x14ac:dyDescent="0.35">
      <c r="A176" s="2" t="s">
        <v>63</v>
      </c>
      <c r="B176" s="6">
        <v>0</v>
      </c>
      <c r="C176" s="6">
        <v>13629</v>
      </c>
      <c r="D176" s="2" t="s">
        <v>15</v>
      </c>
      <c r="E176" s="2" t="s">
        <v>15</v>
      </c>
      <c r="F176" s="2" t="s">
        <v>70</v>
      </c>
      <c r="G176" s="2" t="s">
        <v>71</v>
      </c>
      <c r="H176" s="2" t="s">
        <v>70</v>
      </c>
      <c r="I176" s="4">
        <v>256779411151</v>
      </c>
      <c r="L176" s="4">
        <v>246779414467</v>
      </c>
      <c r="M176" s="7">
        <v>0</v>
      </c>
      <c r="N176" s="7">
        <v>2674</v>
      </c>
    </row>
    <row r="177" spans="1:14" x14ac:dyDescent="0.35">
      <c r="A177" s="2" t="s">
        <v>72</v>
      </c>
      <c r="B177" s="6">
        <v>0</v>
      </c>
      <c r="C177" s="6">
        <v>417286</v>
      </c>
      <c r="D177" s="2" t="s">
        <v>15</v>
      </c>
      <c r="E177" s="2" t="s">
        <v>15</v>
      </c>
      <c r="F177" s="2" t="s">
        <v>73</v>
      </c>
      <c r="G177" s="2" t="s">
        <v>36</v>
      </c>
      <c r="H177" s="2" t="s">
        <v>73</v>
      </c>
      <c r="I177" s="4">
        <v>256779412117</v>
      </c>
      <c r="L177" s="4">
        <v>246779414603</v>
      </c>
      <c r="M177" s="7">
        <v>0</v>
      </c>
      <c r="N177" s="7">
        <v>34760</v>
      </c>
    </row>
    <row r="178" spans="1:14" x14ac:dyDescent="0.35">
      <c r="A178" s="2" t="s">
        <v>72</v>
      </c>
      <c r="B178" s="6">
        <v>0</v>
      </c>
      <c r="C178" s="6">
        <v>1972</v>
      </c>
      <c r="D178" s="2" t="s">
        <v>15</v>
      </c>
      <c r="E178" s="2" t="s">
        <v>15</v>
      </c>
      <c r="F178" s="2" t="s">
        <v>74</v>
      </c>
      <c r="G178" s="2" t="s">
        <v>31</v>
      </c>
      <c r="H178" s="2" t="s">
        <v>74</v>
      </c>
      <c r="I178" s="4">
        <v>256779418075</v>
      </c>
      <c r="L178" s="4">
        <v>246779414680</v>
      </c>
      <c r="M178" s="7">
        <v>0</v>
      </c>
      <c r="N178" s="7">
        <v>383</v>
      </c>
    </row>
    <row r="179" spans="1:14" x14ac:dyDescent="0.35">
      <c r="A179" s="2" t="s">
        <v>72</v>
      </c>
      <c r="B179" s="6">
        <v>0</v>
      </c>
      <c r="C179" s="6">
        <v>1584</v>
      </c>
      <c r="D179" s="2" t="s">
        <v>15</v>
      </c>
      <c r="E179" s="2" t="s">
        <v>15</v>
      </c>
      <c r="F179" s="2" t="s">
        <v>75</v>
      </c>
      <c r="G179" s="2" t="s">
        <v>17</v>
      </c>
      <c r="H179" s="2" t="s">
        <v>75</v>
      </c>
      <c r="I179" s="4">
        <v>256779412065</v>
      </c>
      <c r="L179" s="4">
        <v>246779414681</v>
      </c>
      <c r="M179" s="7">
        <v>0</v>
      </c>
      <c r="N179" s="7">
        <v>1268</v>
      </c>
    </row>
    <row r="180" spans="1:14" x14ac:dyDescent="0.35">
      <c r="A180" s="2" t="s">
        <v>72</v>
      </c>
      <c r="B180" s="6">
        <v>0</v>
      </c>
      <c r="C180" s="6">
        <v>1256</v>
      </c>
      <c r="D180" s="2" t="s">
        <v>15</v>
      </c>
      <c r="E180" s="2" t="s">
        <v>15</v>
      </c>
      <c r="F180" s="2" t="s">
        <v>76</v>
      </c>
      <c r="G180" s="2" t="s">
        <v>21</v>
      </c>
      <c r="H180" s="2" t="s">
        <v>76</v>
      </c>
      <c r="I180" s="4">
        <v>256779411885</v>
      </c>
      <c r="L180" s="4">
        <v>246779414734</v>
      </c>
      <c r="M180" s="7">
        <v>0</v>
      </c>
      <c r="N180" s="7">
        <v>211</v>
      </c>
    </row>
    <row r="181" spans="1:14" x14ac:dyDescent="0.35">
      <c r="A181" s="2" t="s">
        <v>72</v>
      </c>
      <c r="B181" s="6">
        <v>0</v>
      </c>
      <c r="C181" s="6">
        <v>21549</v>
      </c>
      <c r="D181" s="2" t="s">
        <v>15</v>
      </c>
      <c r="E181" s="2" t="s">
        <v>15</v>
      </c>
      <c r="F181" s="2" t="s">
        <v>77</v>
      </c>
      <c r="G181" s="2" t="s">
        <v>17</v>
      </c>
      <c r="H181" s="2" t="s">
        <v>77</v>
      </c>
      <c r="I181" s="4">
        <v>256779412100</v>
      </c>
      <c r="L181" s="4">
        <v>246779414885</v>
      </c>
      <c r="M181" s="7">
        <v>0</v>
      </c>
      <c r="N181" s="7">
        <v>211</v>
      </c>
    </row>
    <row r="182" spans="1:14" x14ac:dyDescent="0.35">
      <c r="A182" s="2" t="s">
        <v>72</v>
      </c>
      <c r="B182" s="6">
        <v>0</v>
      </c>
      <c r="C182" s="6">
        <v>447</v>
      </c>
      <c r="D182" s="2" t="s">
        <v>15</v>
      </c>
      <c r="E182" s="2" t="s">
        <v>15</v>
      </c>
      <c r="F182" s="2" t="s">
        <v>78</v>
      </c>
      <c r="G182" s="2" t="s">
        <v>21</v>
      </c>
      <c r="H182" s="2" t="s">
        <v>78</v>
      </c>
      <c r="I182" s="4">
        <v>256779411886</v>
      </c>
      <c r="L182" s="4">
        <v>246779418620</v>
      </c>
      <c r="M182" s="7">
        <v>7320</v>
      </c>
      <c r="N182" s="7">
        <v>73283.168300000005</v>
      </c>
    </row>
    <row r="183" spans="1:14" x14ac:dyDescent="0.35">
      <c r="A183" s="2" t="s">
        <v>338</v>
      </c>
      <c r="B183" s="6">
        <v>970</v>
      </c>
      <c r="C183" s="6">
        <v>46651.936999999998</v>
      </c>
      <c r="D183" s="2" t="s">
        <v>15</v>
      </c>
      <c r="E183" s="2" t="s">
        <v>15</v>
      </c>
      <c r="F183" s="2" t="s">
        <v>344</v>
      </c>
      <c r="G183" s="2" t="s">
        <v>17</v>
      </c>
      <c r="H183" s="2" t="s">
        <v>345</v>
      </c>
      <c r="I183" s="4">
        <v>256779418103</v>
      </c>
      <c r="L183" s="4">
        <v>256779410004</v>
      </c>
      <c r="M183" s="7">
        <v>0</v>
      </c>
      <c r="N183" s="7">
        <v>55272</v>
      </c>
    </row>
    <row r="184" spans="1:14" x14ac:dyDescent="0.35">
      <c r="A184" s="2" t="s">
        <v>81</v>
      </c>
      <c r="B184" s="6">
        <v>0</v>
      </c>
      <c r="C184" s="6">
        <v>34962</v>
      </c>
      <c r="D184" s="2" t="s">
        <v>15</v>
      </c>
      <c r="E184" s="2" t="s">
        <v>15</v>
      </c>
      <c r="F184" s="2" t="s">
        <v>82</v>
      </c>
      <c r="G184" s="2" t="s">
        <v>43</v>
      </c>
      <c r="H184" s="2" t="s">
        <v>82</v>
      </c>
      <c r="I184" s="4">
        <v>256779412161</v>
      </c>
      <c r="L184" s="4">
        <v>256779410010</v>
      </c>
      <c r="M184" s="7">
        <v>0</v>
      </c>
      <c r="N184" s="7">
        <v>140649</v>
      </c>
    </row>
    <row r="185" spans="1:14" x14ac:dyDescent="0.35">
      <c r="A185" s="2" t="s">
        <v>83</v>
      </c>
      <c r="B185" s="6">
        <v>0</v>
      </c>
      <c r="C185" s="6">
        <v>2085</v>
      </c>
      <c r="D185" s="2" t="s">
        <v>15</v>
      </c>
      <c r="E185" s="2" t="s">
        <v>15</v>
      </c>
      <c r="F185" s="2" t="s">
        <v>84</v>
      </c>
      <c r="G185" s="2" t="s">
        <v>21</v>
      </c>
      <c r="H185" s="2" t="s">
        <v>84</v>
      </c>
      <c r="I185" s="4">
        <v>256779412655</v>
      </c>
      <c r="L185" s="4">
        <v>256779410134</v>
      </c>
      <c r="M185" s="7">
        <v>0</v>
      </c>
      <c r="N185" s="7">
        <v>639</v>
      </c>
    </row>
    <row r="186" spans="1:14" x14ac:dyDescent="0.35">
      <c r="A186" s="2" t="s">
        <v>83</v>
      </c>
      <c r="B186" s="6">
        <v>0</v>
      </c>
      <c r="C186" s="6">
        <v>3922</v>
      </c>
      <c r="D186" s="2" t="s">
        <v>15</v>
      </c>
      <c r="E186" s="2" t="s">
        <v>15</v>
      </c>
      <c r="F186" s="2" t="s">
        <v>85</v>
      </c>
      <c r="G186" s="2" t="s">
        <v>21</v>
      </c>
      <c r="H186" s="2" t="s">
        <v>85</v>
      </c>
      <c r="I186" s="4">
        <v>256779412613</v>
      </c>
      <c r="L186" s="4">
        <v>256779410135</v>
      </c>
      <c r="M186" s="7">
        <v>0</v>
      </c>
      <c r="N186" s="7">
        <v>319</v>
      </c>
    </row>
    <row r="187" spans="1:14" x14ac:dyDescent="0.35">
      <c r="A187" s="2" t="s">
        <v>83</v>
      </c>
      <c r="B187" s="6">
        <v>0</v>
      </c>
      <c r="C187" s="6">
        <v>14119</v>
      </c>
      <c r="D187" s="2" t="s">
        <v>15</v>
      </c>
      <c r="E187" s="2" t="s">
        <v>15</v>
      </c>
      <c r="F187" s="2" t="s">
        <v>86</v>
      </c>
      <c r="G187" s="2" t="s">
        <v>31</v>
      </c>
      <c r="H187" s="2" t="s">
        <v>86</v>
      </c>
      <c r="I187" s="4">
        <v>256779412468</v>
      </c>
      <c r="L187" s="4">
        <v>256779410156</v>
      </c>
      <c r="M187" s="7">
        <v>0</v>
      </c>
      <c r="N187" s="7">
        <v>4913</v>
      </c>
    </row>
    <row r="188" spans="1:14" x14ac:dyDescent="0.35">
      <c r="A188" s="2" t="s">
        <v>83</v>
      </c>
      <c r="B188" s="6">
        <v>0</v>
      </c>
      <c r="C188" s="6">
        <v>1447</v>
      </c>
      <c r="D188" s="2" t="s">
        <v>15</v>
      </c>
      <c r="E188" s="2" t="s">
        <v>15</v>
      </c>
      <c r="F188" s="2" t="s">
        <v>87</v>
      </c>
      <c r="G188" s="2" t="s">
        <v>88</v>
      </c>
      <c r="H188" s="2" t="s">
        <v>87</v>
      </c>
      <c r="I188" s="4">
        <v>256779412675</v>
      </c>
      <c r="L188" s="4">
        <v>256779410157</v>
      </c>
      <c r="M188" s="7">
        <v>0</v>
      </c>
      <c r="N188" s="7">
        <v>2883</v>
      </c>
    </row>
    <row r="189" spans="1:14" x14ac:dyDescent="0.35">
      <c r="A189" s="2" t="s">
        <v>83</v>
      </c>
      <c r="B189" s="6">
        <v>0</v>
      </c>
      <c r="C189" s="6">
        <v>43195</v>
      </c>
      <c r="D189" s="2" t="s">
        <v>15</v>
      </c>
      <c r="E189" s="2" t="s">
        <v>15</v>
      </c>
      <c r="F189" s="2" t="s">
        <v>89</v>
      </c>
      <c r="G189" s="2" t="s">
        <v>90</v>
      </c>
      <c r="H189" s="2" t="s">
        <v>89</v>
      </c>
      <c r="I189" s="4">
        <v>256779412683</v>
      </c>
      <c r="L189" s="4">
        <v>256779410166</v>
      </c>
      <c r="M189" s="7">
        <v>0</v>
      </c>
      <c r="N189" s="7">
        <v>13011</v>
      </c>
    </row>
    <row r="190" spans="1:14" x14ac:dyDescent="0.35">
      <c r="A190" s="2" t="s">
        <v>83</v>
      </c>
      <c r="B190" s="6">
        <v>0</v>
      </c>
      <c r="C190" s="6">
        <v>10809</v>
      </c>
      <c r="D190" s="2" t="s">
        <v>15</v>
      </c>
      <c r="E190" s="2" t="s">
        <v>15</v>
      </c>
      <c r="F190" s="2" t="s">
        <v>91</v>
      </c>
      <c r="G190" s="2" t="s">
        <v>31</v>
      </c>
      <c r="H190" s="2" t="s">
        <v>91</v>
      </c>
      <c r="I190" s="4">
        <v>256779412461</v>
      </c>
      <c r="L190" s="4">
        <v>256779410174</v>
      </c>
      <c r="M190" s="7">
        <v>0</v>
      </c>
      <c r="N190" s="7">
        <v>6205</v>
      </c>
    </row>
    <row r="191" spans="1:14" x14ac:dyDescent="0.35">
      <c r="A191" s="2" t="s">
        <v>92</v>
      </c>
      <c r="B191" s="6">
        <v>0</v>
      </c>
      <c r="C191" s="6">
        <v>1878</v>
      </c>
      <c r="D191" s="2" t="s">
        <v>15</v>
      </c>
      <c r="E191" s="2" t="s">
        <v>15</v>
      </c>
      <c r="F191" s="2" t="s">
        <v>93</v>
      </c>
      <c r="G191" s="2" t="s">
        <v>21</v>
      </c>
      <c r="H191" s="2" t="s">
        <v>93</v>
      </c>
      <c r="I191" s="4">
        <v>256779412926</v>
      </c>
      <c r="L191" s="4">
        <v>256779410201</v>
      </c>
      <c r="M191" s="7">
        <v>0</v>
      </c>
      <c r="N191" s="7">
        <v>2937</v>
      </c>
    </row>
    <row r="192" spans="1:14" x14ac:dyDescent="0.35">
      <c r="A192" s="2" t="s">
        <v>92</v>
      </c>
      <c r="B192" s="6">
        <v>0</v>
      </c>
      <c r="C192" s="6">
        <v>13211</v>
      </c>
      <c r="D192" s="2" t="s">
        <v>15</v>
      </c>
      <c r="E192" s="2" t="s">
        <v>15</v>
      </c>
      <c r="F192" s="2" t="s">
        <v>94</v>
      </c>
      <c r="G192" s="2" t="s">
        <v>21</v>
      </c>
      <c r="H192" s="2" t="s">
        <v>94</v>
      </c>
      <c r="I192" s="4">
        <v>256779412950</v>
      </c>
      <c r="L192" s="4">
        <v>256779410220</v>
      </c>
      <c r="M192" s="7">
        <v>0</v>
      </c>
      <c r="N192" s="7">
        <v>114223</v>
      </c>
    </row>
    <row r="193" spans="1:14" x14ac:dyDescent="0.35">
      <c r="A193" s="2" t="s">
        <v>92</v>
      </c>
      <c r="B193" s="6">
        <v>0</v>
      </c>
      <c r="C193" s="6">
        <v>27408</v>
      </c>
      <c r="D193" s="2" t="s">
        <v>15</v>
      </c>
      <c r="E193" s="2" t="s">
        <v>15</v>
      </c>
      <c r="F193" s="2" t="s">
        <v>95</v>
      </c>
      <c r="G193" s="2" t="s">
        <v>71</v>
      </c>
      <c r="H193" s="2" t="s">
        <v>95</v>
      </c>
      <c r="I193" s="4">
        <v>256779412941</v>
      </c>
      <c r="L193" s="4">
        <v>256779410795</v>
      </c>
      <c r="M193" s="7">
        <v>0</v>
      </c>
      <c r="N193" s="7">
        <v>384955</v>
      </c>
    </row>
    <row r="194" spans="1:14" x14ac:dyDescent="0.35">
      <c r="A194" s="2" t="s">
        <v>338</v>
      </c>
      <c r="B194" s="6">
        <v>10</v>
      </c>
      <c r="C194" s="6">
        <v>506</v>
      </c>
      <c r="D194" s="2" t="s">
        <v>15</v>
      </c>
      <c r="E194" s="2" t="s">
        <v>15</v>
      </c>
      <c r="F194" s="2" t="s">
        <v>353</v>
      </c>
      <c r="G194" s="2" t="s">
        <v>270</v>
      </c>
      <c r="H194" s="2" t="s">
        <v>354</v>
      </c>
      <c r="I194" s="4">
        <v>256779418103</v>
      </c>
      <c r="L194" s="4">
        <v>256779410812</v>
      </c>
      <c r="M194" s="7">
        <v>0</v>
      </c>
      <c r="N194" s="7">
        <v>331566</v>
      </c>
    </row>
    <row r="195" spans="1:14" x14ac:dyDescent="0.35">
      <c r="A195" s="2" t="s">
        <v>97</v>
      </c>
      <c r="B195" s="6">
        <v>0</v>
      </c>
      <c r="C195" s="6">
        <v>7981</v>
      </c>
      <c r="D195" s="2" t="s">
        <v>15</v>
      </c>
      <c r="E195" s="2" t="s">
        <v>15</v>
      </c>
      <c r="F195" s="2" t="s">
        <v>98</v>
      </c>
      <c r="G195" s="2" t="s">
        <v>17</v>
      </c>
      <c r="H195" s="2" t="s">
        <v>98</v>
      </c>
      <c r="I195" s="4">
        <v>256779412777</v>
      </c>
      <c r="L195" s="4">
        <v>256779411148</v>
      </c>
      <c r="M195" s="7">
        <v>0</v>
      </c>
      <c r="N195" s="7">
        <v>25546</v>
      </c>
    </row>
    <row r="196" spans="1:14" x14ac:dyDescent="0.35">
      <c r="A196" s="2" t="s">
        <v>99</v>
      </c>
      <c r="B196" s="6">
        <v>0</v>
      </c>
      <c r="C196" s="6">
        <v>15927</v>
      </c>
      <c r="D196" s="2" t="s">
        <v>15</v>
      </c>
      <c r="E196" s="2" t="s">
        <v>15</v>
      </c>
      <c r="F196" s="2" t="s">
        <v>100</v>
      </c>
      <c r="G196" s="2" t="s">
        <v>31</v>
      </c>
      <c r="H196" s="2" t="s">
        <v>100</v>
      </c>
      <c r="I196" s="4">
        <v>256779413163</v>
      </c>
      <c r="L196" s="4">
        <v>256779411149</v>
      </c>
      <c r="M196" s="7">
        <v>0</v>
      </c>
      <c r="N196" s="7">
        <v>2664</v>
      </c>
    </row>
    <row r="197" spans="1:14" x14ac:dyDescent="0.35">
      <c r="A197" s="2" t="s">
        <v>99</v>
      </c>
      <c r="B197" s="6">
        <v>0</v>
      </c>
      <c r="C197" s="6">
        <v>35097</v>
      </c>
      <c r="D197" s="2" t="s">
        <v>15</v>
      </c>
      <c r="E197" s="2" t="s">
        <v>15</v>
      </c>
      <c r="F197" s="2" t="s">
        <v>101</v>
      </c>
      <c r="G197" s="2" t="s">
        <v>43</v>
      </c>
      <c r="H197" s="2" t="s">
        <v>101</v>
      </c>
      <c r="I197" s="4">
        <v>256779413127</v>
      </c>
      <c r="L197" s="4">
        <v>256779411150</v>
      </c>
      <c r="M197" s="7">
        <v>0</v>
      </c>
      <c r="N197" s="7">
        <v>13328</v>
      </c>
    </row>
    <row r="198" spans="1:14" x14ac:dyDescent="0.35">
      <c r="A198" s="2" t="s">
        <v>99</v>
      </c>
      <c r="B198" s="6">
        <v>0</v>
      </c>
      <c r="C198" s="6">
        <v>11810</v>
      </c>
      <c r="D198" s="2" t="s">
        <v>15</v>
      </c>
      <c r="E198" s="2" t="s">
        <v>15</v>
      </c>
      <c r="F198" s="2" t="s">
        <v>102</v>
      </c>
      <c r="G198" s="2" t="s">
        <v>21</v>
      </c>
      <c r="H198" s="2" t="s">
        <v>102</v>
      </c>
      <c r="I198" s="4">
        <v>256779413172</v>
      </c>
      <c r="L198" s="4">
        <v>256779411151</v>
      </c>
      <c r="M198" s="7">
        <v>0</v>
      </c>
      <c r="N198" s="7">
        <v>13629</v>
      </c>
    </row>
    <row r="199" spans="1:14" x14ac:dyDescent="0.35">
      <c r="A199" s="2" t="s">
        <v>99</v>
      </c>
      <c r="B199" s="6">
        <v>0</v>
      </c>
      <c r="C199" s="6">
        <v>3623</v>
      </c>
      <c r="D199" s="2" t="s">
        <v>15</v>
      </c>
      <c r="E199" s="2" t="s">
        <v>15</v>
      </c>
      <c r="F199" s="2" t="s">
        <v>103</v>
      </c>
      <c r="G199" s="2" t="s">
        <v>17</v>
      </c>
      <c r="H199" s="2" t="s">
        <v>103</v>
      </c>
      <c r="I199" s="4">
        <v>256779413243</v>
      </c>
      <c r="L199" s="4">
        <v>256779411563</v>
      </c>
      <c r="M199" s="7">
        <v>0</v>
      </c>
      <c r="N199" s="7">
        <v>198</v>
      </c>
    </row>
    <row r="200" spans="1:14" x14ac:dyDescent="0.35">
      <c r="A200" s="2" t="s">
        <v>104</v>
      </c>
      <c r="B200" s="6">
        <v>0</v>
      </c>
      <c r="C200" s="6">
        <v>1264</v>
      </c>
      <c r="D200" s="2" t="s">
        <v>15</v>
      </c>
      <c r="E200" s="2" t="s">
        <v>15</v>
      </c>
      <c r="F200" s="2" t="s">
        <v>105</v>
      </c>
      <c r="G200" s="2" t="s">
        <v>21</v>
      </c>
      <c r="H200" s="2" t="s">
        <v>105</v>
      </c>
      <c r="I200" s="4">
        <v>256779413357</v>
      </c>
      <c r="L200" s="4">
        <v>256779411564</v>
      </c>
      <c r="M200" s="7">
        <v>0</v>
      </c>
      <c r="N200" s="7">
        <v>790</v>
      </c>
    </row>
    <row r="201" spans="1:14" x14ac:dyDescent="0.35">
      <c r="A201" s="2" t="s">
        <v>291</v>
      </c>
      <c r="B201" s="6">
        <v>0</v>
      </c>
      <c r="C201" s="6">
        <v>695663.66119999997</v>
      </c>
      <c r="D201" s="2" t="s">
        <v>15</v>
      </c>
      <c r="E201" s="2" t="s">
        <v>15</v>
      </c>
      <c r="F201" s="2" t="s">
        <v>301</v>
      </c>
      <c r="G201" s="2" t="s">
        <v>268</v>
      </c>
      <c r="H201" s="2" t="s">
        <v>301</v>
      </c>
      <c r="I201" s="4">
        <v>256779417084</v>
      </c>
      <c r="L201" s="4">
        <v>256779411807</v>
      </c>
      <c r="M201" s="7">
        <v>0</v>
      </c>
      <c r="N201" s="7">
        <v>2053.9</v>
      </c>
    </row>
    <row r="202" spans="1:14" x14ac:dyDescent="0.35">
      <c r="A202" s="2" t="s">
        <v>108</v>
      </c>
      <c r="B202" s="6">
        <v>0</v>
      </c>
      <c r="C202" s="6">
        <v>1054</v>
      </c>
      <c r="D202" s="2" t="s">
        <v>15</v>
      </c>
      <c r="E202" s="2" t="s">
        <v>15</v>
      </c>
      <c r="F202" s="2" t="s">
        <v>109</v>
      </c>
      <c r="G202" s="2" t="s">
        <v>21</v>
      </c>
      <c r="H202" s="2" t="s">
        <v>109</v>
      </c>
      <c r="I202" s="4">
        <v>256779413486</v>
      </c>
      <c r="L202" s="4">
        <v>256779411885</v>
      </c>
      <c r="M202" s="7">
        <v>0</v>
      </c>
      <c r="N202" s="7">
        <v>1256</v>
      </c>
    </row>
    <row r="203" spans="1:14" x14ac:dyDescent="0.35">
      <c r="A203" s="2" t="s">
        <v>108</v>
      </c>
      <c r="B203" s="6">
        <v>0</v>
      </c>
      <c r="C203" s="6">
        <v>12177</v>
      </c>
      <c r="D203" s="2" t="s">
        <v>15</v>
      </c>
      <c r="E203" s="2" t="s">
        <v>15</v>
      </c>
      <c r="F203" s="2" t="s">
        <v>110</v>
      </c>
      <c r="G203" s="2" t="s">
        <v>17</v>
      </c>
      <c r="H203" s="2" t="s">
        <v>110</v>
      </c>
      <c r="I203" s="4">
        <v>256779413837</v>
      </c>
      <c r="L203" s="4">
        <v>256779411886</v>
      </c>
      <c r="M203" s="7">
        <v>0</v>
      </c>
      <c r="N203" s="7">
        <v>447</v>
      </c>
    </row>
    <row r="204" spans="1:14" x14ac:dyDescent="0.35">
      <c r="A204" s="2" t="s">
        <v>111</v>
      </c>
      <c r="B204" s="6">
        <v>0</v>
      </c>
      <c r="C204" s="6">
        <v>3960</v>
      </c>
      <c r="D204" s="2" t="s">
        <v>15</v>
      </c>
      <c r="E204" s="2" t="s">
        <v>15</v>
      </c>
      <c r="F204" s="2" t="s">
        <v>112</v>
      </c>
      <c r="G204" s="2" t="s">
        <v>31</v>
      </c>
      <c r="H204" s="2" t="s">
        <v>112</v>
      </c>
      <c r="I204" s="4">
        <v>256779413405</v>
      </c>
      <c r="L204" s="4">
        <v>256779411917</v>
      </c>
      <c r="M204" s="7">
        <v>0</v>
      </c>
      <c r="N204" s="7">
        <v>12169</v>
      </c>
    </row>
    <row r="205" spans="1:14" x14ac:dyDescent="0.35">
      <c r="A205" s="2" t="s">
        <v>111</v>
      </c>
      <c r="B205" s="6">
        <v>0</v>
      </c>
      <c r="C205" s="6">
        <v>7129</v>
      </c>
      <c r="D205" s="2" t="s">
        <v>15</v>
      </c>
      <c r="E205" s="2" t="s">
        <v>15</v>
      </c>
      <c r="F205" s="2" t="s">
        <v>113</v>
      </c>
      <c r="G205" s="2" t="s">
        <v>31</v>
      </c>
      <c r="H205" s="2" t="s">
        <v>113</v>
      </c>
      <c r="I205" s="4">
        <v>256779413404</v>
      </c>
      <c r="L205" s="4">
        <v>256779412065</v>
      </c>
      <c r="M205" s="7">
        <v>0</v>
      </c>
      <c r="N205" s="7">
        <v>1584</v>
      </c>
    </row>
    <row r="206" spans="1:14" x14ac:dyDescent="0.35">
      <c r="A206" s="2" t="s">
        <v>111</v>
      </c>
      <c r="B206" s="6">
        <v>0</v>
      </c>
      <c r="C206" s="6">
        <v>990</v>
      </c>
      <c r="D206" s="2" t="s">
        <v>15</v>
      </c>
      <c r="E206" s="2" t="s">
        <v>15</v>
      </c>
      <c r="F206" s="2" t="s">
        <v>114</v>
      </c>
      <c r="G206" s="2" t="s">
        <v>21</v>
      </c>
      <c r="H206" s="2" t="s">
        <v>114</v>
      </c>
      <c r="I206" s="4">
        <v>256779413427</v>
      </c>
      <c r="L206" s="4">
        <v>256779412100</v>
      </c>
      <c r="M206" s="7">
        <v>0</v>
      </c>
      <c r="N206" s="7">
        <v>21549</v>
      </c>
    </row>
    <row r="207" spans="1:14" x14ac:dyDescent="0.35">
      <c r="A207" s="2" t="s">
        <v>111</v>
      </c>
      <c r="B207" s="6">
        <v>0</v>
      </c>
      <c r="C207" s="6">
        <v>990</v>
      </c>
      <c r="D207" s="2" t="s">
        <v>15</v>
      </c>
      <c r="E207" s="2" t="s">
        <v>15</v>
      </c>
      <c r="F207" s="2" t="s">
        <v>115</v>
      </c>
      <c r="G207" s="2" t="s">
        <v>21</v>
      </c>
      <c r="H207" s="2" t="s">
        <v>115</v>
      </c>
      <c r="I207" s="4">
        <v>256779413428</v>
      </c>
      <c r="L207" s="4">
        <v>256779412117</v>
      </c>
      <c r="M207" s="7">
        <v>0</v>
      </c>
      <c r="N207" s="7">
        <v>417286</v>
      </c>
    </row>
    <row r="208" spans="1:14" x14ac:dyDescent="0.35">
      <c r="A208" s="2" t="s">
        <v>111</v>
      </c>
      <c r="B208" s="6">
        <v>0</v>
      </c>
      <c r="C208" s="6">
        <v>601</v>
      </c>
      <c r="D208" s="2" t="s">
        <v>15</v>
      </c>
      <c r="E208" s="2" t="s">
        <v>15</v>
      </c>
      <c r="F208" s="2" t="s">
        <v>116</v>
      </c>
      <c r="G208" s="2" t="s">
        <v>21</v>
      </c>
      <c r="H208" s="2" t="s">
        <v>116</v>
      </c>
      <c r="I208" s="4">
        <v>256779413429</v>
      </c>
      <c r="L208" s="4">
        <v>256779412161</v>
      </c>
      <c r="M208" s="7">
        <v>0</v>
      </c>
      <c r="N208" s="7">
        <v>34962</v>
      </c>
    </row>
    <row r="209" spans="1:14" x14ac:dyDescent="0.35">
      <c r="A209" s="2" t="s">
        <v>111</v>
      </c>
      <c r="B209" s="6">
        <v>0</v>
      </c>
      <c r="C209" s="6">
        <v>1201</v>
      </c>
      <c r="D209" s="2" t="s">
        <v>15</v>
      </c>
      <c r="E209" s="2" t="s">
        <v>15</v>
      </c>
      <c r="F209" s="2" t="s">
        <v>117</v>
      </c>
      <c r="G209" s="2" t="s">
        <v>21</v>
      </c>
      <c r="H209" s="2" t="s">
        <v>117</v>
      </c>
      <c r="I209" s="4">
        <v>256779413430</v>
      </c>
      <c r="L209" s="4">
        <v>256779412461</v>
      </c>
      <c r="M209" s="7">
        <v>0</v>
      </c>
      <c r="N209" s="7">
        <v>10809</v>
      </c>
    </row>
    <row r="210" spans="1:14" x14ac:dyDescent="0.35">
      <c r="A210" s="2" t="s">
        <v>118</v>
      </c>
      <c r="B210" s="6">
        <v>0</v>
      </c>
      <c r="C210" s="6">
        <v>333696</v>
      </c>
      <c r="D210" s="2" t="s">
        <v>15</v>
      </c>
      <c r="E210" s="2" t="s">
        <v>15</v>
      </c>
      <c r="F210" s="2" t="s">
        <v>119</v>
      </c>
      <c r="G210" s="2" t="s">
        <v>36</v>
      </c>
      <c r="H210" s="2" t="s">
        <v>119</v>
      </c>
      <c r="I210" s="4">
        <v>256779413899</v>
      </c>
      <c r="L210" s="4">
        <v>256779412468</v>
      </c>
      <c r="M210" s="7">
        <v>0</v>
      </c>
      <c r="N210" s="7">
        <v>14119</v>
      </c>
    </row>
    <row r="211" spans="1:14" x14ac:dyDescent="0.35">
      <c r="A211" s="2" t="s">
        <v>120</v>
      </c>
      <c r="B211" s="6">
        <v>177773</v>
      </c>
      <c r="C211" s="6">
        <v>0</v>
      </c>
      <c r="D211" s="2" t="s">
        <v>121</v>
      </c>
      <c r="E211" s="2" t="s">
        <v>122</v>
      </c>
      <c r="F211" s="2" t="s">
        <v>123</v>
      </c>
      <c r="G211" s="2" t="s">
        <v>124</v>
      </c>
      <c r="H211" s="2"/>
      <c r="I211" s="4"/>
      <c r="L211" s="4">
        <v>256779412613</v>
      </c>
      <c r="M211" s="7">
        <v>0</v>
      </c>
      <c r="N211" s="7">
        <v>3922</v>
      </c>
    </row>
    <row r="212" spans="1:14" x14ac:dyDescent="0.35">
      <c r="A212" s="2" t="s">
        <v>125</v>
      </c>
      <c r="B212" s="6">
        <v>0</v>
      </c>
      <c r="C212" s="6">
        <v>9844</v>
      </c>
      <c r="D212" s="2" t="s">
        <v>15</v>
      </c>
      <c r="E212" s="2" t="s">
        <v>15</v>
      </c>
      <c r="F212" s="2" t="s">
        <v>126</v>
      </c>
      <c r="G212" s="2" t="s">
        <v>21</v>
      </c>
      <c r="H212" s="2" t="s">
        <v>126</v>
      </c>
      <c r="I212" s="4">
        <v>256779414165</v>
      </c>
      <c r="L212" s="4">
        <v>256779412655</v>
      </c>
      <c r="M212" s="7">
        <v>0</v>
      </c>
      <c r="N212" s="7">
        <v>2085</v>
      </c>
    </row>
    <row r="213" spans="1:14" x14ac:dyDescent="0.35">
      <c r="A213" s="2" t="s">
        <v>125</v>
      </c>
      <c r="B213" s="6">
        <v>0</v>
      </c>
      <c r="C213" s="6">
        <v>8407</v>
      </c>
      <c r="D213" s="2" t="s">
        <v>15</v>
      </c>
      <c r="E213" s="2" t="s">
        <v>15</v>
      </c>
      <c r="F213" s="2" t="s">
        <v>127</v>
      </c>
      <c r="G213" s="2" t="s">
        <v>21</v>
      </c>
      <c r="H213" s="2" t="s">
        <v>127</v>
      </c>
      <c r="I213" s="4">
        <v>256779414216</v>
      </c>
      <c r="L213" s="4">
        <v>256779412675</v>
      </c>
      <c r="M213" s="7">
        <v>0</v>
      </c>
      <c r="N213" s="7">
        <v>1447</v>
      </c>
    </row>
    <row r="214" spans="1:14" x14ac:dyDescent="0.35">
      <c r="A214" s="2" t="s">
        <v>125</v>
      </c>
      <c r="B214" s="6">
        <v>500946.52</v>
      </c>
      <c r="C214" s="6">
        <v>0</v>
      </c>
      <c r="D214" s="2" t="s">
        <v>121</v>
      </c>
      <c r="E214" s="2" t="s">
        <v>122</v>
      </c>
      <c r="F214" s="2" t="s">
        <v>128</v>
      </c>
      <c r="G214" s="2" t="s">
        <v>124</v>
      </c>
      <c r="H214" s="2" t="s">
        <v>129</v>
      </c>
      <c r="I214" s="4"/>
      <c r="L214" s="4">
        <v>256779412683</v>
      </c>
      <c r="M214" s="7">
        <v>0</v>
      </c>
      <c r="N214" s="7">
        <v>43195</v>
      </c>
    </row>
    <row r="215" spans="1:14" x14ac:dyDescent="0.35">
      <c r="A215" s="2" t="s">
        <v>125</v>
      </c>
      <c r="B215" s="6">
        <v>0</v>
      </c>
      <c r="C215" s="6">
        <v>17313</v>
      </c>
      <c r="D215" s="2" t="s">
        <v>15</v>
      </c>
      <c r="E215" s="2" t="s">
        <v>15</v>
      </c>
      <c r="F215" s="2" t="s">
        <v>130</v>
      </c>
      <c r="G215" s="2" t="s">
        <v>80</v>
      </c>
      <c r="H215" s="2" t="s">
        <v>130</v>
      </c>
      <c r="I215" s="4">
        <v>256779414288</v>
      </c>
      <c r="L215" s="4">
        <v>256779412692</v>
      </c>
      <c r="M215" s="7">
        <v>0</v>
      </c>
      <c r="N215" s="7">
        <v>6084</v>
      </c>
    </row>
    <row r="216" spans="1:14" x14ac:dyDescent="0.35">
      <c r="A216" s="2" t="s">
        <v>125</v>
      </c>
      <c r="B216" s="6">
        <v>0</v>
      </c>
      <c r="C216" s="6">
        <v>41769</v>
      </c>
      <c r="D216" s="2" t="s">
        <v>15</v>
      </c>
      <c r="E216" s="2" t="s">
        <v>15</v>
      </c>
      <c r="F216" s="2" t="s">
        <v>131</v>
      </c>
      <c r="G216" s="2" t="s">
        <v>132</v>
      </c>
      <c r="H216" s="2" t="s">
        <v>131</v>
      </c>
      <c r="I216" s="4">
        <v>256779414158</v>
      </c>
      <c r="L216" s="4">
        <v>256779412777</v>
      </c>
      <c r="M216" s="7">
        <v>0</v>
      </c>
      <c r="N216" s="7">
        <v>7981</v>
      </c>
    </row>
    <row r="217" spans="1:14" x14ac:dyDescent="0.35">
      <c r="A217" s="2" t="s">
        <v>133</v>
      </c>
      <c r="B217" s="6">
        <v>0</v>
      </c>
      <c r="C217" s="6">
        <v>352792</v>
      </c>
      <c r="D217" s="2" t="s">
        <v>15</v>
      </c>
      <c r="E217" s="2" t="s">
        <v>15</v>
      </c>
      <c r="F217" s="2" t="s">
        <v>134</v>
      </c>
      <c r="G217" s="2" t="s">
        <v>36</v>
      </c>
      <c r="H217" s="2" t="s">
        <v>134</v>
      </c>
      <c r="I217" s="4">
        <v>256779414242</v>
      </c>
      <c r="L217" s="4">
        <v>256779412926</v>
      </c>
      <c r="M217" s="7">
        <v>0</v>
      </c>
      <c r="N217" s="7">
        <v>1878</v>
      </c>
    </row>
    <row r="218" spans="1:14" x14ac:dyDescent="0.35">
      <c r="A218" s="2" t="s">
        <v>135</v>
      </c>
      <c r="B218" s="6">
        <v>0</v>
      </c>
      <c r="C218" s="6">
        <v>35431</v>
      </c>
      <c r="D218" s="2" t="s">
        <v>15</v>
      </c>
      <c r="E218" s="2" t="s">
        <v>15</v>
      </c>
      <c r="F218" s="2" t="s">
        <v>136</v>
      </c>
      <c r="G218" s="2" t="s">
        <v>43</v>
      </c>
      <c r="H218" s="2" t="s">
        <v>136</v>
      </c>
      <c r="I218" s="4">
        <v>256779414386</v>
      </c>
      <c r="L218" s="4">
        <v>256779412941</v>
      </c>
      <c r="M218" s="7">
        <v>0</v>
      </c>
      <c r="N218" s="7">
        <v>27408</v>
      </c>
    </row>
    <row r="219" spans="1:14" x14ac:dyDescent="0.35">
      <c r="A219" s="2" t="s">
        <v>137</v>
      </c>
      <c r="B219" s="6">
        <v>700000</v>
      </c>
      <c r="C219" s="6">
        <v>0</v>
      </c>
      <c r="D219" s="2" t="s">
        <v>121</v>
      </c>
      <c r="E219" s="2" t="s">
        <v>122</v>
      </c>
      <c r="F219" s="2" t="s">
        <v>138</v>
      </c>
      <c r="G219" s="2" t="s">
        <v>124</v>
      </c>
      <c r="H219" s="2"/>
      <c r="I219" s="4"/>
      <c r="L219" s="4">
        <v>256779412950</v>
      </c>
      <c r="M219" s="7">
        <v>0</v>
      </c>
      <c r="N219" s="7">
        <v>13211</v>
      </c>
    </row>
    <row r="220" spans="1:14" x14ac:dyDescent="0.35">
      <c r="A220" s="2" t="s">
        <v>139</v>
      </c>
      <c r="B220" s="6">
        <v>700000</v>
      </c>
      <c r="C220" s="6">
        <v>0</v>
      </c>
      <c r="D220" s="2" t="s">
        <v>121</v>
      </c>
      <c r="E220" s="2" t="s">
        <v>122</v>
      </c>
      <c r="F220" s="2" t="s">
        <v>140</v>
      </c>
      <c r="G220" s="2" t="s">
        <v>124</v>
      </c>
      <c r="H220" s="2"/>
      <c r="I220" s="4"/>
      <c r="L220" s="4">
        <v>256779413127</v>
      </c>
      <c r="M220" s="7">
        <v>0</v>
      </c>
      <c r="N220" s="7">
        <v>35097</v>
      </c>
    </row>
    <row r="221" spans="1:14" x14ac:dyDescent="0.35">
      <c r="A221" s="2" t="s">
        <v>141</v>
      </c>
      <c r="B221" s="6">
        <v>700000</v>
      </c>
      <c r="C221" s="6">
        <v>0</v>
      </c>
      <c r="D221" s="2" t="s">
        <v>121</v>
      </c>
      <c r="E221" s="2" t="s">
        <v>122</v>
      </c>
      <c r="F221" s="2" t="s">
        <v>142</v>
      </c>
      <c r="G221" s="2" t="s">
        <v>124</v>
      </c>
      <c r="H221" s="2"/>
      <c r="I221" s="4"/>
      <c r="L221" s="4">
        <v>256779413163</v>
      </c>
      <c r="M221" s="7">
        <v>0</v>
      </c>
      <c r="N221" s="7">
        <v>15927</v>
      </c>
    </row>
    <row r="222" spans="1:14" x14ac:dyDescent="0.35">
      <c r="A222" s="2" t="s">
        <v>143</v>
      </c>
      <c r="B222" s="6">
        <v>700000</v>
      </c>
      <c r="C222" s="6">
        <v>0</v>
      </c>
      <c r="D222" s="2" t="s">
        <v>121</v>
      </c>
      <c r="E222" s="2" t="s">
        <v>122</v>
      </c>
      <c r="F222" s="2" t="s">
        <v>144</v>
      </c>
      <c r="G222" s="2" t="s">
        <v>124</v>
      </c>
      <c r="H222" s="2"/>
      <c r="I222" s="4"/>
      <c r="L222" s="4">
        <v>256779413172</v>
      </c>
      <c r="M222" s="7">
        <v>0</v>
      </c>
      <c r="N222" s="7">
        <v>11810</v>
      </c>
    </row>
    <row r="223" spans="1:14" x14ac:dyDescent="0.35">
      <c r="A223" s="2" t="s">
        <v>145</v>
      </c>
      <c r="B223" s="6">
        <v>700000</v>
      </c>
      <c r="C223" s="6">
        <v>0</v>
      </c>
      <c r="D223" s="2" t="s">
        <v>121</v>
      </c>
      <c r="E223" s="2" t="s">
        <v>122</v>
      </c>
      <c r="F223" s="2" t="s">
        <v>146</v>
      </c>
      <c r="G223" s="2" t="s">
        <v>124</v>
      </c>
      <c r="H223" s="2"/>
      <c r="I223" s="4"/>
      <c r="L223" s="4">
        <v>256779413184</v>
      </c>
      <c r="M223" s="7">
        <v>0</v>
      </c>
      <c r="N223" s="7">
        <v>11723.0177</v>
      </c>
    </row>
    <row r="224" spans="1:14" x14ac:dyDescent="0.35">
      <c r="A224" s="2" t="s">
        <v>104</v>
      </c>
      <c r="B224" s="6">
        <v>0</v>
      </c>
      <c r="C224" s="6">
        <v>11797</v>
      </c>
      <c r="D224" s="2" t="s">
        <v>15</v>
      </c>
      <c r="E224" s="2" t="s">
        <v>15</v>
      </c>
      <c r="F224" s="2" t="s">
        <v>106</v>
      </c>
      <c r="G224" s="2" t="s">
        <v>107</v>
      </c>
      <c r="H224" s="2" t="s">
        <v>106</v>
      </c>
      <c r="I224" s="4">
        <v>256779413283</v>
      </c>
      <c r="L224" s="4">
        <v>256779413243</v>
      </c>
      <c r="M224" s="7">
        <v>0</v>
      </c>
      <c r="N224" s="7">
        <v>3623</v>
      </c>
    </row>
    <row r="225" spans="1:14" x14ac:dyDescent="0.35">
      <c r="A225" s="2" t="s">
        <v>92</v>
      </c>
      <c r="B225" s="6">
        <v>0</v>
      </c>
      <c r="C225" s="6">
        <v>6084</v>
      </c>
      <c r="D225" s="2" t="s">
        <v>15</v>
      </c>
      <c r="E225" s="2" t="s">
        <v>15</v>
      </c>
      <c r="F225" s="2" t="s">
        <v>96</v>
      </c>
      <c r="G225" s="2" t="s">
        <v>80</v>
      </c>
      <c r="H225" s="2" t="s">
        <v>96</v>
      </c>
      <c r="I225" s="4">
        <v>256779412692</v>
      </c>
      <c r="L225" s="4">
        <v>256779413283</v>
      </c>
      <c r="M225" s="7">
        <v>0</v>
      </c>
      <c r="N225" s="7">
        <v>11797</v>
      </c>
    </row>
    <row r="226" spans="1:14" x14ac:dyDescent="0.35">
      <c r="A226" s="2" t="s">
        <v>72</v>
      </c>
      <c r="B226" s="6">
        <v>0</v>
      </c>
      <c r="C226" s="6">
        <v>12169</v>
      </c>
      <c r="D226" s="2" t="s">
        <v>15</v>
      </c>
      <c r="E226" s="2" t="s">
        <v>15</v>
      </c>
      <c r="F226" s="2" t="s">
        <v>79</v>
      </c>
      <c r="G226" s="2" t="s">
        <v>80</v>
      </c>
      <c r="H226" s="2" t="s">
        <v>79</v>
      </c>
      <c r="I226" s="4">
        <v>256779411917</v>
      </c>
      <c r="L226" s="4">
        <v>256779413357</v>
      </c>
      <c r="M226" s="7">
        <v>0</v>
      </c>
      <c r="N226" s="7">
        <v>1264</v>
      </c>
    </row>
    <row r="227" spans="1:14" x14ac:dyDescent="0.35">
      <c r="A227" s="2" t="s">
        <v>47</v>
      </c>
      <c r="B227" s="6">
        <v>0</v>
      </c>
      <c r="C227" s="6">
        <v>114223</v>
      </c>
      <c r="D227" s="2" t="s">
        <v>15</v>
      </c>
      <c r="E227" s="2" t="s">
        <v>15</v>
      </c>
      <c r="F227" s="2" t="s">
        <v>59</v>
      </c>
      <c r="G227" s="2" t="s">
        <v>36</v>
      </c>
      <c r="H227" s="2" t="s">
        <v>59</v>
      </c>
      <c r="I227" s="4">
        <v>256779410220</v>
      </c>
      <c r="L227" s="4">
        <v>256779413404</v>
      </c>
      <c r="M227" s="7">
        <v>0</v>
      </c>
      <c r="N227" s="7">
        <v>7129</v>
      </c>
    </row>
    <row r="228" spans="1:14" x14ac:dyDescent="0.35">
      <c r="A228" s="2" t="s">
        <v>47</v>
      </c>
      <c r="B228" s="6">
        <v>0</v>
      </c>
      <c r="C228" s="6">
        <v>140649</v>
      </c>
      <c r="D228" s="2" t="s">
        <v>15</v>
      </c>
      <c r="E228" s="2" t="s">
        <v>15</v>
      </c>
      <c r="F228" s="2" t="s">
        <v>57</v>
      </c>
      <c r="G228" s="2" t="s">
        <v>36</v>
      </c>
      <c r="H228" s="2" t="s">
        <v>57</v>
      </c>
      <c r="I228" s="4">
        <v>256779410010</v>
      </c>
      <c r="L228" s="4">
        <v>256779413405</v>
      </c>
      <c r="M228" s="7">
        <v>0</v>
      </c>
      <c r="N228" s="7">
        <v>3960</v>
      </c>
    </row>
    <row r="229" spans="1:14" x14ac:dyDescent="0.35">
      <c r="A229" s="2" t="s">
        <v>47</v>
      </c>
      <c r="B229" s="6">
        <v>0</v>
      </c>
      <c r="C229" s="6">
        <v>55272</v>
      </c>
      <c r="D229" s="2" t="s">
        <v>15</v>
      </c>
      <c r="E229" s="2" t="s">
        <v>15</v>
      </c>
      <c r="F229" s="2" t="s">
        <v>58</v>
      </c>
      <c r="G229" s="2" t="s">
        <v>36</v>
      </c>
      <c r="H229" s="2" t="s">
        <v>58</v>
      </c>
      <c r="I229" s="4">
        <v>256779410004</v>
      </c>
      <c r="L229" s="4">
        <v>256779413427</v>
      </c>
      <c r="M229" s="7">
        <v>0</v>
      </c>
      <c r="N229" s="7">
        <v>990</v>
      </c>
    </row>
    <row r="230" spans="1:14" x14ac:dyDescent="0.35">
      <c r="A230" s="2" t="s">
        <v>13</v>
      </c>
      <c r="B230" s="6">
        <v>0</v>
      </c>
      <c r="C230" s="6">
        <v>45188</v>
      </c>
      <c r="D230" s="2" t="s">
        <v>15</v>
      </c>
      <c r="E230" s="2" t="s">
        <v>15</v>
      </c>
      <c r="F230" s="2" t="s">
        <v>38</v>
      </c>
      <c r="G230" s="2" t="s">
        <v>39</v>
      </c>
      <c r="H230" s="2" t="s">
        <v>38</v>
      </c>
      <c r="I230" s="4">
        <v>246779413845</v>
      </c>
      <c r="L230" s="4">
        <v>256779413428</v>
      </c>
      <c r="M230" s="7">
        <v>0</v>
      </c>
      <c r="N230" s="7">
        <v>990</v>
      </c>
    </row>
    <row r="231" spans="1:14" x14ac:dyDescent="0.35">
      <c r="A231" s="1" t="s">
        <v>494</v>
      </c>
      <c r="B231" s="7">
        <v>0</v>
      </c>
      <c r="C231" s="7">
        <v>31723</v>
      </c>
      <c r="D231" s="1" t="s">
        <v>15</v>
      </c>
      <c r="E231" s="1" t="s">
        <v>15</v>
      </c>
      <c r="F231" s="1" t="s">
        <v>154</v>
      </c>
      <c r="G231" s="1" t="s">
        <v>107</v>
      </c>
      <c r="H231" s="1" t="s">
        <v>154</v>
      </c>
      <c r="I231" s="4">
        <v>246779413827</v>
      </c>
      <c r="L231" s="4">
        <v>256779413429</v>
      </c>
      <c r="M231" s="7">
        <v>0</v>
      </c>
      <c r="N231" s="7">
        <v>601</v>
      </c>
    </row>
    <row r="232" spans="1:14" x14ac:dyDescent="0.35">
      <c r="A232" s="2" t="s">
        <v>176</v>
      </c>
      <c r="B232" s="6">
        <v>700000</v>
      </c>
      <c r="C232" s="6">
        <v>0</v>
      </c>
      <c r="D232" s="2" t="s">
        <v>121</v>
      </c>
      <c r="E232" s="2" t="s">
        <v>122</v>
      </c>
      <c r="F232" s="2" t="s">
        <v>177</v>
      </c>
      <c r="G232" s="2" t="s">
        <v>124</v>
      </c>
      <c r="H232" s="2"/>
      <c r="I232" s="4"/>
      <c r="L232" s="4">
        <v>256779413430</v>
      </c>
      <c r="M232" s="7">
        <v>0</v>
      </c>
      <c r="N232" s="7">
        <v>1201</v>
      </c>
    </row>
    <row r="233" spans="1:14" x14ac:dyDescent="0.35">
      <c r="A233" s="2" t="s">
        <v>178</v>
      </c>
      <c r="B233" s="6">
        <v>0</v>
      </c>
      <c r="C233" s="6">
        <v>9368</v>
      </c>
      <c r="D233" s="2" t="s">
        <v>15</v>
      </c>
      <c r="E233" s="2" t="s">
        <v>15</v>
      </c>
      <c r="F233" s="2" t="s">
        <v>179</v>
      </c>
      <c r="G233" s="2" t="s">
        <v>31</v>
      </c>
      <c r="H233" s="2" t="s">
        <v>179</v>
      </c>
      <c r="I233" s="4">
        <v>256779415945</v>
      </c>
      <c r="L233" s="4">
        <v>256779413486</v>
      </c>
      <c r="M233" s="7">
        <v>0</v>
      </c>
      <c r="N233" s="7">
        <v>1054</v>
      </c>
    </row>
    <row r="234" spans="1:14" x14ac:dyDescent="0.35">
      <c r="A234" s="2" t="s">
        <v>180</v>
      </c>
      <c r="B234" s="6">
        <v>350672</v>
      </c>
      <c r="C234" s="6">
        <v>0</v>
      </c>
      <c r="D234" s="2" t="s">
        <v>121</v>
      </c>
      <c r="E234" s="2" t="s">
        <v>122</v>
      </c>
      <c r="F234" s="2" t="s">
        <v>181</v>
      </c>
      <c r="G234" s="2" t="s">
        <v>124</v>
      </c>
      <c r="H234" s="2"/>
      <c r="I234" s="4"/>
      <c r="L234" s="4">
        <v>256779413837</v>
      </c>
      <c r="M234" s="7">
        <v>0</v>
      </c>
      <c r="N234" s="7">
        <v>12177</v>
      </c>
    </row>
    <row r="235" spans="1:14" x14ac:dyDescent="0.35">
      <c r="A235" s="2" t="s">
        <v>180</v>
      </c>
      <c r="B235" s="6">
        <v>0</v>
      </c>
      <c r="C235" s="6">
        <v>32007</v>
      </c>
      <c r="D235" s="2" t="s">
        <v>15</v>
      </c>
      <c r="E235" s="2" t="s">
        <v>15</v>
      </c>
      <c r="F235" s="2" t="s">
        <v>182</v>
      </c>
      <c r="G235" s="2" t="s">
        <v>36</v>
      </c>
      <c r="H235" s="2" t="s">
        <v>182</v>
      </c>
      <c r="I235" s="4">
        <v>256779415967</v>
      </c>
      <c r="L235" s="4">
        <v>256779413899</v>
      </c>
      <c r="M235" s="7">
        <v>0</v>
      </c>
      <c r="N235" s="7">
        <v>333696</v>
      </c>
    </row>
    <row r="236" spans="1:14" x14ac:dyDescent="0.35">
      <c r="A236" s="2" t="s">
        <v>180</v>
      </c>
      <c r="B236" s="6">
        <v>0</v>
      </c>
      <c r="C236" s="6">
        <v>9348</v>
      </c>
      <c r="D236" s="2" t="s">
        <v>15</v>
      </c>
      <c r="E236" s="2" t="s">
        <v>15</v>
      </c>
      <c r="F236" s="2" t="s">
        <v>183</v>
      </c>
      <c r="G236" s="2" t="s">
        <v>36</v>
      </c>
      <c r="H236" s="2" t="s">
        <v>183</v>
      </c>
      <c r="I236" s="4">
        <v>256779415970</v>
      </c>
      <c r="L236" s="4">
        <v>256779414158</v>
      </c>
      <c r="M236" s="7">
        <v>0</v>
      </c>
      <c r="N236" s="7">
        <v>41769</v>
      </c>
    </row>
    <row r="237" spans="1:14" x14ac:dyDescent="0.35">
      <c r="A237" s="2" t="s">
        <v>180</v>
      </c>
      <c r="B237" s="6">
        <v>0</v>
      </c>
      <c r="C237" s="6">
        <v>196</v>
      </c>
      <c r="D237" s="2" t="s">
        <v>15</v>
      </c>
      <c r="E237" s="2" t="s">
        <v>15</v>
      </c>
      <c r="F237" s="2" t="s">
        <v>184</v>
      </c>
      <c r="G237" s="2" t="s">
        <v>17</v>
      </c>
      <c r="H237" s="2" t="s">
        <v>184</v>
      </c>
      <c r="I237" s="4">
        <v>256779415995</v>
      </c>
      <c r="L237" s="4">
        <v>256779414165</v>
      </c>
      <c r="M237" s="7">
        <v>0</v>
      </c>
      <c r="N237" s="7">
        <v>9844</v>
      </c>
    </row>
    <row r="238" spans="1:14" x14ac:dyDescent="0.35">
      <c r="A238" s="1" t="s">
        <v>494</v>
      </c>
      <c r="B238" s="7">
        <v>0</v>
      </c>
      <c r="C238" s="7">
        <v>18610</v>
      </c>
      <c r="D238" s="1" t="s">
        <v>15</v>
      </c>
      <c r="E238" s="1" t="s">
        <v>15</v>
      </c>
      <c r="F238" s="1" t="s">
        <v>152</v>
      </c>
      <c r="G238" s="1" t="s">
        <v>107</v>
      </c>
      <c r="H238" s="1" t="s">
        <v>152</v>
      </c>
      <c r="I238" s="4">
        <v>246779413816</v>
      </c>
      <c r="L238" s="4">
        <v>256779414216</v>
      </c>
      <c r="M238" s="7">
        <v>0</v>
      </c>
      <c r="N238" s="7">
        <v>8407</v>
      </c>
    </row>
    <row r="239" spans="1:14" x14ac:dyDescent="0.35">
      <c r="A239" s="2" t="s">
        <v>196</v>
      </c>
      <c r="B239" s="6">
        <v>0</v>
      </c>
      <c r="C239" s="6">
        <v>9124</v>
      </c>
      <c r="D239" s="2" t="s">
        <v>15</v>
      </c>
      <c r="E239" s="2" t="s">
        <v>15</v>
      </c>
      <c r="F239" s="2" t="s">
        <v>197</v>
      </c>
      <c r="G239" s="2" t="s">
        <v>21</v>
      </c>
      <c r="H239" s="2" t="s">
        <v>197</v>
      </c>
      <c r="I239" s="4">
        <v>256779416223</v>
      </c>
      <c r="L239" s="4">
        <v>256779414242</v>
      </c>
      <c r="M239" s="7">
        <v>0</v>
      </c>
      <c r="N239" s="7">
        <v>352792</v>
      </c>
    </row>
    <row r="240" spans="1:14" x14ac:dyDescent="0.35">
      <c r="A240" s="2" t="s">
        <v>196</v>
      </c>
      <c r="B240" s="6">
        <v>0</v>
      </c>
      <c r="C240" s="6">
        <v>4755</v>
      </c>
      <c r="D240" s="2" t="s">
        <v>15</v>
      </c>
      <c r="E240" s="2" t="s">
        <v>15</v>
      </c>
      <c r="F240" s="2" t="s">
        <v>198</v>
      </c>
      <c r="G240" s="2" t="s">
        <v>21</v>
      </c>
      <c r="H240" s="2" t="s">
        <v>198</v>
      </c>
      <c r="I240" s="4">
        <v>256779416256</v>
      </c>
      <c r="L240" s="4">
        <v>256779414288</v>
      </c>
      <c r="M240" s="7">
        <v>0</v>
      </c>
      <c r="N240" s="7">
        <v>17313</v>
      </c>
    </row>
    <row r="241" spans="1:14" x14ac:dyDescent="0.35">
      <c r="A241" s="2" t="s">
        <v>196</v>
      </c>
      <c r="B241" s="6">
        <v>0</v>
      </c>
      <c r="C241" s="6">
        <v>462828</v>
      </c>
      <c r="D241" s="2" t="s">
        <v>15</v>
      </c>
      <c r="E241" s="2" t="s">
        <v>15</v>
      </c>
      <c r="F241" s="2" t="s">
        <v>199</v>
      </c>
      <c r="G241" s="2" t="s">
        <v>200</v>
      </c>
      <c r="H241" s="2" t="s">
        <v>199</v>
      </c>
      <c r="I241" s="4">
        <v>256779416088</v>
      </c>
      <c r="L241" s="4">
        <v>256779414340</v>
      </c>
      <c r="M241" s="7">
        <v>0</v>
      </c>
      <c r="N241" s="7">
        <v>45061.335200000001</v>
      </c>
    </row>
    <row r="242" spans="1:14" x14ac:dyDescent="0.35">
      <c r="A242" s="2" t="s">
        <v>201</v>
      </c>
      <c r="B242" s="6">
        <v>0</v>
      </c>
      <c r="C242" s="6">
        <v>4790</v>
      </c>
      <c r="D242" s="2" t="s">
        <v>15</v>
      </c>
      <c r="E242" s="2" t="s">
        <v>15</v>
      </c>
      <c r="F242" s="2" t="s">
        <v>202</v>
      </c>
      <c r="G242" s="2" t="s">
        <v>90</v>
      </c>
      <c r="H242" s="2" t="s">
        <v>202</v>
      </c>
      <c r="I242" s="4">
        <v>256779416615</v>
      </c>
      <c r="L242" s="4">
        <v>256779414386</v>
      </c>
      <c r="M242" s="7">
        <v>0</v>
      </c>
      <c r="N242" s="7">
        <v>35431</v>
      </c>
    </row>
    <row r="243" spans="1:14" x14ac:dyDescent="0.35">
      <c r="A243" s="2" t="s">
        <v>201</v>
      </c>
      <c r="B243" s="6">
        <v>0</v>
      </c>
      <c r="C243" s="6">
        <v>6981</v>
      </c>
      <c r="D243" s="2" t="s">
        <v>15</v>
      </c>
      <c r="E243" s="2" t="s">
        <v>15</v>
      </c>
      <c r="F243" s="2" t="s">
        <v>203</v>
      </c>
      <c r="G243" s="2" t="s">
        <v>17</v>
      </c>
      <c r="H243" s="2" t="s">
        <v>203</v>
      </c>
      <c r="I243" s="4">
        <v>256779416809</v>
      </c>
      <c r="L243" s="4">
        <v>256779414743</v>
      </c>
      <c r="M243" s="7">
        <v>0</v>
      </c>
      <c r="N243" s="7">
        <v>6064.0230000000001</v>
      </c>
    </row>
    <row r="244" spans="1:14" x14ac:dyDescent="0.35">
      <c r="A244" s="2" t="s">
        <v>201</v>
      </c>
      <c r="B244" s="6">
        <v>0</v>
      </c>
      <c r="C244" s="6">
        <v>971</v>
      </c>
      <c r="D244" s="2" t="s">
        <v>15</v>
      </c>
      <c r="E244" s="2" t="s">
        <v>15</v>
      </c>
      <c r="F244" s="2" t="s">
        <v>204</v>
      </c>
      <c r="G244" s="2" t="s">
        <v>205</v>
      </c>
      <c r="H244" s="2" t="s">
        <v>204</v>
      </c>
      <c r="I244" s="4">
        <v>256779416878</v>
      </c>
      <c r="L244" s="4">
        <v>256779414748</v>
      </c>
      <c r="M244" s="7">
        <v>0</v>
      </c>
      <c r="N244" s="7">
        <v>1800.3510000000001</v>
      </c>
    </row>
    <row r="245" spans="1:14" x14ac:dyDescent="0.35">
      <c r="A245" s="2" t="s">
        <v>201</v>
      </c>
      <c r="B245" s="6">
        <v>0</v>
      </c>
      <c r="C245" s="6">
        <v>11922</v>
      </c>
      <c r="D245" s="2" t="s">
        <v>15</v>
      </c>
      <c r="E245" s="2" t="s">
        <v>15</v>
      </c>
      <c r="F245" s="2" t="s">
        <v>206</v>
      </c>
      <c r="G245" s="2" t="s">
        <v>207</v>
      </c>
      <c r="H245" s="2" t="s">
        <v>206</v>
      </c>
      <c r="I245" s="4">
        <v>256779416844</v>
      </c>
      <c r="L245" s="4">
        <v>256779414758</v>
      </c>
      <c r="M245" s="7">
        <v>0</v>
      </c>
      <c r="N245" s="7">
        <v>14610.374299999999</v>
      </c>
    </row>
    <row r="246" spans="1:14" x14ac:dyDescent="0.35">
      <c r="A246" s="2" t="s">
        <v>201</v>
      </c>
      <c r="B246" s="6">
        <v>0</v>
      </c>
      <c r="C246" s="6">
        <v>1463</v>
      </c>
      <c r="D246" s="2" t="s">
        <v>15</v>
      </c>
      <c r="E246" s="2" t="s">
        <v>15</v>
      </c>
      <c r="F246" s="2" t="s">
        <v>208</v>
      </c>
      <c r="G246" s="2" t="s">
        <v>209</v>
      </c>
      <c r="H246" s="2" t="s">
        <v>208</v>
      </c>
      <c r="I246" s="4">
        <v>256779416603</v>
      </c>
      <c r="L246" s="4">
        <v>256779414768</v>
      </c>
      <c r="M246" s="7">
        <v>0</v>
      </c>
      <c r="N246" s="7">
        <v>1492.1116</v>
      </c>
    </row>
    <row r="247" spans="1:14" x14ac:dyDescent="0.35">
      <c r="A247" s="2" t="s">
        <v>148</v>
      </c>
      <c r="B247" s="6">
        <v>0</v>
      </c>
      <c r="C247" s="6">
        <v>163631</v>
      </c>
      <c r="D247" s="2" t="s">
        <v>15</v>
      </c>
      <c r="E247" s="2" t="s">
        <v>15</v>
      </c>
      <c r="F247" s="2" t="s">
        <v>164</v>
      </c>
      <c r="G247" s="2" t="s">
        <v>36</v>
      </c>
      <c r="H247" s="2" t="s">
        <v>164</v>
      </c>
      <c r="I247" s="4">
        <v>246779413796</v>
      </c>
      <c r="L247" s="4">
        <v>256779414829</v>
      </c>
      <c r="M247" s="7">
        <v>0</v>
      </c>
      <c r="N247" s="7">
        <v>8595.7669999999998</v>
      </c>
    </row>
    <row r="248" spans="1:14" x14ac:dyDescent="0.35">
      <c r="A248" s="2" t="s">
        <v>13</v>
      </c>
      <c r="B248" s="6">
        <v>0</v>
      </c>
      <c r="C248" s="6">
        <v>19429</v>
      </c>
      <c r="D248" s="2" t="s">
        <v>15</v>
      </c>
      <c r="E248" s="2" t="s">
        <v>15</v>
      </c>
      <c r="F248" s="2" t="s">
        <v>40</v>
      </c>
      <c r="G248" s="2" t="s">
        <v>36</v>
      </c>
      <c r="H248" s="2" t="s">
        <v>40</v>
      </c>
      <c r="I248" s="4">
        <v>246779413705</v>
      </c>
      <c r="L248" s="4">
        <v>256779414878</v>
      </c>
      <c r="M248" s="7">
        <v>0</v>
      </c>
      <c r="N248" s="7">
        <v>2642.8006</v>
      </c>
    </row>
    <row r="249" spans="1:14" x14ac:dyDescent="0.35">
      <c r="A249" s="2" t="s">
        <v>148</v>
      </c>
      <c r="B249" s="6">
        <v>0</v>
      </c>
      <c r="C249" s="6">
        <v>31577</v>
      </c>
      <c r="D249" s="2" t="s">
        <v>15</v>
      </c>
      <c r="E249" s="2" t="s">
        <v>15</v>
      </c>
      <c r="F249" s="2" t="s">
        <v>169</v>
      </c>
      <c r="G249" s="2" t="s">
        <v>36</v>
      </c>
      <c r="H249" s="2" t="s">
        <v>169</v>
      </c>
      <c r="I249" s="4">
        <v>246779413702</v>
      </c>
      <c r="L249" s="4">
        <v>256779414890</v>
      </c>
      <c r="M249" s="7">
        <v>0</v>
      </c>
      <c r="N249" s="7">
        <v>91401.512100000007</v>
      </c>
    </row>
    <row r="250" spans="1:14" x14ac:dyDescent="0.35">
      <c r="A250" s="2" t="s">
        <v>185</v>
      </c>
      <c r="B250" s="6">
        <v>0</v>
      </c>
      <c r="C250" s="6">
        <v>18367</v>
      </c>
      <c r="D250" s="2" t="s">
        <v>15</v>
      </c>
      <c r="E250" s="2" t="s">
        <v>15</v>
      </c>
      <c r="F250" s="2" t="s">
        <v>195</v>
      </c>
      <c r="G250" s="2" t="s">
        <v>43</v>
      </c>
      <c r="H250" s="2" t="s">
        <v>195</v>
      </c>
      <c r="I250" s="4">
        <v>246779413701</v>
      </c>
      <c r="L250" s="4">
        <v>256779414944</v>
      </c>
      <c r="M250" s="7">
        <v>0</v>
      </c>
      <c r="N250" s="7">
        <v>35324.775199999996</v>
      </c>
    </row>
    <row r="251" spans="1:14" x14ac:dyDescent="0.35">
      <c r="A251" s="1" t="s">
        <v>494</v>
      </c>
      <c r="B251" s="7">
        <v>0</v>
      </c>
      <c r="C251" s="7">
        <v>17857</v>
      </c>
      <c r="D251" s="1" t="s">
        <v>15</v>
      </c>
      <c r="E251" s="1" t="s">
        <v>15</v>
      </c>
      <c r="F251" s="1" t="s">
        <v>156</v>
      </c>
      <c r="G251" s="1" t="s">
        <v>107</v>
      </c>
      <c r="H251" s="1" t="s">
        <v>156</v>
      </c>
      <c r="I251" s="4">
        <v>246779411339</v>
      </c>
      <c r="L251" s="4">
        <v>256779414968</v>
      </c>
      <c r="M251" s="7">
        <v>0</v>
      </c>
      <c r="N251" s="7">
        <v>2629.9005000000002</v>
      </c>
    </row>
    <row r="252" spans="1:14" x14ac:dyDescent="0.35">
      <c r="A252" s="1" t="s">
        <v>494</v>
      </c>
      <c r="B252" s="7">
        <v>0</v>
      </c>
      <c r="C252" s="7">
        <v>20874</v>
      </c>
      <c r="D252" s="1" t="s">
        <v>15</v>
      </c>
      <c r="E252" s="1" t="s">
        <v>15</v>
      </c>
      <c r="F252" s="1" t="s">
        <v>159</v>
      </c>
      <c r="G252" s="1" t="s">
        <v>107</v>
      </c>
      <c r="H252" s="1" t="s">
        <v>159</v>
      </c>
      <c r="I252" s="4">
        <v>246779411326</v>
      </c>
      <c r="L252" s="4">
        <v>256779414975</v>
      </c>
      <c r="M252" s="7">
        <v>0</v>
      </c>
      <c r="N252" s="7">
        <v>4562.3355000000001</v>
      </c>
    </row>
    <row r="253" spans="1:14" x14ac:dyDescent="0.35">
      <c r="A253" s="2" t="s">
        <v>230</v>
      </c>
      <c r="B253" s="6">
        <v>500000</v>
      </c>
      <c r="C253" s="6">
        <v>0</v>
      </c>
      <c r="D253" s="2" t="s">
        <v>121</v>
      </c>
      <c r="E253" s="2" t="s">
        <v>122</v>
      </c>
      <c r="F253" s="2" t="s">
        <v>231</v>
      </c>
      <c r="G253" s="2" t="s">
        <v>124</v>
      </c>
      <c r="H253" s="2" t="s">
        <v>232</v>
      </c>
      <c r="I253" s="4"/>
      <c r="L253" s="4">
        <v>256779415048</v>
      </c>
      <c r="M253" s="7">
        <v>0</v>
      </c>
      <c r="N253" s="7">
        <v>552.98429999999996</v>
      </c>
    </row>
    <row r="254" spans="1:14" x14ac:dyDescent="0.35">
      <c r="A254" s="2" t="s">
        <v>233</v>
      </c>
      <c r="B254" s="6">
        <v>108564</v>
      </c>
      <c r="C254" s="6">
        <v>0</v>
      </c>
      <c r="D254" s="2" t="s">
        <v>121</v>
      </c>
      <c r="E254" s="2" t="s">
        <v>122</v>
      </c>
      <c r="F254" s="2" t="s">
        <v>234</v>
      </c>
      <c r="G254" s="2" t="s">
        <v>124</v>
      </c>
      <c r="H254" s="2" t="s">
        <v>235</v>
      </c>
      <c r="I254" s="4"/>
      <c r="L254" s="4">
        <v>256779415198</v>
      </c>
      <c r="M254" s="7">
        <v>0</v>
      </c>
      <c r="N254" s="7">
        <v>257812.80850000001</v>
      </c>
    </row>
    <row r="255" spans="1:14" x14ac:dyDescent="0.35">
      <c r="A255" s="2" t="s">
        <v>236</v>
      </c>
      <c r="B255" s="6">
        <v>500000</v>
      </c>
      <c r="C255" s="6">
        <v>0</v>
      </c>
      <c r="D255" s="2" t="s">
        <v>121</v>
      </c>
      <c r="E255" s="2" t="s">
        <v>122</v>
      </c>
      <c r="F255" s="2" t="s">
        <v>237</v>
      </c>
      <c r="G255" s="2" t="s">
        <v>124</v>
      </c>
      <c r="H255" s="2"/>
      <c r="I255" s="4"/>
      <c r="L255" s="4">
        <v>256779415263</v>
      </c>
      <c r="M255" s="7">
        <v>0</v>
      </c>
      <c r="N255" s="7">
        <v>201.24160000000001</v>
      </c>
    </row>
    <row r="256" spans="1:14" x14ac:dyDescent="0.35">
      <c r="A256" s="2" t="s">
        <v>238</v>
      </c>
      <c r="B256" s="6">
        <v>300000</v>
      </c>
      <c r="C256" s="6">
        <v>0</v>
      </c>
      <c r="D256" s="2" t="s">
        <v>121</v>
      </c>
      <c r="E256" s="2" t="s">
        <v>122</v>
      </c>
      <c r="F256" s="2" t="s">
        <v>239</v>
      </c>
      <c r="G256" s="2" t="s">
        <v>124</v>
      </c>
      <c r="H256" s="2"/>
      <c r="I256" s="4"/>
      <c r="L256" s="4">
        <v>256779415444</v>
      </c>
      <c r="M256" s="7">
        <v>0</v>
      </c>
      <c r="N256" s="7">
        <v>8342.0650000000005</v>
      </c>
    </row>
    <row r="257" spans="1:14" x14ac:dyDescent="0.35">
      <c r="A257" s="2" t="s">
        <v>240</v>
      </c>
      <c r="B257" s="6">
        <v>500000</v>
      </c>
      <c r="C257" s="6">
        <v>0</v>
      </c>
      <c r="D257" s="2" t="s">
        <v>121</v>
      </c>
      <c r="E257" s="2" t="s">
        <v>122</v>
      </c>
      <c r="F257" s="2" t="s">
        <v>241</v>
      </c>
      <c r="G257" s="2" t="s">
        <v>124</v>
      </c>
      <c r="H257" s="2"/>
      <c r="I257" s="4"/>
      <c r="L257" s="4">
        <v>256779415456</v>
      </c>
      <c r="M257" s="7">
        <v>0</v>
      </c>
      <c r="N257" s="7">
        <v>13522.7454</v>
      </c>
    </row>
    <row r="258" spans="1:14" x14ac:dyDescent="0.35">
      <c r="A258" s="2" t="s">
        <v>242</v>
      </c>
      <c r="B258" s="6">
        <v>0</v>
      </c>
      <c r="C258" s="6">
        <v>16480.710999999999</v>
      </c>
      <c r="D258" s="2" t="s">
        <v>15</v>
      </c>
      <c r="E258" s="2" t="s">
        <v>15</v>
      </c>
      <c r="F258" s="2" t="s">
        <v>243</v>
      </c>
      <c r="G258" s="2" t="s">
        <v>36</v>
      </c>
      <c r="H258" s="2" t="s">
        <v>243</v>
      </c>
      <c r="I258" s="4">
        <v>246779410327</v>
      </c>
      <c r="L258" s="4">
        <v>256779415771</v>
      </c>
      <c r="M258" s="7">
        <v>0</v>
      </c>
      <c r="N258" s="7">
        <v>2559.3798999999999</v>
      </c>
    </row>
    <row r="259" spans="1:14" x14ac:dyDescent="0.35">
      <c r="A259" s="2" t="s">
        <v>242</v>
      </c>
      <c r="B259" s="6">
        <v>0</v>
      </c>
      <c r="C259" s="6">
        <v>29975.441999999999</v>
      </c>
      <c r="D259" s="2" t="s">
        <v>15</v>
      </c>
      <c r="E259" s="2" t="s">
        <v>15</v>
      </c>
      <c r="F259" s="2" t="s">
        <v>244</v>
      </c>
      <c r="G259" s="2" t="s">
        <v>36</v>
      </c>
      <c r="H259" s="2" t="s">
        <v>244</v>
      </c>
      <c r="I259" s="4">
        <v>246779410333</v>
      </c>
      <c r="L259" s="4">
        <v>256779415801</v>
      </c>
      <c r="M259" s="7">
        <v>0</v>
      </c>
      <c r="N259" s="7">
        <v>148540.3572</v>
      </c>
    </row>
    <row r="260" spans="1:14" x14ac:dyDescent="0.35">
      <c r="A260" s="2" t="s">
        <v>242</v>
      </c>
      <c r="B260" s="6">
        <v>0</v>
      </c>
      <c r="C260" s="6">
        <v>144772.565</v>
      </c>
      <c r="D260" s="2" t="s">
        <v>15</v>
      </c>
      <c r="E260" s="2" t="s">
        <v>15</v>
      </c>
      <c r="F260" s="2" t="s">
        <v>245</v>
      </c>
      <c r="G260" s="2" t="s">
        <v>36</v>
      </c>
      <c r="H260" s="2" t="s">
        <v>245</v>
      </c>
      <c r="I260" s="4">
        <v>246779410340</v>
      </c>
      <c r="L260" s="4">
        <v>256779415939</v>
      </c>
      <c r="M260" s="7">
        <v>0</v>
      </c>
      <c r="N260" s="7">
        <v>11782.0918</v>
      </c>
    </row>
    <row r="261" spans="1:14" x14ac:dyDescent="0.35">
      <c r="A261" s="2" t="s">
        <v>242</v>
      </c>
      <c r="B261" s="6">
        <v>0</v>
      </c>
      <c r="C261" s="6">
        <v>102103.25599999999</v>
      </c>
      <c r="D261" s="2" t="s">
        <v>15</v>
      </c>
      <c r="E261" s="2" t="s">
        <v>15</v>
      </c>
      <c r="F261" s="2" t="s">
        <v>246</v>
      </c>
      <c r="G261" s="2" t="s">
        <v>36</v>
      </c>
      <c r="H261" s="2" t="s">
        <v>246</v>
      </c>
      <c r="I261" s="4">
        <v>246779410352</v>
      </c>
      <c r="L261" s="4">
        <v>256779415945</v>
      </c>
      <c r="M261" s="7">
        <v>0</v>
      </c>
      <c r="N261" s="7">
        <v>9368</v>
      </c>
    </row>
    <row r="262" spans="1:14" x14ac:dyDescent="0.35">
      <c r="A262" s="2" t="s">
        <v>242</v>
      </c>
      <c r="B262" s="6">
        <v>0</v>
      </c>
      <c r="C262" s="6">
        <v>13859.78</v>
      </c>
      <c r="D262" s="2" t="s">
        <v>15</v>
      </c>
      <c r="E262" s="2" t="s">
        <v>15</v>
      </c>
      <c r="F262" s="2" t="s">
        <v>247</v>
      </c>
      <c r="G262" s="2" t="s">
        <v>36</v>
      </c>
      <c r="H262" s="2" t="s">
        <v>247</v>
      </c>
      <c r="I262" s="4">
        <v>246779410338</v>
      </c>
      <c r="L262" s="4">
        <v>256779415967</v>
      </c>
      <c r="M262" s="7">
        <v>0</v>
      </c>
      <c r="N262" s="7">
        <v>32007</v>
      </c>
    </row>
    <row r="263" spans="1:14" x14ac:dyDescent="0.35">
      <c r="A263" s="2" t="s">
        <v>242</v>
      </c>
      <c r="B263" s="6">
        <v>0</v>
      </c>
      <c r="C263" s="6">
        <v>44681.824999999997</v>
      </c>
      <c r="D263" s="2" t="s">
        <v>15</v>
      </c>
      <c r="E263" s="2" t="s">
        <v>15</v>
      </c>
      <c r="F263" s="2" t="s">
        <v>248</v>
      </c>
      <c r="G263" s="2" t="s">
        <v>36</v>
      </c>
      <c r="H263" s="2" t="s">
        <v>248</v>
      </c>
      <c r="I263" s="4">
        <v>246779410339</v>
      </c>
      <c r="L263" s="4">
        <v>256779415970</v>
      </c>
      <c r="M263" s="7">
        <v>0</v>
      </c>
      <c r="N263" s="7">
        <v>9348</v>
      </c>
    </row>
    <row r="264" spans="1:14" x14ac:dyDescent="0.35">
      <c r="A264" s="2" t="s">
        <v>242</v>
      </c>
      <c r="B264" s="6">
        <v>500000</v>
      </c>
      <c r="C264" s="6">
        <v>0</v>
      </c>
      <c r="D264" s="2" t="s">
        <v>121</v>
      </c>
      <c r="E264" s="2" t="s">
        <v>122</v>
      </c>
      <c r="F264" s="2" t="s">
        <v>249</v>
      </c>
      <c r="G264" s="2" t="s">
        <v>124</v>
      </c>
      <c r="H264" s="2"/>
      <c r="I264" s="4"/>
      <c r="L264" s="4">
        <v>256779415995</v>
      </c>
      <c r="M264" s="7">
        <v>0</v>
      </c>
      <c r="N264" s="7">
        <v>196</v>
      </c>
    </row>
    <row r="265" spans="1:14" x14ac:dyDescent="0.35">
      <c r="A265" s="2" t="s">
        <v>242</v>
      </c>
      <c r="B265" s="6">
        <v>0</v>
      </c>
      <c r="C265" s="6">
        <v>2053.9</v>
      </c>
      <c r="D265" s="2" t="s">
        <v>15</v>
      </c>
      <c r="E265" s="2" t="s">
        <v>15</v>
      </c>
      <c r="F265" s="2" t="s">
        <v>250</v>
      </c>
      <c r="G265" s="2" t="s">
        <v>31</v>
      </c>
      <c r="H265" s="2" t="s">
        <v>250</v>
      </c>
      <c r="I265" s="4">
        <v>256779411807</v>
      </c>
      <c r="L265" s="4">
        <v>256779416054</v>
      </c>
      <c r="M265" s="7">
        <v>0</v>
      </c>
      <c r="N265" s="7">
        <v>35336.871800000001</v>
      </c>
    </row>
    <row r="266" spans="1:14" x14ac:dyDescent="0.35">
      <c r="A266" s="2" t="s">
        <v>251</v>
      </c>
      <c r="B266" s="6">
        <v>0</v>
      </c>
      <c r="C266" s="6">
        <v>6064.0230000000001</v>
      </c>
      <c r="D266" s="2" t="s">
        <v>15</v>
      </c>
      <c r="E266" s="2" t="s">
        <v>15</v>
      </c>
      <c r="F266" s="2" t="s">
        <v>252</v>
      </c>
      <c r="G266" s="2" t="s">
        <v>17</v>
      </c>
      <c r="H266" s="2" t="s">
        <v>252</v>
      </c>
      <c r="I266" s="4">
        <v>256779414743</v>
      </c>
      <c r="L266" s="4">
        <v>256779416088</v>
      </c>
      <c r="M266" s="7">
        <v>0</v>
      </c>
      <c r="N266" s="7">
        <v>462828</v>
      </c>
    </row>
    <row r="267" spans="1:14" x14ac:dyDescent="0.35">
      <c r="A267" s="2" t="s">
        <v>251</v>
      </c>
      <c r="B267" s="6">
        <v>0</v>
      </c>
      <c r="C267" s="6">
        <v>1800.3510000000001</v>
      </c>
      <c r="D267" s="2" t="s">
        <v>15</v>
      </c>
      <c r="E267" s="2" t="s">
        <v>15</v>
      </c>
      <c r="F267" s="2" t="s">
        <v>253</v>
      </c>
      <c r="G267" s="2" t="s">
        <v>254</v>
      </c>
      <c r="H267" s="2" t="s">
        <v>253</v>
      </c>
      <c r="I267" s="4">
        <v>256779414748</v>
      </c>
      <c r="L267" s="4">
        <v>256779416178</v>
      </c>
      <c r="M267" s="7">
        <v>1351</v>
      </c>
      <c r="N267" s="7">
        <v>67557</v>
      </c>
    </row>
    <row r="268" spans="1:14" x14ac:dyDescent="0.35">
      <c r="A268" s="2" t="s">
        <v>251</v>
      </c>
      <c r="B268" s="6">
        <v>0</v>
      </c>
      <c r="C268" s="6">
        <v>14610.374299999999</v>
      </c>
      <c r="D268" s="2" t="s">
        <v>15</v>
      </c>
      <c r="E268" s="2" t="s">
        <v>15</v>
      </c>
      <c r="F268" s="2" t="s">
        <v>255</v>
      </c>
      <c r="G268" s="2" t="s">
        <v>21</v>
      </c>
      <c r="H268" s="2" t="s">
        <v>255</v>
      </c>
      <c r="I268" s="4">
        <v>256779414758</v>
      </c>
      <c r="L268" s="4">
        <v>256779416223</v>
      </c>
      <c r="M268" s="7">
        <v>0</v>
      </c>
      <c r="N268" s="7">
        <v>9124</v>
      </c>
    </row>
    <row r="269" spans="1:14" x14ac:dyDescent="0.35">
      <c r="A269" s="2" t="s">
        <v>251</v>
      </c>
      <c r="B269" s="6">
        <v>0</v>
      </c>
      <c r="C269" s="6">
        <v>45061.335200000001</v>
      </c>
      <c r="D269" s="2" t="s">
        <v>15</v>
      </c>
      <c r="E269" s="2" t="s">
        <v>15</v>
      </c>
      <c r="F269" s="2" t="s">
        <v>256</v>
      </c>
      <c r="G269" s="2" t="s">
        <v>36</v>
      </c>
      <c r="H269" s="2" t="s">
        <v>256</v>
      </c>
      <c r="I269" s="4">
        <v>256779414340</v>
      </c>
      <c r="L269" s="4">
        <v>256779416256</v>
      </c>
      <c r="M269" s="7">
        <v>0</v>
      </c>
      <c r="N269" s="7">
        <v>4755</v>
      </c>
    </row>
    <row r="270" spans="1:14" x14ac:dyDescent="0.35">
      <c r="A270" s="2" t="s">
        <v>251</v>
      </c>
      <c r="B270" s="6">
        <v>0</v>
      </c>
      <c r="C270" s="6">
        <v>11782.0918</v>
      </c>
      <c r="D270" s="2" t="s">
        <v>15</v>
      </c>
      <c r="E270" s="2" t="s">
        <v>15</v>
      </c>
      <c r="F270" s="2" t="s">
        <v>257</v>
      </c>
      <c r="G270" s="2" t="s">
        <v>107</v>
      </c>
      <c r="H270" s="2" t="s">
        <v>257</v>
      </c>
      <c r="I270" s="4">
        <v>256779415939</v>
      </c>
      <c r="L270" s="4">
        <v>256779416444</v>
      </c>
      <c r="M270" s="7">
        <v>0</v>
      </c>
      <c r="N270" s="7">
        <v>9260.2821000000004</v>
      </c>
    </row>
    <row r="271" spans="1:14" x14ac:dyDescent="0.35">
      <c r="A271" s="2" t="s">
        <v>251</v>
      </c>
      <c r="B271" s="6">
        <v>0</v>
      </c>
      <c r="C271" s="6">
        <v>2559.3798999999999</v>
      </c>
      <c r="D271" s="2" t="s">
        <v>15</v>
      </c>
      <c r="E271" s="2" t="s">
        <v>15</v>
      </c>
      <c r="F271" s="2" t="s">
        <v>258</v>
      </c>
      <c r="G271" s="2" t="s">
        <v>17</v>
      </c>
      <c r="H271" s="2" t="s">
        <v>258</v>
      </c>
      <c r="I271" s="4">
        <v>256779415771</v>
      </c>
      <c r="L271" s="4">
        <v>256779416538</v>
      </c>
      <c r="M271" s="7">
        <v>0</v>
      </c>
      <c r="N271" s="7">
        <v>27395.431400000001</v>
      </c>
    </row>
    <row r="272" spans="1:14" x14ac:dyDescent="0.35">
      <c r="A272" s="2" t="s">
        <v>251</v>
      </c>
      <c r="B272" s="6">
        <v>0</v>
      </c>
      <c r="C272" s="6">
        <v>148540.3572</v>
      </c>
      <c r="D272" s="2" t="s">
        <v>15</v>
      </c>
      <c r="E272" s="2" t="s">
        <v>15</v>
      </c>
      <c r="F272" s="2" t="s">
        <v>259</v>
      </c>
      <c r="G272" s="2" t="s">
        <v>31</v>
      </c>
      <c r="H272" s="2" t="s">
        <v>259</v>
      </c>
      <c r="I272" s="4">
        <v>256779415801</v>
      </c>
      <c r="L272" s="4">
        <v>256779416544</v>
      </c>
      <c r="M272" s="7">
        <v>0</v>
      </c>
      <c r="N272" s="7">
        <v>23117.1535</v>
      </c>
    </row>
    <row r="273" spans="1:14" x14ac:dyDescent="0.35">
      <c r="A273" s="2" t="s">
        <v>251</v>
      </c>
      <c r="B273" s="6">
        <v>0</v>
      </c>
      <c r="C273" s="6">
        <v>13522.7454</v>
      </c>
      <c r="D273" s="2" t="s">
        <v>15</v>
      </c>
      <c r="E273" s="2" t="s">
        <v>15</v>
      </c>
      <c r="F273" s="2" t="s">
        <v>260</v>
      </c>
      <c r="G273" s="2" t="s">
        <v>90</v>
      </c>
      <c r="H273" s="2" t="s">
        <v>260</v>
      </c>
      <c r="I273" s="4">
        <v>256779415456</v>
      </c>
      <c r="L273" s="4">
        <v>256779416546</v>
      </c>
      <c r="M273" s="7">
        <v>0</v>
      </c>
      <c r="N273" s="7">
        <v>21929.077600000001</v>
      </c>
    </row>
    <row r="274" spans="1:14" x14ac:dyDescent="0.35">
      <c r="A274" s="2" t="s">
        <v>251</v>
      </c>
      <c r="B274" s="6">
        <v>0</v>
      </c>
      <c r="C274" s="6">
        <v>8342.0650000000005</v>
      </c>
      <c r="D274" s="2" t="s">
        <v>15</v>
      </c>
      <c r="E274" s="2" t="s">
        <v>15</v>
      </c>
      <c r="F274" s="2" t="s">
        <v>261</v>
      </c>
      <c r="G274" s="2" t="s">
        <v>262</v>
      </c>
      <c r="H274" s="2" t="s">
        <v>261</v>
      </c>
      <c r="I274" s="4">
        <v>256779415444</v>
      </c>
      <c r="L274" s="4">
        <v>256779416603</v>
      </c>
      <c r="M274" s="7">
        <v>0</v>
      </c>
      <c r="N274" s="7">
        <v>1463</v>
      </c>
    </row>
    <row r="275" spans="1:14" x14ac:dyDescent="0.35">
      <c r="A275" s="2" t="s">
        <v>263</v>
      </c>
      <c r="B275" s="6">
        <v>0</v>
      </c>
      <c r="C275" s="6">
        <v>2629.9005000000002</v>
      </c>
      <c r="D275" s="2" t="s">
        <v>15</v>
      </c>
      <c r="E275" s="2" t="s">
        <v>15</v>
      </c>
      <c r="F275" s="2" t="s">
        <v>264</v>
      </c>
      <c r="G275" s="2" t="s">
        <v>265</v>
      </c>
      <c r="H275" s="2" t="s">
        <v>264</v>
      </c>
      <c r="I275" s="4">
        <v>256779414968</v>
      </c>
      <c r="L275" s="4">
        <v>256779416615</v>
      </c>
      <c r="M275" s="7">
        <v>0</v>
      </c>
      <c r="N275" s="7">
        <v>4790</v>
      </c>
    </row>
    <row r="276" spans="1:14" x14ac:dyDescent="0.35">
      <c r="A276" s="2" t="s">
        <v>263</v>
      </c>
      <c r="B276" s="6">
        <v>0</v>
      </c>
      <c r="C276" s="6">
        <v>201.24160000000001</v>
      </c>
      <c r="D276" s="2" t="s">
        <v>15</v>
      </c>
      <c r="E276" s="2" t="s">
        <v>15</v>
      </c>
      <c r="F276" s="2" t="s">
        <v>266</v>
      </c>
      <c r="G276" s="2" t="s">
        <v>17</v>
      </c>
      <c r="H276" s="2" t="s">
        <v>266</v>
      </c>
      <c r="I276" s="4">
        <v>256779415263</v>
      </c>
      <c r="L276" s="4">
        <v>256779416809</v>
      </c>
      <c r="M276" s="7">
        <v>0</v>
      </c>
      <c r="N276" s="7">
        <v>6981</v>
      </c>
    </row>
    <row r="277" spans="1:14" x14ac:dyDescent="0.35">
      <c r="A277" s="2" t="s">
        <v>263</v>
      </c>
      <c r="B277" s="6">
        <v>0</v>
      </c>
      <c r="C277" s="6">
        <v>257812.80850000001</v>
      </c>
      <c r="D277" s="2" t="s">
        <v>15</v>
      </c>
      <c r="E277" s="2" t="s">
        <v>15</v>
      </c>
      <c r="F277" s="2" t="s">
        <v>267</v>
      </c>
      <c r="G277" s="2" t="s">
        <v>268</v>
      </c>
      <c r="H277" s="2" t="s">
        <v>267</v>
      </c>
      <c r="I277" s="4">
        <v>256779415198</v>
      </c>
      <c r="L277" s="4">
        <v>256779416844</v>
      </c>
      <c r="M277" s="7">
        <v>0</v>
      </c>
      <c r="N277" s="7">
        <v>11922</v>
      </c>
    </row>
    <row r="278" spans="1:14" x14ac:dyDescent="0.35">
      <c r="A278" s="2" t="s">
        <v>263</v>
      </c>
      <c r="B278" s="6">
        <v>0</v>
      </c>
      <c r="C278" s="6">
        <v>552.98429999999996</v>
      </c>
      <c r="D278" s="2" t="s">
        <v>15</v>
      </c>
      <c r="E278" s="2" t="s">
        <v>15</v>
      </c>
      <c r="F278" s="2" t="s">
        <v>269</v>
      </c>
      <c r="G278" s="2" t="s">
        <v>270</v>
      </c>
      <c r="H278" s="2" t="s">
        <v>269</v>
      </c>
      <c r="I278" s="4">
        <v>256779415048</v>
      </c>
      <c r="L278" s="4">
        <v>256779416878</v>
      </c>
      <c r="M278" s="7">
        <v>0</v>
      </c>
      <c r="N278" s="7">
        <v>971</v>
      </c>
    </row>
    <row r="279" spans="1:14" x14ac:dyDescent="0.35">
      <c r="A279" s="2" t="s">
        <v>263</v>
      </c>
      <c r="B279" s="6">
        <v>0</v>
      </c>
      <c r="C279" s="6">
        <v>4562.3355000000001</v>
      </c>
      <c r="D279" s="2" t="s">
        <v>15</v>
      </c>
      <c r="E279" s="2" t="s">
        <v>15</v>
      </c>
      <c r="F279" s="2" t="s">
        <v>271</v>
      </c>
      <c r="G279" s="2" t="s">
        <v>21</v>
      </c>
      <c r="H279" s="2" t="s">
        <v>271</v>
      </c>
      <c r="I279" s="4">
        <v>256779414975</v>
      </c>
      <c r="L279" s="4">
        <v>256779416911</v>
      </c>
      <c r="M279" s="7">
        <v>0</v>
      </c>
      <c r="N279" s="7">
        <v>3487.4461000000001</v>
      </c>
    </row>
    <row r="280" spans="1:14" x14ac:dyDescent="0.35">
      <c r="A280" s="2" t="s">
        <v>263</v>
      </c>
      <c r="B280" s="6">
        <v>0</v>
      </c>
      <c r="C280" s="6">
        <v>35324.775199999996</v>
      </c>
      <c r="D280" s="2" t="s">
        <v>15</v>
      </c>
      <c r="E280" s="2" t="s">
        <v>15</v>
      </c>
      <c r="F280" s="2" t="s">
        <v>272</v>
      </c>
      <c r="G280" s="2" t="s">
        <v>200</v>
      </c>
      <c r="H280" s="2" t="s">
        <v>272</v>
      </c>
      <c r="I280" s="4">
        <v>256779414944</v>
      </c>
      <c r="L280" s="4">
        <v>256779416948</v>
      </c>
      <c r="M280" s="7">
        <v>0</v>
      </c>
      <c r="N280" s="7">
        <v>1233.9521</v>
      </c>
    </row>
    <row r="281" spans="1:14" x14ac:dyDescent="0.35">
      <c r="A281" s="2" t="s">
        <v>263</v>
      </c>
      <c r="B281" s="6">
        <v>0</v>
      </c>
      <c r="C281" s="6">
        <v>91401.512100000007</v>
      </c>
      <c r="D281" s="2" t="s">
        <v>15</v>
      </c>
      <c r="E281" s="2" t="s">
        <v>15</v>
      </c>
      <c r="F281" s="2" t="s">
        <v>273</v>
      </c>
      <c r="G281" s="2" t="s">
        <v>36</v>
      </c>
      <c r="H281" s="2" t="s">
        <v>273</v>
      </c>
      <c r="I281" s="4">
        <v>256779414890</v>
      </c>
      <c r="L281" s="4">
        <v>256779417084</v>
      </c>
      <c r="M281" s="7">
        <v>0</v>
      </c>
      <c r="N281" s="7">
        <v>695663.66119999997</v>
      </c>
    </row>
    <row r="282" spans="1:14" x14ac:dyDescent="0.35">
      <c r="A282" s="2" t="s">
        <v>263</v>
      </c>
      <c r="B282" s="6">
        <v>0</v>
      </c>
      <c r="C282" s="6">
        <v>2642.8006</v>
      </c>
      <c r="D282" s="2" t="s">
        <v>15</v>
      </c>
      <c r="E282" s="2" t="s">
        <v>15</v>
      </c>
      <c r="F282" s="2" t="s">
        <v>274</v>
      </c>
      <c r="G282" s="2" t="s">
        <v>31</v>
      </c>
      <c r="H282" s="2" t="s">
        <v>274</v>
      </c>
      <c r="I282" s="4">
        <v>256779414878</v>
      </c>
      <c r="L282" s="4">
        <v>256779417160</v>
      </c>
      <c r="M282" s="7">
        <v>0</v>
      </c>
      <c r="N282" s="7">
        <v>1247.0791999999999</v>
      </c>
    </row>
    <row r="283" spans="1:14" x14ac:dyDescent="0.35">
      <c r="A283" s="2" t="s">
        <v>263</v>
      </c>
      <c r="B283" s="6">
        <v>0</v>
      </c>
      <c r="C283" s="6">
        <v>8595.7669999999998</v>
      </c>
      <c r="D283" s="2" t="s">
        <v>15</v>
      </c>
      <c r="E283" s="2" t="s">
        <v>15</v>
      </c>
      <c r="F283" s="2" t="s">
        <v>275</v>
      </c>
      <c r="G283" s="2" t="s">
        <v>21</v>
      </c>
      <c r="H283" s="2" t="s">
        <v>275</v>
      </c>
      <c r="I283" s="4">
        <v>256779414829</v>
      </c>
      <c r="L283" s="4">
        <v>256779417166</v>
      </c>
      <c r="M283" s="7">
        <v>0</v>
      </c>
      <c r="N283" s="7">
        <v>59881.6803</v>
      </c>
    </row>
    <row r="284" spans="1:14" x14ac:dyDescent="0.35">
      <c r="A284" s="2" t="s">
        <v>263</v>
      </c>
      <c r="B284" s="6">
        <v>0</v>
      </c>
      <c r="C284" s="6">
        <v>1492.1116</v>
      </c>
      <c r="D284" s="2" t="s">
        <v>15</v>
      </c>
      <c r="E284" s="2" t="s">
        <v>15</v>
      </c>
      <c r="F284" s="2" t="s">
        <v>276</v>
      </c>
      <c r="G284" s="2" t="s">
        <v>277</v>
      </c>
      <c r="H284" s="2" t="s">
        <v>276</v>
      </c>
      <c r="I284" s="4">
        <v>256779414768</v>
      </c>
      <c r="L284" s="4">
        <v>256779417173</v>
      </c>
      <c r="M284" s="7">
        <v>0</v>
      </c>
      <c r="N284" s="7">
        <v>58594.344499999999</v>
      </c>
    </row>
    <row r="285" spans="1:14" x14ac:dyDescent="0.35">
      <c r="A285" s="2" t="s">
        <v>263</v>
      </c>
      <c r="B285" s="6">
        <v>0</v>
      </c>
      <c r="C285" s="6">
        <v>23117.1535</v>
      </c>
      <c r="D285" s="2" t="s">
        <v>15</v>
      </c>
      <c r="E285" s="2" t="s">
        <v>15</v>
      </c>
      <c r="F285" s="2" t="s">
        <v>278</v>
      </c>
      <c r="G285" s="2" t="s">
        <v>279</v>
      </c>
      <c r="H285" s="2" t="s">
        <v>278</v>
      </c>
      <c r="I285" s="4">
        <v>256779416544</v>
      </c>
      <c r="L285" s="4">
        <v>256779417261</v>
      </c>
      <c r="M285" s="7">
        <v>0</v>
      </c>
      <c r="N285" s="7">
        <v>1992.7012</v>
      </c>
    </row>
    <row r="286" spans="1:14" x14ac:dyDescent="0.35">
      <c r="A286" s="2" t="s">
        <v>263</v>
      </c>
      <c r="B286" s="6">
        <v>0</v>
      </c>
      <c r="C286" s="6">
        <v>21929.077600000001</v>
      </c>
      <c r="D286" s="2" t="s">
        <v>15</v>
      </c>
      <c r="E286" s="2" t="s">
        <v>15</v>
      </c>
      <c r="F286" s="2" t="s">
        <v>280</v>
      </c>
      <c r="G286" s="2" t="s">
        <v>279</v>
      </c>
      <c r="H286" s="2" t="s">
        <v>280</v>
      </c>
      <c r="I286" s="4">
        <v>256779416546</v>
      </c>
      <c r="L286" s="4">
        <v>256779417286</v>
      </c>
      <c r="M286" s="7">
        <v>0</v>
      </c>
      <c r="N286" s="7">
        <v>90131.008499999996</v>
      </c>
    </row>
    <row r="287" spans="1:14" x14ac:dyDescent="0.35">
      <c r="A287" s="2" t="s">
        <v>263</v>
      </c>
      <c r="B287" s="6">
        <v>0</v>
      </c>
      <c r="C287" s="6">
        <v>9260.2821000000004</v>
      </c>
      <c r="D287" s="2" t="s">
        <v>15</v>
      </c>
      <c r="E287" s="2" t="s">
        <v>15</v>
      </c>
      <c r="F287" s="2" t="s">
        <v>281</v>
      </c>
      <c r="G287" s="2" t="s">
        <v>17</v>
      </c>
      <c r="H287" s="2" t="s">
        <v>281</v>
      </c>
      <c r="I287" s="4">
        <v>256779416444</v>
      </c>
      <c r="L287" s="4">
        <v>256779417324</v>
      </c>
      <c r="M287" s="7">
        <v>0</v>
      </c>
      <c r="N287" s="7">
        <v>4231.3179</v>
      </c>
    </row>
    <row r="288" spans="1:14" x14ac:dyDescent="0.35">
      <c r="A288" s="2" t="s">
        <v>263</v>
      </c>
      <c r="B288" s="6">
        <v>0</v>
      </c>
      <c r="C288" s="6">
        <v>27395.431400000001</v>
      </c>
      <c r="D288" s="2" t="s">
        <v>15</v>
      </c>
      <c r="E288" s="2" t="s">
        <v>15</v>
      </c>
      <c r="F288" s="2" t="s">
        <v>282</v>
      </c>
      <c r="G288" s="2" t="s">
        <v>36</v>
      </c>
      <c r="H288" s="2" t="s">
        <v>282</v>
      </c>
      <c r="I288" s="4">
        <v>256779416538</v>
      </c>
      <c r="L288" s="4">
        <v>256779417373</v>
      </c>
      <c r="M288" s="7">
        <v>0</v>
      </c>
      <c r="N288" s="7">
        <v>33482.010999999999</v>
      </c>
    </row>
    <row r="289" spans="1:14" x14ac:dyDescent="0.35">
      <c r="A289" s="2" t="s">
        <v>263</v>
      </c>
      <c r="B289" s="6">
        <v>0</v>
      </c>
      <c r="C289" s="6">
        <v>35336.871800000001</v>
      </c>
      <c r="D289" s="2" t="s">
        <v>15</v>
      </c>
      <c r="E289" s="2" t="s">
        <v>15</v>
      </c>
      <c r="F289" s="2" t="s">
        <v>283</v>
      </c>
      <c r="G289" s="2" t="s">
        <v>200</v>
      </c>
      <c r="H289" s="2" t="s">
        <v>283</v>
      </c>
      <c r="I289" s="4">
        <v>256779416054</v>
      </c>
      <c r="L289" s="4">
        <v>256779417410</v>
      </c>
      <c r="M289" s="7">
        <v>0</v>
      </c>
      <c r="N289" s="7">
        <v>29303.298299999999</v>
      </c>
    </row>
    <row r="290" spans="1:14" x14ac:dyDescent="0.35">
      <c r="A290" s="2" t="s">
        <v>263</v>
      </c>
      <c r="B290" s="6">
        <v>0</v>
      </c>
      <c r="C290" s="6">
        <v>33482.010999999999</v>
      </c>
      <c r="D290" s="2" t="s">
        <v>15</v>
      </c>
      <c r="E290" s="2" t="s">
        <v>15</v>
      </c>
      <c r="F290" s="2" t="s">
        <v>284</v>
      </c>
      <c r="G290" s="2" t="s">
        <v>200</v>
      </c>
      <c r="H290" s="2" t="s">
        <v>284</v>
      </c>
      <c r="I290" s="4">
        <v>256779417373</v>
      </c>
      <c r="L290" s="4">
        <v>256779417442</v>
      </c>
      <c r="M290" s="7">
        <v>0</v>
      </c>
      <c r="N290" s="7">
        <v>545.21420000000001</v>
      </c>
    </row>
    <row r="291" spans="1:14" x14ac:dyDescent="0.35">
      <c r="A291" s="2" t="s">
        <v>263</v>
      </c>
      <c r="B291" s="6">
        <v>0</v>
      </c>
      <c r="C291" s="6">
        <v>6432.3032999999996</v>
      </c>
      <c r="D291" s="2" t="s">
        <v>15</v>
      </c>
      <c r="E291" s="2" t="s">
        <v>15</v>
      </c>
      <c r="F291" s="2" t="s">
        <v>285</v>
      </c>
      <c r="G291" s="2" t="s">
        <v>66</v>
      </c>
      <c r="H291" s="2" t="s">
        <v>285</v>
      </c>
      <c r="I291" s="4">
        <v>256779417566</v>
      </c>
      <c r="L291" s="4">
        <v>256779417489</v>
      </c>
      <c r="M291" s="7">
        <v>0</v>
      </c>
      <c r="N291" s="7">
        <v>42087.391600000003</v>
      </c>
    </row>
    <row r="292" spans="1:14" x14ac:dyDescent="0.35">
      <c r="A292" s="2" t="s">
        <v>263</v>
      </c>
      <c r="B292" s="6">
        <v>0</v>
      </c>
      <c r="C292" s="6">
        <v>6896.1292000000003</v>
      </c>
      <c r="D292" s="2" t="s">
        <v>15</v>
      </c>
      <c r="E292" s="2" t="s">
        <v>15</v>
      </c>
      <c r="F292" s="2" t="s">
        <v>286</v>
      </c>
      <c r="G292" s="2" t="s">
        <v>66</v>
      </c>
      <c r="H292" s="2" t="s">
        <v>286</v>
      </c>
      <c r="I292" s="4">
        <v>256779417582</v>
      </c>
      <c r="L292" s="4">
        <v>256779417525</v>
      </c>
      <c r="M292" s="7">
        <v>0</v>
      </c>
      <c r="N292" s="7">
        <v>26724.251</v>
      </c>
    </row>
    <row r="293" spans="1:14" x14ac:dyDescent="0.35">
      <c r="A293" s="2" t="s">
        <v>263</v>
      </c>
      <c r="B293" s="6">
        <v>0</v>
      </c>
      <c r="C293" s="6">
        <v>1028.2935</v>
      </c>
      <c r="D293" s="2" t="s">
        <v>15</v>
      </c>
      <c r="E293" s="2" t="s">
        <v>15</v>
      </c>
      <c r="F293" s="2" t="s">
        <v>287</v>
      </c>
      <c r="G293" s="2" t="s">
        <v>21</v>
      </c>
      <c r="H293" s="2" t="s">
        <v>287</v>
      </c>
      <c r="I293" s="4">
        <v>256779417594</v>
      </c>
      <c r="L293" s="4">
        <v>256779417566</v>
      </c>
      <c r="M293" s="7">
        <v>0</v>
      </c>
      <c r="N293" s="7">
        <v>6432.3032999999996</v>
      </c>
    </row>
    <row r="294" spans="1:14" x14ac:dyDescent="0.35">
      <c r="A294" s="2" t="s">
        <v>263</v>
      </c>
      <c r="B294" s="6">
        <v>0</v>
      </c>
      <c r="C294" s="6">
        <v>545.21420000000001</v>
      </c>
      <c r="D294" s="2" t="s">
        <v>15</v>
      </c>
      <c r="E294" s="2" t="s">
        <v>15</v>
      </c>
      <c r="F294" s="2" t="s">
        <v>288</v>
      </c>
      <c r="G294" s="2" t="s">
        <v>17</v>
      </c>
      <c r="H294" s="2" t="s">
        <v>288</v>
      </c>
      <c r="I294" s="4">
        <v>256779417442</v>
      </c>
      <c r="L294" s="4">
        <v>256779417582</v>
      </c>
      <c r="M294" s="7">
        <v>0</v>
      </c>
      <c r="N294" s="7">
        <v>6896.1292000000003</v>
      </c>
    </row>
    <row r="295" spans="1:14" x14ac:dyDescent="0.35">
      <c r="A295" s="2" t="s">
        <v>263</v>
      </c>
      <c r="B295" s="6">
        <v>0</v>
      </c>
      <c r="C295" s="6">
        <v>26724.251</v>
      </c>
      <c r="D295" s="2" t="s">
        <v>15</v>
      </c>
      <c r="E295" s="2" t="s">
        <v>15</v>
      </c>
      <c r="F295" s="2" t="s">
        <v>289</v>
      </c>
      <c r="G295" s="2" t="s">
        <v>21</v>
      </c>
      <c r="H295" s="2" t="s">
        <v>289</v>
      </c>
      <c r="I295" s="4">
        <v>256779417525</v>
      </c>
      <c r="L295" s="4">
        <v>256779417594</v>
      </c>
      <c r="M295" s="7">
        <v>0</v>
      </c>
      <c r="N295" s="7">
        <v>1028.2935</v>
      </c>
    </row>
    <row r="296" spans="1:14" x14ac:dyDescent="0.35">
      <c r="A296" s="2" t="s">
        <v>263</v>
      </c>
      <c r="B296" s="6">
        <v>0</v>
      </c>
      <c r="C296" s="6">
        <v>29303.298299999999</v>
      </c>
      <c r="D296" s="2" t="s">
        <v>15</v>
      </c>
      <c r="E296" s="2" t="s">
        <v>15</v>
      </c>
      <c r="F296" s="2" t="s">
        <v>290</v>
      </c>
      <c r="G296" s="2" t="s">
        <v>279</v>
      </c>
      <c r="H296" s="2" t="s">
        <v>290</v>
      </c>
      <c r="I296" s="4">
        <v>256779417410</v>
      </c>
      <c r="L296" s="4">
        <v>256779417939</v>
      </c>
      <c r="M296" s="7">
        <v>0</v>
      </c>
      <c r="N296" s="7">
        <v>38482.042500000003</v>
      </c>
    </row>
    <row r="297" spans="1:14" x14ac:dyDescent="0.35">
      <c r="A297" s="2" t="s">
        <v>291</v>
      </c>
      <c r="B297" s="6">
        <v>0</v>
      </c>
      <c r="C297" s="6">
        <v>42087.391600000003</v>
      </c>
      <c r="D297" s="2" t="s">
        <v>15</v>
      </c>
      <c r="E297" s="2" t="s">
        <v>15</v>
      </c>
      <c r="F297" s="2" t="s">
        <v>292</v>
      </c>
      <c r="G297" s="2" t="s">
        <v>36</v>
      </c>
      <c r="H297" s="2" t="s">
        <v>292</v>
      </c>
      <c r="I297" s="4">
        <v>256779417489</v>
      </c>
      <c r="L297" s="4">
        <v>256779417978</v>
      </c>
      <c r="M297" s="7">
        <v>1058</v>
      </c>
      <c r="N297" s="7">
        <v>51397.291499999999</v>
      </c>
    </row>
    <row r="298" spans="1:14" x14ac:dyDescent="0.35">
      <c r="A298" s="2" t="s">
        <v>291</v>
      </c>
      <c r="B298" s="6">
        <v>0</v>
      </c>
      <c r="C298" s="6">
        <v>36224.358800000002</v>
      </c>
      <c r="D298" s="2" t="s">
        <v>15</v>
      </c>
      <c r="E298" s="2" t="s">
        <v>15</v>
      </c>
      <c r="F298" s="2" t="s">
        <v>293</v>
      </c>
      <c r="G298" s="2" t="s">
        <v>200</v>
      </c>
      <c r="H298" s="2" t="s">
        <v>293</v>
      </c>
      <c r="I298" s="4">
        <v>256779418036</v>
      </c>
      <c r="L298" s="4">
        <v>256779418010</v>
      </c>
      <c r="M298" s="7">
        <v>0</v>
      </c>
      <c r="N298" s="7">
        <v>679906.74129999999</v>
      </c>
    </row>
    <row r="299" spans="1:14" x14ac:dyDescent="0.35">
      <c r="A299" s="2" t="s">
        <v>291</v>
      </c>
      <c r="B299" s="6">
        <v>0</v>
      </c>
      <c r="C299" s="6">
        <v>38482.042500000003</v>
      </c>
      <c r="D299" s="2" t="s">
        <v>15</v>
      </c>
      <c r="E299" s="2" t="s">
        <v>15</v>
      </c>
      <c r="F299" s="2" t="s">
        <v>294</v>
      </c>
      <c r="G299" s="2" t="s">
        <v>66</v>
      </c>
      <c r="H299" s="2" t="s">
        <v>294</v>
      </c>
      <c r="I299" s="4">
        <v>256779417939</v>
      </c>
      <c r="L299" s="4">
        <v>256779418036</v>
      </c>
      <c r="M299" s="7">
        <v>0</v>
      </c>
      <c r="N299" s="7">
        <v>36224.358800000002</v>
      </c>
    </row>
    <row r="300" spans="1:14" x14ac:dyDescent="0.35">
      <c r="A300" s="2" t="s">
        <v>291</v>
      </c>
      <c r="B300" s="6">
        <v>0</v>
      </c>
      <c r="C300" s="6">
        <v>679906.74129999999</v>
      </c>
      <c r="D300" s="2" t="s">
        <v>15</v>
      </c>
      <c r="E300" s="2" t="s">
        <v>15</v>
      </c>
      <c r="F300" s="2" t="s">
        <v>295</v>
      </c>
      <c r="G300" s="2" t="s">
        <v>268</v>
      </c>
      <c r="H300" s="2" t="s">
        <v>295</v>
      </c>
      <c r="I300" s="4">
        <v>256779418010</v>
      </c>
      <c r="L300" s="4">
        <v>256779418075</v>
      </c>
      <c r="M300" s="7">
        <v>0</v>
      </c>
      <c r="N300" s="7">
        <v>1972</v>
      </c>
    </row>
    <row r="301" spans="1:14" x14ac:dyDescent="0.35">
      <c r="A301" s="2" t="s">
        <v>291</v>
      </c>
      <c r="B301" s="6">
        <v>0</v>
      </c>
      <c r="C301" s="6">
        <v>3487.4461000000001</v>
      </c>
      <c r="D301" s="2" t="s">
        <v>15</v>
      </c>
      <c r="E301" s="2" t="s">
        <v>15</v>
      </c>
      <c r="F301" s="2" t="s">
        <v>296</v>
      </c>
      <c r="G301" s="2" t="s">
        <v>262</v>
      </c>
      <c r="H301" s="2" t="s">
        <v>296</v>
      </c>
      <c r="I301" s="4">
        <v>256779416911</v>
      </c>
      <c r="L301" s="4">
        <v>256779418094</v>
      </c>
      <c r="M301" s="7">
        <v>6791</v>
      </c>
      <c r="N301" s="7">
        <v>68060.655499999993</v>
      </c>
    </row>
    <row r="302" spans="1:14" x14ac:dyDescent="0.35">
      <c r="A302" s="2" t="s">
        <v>291</v>
      </c>
      <c r="B302" s="6">
        <v>0</v>
      </c>
      <c r="C302" s="6">
        <v>90131.008499999996</v>
      </c>
      <c r="D302" s="2" t="s">
        <v>15</v>
      </c>
      <c r="E302" s="2" t="s">
        <v>15</v>
      </c>
      <c r="F302" s="2" t="s">
        <v>297</v>
      </c>
      <c r="G302" s="2" t="s">
        <v>262</v>
      </c>
      <c r="H302" s="2" t="s">
        <v>297</v>
      </c>
      <c r="I302" s="4">
        <v>256779417286</v>
      </c>
      <c r="L302" s="4">
        <v>256779418103</v>
      </c>
      <c r="M302" s="7">
        <v>980</v>
      </c>
      <c r="N302" s="7">
        <v>47157.936999999998</v>
      </c>
    </row>
    <row r="303" spans="1:14" x14ac:dyDescent="0.35">
      <c r="A303" s="2" t="s">
        <v>291</v>
      </c>
      <c r="B303" s="6">
        <v>0</v>
      </c>
      <c r="C303" s="6">
        <v>4231.3179</v>
      </c>
      <c r="D303" s="2" t="s">
        <v>15</v>
      </c>
      <c r="E303" s="2" t="s">
        <v>15</v>
      </c>
      <c r="F303" s="2" t="s">
        <v>298</v>
      </c>
      <c r="G303" s="2" t="s">
        <v>21</v>
      </c>
      <c r="H303" s="2" t="s">
        <v>298</v>
      </c>
      <c r="I303" s="4">
        <v>256779417324</v>
      </c>
      <c r="L303" s="4">
        <v>256779418168</v>
      </c>
      <c r="M303" s="7">
        <v>88</v>
      </c>
      <c r="N303" s="7">
        <v>6173.1630999999998</v>
      </c>
    </row>
    <row r="304" spans="1:14" x14ac:dyDescent="0.35">
      <c r="A304" s="2" t="s">
        <v>291</v>
      </c>
      <c r="B304" s="6">
        <v>0</v>
      </c>
      <c r="C304" s="6">
        <v>1233.9521</v>
      </c>
      <c r="D304" s="2" t="s">
        <v>15</v>
      </c>
      <c r="E304" s="2" t="s">
        <v>15</v>
      </c>
      <c r="F304" s="2" t="s">
        <v>299</v>
      </c>
      <c r="G304" s="2" t="s">
        <v>21</v>
      </c>
      <c r="H304" s="2" t="s">
        <v>299</v>
      </c>
      <c r="I304" s="4">
        <v>256779416948</v>
      </c>
      <c r="L304" s="4">
        <v>256779418351</v>
      </c>
      <c r="M304" s="7">
        <v>0</v>
      </c>
      <c r="N304" s="7">
        <v>1036.08</v>
      </c>
    </row>
    <row r="305" spans="1:14" x14ac:dyDescent="0.35">
      <c r="A305" s="2" t="s">
        <v>291</v>
      </c>
      <c r="B305" s="6">
        <v>0</v>
      </c>
      <c r="C305" s="6">
        <v>1992.7012</v>
      </c>
      <c r="D305" s="2" t="s">
        <v>15</v>
      </c>
      <c r="E305" s="2" t="s">
        <v>15</v>
      </c>
      <c r="F305" s="2" t="s">
        <v>300</v>
      </c>
      <c r="G305" s="2" t="s">
        <v>270</v>
      </c>
      <c r="H305" s="2" t="s">
        <v>300</v>
      </c>
      <c r="I305" s="4">
        <v>256779417261</v>
      </c>
      <c r="L305" s="4">
        <v>256779418428</v>
      </c>
      <c r="M305" s="7">
        <v>88</v>
      </c>
      <c r="N305" s="7">
        <v>2901.2856000000002</v>
      </c>
    </row>
    <row r="306" spans="1:14" x14ac:dyDescent="0.35">
      <c r="A306" s="1" t="s">
        <v>494</v>
      </c>
      <c r="B306" s="7">
        <v>0</v>
      </c>
      <c r="C306" s="7">
        <v>8522</v>
      </c>
      <c r="D306" s="1" t="s">
        <v>15</v>
      </c>
      <c r="E306" s="1" t="s">
        <v>15</v>
      </c>
      <c r="F306" s="1" t="s">
        <v>534</v>
      </c>
      <c r="G306" s="1" t="s">
        <v>107</v>
      </c>
      <c r="H306" s="1" t="s">
        <v>534</v>
      </c>
      <c r="I306" s="4">
        <v>246779411314</v>
      </c>
      <c r="L306" s="4">
        <v>256779418437</v>
      </c>
      <c r="M306" s="7">
        <v>176</v>
      </c>
      <c r="N306" s="7">
        <v>7046.0609999999997</v>
      </c>
    </row>
    <row r="307" spans="1:14" x14ac:dyDescent="0.35">
      <c r="A307" s="2" t="s">
        <v>291</v>
      </c>
      <c r="B307" s="6">
        <v>0</v>
      </c>
      <c r="C307" s="6">
        <v>1247.0791999999999</v>
      </c>
      <c r="D307" s="2" t="s">
        <v>15</v>
      </c>
      <c r="E307" s="2" t="s">
        <v>15</v>
      </c>
      <c r="F307" s="2" t="s">
        <v>302</v>
      </c>
      <c r="G307" s="2" t="s">
        <v>17</v>
      </c>
      <c r="H307" s="2" t="s">
        <v>302</v>
      </c>
      <c r="I307" s="4">
        <v>256779417160</v>
      </c>
      <c r="L307" s="4">
        <v>256779418477</v>
      </c>
      <c r="M307" s="7">
        <v>0</v>
      </c>
      <c r="N307" s="7">
        <v>299.84859999999998</v>
      </c>
    </row>
    <row r="308" spans="1:14" x14ac:dyDescent="0.35">
      <c r="A308" s="2" t="s">
        <v>291</v>
      </c>
      <c r="B308" s="6">
        <v>0</v>
      </c>
      <c r="C308" s="6">
        <v>59881.6803</v>
      </c>
      <c r="D308" s="2" t="s">
        <v>15</v>
      </c>
      <c r="E308" s="2" t="s">
        <v>15</v>
      </c>
      <c r="F308" s="2" t="s">
        <v>303</v>
      </c>
      <c r="G308" s="2" t="s">
        <v>304</v>
      </c>
      <c r="H308" s="2" t="s">
        <v>303</v>
      </c>
      <c r="I308" s="4">
        <v>256779417166</v>
      </c>
      <c r="L308" s="4">
        <v>256779418492</v>
      </c>
      <c r="M308" s="7">
        <v>6</v>
      </c>
      <c r="N308" s="7">
        <v>306</v>
      </c>
    </row>
    <row r="309" spans="1:14" x14ac:dyDescent="0.35">
      <c r="A309" s="2" t="s">
        <v>291</v>
      </c>
      <c r="B309" s="6">
        <v>0</v>
      </c>
      <c r="C309" s="6">
        <v>58594.344499999999</v>
      </c>
      <c r="D309" s="2" t="s">
        <v>15</v>
      </c>
      <c r="E309" s="2" t="s">
        <v>15</v>
      </c>
      <c r="F309" s="2" t="s">
        <v>305</v>
      </c>
      <c r="G309" s="2" t="s">
        <v>36</v>
      </c>
      <c r="H309" s="2" t="s">
        <v>305</v>
      </c>
      <c r="I309" s="4">
        <v>256779417173</v>
      </c>
      <c r="L309" s="4">
        <v>256779418802</v>
      </c>
      <c r="M309" s="7">
        <v>4048</v>
      </c>
      <c r="N309" s="7">
        <v>40195.392399999997</v>
      </c>
    </row>
    <row r="310" spans="1:14" x14ac:dyDescent="0.35">
      <c r="A310" s="2" t="s">
        <v>291</v>
      </c>
      <c r="B310" s="6">
        <v>0</v>
      </c>
      <c r="C310" s="6">
        <v>991.79819999999995</v>
      </c>
      <c r="D310" s="2" t="s">
        <v>15</v>
      </c>
      <c r="E310" s="2" t="s">
        <v>15</v>
      </c>
      <c r="F310" s="2" t="s">
        <v>306</v>
      </c>
      <c r="G310" s="2" t="s">
        <v>270</v>
      </c>
      <c r="H310" s="2" t="s">
        <v>306</v>
      </c>
      <c r="I310" s="4">
        <v>256779419248</v>
      </c>
      <c r="L310" s="4">
        <v>256779418819</v>
      </c>
      <c r="M310" s="7">
        <v>0</v>
      </c>
      <c r="N310" s="7">
        <v>2793.2276000000002</v>
      </c>
    </row>
    <row r="311" spans="1:14" x14ac:dyDescent="0.35">
      <c r="A311" s="2" t="s">
        <v>291</v>
      </c>
      <c r="B311" s="6">
        <v>0</v>
      </c>
      <c r="C311" s="6">
        <v>2793.2276000000002</v>
      </c>
      <c r="D311" s="2" t="s">
        <v>15</v>
      </c>
      <c r="E311" s="2" t="s">
        <v>15</v>
      </c>
      <c r="F311" s="2" t="s">
        <v>307</v>
      </c>
      <c r="G311" s="2" t="s">
        <v>17</v>
      </c>
      <c r="H311" s="2" t="s">
        <v>307</v>
      </c>
      <c r="I311" s="4">
        <v>256779418819</v>
      </c>
      <c r="L311" s="4">
        <v>256779418869</v>
      </c>
      <c r="M311" s="7">
        <v>0</v>
      </c>
      <c r="N311" s="7">
        <v>529469.75580000004</v>
      </c>
    </row>
    <row r="312" spans="1:14" x14ac:dyDescent="0.35">
      <c r="A312" s="2" t="s">
        <v>291</v>
      </c>
      <c r="B312" s="6">
        <v>0</v>
      </c>
      <c r="C312" s="6">
        <v>529469.75580000004</v>
      </c>
      <c r="D312" s="2" t="s">
        <v>15</v>
      </c>
      <c r="E312" s="2" t="s">
        <v>15</v>
      </c>
      <c r="F312" s="2" t="s">
        <v>308</v>
      </c>
      <c r="G312" s="2" t="s">
        <v>268</v>
      </c>
      <c r="H312" s="2" t="s">
        <v>308</v>
      </c>
      <c r="I312" s="4">
        <v>256779418869</v>
      </c>
      <c r="L312" s="4">
        <v>256779418897</v>
      </c>
      <c r="M312" s="7">
        <v>0</v>
      </c>
      <c r="N312" s="7">
        <v>9367.9609</v>
      </c>
    </row>
    <row r="313" spans="1:14" x14ac:dyDescent="0.35">
      <c r="A313" s="2" t="s">
        <v>291</v>
      </c>
      <c r="B313" s="6">
        <v>0</v>
      </c>
      <c r="C313" s="6">
        <v>9367.9609</v>
      </c>
      <c r="D313" s="2" t="s">
        <v>15</v>
      </c>
      <c r="E313" s="2" t="s">
        <v>15</v>
      </c>
      <c r="F313" s="2" t="s">
        <v>309</v>
      </c>
      <c r="G313" s="2" t="s">
        <v>66</v>
      </c>
      <c r="H313" s="2" t="s">
        <v>309</v>
      </c>
      <c r="I313" s="4">
        <v>256779418897</v>
      </c>
      <c r="L313" s="4">
        <v>256779418906</v>
      </c>
      <c r="M313" s="7">
        <v>0</v>
      </c>
      <c r="N313" s="7">
        <v>3014.1161000000002</v>
      </c>
    </row>
    <row r="314" spans="1:14" x14ac:dyDescent="0.35">
      <c r="A314" s="2" t="s">
        <v>291</v>
      </c>
      <c r="B314" s="6">
        <v>0</v>
      </c>
      <c r="C314" s="6">
        <v>3014.1161000000002</v>
      </c>
      <c r="D314" s="2" t="s">
        <v>15</v>
      </c>
      <c r="E314" s="2" t="s">
        <v>15</v>
      </c>
      <c r="F314" s="2" t="s">
        <v>310</v>
      </c>
      <c r="G314" s="2" t="s">
        <v>21</v>
      </c>
      <c r="H314" s="2" t="s">
        <v>310</v>
      </c>
      <c r="I314" s="4">
        <v>256779418906</v>
      </c>
      <c r="L314" s="4">
        <v>256779419069</v>
      </c>
      <c r="M314" s="7">
        <v>0</v>
      </c>
      <c r="N314" s="7">
        <v>26716.949199999999</v>
      </c>
    </row>
    <row r="315" spans="1:14" x14ac:dyDescent="0.35">
      <c r="A315" s="2" t="s">
        <v>291</v>
      </c>
      <c r="B315" s="6">
        <v>0</v>
      </c>
      <c r="C315" s="6">
        <v>63274.437400000003</v>
      </c>
      <c r="D315" s="2" t="s">
        <v>15</v>
      </c>
      <c r="E315" s="2" t="s">
        <v>15</v>
      </c>
      <c r="F315" s="2" t="s">
        <v>311</v>
      </c>
      <c r="G315" s="2" t="s">
        <v>36</v>
      </c>
      <c r="H315" s="2" t="s">
        <v>311</v>
      </c>
      <c r="I315" s="4">
        <v>256779419076</v>
      </c>
      <c r="L315" s="4">
        <v>256779419076</v>
      </c>
      <c r="M315" s="7">
        <v>0</v>
      </c>
      <c r="N315" s="7">
        <v>63274.437400000003</v>
      </c>
    </row>
    <row r="316" spans="1:14" x14ac:dyDescent="0.35">
      <c r="A316" s="2" t="s">
        <v>291</v>
      </c>
      <c r="B316" s="6">
        <v>0</v>
      </c>
      <c r="C316" s="6">
        <v>26716.949199999999</v>
      </c>
      <c r="D316" s="2" t="s">
        <v>15</v>
      </c>
      <c r="E316" s="2" t="s">
        <v>15</v>
      </c>
      <c r="F316" s="2" t="s">
        <v>312</v>
      </c>
      <c r="G316" s="2" t="s">
        <v>279</v>
      </c>
      <c r="H316" s="2" t="s">
        <v>312</v>
      </c>
      <c r="I316" s="4">
        <v>256779419069</v>
      </c>
      <c r="L316" s="4">
        <v>256779419172</v>
      </c>
      <c r="M316" s="7">
        <v>0</v>
      </c>
      <c r="N316" s="7">
        <v>5909.4276</v>
      </c>
    </row>
    <row r="317" spans="1:14" x14ac:dyDescent="0.35">
      <c r="A317" s="2" t="s">
        <v>291</v>
      </c>
      <c r="B317" s="6">
        <v>0</v>
      </c>
      <c r="C317" s="6">
        <v>5909.4276</v>
      </c>
      <c r="D317" s="2" t="s">
        <v>15</v>
      </c>
      <c r="E317" s="2" t="s">
        <v>15</v>
      </c>
      <c r="F317" s="2" t="s">
        <v>313</v>
      </c>
      <c r="G317" s="2" t="s">
        <v>21</v>
      </c>
      <c r="H317" s="2" t="s">
        <v>313</v>
      </c>
      <c r="I317" s="4">
        <v>256779419172</v>
      </c>
      <c r="L317" s="4">
        <v>256779419248</v>
      </c>
      <c r="M317" s="7">
        <v>0</v>
      </c>
      <c r="N317" s="7">
        <v>991.79819999999995</v>
      </c>
    </row>
    <row r="318" spans="1:14" x14ac:dyDescent="0.35">
      <c r="A318" s="2" t="s">
        <v>291</v>
      </c>
      <c r="B318" s="6">
        <v>0</v>
      </c>
      <c r="C318" s="6">
        <v>39821.534</v>
      </c>
      <c r="D318" s="2" t="s">
        <v>15</v>
      </c>
      <c r="E318" s="2" t="s">
        <v>15</v>
      </c>
      <c r="F318" s="2" t="s">
        <v>314</v>
      </c>
      <c r="G318" s="2" t="s">
        <v>36</v>
      </c>
      <c r="H318" s="2" t="s">
        <v>314</v>
      </c>
      <c r="I318" s="4">
        <v>256779419556</v>
      </c>
      <c r="L318" s="4">
        <v>256779419364</v>
      </c>
      <c r="M318" s="7">
        <v>0</v>
      </c>
      <c r="N318" s="7">
        <v>27787.070400000001</v>
      </c>
    </row>
    <row r="319" spans="1:14" x14ac:dyDescent="0.35">
      <c r="A319" s="2" t="s">
        <v>291</v>
      </c>
      <c r="B319" s="6">
        <v>0</v>
      </c>
      <c r="C319" s="6">
        <v>29234.726200000001</v>
      </c>
      <c r="D319" s="2" t="s">
        <v>15</v>
      </c>
      <c r="E319" s="2" t="s">
        <v>15</v>
      </c>
      <c r="F319" s="2" t="s">
        <v>315</v>
      </c>
      <c r="G319" s="2" t="s">
        <v>262</v>
      </c>
      <c r="H319" s="2" t="s">
        <v>315</v>
      </c>
      <c r="I319" s="4">
        <v>256779419588</v>
      </c>
      <c r="L319" s="4">
        <v>256779419465</v>
      </c>
      <c r="M319" s="7">
        <v>0</v>
      </c>
      <c r="N319" s="7">
        <v>20693.117099999999</v>
      </c>
    </row>
    <row r="320" spans="1:14" x14ac:dyDescent="0.35">
      <c r="A320" s="2" t="s">
        <v>291</v>
      </c>
      <c r="B320" s="6">
        <v>0</v>
      </c>
      <c r="C320" s="6">
        <v>897.63459999999998</v>
      </c>
      <c r="D320" s="2" t="s">
        <v>15</v>
      </c>
      <c r="E320" s="2" t="s">
        <v>15</v>
      </c>
      <c r="F320" s="2" t="s">
        <v>316</v>
      </c>
      <c r="G320" s="2" t="s">
        <v>205</v>
      </c>
      <c r="H320" s="2" t="s">
        <v>316</v>
      </c>
      <c r="I320" s="4">
        <v>256779419628</v>
      </c>
      <c r="L320" s="4">
        <v>256779419476</v>
      </c>
      <c r="M320" s="7">
        <v>0</v>
      </c>
      <c r="N320" s="7">
        <v>14016.2999</v>
      </c>
    </row>
    <row r="321" spans="1:14" x14ac:dyDescent="0.35">
      <c r="A321" s="2" t="s">
        <v>317</v>
      </c>
      <c r="B321" s="6">
        <v>0</v>
      </c>
      <c r="C321" s="6">
        <v>20693.117099999999</v>
      </c>
      <c r="D321" s="2" t="s">
        <v>15</v>
      </c>
      <c r="E321" s="2" t="s">
        <v>15</v>
      </c>
      <c r="F321" s="2" t="s">
        <v>318</v>
      </c>
      <c r="G321" s="2" t="s">
        <v>17</v>
      </c>
      <c r="H321" s="2" t="s">
        <v>318</v>
      </c>
      <c r="I321" s="4">
        <v>256779419465</v>
      </c>
      <c r="L321" s="4">
        <v>256779419534</v>
      </c>
      <c r="M321" s="7">
        <v>0</v>
      </c>
      <c r="N321" s="7">
        <v>7761.8990000000003</v>
      </c>
    </row>
    <row r="322" spans="1:14" x14ac:dyDescent="0.35">
      <c r="A322" s="2" t="s">
        <v>317</v>
      </c>
      <c r="B322" s="6">
        <v>0</v>
      </c>
      <c r="C322" s="6">
        <v>14016.2999</v>
      </c>
      <c r="D322" s="2" t="s">
        <v>15</v>
      </c>
      <c r="E322" s="2" t="s">
        <v>15</v>
      </c>
      <c r="F322" s="2" t="s">
        <v>319</v>
      </c>
      <c r="G322" s="2" t="s">
        <v>254</v>
      </c>
      <c r="H322" s="2" t="s">
        <v>319</v>
      </c>
      <c r="I322" s="4">
        <v>256779419476</v>
      </c>
      <c r="L322" s="4">
        <v>256779419547</v>
      </c>
      <c r="M322" s="7">
        <v>0</v>
      </c>
      <c r="N322" s="7">
        <v>9417.2428</v>
      </c>
    </row>
    <row r="323" spans="1:14" x14ac:dyDescent="0.35">
      <c r="A323" s="2" t="s">
        <v>317</v>
      </c>
      <c r="B323" s="6">
        <v>0</v>
      </c>
      <c r="C323" s="6">
        <v>7761.8990000000003</v>
      </c>
      <c r="D323" s="2" t="s">
        <v>15</v>
      </c>
      <c r="E323" s="2" t="s">
        <v>15</v>
      </c>
      <c r="F323" s="2" t="s">
        <v>320</v>
      </c>
      <c r="G323" s="2" t="s">
        <v>262</v>
      </c>
      <c r="H323" s="2" t="s">
        <v>320</v>
      </c>
      <c r="I323" s="4">
        <v>256779419534</v>
      </c>
      <c r="L323" s="4">
        <v>256779419556</v>
      </c>
      <c r="M323" s="7">
        <v>0</v>
      </c>
      <c r="N323" s="7">
        <v>39821.534</v>
      </c>
    </row>
    <row r="324" spans="1:14" x14ac:dyDescent="0.35">
      <c r="A324" s="2" t="s">
        <v>317</v>
      </c>
      <c r="B324" s="6">
        <v>0</v>
      </c>
      <c r="C324" s="6">
        <v>9417.2428</v>
      </c>
      <c r="D324" s="2" t="s">
        <v>15</v>
      </c>
      <c r="E324" s="2" t="s">
        <v>15</v>
      </c>
      <c r="F324" s="2" t="s">
        <v>321</v>
      </c>
      <c r="G324" s="2" t="s">
        <v>90</v>
      </c>
      <c r="H324" s="2" t="s">
        <v>321</v>
      </c>
      <c r="I324" s="4">
        <v>256779419547</v>
      </c>
      <c r="L324" s="4">
        <v>256779419588</v>
      </c>
      <c r="M324" s="7">
        <v>0</v>
      </c>
      <c r="N324" s="7">
        <v>29234.726200000001</v>
      </c>
    </row>
    <row r="325" spans="1:14" x14ac:dyDescent="0.35">
      <c r="A325" s="2" t="s">
        <v>317</v>
      </c>
      <c r="B325" s="6">
        <v>0</v>
      </c>
      <c r="C325" s="6">
        <v>27787.070400000001</v>
      </c>
      <c r="D325" s="2" t="s">
        <v>15</v>
      </c>
      <c r="E325" s="2" t="s">
        <v>15</v>
      </c>
      <c r="F325" s="2" t="s">
        <v>322</v>
      </c>
      <c r="G325" s="2" t="s">
        <v>304</v>
      </c>
      <c r="H325" s="2" t="s">
        <v>322</v>
      </c>
      <c r="I325" s="4">
        <v>256779419364</v>
      </c>
      <c r="L325" s="4">
        <v>256779419628</v>
      </c>
      <c r="M325" s="7">
        <v>0</v>
      </c>
      <c r="N325" s="7">
        <v>897.63459999999998</v>
      </c>
    </row>
    <row r="326" spans="1:14" x14ac:dyDescent="0.35">
      <c r="A326" s="2" t="s">
        <v>317</v>
      </c>
      <c r="B326" s="6">
        <v>0</v>
      </c>
      <c r="C326" s="6">
        <v>11723.0177</v>
      </c>
      <c r="D326" s="2" t="s">
        <v>15</v>
      </c>
      <c r="E326" s="2" t="s">
        <v>15</v>
      </c>
      <c r="F326" s="2" t="s">
        <v>323</v>
      </c>
      <c r="G326" s="2" t="s">
        <v>36</v>
      </c>
      <c r="H326" s="2" t="s">
        <v>323</v>
      </c>
      <c r="I326" s="4">
        <v>256779413184</v>
      </c>
      <c r="L326" s="4">
        <v>256779419795</v>
      </c>
      <c r="M326" s="7">
        <v>0</v>
      </c>
      <c r="N326" s="7">
        <v>28407.106800000001</v>
      </c>
    </row>
    <row r="327" spans="1:14" x14ac:dyDescent="0.35">
      <c r="A327" s="2" t="s">
        <v>324</v>
      </c>
      <c r="B327" s="6">
        <v>0</v>
      </c>
      <c r="C327" s="6">
        <v>61159.633500000004</v>
      </c>
      <c r="D327" s="2" t="s">
        <v>15</v>
      </c>
      <c r="E327" s="2" t="s">
        <v>15</v>
      </c>
      <c r="F327" s="2" t="s">
        <v>325</v>
      </c>
      <c r="G327" s="2" t="s">
        <v>262</v>
      </c>
      <c r="H327" s="2" t="s">
        <v>325</v>
      </c>
      <c r="I327" s="4">
        <v>256779419867</v>
      </c>
      <c r="L327" s="4">
        <v>256779419867</v>
      </c>
      <c r="M327" s="7">
        <v>0</v>
      </c>
      <c r="N327" s="7">
        <v>61159.633500000004</v>
      </c>
    </row>
    <row r="328" spans="1:14" x14ac:dyDescent="0.35">
      <c r="A328" s="2" t="s">
        <v>324</v>
      </c>
      <c r="B328" s="6">
        <v>0</v>
      </c>
      <c r="C328" s="6">
        <v>11115.014499999999</v>
      </c>
      <c r="D328" s="2" t="s">
        <v>15</v>
      </c>
      <c r="E328" s="2" t="s">
        <v>15</v>
      </c>
      <c r="F328" s="2" t="s">
        <v>326</v>
      </c>
      <c r="G328" s="2" t="s">
        <v>21</v>
      </c>
      <c r="H328" s="2" t="s">
        <v>326</v>
      </c>
      <c r="I328" s="4">
        <v>256779419916</v>
      </c>
      <c r="L328" s="4">
        <v>256779419916</v>
      </c>
      <c r="M328" s="7">
        <v>0</v>
      </c>
      <c r="N328" s="7">
        <v>11115.014499999999</v>
      </c>
    </row>
    <row r="329" spans="1:14" x14ac:dyDescent="0.35">
      <c r="A329" s="2" t="s">
        <v>324</v>
      </c>
      <c r="B329" s="6">
        <v>0</v>
      </c>
      <c r="C329" s="6">
        <v>10489.678599999999</v>
      </c>
      <c r="D329" s="2" t="s">
        <v>15</v>
      </c>
      <c r="E329" s="2" t="s">
        <v>15</v>
      </c>
      <c r="F329" s="2" t="s">
        <v>327</v>
      </c>
      <c r="G329" s="2" t="s">
        <v>279</v>
      </c>
      <c r="H329" s="2" t="s">
        <v>327</v>
      </c>
      <c r="I329" s="4">
        <v>256779419933</v>
      </c>
      <c r="L329" s="4">
        <v>256779419933</v>
      </c>
      <c r="M329" s="7">
        <v>0</v>
      </c>
      <c r="N329" s="7">
        <v>10489.678599999999</v>
      </c>
    </row>
    <row r="330" spans="1:14" x14ac:dyDescent="0.35">
      <c r="A330" s="2" t="s">
        <v>324</v>
      </c>
      <c r="B330" s="6">
        <v>0</v>
      </c>
      <c r="C330" s="6">
        <v>28407.106800000001</v>
      </c>
      <c r="D330" s="2" t="s">
        <v>15</v>
      </c>
      <c r="E330" s="2" t="s">
        <v>15</v>
      </c>
      <c r="F330" s="2" t="s">
        <v>328</v>
      </c>
      <c r="G330" s="2" t="s">
        <v>36</v>
      </c>
      <c r="H330" s="2" t="s">
        <v>328</v>
      </c>
      <c r="I330" s="4">
        <v>256779419795</v>
      </c>
      <c r="L330" s="4">
        <v>256779440041</v>
      </c>
      <c r="M330" s="7">
        <v>4174</v>
      </c>
      <c r="N330" s="7">
        <v>41446.745000000003</v>
      </c>
    </row>
    <row r="331" spans="1:14" x14ac:dyDescent="0.35">
      <c r="A331" s="2" t="s">
        <v>329</v>
      </c>
      <c r="B331" s="6">
        <v>4048</v>
      </c>
      <c r="C331" s="6">
        <v>40195.392399999997</v>
      </c>
      <c r="D331" s="2" t="s">
        <v>15</v>
      </c>
      <c r="E331" s="2" t="s">
        <v>15</v>
      </c>
      <c r="F331" s="2" t="s">
        <v>330</v>
      </c>
      <c r="G331" s="2" t="s">
        <v>43</v>
      </c>
      <c r="H331" s="2" t="s">
        <v>331</v>
      </c>
      <c r="I331" s="4">
        <v>256779418802</v>
      </c>
      <c r="L331" s="4">
        <v>256779440069</v>
      </c>
      <c r="M331" s="7">
        <v>0</v>
      </c>
      <c r="N331" s="7">
        <v>1066.231</v>
      </c>
    </row>
    <row r="332" spans="1:14" x14ac:dyDescent="0.35">
      <c r="A332" s="2" t="s">
        <v>329</v>
      </c>
      <c r="B332" s="6">
        <v>0</v>
      </c>
      <c r="C332" s="6">
        <v>299.84859999999998</v>
      </c>
      <c r="D332" s="2" t="s">
        <v>15</v>
      </c>
      <c r="E332" s="2" t="s">
        <v>15</v>
      </c>
      <c r="F332" s="2" t="s">
        <v>332</v>
      </c>
      <c r="G332" s="2" t="s">
        <v>254</v>
      </c>
      <c r="H332" s="2" t="s">
        <v>332</v>
      </c>
      <c r="I332" s="4">
        <v>256779418477</v>
      </c>
      <c r="L332" s="4">
        <v>256779440118</v>
      </c>
      <c r="M332" s="7">
        <v>181</v>
      </c>
      <c r="N332" s="7">
        <v>8983.0849999999991</v>
      </c>
    </row>
    <row r="333" spans="1:14" x14ac:dyDescent="0.35">
      <c r="A333" s="2" t="s">
        <v>329</v>
      </c>
      <c r="B333" s="6">
        <v>7320</v>
      </c>
      <c r="C333" s="6">
        <v>73283.168300000005</v>
      </c>
      <c r="D333" s="2" t="s">
        <v>15</v>
      </c>
      <c r="E333" s="2" t="s">
        <v>15</v>
      </c>
      <c r="F333" s="2" t="s">
        <v>333</v>
      </c>
      <c r="G333" s="2" t="s">
        <v>36</v>
      </c>
      <c r="H333" s="2" t="s">
        <v>334</v>
      </c>
      <c r="I333" s="4">
        <v>246779418620</v>
      </c>
      <c r="L333" s="4">
        <v>256779440122</v>
      </c>
      <c r="M333" s="7">
        <v>181</v>
      </c>
      <c r="N333" s="7">
        <v>11185.420599999999</v>
      </c>
    </row>
    <row r="334" spans="1:14" x14ac:dyDescent="0.35">
      <c r="A334" s="2" t="s">
        <v>329</v>
      </c>
      <c r="B334" s="6">
        <v>500000</v>
      </c>
      <c r="C334" s="6">
        <v>0</v>
      </c>
      <c r="D334" s="2" t="s">
        <v>121</v>
      </c>
      <c r="E334" s="2" t="s">
        <v>122</v>
      </c>
      <c r="F334" s="2" t="s">
        <v>335</v>
      </c>
      <c r="G334" s="2" t="s">
        <v>124</v>
      </c>
      <c r="H334" s="2"/>
      <c r="I334" s="4"/>
      <c r="L334" s="4">
        <v>256779440210</v>
      </c>
      <c r="M334" s="7">
        <v>181</v>
      </c>
      <c r="N334" s="7">
        <v>7063.8671999999997</v>
      </c>
    </row>
    <row r="335" spans="1:14" x14ac:dyDescent="0.35">
      <c r="A335" s="2" t="s">
        <v>329</v>
      </c>
      <c r="B335" s="6">
        <v>6</v>
      </c>
      <c r="C335" s="6">
        <v>306</v>
      </c>
      <c r="D335" s="2" t="s">
        <v>15</v>
      </c>
      <c r="E335" s="2" t="s">
        <v>15</v>
      </c>
      <c r="F335" s="2" t="s">
        <v>336</v>
      </c>
      <c r="G335" s="2" t="s">
        <v>254</v>
      </c>
      <c r="H335" s="2" t="s">
        <v>337</v>
      </c>
      <c r="I335" s="4">
        <v>256779418492</v>
      </c>
      <c r="L335" s="4">
        <v>256779440383</v>
      </c>
      <c r="M335" s="7">
        <v>90</v>
      </c>
      <c r="N335" s="7">
        <v>4904.3774000000003</v>
      </c>
    </row>
    <row r="336" spans="1:14" x14ac:dyDescent="0.35">
      <c r="A336" s="2" t="s">
        <v>338</v>
      </c>
      <c r="B336" s="6">
        <v>176</v>
      </c>
      <c r="C336" s="6">
        <v>7046.0609999999997</v>
      </c>
      <c r="D336" s="2" t="s">
        <v>15</v>
      </c>
      <c r="E336" s="2" t="s">
        <v>15</v>
      </c>
      <c r="F336" s="2" t="s">
        <v>339</v>
      </c>
      <c r="G336" s="2" t="s">
        <v>21</v>
      </c>
      <c r="H336" s="2" t="s">
        <v>340</v>
      </c>
      <c r="I336" s="4">
        <v>256779418437</v>
      </c>
      <c r="L336" s="4">
        <v>256779440392</v>
      </c>
      <c r="M336" s="7">
        <v>1089</v>
      </c>
      <c r="N336" s="7">
        <v>11313.937</v>
      </c>
    </row>
    <row r="337" spans="1:14" x14ac:dyDescent="0.35">
      <c r="A337" s="2" t="s">
        <v>338</v>
      </c>
      <c r="B337" s="6">
        <v>88</v>
      </c>
      <c r="C337" s="6">
        <v>2901.2856000000002</v>
      </c>
      <c r="D337" s="2" t="s">
        <v>15</v>
      </c>
      <c r="E337" s="2" t="s">
        <v>15</v>
      </c>
      <c r="F337" s="2" t="s">
        <v>341</v>
      </c>
      <c r="G337" s="2" t="s">
        <v>31</v>
      </c>
      <c r="H337" s="2" t="s">
        <v>342</v>
      </c>
      <c r="I337" s="4">
        <v>256779418428</v>
      </c>
      <c r="L337" s="4">
        <v>256779440394</v>
      </c>
      <c r="M337" s="7">
        <v>1815</v>
      </c>
      <c r="N337" s="7">
        <v>18211.378000000001</v>
      </c>
    </row>
    <row r="338" spans="1:14" x14ac:dyDescent="0.35">
      <c r="A338" s="2" t="s">
        <v>338</v>
      </c>
      <c r="B338" s="6">
        <v>0</v>
      </c>
      <c r="C338" s="6">
        <v>1036.08</v>
      </c>
      <c r="D338" s="2" t="s">
        <v>15</v>
      </c>
      <c r="E338" s="2" t="s">
        <v>15</v>
      </c>
      <c r="F338" s="2" t="s">
        <v>343</v>
      </c>
      <c r="G338" s="2" t="s">
        <v>21</v>
      </c>
      <c r="H338" s="2" t="s">
        <v>343</v>
      </c>
      <c r="I338" s="4">
        <v>256779418351</v>
      </c>
      <c r="L338" s="4">
        <v>256779440413</v>
      </c>
      <c r="M338" s="7">
        <v>181</v>
      </c>
      <c r="N338" s="7">
        <v>8983.0846000000001</v>
      </c>
    </row>
    <row r="339" spans="1:14" x14ac:dyDescent="0.35">
      <c r="A339" s="1" t="s">
        <v>494</v>
      </c>
      <c r="B339" s="7">
        <v>0</v>
      </c>
      <c r="C339" s="7">
        <v>33376</v>
      </c>
      <c r="D339" s="1" t="s">
        <v>15</v>
      </c>
      <c r="E339" s="1" t="s">
        <v>15</v>
      </c>
      <c r="F339" s="1" t="s">
        <v>187</v>
      </c>
      <c r="G339" s="1" t="s">
        <v>107</v>
      </c>
      <c r="H339" s="1" t="s">
        <v>187</v>
      </c>
      <c r="I339" s="4">
        <v>246779411300</v>
      </c>
      <c r="L339" s="4">
        <v>256779440429</v>
      </c>
      <c r="M339" s="7">
        <v>91</v>
      </c>
      <c r="N339" s="7">
        <v>6141.7525999999998</v>
      </c>
    </row>
    <row r="340" spans="1:14" x14ac:dyDescent="0.35">
      <c r="A340" s="2" t="s">
        <v>338</v>
      </c>
      <c r="B340" s="6">
        <v>88</v>
      </c>
      <c r="C340" s="6">
        <v>6173.1630999999998</v>
      </c>
      <c r="D340" s="2" t="s">
        <v>15</v>
      </c>
      <c r="E340" s="2" t="s">
        <v>15</v>
      </c>
      <c r="F340" s="2" t="s">
        <v>346</v>
      </c>
      <c r="G340" s="2" t="s">
        <v>347</v>
      </c>
      <c r="H340" s="2" t="s">
        <v>348</v>
      </c>
      <c r="I340" s="4">
        <v>256779418168</v>
      </c>
      <c r="L340" s="4" t="s">
        <v>944</v>
      </c>
      <c r="M340" s="7">
        <v>8812706.5199999996</v>
      </c>
      <c r="N340" s="7">
        <v>0</v>
      </c>
    </row>
    <row r="341" spans="1:14" x14ac:dyDescent="0.35">
      <c r="A341" s="2" t="s">
        <v>338</v>
      </c>
      <c r="B341" s="6">
        <v>6791</v>
      </c>
      <c r="C341" s="6">
        <v>68060.655499999993</v>
      </c>
      <c r="D341" s="2" t="s">
        <v>15</v>
      </c>
      <c r="E341" s="2" t="s">
        <v>15</v>
      </c>
      <c r="F341" s="2" t="s">
        <v>349</v>
      </c>
      <c r="G341" s="2" t="s">
        <v>36</v>
      </c>
      <c r="H341" s="2" t="s">
        <v>350</v>
      </c>
      <c r="I341" s="4">
        <v>256779418094</v>
      </c>
      <c r="L341" s="45"/>
      <c r="M341" s="45"/>
      <c r="N341" s="45"/>
    </row>
    <row r="342" spans="1:14" x14ac:dyDescent="0.35">
      <c r="A342" s="2" t="s">
        <v>338</v>
      </c>
      <c r="B342" s="6">
        <v>1058</v>
      </c>
      <c r="C342" s="6">
        <v>51397.291499999999</v>
      </c>
      <c r="D342" s="2" t="s">
        <v>15</v>
      </c>
      <c r="E342" s="2" t="s">
        <v>15</v>
      </c>
      <c r="F342" s="2" t="s">
        <v>351</v>
      </c>
      <c r="G342" s="2" t="s">
        <v>21</v>
      </c>
      <c r="H342" s="2" t="s">
        <v>352</v>
      </c>
      <c r="I342" s="4">
        <v>256779417978</v>
      </c>
    </row>
    <row r="343" spans="1:14" x14ac:dyDescent="0.35">
      <c r="A343" s="2" t="s">
        <v>355</v>
      </c>
      <c r="B343" s="6">
        <v>1351</v>
      </c>
      <c r="C343" s="6">
        <v>67557</v>
      </c>
      <c r="D343" s="2" t="s">
        <v>15</v>
      </c>
      <c r="E343" s="2" t="s">
        <v>15</v>
      </c>
      <c r="F343" s="2" t="s">
        <v>356</v>
      </c>
      <c r="G343" s="2" t="s">
        <v>66</v>
      </c>
      <c r="H343" s="2" t="s">
        <v>357</v>
      </c>
      <c r="I343" s="4">
        <v>256779416178</v>
      </c>
    </row>
    <row r="344" spans="1:14" x14ac:dyDescent="0.35">
      <c r="A344" s="2" t="s">
        <v>185</v>
      </c>
      <c r="B344" s="6">
        <v>0</v>
      </c>
      <c r="C344" s="6">
        <v>44602</v>
      </c>
      <c r="D344" s="2" t="s">
        <v>15</v>
      </c>
      <c r="E344" s="2" t="s">
        <v>15</v>
      </c>
      <c r="F344" s="2" t="s">
        <v>190</v>
      </c>
      <c r="G344" s="2" t="s">
        <v>107</v>
      </c>
      <c r="H344" s="2" t="s">
        <v>190</v>
      </c>
      <c r="I344" s="4">
        <v>246779411278</v>
      </c>
    </row>
    <row r="345" spans="1:14" x14ac:dyDescent="0.35">
      <c r="A345" s="2" t="s">
        <v>13</v>
      </c>
      <c r="B345" s="6">
        <v>0</v>
      </c>
      <c r="C345" s="6">
        <v>59624</v>
      </c>
      <c r="D345" s="2" t="s">
        <v>15</v>
      </c>
      <c r="E345" s="2" t="s">
        <v>15</v>
      </c>
      <c r="F345" s="2" t="s">
        <v>46</v>
      </c>
      <c r="G345" s="2" t="s">
        <v>36</v>
      </c>
      <c r="H345" s="2" t="s">
        <v>46</v>
      </c>
      <c r="I345" s="4">
        <v>246779410360</v>
      </c>
    </row>
    <row r="346" spans="1:14" x14ac:dyDescent="0.35">
      <c r="A346" s="2" t="s">
        <v>145</v>
      </c>
      <c r="B346" s="6">
        <v>0</v>
      </c>
      <c r="C346" s="6">
        <v>151725</v>
      </c>
      <c r="D346" s="2" t="s">
        <v>15</v>
      </c>
      <c r="E346" s="2" t="s">
        <v>15</v>
      </c>
      <c r="F346" s="2" t="s">
        <v>147</v>
      </c>
      <c r="G346" s="2" t="s">
        <v>36</v>
      </c>
      <c r="H346" s="2" t="s">
        <v>147</v>
      </c>
      <c r="I346" s="4">
        <v>246779410348</v>
      </c>
    </row>
    <row r="347" spans="1:14" x14ac:dyDescent="0.35">
      <c r="A347" s="2" t="s">
        <v>364</v>
      </c>
      <c r="B347" s="6">
        <v>4174</v>
      </c>
      <c r="C347" s="6">
        <v>41446.745000000003</v>
      </c>
      <c r="D347" s="2" t="s">
        <v>15</v>
      </c>
      <c r="E347" s="2" t="s">
        <v>15</v>
      </c>
      <c r="F347" s="2" t="s">
        <v>365</v>
      </c>
      <c r="G347" s="2" t="s">
        <v>200</v>
      </c>
      <c r="H347" s="2" t="s">
        <v>366</v>
      </c>
      <c r="I347" s="4">
        <v>256779440041</v>
      </c>
    </row>
    <row r="348" spans="1:14" x14ac:dyDescent="0.35">
      <c r="A348" s="2" t="s">
        <v>364</v>
      </c>
      <c r="B348" s="6">
        <v>0</v>
      </c>
      <c r="C348" s="6">
        <v>1066.231</v>
      </c>
      <c r="D348" s="2" t="s">
        <v>15</v>
      </c>
      <c r="E348" s="2" t="s">
        <v>15</v>
      </c>
      <c r="F348" s="2" t="s">
        <v>367</v>
      </c>
      <c r="G348" s="2" t="s">
        <v>21</v>
      </c>
      <c r="H348" s="2" t="s">
        <v>367</v>
      </c>
      <c r="I348" s="4">
        <v>256779440069</v>
      </c>
    </row>
    <row r="349" spans="1:14" x14ac:dyDescent="0.35">
      <c r="A349" s="2" t="s">
        <v>368</v>
      </c>
      <c r="B349" s="6">
        <v>181</v>
      </c>
      <c r="C349" s="6">
        <v>8983.0849999999991</v>
      </c>
      <c r="D349" s="2" t="s">
        <v>15</v>
      </c>
      <c r="E349" s="2" t="s">
        <v>15</v>
      </c>
      <c r="F349" s="2" t="s">
        <v>369</v>
      </c>
      <c r="G349" s="2" t="s">
        <v>370</v>
      </c>
      <c r="H349" s="2" t="s">
        <v>371</v>
      </c>
      <c r="I349" s="4">
        <v>256779440118</v>
      </c>
    </row>
    <row r="350" spans="1:14" x14ac:dyDescent="0.35">
      <c r="A350" s="2" t="s">
        <v>372</v>
      </c>
      <c r="B350" s="6">
        <v>674751</v>
      </c>
      <c r="C350" s="6">
        <v>0</v>
      </c>
      <c r="D350" s="2" t="s">
        <v>121</v>
      </c>
      <c r="E350" s="2" t="s">
        <v>122</v>
      </c>
      <c r="F350" s="2" t="s">
        <v>373</v>
      </c>
      <c r="G350" s="2" t="s">
        <v>124</v>
      </c>
      <c r="H350" s="2" t="s">
        <v>301</v>
      </c>
      <c r="I350" s="4"/>
    </row>
    <row r="351" spans="1:14" x14ac:dyDescent="0.35">
      <c r="A351" s="2" t="s">
        <v>374</v>
      </c>
      <c r="B351" s="6">
        <v>90</v>
      </c>
      <c r="C351" s="6">
        <v>4904.3774000000003</v>
      </c>
      <c r="D351" s="2" t="s">
        <v>15</v>
      </c>
      <c r="E351" s="2" t="s">
        <v>15</v>
      </c>
      <c r="F351" s="2" t="s">
        <v>375</v>
      </c>
      <c r="G351" s="2" t="s">
        <v>376</v>
      </c>
      <c r="H351" s="2" t="s">
        <v>377</v>
      </c>
      <c r="I351" s="4">
        <v>256779440383</v>
      </c>
    </row>
    <row r="352" spans="1:14" x14ac:dyDescent="0.35">
      <c r="A352" s="2" t="s">
        <v>374</v>
      </c>
      <c r="B352" s="6">
        <v>181</v>
      </c>
      <c r="C352" s="6">
        <v>8983.0846000000001</v>
      </c>
      <c r="D352" s="2" t="s">
        <v>15</v>
      </c>
      <c r="E352" s="2" t="s">
        <v>15</v>
      </c>
      <c r="F352" s="2" t="s">
        <v>378</v>
      </c>
      <c r="G352" s="2" t="s">
        <v>379</v>
      </c>
      <c r="H352" s="2" t="s">
        <v>380</v>
      </c>
      <c r="I352" s="4">
        <v>256779440413</v>
      </c>
    </row>
    <row r="353" spans="1:9" x14ac:dyDescent="0.35">
      <c r="A353" s="2" t="s">
        <v>374</v>
      </c>
      <c r="B353" s="6">
        <v>91</v>
      </c>
      <c r="C353" s="6">
        <v>6141.7525999999998</v>
      </c>
      <c r="D353" s="2" t="s">
        <v>15</v>
      </c>
      <c r="E353" s="2" t="s">
        <v>15</v>
      </c>
      <c r="F353" s="2" t="s">
        <v>381</v>
      </c>
      <c r="G353" s="2" t="s">
        <v>21</v>
      </c>
      <c r="H353" s="2" t="s">
        <v>382</v>
      </c>
      <c r="I353" s="4">
        <v>256779440429</v>
      </c>
    </row>
    <row r="354" spans="1:9" x14ac:dyDescent="0.35">
      <c r="A354" s="2" t="s">
        <v>374</v>
      </c>
      <c r="B354" s="6">
        <v>1815</v>
      </c>
      <c r="C354" s="6">
        <v>18211.378000000001</v>
      </c>
      <c r="D354" s="2" t="s">
        <v>15</v>
      </c>
      <c r="E354" s="2" t="s">
        <v>15</v>
      </c>
      <c r="F354" s="2" t="s">
        <v>383</v>
      </c>
      <c r="G354" s="2" t="s">
        <v>36</v>
      </c>
      <c r="H354" s="2" t="s">
        <v>384</v>
      </c>
      <c r="I354" s="4">
        <v>256779440394</v>
      </c>
    </row>
    <row r="355" spans="1:9" x14ac:dyDescent="0.35">
      <c r="A355" s="2" t="s">
        <v>374</v>
      </c>
      <c r="B355" s="6">
        <v>1089</v>
      </c>
      <c r="C355" s="6">
        <v>11313.937</v>
      </c>
      <c r="D355" s="2" t="s">
        <v>15</v>
      </c>
      <c r="E355" s="2" t="s">
        <v>15</v>
      </c>
      <c r="F355" s="2" t="s">
        <v>385</v>
      </c>
      <c r="G355" s="2" t="s">
        <v>386</v>
      </c>
      <c r="H355" s="2" t="s">
        <v>387</v>
      </c>
      <c r="I355" s="4">
        <v>256779440392</v>
      </c>
    </row>
    <row r="356" spans="1:9" x14ac:dyDescent="0.35">
      <c r="A356" s="2" t="s">
        <v>388</v>
      </c>
      <c r="B356" s="6">
        <v>181</v>
      </c>
      <c r="C356" s="6">
        <v>7063.8671999999997</v>
      </c>
      <c r="D356" s="2" t="s">
        <v>15</v>
      </c>
      <c r="E356" s="2" t="s">
        <v>15</v>
      </c>
      <c r="F356" s="2" t="s">
        <v>389</v>
      </c>
      <c r="G356" s="2" t="s">
        <v>88</v>
      </c>
      <c r="H356" s="2" t="s">
        <v>390</v>
      </c>
      <c r="I356" s="4">
        <v>256779440210</v>
      </c>
    </row>
    <row r="357" spans="1:9" x14ac:dyDescent="0.35">
      <c r="A357" s="2" t="s">
        <v>388</v>
      </c>
      <c r="B357" s="6">
        <v>181</v>
      </c>
      <c r="C357" s="6">
        <v>11185.420599999999</v>
      </c>
      <c r="D357" s="2" t="s">
        <v>15</v>
      </c>
      <c r="E357" s="2" t="s">
        <v>15</v>
      </c>
      <c r="F357" s="2" t="s">
        <v>391</v>
      </c>
      <c r="G357" s="2" t="s">
        <v>386</v>
      </c>
      <c r="H357" s="2" t="s">
        <v>392</v>
      </c>
      <c r="I357" s="4">
        <v>256779440122</v>
      </c>
    </row>
  </sheetData>
  <autoFilter ref="A2:I357" xr:uid="{882AEDB8-573A-4E8A-901A-9312DADBC153}"/>
  <conditionalFormatting sqref="I1:I357">
    <cfRule type="duplicateValues" dxfId="4" priority="1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62A3-3527-4E2E-984D-6EE185855CA9}">
  <dimension ref="A1:K23"/>
  <sheetViews>
    <sheetView workbookViewId="0">
      <selection activeCell="C1" sqref="C1"/>
    </sheetView>
  </sheetViews>
  <sheetFormatPr defaultRowHeight="14.5" x14ac:dyDescent="0.35"/>
  <cols>
    <col min="1" max="1" width="11.1796875" bestFit="1" customWidth="1"/>
    <col min="2" max="2" width="10.81640625" bestFit="1" customWidth="1"/>
    <col min="3" max="3" width="11.36328125" bestFit="1" customWidth="1"/>
    <col min="4" max="4" width="10.1796875" customWidth="1"/>
    <col min="5" max="5" width="18.90625" bestFit="1" customWidth="1"/>
    <col min="6" max="6" width="29.90625" customWidth="1"/>
    <col min="7" max="7" width="18.54296875" customWidth="1"/>
    <col min="8" max="8" width="26" bestFit="1" customWidth="1"/>
    <col min="9" max="9" width="15.453125" style="45" bestFit="1" customWidth="1"/>
  </cols>
  <sheetData>
    <row r="1" spans="1:11" x14ac:dyDescent="0.35">
      <c r="A1" s="63"/>
      <c r="B1" s="64">
        <v>636449</v>
      </c>
      <c r="C1" s="64">
        <v>503</v>
      </c>
      <c r="D1" s="63"/>
      <c r="E1" s="63"/>
      <c r="F1" s="63"/>
      <c r="G1" s="63"/>
      <c r="H1" s="65"/>
    </row>
    <row r="2" spans="1:11" x14ac:dyDescent="0.35">
      <c r="A2" s="66" t="s">
        <v>0</v>
      </c>
      <c r="B2" s="67" t="s">
        <v>2</v>
      </c>
      <c r="C2" s="67" t="s">
        <v>3</v>
      </c>
      <c r="D2" s="66" t="s">
        <v>6</v>
      </c>
      <c r="E2" s="66" t="s">
        <v>7</v>
      </c>
      <c r="F2" s="66" t="s">
        <v>8</v>
      </c>
      <c r="G2" s="66" t="s">
        <v>11</v>
      </c>
      <c r="H2" s="68" t="s">
        <v>12</v>
      </c>
      <c r="I2" s="68" t="s">
        <v>12</v>
      </c>
    </row>
    <row r="3" spans="1:11" x14ac:dyDescent="0.35">
      <c r="A3" s="69" t="s">
        <v>148</v>
      </c>
      <c r="B3" s="70">
        <v>11798</v>
      </c>
      <c r="C3" s="70">
        <v>0</v>
      </c>
      <c r="D3" s="69" t="s">
        <v>149</v>
      </c>
      <c r="E3" s="69" t="s">
        <v>157</v>
      </c>
      <c r="F3" s="69" t="s">
        <v>107</v>
      </c>
      <c r="G3" s="69" t="s">
        <v>106</v>
      </c>
      <c r="H3" s="68">
        <v>256779413283</v>
      </c>
      <c r="I3" s="4"/>
      <c r="J3">
        <f>_xlfn.XLOOKUP(H3,'Invoice &amp; CN not in Customers'!$D:$D,'Invoice &amp; CN not in Customers'!$H:$H,0,0)</f>
        <v>0</v>
      </c>
    </row>
    <row r="4" spans="1:11" x14ac:dyDescent="0.35">
      <c r="A4" s="69" t="s">
        <v>148</v>
      </c>
      <c r="B4" s="70">
        <v>140649</v>
      </c>
      <c r="C4" s="70">
        <v>0</v>
      </c>
      <c r="D4" s="69" t="s">
        <v>149</v>
      </c>
      <c r="E4" s="69" t="s">
        <v>160</v>
      </c>
      <c r="F4" s="69" t="s">
        <v>36</v>
      </c>
      <c r="G4" s="69" t="s">
        <v>57</v>
      </c>
      <c r="H4" s="68">
        <v>256779410010</v>
      </c>
      <c r="I4" s="4"/>
      <c r="J4">
        <f>_xlfn.XLOOKUP(H4,'Invoice &amp; CN not in Customers'!$D:$D,'Invoice &amp; CN not in Customers'!$H:$H,0,0)</f>
        <v>0</v>
      </c>
    </row>
    <row r="5" spans="1:11" x14ac:dyDescent="0.35">
      <c r="A5" s="69" t="s">
        <v>148</v>
      </c>
      <c r="B5" s="70">
        <v>55272</v>
      </c>
      <c r="C5" s="70">
        <v>0</v>
      </c>
      <c r="D5" s="69" t="s">
        <v>149</v>
      </c>
      <c r="E5" s="69" t="s">
        <v>161</v>
      </c>
      <c r="F5" s="69" t="s">
        <v>36</v>
      </c>
      <c r="G5" s="69" t="s">
        <v>58</v>
      </c>
      <c r="H5" s="68">
        <v>256779410004</v>
      </c>
      <c r="I5" s="4"/>
      <c r="J5">
        <f>_xlfn.XLOOKUP(H5,'Invoice &amp; CN not in Customers'!$D:$D,'Invoice &amp; CN not in Customers'!$H:$H,0,0)</f>
        <v>0</v>
      </c>
    </row>
    <row r="6" spans="1:11" x14ac:dyDescent="0.35">
      <c r="A6" s="69" t="s">
        <v>148</v>
      </c>
      <c r="B6" s="70">
        <v>4786</v>
      </c>
      <c r="C6" s="70">
        <v>0</v>
      </c>
      <c r="D6" s="69" t="s">
        <v>149</v>
      </c>
      <c r="E6" s="69" t="s">
        <v>162</v>
      </c>
      <c r="F6" s="69" t="s">
        <v>36</v>
      </c>
      <c r="G6" s="69" t="s">
        <v>162</v>
      </c>
      <c r="H6" s="68">
        <v>256779421381</v>
      </c>
      <c r="I6" s="4"/>
      <c r="J6">
        <f>_xlfn.XLOOKUP(H6,'Invoice &amp; CN not in Customers'!$D:$D,'Invoice &amp; CN not in Customers'!$H:$H,0,0)</f>
        <v>0</v>
      </c>
    </row>
    <row r="7" spans="1:11" x14ac:dyDescent="0.35">
      <c r="A7" s="69" t="s">
        <v>148</v>
      </c>
      <c r="B7" s="70">
        <v>11955</v>
      </c>
      <c r="C7" s="70">
        <v>0</v>
      </c>
      <c r="D7" s="69" t="s">
        <v>149</v>
      </c>
      <c r="E7" s="69" t="s">
        <v>163</v>
      </c>
      <c r="F7" s="69" t="s">
        <v>39</v>
      </c>
      <c r="G7" s="69" t="s">
        <v>38</v>
      </c>
      <c r="H7" s="68">
        <v>246779413845</v>
      </c>
      <c r="I7" s="4"/>
      <c r="J7">
        <f>_xlfn.XLOOKUP(H7,'Invoice &amp; CN not in Customers'!$D:$D,'Invoice &amp; CN not in Customers'!$H:$H,0,0)</f>
        <v>0</v>
      </c>
    </row>
    <row r="8" spans="1:11" x14ac:dyDescent="0.35">
      <c r="A8" s="69" t="s">
        <v>148</v>
      </c>
      <c r="B8" s="70">
        <v>12467</v>
      </c>
      <c r="C8" s="70">
        <v>0</v>
      </c>
      <c r="D8" s="69" t="s">
        <v>149</v>
      </c>
      <c r="E8" s="69" t="s">
        <v>165</v>
      </c>
      <c r="F8" s="69" t="s">
        <v>36</v>
      </c>
      <c r="G8" s="69" t="s">
        <v>165</v>
      </c>
      <c r="H8" s="68">
        <v>256779421383</v>
      </c>
      <c r="I8" s="4"/>
      <c r="J8">
        <f>_xlfn.XLOOKUP(H8,'Invoice &amp; CN not in Customers'!$D:$D,'Invoice &amp; CN not in Customers'!$H:$H,0,0)</f>
        <v>0</v>
      </c>
    </row>
    <row r="9" spans="1:11" x14ac:dyDescent="0.35">
      <c r="A9" s="69" t="s">
        <v>148</v>
      </c>
      <c r="B9" s="70">
        <v>6084</v>
      </c>
      <c r="C9" s="70">
        <v>0</v>
      </c>
      <c r="D9" s="69" t="s">
        <v>149</v>
      </c>
      <c r="E9" s="69" t="s">
        <v>166</v>
      </c>
      <c r="F9" s="69" t="s">
        <v>80</v>
      </c>
      <c r="G9" s="69" t="s">
        <v>166</v>
      </c>
      <c r="H9" s="68">
        <v>256779421376</v>
      </c>
      <c r="I9" s="4"/>
      <c r="J9">
        <f>_xlfn.XLOOKUP(H9,'Invoice &amp; CN not in Customers'!$D:$D,'Invoice &amp; CN not in Customers'!$H:$H,0,0)</f>
        <v>0</v>
      </c>
    </row>
    <row r="10" spans="1:11" x14ac:dyDescent="0.35">
      <c r="A10" s="69" t="s">
        <v>148</v>
      </c>
      <c r="B10" s="70">
        <v>12169</v>
      </c>
      <c r="C10" s="70">
        <v>0</v>
      </c>
      <c r="D10" s="69" t="s">
        <v>149</v>
      </c>
      <c r="E10" s="69" t="s">
        <v>167</v>
      </c>
      <c r="F10" s="69" t="s">
        <v>80</v>
      </c>
      <c r="G10" s="69" t="s">
        <v>167</v>
      </c>
      <c r="H10" s="68">
        <v>256779421370</v>
      </c>
      <c r="I10" s="4"/>
      <c r="J10">
        <f>_xlfn.XLOOKUP(H10,'Invoice &amp; CN not in Customers'!$D:$D,'Invoice &amp; CN not in Customers'!$H:$H,0,0)</f>
        <v>0</v>
      </c>
    </row>
    <row r="11" spans="1:11" x14ac:dyDescent="0.35">
      <c r="A11" s="69" t="s">
        <v>148</v>
      </c>
      <c r="B11" s="70">
        <v>114223</v>
      </c>
      <c r="C11" s="70">
        <v>0</v>
      </c>
      <c r="D11" s="69" t="s">
        <v>149</v>
      </c>
      <c r="E11" s="69" t="s">
        <v>168</v>
      </c>
      <c r="F11" s="69" t="s">
        <v>36</v>
      </c>
      <c r="G11" s="69" t="s">
        <v>168</v>
      </c>
      <c r="H11" s="68">
        <v>256779421367</v>
      </c>
      <c r="I11" s="4"/>
      <c r="J11">
        <f>_xlfn.XLOOKUP(H11,'Invoice &amp; CN not in Customers'!$D:$D,'Invoice &amp; CN not in Customers'!$H:$H,0,0)</f>
        <v>0</v>
      </c>
    </row>
    <row r="12" spans="1:11" x14ac:dyDescent="0.35">
      <c r="A12" s="69" t="s">
        <v>148</v>
      </c>
      <c r="B12" s="70">
        <v>31577</v>
      </c>
      <c r="C12" s="70">
        <v>0</v>
      </c>
      <c r="D12" s="69" t="s">
        <v>149</v>
      </c>
      <c r="E12" s="69" t="s">
        <v>170</v>
      </c>
      <c r="F12" s="69" t="s">
        <v>36</v>
      </c>
      <c r="G12" s="69" t="s">
        <v>170</v>
      </c>
      <c r="H12" s="68">
        <v>256779421361</v>
      </c>
      <c r="I12" s="4"/>
      <c r="J12">
        <f>_xlfn.XLOOKUP(H12,'Invoice &amp; CN not in Customers'!$D:$D,'Invoice &amp; CN not in Customers'!$H:$H,0,0)</f>
        <v>0</v>
      </c>
    </row>
    <row r="13" spans="1:11" x14ac:dyDescent="0.35">
      <c r="A13" s="69" t="s">
        <v>148</v>
      </c>
      <c r="B13" s="70">
        <v>17313</v>
      </c>
      <c r="C13" s="70">
        <v>330</v>
      </c>
      <c r="D13" s="69" t="s">
        <v>171</v>
      </c>
      <c r="E13" s="69" t="s">
        <v>172</v>
      </c>
      <c r="F13" s="69" t="s">
        <v>80</v>
      </c>
      <c r="G13" s="69" t="s">
        <v>173</v>
      </c>
      <c r="H13" s="68">
        <v>256779421379</v>
      </c>
      <c r="I13" s="4"/>
      <c r="J13">
        <f>_xlfn.XLOOKUP(H13,'Invoice &amp; CN not in Customers'!$D:$D,'Invoice &amp; CN not in Customers'!$H:$H,0,0)</f>
        <v>0</v>
      </c>
    </row>
    <row r="14" spans="1:11" x14ac:dyDescent="0.35">
      <c r="A14" s="69" t="s">
        <v>148</v>
      </c>
      <c r="B14" s="70">
        <v>8696</v>
      </c>
      <c r="C14" s="70">
        <v>173</v>
      </c>
      <c r="D14" s="69" t="s">
        <v>171</v>
      </c>
      <c r="E14" s="69" t="s">
        <v>174</v>
      </c>
      <c r="F14" s="69" t="s">
        <v>107</v>
      </c>
      <c r="G14" s="69" t="s">
        <v>175</v>
      </c>
      <c r="H14" s="68">
        <v>256779421373</v>
      </c>
      <c r="I14" s="4"/>
      <c r="J14">
        <f>_xlfn.XLOOKUP(H14,'Invoice &amp; CN not in Customers'!$D:$D,'Invoice &amp; CN not in Customers'!$H:$H,0,0)</f>
        <v>0</v>
      </c>
    </row>
    <row r="15" spans="1:11" x14ac:dyDescent="0.35">
      <c r="A15" s="69" t="s">
        <v>148</v>
      </c>
      <c r="B15" s="70">
        <v>31723</v>
      </c>
      <c r="C15" s="70">
        <v>0</v>
      </c>
      <c r="D15" s="69" t="s">
        <v>149</v>
      </c>
      <c r="E15" s="69" t="s">
        <v>153</v>
      </c>
      <c r="F15" s="69" t="s">
        <v>107</v>
      </c>
      <c r="G15" s="69" t="s">
        <v>154</v>
      </c>
      <c r="H15" s="68">
        <v>246779413827</v>
      </c>
      <c r="I15" s="4"/>
      <c r="J15">
        <f>_xlfn.XLOOKUP(H15,'Invoice &amp; CN not in Customers'!$D:$D,'Invoice &amp; CN not in Customers'!$H:$H,0,0)</f>
        <v>0</v>
      </c>
    </row>
    <row r="16" spans="1:11" x14ac:dyDescent="0.35">
      <c r="A16" s="69" t="s">
        <v>185</v>
      </c>
      <c r="B16" s="70">
        <v>15778</v>
      </c>
      <c r="C16" s="70">
        <v>0</v>
      </c>
      <c r="D16" s="69" t="s">
        <v>149</v>
      </c>
      <c r="E16" s="69" t="s">
        <v>188</v>
      </c>
      <c r="F16" s="69" t="s">
        <v>36</v>
      </c>
      <c r="G16" s="69" t="s">
        <v>188</v>
      </c>
      <c r="H16" s="68">
        <v>246779410348</v>
      </c>
      <c r="I16" s="4">
        <v>256779421380</v>
      </c>
      <c r="J16">
        <f>_xlfn.XLOOKUP(H16,'Invoice &amp; CN not in Customers'!$D:$D,'Invoice &amp; CN not in Customers'!$H:$H,0,0)</f>
        <v>0</v>
      </c>
      <c r="K16">
        <f>_xlfn.XLOOKUP(I16,'Invoice &amp; CN not in Customers'!$D:$D,'Invoice &amp; CN not in Customers'!$H:$H,0,0)</f>
        <v>0</v>
      </c>
    </row>
    <row r="17" spans="1:11" x14ac:dyDescent="0.35">
      <c r="A17" s="69" t="s">
        <v>185</v>
      </c>
      <c r="B17" s="70">
        <v>36410</v>
      </c>
      <c r="C17" s="70">
        <v>0</v>
      </c>
      <c r="D17" s="69" t="s">
        <v>149</v>
      </c>
      <c r="E17" s="69" t="s">
        <v>191</v>
      </c>
      <c r="F17" s="69" t="s">
        <v>107</v>
      </c>
      <c r="G17" s="69" t="s">
        <v>191</v>
      </c>
      <c r="H17" s="68">
        <v>246779411278</v>
      </c>
      <c r="I17" s="4">
        <v>256779421385</v>
      </c>
      <c r="J17">
        <f>_xlfn.XLOOKUP(H17,'Invoice &amp; CN not in Customers'!$D:$D,'Invoice &amp; CN not in Customers'!$H:$H,0,0)</f>
        <v>0</v>
      </c>
      <c r="K17">
        <f>_xlfn.XLOOKUP(I17,'Invoice &amp; CN not in Customers'!$D:$D,'Invoice &amp; CN not in Customers'!$H:$H,0,0)</f>
        <v>0</v>
      </c>
    </row>
    <row r="18" spans="1:11" x14ac:dyDescent="0.35">
      <c r="A18" s="69" t="s">
        <v>185</v>
      </c>
      <c r="B18" s="70">
        <v>15401</v>
      </c>
      <c r="C18" s="70">
        <v>0</v>
      </c>
      <c r="D18" s="69" t="s">
        <v>149</v>
      </c>
      <c r="E18" s="69" t="s">
        <v>193</v>
      </c>
      <c r="F18" s="69" t="s">
        <v>43</v>
      </c>
      <c r="G18" s="69" t="s">
        <v>193</v>
      </c>
      <c r="H18" s="68">
        <v>256779421382</v>
      </c>
      <c r="I18" s="4">
        <v>246779413701</v>
      </c>
      <c r="J18">
        <f>_xlfn.XLOOKUP(H18,'Invoice &amp; CN not in Customers'!$D:$D,'Invoice &amp; CN not in Customers'!$H:$H,0,0)</f>
        <v>0</v>
      </c>
      <c r="K18">
        <f>_xlfn.XLOOKUP(I18,'Invoice &amp; CN not in Customers'!$D:$D,'Invoice &amp; CN not in Customers'!$H:$H,0,0)</f>
        <v>0</v>
      </c>
    </row>
    <row r="19" spans="1:11" x14ac:dyDescent="0.35">
      <c r="A19" s="69" t="s">
        <v>148</v>
      </c>
      <c r="B19" s="70">
        <v>18611</v>
      </c>
      <c r="C19" s="70">
        <v>0</v>
      </c>
      <c r="D19" s="69" t="s">
        <v>149</v>
      </c>
      <c r="E19" s="69" t="s">
        <v>151</v>
      </c>
      <c r="F19" s="69" t="s">
        <v>107</v>
      </c>
      <c r="G19" s="69" t="s">
        <v>152</v>
      </c>
      <c r="H19" s="68">
        <v>246779413816</v>
      </c>
      <c r="I19" s="4"/>
      <c r="J19">
        <f>_xlfn.XLOOKUP(H19,'Invoice &amp; CN not in Customers'!$D:$D,'Invoice &amp; CN not in Customers'!$H:$H,0,0)</f>
        <v>0</v>
      </c>
    </row>
    <row r="20" spans="1:11" x14ac:dyDescent="0.35">
      <c r="A20" s="69" t="s">
        <v>148</v>
      </c>
      <c r="B20" s="70">
        <v>19430</v>
      </c>
      <c r="C20" s="70">
        <v>0</v>
      </c>
      <c r="D20" s="69" t="s">
        <v>149</v>
      </c>
      <c r="E20" s="69" t="s">
        <v>150</v>
      </c>
      <c r="F20" s="69" t="s">
        <v>36</v>
      </c>
      <c r="G20" s="69" t="s">
        <v>40</v>
      </c>
      <c r="H20" s="68">
        <v>246779413705</v>
      </c>
      <c r="I20" s="4"/>
      <c r="J20">
        <f>_xlfn.XLOOKUP(H20,'Invoice &amp; CN not in Customers'!$D:$D,'Invoice &amp; CN not in Customers'!$H:$H,0,0)</f>
        <v>0</v>
      </c>
    </row>
    <row r="21" spans="1:11" x14ac:dyDescent="0.35">
      <c r="A21" s="69" t="s">
        <v>148</v>
      </c>
      <c r="B21" s="70">
        <v>17857</v>
      </c>
      <c r="C21" s="70">
        <v>0</v>
      </c>
      <c r="D21" s="69" t="s">
        <v>149</v>
      </c>
      <c r="E21" s="69" t="s">
        <v>155</v>
      </c>
      <c r="F21" s="69" t="s">
        <v>107</v>
      </c>
      <c r="G21" s="69" t="s">
        <v>156</v>
      </c>
      <c r="H21" s="68">
        <v>246779411339</v>
      </c>
      <c r="I21" s="4"/>
      <c r="J21">
        <f>_xlfn.XLOOKUP(H21,'Invoice &amp; CN not in Customers'!$D:$D,'Invoice &amp; CN not in Customers'!$H:$H,0,0)</f>
        <v>0</v>
      </c>
    </row>
    <row r="22" spans="1:11" x14ac:dyDescent="0.35">
      <c r="A22" s="69" t="s">
        <v>148</v>
      </c>
      <c r="B22" s="70">
        <v>20874</v>
      </c>
      <c r="C22" s="70">
        <v>0</v>
      </c>
      <c r="D22" s="69" t="s">
        <v>149</v>
      </c>
      <c r="E22" s="69" t="s">
        <v>158</v>
      </c>
      <c r="F22" s="69" t="s">
        <v>107</v>
      </c>
      <c r="G22" s="69" t="s">
        <v>159</v>
      </c>
      <c r="H22" s="68">
        <v>246779411326</v>
      </c>
      <c r="I22" s="4"/>
      <c r="J22">
        <f>_xlfn.XLOOKUP(H22,'Invoice &amp; CN not in Customers'!$D:$D,'Invoice &amp; CN not in Customers'!$H:$H,0,0)</f>
        <v>0</v>
      </c>
    </row>
    <row r="23" spans="1:11" x14ac:dyDescent="0.35">
      <c r="A23" s="69" t="s">
        <v>185</v>
      </c>
      <c r="B23" s="70">
        <v>33376</v>
      </c>
      <c r="C23" s="70">
        <v>0</v>
      </c>
      <c r="D23" s="69" t="s">
        <v>149</v>
      </c>
      <c r="E23" s="69" t="s">
        <v>186</v>
      </c>
      <c r="F23" s="69" t="s">
        <v>107</v>
      </c>
      <c r="G23" s="69" t="s">
        <v>187</v>
      </c>
      <c r="H23" s="68">
        <v>246779411300</v>
      </c>
      <c r="I23" s="4"/>
      <c r="J23">
        <f>_xlfn.XLOOKUP(H23,'Invoice &amp; CN not in Customers'!$D:$D,'Invoice &amp; CN not in Customers'!$H:$H,0,0)</f>
        <v>0</v>
      </c>
    </row>
  </sheetData>
  <conditionalFormatting sqref="H1:H23">
    <cfRule type="duplicateValues" dxfId="3" priority="3"/>
  </conditionalFormatting>
  <conditionalFormatting sqref="I2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DD8A-78E5-431B-882F-4088A4A01EF0}">
  <dimension ref="A1:I13"/>
  <sheetViews>
    <sheetView workbookViewId="0">
      <selection activeCell="B13" sqref="B13"/>
    </sheetView>
  </sheetViews>
  <sheetFormatPr defaultRowHeight="14.5" x14ac:dyDescent="0.35"/>
  <cols>
    <col min="1" max="1" width="11.1796875" bestFit="1" customWidth="1"/>
    <col min="2" max="2" width="10.81640625" bestFit="1" customWidth="1"/>
    <col min="3" max="3" width="11.36328125" bestFit="1" customWidth="1"/>
    <col min="4" max="4" width="12.1796875" bestFit="1" customWidth="1"/>
    <col min="5" max="5" width="15" bestFit="1" customWidth="1"/>
    <col min="6" max="6" width="14.36328125" bestFit="1" customWidth="1"/>
    <col min="7" max="7" width="38.453125" bestFit="1" customWidth="1"/>
    <col min="8" max="8" width="38.453125" customWidth="1"/>
    <col min="9" max="9" width="17" bestFit="1" customWidth="1"/>
  </cols>
  <sheetData>
    <row r="1" spans="1:9" x14ac:dyDescent="0.35">
      <c r="A1" s="1" t="s">
        <v>0</v>
      </c>
      <c r="B1" s="7" t="s">
        <v>2</v>
      </c>
      <c r="C1" s="7" t="s">
        <v>3</v>
      </c>
      <c r="D1" s="1" t="s">
        <v>5</v>
      </c>
      <c r="E1" s="1" t="s">
        <v>6</v>
      </c>
      <c r="F1" s="1" t="s">
        <v>7</v>
      </c>
      <c r="G1" s="1" t="s">
        <v>11</v>
      </c>
      <c r="H1" s="1"/>
      <c r="I1" s="1" t="s">
        <v>12</v>
      </c>
    </row>
    <row r="2" spans="1:9" x14ac:dyDescent="0.35">
      <c r="A2" s="39" t="s">
        <v>355</v>
      </c>
      <c r="B2" s="40">
        <v>453</v>
      </c>
      <c r="C2" s="40">
        <v>453</v>
      </c>
      <c r="D2" s="39" t="s">
        <v>211</v>
      </c>
      <c r="E2" s="39" t="s">
        <v>171</v>
      </c>
      <c r="F2" s="39" t="s">
        <v>360</v>
      </c>
      <c r="G2" s="39" t="s">
        <v>301</v>
      </c>
      <c r="H2" s="39" t="s">
        <v>932</v>
      </c>
      <c r="I2" s="41">
        <v>256779417084</v>
      </c>
    </row>
    <row r="3" spans="1:9" x14ac:dyDescent="0.35">
      <c r="A3" s="39" t="s">
        <v>355</v>
      </c>
      <c r="B3" s="40">
        <v>16530</v>
      </c>
      <c r="C3" s="40">
        <v>16530</v>
      </c>
      <c r="D3" s="39" t="s">
        <v>211</v>
      </c>
      <c r="E3" s="39" t="s">
        <v>171</v>
      </c>
      <c r="F3" s="39" t="s">
        <v>358</v>
      </c>
      <c r="G3" s="39" t="s">
        <v>130</v>
      </c>
      <c r="H3" s="39" t="s">
        <v>932</v>
      </c>
      <c r="I3" s="41">
        <v>256779414288</v>
      </c>
    </row>
    <row r="4" spans="1:9" x14ac:dyDescent="0.35">
      <c r="A4" s="39" t="s">
        <v>210</v>
      </c>
      <c r="B4" s="40">
        <v>6084</v>
      </c>
      <c r="C4" s="40">
        <v>6084</v>
      </c>
      <c r="D4" s="39" t="s">
        <v>211</v>
      </c>
      <c r="E4" s="39" t="s">
        <v>171</v>
      </c>
      <c r="F4" s="39" t="s">
        <v>222</v>
      </c>
      <c r="G4" s="39" t="s">
        <v>96</v>
      </c>
      <c r="H4" s="39" t="s">
        <v>933</v>
      </c>
      <c r="I4" s="41">
        <v>256779412692</v>
      </c>
    </row>
    <row r="5" spans="1:9" x14ac:dyDescent="0.35">
      <c r="A5" s="39" t="s">
        <v>210</v>
      </c>
      <c r="B5" s="40">
        <v>12169</v>
      </c>
      <c r="C5" s="40">
        <v>12169</v>
      </c>
      <c r="D5" s="39" t="s">
        <v>211</v>
      </c>
      <c r="E5" s="39" t="s">
        <v>171</v>
      </c>
      <c r="F5" s="39" t="s">
        <v>224</v>
      </c>
      <c r="G5" s="39" t="s">
        <v>79</v>
      </c>
      <c r="H5" s="39" t="s">
        <v>934</v>
      </c>
      <c r="I5" s="41">
        <v>256779411917</v>
      </c>
    </row>
    <row r="6" spans="1:9" x14ac:dyDescent="0.35">
      <c r="A6" s="39" t="s">
        <v>210</v>
      </c>
      <c r="B6" s="40">
        <v>114223</v>
      </c>
      <c r="C6" s="40">
        <v>114223</v>
      </c>
      <c r="D6" s="39" t="s">
        <v>211</v>
      </c>
      <c r="E6" s="39" t="s">
        <v>171</v>
      </c>
      <c r="F6" s="39" t="s">
        <v>226</v>
      </c>
      <c r="G6" s="39" t="s">
        <v>59</v>
      </c>
      <c r="H6" s="39" t="s">
        <v>935</v>
      </c>
      <c r="I6" s="41">
        <v>256779410220</v>
      </c>
    </row>
    <row r="7" spans="1:9" x14ac:dyDescent="0.35">
      <c r="A7" s="39" t="s">
        <v>210</v>
      </c>
      <c r="B7" s="40">
        <v>12467</v>
      </c>
      <c r="C7" s="40">
        <v>12467</v>
      </c>
      <c r="D7" s="39" t="s">
        <v>211</v>
      </c>
      <c r="E7" s="39" t="s">
        <v>171</v>
      </c>
      <c r="F7" s="39" t="s">
        <v>220</v>
      </c>
      <c r="G7" s="39" t="s">
        <v>164</v>
      </c>
      <c r="H7" s="39" t="s">
        <v>936</v>
      </c>
      <c r="I7" s="41">
        <v>246779413796</v>
      </c>
    </row>
    <row r="8" spans="1:9" x14ac:dyDescent="0.35">
      <c r="A8" s="39" t="s">
        <v>210</v>
      </c>
      <c r="B8" s="40">
        <v>31577</v>
      </c>
      <c r="C8" s="40">
        <v>31577</v>
      </c>
      <c r="D8" s="39" t="s">
        <v>211</v>
      </c>
      <c r="E8" s="39" t="s">
        <v>171</v>
      </c>
      <c r="F8" s="39" t="s">
        <v>228</v>
      </c>
      <c r="G8" s="39" t="s">
        <v>169</v>
      </c>
      <c r="H8" s="39" t="s">
        <v>937</v>
      </c>
      <c r="I8" s="41">
        <v>246779413702</v>
      </c>
    </row>
    <row r="9" spans="1:9" x14ac:dyDescent="0.35">
      <c r="A9" s="39" t="s">
        <v>210</v>
      </c>
      <c r="B9" s="40">
        <v>15401</v>
      </c>
      <c r="C9" s="40">
        <v>15401</v>
      </c>
      <c r="D9" s="39" t="s">
        <v>211</v>
      </c>
      <c r="E9" s="39" t="s">
        <v>171</v>
      </c>
      <c r="F9" s="39" t="s">
        <v>218</v>
      </c>
      <c r="G9" s="39" t="s">
        <v>195</v>
      </c>
      <c r="H9" s="39" t="s">
        <v>938</v>
      </c>
      <c r="I9" s="41">
        <v>246779413701</v>
      </c>
    </row>
    <row r="10" spans="1:9" x14ac:dyDescent="0.35">
      <c r="A10" s="39" t="s">
        <v>355</v>
      </c>
      <c r="B10" s="40">
        <v>8522</v>
      </c>
      <c r="C10" s="40">
        <v>8522</v>
      </c>
      <c r="D10" s="39" t="s">
        <v>211</v>
      </c>
      <c r="E10" s="39" t="s">
        <v>171</v>
      </c>
      <c r="F10" s="39" t="s">
        <v>362</v>
      </c>
      <c r="G10" s="39" t="s">
        <v>534</v>
      </c>
      <c r="H10" s="39" t="s">
        <v>939</v>
      </c>
      <c r="I10" s="41">
        <v>246779411314</v>
      </c>
    </row>
    <row r="11" spans="1:9" x14ac:dyDescent="0.35">
      <c r="A11" s="39" t="s">
        <v>210</v>
      </c>
      <c r="B11" s="40">
        <v>36410</v>
      </c>
      <c r="C11" s="40">
        <v>36410</v>
      </c>
      <c r="D11" s="39" t="s">
        <v>211</v>
      </c>
      <c r="E11" s="39" t="s">
        <v>171</v>
      </c>
      <c r="F11" s="39" t="s">
        <v>216</v>
      </c>
      <c r="G11" s="39" t="s">
        <v>190</v>
      </c>
      <c r="H11" s="39" t="s">
        <v>940</v>
      </c>
      <c r="I11" s="41">
        <v>246779411278</v>
      </c>
    </row>
    <row r="12" spans="1:9" x14ac:dyDescent="0.35">
      <c r="A12" s="39" t="s">
        <v>210</v>
      </c>
      <c r="B12" s="40">
        <v>4786</v>
      </c>
      <c r="C12" s="40">
        <v>4786</v>
      </c>
      <c r="D12" s="39" t="s">
        <v>211</v>
      </c>
      <c r="E12" s="39" t="s">
        <v>171</v>
      </c>
      <c r="F12" s="39" t="s">
        <v>212</v>
      </c>
      <c r="G12" s="39" t="s">
        <v>46</v>
      </c>
      <c r="H12" s="39" t="s">
        <v>941</v>
      </c>
      <c r="I12" s="41">
        <v>246779410360</v>
      </c>
    </row>
    <row r="13" spans="1:9" x14ac:dyDescent="0.35">
      <c r="A13" s="39" t="s">
        <v>210</v>
      </c>
      <c r="B13" s="40">
        <v>15778</v>
      </c>
      <c r="C13" s="40">
        <v>15778</v>
      </c>
      <c r="D13" s="39" t="s">
        <v>211</v>
      </c>
      <c r="E13" s="39" t="s">
        <v>171</v>
      </c>
      <c r="F13" s="39" t="s">
        <v>214</v>
      </c>
      <c r="G13" s="39" t="s">
        <v>147</v>
      </c>
      <c r="H13" s="39" t="s">
        <v>942</v>
      </c>
      <c r="I13" s="41">
        <v>246779410348</v>
      </c>
    </row>
  </sheetData>
  <conditionalFormatting sqref="I1:I13">
    <cfRule type="duplicateValues" dxfId="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5B02-FD97-41D6-B152-54692BD8F10A}">
  <dimension ref="A2:M390"/>
  <sheetViews>
    <sheetView workbookViewId="0">
      <selection activeCell="A13" sqref="A13"/>
    </sheetView>
  </sheetViews>
  <sheetFormatPr defaultColWidth="8.81640625" defaultRowHeight="14.5" x14ac:dyDescent="0.35"/>
  <cols>
    <col min="1" max="1" width="11.453125" style="73" bestFit="1" customWidth="1"/>
    <col min="2" max="2" width="21.54296875" style="73" bestFit="1" customWidth="1"/>
    <col min="3" max="3" width="10" style="73" bestFit="1" customWidth="1"/>
    <col min="4" max="4" width="11.81640625" style="73" bestFit="1" customWidth="1"/>
    <col min="5" max="5" width="12.453125" style="73" bestFit="1" customWidth="1"/>
    <col min="6" max="6" width="14.81640625" style="73" bestFit="1" customWidth="1"/>
    <col min="7" max="7" width="15.1796875" style="73" bestFit="1" customWidth="1"/>
    <col min="8" max="8" width="19.1796875" style="73" bestFit="1" customWidth="1"/>
    <col min="9" max="9" width="139.81640625" style="73" bestFit="1" customWidth="1"/>
    <col min="10" max="10" width="9.81640625" style="73" bestFit="1" customWidth="1"/>
    <col min="11" max="11" width="32.81640625" style="73" bestFit="1" customWidth="1"/>
    <col min="12" max="12" width="178.1796875" style="73" bestFit="1" customWidth="1"/>
    <col min="13" max="13" width="26" style="73" bestFit="1" customWidth="1"/>
    <col min="14" max="14" width="7.36328125" style="73" bestFit="1" customWidth="1"/>
    <col min="15" max="15" width="19.6328125" style="73" bestFit="1" customWidth="1"/>
    <col min="16" max="16" width="18.90625" style="73" bestFit="1" customWidth="1"/>
    <col min="17" max="17" width="17.54296875" style="73" bestFit="1" customWidth="1"/>
    <col min="18" max="18" width="17" style="73" bestFit="1" customWidth="1"/>
    <col min="19" max="16384" width="8.81640625" style="73"/>
  </cols>
  <sheetData>
    <row r="2" spans="1:13" x14ac:dyDescent="0.35">
      <c r="A2" s="72" t="s">
        <v>0</v>
      </c>
      <c r="B2" s="72" t="s">
        <v>1</v>
      </c>
      <c r="C2" s="72" t="s">
        <v>2</v>
      </c>
      <c r="D2" s="72" t="s">
        <v>3</v>
      </c>
      <c r="E2" s="72" t="s">
        <v>4</v>
      </c>
      <c r="F2" s="72" t="s">
        <v>5</v>
      </c>
      <c r="G2" s="72" t="s">
        <v>6</v>
      </c>
      <c r="H2" s="72" t="s">
        <v>7</v>
      </c>
      <c r="I2" s="72" t="s">
        <v>8</v>
      </c>
      <c r="J2" s="72" t="s">
        <v>9</v>
      </c>
      <c r="K2" s="72" t="s">
        <v>10</v>
      </c>
      <c r="L2" s="72" t="s">
        <v>11</v>
      </c>
      <c r="M2" s="72" t="s">
        <v>12</v>
      </c>
    </row>
    <row r="3" spans="1:13" x14ac:dyDescent="0.35">
      <c r="A3" s="2" t="s">
        <v>393</v>
      </c>
      <c r="B3" s="2" t="s">
        <v>14</v>
      </c>
      <c r="C3" s="2">
        <v>0</v>
      </c>
      <c r="D3" s="2">
        <v>35554.519999999997</v>
      </c>
      <c r="E3" s="2">
        <v>-35554.519999999997</v>
      </c>
      <c r="F3" s="2" t="s">
        <v>15</v>
      </c>
      <c r="G3" s="2" t="s">
        <v>15</v>
      </c>
      <c r="H3" s="2" t="s">
        <v>394</v>
      </c>
      <c r="I3" s="2" t="s">
        <v>43</v>
      </c>
      <c r="J3" s="2" t="s">
        <v>18</v>
      </c>
      <c r="K3" s="2" t="s">
        <v>19</v>
      </c>
      <c r="L3" s="2" t="s">
        <v>394</v>
      </c>
      <c r="M3" s="5">
        <v>246779410049</v>
      </c>
    </row>
    <row r="4" spans="1:13" x14ac:dyDescent="0.35">
      <c r="A4" s="2" t="s">
        <v>393</v>
      </c>
      <c r="B4" s="2" t="s">
        <v>14</v>
      </c>
      <c r="C4" s="2">
        <v>0</v>
      </c>
      <c r="D4" s="2">
        <v>35554.519999999997</v>
      </c>
      <c r="E4" s="2">
        <v>-71109.039999999994</v>
      </c>
      <c r="F4" s="2" t="s">
        <v>15</v>
      </c>
      <c r="G4" s="2" t="s">
        <v>15</v>
      </c>
      <c r="H4" s="2" t="s">
        <v>395</v>
      </c>
      <c r="I4" s="2" t="s">
        <v>43</v>
      </c>
      <c r="J4" s="2" t="s">
        <v>18</v>
      </c>
      <c r="K4" s="2" t="s">
        <v>19</v>
      </c>
      <c r="L4" s="2" t="s">
        <v>395</v>
      </c>
      <c r="M4" s="5">
        <v>246779410303</v>
      </c>
    </row>
    <row r="5" spans="1:13" x14ac:dyDescent="0.35">
      <c r="A5" s="2" t="s">
        <v>393</v>
      </c>
      <c r="B5" s="2" t="s">
        <v>14</v>
      </c>
      <c r="C5" s="2">
        <v>0</v>
      </c>
      <c r="D5" s="2">
        <v>35554.519999999997</v>
      </c>
      <c r="E5" s="2">
        <v>-106663.56</v>
      </c>
      <c r="F5" s="2" t="s">
        <v>15</v>
      </c>
      <c r="G5" s="2" t="s">
        <v>15</v>
      </c>
      <c r="H5" s="2" t="s">
        <v>396</v>
      </c>
      <c r="I5" s="2" t="s">
        <v>43</v>
      </c>
      <c r="J5" s="2" t="s">
        <v>18</v>
      </c>
      <c r="K5" s="2" t="s">
        <v>19</v>
      </c>
      <c r="L5" s="2" t="s">
        <v>396</v>
      </c>
      <c r="M5" s="5">
        <v>246779410117</v>
      </c>
    </row>
    <row r="6" spans="1:13" x14ac:dyDescent="0.35">
      <c r="A6" s="2" t="s">
        <v>393</v>
      </c>
      <c r="B6" s="2" t="s">
        <v>14</v>
      </c>
      <c r="C6" s="2">
        <v>0</v>
      </c>
      <c r="D6" s="2">
        <v>35554.519999999997</v>
      </c>
      <c r="E6" s="2">
        <v>-142218.07999999999</v>
      </c>
      <c r="F6" s="2" t="s">
        <v>15</v>
      </c>
      <c r="G6" s="2" t="s">
        <v>15</v>
      </c>
      <c r="H6" s="2" t="s">
        <v>397</v>
      </c>
      <c r="I6" s="2" t="s">
        <v>43</v>
      </c>
      <c r="J6" s="2" t="s">
        <v>18</v>
      </c>
      <c r="K6" s="2" t="s">
        <v>19</v>
      </c>
      <c r="L6" s="2" t="s">
        <v>397</v>
      </c>
      <c r="M6" s="5">
        <v>246779410160</v>
      </c>
    </row>
    <row r="7" spans="1:13" x14ac:dyDescent="0.35">
      <c r="A7" s="2" t="s">
        <v>393</v>
      </c>
      <c r="B7" s="2" t="s">
        <v>14</v>
      </c>
      <c r="C7" s="2">
        <v>0</v>
      </c>
      <c r="D7" s="2">
        <v>35554.519999999997</v>
      </c>
      <c r="E7" s="2">
        <v>-177772.6</v>
      </c>
      <c r="F7" s="2" t="s">
        <v>15</v>
      </c>
      <c r="G7" s="2" t="s">
        <v>15</v>
      </c>
      <c r="H7" s="2" t="s">
        <v>398</v>
      </c>
      <c r="I7" s="2" t="s">
        <v>43</v>
      </c>
      <c r="J7" s="2" t="s">
        <v>18</v>
      </c>
      <c r="K7" s="2" t="s">
        <v>19</v>
      </c>
      <c r="L7" s="2" t="s">
        <v>398</v>
      </c>
      <c r="M7" s="5">
        <v>246779410203</v>
      </c>
    </row>
    <row r="8" spans="1:13" x14ac:dyDescent="0.35">
      <c r="A8" s="2" t="s">
        <v>393</v>
      </c>
      <c r="B8" s="2" t="s">
        <v>14</v>
      </c>
      <c r="C8" s="2">
        <v>0</v>
      </c>
      <c r="D8" s="2">
        <v>35554.519999999997</v>
      </c>
      <c r="E8" s="2">
        <v>-213327.12</v>
      </c>
      <c r="F8" s="2" t="s">
        <v>15</v>
      </c>
      <c r="G8" s="2" t="s">
        <v>15</v>
      </c>
      <c r="H8" s="2" t="s">
        <v>399</v>
      </c>
      <c r="I8" s="2" t="s">
        <v>43</v>
      </c>
      <c r="J8" s="2" t="s">
        <v>18</v>
      </c>
      <c r="K8" s="2" t="s">
        <v>19</v>
      </c>
      <c r="L8" s="2" t="s">
        <v>399</v>
      </c>
      <c r="M8" s="5">
        <v>246779410246</v>
      </c>
    </row>
    <row r="9" spans="1:13" x14ac:dyDescent="0.35">
      <c r="A9" s="2" t="s">
        <v>400</v>
      </c>
      <c r="B9" s="2" t="s">
        <v>14</v>
      </c>
      <c r="C9" s="2">
        <v>0</v>
      </c>
      <c r="D9" s="2">
        <v>804</v>
      </c>
      <c r="E9" s="2">
        <v>-214131.12</v>
      </c>
      <c r="F9" s="2" t="s">
        <v>15</v>
      </c>
      <c r="G9" s="2" t="s">
        <v>15</v>
      </c>
      <c r="H9" s="2" t="s">
        <v>401</v>
      </c>
      <c r="I9" s="2" t="s">
        <v>21</v>
      </c>
      <c r="J9" s="2" t="s">
        <v>18</v>
      </c>
      <c r="K9" s="2" t="s">
        <v>19</v>
      </c>
      <c r="L9" s="2" t="s">
        <v>401</v>
      </c>
      <c r="M9" s="5">
        <v>246779410613</v>
      </c>
    </row>
    <row r="10" spans="1:13" x14ac:dyDescent="0.35">
      <c r="A10" s="2" t="s">
        <v>400</v>
      </c>
      <c r="B10" s="2" t="s">
        <v>14</v>
      </c>
      <c r="C10" s="2">
        <v>0</v>
      </c>
      <c r="D10" s="2">
        <v>1004</v>
      </c>
      <c r="E10" s="2">
        <v>-215135.12</v>
      </c>
      <c r="F10" s="2" t="s">
        <v>15</v>
      </c>
      <c r="G10" s="2" t="s">
        <v>15</v>
      </c>
      <c r="H10" s="2" t="s">
        <v>402</v>
      </c>
      <c r="I10" s="2" t="s">
        <v>21</v>
      </c>
      <c r="J10" s="2" t="s">
        <v>18</v>
      </c>
      <c r="K10" s="2" t="s">
        <v>19</v>
      </c>
      <c r="L10" s="2" t="s">
        <v>402</v>
      </c>
      <c r="M10" s="5">
        <v>246779410612</v>
      </c>
    </row>
    <row r="11" spans="1:13" x14ac:dyDescent="0.35">
      <c r="A11" s="2" t="s">
        <v>400</v>
      </c>
      <c r="B11" s="2" t="s">
        <v>14</v>
      </c>
      <c r="C11" s="2">
        <v>0</v>
      </c>
      <c r="D11" s="2">
        <v>402</v>
      </c>
      <c r="E11" s="2">
        <v>-215537.12</v>
      </c>
      <c r="F11" s="2" t="s">
        <v>15</v>
      </c>
      <c r="G11" s="2" t="s">
        <v>15</v>
      </c>
      <c r="H11" s="2" t="s">
        <v>403</v>
      </c>
      <c r="I11" s="2" t="s">
        <v>21</v>
      </c>
      <c r="J11" s="2" t="s">
        <v>18</v>
      </c>
      <c r="K11" s="2" t="s">
        <v>19</v>
      </c>
      <c r="L11" s="2" t="s">
        <v>403</v>
      </c>
      <c r="M11" s="5">
        <v>246779410611</v>
      </c>
    </row>
    <row r="12" spans="1:13" x14ac:dyDescent="0.35">
      <c r="A12" s="2" t="s">
        <v>400</v>
      </c>
      <c r="B12" s="2" t="s">
        <v>14</v>
      </c>
      <c r="C12" s="2">
        <v>0</v>
      </c>
      <c r="D12" s="2">
        <v>201</v>
      </c>
      <c r="E12" s="2">
        <v>-215738.12</v>
      </c>
      <c r="F12" s="2" t="s">
        <v>15</v>
      </c>
      <c r="G12" s="2" t="s">
        <v>15</v>
      </c>
      <c r="H12" s="2" t="s">
        <v>404</v>
      </c>
      <c r="I12" s="2" t="s">
        <v>21</v>
      </c>
      <c r="J12" s="2" t="s">
        <v>18</v>
      </c>
      <c r="K12" s="2" t="s">
        <v>19</v>
      </c>
      <c r="L12" s="2" t="s">
        <v>404</v>
      </c>
      <c r="M12" s="5">
        <v>246779410610</v>
      </c>
    </row>
    <row r="13" spans="1:13" x14ac:dyDescent="0.35">
      <c r="A13" s="2" t="s">
        <v>400</v>
      </c>
      <c r="B13" s="2" t="s">
        <v>14</v>
      </c>
      <c r="C13" s="2">
        <v>0</v>
      </c>
      <c r="D13" s="2">
        <v>804</v>
      </c>
      <c r="E13" s="2">
        <v>-216542.12</v>
      </c>
      <c r="F13" s="2" t="s">
        <v>15</v>
      </c>
      <c r="G13" s="2" t="s">
        <v>15</v>
      </c>
      <c r="H13" s="2" t="s">
        <v>405</v>
      </c>
      <c r="I13" s="2" t="s">
        <v>21</v>
      </c>
      <c r="J13" s="2" t="s">
        <v>18</v>
      </c>
      <c r="K13" s="2" t="s">
        <v>19</v>
      </c>
      <c r="L13" s="2" t="s">
        <v>405</v>
      </c>
      <c r="M13" s="5">
        <v>246779410608</v>
      </c>
    </row>
    <row r="14" spans="1:13" x14ac:dyDescent="0.35">
      <c r="A14" s="2" t="s">
        <v>400</v>
      </c>
      <c r="B14" s="2" t="s">
        <v>14</v>
      </c>
      <c r="C14" s="2">
        <v>0</v>
      </c>
      <c r="D14" s="2">
        <v>402</v>
      </c>
      <c r="E14" s="2">
        <v>-216944.12</v>
      </c>
      <c r="F14" s="2" t="s">
        <v>15</v>
      </c>
      <c r="G14" s="2" t="s">
        <v>15</v>
      </c>
      <c r="H14" s="2" t="s">
        <v>406</v>
      </c>
      <c r="I14" s="2" t="s">
        <v>21</v>
      </c>
      <c r="J14" s="2" t="s">
        <v>18</v>
      </c>
      <c r="K14" s="2" t="s">
        <v>19</v>
      </c>
      <c r="L14" s="2" t="s">
        <v>406</v>
      </c>
      <c r="M14" s="5">
        <v>246779410607</v>
      </c>
    </row>
    <row r="15" spans="1:13" x14ac:dyDescent="0.35">
      <c r="A15" s="2" t="s">
        <v>400</v>
      </c>
      <c r="B15" s="2" t="s">
        <v>14</v>
      </c>
      <c r="C15" s="2">
        <v>0</v>
      </c>
      <c r="D15" s="2">
        <v>580687</v>
      </c>
      <c r="E15" s="2">
        <v>-797631.12</v>
      </c>
      <c r="F15" s="2" t="s">
        <v>15</v>
      </c>
      <c r="G15" s="2" t="s">
        <v>15</v>
      </c>
      <c r="H15" s="2" t="s">
        <v>407</v>
      </c>
      <c r="I15" s="2" t="s">
        <v>36</v>
      </c>
      <c r="J15" s="2" t="s">
        <v>18</v>
      </c>
      <c r="K15" s="2" t="s">
        <v>19</v>
      </c>
      <c r="L15" s="2" t="s">
        <v>407</v>
      </c>
      <c r="M15" s="5">
        <v>246779410404</v>
      </c>
    </row>
    <row r="16" spans="1:13" x14ac:dyDescent="0.35">
      <c r="A16" s="2" t="s">
        <v>400</v>
      </c>
      <c r="B16" s="2" t="s">
        <v>14</v>
      </c>
      <c r="C16" s="2">
        <v>0</v>
      </c>
      <c r="D16" s="2">
        <v>340227</v>
      </c>
      <c r="E16" s="2">
        <v>-1137858.1200000001</v>
      </c>
      <c r="F16" s="2" t="s">
        <v>15</v>
      </c>
      <c r="G16" s="2" t="s">
        <v>15</v>
      </c>
      <c r="H16" s="2" t="s">
        <v>408</v>
      </c>
      <c r="I16" s="2" t="s">
        <v>36</v>
      </c>
      <c r="J16" s="2" t="s">
        <v>18</v>
      </c>
      <c r="K16" s="2" t="s">
        <v>19</v>
      </c>
      <c r="L16" s="2" t="s">
        <v>408</v>
      </c>
      <c r="M16" s="5">
        <v>246779410428</v>
      </c>
    </row>
    <row r="17" spans="1:13" x14ac:dyDescent="0.35">
      <c r="A17" s="2" t="s">
        <v>400</v>
      </c>
      <c r="B17" s="2" t="s">
        <v>14</v>
      </c>
      <c r="C17" s="2">
        <v>0</v>
      </c>
      <c r="D17" s="2">
        <v>460370</v>
      </c>
      <c r="E17" s="2">
        <v>-1598228.12</v>
      </c>
      <c r="F17" s="2" t="s">
        <v>15</v>
      </c>
      <c r="G17" s="2" t="s">
        <v>15</v>
      </c>
      <c r="H17" s="2" t="s">
        <v>409</v>
      </c>
      <c r="I17" s="2" t="s">
        <v>36</v>
      </c>
      <c r="J17" s="2" t="s">
        <v>18</v>
      </c>
      <c r="K17" s="2" t="s">
        <v>19</v>
      </c>
      <c r="L17" s="2" t="s">
        <v>409</v>
      </c>
      <c r="M17" s="5">
        <v>246779410379</v>
      </c>
    </row>
    <row r="18" spans="1:13" x14ac:dyDescent="0.35">
      <c r="A18" s="2" t="s">
        <v>400</v>
      </c>
      <c r="B18" s="2" t="s">
        <v>14</v>
      </c>
      <c r="C18" s="2">
        <v>0</v>
      </c>
      <c r="D18" s="2">
        <v>2009</v>
      </c>
      <c r="E18" s="2">
        <v>-1600237.12</v>
      </c>
      <c r="F18" s="2" t="s">
        <v>15</v>
      </c>
      <c r="G18" s="2" t="s">
        <v>15</v>
      </c>
      <c r="H18" s="2" t="s">
        <v>410</v>
      </c>
      <c r="I18" s="2" t="s">
        <v>21</v>
      </c>
      <c r="J18" s="2" t="s">
        <v>18</v>
      </c>
      <c r="K18" s="2" t="s">
        <v>19</v>
      </c>
      <c r="L18" s="2" t="s">
        <v>410</v>
      </c>
      <c r="M18" s="5">
        <v>246779410605</v>
      </c>
    </row>
    <row r="19" spans="1:13" x14ac:dyDescent="0.35">
      <c r="A19" s="2" t="s">
        <v>400</v>
      </c>
      <c r="B19" s="2" t="s">
        <v>14</v>
      </c>
      <c r="C19" s="2">
        <v>0</v>
      </c>
      <c r="D19" s="2">
        <v>402</v>
      </c>
      <c r="E19" s="2">
        <v>-1600639.12</v>
      </c>
      <c r="F19" s="2" t="s">
        <v>15</v>
      </c>
      <c r="G19" s="2" t="s">
        <v>15</v>
      </c>
      <c r="H19" s="2" t="s">
        <v>411</v>
      </c>
      <c r="I19" s="2" t="s">
        <v>21</v>
      </c>
      <c r="J19" s="2" t="s">
        <v>18</v>
      </c>
      <c r="K19" s="2" t="s">
        <v>19</v>
      </c>
      <c r="L19" s="2" t="s">
        <v>411</v>
      </c>
      <c r="M19" s="5">
        <v>246779410606</v>
      </c>
    </row>
    <row r="20" spans="1:13" x14ac:dyDescent="0.35">
      <c r="A20" s="2" t="s">
        <v>400</v>
      </c>
      <c r="B20" s="2" t="s">
        <v>14</v>
      </c>
      <c r="C20" s="2">
        <v>0</v>
      </c>
      <c r="D20" s="2">
        <v>2009</v>
      </c>
      <c r="E20" s="2">
        <v>-1602648.12</v>
      </c>
      <c r="F20" s="2" t="s">
        <v>15</v>
      </c>
      <c r="G20" s="2" t="s">
        <v>15</v>
      </c>
      <c r="H20" s="2" t="s">
        <v>412</v>
      </c>
      <c r="I20" s="2" t="s">
        <v>21</v>
      </c>
      <c r="J20" s="2" t="s">
        <v>18</v>
      </c>
      <c r="K20" s="2" t="s">
        <v>19</v>
      </c>
      <c r="L20" s="2" t="s">
        <v>412</v>
      </c>
      <c r="M20" s="5">
        <v>246779410495</v>
      </c>
    </row>
    <row r="21" spans="1:13" x14ac:dyDescent="0.35">
      <c r="A21" s="2" t="s">
        <v>400</v>
      </c>
      <c r="B21" s="2" t="s">
        <v>14</v>
      </c>
      <c r="C21" s="2">
        <v>0</v>
      </c>
      <c r="D21" s="2">
        <v>201</v>
      </c>
      <c r="E21" s="2">
        <v>-1602849.12</v>
      </c>
      <c r="F21" s="2" t="s">
        <v>15</v>
      </c>
      <c r="G21" s="2" t="s">
        <v>15</v>
      </c>
      <c r="H21" s="2" t="s">
        <v>413</v>
      </c>
      <c r="I21" s="2" t="s">
        <v>21</v>
      </c>
      <c r="J21" s="2" t="s">
        <v>18</v>
      </c>
      <c r="K21" s="2" t="s">
        <v>19</v>
      </c>
      <c r="L21" s="2" t="s">
        <v>413</v>
      </c>
      <c r="M21" s="5">
        <v>246779410494</v>
      </c>
    </row>
    <row r="22" spans="1:13" x14ac:dyDescent="0.35">
      <c r="A22" s="2" t="s">
        <v>400</v>
      </c>
      <c r="B22" s="2" t="s">
        <v>14</v>
      </c>
      <c r="C22" s="2">
        <v>0</v>
      </c>
      <c r="D22" s="2">
        <v>201</v>
      </c>
      <c r="E22" s="2">
        <v>-1603050.12</v>
      </c>
      <c r="F22" s="2" t="s">
        <v>15</v>
      </c>
      <c r="G22" s="2" t="s">
        <v>15</v>
      </c>
      <c r="H22" s="2" t="s">
        <v>414</v>
      </c>
      <c r="I22" s="2" t="s">
        <v>21</v>
      </c>
      <c r="J22" s="2" t="s">
        <v>18</v>
      </c>
      <c r="K22" s="2" t="s">
        <v>19</v>
      </c>
      <c r="L22" s="2" t="s">
        <v>414</v>
      </c>
      <c r="M22" s="5">
        <v>246779410496</v>
      </c>
    </row>
    <row r="23" spans="1:13" x14ac:dyDescent="0.35">
      <c r="A23" s="2" t="s">
        <v>400</v>
      </c>
      <c r="B23" s="2" t="s">
        <v>14</v>
      </c>
      <c r="C23" s="2">
        <v>0</v>
      </c>
      <c r="D23" s="2">
        <v>201</v>
      </c>
      <c r="E23" s="2">
        <v>-1603251.12</v>
      </c>
      <c r="F23" s="2" t="s">
        <v>15</v>
      </c>
      <c r="G23" s="2" t="s">
        <v>15</v>
      </c>
      <c r="H23" s="2" t="s">
        <v>415</v>
      </c>
      <c r="I23" s="2" t="s">
        <v>21</v>
      </c>
      <c r="J23" s="2" t="s">
        <v>18</v>
      </c>
      <c r="K23" s="2" t="s">
        <v>19</v>
      </c>
      <c r="L23" s="2" t="s">
        <v>415</v>
      </c>
      <c r="M23" s="5">
        <v>246779410497</v>
      </c>
    </row>
    <row r="24" spans="1:13" x14ac:dyDescent="0.35">
      <c r="A24" s="2" t="s">
        <v>400</v>
      </c>
      <c r="B24" s="2" t="s">
        <v>14</v>
      </c>
      <c r="C24" s="2">
        <v>0</v>
      </c>
      <c r="D24" s="2">
        <v>804</v>
      </c>
      <c r="E24" s="2">
        <v>-1604055.12</v>
      </c>
      <c r="F24" s="2" t="s">
        <v>15</v>
      </c>
      <c r="G24" s="2" t="s">
        <v>15</v>
      </c>
      <c r="H24" s="2" t="s">
        <v>416</v>
      </c>
      <c r="I24" s="2" t="s">
        <v>21</v>
      </c>
      <c r="J24" s="2" t="s">
        <v>18</v>
      </c>
      <c r="K24" s="2" t="s">
        <v>19</v>
      </c>
      <c r="L24" s="2" t="s">
        <v>416</v>
      </c>
      <c r="M24" s="5">
        <v>246779410499</v>
      </c>
    </row>
    <row r="25" spans="1:13" x14ac:dyDescent="0.35">
      <c r="A25" s="2" t="s">
        <v>400</v>
      </c>
      <c r="B25" s="2" t="s">
        <v>14</v>
      </c>
      <c r="C25" s="2">
        <v>0</v>
      </c>
      <c r="D25" s="2">
        <v>201</v>
      </c>
      <c r="E25" s="2">
        <v>-1604256.12</v>
      </c>
      <c r="F25" s="2" t="s">
        <v>15</v>
      </c>
      <c r="G25" s="2" t="s">
        <v>15</v>
      </c>
      <c r="H25" s="2" t="s">
        <v>417</v>
      </c>
      <c r="I25" s="2" t="s">
        <v>21</v>
      </c>
      <c r="J25" s="2" t="s">
        <v>18</v>
      </c>
      <c r="K25" s="2" t="s">
        <v>19</v>
      </c>
      <c r="L25" s="2" t="s">
        <v>417</v>
      </c>
      <c r="M25" s="5">
        <v>246779410500</v>
      </c>
    </row>
    <row r="26" spans="1:13" x14ac:dyDescent="0.35">
      <c r="A26" s="2" t="s">
        <v>400</v>
      </c>
      <c r="B26" s="2" t="s">
        <v>14</v>
      </c>
      <c r="C26" s="2">
        <v>0</v>
      </c>
      <c r="D26" s="2">
        <v>1607</v>
      </c>
      <c r="E26" s="2">
        <v>-1605863.12</v>
      </c>
      <c r="F26" s="2" t="s">
        <v>15</v>
      </c>
      <c r="G26" s="2" t="s">
        <v>15</v>
      </c>
      <c r="H26" s="2" t="s">
        <v>418</v>
      </c>
      <c r="I26" s="2" t="s">
        <v>21</v>
      </c>
      <c r="J26" s="2" t="s">
        <v>18</v>
      </c>
      <c r="K26" s="2" t="s">
        <v>19</v>
      </c>
      <c r="L26" s="2" t="s">
        <v>418</v>
      </c>
      <c r="M26" s="5">
        <v>246779410501</v>
      </c>
    </row>
    <row r="27" spans="1:13" x14ac:dyDescent="0.35">
      <c r="A27" s="2" t="s">
        <v>400</v>
      </c>
      <c r="B27" s="2" t="s">
        <v>14</v>
      </c>
      <c r="C27" s="2">
        <v>0</v>
      </c>
      <c r="D27" s="2">
        <v>2009</v>
      </c>
      <c r="E27" s="2">
        <v>-1607872.12</v>
      </c>
      <c r="F27" s="2" t="s">
        <v>15</v>
      </c>
      <c r="G27" s="2" t="s">
        <v>15</v>
      </c>
      <c r="H27" s="2" t="s">
        <v>419</v>
      </c>
      <c r="I27" s="2" t="s">
        <v>21</v>
      </c>
      <c r="J27" s="2" t="s">
        <v>18</v>
      </c>
      <c r="K27" s="2" t="s">
        <v>19</v>
      </c>
      <c r="L27" s="2" t="s">
        <v>419</v>
      </c>
      <c r="M27" s="5">
        <v>246779410502</v>
      </c>
    </row>
    <row r="28" spans="1:13" x14ac:dyDescent="0.35">
      <c r="A28" s="2" t="s">
        <v>400</v>
      </c>
      <c r="B28" s="2" t="s">
        <v>14</v>
      </c>
      <c r="C28" s="2">
        <v>0</v>
      </c>
      <c r="D28" s="2">
        <v>2009</v>
      </c>
      <c r="E28" s="2">
        <v>-1609881.12</v>
      </c>
      <c r="F28" s="2" t="s">
        <v>15</v>
      </c>
      <c r="G28" s="2" t="s">
        <v>15</v>
      </c>
      <c r="H28" s="2" t="s">
        <v>420</v>
      </c>
      <c r="I28" s="2" t="s">
        <v>21</v>
      </c>
      <c r="J28" s="2" t="s">
        <v>18</v>
      </c>
      <c r="K28" s="2" t="s">
        <v>19</v>
      </c>
      <c r="L28" s="2" t="s">
        <v>420</v>
      </c>
      <c r="M28" s="5">
        <v>246779410503</v>
      </c>
    </row>
    <row r="29" spans="1:13" x14ac:dyDescent="0.35">
      <c r="A29" s="2" t="s">
        <v>400</v>
      </c>
      <c r="B29" s="2" t="s">
        <v>14</v>
      </c>
      <c r="C29" s="2">
        <v>0</v>
      </c>
      <c r="D29" s="2">
        <v>201</v>
      </c>
      <c r="E29" s="2">
        <v>-1610082.12</v>
      </c>
      <c r="F29" s="2" t="s">
        <v>15</v>
      </c>
      <c r="G29" s="2" t="s">
        <v>15</v>
      </c>
      <c r="H29" s="2" t="s">
        <v>421</v>
      </c>
      <c r="I29" s="2" t="s">
        <v>21</v>
      </c>
      <c r="J29" s="2" t="s">
        <v>18</v>
      </c>
      <c r="K29" s="2" t="s">
        <v>19</v>
      </c>
      <c r="L29" s="2" t="s">
        <v>421</v>
      </c>
      <c r="M29" s="5">
        <v>246779410504</v>
      </c>
    </row>
    <row r="30" spans="1:13" x14ac:dyDescent="0.35">
      <c r="A30" s="2" t="s">
        <v>400</v>
      </c>
      <c r="B30" s="2" t="s">
        <v>14</v>
      </c>
      <c r="C30" s="2">
        <v>0</v>
      </c>
      <c r="D30" s="2">
        <v>603</v>
      </c>
      <c r="E30" s="2">
        <v>-1610685.12</v>
      </c>
      <c r="F30" s="2" t="s">
        <v>15</v>
      </c>
      <c r="G30" s="2" t="s">
        <v>15</v>
      </c>
      <c r="H30" s="2" t="s">
        <v>422</v>
      </c>
      <c r="I30" s="2" t="s">
        <v>21</v>
      </c>
      <c r="J30" s="2" t="s">
        <v>18</v>
      </c>
      <c r="K30" s="2" t="s">
        <v>19</v>
      </c>
      <c r="L30" s="2" t="s">
        <v>422</v>
      </c>
      <c r="M30" s="5">
        <v>246779410505</v>
      </c>
    </row>
    <row r="31" spans="1:13" x14ac:dyDescent="0.35">
      <c r="A31" s="2" t="s">
        <v>400</v>
      </c>
      <c r="B31" s="2" t="s">
        <v>14</v>
      </c>
      <c r="C31" s="2">
        <v>0</v>
      </c>
      <c r="D31" s="2">
        <v>402</v>
      </c>
      <c r="E31" s="2">
        <v>-1611087.12</v>
      </c>
      <c r="F31" s="2" t="s">
        <v>15</v>
      </c>
      <c r="G31" s="2" t="s">
        <v>15</v>
      </c>
      <c r="H31" s="2" t="s">
        <v>423</v>
      </c>
      <c r="I31" s="2" t="s">
        <v>21</v>
      </c>
      <c r="J31" s="2" t="s">
        <v>18</v>
      </c>
      <c r="K31" s="2" t="s">
        <v>19</v>
      </c>
      <c r="L31" s="2" t="s">
        <v>423</v>
      </c>
      <c r="M31" s="5">
        <v>246779410506</v>
      </c>
    </row>
    <row r="32" spans="1:13" x14ac:dyDescent="0.35">
      <c r="A32" s="2" t="s">
        <v>400</v>
      </c>
      <c r="B32" s="2" t="s">
        <v>14</v>
      </c>
      <c r="C32" s="2">
        <v>0</v>
      </c>
      <c r="D32" s="2">
        <v>402</v>
      </c>
      <c r="E32" s="2">
        <v>-1611489.12</v>
      </c>
      <c r="F32" s="2" t="s">
        <v>15</v>
      </c>
      <c r="G32" s="2" t="s">
        <v>15</v>
      </c>
      <c r="H32" s="2" t="s">
        <v>424</v>
      </c>
      <c r="I32" s="2" t="s">
        <v>21</v>
      </c>
      <c r="J32" s="2" t="s">
        <v>18</v>
      </c>
      <c r="K32" s="2" t="s">
        <v>19</v>
      </c>
      <c r="L32" s="2" t="s">
        <v>424</v>
      </c>
      <c r="M32" s="5">
        <v>246779410507</v>
      </c>
    </row>
    <row r="33" spans="1:13" x14ac:dyDescent="0.35">
      <c r="A33" s="2" t="s">
        <v>400</v>
      </c>
      <c r="B33" s="2" t="s">
        <v>14</v>
      </c>
      <c r="C33" s="2">
        <v>0</v>
      </c>
      <c r="D33" s="2">
        <v>201</v>
      </c>
      <c r="E33" s="2">
        <v>-1611690.12</v>
      </c>
      <c r="F33" s="2" t="s">
        <v>15</v>
      </c>
      <c r="G33" s="2" t="s">
        <v>15</v>
      </c>
      <c r="H33" s="2" t="s">
        <v>425</v>
      </c>
      <c r="I33" s="2" t="s">
        <v>21</v>
      </c>
      <c r="J33" s="2" t="s">
        <v>18</v>
      </c>
      <c r="K33" s="2" t="s">
        <v>19</v>
      </c>
      <c r="L33" s="2" t="s">
        <v>425</v>
      </c>
      <c r="M33" s="5">
        <v>246779410508</v>
      </c>
    </row>
    <row r="34" spans="1:13" x14ac:dyDescent="0.35">
      <c r="A34" s="2" t="s">
        <v>426</v>
      </c>
      <c r="B34" s="2" t="s">
        <v>14</v>
      </c>
      <c r="C34" s="2">
        <v>0</v>
      </c>
      <c r="D34" s="2">
        <v>403</v>
      </c>
      <c r="E34" s="2">
        <v>-1612093.12</v>
      </c>
      <c r="F34" s="2" t="s">
        <v>15</v>
      </c>
      <c r="G34" s="2" t="s">
        <v>15</v>
      </c>
      <c r="H34" s="2" t="s">
        <v>427</v>
      </c>
      <c r="I34" s="2" t="s">
        <v>21</v>
      </c>
      <c r="J34" s="2" t="s">
        <v>18</v>
      </c>
      <c r="K34" s="2" t="s">
        <v>19</v>
      </c>
      <c r="L34" s="2" t="s">
        <v>427</v>
      </c>
      <c r="M34" s="5">
        <v>246779410843</v>
      </c>
    </row>
    <row r="35" spans="1:13" x14ac:dyDescent="0.35">
      <c r="A35" s="2" t="s">
        <v>426</v>
      </c>
      <c r="B35" s="2" t="s">
        <v>14</v>
      </c>
      <c r="C35" s="2">
        <v>0</v>
      </c>
      <c r="D35" s="2">
        <v>805</v>
      </c>
      <c r="E35" s="2">
        <v>-1612898.12</v>
      </c>
      <c r="F35" s="2" t="s">
        <v>15</v>
      </c>
      <c r="G35" s="2" t="s">
        <v>15</v>
      </c>
      <c r="H35" s="2" t="s">
        <v>428</v>
      </c>
      <c r="I35" s="2" t="s">
        <v>21</v>
      </c>
      <c r="J35" s="2" t="s">
        <v>18</v>
      </c>
      <c r="K35" s="2" t="s">
        <v>19</v>
      </c>
      <c r="L35" s="2" t="s">
        <v>428</v>
      </c>
      <c r="M35" s="5">
        <v>246779410686</v>
      </c>
    </row>
    <row r="36" spans="1:13" x14ac:dyDescent="0.35">
      <c r="A36" s="2" t="s">
        <v>426</v>
      </c>
      <c r="B36" s="2" t="s">
        <v>14</v>
      </c>
      <c r="C36" s="2">
        <v>0</v>
      </c>
      <c r="D36" s="2">
        <v>201</v>
      </c>
      <c r="E36" s="2">
        <v>-1613099.12</v>
      </c>
      <c r="F36" s="2" t="s">
        <v>15</v>
      </c>
      <c r="G36" s="2" t="s">
        <v>15</v>
      </c>
      <c r="H36" s="2" t="s">
        <v>429</v>
      </c>
      <c r="I36" s="2" t="s">
        <v>21</v>
      </c>
      <c r="J36" s="2" t="s">
        <v>18</v>
      </c>
      <c r="K36" s="2" t="s">
        <v>19</v>
      </c>
      <c r="L36" s="2" t="s">
        <v>429</v>
      </c>
      <c r="M36" s="5">
        <v>246779410683</v>
      </c>
    </row>
    <row r="37" spans="1:13" x14ac:dyDescent="0.35">
      <c r="A37" s="2" t="s">
        <v>426</v>
      </c>
      <c r="B37" s="2" t="s">
        <v>14</v>
      </c>
      <c r="C37" s="2">
        <v>0</v>
      </c>
      <c r="D37" s="2">
        <v>604</v>
      </c>
      <c r="E37" s="2">
        <v>-1613703.12</v>
      </c>
      <c r="F37" s="2" t="s">
        <v>15</v>
      </c>
      <c r="G37" s="2" t="s">
        <v>15</v>
      </c>
      <c r="H37" s="2" t="s">
        <v>430</v>
      </c>
      <c r="I37" s="2" t="s">
        <v>21</v>
      </c>
      <c r="J37" s="2" t="s">
        <v>18</v>
      </c>
      <c r="K37" s="2" t="s">
        <v>19</v>
      </c>
      <c r="L37" s="2" t="s">
        <v>430</v>
      </c>
      <c r="M37" s="5">
        <v>246779410759</v>
      </c>
    </row>
    <row r="38" spans="1:13" x14ac:dyDescent="0.35">
      <c r="A38" s="2" t="s">
        <v>426</v>
      </c>
      <c r="B38" s="2" t="s">
        <v>14</v>
      </c>
      <c r="C38" s="2">
        <v>0</v>
      </c>
      <c r="D38" s="2">
        <v>1006</v>
      </c>
      <c r="E38" s="2">
        <v>-1614709.12</v>
      </c>
      <c r="F38" s="2" t="s">
        <v>15</v>
      </c>
      <c r="G38" s="2" t="s">
        <v>15</v>
      </c>
      <c r="H38" s="2" t="s">
        <v>431</v>
      </c>
      <c r="I38" s="2" t="s">
        <v>21</v>
      </c>
      <c r="J38" s="2" t="s">
        <v>18</v>
      </c>
      <c r="K38" s="2" t="s">
        <v>19</v>
      </c>
      <c r="L38" s="2" t="s">
        <v>431</v>
      </c>
      <c r="M38" s="5">
        <v>246779410760</v>
      </c>
    </row>
    <row r="39" spans="1:13" x14ac:dyDescent="0.35">
      <c r="A39" s="2" t="s">
        <v>426</v>
      </c>
      <c r="B39" s="2" t="s">
        <v>14</v>
      </c>
      <c r="C39" s="2">
        <v>0</v>
      </c>
      <c r="D39" s="2">
        <v>1207</v>
      </c>
      <c r="E39" s="2">
        <v>-1615916.12</v>
      </c>
      <c r="F39" s="2" t="s">
        <v>15</v>
      </c>
      <c r="G39" s="2" t="s">
        <v>15</v>
      </c>
      <c r="H39" s="2" t="s">
        <v>432</v>
      </c>
      <c r="I39" s="2" t="s">
        <v>21</v>
      </c>
      <c r="J39" s="2" t="s">
        <v>18</v>
      </c>
      <c r="K39" s="2" t="s">
        <v>19</v>
      </c>
      <c r="L39" s="2" t="s">
        <v>432</v>
      </c>
      <c r="M39" s="5">
        <v>246779410761</v>
      </c>
    </row>
    <row r="40" spans="1:13" x14ac:dyDescent="0.35">
      <c r="A40" s="2" t="s">
        <v>426</v>
      </c>
      <c r="B40" s="2" t="s">
        <v>14</v>
      </c>
      <c r="C40" s="2">
        <v>0</v>
      </c>
      <c r="D40" s="2">
        <v>201</v>
      </c>
      <c r="E40" s="2">
        <v>-1616117.12</v>
      </c>
      <c r="F40" s="2" t="s">
        <v>15</v>
      </c>
      <c r="G40" s="2" t="s">
        <v>15</v>
      </c>
      <c r="H40" s="2" t="s">
        <v>433</v>
      </c>
      <c r="I40" s="2" t="s">
        <v>21</v>
      </c>
      <c r="J40" s="2" t="s">
        <v>18</v>
      </c>
      <c r="K40" s="2" t="s">
        <v>19</v>
      </c>
      <c r="L40" s="2" t="s">
        <v>433</v>
      </c>
      <c r="M40" s="5">
        <v>246779410763</v>
      </c>
    </row>
    <row r="41" spans="1:13" x14ac:dyDescent="0.35">
      <c r="A41" s="2" t="s">
        <v>426</v>
      </c>
      <c r="B41" s="2" t="s">
        <v>14</v>
      </c>
      <c r="C41" s="2">
        <v>0</v>
      </c>
      <c r="D41" s="2">
        <v>403</v>
      </c>
      <c r="E41" s="2">
        <v>-1616520.12</v>
      </c>
      <c r="F41" s="2" t="s">
        <v>15</v>
      </c>
      <c r="G41" s="2" t="s">
        <v>15</v>
      </c>
      <c r="H41" s="2" t="s">
        <v>434</v>
      </c>
      <c r="I41" s="2" t="s">
        <v>21</v>
      </c>
      <c r="J41" s="2" t="s">
        <v>18</v>
      </c>
      <c r="K41" s="2" t="s">
        <v>19</v>
      </c>
      <c r="L41" s="2" t="s">
        <v>434</v>
      </c>
      <c r="M41" s="5">
        <v>246779410762</v>
      </c>
    </row>
    <row r="42" spans="1:13" x14ac:dyDescent="0.35">
      <c r="A42" s="2" t="s">
        <v>426</v>
      </c>
      <c r="B42" s="2" t="s">
        <v>14</v>
      </c>
      <c r="C42" s="2">
        <v>0</v>
      </c>
      <c r="D42" s="2">
        <v>403</v>
      </c>
      <c r="E42" s="2">
        <v>-1616923.12</v>
      </c>
      <c r="F42" s="2" t="s">
        <v>15</v>
      </c>
      <c r="G42" s="2" t="s">
        <v>15</v>
      </c>
      <c r="H42" s="2" t="s">
        <v>435</v>
      </c>
      <c r="I42" s="2" t="s">
        <v>21</v>
      </c>
      <c r="J42" s="2" t="s">
        <v>18</v>
      </c>
      <c r="K42" s="2" t="s">
        <v>19</v>
      </c>
      <c r="L42" s="2" t="s">
        <v>435</v>
      </c>
      <c r="M42" s="5">
        <v>246779410757</v>
      </c>
    </row>
    <row r="43" spans="1:13" x14ac:dyDescent="0.35">
      <c r="A43" s="2" t="s">
        <v>426</v>
      </c>
      <c r="B43" s="2" t="s">
        <v>14</v>
      </c>
      <c r="C43" s="2">
        <v>0</v>
      </c>
      <c r="D43" s="2">
        <v>201</v>
      </c>
      <c r="E43" s="2">
        <v>-1617124.12</v>
      </c>
      <c r="F43" s="2" t="s">
        <v>15</v>
      </c>
      <c r="G43" s="2" t="s">
        <v>15</v>
      </c>
      <c r="H43" s="2" t="s">
        <v>436</v>
      </c>
      <c r="I43" s="2" t="s">
        <v>21</v>
      </c>
      <c r="J43" s="2" t="s">
        <v>18</v>
      </c>
      <c r="K43" s="2" t="s">
        <v>19</v>
      </c>
      <c r="L43" s="2" t="s">
        <v>436</v>
      </c>
      <c r="M43" s="5">
        <v>246779410765</v>
      </c>
    </row>
    <row r="44" spans="1:13" x14ac:dyDescent="0.35">
      <c r="A44" s="2" t="s">
        <v>426</v>
      </c>
      <c r="B44" s="2" t="s">
        <v>14</v>
      </c>
      <c r="C44" s="2">
        <v>0</v>
      </c>
      <c r="D44" s="2">
        <v>201</v>
      </c>
      <c r="E44" s="2">
        <v>-1617325.12</v>
      </c>
      <c r="F44" s="2" t="s">
        <v>15</v>
      </c>
      <c r="G44" s="2" t="s">
        <v>15</v>
      </c>
      <c r="H44" s="2" t="s">
        <v>437</v>
      </c>
      <c r="I44" s="2" t="s">
        <v>21</v>
      </c>
      <c r="J44" s="2" t="s">
        <v>18</v>
      </c>
      <c r="K44" s="2" t="s">
        <v>19</v>
      </c>
      <c r="L44" s="2" t="s">
        <v>437</v>
      </c>
      <c r="M44" s="5">
        <v>246779410764</v>
      </c>
    </row>
    <row r="45" spans="1:13" x14ac:dyDescent="0.35">
      <c r="A45" s="2" t="s">
        <v>426</v>
      </c>
      <c r="B45" s="2" t="s">
        <v>14</v>
      </c>
      <c r="C45" s="2">
        <v>0</v>
      </c>
      <c r="D45" s="2">
        <v>403</v>
      </c>
      <c r="E45" s="2">
        <v>-1617728.12</v>
      </c>
      <c r="F45" s="2" t="s">
        <v>15</v>
      </c>
      <c r="G45" s="2" t="s">
        <v>15</v>
      </c>
      <c r="H45" s="2" t="s">
        <v>438</v>
      </c>
      <c r="I45" s="2" t="s">
        <v>21</v>
      </c>
      <c r="J45" s="2" t="s">
        <v>18</v>
      </c>
      <c r="K45" s="2" t="s">
        <v>19</v>
      </c>
      <c r="L45" s="2" t="s">
        <v>438</v>
      </c>
      <c r="M45" s="5">
        <v>246779410766</v>
      </c>
    </row>
    <row r="46" spans="1:13" x14ac:dyDescent="0.35">
      <c r="A46" s="2" t="s">
        <v>426</v>
      </c>
      <c r="B46" s="2" t="s">
        <v>14</v>
      </c>
      <c r="C46" s="2">
        <v>0</v>
      </c>
      <c r="D46" s="2">
        <v>403</v>
      </c>
      <c r="E46" s="2">
        <v>-1618131.12</v>
      </c>
      <c r="F46" s="2" t="s">
        <v>15</v>
      </c>
      <c r="G46" s="2" t="s">
        <v>15</v>
      </c>
      <c r="H46" s="2" t="s">
        <v>439</v>
      </c>
      <c r="I46" s="2" t="s">
        <v>21</v>
      </c>
      <c r="J46" s="2" t="s">
        <v>18</v>
      </c>
      <c r="K46" s="2" t="s">
        <v>19</v>
      </c>
      <c r="L46" s="2" t="s">
        <v>439</v>
      </c>
      <c r="M46" s="5">
        <v>246779410756</v>
      </c>
    </row>
    <row r="47" spans="1:13" x14ac:dyDescent="0.35">
      <c r="A47" s="2" t="s">
        <v>426</v>
      </c>
      <c r="B47" s="2" t="s">
        <v>14</v>
      </c>
      <c r="C47" s="2">
        <v>0</v>
      </c>
      <c r="D47" s="2">
        <v>3219</v>
      </c>
      <c r="E47" s="2">
        <v>-1621350.12</v>
      </c>
      <c r="F47" s="2" t="s">
        <v>15</v>
      </c>
      <c r="G47" s="2" t="s">
        <v>15</v>
      </c>
      <c r="H47" s="2" t="s">
        <v>440</v>
      </c>
      <c r="I47" s="2" t="s">
        <v>21</v>
      </c>
      <c r="J47" s="2" t="s">
        <v>18</v>
      </c>
      <c r="K47" s="2" t="s">
        <v>19</v>
      </c>
      <c r="L47" s="2" t="s">
        <v>440</v>
      </c>
      <c r="M47" s="5">
        <v>246779410758</v>
      </c>
    </row>
    <row r="48" spans="1:13" x14ac:dyDescent="0.35">
      <c r="A48" s="2" t="s">
        <v>426</v>
      </c>
      <c r="B48" s="2" t="s">
        <v>14</v>
      </c>
      <c r="C48" s="2">
        <v>0</v>
      </c>
      <c r="D48" s="2">
        <v>403</v>
      </c>
      <c r="E48" s="2">
        <v>-1621753.12</v>
      </c>
      <c r="F48" s="2" t="s">
        <v>15</v>
      </c>
      <c r="G48" s="2" t="s">
        <v>15</v>
      </c>
      <c r="H48" s="2" t="s">
        <v>441</v>
      </c>
      <c r="I48" s="2" t="s">
        <v>21</v>
      </c>
      <c r="J48" s="2" t="s">
        <v>18</v>
      </c>
      <c r="K48" s="2" t="s">
        <v>19</v>
      </c>
      <c r="L48" s="2" t="s">
        <v>441</v>
      </c>
      <c r="M48" s="5">
        <v>246779410689</v>
      </c>
    </row>
    <row r="49" spans="1:13" x14ac:dyDescent="0.35">
      <c r="A49" s="2" t="s">
        <v>426</v>
      </c>
      <c r="B49" s="2" t="s">
        <v>14</v>
      </c>
      <c r="C49" s="2">
        <v>0</v>
      </c>
      <c r="D49" s="2">
        <v>805</v>
      </c>
      <c r="E49" s="2">
        <v>-1622558.12</v>
      </c>
      <c r="F49" s="2" t="s">
        <v>15</v>
      </c>
      <c r="G49" s="2" t="s">
        <v>15</v>
      </c>
      <c r="H49" s="2" t="s">
        <v>442</v>
      </c>
      <c r="I49" s="2" t="s">
        <v>21</v>
      </c>
      <c r="J49" s="2" t="s">
        <v>18</v>
      </c>
      <c r="K49" s="2" t="s">
        <v>19</v>
      </c>
      <c r="L49" s="2" t="s">
        <v>442</v>
      </c>
      <c r="M49" s="5">
        <v>246779410693</v>
      </c>
    </row>
    <row r="50" spans="1:13" x14ac:dyDescent="0.35">
      <c r="A50" s="2" t="s">
        <v>426</v>
      </c>
      <c r="B50" s="2" t="s">
        <v>14</v>
      </c>
      <c r="C50" s="2">
        <v>0</v>
      </c>
      <c r="D50" s="2">
        <v>604</v>
      </c>
      <c r="E50" s="2">
        <v>-1623162.12</v>
      </c>
      <c r="F50" s="2" t="s">
        <v>15</v>
      </c>
      <c r="G50" s="2" t="s">
        <v>15</v>
      </c>
      <c r="H50" s="2" t="s">
        <v>443</v>
      </c>
      <c r="I50" s="2" t="s">
        <v>21</v>
      </c>
      <c r="J50" s="2" t="s">
        <v>18</v>
      </c>
      <c r="K50" s="2" t="s">
        <v>19</v>
      </c>
      <c r="L50" s="2" t="s">
        <v>443</v>
      </c>
      <c r="M50" s="5">
        <v>246779410691</v>
      </c>
    </row>
    <row r="51" spans="1:13" x14ac:dyDescent="0.35">
      <c r="A51" s="2" t="s">
        <v>426</v>
      </c>
      <c r="B51" s="2" t="s">
        <v>14</v>
      </c>
      <c r="C51" s="2">
        <v>0</v>
      </c>
      <c r="D51" s="2">
        <v>604</v>
      </c>
      <c r="E51" s="2">
        <v>-1623766.12</v>
      </c>
      <c r="F51" s="2" t="s">
        <v>15</v>
      </c>
      <c r="G51" s="2" t="s">
        <v>15</v>
      </c>
      <c r="H51" s="2" t="s">
        <v>444</v>
      </c>
      <c r="I51" s="2" t="s">
        <v>21</v>
      </c>
      <c r="J51" s="2" t="s">
        <v>18</v>
      </c>
      <c r="K51" s="2" t="s">
        <v>19</v>
      </c>
      <c r="L51" s="2" t="s">
        <v>444</v>
      </c>
      <c r="M51" s="5">
        <v>246779410684</v>
      </c>
    </row>
    <row r="52" spans="1:13" x14ac:dyDescent="0.35">
      <c r="A52" s="2" t="s">
        <v>426</v>
      </c>
      <c r="B52" s="2" t="s">
        <v>14</v>
      </c>
      <c r="C52" s="2">
        <v>0</v>
      </c>
      <c r="D52" s="2">
        <v>201</v>
      </c>
      <c r="E52" s="2">
        <v>-1623967.12</v>
      </c>
      <c r="F52" s="2" t="s">
        <v>15</v>
      </c>
      <c r="G52" s="2" t="s">
        <v>15</v>
      </c>
      <c r="H52" s="2" t="s">
        <v>445</v>
      </c>
      <c r="I52" s="2" t="s">
        <v>21</v>
      </c>
      <c r="J52" s="2" t="s">
        <v>18</v>
      </c>
      <c r="K52" s="2" t="s">
        <v>19</v>
      </c>
      <c r="L52" s="2" t="s">
        <v>445</v>
      </c>
      <c r="M52" s="5">
        <v>246779410685</v>
      </c>
    </row>
    <row r="53" spans="1:13" x14ac:dyDescent="0.35">
      <c r="A53" s="2" t="s">
        <v>426</v>
      </c>
      <c r="B53" s="2" t="s">
        <v>14</v>
      </c>
      <c r="C53" s="2">
        <v>0</v>
      </c>
      <c r="D53" s="2">
        <v>3622</v>
      </c>
      <c r="E53" s="2">
        <v>-1627589.12</v>
      </c>
      <c r="F53" s="2" t="s">
        <v>15</v>
      </c>
      <c r="G53" s="2" t="s">
        <v>15</v>
      </c>
      <c r="H53" s="2" t="s">
        <v>446</v>
      </c>
      <c r="I53" s="2" t="s">
        <v>21</v>
      </c>
      <c r="J53" s="2" t="s">
        <v>18</v>
      </c>
      <c r="K53" s="2" t="s">
        <v>19</v>
      </c>
      <c r="L53" s="2" t="s">
        <v>446</v>
      </c>
      <c r="M53" s="5">
        <v>246779410690</v>
      </c>
    </row>
    <row r="54" spans="1:13" x14ac:dyDescent="0.35">
      <c r="A54" s="2" t="s">
        <v>426</v>
      </c>
      <c r="B54" s="2" t="s">
        <v>14</v>
      </c>
      <c r="C54" s="2">
        <v>0</v>
      </c>
      <c r="D54" s="2">
        <v>1207</v>
      </c>
      <c r="E54" s="2">
        <v>-1628796.12</v>
      </c>
      <c r="F54" s="2" t="s">
        <v>15</v>
      </c>
      <c r="G54" s="2" t="s">
        <v>15</v>
      </c>
      <c r="H54" s="2" t="s">
        <v>447</v>
      </c>
      <c r="I54" s="2" t="s">
        <v>21</v>
      </c>
      <c r="J54" s="2" t="s">
        <v>18</v>
      </c>
      <c r="K54" s="2" t="s">
        <v>19</v>
      </c>
      <c r="L54" s="2" t="s">
        <v>447</v>
      </c>
      <c r="M54" s="5">
        <v>246779410680</v>
      </c>
    </row>
    <row r="55" spans="1:13" x14ac:dyDescent="0.35">
      <c r="A55" s="2" t="s">
        <v>426</v>
      </c>
      <c r="B55" s="2" t="s">
        <v>14</v>
      </c>
      <c r="C55" s="2">
        <v>0</v>
      </c>
      <c r="D55" s="2">
        <v>201</v>
      </c>
      <c r="E55" s="2">
        <v>-1628997.12</v>
      </c>
      <c r="F55" s="2" t="s">
        <v>15</v>
      </c>
      <c r="G55" s="2" t="s">
        <v>15</v>
      </c>
      <c r="H55" s="2" t="s">
        <v>448</v>
      </c>
      <c r="I55" s="2" t="s">
        <v>21</v>
      </c>
      <c r="J55" s="2" t="s">
        <v>18</v>
      </c>
      <c r="K55" s="2" t="s">
        <v>19</v>
      </c>
      <c r="L55" s="2" t="s">
        <v>448</v>
      </c>
      <c r="M55" s="5">
        <v>246779410681</v>
      </c>
    </row>
    <row r="56" spans="1:13" x14ac:dyDescent="0.35">
      <c r="A56" s="2" t="s">
        <v>426</v>
      </c>
      <c r="B56" s="2" t="s">
        <v>14</v>
      </c>
      <c r="C56" s="2">
        <v>0</v>
      </c>
      <c r="D56" s="2">
        <v>201</v>
      </c>
      <c r="E56" s="2">
        <v>-1629198.12</v>
      </c>
      <c r="F56" s="2" t="s">
        <v>15</v>
      </c>
      <c r="G56" s="2" t="s">
        <v>15</v>
      </c>
      <c r="H56" s="2" t="s">
        <v>449</v>
      </c>
      <c r="I56" s="2" t="s">
        <v>21</v>
      </c>
      <c r="J56" s="2" t="s">
        <v>18</v>
      </c>
      <c r="K56" s="2" t="s">
        <v>19</v>
      </c>
      <c r="L56" s="2" t="s">
        <v>449</v>
      </c>
      <c r="M56" s="5">
        <v>246779410682</v>
      </c>
    </row>
    <row r="57" spans="1:13" x14ac:dyDescent="0.35">
      <c r="A57" s="2" t="s">
        <v>426</v>
      </c>
      <c r="B57" s="2" t="s">
        <v>14</v>
      </c>
      <c r="C57" s="2">
        <v>0</v>
      </c>
      <c r="D57" s="2">
        <v>201</v>
      </c>
      <c r="E57" s="2">
        <v>-1629399.12</v>
      </c>
      <c r="F57" s="2" t="s">
        <v>15</v>
      </c>
      <c r="G57" s="2" t="s">
        <v>15</v>
      </c>
      <c r="H57" s="2" t="s">
        <v>450</v>
      </c>
      <c r="I57" s="2" t="s">
        <v>21</v>
      </c>
      <c r="J57" s="2" t="s">
        <v>18</v>
      </c>
      <c r="K57" s="2" t="s">
        <v>19</v>
      </c>
      <c r="L57" s="2" t="s">
        <v>450</v>
      </c>
      <c r="M57" s="5">
        <v>246779410678</v>
      </c>
    </row>
    <row r="58" spans="1:13" x14ac:dyDescent="0.35">
      <c r="A58" s="2" t="s">
        <v>426</v>
      </c>
      <c r="B58" s="2" t="s">
        <v>14</v>
      </c>
      <c r="C58" s="2">
        <v>0</v>
      </c>
      <c r="D58" s="2">
        <v>805</v>
      </c>
      <c r="E58" s="2">
        <v>-1630204.12</v>
      </c>
      <c r="F58" s="2" t="s">
        <v>15</v>
      </c>
      <c r="G58" s="2" t="s">
        <v>15</v>
      </c>
      <c r="H58" s="2" t="s">
        <v>451</v>
      </c>
      <c r="I58" s="2" t="s">
        <v>21</v>
      </c>
      <c r="J58" s="2" t="s">
        <v>18</v>
      </c>
      <c r="K58" s="2" t="s">
        <v>19</v>
      </c>
      <c r="L58" s="2" t="s">
        <v>451</v>
      </c>
      <c r="M58" s="5">
        <v>246779410845</v>
      </c>
    </row>
    <row r="59" spans="1:13" x14ac:dyDescent="0.35">
      <c r="A59" s="2" t="s">
        <v>426</v>
      </c>
      <c r="B59" s="2" t="s">
        <v>14</v>
      </c>
      <c r="C59" s="2">
        <v>0</v>
      </c>
      <c r="D59" s="2">
        <v>604</v>
      </c>
      <c r="E59" s="2">
        <v>-1630808.12</v>
      </c>
      <c r="F59" s="2" t="s">
        <v>15</v>
      </c>
      <c r="G59" s="2" t="s">
        <v>15</v>
      </c>
      <c r="H59" s="2" t="s">
        <v>452</v>
      </c>
      <c r="I59" s="2" t="s">
        <v>21</v>
      </c>
      <c r="J59" s="2" t="s">
        <v>18</v>
      </c>
      <c r="K59" s="2" t="s">
        <v>19</v>
      </c>
      <c r="L59" s="2" t="s">
        <v>452</v>
      </c>
      <c r="M59" s="5">
        <v>246779410841</v>
      </c>
    </row>
    <row r="60" spans="1:13" x14ac:dyDescent="0.35">
      <c r="A60" s="2" t="s">
        <v>426</v>
      </c>
      <c r="B60" s="2" t="s">
        <v>14</v>
      </c>
      <c r="C60" s="2">
        <v>0</v>
      </c>
      <c r="D60" s="2">
        <v>403</v>
      </c>
      <c r="E60" s="2">
        <v>-1631211.12</v>
      </c>
      <c r="F60" s="2" t="s">
        <v>15</v>
      </c>
      <c r="G60" s="2" t="s">
        <v>15</v>
      </c>
      <c r="H60" s="2" t="s">
        <v>453</v>
      </c>
      <c r="I60" s="2" t="s">
        <v>21</v>
      </c>
      <c r="J60" s="2" t="s">
        <v>18</v>
      </c>
      <c r="K60" s="2" t="s">
        <v>19</v>
      </c>
      <c r="L60" s="2" t="s">
        <v>453</v>
      </c>
      <c r="M60" s="5">
        <v>246779410844</v>
      </c>
    </row>
    <row r="61" spans="1:13" x14ac:dyDescent="0.35">
      <c r="A61" s="2" t="s">
        <v>426</v>
      </c>
      <c r="B61" s="2" t="s">
        <v>14</v>
      </c>
      <c r="C61" s="2">
        <v>0</v>
      </c>
      <c r="D61" s="2">
        <v>403</v>
      </c>
      <c r="E61" s="2">
        <v>-1631614.12</v>
      </c>
      <c r="F61" s="2" t="s">
        <v>15</v>
      </c>
      <c r="G61" s="2" t="s">
        <v>15</v>
      </c>
      <c r="H61" s="2" t="s">
        <v>454</v>
      </c>
      <c r="I61" s="2" t="s">
        <v>21</v>
      </c>
      <c r="J61" s="2" t="s">
        <v>18</v>
      </c>
      <c r="K61" s="2" t="s">
        <v>19</v>
      </c>
      <c r="L61" s="2" t="s">
        <v>454</v>
      </c>
      <c r="M61" s="5">
        <v>246779410842</v>
      </c>
    </row>
    <row r="62" spans="1:13" x14ac:dyDescent="0.35">
      <c r="A62" s="2" t="s">
        <v>426</v>
      </c>
      <c r="B62" s="2" t="s">
        <v>14</v>
      </c>
      <c r="C62" s="2">
        <v>0</v>
      </c>
      <c r="D62" s="2">
        <v>805</v>
      </c>
      <c r="E62" s="2">
        <v>-1632419.12</v>
      </c>
      <c r="F62" s="2" t="s">
        <v>15</v>
      </c>
      <c r="G62" s="2" t="s">
        <v>15</v>
      </c>
      <c r="H62" s="2" t="s">
        <v>455</v>
      </c>
      <c r="I62" s="2" t="s">
        <v>21</v>
      </c>
      <c r="J62" s="2" t="s">
        <v>18</v>
      </c>
      <c r="K62" s="2" t="s">
        <v>19</v>
      </c>
      <c r="L62" s="2" t="s">
        <v>455</v>
      </c>
      <c r="M62" s="5">
        <v>246779410692</v>
      </c>
    </row>
    <row r="63" spans="1:13" x14ac:dyDescent="0.35">
      <c r="A63" s="2" t="s">
        <v>426</v>
      </c>
      <c r="B63" s="2" t="s">
        <v>14</v>
      </c>
      <c r="C63" s="2">
        <v>0</v>
      </c>
      <c r="D63" s="2">
        <v>201</v>
      </c>
      <c r="E63" s="2">
        <v>-1632620.12</v>
      </c>
      <c r="F63" s="2" t="s">
        <v>15</v>
      </c>
      <c r="G63" s="2" t="s">
        <v>15</v>
      </c>
      <c r="H63" s="2" t="s">
        <v>456</v>
      </c>
      <c r="I63" s="2" t="s">
        <v>21</v>
      </c>
      <c r="J63" s="2" t="s">
        <v>18</v>
      </c>
      <c r="K63" s="2" t="s">
        <v>19</v>
      </c>
      <c r="L63" s="2" t="s">
        <v>456</v>
      </c>
      <c r="M63" s="5">
        <v>246779410679</v>
      </c>
    </row>
    <row r="64" spans="1:13" x14ac:dyDescent="0.35">
      <c r="A64" s="2" t="s">
        <v>457</v>
      </c>
      <c r="B64" s="2" t="s">
        <v>14</v>
      </c>
      <c r="C64" s="2">
        <v>0</v>
      </c>
      <c r="D64" s="2">
        <v>2406</v>
      </c>
      <c r="E64" s="2">
        <v>-1635026.12</v>
      </c>
      <c r="F64" s="2" t="s">
        <v>15</v>
      </c>
      <c r="G64" s="2" t="s">
        <v>15</v>
      </c>
      <c r="H64" s="2" t="s">
        <v>458</v>
      </c>
      <c r="I64" s="2" t="s">
        <v>31</v>
      </c>
      <c r="J64" s="2" t="s">
        <v>18</v>
      </c>
      <c r="K64" s="2" t="s">
        <v>19</v>
      </c>
      <c r="L64" s="2" t="s">
        <v>458</v>
      </c>
      <c r="M64" s="5">
        <v>246779411128</v>
      </c>
    </row>
    <row r="65" spans="1:13" x14ac:dyDescent="0.35">
      <c r="A65" s="2" t="s">
        <v>457</v>
      </c>
      <c r="B65" s="2" t="s">
        <v>14</v>
      </c>
      <c r="C65" s="2">
        <v>0</v>
      </c>
      <c r="D65" s="2">
        <v>1882</v>
      </c>
      <c r="E65" s="2">
        <v>-1636908.12</v>
      </c>
      <c r="F65" s="2" t="s">
        <v>15</v>
      </c>
      <c r="G65" s="2" t="s">
        <v>15</v>
      </c>
      <c r="H65" s="2" t="s">
        <v>459</v>
      </c>
      <c r="I65" s="2" t="s">
        <v>88</v>
      </c>
      <c r="J65" s="2" t="s">
        <v>18</v>
      </c>
      <c r="K65" s="2" t="s">
        <v>19</v>
      </c>
      <c r="L65" s="2" t="s">
        <v>459</v>
      </c>
      <c r="M65" s="5">
        <v>246779410970</v>
      </c>
    </row>
    <row r="66" spans="1:13" x14ac:dyDescent="0.35">
      <c r="A66" s="2" t="s">
        <v>457</v>
      </c>
      <c r="B66" s="2" t="s">
        <v>14</v>
      </c>
      <c r="C66" s="2">
        <v>0</v>
      </c>
      <c r="D66" s="2">
        <v>36538</v>
      </c>
      <c r="E66" s="2">
        <v>-1673446.12</v>
      </c>
      <c r="F66" s="2" t="s">
        <v>15</v>
      </c>
      <c r="G66" s="2" t="s">
        <v>15</v>
      </c>
      <c r="H66" s="2" t="s">
        <v>460</v>
      </c>
      <c r="I66" s="2" t="s">
        <v>66</v>
      </c>
      <c r="J66" s="2" t="s">
        <v>18</v>
      </c>
      <c r="K66" s="2" t="s">
        <v>19</v>
      </c>
      <c r="L66" s="2" t="s">
        <v>460</v>
      </c>
      <c r="M66" s="5">
        <v>246779410971</v>
      </c>
    </row>
    <row r="67" spans="1:13" x14ac:dyDescent="0.35">
      <c r="A67" s="2" t="s">
        <v>457</v>
      </c>
      <c r="B67" s="2" t="s">
        <v>14</v>
      </c>
      <c r="C67" s="2">
        <v>0</v>
      </c>
      <c r="D67" s="2">
        <v>401</v>
      </c>
      <c r="E67" s="2">
        <v>-1673847.12</v>
      </c>
      <c r="F67" s="2" t="s">
        <v>15</v>
      </c>
      <c r="G67" s="2" t="s">
        <v>15</v>
      </c>
      <c r="H67" s="2" t="s">
        <v>461</v>
      </c>
      <c r="I67" s="2" t="s">
        <v>31</v>
      </c>
      <c r="J67" s="2" t="s">
        <v>18</v>
      </c>
      <c r="K67" s="2" t="s">
        <v>19</v>
      </c>
      <c r="L67" s="2" t="s">
        <v>461</v>
      </c>
      <c r="M67" s="5">
        <v>246779410974</v>
      </c>
    </row>
    <row r="68" spans="1:13" x14ac:dyDescent="0.35">
      <c r="A68" s="2" t="s">
        <v>457</v>
      </c>
      <c r="B68" s="2" t="s">
        <v>14</v>
      </c>
      <c r="C68" s="2">
        <v>0</v>
      </c>
      <c r="D68" s="2">
        <v>1481</v>
      </c>
      <c r="E68" s="2">
        <v>-1675328.12</v>
      </c>
      <c r="F68" s="2" t="s">
        <v>15</v>
      </c>
      <c r="G68" s="2" t="s">
        <v>15</v>
      </c>
      <c r="H68" s="2" t="s">
        <v>462</v>
      </c>
      <c r="I68" s="2" t="s">
        <v>88</v>
      </c>
      <c r="J68" s="2" t="s">
        <v>18</v>
      </c>
      <c r="K68" s="2" t="s">
        <v>19</v>
      </c>
      <c r="L68" s="2" t="s">
        <v>462</v>
      </c>
      <c r="M68" s="5">
        <v>246779410972</v>
      </c>
    </row>
    <row r="69" spans="1:13" x14ac:dyDescent="0.35">
      <c r="A69" s="2" t="s">
        <v>457</v>
      </c>
      <c r="B69" s="2" t="s">
        <v>14</v>
      </c>
      <c r="C69" s="2">
        <v>0</v>
      </c>
      <c r="D69" s="2">
        <v>2884</v>
      </c>
      <c r="E69" s="2">
        <v>-1678212.12</v>
      </c>
      <c r="F69" s="2" t="s">
        <v>15</v>
      </c>
      <c r="G69" s="2" t="s">
        <v>15</v>
      </c>
      <c r="H69" s="2" t="s">
        <v>463</v>
      </c>
      <c r="I69" s="2" t="s">
        <v>88</v>
      </c>
      <c r="J69" s="2" t="s">
        <v>18</v>
      </c>
      <c r="K69" s="2" t="s">
        <v>19</v>
      </c>
      <c r="L69" s="2" t="s">
        <v>463</v>
      </c>
      <c r="M69" s="5">
        <v>246779410973</v>
      </c>
    </row>
    <row r="70" spans="1:13" x14ac:dyDescent="0.35">
      <c r="A70" s="2" t="s">
        <v>457</v>
      </c>
      <c r="B70" s="2" t="s">
        <v>14</v>
      </c>
      <c r="C70" s="2">
        <v>0</v>
      </c>
      <c r="D70" s="2">
        <v>357094</v>
      </c>
      <c r="E70" s="2">
        <v>-2035306.12</v>
      </c>
      <c r="F70" s="2" t="s">
        <v>15</v>
      </c>
      <c r="G70" s="2" t="s">
        <v>15</v>
      </c>
      <c r="H70" s="2" t="s">
        <v>464</v>
      </c>
      <c r="I70" s="2" t="s">
        <v>36</v>
      </c>
      <c r="J70" s="2" t="s">
        <v>18</v>
      </c>
      <c r="K70" s="2" t="s">
        <v>19</v>
      </c>
      <c r="L70" s="2" t="s">
        <v>464</v>
      </c>
      <c r="M70" s="5">
        <v>246779410896</v>
      </c>
    </row>
    <row r="71" spans="1:13" x14ac:dyDescent="0.35">
      <c r="A71" s="2" t="s">
        <v>457</v>
      </c>
      <c r="B71" s="2" t="s">
        <v>14</v>
      </c>
      <c r="C71" s="2">
        <v>0</v>
      </c>
      <c r="D71" s="2">
        <v>241385</v>
      </c>
      <c r="E71" s="2">
        <v>-2276691.12</v>
      </c>
      <c r="F71" s="2" t="s">
        <v>15</v>
      </c>
      <c r="G71" s="2" t="s">
        <v>15</v>
      </c>
      <c r="H71" s="2" t="s">
        <v>465</v>
      </c>
      <c r="I71" s="2" t="s">
        <v>36</v>
      </c>
      <c r="J71" s="2" t="s">
        <v>18</v>
      </c>
      <c r="K71" s="2" t="s">
        <v>19</v>
      </c>
      <c r="L71" s="2" t="s">
        <v>465</v>
      </c>
      <c r="M71" s="5">
        <v>246779410874</v>
      </c>
    </row>
    <row r="72" spans="1:13" x14ac:dyDescent="0.35">
      <c r="A72" s="2" t="s">
        <v>457</v>
      </c>
      <c r="B72" s="2" t="s">
        <v>14</v>
      </c>
      <c r="C72" s="2">
        <v>0</v>
      </c>
      <c r="D72" s="2">
        <v>2004</v>
      </c>
      <c r="E72" s="2">
        <v>-2278695.12</v>
      </c>
      <c r="F72" s="2" t="s">
        <v>15</v>
      </c>
      <c r="G72" s="2" t="s">
        <v>15</v>
      </c>
      <c r="H72" s="2" t="s">
        <v>466</v>
      </c>
      <c r="I72" s="2" t="s">
        <v>31</v>
      </c>
      <c r="J72" s="2" t="s">
        <v>18</v>
      </c>
      <c r="K72" s="2" t="s">
        <v>19</v>
      </c>
      <c r="L72" s="2" t="s">
        <v>466</v>
      </c>
      <c r="M72" s="5">
        <v>246779411189</v>
      </c>
    </row>
    <row r="73" spans="1:13" x14ac:dyDescent="0.35">
      <c r="A73" s="2" t="s">
        <v>457</v>
      </c>
      <c r="B73" s="2" t="s">
        <v>14</v>
      </c>
      <c r="C73" s="2">
        <v>0</v>
      </c>
      <c r="D73" s="2">
        <v>2004</v>
      </c>
      <c r="E73" s="2">
        <v>-2280699.12</v>
      </c>
      <c r="F73" s="2" t="s">
        <v>15</v>
      </c>
      <c r="G73" s="2" t="s">
        <v>15</v>
      </c>
      <c r="H73" s="2" t="s">
        <v>467</v>
      </c>
      <c r="I73" s="2" t="s">
        <v>31</v>
      </c>
      <c r="J73" s="2" t="s">
        <v>18</v>
      </c>
      <c r="K73" s="2" t="s">
        <v>19</v>
      </c>
      <c r="L73" s="2" t="s">
        <v>467</v>
      </c>
      <c r="M73" s="5">
        <v>246779411188</v>
      </c>
    </row>
    <row r="74" spans="1:13" x14ac:dyDescent="0.35">
      <c r="A74" s="2" t="s">
        <v>457</v>
      </c>
      <c r="B74" s="2" t="s">
        <v>14</v>
      </c>
      <c r="C74" s="2">
        <v>0</v>
      </c>
      <c r="D74" s="2">
        <v>2004</v>
      </c>
      <c r="E74" s="2">
        <v>-2282703.12</v>
      </c>
      <c r="F74" s="2" t="s">
        <v>15</v>
      </c>
      <c r="G74" s="2" t="s">
        <v>15</v>
      </c>
      <c r="H74" s="2" t="s">
        <v>468</v>
      </c>
      <c r="I74" s="2" t="s">
        <v>31</v>
      </c>
      <c r="J74" s="2" t="s">
        <v>18</v>
      </c>
      <c r="K74" s="2" t="s">
        <v>19</v>
      </c>
      <c r="L74" s="2" t="s">
        <v>468</v>
      </c>
      <c r="M74" s="5">
        <v>246779411187</v>
      </c>
    </row>
    <row r="75" spans="1:13" x14ac:dyDescent="0.35">
      <c r="A75" s="2" t="s">
        <v>457</v>
      </c>
      <c r="B75" s="2" t="s">
        <v>14</v>
      </c>
      <c r="C75" s="2">
        <v>0</v>
      </c>
      <c r="D75" s="2">
        <v>2004</v>
      </c>
      <c r="E75" s="2">
        <v>-2284707.12</v>
      </c>
      <c r="F75" s="2" t="s">
        <v>15</v>
      </c>
      <c r="G75" s="2" t="s">
        <v>15</v>
      </c>
      <c r="H75" s="2" t="s">
        <v>469</v>
      </c>
      <c r="I75" s="2" t="s">
        <v>31</v>
      </c>
      <c r="J75" s="2" t="s">
        <v>18</v>
      </c>
      <c r="K75" s="2" t="s">
        <v>19</v>
      </c>
      <c r="L75" s="2" t="s">
        <v>469</v>
      </c>
      <c r="M75" s="5">
        <v>246779411186</v>
      </c>
    </row>
    <row r="76" spans="1:13" x14ac:dyDescent="0.35">
      <c r="A76" s="2" t="s">
        <v>457</v>
      </c>
      <c r="B76" s="2" t="s">
        <v>14</v>
      </c>
      <c r="C76" s="2">
        <v>0</v>
      </c>
      <c r="D76" s="2">
        <v>2004</v>
      </c>
      <c r="E76" s="2">
        <v>-2286711.12</v>
      </c>
      <c r="F76" s="2" t="s">
        <v>15</v>
      </c>
      <c r="G76" s="2" t="s">
        <v>15</v>
      </c>
      <c r="H76" s="2" t="s">
        <v>470</v>
      </c>
      <c r="I76" s="2" t="s">
        <v>31</v>
      </c>
      <c r="J76" s="2" t="s">
        <v>18</v>
      </c>
      <c r="K76" s="2" t="s">
        <v>19</v>
      </c>
      <c r="L76" s="2" t="s">
        <v>470</v>
      </c>
      <c r="M76" s="5">
        <v>246779411185</v>
      </c>
    </row>
    <row r="77" spans="1:13" x14ac:dyDescent="0.35">
      <c r="A77" s="2" t="s">
        <v>471</v>
      </c>
      <c r="B77" s="2" t="s">
        <v>14</v>
      </c>
      <c r="C77" s="2">
        <v>0</v>
      </c>
      <c r="D77" s="2">
        <v>1842</v>
      </c>
      <c r="E77" s="2">
        <v>-2288553.12</v>
      </c>
      <c r="F77" s="2" t="s">
        <v>15</v>
      </c>
      <c r="G77" s="2" t="s">
        <v>15</v>
      </c>
      <c r="H77" s="2" t="s">
        <v>472</v>
      </c>
      <c r="I77" s="2" t="s">
        <v>17</v>
      </c>
      <c r="J77" s="2" t="s">
        <v>18</v>
      </c>
      <c r="K77" s="2" t="s">
        <v>19</v>
      </c>
      <c r="L77" s="2" t="s">
        <v>472</v>
      </c>
      <c r="M77" s="5">
        <v>246779411758</v>
      </c>
    </row>
    <row r="78" spans="1:13" x14ac:dyDescent="0.35">
      <c r="A78" s="2" t="s">
        <v>471</v>
      </c>
      <c r="B78" s="2" t="s">
        <v>14</v>
      </c>
      <c r="C78" s="2">
        <v>0</v>
      </c>
      <c r="D78" s="2">
        <v>576</v>
      </c>
      <c r="E78" s="2">
        <v>-2289129.12</v>
      </c>
      <c r="F78" s="2" t="s">
        <v>15</v>
      </c>
      <c r="G78" s="2" t="s">
        <v>15</v>
      </c>
      <c r="H78" s="2" t="s">
        <v>473</v>
      </c>
      <c r="I78" s="2" t="s">
        <v>17</v>
      </c>
      <c r="J78" s="2" t="s">
        <v>18</v>
      </c>
      <c r="K78" s="2" t="s">
        <v>19</v>
      </c>
      <c r="L78" s="2" t="s">
        <v>473</v>
      </c>
      <c r="M78" s="5">
        <v>246779411933</v>
      </c>
    </row>
    <row r="79" spans="1:13" x14ac:dyDescent="0.35">
      <c r="A79" s="2" t="s">
        <v>471</v>
      </c>
      <c r="B79" s="2" t="s">
        <v>14</v>
      </c>
      <c r="C79" s="2">
        <v>0</v>
      </c>
      <c r="D79" s="2">
        <v>336</v>
      </c>
      <c r="E79" s="2">
        <v>-2289465.12</v>
      </c>
      <c r="F79" s="2" t="s">
        <v>15</v>
      </c>
      <c r="G79" s="2" t="s">
        <v>15</v>
      </c>
      <c r="H79" s="2" t="s">
        <v>474</v>
      </c>
      <c r="I79" s="2" t="s">
        <v>17</v>
      </c>
      <c r="J79" s="2" t="s">
        <v>18</v>
      </c>
      <c r="K79" s="2" t="s">
        <v>19</v>
      </c>
      <c r="L79" s="2" t="s">
        <v>474</v>
      </c>
      <c r="M79" s="5">
        <v>246779411934</v>
      </c>
    </row>
    <row r="80" spans="1:13" x14ac:dyDescent="0.35">
      <c r="A80" s="2" t="s">
        <v>471</v>
      </c>
      <c r="B80" s="2" t="s">
        <v>14</v>
      </c>
      <c r="C80" s="2">
        <v>0</v>
      </c>
      <c r="D80" s="2">
        <v>576</v>
      </c>
      <c r="E80" s="2">
        <v>-2290041.12</v>
      </c>
      <c r="F80" s="2" t="s">
        <v>15</v>
      </c>
      <c r="G80" s="2" t="s">
        <v>15</v>
      </c>
      <c r="H80" s="2" t="s">
        <v>475</v>
      </c>
      <c r="I80" s="2" t="s">
        <v>17</v>
      </c>
      <c r="J80" s="2" t="s">
        <v>18</v>
      </c>
      <c r="K80" s="2" t="s">
        <v>19</v>
      </c>
      <c r="L80" s="2" t="s">
        <v>475</v>
      </c>
      <c r="M80" s="5">
        <v>246779411935</v>
      </c>
    </row>
    <row r="81" spans="1:13" x14ac:dyDescent="0.35">
      <c r="A81" s="2" t="s">
        <v>476</v>
      </c>
      <c r="B81" s="2" t="s">
        <v>14</v>
      </c>
      <c r="C81" s="2">
        <v>0</v>
      </c>
      <c r="D81" s="2">
        <v>35488</v>
      </c>
      <c r="E81" s="2">
        <v>-2325529.12</v>
      </c>
      <c r="F81" s="2" t="s">
        <v>15</v>
      </c>
      <c r="G81" s="2" t="s">
        <v>15</v>
      </c>
      <c r="H81" s="2" t="s">
        <v>477</v>
      </c>
      <c r="I81" s="2" t="s">
        <v>43</v>
      </c>
      <c r="J81" s="2" t="s">
        <v>18</v>
      </c>
      <c r="K81" s="2" t="s">
        <v>19</v>
      </c>
      <c r="L81" s="2" t="s">
        <v>477</v>
      </c>
      <c r="M81" s="5">
        <v>246779413000</v>
      </c>
    </row>
    <row r="82" spans="1:13" x14ac:dyDescent="0.35">
      <c r="A82" s="2" t="s">
        <v>478</v>
      </c>
      <c r="B82" s="2" t="s">
        <v>14</v>
      </c>
      <c r="C82" s="2">
        <v>0</v>
      </c>
      <c r="D82" s="2">
        <v>1268</v>
      </c>
      <c r="E82" s="2">
        <v>-2326797.12</v>
      </c>
      <c r="F82" s="2" t="s">
        <v>15</v>
      </c>
      <c r="G82" s="2" t="s">
        <v>15</v>
      </c>
      <c r="H82" s="2" t="s">
        <v>479</v>
      </c>
      <c r="I82" s="2" t="s">
        <v>55</v>
      </c>
      <c r="J82" s="2" t="s">
        <v>18</v>
      </c>
      <c r="K82" s="2" t="s">
        <v>19</v>
      </c>
      <c r="L82" s="2" t="s">
        <v>479</v>
      </c>
      <c r="M82" s="5">
        <v>246779414142</v>
      </c>
    </row>
    <row r="83" spans="1:13" x14ac:dyDescent="0.35">
      <c r="A83" s="2" t="s">
        <v>478</v>
      </c>
      <c r="B83" s="2" t="s">
        <v>14</v>
      </c>
      <c r="C83" s="2">
        <v>0</v>
      </c>
      <c r="D83" s="2">
        <v>1408</v>
      </c>
      <c r="E83" s="2">
        <v>-2328205.12</v>
      </c>
      <c r="F83" s="2" t="s">
        <v>15</v>
      </c>
      <c r="G83" s="2" t="s">
        <v>15</v>
      </c>
      <c r="H83" s="2" t="s">
        <v>480</v>
      </c>
      <c r="I83" s="2" t="s">
        <v>71</v>
      </c>
      <c r="J83" s="2" t="s">
        <v>18</v>
      </c>
      <c r="K83" s="2" t="s">
        <v>19</v>
      </c>
      <c r="L83" s="2" t="s">
        <v>480</v>
      </c>
      <c r="M83" s="5">
        <v>246779411051</v>
      </c>
    </row>
    <row r="84" spans="1:13" x14ac:dyDescent="0.35">
      <c r="A84" s="2" t="s">
        <v>478</v>
      </c>
      <c r="B84" s="2" t="s">
        <v>14</v>
      </c>
      <c r="C84" s="2">
        <v>0</v>
      </c>
      <c r="D84" s="2">
        <v>381</v>
      </c>
      <c r="E84" s="2">
        <v>-2328586.12</v>
      </c>
      <c r="F84" s="2" t="s">
        <v>15</v>
      </c>
      <c r="G84" s="2" t="s">
        <v>15</v>
      </c>
      <c r="H84" s="2" t="s">
        <v>481</v>
      </c>
      <c r="I84" s="2" t="s">
        <v>31</v>
      </c>
      <c r="J84" s="2" t="s">
        <v>18</v>
      </c>
      <c r="K84" s="2" t="s">
        <v>19</v>
      </c>
      <c r="L84" s="2" t="s">
        <v>481</v>
      </c>
      <c r="M84" s="5">
        <v>246779411052</v>
      </c>
    </row>
    <row r="85" spans="1:13" x14ac:dyDescent="0.35">
      <c r="A85" s="2" t="s">
        <v>478</v>
      </c>
      <c r="B85" s="2" t="s">
        <v>14</v>
      </c>
      <c r="C85" s="2">
        <v>0</v>
      </c>
      <c r="D85" s="2">
        <v>1981</v>
      </c>
      <c r="E85" s="2">
        <v>-2330567.12</v>
      </c>
      <c r="F85" s="2" t="s">
        <v>15</v>
      </c>
      <c r="G85" s="2" t="s">
        <v>15</v>
      </c>
      <c r="H85" s="2" t="s">
        <v>482</v>
      </c>
      <c r="I85" s="2" t="s">
        <v>71</v>
      </c>
      <c r="J85" s="2" t="s">
        <v>18</v>
      </c>
      <c r="K85" s="2" t="s">
        <v>19</v>
      </c>
      <c r="L85" s="2" t="s">
        <v>482</v>
      </c>
      <c r="M85" s="5">
        <v>246779411053</v>
      </c>
    </row>
    <row r="86" spans="1:13" x14ac:dyDescent="0.35">
      <c r="A86" s="2" t="s">
        <v>478</v>
      </c>
      <c r="B86" s="2" t="s">
        <v>14</v>
      </c>
      <c r="C86" s="2">
        <v>0</v>
      </c>
      <c r="D86" s="2">
        <v>1907</v>
      </c>
      <c r="E86" s="2">
        <v>-2332474.12</v>
      </c>
      <c r="F86" s="2" t="s">
        <v>15</v>
      </c>
      <c r="G86" s="2" t="s">
        <v>15</v>
      </c>
      <c r="H86" s="2" t="s">
        <v>483</v>
      </c>
      <c r="I86" s="2" t="s">
        <v>31</v>
      </c>
      <c r="J86" s="2" t="s">
        <v>18</v>
      </c>
      <c r="K86" s="2" t="s">
        <v>19</v>
      </c>
      <c r="L86" s="2" t="s">
        <v>483</v>
      </c>
      <c r="M86" s="5">
        <v>246779411050</v>
      </c>
    </row>
    <row r="87" spans="1:13" x14ac:dyDescent="0.35">
      <c r="A87" s="2" t="s">
        <v>478</v>
      </c>
      <c r="B87" s="2" t="s">
        <v>14</v>
      </c>
      <c r="C87" s="2">
        <v>0</v>
      </c>
      <c r="D87" s="2">
        <v>596</v>
      </c>
      <c r="E87" s="2">
        <v>-2333070.12</v>
      </c>
      <c r="F87" s="2" t="s">
        <v>15</v>
      </c>
      <c r="G87" s="2" t="s">
        <v>15</v>
      </c>
      <c r="H87" s="2" t="s">
        <v>484</v>
      </c>
      <c r="I87" s="2" t="s">
        <v>21</v>
      </c>
      <c r="J87" s="2" t="s">
        <v>18</v>
      </c>
      <c r="K87" s="2" t="s">
        <v>19</v>
      </c>
      <c r="L87" s="2" t="s">
        <v>484</v>
      </c>
      <c r="M87" s="5">
        <v>246779413782</v>
      </c>
    </row>
    <row r="88" spans="1:13" x14ac:dyDescent="0.35">
      <c r="A88" s="2" t="s">
        <v>478</v>
      </c>
      <c r="B88" s="2" t="s">
        <v>14</v>
      </c>
      <c r="C88" s="2">
        <v>0</v>
      </c>
      <c r="D88" s="2">
        <v>3578</v>
      </c>
      <c r="E88" s="2">
        <v>-2336648.12</v>
      </c>
      <c r="F88" s="2" t="s">
        <v>15</v>
      </c>
      <c r="G88" s="2" t="s">
        <v>15</v>
      </c>
      <c r="H88" s="2" t="s">
        <v>485</v>
      </c>
      <c r="I88" s="2" t="s">
        <v>21</v>
      </c>
      <c r="J88" s="2" t="s">
        <v>18</v>
      </c>
      <c r="K88" s="2" t="s">
        <v>19</v>
      </c>
      <c r="L88" s="2" t="s">
        <v>485</v>
      </c>
      <c r="M88" s="5">
        <v>246779413627</v>
      </c>
    </row>
    <row r="89" spans="1:13" x14ac:dyDescent="0.35">
      <c r="A89" s="2" t="s">
        <v>478</v>
      </c>
      <c r="B89" s="2" t="s">
        <v>14</v>
      </c>
      <c r="C89" s="2">
        <v>0</v>
      </c>
      <c r="D89" s="2">
        <v>198</v>
      </c>
      <c r="E89" s="2">
        <v>-2336846.12</v>
      </c>
      <c r="F89" s="2" t="s">
        <v>15</v>
      </c>
      <c r="G89" s="2" t="s">
        <v>15</v>
      </c>
      <c r="H89" s="2" t="s">
        <v>486</v>
      </c>
      <c r="I89" s="2" t="s">
        <v>21</v>
      </c>
      <c r="J89" s="2" t="s">
        <v>18</v>
      </c>
      <c r="K89" s="2" t="s">
        <v>19</v>
      </c>
      <c r="L89" s="2" t="s">
        <v>486</v>
      </c>
      <c r="M89" s="5">
        <v>246779413628</v>
      </c>
    </row>
    <row r="90" spans="1:13" x14ac:dyDescent="0.35">
      <c r="A90" s="2" t="s">
        <v>478</v>
      </c>
      <c r="B90" s="2" t="s">
        <v>14</v>
      </c>
      <c r="C90" s="2">
        <v>0</v>
      </c>
      <c r="D90" s="2">
        <v>397</v>
      </c>
      <c r="E90" s="2">
        <v>-2337243.12</v>
      </c>
      <c r="F90" s="2" t="s">
        <v>15</v>
      </c>
      <c r="G90" s="2" t="s">
        <v>15</v>
      </c>
      <c r="H90" s="2" t="s">
        <v>487</v>
      </c>
      <c r="I90" s="2" t="s">
        <v>21</v>
      </c>
      <c r="J90" s="2" t="s">
        <v>18</v>
      </c>
      <c r="K90" s="2" t="s">
        <v>19</v>
      </c>
      <c r="L90" s="2" t="s">
        <v>487</v>
      </c>
      <c r="M90" s="5">
        <v>246779413629</v>
      </c>
    </row>
    <row r="91" spans="1:13" x14ac:dyDescent="0.35">
      <c r="A91" s="2" t="s">
        <v>478</v>
      </c>
      <c r="B91" s="2" t="s">
        <v>14</v>
      </c>
      <c r="C91" s="2">
        <v>0</v>
      </c>
      <c r="D91" s="2">
        <v>198</v>
      </c>
      <c r="E91" s="2">
        <v>-2337441.12</v>
      </c>
      <c r="F91" s="2" t="s">
        <v>15</v>
      </c>
      <c r="G91" s="2" t="s">
        <v>15</v>
      </c>
      <c r="H91" s="2" t="s">
        <v>488</v>
      </c>
      <c r="I91" s="2" t="s">
        <v>21</v>
      </c>
      <c r="J91" s="2" t="s">
        <v>18</v>
      </c>
      <c r="K91" s="2" t="s">
        <v>19</v>
      </c>
      <c r="L91" s="2" t="s">
        <v>488</v>
      </c>
      <c r="M91" s="5">
        <v>246779413690</v>
      </c>
    </row>
    <row r="92" spans="1:13" x14ac:dyDescent="0.35">
      <c r="A92" s="2" t="s">
        <v>478</v>
      </c>
      <c r="B92" s="2" t="s">
        <v>14</v>
      </c>
      <c r="C92" s="2">
        <v>0</v>
      </c>
      <c r="D92" s="2">
        <v>7156</v>
      </c>
      <c r="E92" s="2">
        <v>-2344597.12</v>
      </c>
      <c r="F92" s="2" t="s">
        <v>15</v>
      </c>
      <c r="G92" s="2" t="s">
        <v>15</v>
      </c>
      <c r="H92" s="2" t="s">
        <v>489</v>
      </c>
      <c r="I92" s="2" t="s">
        <v>21</v>
      </c>
      <c r="J92" s="2" t="s">
        <v>18</v>
      </c>
      <c r="K92" s="2" t="s">
        <v>19</v>
      </c>
      <c r="L92" s="2" t="s">
        <v>489</v>
      </c>
      <c r="M92" s="5">
        <v>246779413626</v>
      </c>
    </row>
    <row r="93" spans="1:13" x14ac:dyDescent="0.35">
      <c r="A93" s="2" t="s">
        <v>478</v>
      </c>
      <c r="B93" s="2" t="s">
        <v>14</v>
      </c>
      <c r="C93" s="2">
        <v>0</v>
      </c>
      <c r="D93" s="2">
        <v>198</v>
      </c>
      <c r="E93" s="2">
        <v>-2344795.12</v>
      </c>
      <c r="F93" s="2" t="s">
        <v>15</v>
      </c>
      <c r="G93" s="2" t="s">
        <v>15</v>
      </c>
      <c r="H93" s="2" t="s">
        <v>490</v>
      </c>
      <c r="I93" s="2" t="s">
        <v>21</v>
      </c>
      <c r="J93" s="2" t="s">
        <v>18</v>
      </c>
      <c r="K93" s="2" t="s">
        <v>19</v>
      </c>
      <c r="L93" s="2" t="s">
        <v>490</v>
      </c>
      <c r="M93" s="5">
        <v>246779413625</v>
      </c>
    </row>
    <row r="94" spans="1:13" x14ac:dyDescent="0.35">
      <c r="A94" s="2" t="s">
        <v>478</v>
      </c>
      <c r="B94" s="2" t="s">
        <v>14</v>
      </c>
      <c r="C94" s="2">
        <v>0</v>
      </c>
      <c r="D94" s="2">
        <v>1590</v>
      </c>
      <c r="E94" s="2">
        <v>-2346385.12</v>
      </c>
      <c r="F94" s="2" t="s">
        <v>15</v>
      </c>
      <c r="G94" s="2" t="s">
        <v>15</v>
      </c>
      <c r="H94" s="2" t="s">
        <v>491</v>
      </c>
      <c r="I94" s="2" t="s">
        <v>21</v>
      </c>
      <c r="J94" s="2" t="s">
        <v>18</v>
      </c>
      <c r="K94" s="2" t="s">
        <v>19</v>
      </c>
      <c r="L94" s="2" t="s">
        <v>491</v>
      </c>
      <c r="M94" s="5">
        <v>246779413622</v>
      </c>
    </row>
    <row r="95" spans="1:13" x14ac:dyDescent="0.35">
      <c r="A95" s="2" t="s">
        <v>478</v>
      </c>
      <c r="B95" s="2" t="s">
        <v>14</v>
      </c>
      <c r="C95" s="2">
        <v>0</v>
      </c>
      <c r="D95" s="2">
        <v>198</v>
      </c>
      <c r="E95" s="2">
        <v>-2346583.12</v>
      </c>
      <c r="F95" s="2" t="s">
        <v>15</v>
      </c>
      <c r="G95" s="2" t="s">
        <v>15</v>
      </c>
      <c r="H95" s="2" t="s">
        <v>492</v>
      </c>
      <c r="I95" s="2" t="s">
        <v>21</v>
      </c>
      <c r="J95" s="2" t="s">
        <v>18</v>
      </c>
      <c r="K95" s="2" t="s">
        <v>19</v>
      </c>
      <c r="L95" s="2" t="s">
        <v>492</v>
      </c>
      <c r="M95" s="5">
        <v>246779413623</v>
      </c>
    </row>
    <row r="96" spans="1:13" x14ac:dyDescent="0.35">
      <c r="A96" s="2" t="s">
        <v>478</v>
      </c>
      <c r="B96" s="2" t="s">
        <v>14</v>
      </c>
      <c r="C96" s="2">
        <v>0</v>
      </c>
      <c r="D96" s="2">
        <v>596</v>
      </c>
      <c r="E96" s="2">
        <v>-2347179.12</v>
      </c>
      <c r="F96" s="2" t="s">
        <v>15</v>
      </c>
      <c r="G96" s="2" t="s">
        <v>15</v>
      </c>
      <c r="H96" s="2" t="s">
        <v>493</v>
      </c>
      <c r="I96" s="2" t="s">
        <v>21</v>
      </c>
      <c r="J96" s="2" t="s">
        <v>18</v>
      </c>
      <c r="K96" s="2" t="s">
        <v>19</v>
      </c>
      <c r="L96" s="2" t="s">
        <v>493</v>
      </c>
      <c r="M96" s="5">
        <v>246779413624</v>
      </c>
    </row>
    <row r="97" spans="1:13" x14ac:dyDescent="0.35">
      <c r="A97" s="2" t="s">
        <v>494</v>
      </c>
      <c r="B97" s="2" t="s">
        <v>14</v>
      </c>
      <c r="C97" s="2">
        <v>0</v>
      </c>
      <c r="D97" s="2">
        <v>4387</v>
      </c>
      <c r="E97" s="2">
        <v>-2351566.12</v>
      </c>
      <c r="F97" s="2" t="s">
        <v>15</v>
      </c>
      <c r="G97" s="2" t="s">
        <v>15</v>
      </c>
      <c r="H97" s="2" t="s">
        <v>495</v>
      </c>
      <c r="I97" s="2" t="s">
        <v>31</v>
      </c>
      <c r="J97" s="2" t="s">
        <v>18</v>
      </c>
      <c r="K97" s="2" t="s">
        <v>19</v>
      </c>
      <c r="L97" s="2" t="s">
        <v>495</v>
      </c>
      <c r="M97" s="5">
        <v>246779411054</v>
      </c>
    </row>
    <row r="98" spans="1:13" x14ac:dyDescent="0.35">
      <c r="A98" s="2" t="s">
        <v>494</v>
      </c>
      <c r="B98" s="2" t="s">
        <v>14</v>
      </c>
      <c r="C98" s="2">
        <v>0</v>
      </c>
      <c r="D98" s="2">
        <v>1408</v>
      </c>
      <c r="E98" s="2">
        <v>-2352974.12</v>
      </c>
      <c r="F98" s="2" t="s">
        <v>15</v>
      </c>
      <c r="G98" s="2" t="s">
        <v>15</v>
      </c>
      <c r="H98" s="2" t="s">
        <v>496</v>
      </c>
      <c r="I98" s="2" t="s">
        <v>88</v>
      </c>
      <c r="J98" s="2" t="s">
        <v>18</v>
      </c>
      <c r="K98" s="2" t="s">
        <v>19</v>
      </c>
      <c r="L98" s="2" t="s">
        <v>496</v>
      </c>
      <c r="M98" s="5">
        <v>246779411055</v>
      </c>
    </row>
    <row r="99" spans="1:13" x14ac:dyDescent="0.35">
      <c r="A99" s="2" t="s">
        <v>494</v>
      </c>
      <c r="B99" s="2" t="s">
        <v>14</v>
      </c>
      <c r="C99" s="2">
        <v>0</v>
      </c>
      <c r="D99" s="2">
        <v>3434</v>
      </c>
      <c r="E99" s="2">
        <v>-2356408.12</v>
      </c>
      <c r="F99" s="2" t="s">
        <v>15</v>
      </c>
      <c r="G99" s="2" t="s">
        <v>15</v>
      </c>
      <c r="H99" s="2" t="s">
        <v>497</v>
      </c>
      <c r="I99" s="2" t="s">
        <v>31</v>
      </c>
      <c r="J99" s="2" t="s">
        <v>18</v>
      </c>
      <c r="K99" s="2" t="s">
        <v>19</v>
      </c>
      <c r="L99" s="2" t="s">
        <v>497</v>
      </c>
      <c r="M99" s="5">
        <v>246779411248</v>
      </c>
    </row>
    <row r="100" spans="1:13" x14ac:dyDescent="0.35">
      <c r="A100" s="2" t="s">
        <v>494</v>
      </c>
      <c r="B100" s="2" t="s">
        <v>14</v>
      </c>
      <c r="C100" s="2">
        <v>0</v>
      </c>
      <c r="D100" s="2">
        <v>13737</v>
      </c>
      <c r="E100" s="2">
        <v>-2370145.12</v>
      </c>
      <c r="F100" s="2" t="s">
        <v>15</v>
      </c>
      <c r="G100" s="2" t="s">
        <v>15</v>
      </c>
      <c r="H100" s="2" t="s">
        <v>498</v>
      </c>
      <c r="I100" s="2" t="s">
        <v>31</v>
      </c>
      <c r="J100" s="2" t="s">
        <v>18</v>
      </c>
      <c r="K100" s="2" t="s">
        <v>19</v>
      </c>
      <c r="L100" s="2" t="s">
        <v>498</v>
      </c>
      <c r="M100" s="5">
        <v>246779411249</v>
      </c>
    </row>
    <row r="101" spans="1:13" x14ac:dyDescent="0.35">
      <c r="A101" s="2" t="s">
        <v>494</v>
      </c>
      <c r="B101" s="2" t="s">
        <v>14</v>
      </c>
      <c r="C101" s="2">
        <v>0</v>
      </c>
      <c r="D101" s="2">
        <v>1599</v>
      </c>
      <c r="E101" s="2">
        <v>-2371744.12</v>
      </c>
      <c r="F101" s="2" t="s">
        <v>15</v>
      </c>
      <c r="G101" s="2" t="s">
        <v>15</v>
      </c>
      <c r="H101" s="2" t="s">
        <v>499</v>
      </c>
      <c r="I101" s="2" t="s">
        <v>88</v>
      </c>
      <c r="J101" s="2" t="s">
        <v>18</v>
      </c>
      <c r="K101" s="2" t="s">
        <v>19</v>
      </c>
      <c r="L101" s="2" t="s">
        <v>499</v>
      </c>
      <c r="M101" s="5">
        <v>246779411250</v>
      </c>
    </row>
    <row r="102" spans="1:13" x14ac:dyDescent="0.35">
      <c r="A102" s="2" t="s">
        <v>494</v>
      </c>
      <c r="B102" s="2" t="s">
        <v>14</v>
      </c>
      <c r="C102" s="2">
        <v>0</v>
      </c>
      <c r="D102" s="2">
        <v>1599</v>
      </c>
      <c r="E102" s="2">
        <v>-2373343.12</v>
      </c>
      <c r="F102" s="2" t="s">
        <v>15</v>
      </c>
      <c r="G102" s="2" t="s">
        <v>15</v>
      </c>
      <c r="H102" s="2" t="s">
        <v>500</v>
      </c>
      <c r="I102" s="2" t="s">
        <v>88</v>
      </c>
      <c r="J102" s="2" t="s">
        <v>18</v>
      </c>
      <c r="K102" s="2" t="s">
        <v>19</v>
      </c>
      <c r="L102" s="2" t="s">
        <v>500</v>
      </c>
      <c r="M102" s="5">
        <v>246779411251</v>
      </c>
    </row>
    <row r="103" spans="1:13" x14ac:dyDescent="0.35">
      <c r="A103" s="2" t="s">
        <v>494</v>
      </c>
      <c r="B103" s="2" t="s">
        <v>14</v>
      </c>
      <c r="C103" s="2">
        <v>0</v>
      </c>
      <c r="D103" s="2">
        <v>1907</v>
      </c>
      <c r="E103" s="2">
        <v>-2375250.12</v>
      </c>
      <c r="F103" s="2" t="s">
        <v>15</v>
      </c>
      <c r="G103" s="2" t="s">
        <v>15</v>
      </c>
      <c r="H103" s="2" t="s">
        <v>501</v>
      </c>
      <c r="I103" s="2" t="s">
        <v>31</v>
      </c>
      <c r="J103" s="2" t="s">
        <v>18</v>
      </c>
      <c r="K103" s="2" t="s">
        <v>19</v>
      </c>
      <c r="L103" s="2" t="s">
        <v>501</v>
      </c>
      <c r="M103" s="5">
        <v>246779411252</v>
      </c>
    </row>
    <row r="104" spans="1:13" x14ac:dyDescent="0.35">
      <c r="A104" s="2" t="s">
        <v>494</v>
      </c>
      <c r="B104" s="2" t="s">
        <v>14</v>
      </c>
      <c r="C104" s="2">
        <v>0</v>
      </c>
      <c r="D104" s="2">
        <v>1907</v>
      </c>
      <c r="E104" s="2">
        <v>-2377157.12</v>
      </c>
      <c r="F104" s="2" t="s">
        <v>15</v>
      </c>
      <c r="G104" s="2" t="s">
        <v>15</v>
      </c>
      <c r="H104" s="2" t="s">
        <v>502</v>
      </c>
      <c r="I104" s="2" t="s">
        <v>31</v>
      </c>
      <c r="J104" s="2" t="s">
        <v>18</v>
      </c>
      <c r="K104" s="2" t="s">
        <v>19</v>
      </c>
      <c r="L104" s="2" t="s">
        <v>502</v>
      </c>
      <c r="M104" s="5">
        <v>246779414317</v>
      </c>
    </row>
    <row r="105" spans="1:13" x14ac:dyDescent="0.35">
      <c r="A105" s="2" t="s">
        <v>494</v>
      </c>
      <c r="B105" s="2" t="s">
        <v>14</v>
      </c>
      <c r="C105" s="2">
        <v>0</v>
      </c>
      <c r="D105" s="2">
        <v>4652</v>
      </c>
      <c r="E105" s="2">
        <v>-2381809.12</v>
      </c>
      <c r="F105" s="2" t="s">
        <v>15</v>
      </c>
      <c r="G105" s="2" t="s">
        <v>15</v>
      </c>
      <c r="H105" s="2" t="s">
        <v>503</v>
      </c>
      <c r="I105" s="2" t="s">
        <v>31</v>
      </c>
      <c r="J105" s="2" t="s">
        <v>18</v>
      </c>
      <c r="K105" s="2" t="s">
        <v>19</v>
      </c>
      <c r="L105" s="2" t="s">
        <v>503</v>
      </c>
      <c r="M105" s="5">
        <v>246779414141</v>
      </c>
    </row>
    <row r="106" spans="1:13" x14ac:dyDescent="0.35">
      <c r="A106" s="2" t="s">
        <v>494</v>
      </c>
      <c r="B106" s="2" t="s">
        <v>14</v>
      </c>
      <c r="C106" s="2">
        <v>0</v>
      </c>
      <c r="D106" s="2">
        <v>2674</v>
      </c>
      <c r="E106" s="2">
        <v>-2384483.12</v>
      </c>
      <c r="F106" s="2" t="s">
        <v>15</v>
      </c>
      <c r="G106" s="2" t="s">
        <v>15</v>
      </c>
      <c r="H106" s="2" t="s">
        <v>504</v>
      </c>
      <c r="I106" s="2" t="s">
        <v>31</v>
      </c>
      <c r="J106" s="2" t="s">
        <v>18</v>
      </c>
      <c r="K106" s="2" t="s">
        <v>19</v>
      </c>
      <c r="L106" s="2" t="s">
        <v>504</v>
      </c>
      <c r="M106" s="5">
        <v>246779414467</v>
      </c>
    </row>
    <row r="107" spans="1:13" x14ac:dyDescent="0.35">
      <c r="A107" s="2" t="s">
        <v>494</v>
      </c>
      <c r="B107" s="2" t="s">
        <v>14</v>
      </c>
      <c r="C107" s="2">
        <v>0</v>
      </c>
      <c r="D107" s="2">
        <v>34760</v>
      </c>
      <c r="E107" s="2">
        <v>-2419243.12</v>
      </c>
      <c r="F107" s="2" t="s">
        <v>15</v>
      </c>
      <c r="G107" s="2" t="s">
        <v>15</v>
      </c>
      <c r="H107" s="2" t="s">
        <v>505</v>
      </c>
      <c r="I107" s="2" t="s">
        <v>21</v>
      </c>
      <c r="J107" s="2" t="s">
        <v>18</v>
      </c>
      <c r="K107" s="2" t="s">
        <v>19</v>
      </c>
      <c r="L107" s="2" t="s">
        <v>505</v>
      </c>
      <c r="M107" s="5">
        <v>246779414603</v>
      </c>
    </row>
    <row r="108" spans="1:13" x14ac:dyDescent="0.35">
      <c r="A108" s="2" t="s">
        <v>494</v>
      </c>
      <c r="B108" s="2" t="s">
        <v>14</v>
      </c>
      <c r="C108" s="2">
        <v>0</v>
      </c>
      <c r="D108" s="2">
        <v>480</v>
      </c>
      <c r="E108" s="2">
        <v>-2419723.12</v>
      </c>
      <c r="F108" s="2" t="s">
        <v>15</v>
      </c>
      <c r="G108" s="2" t="s">
        <v>15</v>
      </c>
      <c r="H108" s="2" t="s">
        <v>506</v>
      </c>
      <c r="I108" s="2" t="s">
        <v>17</v>
      </c>
      <c r="J108" s="2" t="s">
        <v>18</v>
      </c>
      <c r="K108" s="2" t="s">
        <v>19</v>
      </c>
      <c r="L108" s="2" t="s">
        <v>506</v>
      </c>
      <c r="M108" s="5">
        <v>246779411936</v>
      </c>
    </row>
    <row r="109" spans="1:13" x14ac:dyDescent="0.35">
      <c r="A109" s="2" t="s">
        <v>494</v>
      </c>
      <c r="B109" s="2" t="s">
        <v>14</v>
      </c>
      <c r="C109" s="2">
        <v>0</v>
      </c>
      <c r="D109" s="2">
        <v>20874</v>
      </c>
      <c r="E109" s="2">
        <v>-2440597.12</v>
      </c>
      <c r="F109" s="2" t="s">
        <v>15</v>
      </c>
      <c r="G109" s="2" t="s">
        <v>15</v>
      </c>
      <c r="H109" s="2" t="s">
        <v>159</v>
      </c>
      <c r="I109" s="2" t="s">
        <v>107</v>
      </c>
      <c r="J109" s="2" t="s">
        <v>18</v>
      </c>
      <c r="K109" s="2" t="s">
        <v>19</v>
      </c>
      <c r="L109" s="2" t="s">
        <v>159</v>
      </c>
      <c r="M109" s="5">
        <v>246779411326</v>
      </c>
    </row>
    <row r="110" spans="1:13" x14ac:dyDescent="0.35">
      <c r="A110" s="2" t="s">
        <v>494</v>
      </c>
      <c r="B110" s="2" t="s">
        <v>14</v>
      </c>
      <c r="C110" s="2">
        <v>0</v>
      </c>
      <c r="D110" s="2">
        <v>18610</v>
      </c>
      <c r="E110" s="2">
        <v>-2459207.12</v>
      </c>
      <c r="F110" s="2" t="s">
        <v>15</v>
      </c>
      <c r="G110" s="2" t="s">
        <v>15</v>
      </c>
      <c r="H110" s="2" t="s">
        <v>152</v>
      </c>
      <c r="I110" s="2" t="s">
        <v>107</v>
      </c>
      <c r="J110" s="2" t="s">
        <v>18</v>
      </c>
      <c r="K110" s="2" t="s">
        <v>19</v>
      </c>
      <c r="L110" s="2" t="s">
        <v>152</v>
      </c>
      <c r="M110" s="5">
        <v>246779413816</v>
      </c>
    </row>
    <row r="111" spans="1:13" x14ac:dyDescent="0.35">
      <c r="A111" s="2" t="s">
        <v>494</v>
      </c>
      <c r="B111" s="2" t="s">
        <v>14</v>
      </c>
      <c r="C111" s="2">
        <v>0</v>
      </c>
      <c r="D111" s="2">
        <v>31723</v>
      </c>
      <c r="E111" s="2">
        <v>-2490930.12</v>
      </c>
      <c r="F111" s="2" t="s">
        <v>15</v>
      </c>
      <c r="G111" s="2" t="s">
        <v>15</v>
      </c>
      <c r="H111" s="2" t="s">
        <v>154</v>
      </c>
      <c r="I111" s="2" t="s">
        <v>107</v>
      </c>
      <c r="J111" s="2" t="s">
        <v>18</v>
      </c>
      <c r="K111" s="2" t="s">
        <v>19</v>
      </c>
      <c r="L111" s="2" t="s">
        <v>154</v>
      </c>
      <c r="M111" s="5">
        <v>246779413827</v>
      </c>
    </row>
    <row r="112" spans="1:13" x14ac:dyDescent="0.35">
      <c r="A112" s="2" t="s">
        <v>494</v>
      </c>
      <c r="B112" s="2" t="s">
        <v>14</v>
      </c>
      <c r="C112" s="2">
        <v>0</v>
      </c>
      <c r="D112" s="2">
        <v>31723</v>
      </c>
      <c r="E112" s="2">
        <v>-2522653.12</v>
      </c>
      <c r="F112" s="2" t="s">
        <v>15</v>
      </c>
      <c r="G112" s="2" t="s">
        <v>15</v>
      </c>
      <c r="H112" s="2" t="s">
        <v>507</v>
      </c>
      <c r="I112" s="2" t="s">
        <v>107</v>
      </c>
      <c r="J112" s="2" t="s">
        <v>18</v>
      </c>
      <c r="K112" s="2" t="s">
        <v>19</v>
      </c>
      <c r="L112" s="2" t="s">
        <v>507</v>
      </c>
      <c r="M112" s="5">
        <v>246779413753</v>
      </c>
    </row>
    <row r="113" spans="1:13" x14ac:dyDescent="0.35">
      <c r="A113" s="2" t="s">
        <v>494</v>
      </c>
      <c r="B113" s="2" t="s">
        <v>14</v>
      </c>
      <c r="C113" s="2">
        <v>0</v>
      </c>
      <c r="D113" s="2">
        <v>191</v>
      </c>
      <c r="E113" s="2">
        <v>-2522844.12</v>
      </c>
      <c r="F113" s="2" t="s">
        <v>15</v>
      </c>
      <c r="G113" s="2" t="s">
        <v>15</v>
      </c>
      <c r="H113" s="2" t="s">
        <v>508</v>
      </c>
      <c r="I113" s="2" t="s">
        <v>21</v>
      </c>
      <c r="J113" s="2" t="s">
        <v>18</v>
      </c>
      <c r="K113" s="2" t="s">
        <v>19</v>
      </c>
      <c r="L113" s="2" t="s">
        <v>508</v>
      </c>
      <c r="M113" s="5">
        <v>246779413762</v>
      </c>
    </row>
    <row r="114" spans="1:13" x14ac:dyDescent="0.35">
      <c r="A114" s="2" t="s">
        <v>494</v>
      </c>
      <c r="B114" s="2" t="s">
        <v>14</v>
      </c>
      <c r="C114" s="2">
        <v>0</v>
      </c>
      <c r="D114" s="2">
        <v>3064</v>
      </c>
      <c r="E114" s="2">
        <v>-2525908.12</v>
      </c>
      <c r="F114" s="2" t="s">
        <v>15</v>
      </c>
      <c r="G114" s="2" t="s">
        <v>15</v>
      </c>
      <c r="H114" s="2" t="s">
        <v>509</v>
      </c>
      <c r="I114" s="2" t="s">
        <v>21</v>
      </c>
      <c r="J114" s="2" t="s">
        <v>18</v>
      </c>
      <c r="K114" s="2" t="s">
        <v>19</v>
      </c>
      <c r="L114" s="2" t="s">
        <v>509</v>
      </c>
      <c r="M114" s="5">
        <v>246779413745</v>
      </c>
    </row>
    <row r="115" spans="1:13" x14ac:dyDescent="0.35">
      <c r="A115" s="2" t="s">
        <v>494</v>
      </c>
      <c r="B115" s="2" t="s">
        <v>14</v>
      </c>
      <c r="C115" s="2">
        <v>0</v>
      </c>
      <c r="D115" s="2">
        <v>3448</v>
      </c>
      <c r="E115" s="2">
        <v>-2529356.12</v>
      </c>
      <c r="F115" s="2" t="s">
        <v>15</v>
      </c>
      <c r="G115" s="2" t="s">
        <v>15</v>
      </c>
      <c r="H115" s="2" t="s">
        <v>510</v>
      </c>
      <c r="I115" s="2" t="s">
        <v>21</v>
      </c>
      <c r="J115" s="2" t="s">
        <v>18</v>
      </c>
      <c r="K115" s="2" t="s">
        <v>19</v>
      </c>
      <c r="L115" s="2" t="s">
        <v>510</v>
      </c>
      <c r="M115" s="5">
        <v>246779413734</v>
      </c>
    </row>
    <row r="116" spans="1:13" x14ac:dyDescent="0.35">
      <c r="A116" s="2" t="s">
        <v>494</v>
      </c>
      <c r="B116" s="2" t="s">
        <v>14</v>
      </c>
      <c r="C116" s="2">
        <v>0</v>
      </c>
      <c r="D116" s="2">
        <v>6513</v>
      </c>
      <c r="E116" s="2">
        <v>-2535869.12</v>
      </c>
      <c r="F116" s="2" t="s">
        <v>15</v>
      </c>
      <c r="G116" s="2" t="s">
        <v>15</v>
      </c>
      <c r="H116" s="2" t="s">
        <v>511</v>
      </c>
      <c r="I116" s="2" t="s">
        <v>21</v>
      </c>
      <c r="J116" s="2" t="s">
        <v>18</v>
      </c>
      <c r="K116" s="2" t="s">
        <v>19</v>
      </c>
      <c r="L116" s="2" t="s">
        <v>511</v>
      </c>
      <c r="M116" s="5">
        <v>246779413736</v>
      </c>
    </row>
    <row r="117" spans="1:13" x14ac:dyDescent="0.35">
      <c r="A117" s="2" t="s">
        <v>494</v>
      </c>
      <c r="B117" s="2" t="s">
        <v>14</v>
      </c>
      <c r="C117" s="2">
        <v>0</v>
      </c>
      <c r="D117" s="2">
        <v>1724</v>
      </c>
      <c r="E117" s="2">
        <v>-2537593.12</v>
      </c>
      <c r="F117" s="2" t="s">
        <v>15</v>
      </c>
      <c r="G117" s="2" t="s">
        <v>15</v>
      </c>
      <c r="H117" s="2" t="s">
        <v>512</v>
      </c>
      <c r="I117" s="2" t="s">
        <v>21</v>
      </c>
      <c r="J117" s="2" t="s">
        <v>18</v>
      </c>
      <c r="K117" s="2" t="s">
        <v>19</v>
      </c>
      <c r="L117" s="2" t="s">
        <v>512</v>
      </c>
      <c r="M117" s="5">
        <v>246779413739</v>
      </c>
    </row>
    <row r="118" spans="1:13" x14ac:dyDescent="0.35">
      <c r="A118" s="2" t="s">
        <v>494</v>
      </c>
      <c r="B118" s="2" t="s">
        <v>14</v>
      </c>
      <c r="C118" s="2">
        <v>0</v>
      </c>
      <c r="D118" s="2">
        <v>1149</v>
      </c>
      <c r="E118" s="2">
        <v>-2538742.12</v>
      </c>
      <c r="F118" s="2" t="s">
        <v>15</v>
      </c>
      <c r="G118" s="2" t="s">
        <v>15</v>
      </c>
      <c r="H118" s="2" t="s">
        <v>513</v>
      </c>
      <c r="I118" s="2" t="s">
        <v>21</v>
      </c>
      <c r="J118" s="2" t="s">
        <v>18</v>
      </c>
      <c r="K118" s="2" t="s">
        <v>19</v>
      </c>
      <c r="L118" s="2" t="s">
        <v>513</v>
      </c>
      <c r="M118" s="5">
        <v>246779413742</v>
      </c>
    </row>
    <row r="119" spans="1:13" x14ac:dyDescent="0.35">
      <c r="A119" s="2" t="s">
        <v>494</v>
      </c>
      <c r="B119" s="2" t="s">
        <v>14</v>
      </c>
      <c r="C119" s="2">
        <v>0</v>
      </c>
      <c r="D119" s="2">
        <v>191</v>
      </c>
      <c r="E119" s="2">
        <v>-2538933.12</v>
      </c>
      <c r="F119" s="2" t="s">
        <v>15</v>
      </c>
      <c r="G119" s="2" t="s">
        <v>15</v>
      </c>
      <c r="H119" s="2" t="s">
        <v>514</v>
      </c>
      <c r="I119" s="2" t="s">
        <v>21</v>
      </c>
      <c r="J119" s="2" t="s">
        <v>18</v>
      </c>
      <c r="K119" s="2" t="s">
        <v>19</v>
      </c>
      <c r="L119" s="2" t="s">
        <v>514</v>
      </c>
      <c r="M119" s="5">
        <v>246779413692</v>
      </c>
    </row>
    <row r="120" spans="1:13" x14ac:dyDescent="0.35">
      <c r="A120" s="2" t="s">
        <v>494</v>
      </c>
      <c r="B120" s="2" t="s">
        <v>14</v>
      </c>
      <c r="C120" s="2">
        <v>0</v>
      </c>
      <c r="D120" s="2">
        <v>6896</v>
      </c>
      <c r="E120" s="2">
        <v>-2545829.12</v>
      </c>
      <c r="F120" s="2" t="s">
        <v>15</v>
      </c>
      <c r="G120" s="2" t="s">
        <v>15</v>
      </c>
      <c r="H120" s="2" t="s">
        <v>515</v>
      </c>
      <c r="I120" s="2" t="s">
        <v>21</v>
      </c>
      <c r="J120" s="2" t="s">
        <v>18</v>
      </c>
      <c r="K120" s="2" t="s">
        <v>19</v>
      </c>
      <c r="L120" s="2" t="s">
        <v>515</v>
      </c>
      <c r="M120" s="5">
        <v>246779413693</v>
      </c>
    </row>
    <row r="121" spans="1:13" x14ac:dyDescent="0.35">
      <c r="A121" s="2" t="s">
        <v>494</v>
      </c>
      <c r="B121" s="2" t="s">
        <v>14</v>
      </c>
      <c r="C121" s="2">
        <v>0</v>
      </c>
      <c r="D121" s="2">
        <v>3448</v>
      </c>
      <c r="E121" s="2">
        <v>-2549277.12</v>
      </c>
      <c r="F121" s="2" t="s">
        <v>15</v>
      </c>
      <c r="G121" s="2" t="s">
        <v>15</v>
      </c>
      <c r="H121" s="2" t="s">
        <v>516</v>
      </c>
      <c r="I121" s="2" t="s">
        <v>21</v>
      </c>
      <c r="J121" s="2" t="s">
        <v>18</v>
      </c>
      <c r="K121" s="2" t="s">
        <v>19</v>
      </c>
      <c r="L121" s="2" t="s">
        <v>516</v>
      </c>
      <c r="M121" s="5">
        <v>246779413694</v>
      </c>
    </row>
    <row r="122" spans="1:13" x14ac:dyDescent="0.35">
      <c r="A122" s="2" t="s">
        <v>494</v>
      </c>
      <c r="B122" s="2" t="s">
        <v>14</v>
      </c>
      <c r="C122" s="2">
        <v>0</v>
      </c>
      <c r="D122" s="2">
        <v>191</v>
      </c>
      <c r="E122" s="2">
        <v>-2549468.12</v>
      </c>
      <c r="F122" s="2" t="s">
        <v>15</v>
      </c>
      <c r="G122" s="2" t="s">
        <v>15</v>
      </c>
      <c r="H122" s="2" t="s">
        <v>517</v>
      </c>
      <c r="I122" s="2" t="s">
        <v>21</v>
      </c>
      <c r="J122" s="2" t="s">
        <v>18</v>
      </c>
      <c r="K122" s="2" t="s">
        <v>19</v>
      </c>
      <c r="L122" s="2" t="s">
        <v>517</v>
      </c>
      <c r="M122" s="5">
        <v>246779413695</v>
      </c>
    </row>
    <row r="123" spans="1:13" x14ac:dyDescent="0.35">
      <c r="A123" s="2" t="s">
        <v>494</v>
      </c>
      <c r="B123" s="2" t="s">
        <v>14</v>
      </c>
      <c r="C123" s="2">
        <v>0</v>
      </c>
      <c r="D123" s="2">
        <v>382</v>
      </c>
      <c r="E123" s="2">
        <v>-2549850.12</v>
      </c>
      <c r="F123" s="2" t="s">
        <v>15</v>
      </c>
      <c r="G123" s="2" t="s">
        <v>15</v>
      </c>
      <c r="H123" s="2" t="s">
        <v>518</v>
      </c>
      <c r="I123" s="2" t="s">
        <v>21</v>
      </c>
      <c r="J123" s="2" t="s">
        <v>18</v>
      </c>
      <c r="K123" s="2" t="s">
        <v>19</v>
      </c>
      <c r="L123" s="2" t="s">
        <v>518</v>
      </c>
      <c r="M123" s="5">
        <v>246779413696</v>
      </c>
    </row>
    <row r="124" spans="1:13" x14ac:dyDescent="0.35">
      <c r="A124" s="2" t="s">
        <v>494</v>
      </c>
      <c r="B124" s="2" t="s">
        <v>14</v>
      </c>
      <c r="C124" s="2">
        <v>0</v>
      </c>
      <c r="D124" s="2">
        <v>381</v>
      </c>
      <c r="E124" s="2">
        <v>-2550231.12</v>
      </c>
      <c r="F124" s="2" t="s">
        <v>15</v>
      </c>
      <c r="G124" s="2" t="s">
        <v>15</v>
      </c>
      <c r="H124" s="2" t="s">
        <v>519</v>
      </c>
      <c r="I124" s="2" t="s">
        <v>21</v>
      </c>
      <c r="J124" s="2" t="s">
        <v>18</v>
      </c>
      <c r="K124" s="2" t="s">
        <v>19</v>
      </c>
      <c r="L124" s="2" t="s">
        <v>519</v>
      </c>
      <c r="M124" s="5">
        <v>246779410846</v>
      </c>
    </row>
    <row r="125" spans="1:13" x14ac:dyDescent="0.35">
      <c r="A125" s="2" t="s">
        <v>494</v>
      </c>
      <c r="B125" s="2" t="s">
        <v>14</v>
      </c>
      <c r="C125" s="2">
        <v>0</v>
      </c>
      <c r="D125" s="2">
        <v>1528</v>
      </c>
      <c r="E125" s="2">
        <v>-2551759.12</v>
      </c>
      <c r="F125" s="2" t="s">
        <v>15</v>
      </c>
      <c r="G125" s="2" t="s">
        <v>15</v>
      </c>
      <c r="H125" s="2" t="s">
        <v>520</v>
      </c>
      <c r="I125" s="2" t="s">
        <v>21</v>
      </c>
      <c r="J125" s="2" t="s">
        <v>18</v>
      </c>
      <c r="K125" s="2" t="s">
        <v>19</v>
      </c>
      <c r="L125" s="2" t="s">
        <v>520</v>
      </c>
      <c r="M125" s="5">
        <v>246779410847</v>
      </c>
    </row>
    <row r="126" spans="1:13" x14ac:dyDescent="0.35">
      <c r="A126" s="2" t="s">
        <v>494</v>
      </c>
      <c r="B126" s="2" t="s">
        <v>14</v>
      </c>
      <c r="C126" s="2">
        <v>0</v>
      </c>
      <c r="D126" s="2">
        <v>3436</v>
      </c>
      <c r="E126" s="2">
        <v>-2555195.12</v>
      </c>
      <c r="F126" s="2" t="s">
        <v>15</v>
      </c>
      <c r="G126" s="2" t="s">
        <v>15</v>
      </c>
      <c r="H126" s="2" t="s">
        <v>521</v>
      </c>
      <c r="I126" s="2" t="s">
        <v>21</v>
      </c>
      <c r="J126" s="2" t="s">
        <v>18</v>
      </c>
      <c r="K126" s="2" t="s">
        <v>19</v>
      </c>
      <c r="L126" s="2" t="s">
        <v>521</v>
      </c>
      <c r="M126" s="5">
        <v>246779410849</v>
      </c>
    </row>
    <row r="127" spans="1:13" x14ac:dyDescent="0.35">
      <c r="A127" s="2" t="s">
        <v>494</v>
      </c>
      <c r="B127" s="2" t="s">
        <v>14</v>
      </c>
      <c r="C127" s="2">
        <v>0</v>
      </c>
      <c r="D127" s="2">
        <v>763</v>
      </c>
      <c r="E127" s="2">
        <v>-2555958.12</v>
      </c>
      <c r="F127" s="2" t="s">
        <v>15</v>
      </c>
      <c r="G127" s="2" t="s">
        <v>15</v>
      </c>
      <c r="H127" s="2" t="s">
        <v>522</v>
      </c>
      <c r="I127" s="2" t="s">
        <v>21</v>
      </c>
      <c r="J127" s="2" t="s">
        <v>18</v>
      </c>
      <c r="K127" s="2" t="s">
        <v>19</v>
      </c>
      <c r="L127" s="2" t="s">
        <v>522</v>
      </c>
      <c r="M127" s="5">
        <v>246779410850</v>
      </c>
    </row>
    <row r="128" spans="1:13" x14ac:dyDescent="0.35">
      <c r="A128" s="2" t="s">
        <v>494</v>
      </c>
      <c r="B128" s="2" t="s">
        <v>14</v>
      </c>
      <c r="C128" s="2">
        <v>0</v>
      </c>
      <c r="D128" s="2">
        <v>381</v>
      </c>
      <c r="E128" s="2">
        <v>-2556339.12</v>
      </c>
      <c r="F128" s="2" t="s">
        <v>15</v>
      </c>
      <c r="G128" s="2" t="s">
        <v>15</v>
      </c>
      <c r="H128" s="2" t="s">
        <v>523</v>
      </c>
      <c r="I128" s="2" t="s">
        <v>21</v>
      </c>
      <c r="J128" s="2" t="s">
        <v>18</v>
      </c>
      <c r="K128" s="2" t="s">
        <v>19</v>
      </c>
      <c r="L128" s="2" t="s">
        <v>523</v>
      </c>
      <c r="M128" s="5">
        <v>246779410851</v>
      </c>
    </row>
    <row r="129" spans="1:13" x14ac:dyDescent="0.35">
      <c r="A129" s="2" t="s">
        <v>494</v>
      </c>
      <c r="B129" s="2" t="s">
        <v>14</v>
      </c>
      <c r="C129" s="2">
        <v>0</v>
      </c>
      <c r="D129" s="2">
        <v>381</v>
      </c>
      <c r="E129" s="2">
        <v>-2556720.12</v>
      </c>
      <c r="F129" s="2" t="s">
        <v>15</v>
      </c>
      <c r="G129" s="2" t="s">
        <v>15</v>
      </c>
      <c r="H129" s="2" t="s">
        <v>524</v>
      </c>
      <c r="I129" s="2" t="s">
        <v>21</v>
      </c>
      <c r="J129" s="2" t="s">
        <v>18</v>
      </c>
      <c r="K129" s="2" t="s">
        <v>19</v>
      </c>
      <c r="L129" s="2" t="s">
        <v>524</v>
      </c>
      <c r="M129" s="5">
        <v>246779410852</v>
      </c>
    </row>
    <row r="130" spans="1:13" x14ac:dyDescent="0.35">
      <c r="A130" s="2" t="s">
        <v>494</v>
      </c>
      <c r="B130" s="2" t="s">
        <v>14</v>
      </c>
      <c r="C130" s="2">
        <v>0</v>
      </c>
      <c r="D130" s="2">
        <v>190</v>
      </c>
      <c r="E130" s="2">
        <v>-2556910.12</v>
      </c>
      <c r="F130" s="2" t="s">
        <v>15</v>
      </c>
      <c r="G130" s="2" t="s">
        <v>15</v>
      </c>
      <c r="H130" s="2" t="s">
        <v>525</v>
      </c>
      <c r="I130" s="2" t="s">
        <v>21</v>
      </c>
      <c r="J130" s="2" t="s">
        <v>18</v>
      </c>
      <c r="K130" s="2" t="s">
        <v>19</v>
      </c>
      <c r="L130" s="2" t="s">
        <v>525</v>
      </c>
      <c r="M130" s="5">
        <v>246779410853</v>
      </c>
    </row>
    <row r="131" spans="1:13" x14ac:dyDescent="0.35">
      <c r="A131" s="2" t="s">
        <v>494</v>
      </c>
      <c r="B131" s="2" t="s">
        <v>14</v>
      </c>
      <c r="C131" s="2">
        <v>0</v>
      </c>
      <c r="D131" s="2">
        <v>1145</v>
      </c>
      <c r="E131" s="2">
        <v>-2558055.12</v>
      </c>
      <c r="F131" s="2" t="s">
        <v>15</v>
      </c>
      <c r="G131" s="2" t="s">
        <v>15</v>
      </c>
      <c r="H131" s="2" t="s">
        <v>526</v>
      </c>
      <c r="I131" s="2" t="s">
        <v>21</v>
      </c>
      <c r="J131" s="2" t="s">
        <v>18</v>
      </c>
      <c r="K131" s="2" t="s">
        <v>19</v>
      </c>
      <c r="L131" s="2" t="s">
        <v>526</v>
      </c>
      <c r="M131" s="5">
        <v>246779410854</v>
      </c>
    </row>
    <row r="132" spans="1:13" x14ac:dyDescent="0.35">
      <c r="A132" s="2" t="s">
        <v>494</v>
      </c>
      <c r="B132" s="2" t="s">
        <v>14</v>
      </c>
      <c r="C132" s="2">
        <v>0</v>
      </c>
      <c r="D132" s="2">
        <v>1527</v>
      </c>
      <c r="E132" s="2">
        <v>-2559582.12</v>
      </c>
      <c r="F132" s="2" t="s">
        <v>15</v>
      </c>
      <c r="G132" s="2" t="s">
        <v>15</v>
      </c>
      <c r="H132" s="2" t="s">
        <v>527</v>
      </c>
      <c r="I132" s="2" t="s">
        <v>21</v>
      </c>
      <c r="J132" s="2" t="s">
        <v>18</v>
      </c>
      <c r="K132" s="2" t="s">
        <v>19</v>
      </c>
      <c r="L132" s="2" t="s">
        <v>527</v>
      </c>
      <c r="M132" s="5">
        <v>246779410855</v>
      </c>
    </row>
    <row r="133" spans="1:13" x14ac:dyDescent="0.35">
      <c r="A133" s="2" t="s">
        <v>494</v>
      </c>
      <c r="B133" s="2" t="s">
        <v>14</v>
      </c>
      <c r="C133" s="2">
        <v>0</v>
      </c>
      <c r="D133" s="2">
        <v>1268</v>
      </c>
      <c r="E133" s="2">
        <v>-2560850.12</v>
      </c>
      <c r="F133" s="2" t="s">
        <v>15</v>
      </c>
      <c r="G133" s="2" t="s">
        <v>15</v>
      </c>
      <c r="H133" s="2" t="s">
        <v>528</v>
      </c>
      <c r="I133" s="2" t="s">
        <v>21</v>
      </c>
      <c r="J133" s="2" t="s">
        <v>18</v>
      </c>
      <c r="K133" s="2" t="s">
        <v>19</v>
      </c>
      <c r="L133" s="2" t="s">
        <v>528</v>
      </c>
      <c r="M133" s="5">
        <v>246779414681</v>
      </c>
    </row>
    <row r="134" spans="1:13" x14ac:dyDescent="0.35">
      <c r="A134" s="2" t="s">
        <v>494</v>
      </c>
      <c r="B134" s="2" t="s">
        <v>14</v>
      </c>
      <c r="C134" s="2">
        <v>0</v>
      </c>
      <c r="D134" s="2">
        <v>211</v>
      </c>
      <c r="E134" s="2">
        <v>-2561061.12</v>
      </c>
      <c r="F134" s="2" t="s">
        <v>15</v>
      </c>
      <c r="G134" s="2" t="s">
        <v>15</v>
      </c>
      <c r="H134" s="2" t="s">
        <v>529</v>
      </c>
      <c r="I134" s="2" t="s">
        <v>31</v>
      </c>
      <c r="J134" s="2" t="s">
        <v>18</v>
      </c>
      <c r="K134" s="2" t="s">
        <v>19</v>
      </c>
      <c r="L134" s="2" t="s">
        <v>529</v>
      </c>
      <c r="M134" s="5">
        <v>246779414734</v>
      </c>
    </row>
    <row r="135" spans="1:13" x14ac:dyDescent="0.35">
      <c r="A135" s="2" t="s">
        <v>494</v>
      </c>
      <c r="B135" s="2" t="s">
        <v>14</v>
      </c>
      <c r="C135" s="2">
        <v>0</v>
      </c>
      <c r="D135" s="2">
        <v>211</v>
      </c>
      <c r="E135" s="2">
        <v>-2561272.12</v>
      </c>
      <c r="F135" s="2" t="s">
        <v>15</v>
      </c>
      <c r="G135" s="2" t="s">
        <v>15</v>
      </c>
      <c r="H135" s="2" t="s">
        <v>530</v>
      </c>
      <c r="I135" s="2" t="s">
        <v>21</v>
      </c>
      <c r="J135" s="2" t="s">
        <v>18</v>
      </c>
      <c r="K135" s="2" t="s">
        <v>19</v>
      </c>
      <c r="L135" s="2" t="s">
        <v>530</v>
      </c>
      <c r="M135" s="5">
        <v>246779414885</v>
      </c>
    </row>
    <row r="136" spans="1:13" x14ac:dyDescent="0.35">
      <c r="A136" s="2" t="s">
        <v>494</v>
      </c>
      <c r="B136" s="2" t="s">
        <v>14</v>
      </c>
      <c r="C136" s="2">
        <v>0</v>
      </c>
      <c r="D136" s="2">
        <v>17701</v>
      </c>
      <c r="E136" s="2">
        <v>-2578973.12</v>
      </c>
      <c r="F136" s="2" t="s">
        <v>15</v>
      </c>
      <c r="G136" s="2" t="s">
        <v>15</v>
      </c>
      <c r="H136" s="2" t="s">
        <v>531</v>
      </c>
      <c r="I136" s="2" t="s">
        <v>21</v>
      </c>
      <c r="J136" s="2" t="s">
        <v>18</v>
      </c>
      <c r="K136" s="2" t="s">
        <v>19</v>
      </c>
      <c r="L136" s="2" t="s">
        <v>531</v>
      </c>
      <c r="M136" s="5">
        <v>246779414221</v>
      </c>
    </row>
    <row r="137" spans="1:13" x14ac:dyDescent="0.35">
      <c r="A137" s="2" t="s">
        <v>494</v>
      </c>
      <c r="B137" s="2" t="s">
        <v>14</v>
      </c>
      <c r="C137" s="2">
        <v>0</v>
      </c>
      <c r="D137" s="2">
        <v>596</v>
      </c>
      <c r="E137" s="2">
        <v>-2579569.12</v>
      </c>
      <c r="F137" s="2" t="s">
        <v>15</v>
      </c>
      <c r="G137" s="2" t="s">
        <v>15</v>
      </c>
      <c r="H137" s="2" t="s">
        <v>532</v>
      </c>
      <c r="I137" s="2" t="s">
        <v>21</v>
      </c>
      <c r="J137" s="2" t="s">
        <v>18</v>
      </c>
      <c r="K137" s="2" t="s">
        <v>19</v>
      </c>
      <c r="L137" s="2" t="s">
        <v>532</v>
      </c>
      <c r="M137" s="5">
        <v>246779413691</v>
      </c>
    </row>
    <row r="138" spans="1:13" x14ac:dyDescent="0.35">
      <c r="A138" s="2" t="s">
        <v>494</v>
      </c>
      <c r="B138" s="2" t="s">
        <v>14</v>
      </c>
      <c r="C138" s="2">
        <v>0</v>
      </c>
      <c r="D138" s="2">
        <v>994</v>
      </c>
      <c r="E138" s="2">
        <v>-2580563.12</v>
      </c>
      <c r="F138" s="2" t="s">
        <v>15</v>
      </c>
      <c r="G138" s="2" t="s">
        <v>15</v>
      </c>
      <c r="H138" s="2" t="s">
        <v>533</v>
      </c>
      <c r="I138" s="2" t="s">
        <v>21</v>
      </c>
      <c r="J138" s="2" t="s">
        <v>18</v>
      </c>
      <c r="K138" s="2" t="s">
        <v>19</v>
      </c>
      <c r="L138" s="2" t="s">
        <v>533</v>
      </c>
      <c r="M138" s="5">
        <v>246779413772</v>
      </c>
    </row>
    <row r="139" spans="1:13" x14ac:dyDescent="0.35">
      <c r="A139" s="2" t="s">
        <v>494</v>
      </c>
      <c r="B139" s="2" t="s">
        <v>14</v>
      </c>
      <c r="C139" s="2">
        <v>0</v>
      </c>
      <c r="D139" s="2">
        <v>17857</v>
      </c>
      <c r="E139" s="2">
        <v>-2598420.12</v>
      </c>
      <c r="F139" s="2" t="s">
        <v>15</v>
      </c>
      <c r="G139" s="2" t="s">
        <v>15</v>
      </c>
      <c r="H139" s="2" t="s">
        <v>156</v>
      </c>
      <c r="I139" s="2" t="s">
        <v>107</v>
      </c>
      <c r="J139" s="2" t="s">
        <v>18</v>
      </c>
      <c r="K139" s="2" t="s">
        <v>19</v>
      </c>
      <c r="L139" s="2" t="s">
        <v>156</v>
      </c>
      <c r="M139" s="5">
        <v>246779411339</v>
      </c>
    </row>
    <row r="140" spans="1:13" x14ac:dyDescent="0.35">
      <c r="A140" s="2" t="s">
        <v>494</v>
      </c>
      <c r="B140" s="2" t="s">
        <v>14</v>
      </c>
      <c r="C140" s="2">
        <v>0</v>
      </c>
      <c r="D140" s="2">
        <v>8522</v>
      </c>
      <c r="E140" s="2">
        <v>-2606942.12</v>
      </c>
      <c r="F140" s="2" t="s">
        <v>15</v>
      </c>
      <c r="G140" s="2" t="s">
        <v>15</v>
      </c>
      <c r="H140" s="2" t="s">
        <v>534</v>
      </c>
      <c r="I140" s="2" t="s">
        <v>107</v>
      </c>
      <c r="J140" s="2" t="s">
        <v>18</v>
      </c>
      <c r="K140" s="2" t="s">
        <v>19</v>
      </c>
      <c r="L140" s="2" t="s">
        <v>534</v>
      </c>
      <c r="M140" s="5">
        <v>246779411314</v>
      </c>
    </row>
    <row r="141" spans="1:13" x14ac:dyDescent="0.35">
      <c r="A141" s="2" t="s">
        <v>494</v>
      </c>
      <c r="B141" s="2" t="s">
        <v>14</v>
      </c>
      <c r="C141" s="2">
        <v>0</v>
      </c>
      <c r="D141" s="2">
        <v>143412</v>
      </c>
      <c r="E141" s="2">
        <v>-2750354.12</v>
      </c>
      <c r="F141" s="2" t="s">
        <v>15</v>
      </c>
      <c r="G141" s="2" t="s">
        <v>15</v>
      </c>
      <c r="H141" s="2" t="s">
        <v>535</v>
      </c>
      <c r="I141" s="2" t="s">
        <v>17</v>
      </c>
      <c r="J141" s="2" t="s">
        <v>18</v>
      </c>
      <c r="K141" s="2" t="s">
        <v>19</v>
      </c>
      <c r="L141" s="2" t="s">
        <v>535</v>
      </c>
      <c r="M141" s="5">
        <v>246779411619</v>
      </c>
    </row>
    <row r="142" spans="1:13" x14ac:dyDescent="0.35">
      <c r="A142" s="2" t="s">
        <v>494</v>
      </c>
      <c r="B142" s="2" t="s">
        <v>14</v>
      </c>
      <c r="C142" s="2">
        <v>0</v>
      </c>
      <c r="D142" s="2">
        <v>5816</v>
      </c>
      <c r="E142" s="2">
        <v>-2756170.12</v>
      </c>
      <c r="F142" s="2" t="s">
        <v>15</v>
      </c>
      <c r="G142" s="2" t="s">
        <v>15</v>
      </c>
      <c r="H142" s="2" t="s">
        <v>536</v>
      </c>
      <c r="I142" s="2" t="s">
        <v>17</v>
      </c>
      <c r="J142" s="2" t="s">
        <v>18</v>
      </c>
      <c r="K142" s="2" t="s">
        <v>19</v>
      </c>
      <c r="L142" s="2" t="s">
        <v>536</v>
      </c>
      <c r="M142" s="5">
        <v>246779411620</v>
      </c>
    </row>
    <row r="143" spans="1:13" x14ac:dyDescent="0.35">
      <c r="A143" s="2" t="s">
        <v>494</v>
      </c>
      <c r="B143" s="2" t="s">
        <v>14</v>
      </c>
      <c r="C143" s="2">
        <v>0</v>
      </c>
      <c r="D143" s="2">
        <v>5816</v>
      </c>
      <c r="E143" s="2">
        <v>-2761986.12</v>
      </c>
      <c r="F143" s="2" t="s">
        <v>15</v>
      </c>
      <c r="G143" s="2" t="s">
        <v>15</v>
      </c>
      <c r="H143" s="2" t="s">
        <v>537</v>
      </c>
      <c r="I143" s="2" t="s">
        <v>17</v>
      </c>
      <c r="J143" s="2" t="s">
        <v>18</v>
      </c>
      <c r="K143" s="2" t="s">
        <v>19</v>
      </c>
      <c r="L143" s="2" t="s">
        <v>537</v>
      </c>
      <c r="M143" s="5">
        <v>246779411755</v>
      </c>
    </row>
    <row r="144" spans="1:13" x14ac:dyDescent="0.35">
      <c r="A144" s="2" t="s">
        <v>494</v>
      </c>
      <c r="B144" s="2" t="s">
        <v>14</v>
      </c>
      <c r="C144" s="2">
        <v>0</v>
      </c>
      <c r="D144" s="2">
        <v>4339</v>
      </c>
      <c r="E144" s="2">
        <v>-2766325.12</v>
      </c>
      <c r="F144" s="2" t="s">
        <v>15</v>
      </c>
      <c r="G144" s="2" t="s">
        <v>15</v>
      </c>
      <c r="H144" s="2" t="s">
        <v>538</v>
      </c>
      <c r="I144" s="2" t="s">
        <v>17</v>
      </c>
      <c r="J144" s="2" t="s">
        <v>18</v>
      </c>
      <c r="K144" s="2" t="s">
        <v>19</v>
      </c>
      <c r="L144" s="2" t="s">
        <v>538</v>
      </c>
      <c r="M144" s="5">
        <v>246779411756</v>
      </c>
    </row>
    <row r="145" spans="1:13" x14ac:dyDescent="0.35">
      <c r="A145" s="2" t="s">
        <v>494</v>
      </c>
      <c r="B145" s="2" t="s">
        <v>14</v>
      </c>
      <c r="C145" s="2">
        <v>0</v>
      </c>
      <c r="D145" s="2">
        <v>6761</v>
      </c>
      <c r="E145" s="2">
        <v>-2773086.12</v>
      </c>
      <c r="F145" s="2" t="s">
        <v>15</v>
      </c>
      <c r="G145" s="2" t="s">
        <v>15</v>
      </c>
      <c r="H145" s="2" t="s">
        <v>539</v>
      </c>
      <c r="I145" s="2" t="s">
        <v>17</v>
      </c>
      <c r="J145" s="2" t="s">
        <v>18</v>
      </c>
      <c r="K145" s="2" t="s">
        <v>19</v>
      </c>
      <c r="L145" s="2" t="s">
        <v>539</v>
      </c>
      <c r="M145" s="5">
        <v>246779411759</v>
      </c>
    </row>
    <row r="146" spans="1:13" x14ac:dyDescent="0.35">
      <c r="A146" s="2" t="s">
        <v>494</v>
      </c>
      <c r="B146" s="2" t="s">
        <v>14</v>
      </c>
      <c r="C146" s="2">
        <v>0</v>
      </c>
      <c r="D146" s="2">
        <v>3110</v>
      </c>
      <c r="E146" s="2">
        <v>-2776196.12</v>
      </c>
      <c r="F146" s="2" t="s">
        <v>15</v>
      </c>
      <c r="G146" s="2" t="s">
        <v>15</v>
      </c>
      <c r="H146" s="2" t="s">
        <v>540</v>
      </c>
      <c r="I146" s="2" t="s">
        <v>17</v>
      </c>
      <c r="J146" s="2" t="s">
        <v>18</v>
      </c>
      <c r="K146" s="2" t="s">
        <v>19</v>
      </c>
      <c r="L146" s="2" t="s">
        <v>540</v>
      </c>
      <c r="M146" s="5">
        <v>246779411757</v>
      </c>
    </row>
    <row r="147" spans="1:13" x14ac:dyDescent="0.35">
      <c r="A147" s="2" t="s">
        <v>494</v>
      </c>
      <c r="B147" s="2" t="s">
        <v>14</v>
      </c>
      <c r="C147" s="2">
        <v>0</v>
      </c>
      <c r="D147" s="2">
        <v>33376</v>
      </c>
      <c r="E147" s="2">
        <v>-2809572.12</v>
      </c>
      <c r="F147" s="2" t="s">
        <v>15</v>
      </c>
      <c r="G147" s="2" t="s">
        <v>15</v>
      </c>
      <c r="H147" s="2" t="s">
        <v>187</v>
      </c>
      <c r="I147" s="2" t="s">
        <v>107</v>
      </c>
      <c r="J147" s="2" t="s">
        <v>18</v>
      </c>
      <c r="K147" s="2" t="s">
        <v>19</v>
      </c>
      <c r="L147" s="2" t="s">
        <v>187</v>
      </c>
      <c r="M147" s="5">
        <v>246779411300</v>
      </c>
    </row>
    <row r="148" spans="1:13" x14ac:dyDescent="0.35">
      <c r="A148" s="2" t="s">
        <v>13</v>
      </c>
      <c r="B148" s="2" t="s">
        <v>14</v>
      </c>
      <c r="C148" s="2">
        <v>0</v>
      </c>
      <c r="D148" s="2">
        <v>1161</v>
      </c>
      <c r="E148" s="2">
        <v>-2810733.12</v>
      </c>
      <c r="F148" s="2" t="s">
        <v>15</v>
      </c>
      <c r="G148" s="2" t="s">
        <v>15</v>
      </c>
      <c r="H148" s="2" t="s">
        <v>16</v>
      </c>
      <c r="I148" s="2" t="s">
        <v>17</v>
      </c>
      <c r="J148" s="2" t="s">
        <v>18</v>
      </c>
      <c r="K148" s="2" t="s">
        <v>19</v>
      </c>
      <c r="L148" s="2" t="s">
        <v>16</v>
      </c>
      <c r="M148" s="5">
        <v>246779411448</v>
      </c>
    </row>
    <row r="149" spans="1:13" x14ac:dyDescent="0.35">
      <c r="A149" s="2" t="s">
        <v>13</v>
      </c>
      <c r="B149" s="2" t="s">
        <v>14</v>
      </c>
      <c r="C149" s="2">
        <v>0</v>
      </c>
      <c r="D149" s="2">
        <v>1591</v>
      </c>
      <c r="E149" s="2">
        <v>-2812324.12</v>
      </c>
      <c r="F149" s="2" t="s">
        <v>15</v>
      </c>
      <c r="G149" s="2" t="s">
        <v>15</v>
      </c>
      <c r="H149" s="2" t="s">
        <v>20</v>
      </c>
      <c r="I149" s="2" t="s">
        <v>21</v>
      </c>
      <c r="J149" s="2" t="s">
        <v>18</v>
      </c>
      <c r="K149" s="2" t="s">
        <v>19</v>
      </c>
      <c r="L149" s="2" t="s">
        <v>20</v>
      </c>
      <c r="M149" s="5">
        <v>246779413689</v>
      </c>
    </row>
    <row r="150" spans="1:13" x14ac:dyDescent="0.35">
      <c r="A150" s="2" t="s">
        <v>13</v>
      </c>
      <c r="B150" s="2" t="s">
        <v>14</v>
      </c>
      <c r="C150" s="2">
        <v>0</v>
      </c>
      <c r="D150" s="2">
        <v>574</v>
      </c>
      <c r="E150" s="2">
        <v>-2812898.12</v>
      </c>
      <c r="F150" s="2" t="s">
        <v>15</v>
      </c>
      <c r="G150" s="2" t="s">
        <v>15</v>
      </c>
      <c r="H150" s="2" t="s">
        <v>22</v>
      </c>
      <c r="I150" s="2" t="s">
        <v>21</v>
      </c>
      <c r="J150" s="2" t="s">
        <v>18</v>
      </c>
      <c r="K150" s="2" t="s">
        <v>19</v>
      </c>
      <c r="L150" s="2" t="s">
        <v>22</v>
      </c>
      <c r="M150" s="5">
        <v>246779413740</v>
      </c>
    </row>
    <row r="151" spans="1:13" x14ac:dyDescent="0.35">
      <c r="A151" s="2" t="s">
        <v>13</v>
      </c>
      <c r="B151" s="2" t="s">
        <v>14</v>
      </c>
      <c r="C151" s="2">
        <v>0</v>
      </c>
      <c r="D151" s="2">
        <v>574</v>
      </c>
      <c r="E151" s="2">
        <v>-2813472.12</v>
      </c>
      <c r="F151" s="2" t="s">
        <v>15</v>
      </c>
      <c r="G151" s="2" t="s">
        <v>15</v>
      </c>
      <c r="H151" s="2" t="s">
        <v>23</v>
      </c>
      <c r="I151" s="2" t="s">
        <v>21</v>
      </c>
      <c r="J151" s="2" t="s">
        <v>18</v>
      </c>
      <c r="K151" s="2" t="s">
        <v>19</v>
      </c>
      <c r="L151" s="2" t="s">
        <v>23</v>
      </c>
      <c r="M151" s="5">
        <v>246779413737</v>
      </c>
    </row>
    <row r="152" spans="1:13" x14ac:dyDescent="0.35">
      <c r="A152" s="2" t="s">
        <v>13</v>
      </c>
      <c r="B152" s="2" t="s">
        <v>14</v>
      </c>
      <c r="C152" s="2">
        <v>0</v>
      </c>
      <c r="D152" s="2">
        <v>6896</v>
      </c>
      <c r="E152" s="2">
        <v>-2820368.12</v>
      </c>
      <c r="F152" s="2" t="s">
        <v>15</v>
      </c>
      <c r="G152" s="2" t="s">
        <v>15</v>
      </c>
      <c r="H152" s="2" t="s">
        <v>24</v>
      </c>
      <c r="I152" s="2" t="s">
        <v>21</v>
      </c>
      <c r="J152" s="2" t="s">
        <v>18</v>
      </c>
      <c r="K152" s="2" t="s">
        <v>19</v>
      </c>
      <c r="L152" s="2" t="s">
        <v>24</v>
      </c>
      <c r="M152" s="5">
        <v>246779413735</v>
      </c>
    </row>
    <row r="153" spans="1:13" x14ac:dyDescent="0.35">
      <c r="A153" s="2" t="s">
        <v>13</v>
      </c>
      <c r="B153" s="2" t="s">
        <v>14</v>
      </c>
      <c r="C153" s="2">
        <v>0</v>
      </c>
      <c r="D153" s="2">
        <v>191</v>
      </c>
      <c r="E153" s="2">
        <v>-2820559.12</v>
      </c>
      <c r="F153" s="2" t="s">
        <v>15</v>
      </c>
      <c r="G153" s="2" t="s">
        <v>15</v>
      </c>
      <c r="H153" s="2" t="s">
        <v>25</v>
      </c>
      <c r="I153" s="2" t="s">
        <v>21</v>
      </c>
      <c r="J153" s="2" t="s">
        <v>18</v>
      </c>
      <c r="K153" s="2" t="s">
        <v>19</v>
      </c>
      <c r="L153" s="2" t="s">
        <v>25</v>
      </c>
      <c r="M153" s="5">
        <v>246779413744</v>
      </c>
    </row>
    <row r="154" spans="1:13" x14ac:dyDescent="0.35">
      <c r="A154" s="2" t="s">
        <v>13</v>
      </c>
      <c r="B154" s="2" t="s">
        <v>14</v>
      </c>
      <c r="C154" s="2">
        <v>0</v>
      </c>
      <c r="D154" s="2">
        <v>191</v>
      </c>
      <c r="E154" s="2">
        <v>-2820750.12</v>
      </c>
      <c r="F154" s="2" t="s">
        <v>15</v>
      </c>
      <c r="G154" s="2" t="s">
        <v>15</v>
      </c>
      <c r="H154" s="2" t="s">
        <v>26</v>
      </c>
      <c r="I154" s="2" t="s">
        <v>21</v>
      </c>
      <c r="J154" s="2" t="s">
        <v>18</v>
      </c>
      <c r="K154" s="2" t="s">
        <v>19</v>
      </c>
      <c r="L154" s="2" t="s">
        <v>26</v>
      </c>
      <c r="M154" s="5">
        <v>246779413733</v>
      </c>
    </row>
    <row r="155" spans="1:13" x14ac:dyDescent="0.35">
      <c r="A155" s="2" t="s">
        <v>13</v>
      </c>
      <c r="B155" s="2" t="s">
        <v>14</v>
      </c>
      <c r="C155" s="2">
        <v>0</v>
      </c>
      <c r="D155" s="2">
        <v>383</v>
      </c>
      <c r="E155" s="2">
        <v>-2821133.12</v>
      </c>
      <c r="F155" s="2" t="s">
        <v>15</v>
      </c>
      <c r="G155" s="2" t="s">
        <v>15</v>
      </c>
      <c r="H155" s="2" t="s">
        <v>27</v>
      </c>
      <c r="I155" s="2" t="s">
        <v>21</v>
      </c>
      <c r="J155" s="2" t="s">
        <v>18</v>
      </c>
      <c r="K155" s="2" t="s">
        <v>19</v>
      </c>
      <c r="L155" s="2" t="s">
        <v>27</v>
      </c>
      <c r="M155" s="5">
        <v>246779413743</v>
      </c>
    </row>
    <row r="156" spans="1:13" x14ac:dyDescent="0.35">
      <c r="A156" s="2" t="s">
        <v>13</v>
      </c>
      <c r="B156" s="2" t="s">
        <v>14</v>
      </c>
      <c r="C156" s="2">
        <v>0</v>
      </c>
      <c r="D156" s="2">
        <v>383</v>
      </c>
      <c r="E156" s="2">
        <v>-2821516.12</v>
      </c>
      <c r="F156" s="2" t="s">
        <v>15</v>
      </c>
      <c r="G156" s="2" t="s">
        <v>15</v>
      </c>
      <c r="H156" s="2" t="s">
        <v>28</v>
      </c>
      <c r="I156" s="2" t="s">
        <v>21</v>
      </c>
      <c r="J156" s="2" t="s">
        <v>18</v>
      </c>
      <c r="K156" s="2" t="s">
        <v>19</v>
      </c>
      <c r="L156" s="2" t="s">
        <v>28</v>
      </c>
      <c r="M156" s="5">
        <v>246779414680</v>
      </c>
    </row>
    <row r="157" spans="1:13" x14ac:dyDescent="0.35">
      <c r="A157" s="2" t="s">
        <v>13</v>
      </c>
      <c r="B157" s="2" t="s">
        <v>14</v>
      </c>
      <c r="C157" s="2">
        <v>0</v>
      </c>
      <c r="D157" s="2">
        <v>6895</v>
      </c>
      <c r="E157" s="2">
        <v>-2828411.12</v>
      </c>
      <c r="F157" s="2" t="s">
        <v>15</v>
      </c>
      <c r="G157" s="2" t="s">
        <v>15</v>
      </c>
      <c r="H157" s="2" t="s">
        <v>29</v>
      </c>
      <c r="I157" s="2" t="s">
        <v>21</v>
      </c>
      <c r="J157" s="2" t="s">
        <v>18</v>
      </c>
      <c r="K157" s="2" t="s">
        <v>19</v>
      </c>
      <c r="L157" s="2" t="s">
        <v>29</v>
      </c>
      <c r="M157" s="5">
        <v>246779413741</v>
      </c>
    </row>
    <row r="158" spans="1:13" x14ac:dyDescent="0.35">
      <c r="A158" s="2" t="s">
        <v>13</v>
      </c>
      <c r="B158" s="2" t="s">
        <v>14</v>
      </c>
      <c r="C158" s="2">
        <v>0</v>
      </c>
      <c r="D158" s="2">
        <v>846</v>
      </c>
      <c r="E158" s="2">
        <v>-2829257.12</v>
      </c>
      <c r="F158" s="2" t="s">
        <v>15</v>
      </c>
      <c r="G158" s="2" t="s">
        <v>15</v>
      </c>
      <c r="H158" s="2" t="s">
        <v>30</v>
      </c>
      <c r="I158" s="2" t="s">
        <v>31</v>
      </c>
      <c r="J158" s="2" t="s">
        <v>18</v>
      </c>
      <c r="K158" s="2" t="s">
        <v>19</v>
      </c>
      <c r="L158" s="2" t="s">
        <v>30</v>
      </c>
      <c r="M158" s="5">
        <v>246779413933</v>
      </c>
    </row>
    <row r="159" spans="1:13" x14ac:dyDescent="0.35">
      <c r="A159" s="2" t="s">
        <v>13</v>
      </c>
      <c r="B159" s="2" t="s">
        <v>14</v>
      </c>
      <c r="C159" s="2">
        <v>0</v>
      </c>
      <c r="D159" s="2">
        <v>3203</v>
      </c>
      <c r="E159" s="2">
        <v>-2832460.12</v>
      </c>
      <c r="F159" s="2" t="s">
        <v>15</v>
      </c>
      <c r="G159" s="2" t="s">
        <v>15</v>
      </c>
      <c r="H159" s="2" t="s">
        <v>32</v>
      </c>
      <c r="I159" s="2" t="s">
        <v>21</v>
      </c>
      <c r="J159" s="2" t="s">
        <v>18</v>
      </c>
      <c r="K159" s="2" t="s">
        <v>19</v>
      </c>
      <c r="L159" s="2" t="s">
        <v>32</v>
      </c>
      <c r="M159" s="5">
        <v>246779410609</v>
      </c>
    </row>
    <row r="160" spans="1:13" x14ac:dyDescent="0.35">
      <c r="A160" s="2" t="s">
        <v>13</v>
      </c>
      <c r="B160" s="2" t="s">
        <v>14</v>
      </c>
      <c r="C160" s="2">
        <v>0</v>
      </c>
      <c r="D160" s="2">
        <v>3603</v>
      </c>
      <c r="E160" s="2">
        <v>-2836063.12</v>
      </c>
      <c r="F160" s="2" t="s">
        <v>15</v>
      </c>
      <c r="G160" s="2" t="s">
        <v>15</v>
      </c>
      <c r="H160" s="2" t="s">
        <v>33</v>
      </c>
      <c r="I160" s="2" t="s">
        <v>21</v>
      </c>
      <c r="J160" s="2" t="s">
        <v>18</v>
      </c>
      <c r="K160" s="2" t="s">
        <v>19</v>
      </c>
      <c r="L160" s="2" t="s">
        <v>33</v>
      </c>
      <c r="M160" s="5">
        <v>246779413738</v>
      </c>
    </row>
    <row r="161" spans="1:13" x14ac:dyDescent="0.35">
      <c r="A161" s="2" t="s">
        <v>13</v>
      </c>
      <c r="B161" s="2" t="s">
        <v>14</v>
      </c>
      <c r="C161" s="2">
        <v>0</v>
      </c>
      <c r="D161" s="2">
        <v>200</v>
      </c>
      <c r="E161" s="2">
        <v>-2836263.12</v>
      </c>
      <c r="F161" s="2" t="s">
        <v>15</v>
      </c>
      <c r="G161" s="2" t="s">
        <v>15</v>
      </c>
      <c r="H161" s="2" t="s">
        <v>34</v>
      </c>
      <c r="I161" s="2" t="s">
        <v>21</v>
      </c>
      <c r="J161" s="2" t="s">
        <v>18</v>
      </c>
      <c r="K161" s="2" t="s">
        <v>19</v>
      </c>
      <c r="L161" s="2" t="s">
        <v>34</v>
      </c>
      <c r="M161" s="5">
        <v>246779410498</v>
      </c>
    </row>
    <row r="162" spans="1:13" x14ac:dyDescent="0.35">
      <c r="A162" s="2" t="s">
        <v>13</v>
      </c>
      <c r="B162" s="2" t="s">
        <v>14</v>
      </c>
      <c r="C162" s="2">
        <v>0</v>
      </c>
      <c r="D162" s="2">
        <v>13011</v>
      </c>
      <c r="E162" s="2">
        <v>-2849274.12</v>
      </c>
      <c r="F162" s="2" t="s">
        <v>15</v>
      </c>
      <c r="G162" s="2" t="s">
        <v>15</v>
      </c>
      <c r="H162" s="2" t="s">
        <v>35</v>
      </c>
      <c r="I162" s="2" t="s">
        <v>36</v>
      </c>
      <c r="J162" s="2" t="s">
        <v>18</v>
      </c>
      <c r="K162" s="2" t="s">
        <v>19</v>
      </c>
      <c r="L162" s="2" t="s">
        <v>35</v>
      </c>
      <c r="M162" s="5">
        <v>246779413704</v>
      </c>
    </row>
    <row r="163" spans="1:13" x14ac:dyDescent="0.35">
      <c r="A163" s="2" t="s">
        <v>13</v>
      </c>
      <c r="B163" s="2" t="s">
        <v>14</v>
      </c>
      <c r="C163" s="2">
        <v>0</v>
      </c>
      <c r="D163" s="2">
        <v>200</v>
      </c>
      <c r="E163" s="2">
        <v>-2849474.12</v>
      </c>
      <c r="F163" s="2" t="s">
        <v>15</v>
      </c>
      <c r="G163" s="2" t="s">
        <v>15</v>
      </c>
      <c r="H163" s="2" t="s">
        <v>37</v>
      </c>
      <c r="I163" s="2" t="s">
        <v>21</v>
      </c>
      <c r="J163" s="2" t="s">
        <v>18</v>
      </c>
      <c r="K163" s="2" t="s">
        <v>19</v>
      </c>
      <c r="L163" s="2" t="s">
        <v>37</v>
      </c>
      <c r="M163" s="5">
        <v>246779410848</v>
      </c>
    </row>
    <row r="164" spans="1:13" x14ac:dyDescent="0.35">
      <c r="A164" s="2" t="s">
        <v>13</v>
      </c>
      <c r="B164" s="2" t="s">
        <v>14</v>
      </c>
      <c r="C164" s="2">
        <v>0</v>
      </c>
      <c r="D164" s="2">
        <v>45188</v>
      </c>
      <c r="E164" s="2">
        <v>-2894662.12</v>
      </c>
      <c r="F164" s="2" t="s">
        <v>15</v>
      </c>
      <c r="G164" s="2" t="s">
        <v>15</v>
      </c>
      <c r="H164" s="2" t="s">
        <v>38</v>
      </c>
      <c r="I164" s="2" t="s">
        <v>39</v>
      </c>
      <c r="J164" s="2" t="s">
        <v>18</v>
      </c>
      <c r="K164" s="2" t="s">
        <v>19</v>
      </c>
      <c r="L164" s="2" t="s">
        <v>38</v>
      </c>
      <c r="M164" s="5">
        <v>246779413845</v>
      </c>
    </row>
    <row r="165" spans="1:13" x14ac:dyDescent="0.35">
      <c r="A165" s="2" t="s">
        <v>13</v>
      </c>
      <c r="B165" s="2" t="s">
        <v>14</v>
      </c>
      <c r="C165" s="2">
        <v>0</v>
      </c>
      <c r="D165" s="2">
        <v>19429</v>
      </c>
      <c r="E165" s="2">
        <v>-2914091.12</v>
      </c>
      <c r="F165" s="2" t="s">
        <v>15</v>
      </c>
      <c r="G165" s="2" t="s">
        <v>15</v>
      </c>
      <c r="H165" s="2" t="s">
        <v>40</v>
      </c>
      <c r="I165" s="2" t="s">
        <v>36</v>
      </c>
      <c r="J165" s="2" t="s">
        <v>18</v>
      </c>
      <c r="K165" s="2" t="s">
        <v>19</v>
      </c>
      <c r="L165" s="2" t="s">
        <v>40</v>
      </c>
      <c r="M165" s="5">
        <v>246779413705</v>
      </c>
    </row>
    <row r="166" spans="1:13" x14ac:dyDescent="0.35">
      <c r="A166" s="2" t="s">
        <v>13</v>
      </c>
      <c r="B166" s="2" t="s">
        <v>14</v>
      </c>
      <c r="C166" s="2">
        <v>0</v>
      </c>
      <c r="D166" s="2">
        <v>3594</v>
      </c>
      <c r="E166" s="2">
        <v>-2917685.12</v>
      </c>
      <c r="F166" s="2" t="s">
        <v>15</v>
      </c>
      <c r="G166" s="2" t="s">
        <v>15</v>
      </c>
      <c r="H166" s="2" t="s">
        <v>41</v>
      </c>
      <c r="I166" s="2" t="s">
        <v>21</v>
      </c>
      <c r="J166" s="2" t="s">
        <v>18</v>
      </c>
      <c r="K166" s="2" t="s">
        <v>19</v>
      </c>
      <c r="L166" s="2" t="s">
        <v>41</v>
      </c>
      <c r="M166" s="5">
        <v>246779410755</v>
      </c>
    </row>
    <row r="167" spans="1:13" x14ac:dyDescent="0.35">
      <c r="A167" s="2" t="s">
        <v>13</v>
      </c>
      <c r="B167" s="2" t="s">
        <v>14</v>
      </c>
      <c r="C167" s="2">
        <v>0</v>
      </c>
      <c r="D167" s="2">
        <v>35477</v>
      </c>
      <c r="E167" s="2">
        <v>-2953162.12</v>
      </c>
      <c r="F167" s="2" t="s">
        <v>15</v>
      </c>
      <c r="G167" s="2" t="s">
        <v>15</v>
      </c>
      <c r="H167" s="2" t="s">
        <v>42</v>
      </c>
      <c r="I167" s="2" t="s">
        <v>43</v>
      </c>
      <c r="J167" s="2" t="s">
        <v>18</v>
      </c>
      <c r="K167" s="2" t="s">
        <v>19</v>
      </c>
      <c r="L167" s="2" t="s">
        <v>42</v>
      </c>
      <c r="M167" s="5">
        <v>246779410072</v>
      </c>
    </row>
    <row r="168" spans="1:13" x14ac:dyDescent="0.35">
      <c r="A168" s="2" t="s">
        <v>13</v>
      </c>
      <c r="B168" s="2" t="s">
        <v>14</v>
      </c>
      <c r="C168" s="2">
        <v>0</v>
      </c>
      <c r="D168" s="2">
        <v>799</v>
      </c>
      <c r="E168" s="2">
        <v>-2953961.12</v>
      </c>
      <c r="F168" s="2" t="s">
        <v>15</v>
      </c>
      <c r="G168" s="2" t="s">
        <v>15</v>
      </c>
      <c r="H168" s="2" t="s">
        <v>44</v>
      </c>
      <c r="I168" s="2" t="s">
        <v>21</v>
      </c>
      <c r="J168" s="2" t="s">
        <v>18</v>
      </c>
      <c r="K168" s="2" t="s">
        <v>19</v>
      </c>
      <c r="L168" s="2" t="s">
        <v>44</v>
      </c>
      <c r="M168" s="5">
        <v>246779410688</v>
      </c>
    </row>
    <row r="169" spans="1:13" x14ac:dyDescent="0.35">
      <c r="A169" s="2" t="s">
        <v>13</v>
      </c>
      <c r="B169" s="2" t="s">
        <v>14</v>
      </c>
      <c r="C169" s="2">
        <v>0</v>
      </c>
      <c r="D169" s="2">
        <v>1797</v>
      </c>
      <c r="E169" s="2">
        <v>-2955758.12</v>
      </c>
      <c r="F169" s="2" t="s">
        <v>15</v>
      </c>
      <c r="G169" s="2" t="s">
        <v>15</v>
      </c>
      <c r="H169" s="2" t="s">
        <v>45</v>
      </c>
      <c r="I169" s="2" t="s">
        <v>21</v>
      </c>
      <c r="J169" s="2" t="s">
        <v>18</v>
      </c>
      <c r="K169" s="2" t="s">
        <v>19</v>
      </c>
      <c r="L169" s="2" t="s">
        <v>45</v>
      </c>
      <c r="M169" s="5">
        <v>246779410687</v>
      </c>
    </row>
    <row r="170" spans="1:13" x14ac:dyDescent="0.35">
      <c r="A170" s="2" t="s">
        <v>13</v>
      </c>
      <c r="B170" s="2" t="s">
        <v>14</v>
      </c>
      <c r="C170" s="2">
        <v>0</v>
      </c>
      <c r="D170" s="2">
        <v>59624</v>
      </c>
      <c r="E170" s="2">
        <v>-3015382.12</v>
      </c>
      <c r="F170" s="2" t="s">
        <v>15</v>
      </c>
      <c r="G170" s="2" t="s">
        <v>15</v>
      </c>
      <c r="H170" s="2" t="s">
        <v>46</v>
      </c>
      <c r="I170" s="2" t="s">
        <v>36</v>
      </c>
      <c r="J170" s="2" t="s">
        <v>18</v>
      </c>
      <c r="K170" s="2" t="s">
        <v>19</v>
      </c>
      <c r="L170" s="2" t="s">
        <v>46</v>
      </c>
      <c r="M170" s="5">
        <v>246779410360</v>
      </c>
    </row>
    <row r="171" spans="1:13" x14ac:dyDescent="0.35">
      <c r="A171" s="2" t="s">
        <v>47</v>
      </c>
      <c r="B171" s="2" t="s">
        <v>14</v>
      </c>
      <c r="C171" s="2">
        <v>0</v>
      </c>
      <c r="D171" s="2">
        <v>2883</v>
      </c>
      <c r="E171" s="2">
        <v>-3018265.12</v>
      </c>
      <c r="F171" s="2" t="s">
        <v>15</v>
      </c>
      <c r="G171" s="2" t="s">
        <v>15</v>
      </c>
      <c r="H171" s="2" t="s">
        <v>48</v>
      </c>
      <c r="I171" s="2" t="s">
        <v>49</v>
      </c>
      <c r="J171" s="2" t="s">
        <v>18</v>
      </c>
      <c r="K171" s="2" t="s">
        <v>19</v>
      </c>
      <c r="L171" s="2" t="s">
        <v>48</v>
      </c>
      <c r="M171" s="5">
        <v>256779410157</v>
      </c>
    </row>
    <row r="172" spans="1:13" x14ac:dyDescent="0.35">
      <c r="A172" s="2" t="s">
        <v>47</v>
      </c>
      <c r="B172" s="2" t="s">
        <v>14</v>
      </c>
      <c r="C172" s="2">
        <v>0</v>
      </c>
      <c r="D172" s="2">
        <v>4913</v>
      </c>
      <c r="E172" s="2">
        <v>-3023178.12</v>
      </c>
      <c r="F172" s="2" t="s">
        <v>15</v>
      </c>
      <c r="G172" s="2" t="s">
        <v>15</v>
      </c>
      <c r="H172" s="2" t="s">
        <v>50</v>
      </c>
      <c r="I172" s="2" t="s">
        <v>31</v>
      </c>
      <c r="J172" s="2" t="s">
        <v>18</v>
      </c>
      <c r="K172" s="2" t="s">
        <v>19</v>
      </c>
      <c r="L172" s="2" t="s">
        <v>50</v>
      </c>
      <c r="M172" s="5">
        <v>256779410156</v>
      </c>
    </row>
    <row r="173" spans="1:13" x14ac:dyDescent="0.35">
      <c r="A173" s="2" t="s">
        <v>47</v>
      </c>
      <c r="B173" s="2" t="s">
        <v>14</v>
      </c>
      <c r="C173" s="2">
        <v>0</v>
      </c>
      <c r="D173" s="2">
        <v>13011</v>
      </c>
      <c r="E173" s="2">
        <v>-3036189.12</v>
      </c>
      <c r="F173" s="2" t="s">
        <v>15</v>
      </c>
      <c r="G173" s="2" t="s">
        <v>15</v>
      </c>
      <c r="H173" s="2" t="s">
        <v>51</v>
      </c>
      <c r="I173" s="2" t="s">
        <v>21</v>
      </c>
      <c r="J173" s="2" t="s">
        <v>18</v>
      </c>
      <c r="K173" s="2" t="s">
        <v>19</v>
      </c>
      <c r="L173" s="2" t="s">
        <v>51</v>
      </c>
      <c r="M173" s="5">
        <v>256779410166</v>
      </c>
    </row>
    <row r="174" spans="1:13" x14ac:dyDescent="0.35">
      <c r="A174" s="2" t="s">
        <v>47</v>
      </c>
      <c r="B174" s="2" t="s">
        <v>14</v>
      </c>
      <c r="C174" s="2">
        <v>0</v>
      </c>
      <c r="D174" s="2">
        <v>6205</v>
      </c>
      <c r="E174" s="2">
        <v>-3042394.12</v>
      </c>
      <c r="F174" s="2" t="s">
        <v>15</v>
      </c>
      <c r="G174" s="2" t="s">
        <v>15</v>
      </c>
      <c r="H174" s="2" t="s">
        <v>52</v>
      </c>
      <c r="I174" s="2" t="s">
        <v>21</v>
      </c>
      <c r="J174" s="2" t="s">
        <v>18</v>
      </c>
      <c r="K174" s="2" t="s">
        <v>19</v>
      </c>
      <c r="L174" s="2" t="s">
        <v>52</v>
      </c>
      <c r="M174" s="5">
        <v>256779410174</v>
      </c>
    </row>
    <row r="175" spans="1:13" x14ac:dyDescent="0.35">
      <c r="A175" s="2" t="s">
        <v>47</v>
      </c>
      <c r="B175" s="2" t="s">
        <v>14</v>
      </c>
      <c r="C175" s="2">
        <v>0</v>
      </c>
      <c r="D175" s="2">
        <v>2937</v>
      </c>
      <c r="E175" s="2">
        <v>-3045331.12</v>
      </c>
      <c r="F175" s="2" t="s">
        <v>15</v>
      </c>
      <c r="G175" s="2" t="s">
        <v>15</v>
      </c>
      <c r="H175" s="2" t="s">
        <v>53</v>
      </c>
      <c r="I175" s="2" t="s">
        <v>17</v>
      </c>
      <c r="J175" s="2" t="s">
        <v>18</v>
      </c>
      <c r="K175" s="2" t="s">
        <v>19</v>
      </c>
      <c r="L175" s="2" t="s">
        <v>53</v>
      </c>
      <c r="M175" s="5">
        <v>256779410201</v>
      </c>
    </row>
    <row r="176" spans="1:13" x14ac:dyDescent="0.35">
      <c r="A176" s="2" t="s">
        <v>47</v>
      </c>
      <c r="B176" s="2" t="s">
        <v>14</v>
      </c>
      <c r="C176" s="2">
        <v>0</v>
      </c>
      <c r="D176" s="2">
        <v>319</v>
      </c>
      <c r="E176" s="2">
        <v>-3045650.12</v>
      </c>
      <c r="F176" s="2" t="s">
        <v>15</v>
      </c>
      <c r="G176" s="2" t="s">
        <v>15</v>
      </c>
      <c r="H176" s="2" t="s">
        <v>54</v>
      </c>
      <c r="I176" s="2" t="s">
        <v>55</v>
      </c>
      <c r="J176" s="2" t="s">
        <v>18</v>
      </c>
      <c r="K176" s="2" t="s">
        <v>19</v>
      </c>
      <c r="L176" s="2" t="s">
        <v>54</v>
      </c>
      <c r="M176" s="5">
        <v>256779410135</v>
      </c>
    </row>
    <row r="177" spans="1:13" x14ac:dyDescent="0.35">
      <c r="A177" s="2" t="s">
        <v>47</v>
      </c>
      <c r="B177" s="2" t="s">
        <v>14</v>
      </c>
      <c r="C177" s="2">
        <v>0</v>
      </c>
      <c r="D177" s="2">
        <v>639</v>
      </c>
      <c r="E177" s="2">
        <v>-3046289.12</v>
      </c>
      <c r="F177" s="2" t="s">
        <v>15</v>
      </c>
      <c r="G177" s="2" t="s">
        <v>15</v>
      </c>
      <c r="H177" s="2" t="s">
        <v>56</v>
      </c>
      <c r="I177" s="2" t="s">
        <v>31</v>
      </c>
      <c r="J177" s="2" t="s">
        <v>18</v>
      </c>
      <c r="K177" s="2" t="s">
        <v>19</v>
      </c>
      <c r="L177" s="2" t="s">
        <v>56</v>
      </c>
      <c r="M177" s="5">
        <v>256779410134</v>
      </c>
    </row>
    <row r="178" spans="1:13" x14ac:dyDescent="0.35">
      <c r="A178" s="2" t="s">
        <v>47</v>
      </c>
      <c r="B178" s="2" t="s">
        <v>14</v>
      </c>
      <c r="C178" s="2">
        <v>0</v>
      </c>
      <c r="D178" s="2">
        <v>140649</v>
      </c>
      <c r="E178" s="2">
        <v>-3186938.12</v>
      </c>
      <c r="F178" s="2" t="s">
        <v>15</v>
      </c>
      <c r="G178" s="2" t="s">
        <v>15</v>
      </c>
      <c r="H178" s="2" t="s">
        <v>57</v>
      </c>
      <c r="I178" s="2" t="s">
        <v>36</v>
      </c>
      <c r="J178" s="2" t="s">
        <v>18</v>
      </c>
      <c r="K178" s="2" t="s">
        <v>19</v>
      </c>
      <c r="L178" s="2" t="s">
        <v>57</v>
      </c>
      <c r="M178" s="5">
        <v>256779410010</v>
      </c>
    </row>
    <row r="179" spans="1:13" x14ac:dyDescent="0.35">
      <c r="A179" s="2" t="s">
        <v>47</v>
      </c>
      <c r="B179" s="2" t="s">
        <v>14</v>
      </c>
      <c r="C179" s="2">
        <v>0</v>
      </c>
      <c r="D179" s="2">
        <v>55272</v>
      </c>
      <c r="E179" s="2">
        <v>-3242210.12</v>
      </c>
      <c r="F179" s="2" t="s">
        <v>15</v>
      </c>
      <c r="G179" s="2" t="s">
        <v>15</v>
      </c>
      <c r="H179" s="2" t="s">
        <v>58</v>
      </c>
      <c r="I179" s="2" t="s">
        <v>36</v>
      </c>
      <c r="J179" s="2" t="s">
        <v>18</v>
      </c>
      <c r="K179" s="2" t="s">
        <v>19</v>
      </c>
      <c r="L179" s="2" t="s">
        <v>58</v>
      </c>
      <c r="M179" s="5">
        <v>256779410004</v>
      </c>
    </row>
    <row r="180" spans="1:13" x14ac:dyDescent="0.35">
      <c r="A180" s="2" t="s">
        <v>47</v>
      </c>
      <c r="B180" s="2" t="s">
        <v>14</v>
      </c>
      <c r="C180" s="2">
        <v>0</v>
      </c>
      <c r="D180" s="2">
        <v>114223</v>
      </c>
      <c r="E180" s="2">
        <v>-3356433.12</v>
      </c>
      <c r="F180" s="2" t="s">
        <v>15</v>
      </c>
      <c r="G180" s="2" t="s">
        <v>15</v>
      </c>
      <c r="H180" s="2" t="s">
        <v>59</v>
      </c>
      <c r="I180" s="2" t="s">
        <v>36</v>
      </c>
      <c r="J180" s="2" t="s">
        <v>18</v>
      </c>
      <c r="K180" s="2" t="s">
        <v>19</v>
      </c>
      <c r="L180" s="2" t="s">
        <v>59</v>
      </c>
      <c r="M180" s="5">
        <v>256779410220</v>
      </c>
    </row>
    <row r="181" spans="1:13" x14ac:dyDescent="0.35">
      <c r="A181" s="2" t="s">
        <v>60</v>
      </c>
      <c r="B181" s="2" t="s">
        <v>14</v>
      </c>
      <c r="C181" s="2">
        <v>0</v>
      </c>
      <c r="D181" s="2">
        <v>331566</v>
      </c>
      <c r="E181" s="2">
        <v>-3687999.12</v>
      </c>
      <c r="F181" s="2" t="s">
        <v>15</v>
      </c>
      <c r="G181" s="2" t="s">
        <v>15</v>
      </c>
      <c r="H181" s="2" t="s">
        <v>61</v>
      </c>
      <c r="I181" s="2" t="s">
        <v>36</v>
      </c>
      <c r="J181" s="2" t="s">
        <v>18</v>
      </c>
      <c r="K181" s="2" t="s">
        <v>19</v>
      </c>
      <c r="L181" s="2" t="s">
        <v>61</v>
      </c>
      <c r="M181" s="5">
        <v>256779410812</v>
      </c>
    </row>
    <row r="182" spans="1:13" x14ac:dyDescent="0.35">
      <c r="A182" s="2" t="s">
        <v>60</v>
      </c>
      <c r="B182" s="2" t="s">
        <v>14</v>
      </c>
      <c r="C182" s="2">
        <v>0</v>
      </c>
      <c r="D182" s="2">
        <v>384955</v>
      </c>
      <c r="E182" s="2">
        <v>-4072954.12</v>
      </c>
      <c r="F182" s="2" t="s">
        <v>15</v>
      </c>
      <c r="G182" s="2" t="s">
        <v>15</v>
      </c>
      <c r="H182" s="2" t="s">
        <v>62</v>
      </c>
      <c r="I182" s="2" t="s">
        <v>36</v>
      </c>
      <c r="J182" s="2" t="s">
        <v>18</v>
      </c>
      <c r="K182" s="2" t="s">
        <v>19</v>
      </c>
      <c r="L182" s="2" t="s">
        <v>62</v>
      </c>
      <c r="M182" s="5">
        <v>256779410795</v>
      </c>
    </row>
    <row r="183" spans="1:13" x14ac:dyDescent="0.35">
      <c r="A183" s="2" t="s">
        <v>63</v>
      </c>
      <c r="B183" s="2" t="s">
        <v>14</v>
      </c>
      <c r="C183" s="2">
        <v>0</v>
      </c>
      <c r="D183" s="2">
        <v>13328</v>
      </c>
      <c r="E183" s="2">
        <v>-4086282.12</v>
      </c>
      <c r="F183" s="2" t="s">
        <v>15</v>
      </c>
      <c r="G183" s="2" t="s">
        <v>15</v>
      </c>
      <c r="H183" s="2" t="s">
        <v>64</v>
      </c>
      <c r="I183" s="2" t="s">
        <v>21</v>
      </c>
      <c r="J183" s="2" t="s">
        <v>18</v>
      </c>
      <c r="K183" s="2" t="s">
        <v>19</v>
      </c>
      <c r="L183" s="2" t="s">
        <v>64</v>
      </c>
      <c r="M183" s="5">
        <v>256779411150</v>
      </c>
    </row>
    <row r="184" spans="1:13" x14ac:dyDescent="0.35">
      <c r="A184" s="2" t="s">
        <v>63</v>
      </c>
      <c r="B184" s="2" t="s">
        <v>14</v>
      </c>
      <c r="C184" s="2">
        <v>0</v>
      </c>
      <c r="D184" s="2">
        <v>25546</v>
      </c>
      <c r="E184" s="2">
        <v>-4111828.12</v>
      </c>
      <c r="F184" s="2" t="s">
        <v>15</v>
      </c>
      <c r="G184" s="2" t="s">
        <v>15</v>
      </c>
      <c r="H184" s="2" t="s">
        <v>65</v>
      </c>
      <c r="I184" s="2" t="s">
        <v>66</v>
      </c>
      <c r="J184" s="2" t="s">
        <v>18</v>
      </c>
      <c r="K184" s="2" t="s">
        <v>19</v>
      </c>
      <c r="L184" s="2" t="s">
        <v>65</v>
      </c>
      <c r="M184" s="5">
        <v>256779411148</v>
      </c>
    </row>
    <row r="185" spans="1:13" x14ac:dyDescent="0.35">
      <c r="A185" s="2" t="s">
        <v>63</v>
      </c>
      <c r="B185" s="2" t="s">
        <v>14</v>
      </c>
      <c r="C185" s="2">
        <v>0</v>
      </c>
      <c r="D185" s="2">
        <v>2664</v>
      </c>
      <c r="E185" s="2">
        <v>-4114492.12</v>
      </c>
      <c r="F185" s="2" t="s">
        <v>15</v>
      </c>
      <c r="G185" s="2" t="s">
        <v>15</v>
      </c>
      <c r="H185" s="2" t="s">
        <v>67</v>
      </c>
      <c r="I185" s="2" t="s">
        <v>31</v>
      </c>
      <c r="J185" s="2" t="s">
        <v>18</v>
      </c>
      <c r="K185" s="2" t="s">
        <v>19</v>
      </c>
      <c r="L185" s="2" t="s">
        <v>67</v>
      </c>
      <c r="M185" s="5">
        <v>256779411149</v>
      </c>
    </row>
    <row r="186" spans="1:13" x14ac:dyDescent="0.35">
      <c r="A186" s="2" t="s">
        <v>63</v>
      </c>
      <c r="B186" s="2" t="s">
        <v>14</v>
      </c>
      <c r="C186" s="2">
        <v>0</v>
      </c>
      <c r="D186" s="2">
        <v>790</v>
      </c>
      <c r="E186" s="2">
        <v>-4115282.12</v>
      </c>
      <c r="F186" s="2" t="s">
        <v>15</v>
      </c>
      <c r="G186" s="2" t="s">
        <v>15</v>
      </c>
      <c r="H186" s="2" t="s">
        <v>68</v>
      </c>
      <c r="I186" s="2" t="s">
        <v>31</v>
      </c>
      <c r="J186" s="2" t="s">
        <v>18</v>
      </c>
      <c r="K186" s="2" t="s">
        <v>19</v>
      </c>
      <c r="L186" s="2" t="s">
        <v>68</v>
      </c>
      <c r="M186" s="5">
        <v>256779411564</v>
      </c>
    </row>
    <row r="187" spans="1:13" x14ac:dyDescent="0.35">
      <c r="A187" s="2" t="s">
        <v>63</v>
      </c>
      <c r="B187" s="2" t="s">
        <v>14</v>
      </c>
      <c r="C187" s="2">
        <v>0</v>
      </c>
      <c r="D187" s="2">
        <v>198</v>
      </c>
      <c r="E187" s="2">
        <v>-4115480.12</v>
      </c>
      <c r="F187" s="2" t="s">
        <v>15</v>
      </c>
      <c r="G187" s="2" t="s">
        <v>15</v>
      </c>
      <c r="H187" s="2" t="s">
        <v>69</v>
      </c>
      <c r="I187" s="2" t="s">
        <v>21</v>
      </c>
      <c r="J187" s="2" t="s">
        <v>18</v>
      </c>
      <c r="K187" s="2" t="s">
        <v>19</v>
      </c>
      <c r="L187" s="2" t="s">
        <v>69</v>
      </c>
      <c r="M187" s="5">
        <v>256779411563</v>
      </c>
    </row>
    <row r="188" spans="1:13" x14ac:dyDescent="0.35">
      <c r="A188" s="2" t="s">
        <v>63</v>
      </c>
      <c r="B188" s="2" t="s">
        <v>14</v>
      </c>
      <c r="C188" s="2">
        <v>0</v>
      </c>
      <c r="D188" s="2">
        <v>13629</v>
      </c>
      <c r="E188" s="2">
        <v>-4129109.12</v>
      </c>
      <c r="F188" s="2" t="s">
        <v>15</v>
      </c>
      <c r="G188" s="2" t="s">
        <v>15</v>
      </c>
      <c r="H188" s="2" t="s">
        <v>70</v>
      </c>
      <c r="I188" s="2" t="s">
        <v>71</v>
      </c>
      <c r="J188" s="2" t="s">
        <v>18</v>
      </c>
      <c r="K188" s="2" t="s">
        <v>19</v>
      </c>
      <c r="L188" s="2" t="s">
        <v>70</v>
      </c>
      <c r="M188" s="5">
        <v>256779411151</v>
      </c>
    </row>
    <row r="189" spans="1:13" x14ac:dyDescent="0.35">
      <c r="A189" s="2" t="s">
        <v>72</v>
      </c>
      <c r="B189" s="2" t="s">
        <v>14</v>
      </c>
      <c r="C189" s="2">
        <v>0</v>
      </c>
      <c r="D189" s="2">
        <v>417286</v>
      </c>
      <c r="E189" s="2">
        <v>-4546395.12</v>
      </c>
      <c r="F189" s="2" t="s">
        <v>15</v>
      </c>
      <c r="G189" s="2" t="s">
        <v>15</v>
      </c>
      <c r="H189" s="2" t="s">
        <v>73</v>
      </c>
      <c r="I189" s="2" t="s">
        <v>36</v>
      </c>
      <c r="J189" s="2" t="s">
        <v>18</v>
      </c>
      <c r="K189" s="2" t="s">
        <v>19</v>
      </c>
      <c r="L189" s="2" t="s">
        <v>73</v>
      </c>
      <c r="M189" s="5">
        <v>256779412117</v>
      </c>
    </row>
    <row r="190" spans="1:13" x14ac:dyDescent="0.35">
      <c r="A190" s="2" t="s">
        <v>72</v>
      </c>
      <c r="B190" s="2" t="s">
        <v>14</v>
      </c>
      <c r="C190" s="2">
        <v>0</v>
      </c>
      <c r="D190" s="2">
        <v>1972</v>
      </c>
      <c r="E190" s="2">
        <v>-4548367.12</v>
      </c>
      <c r="F190" s="2" t="s">
        <v>15</v>
      </c>
      <c r="G190" s="2" t="s">
        <v>15</v>
      </c>
      <c r="H190" s="2" t="s">
        <v>74</v>
      </c>
      <c r="I190" s="2" t="s">
        <v>31</v>
      </c>
      <c r="J190" s="2" t="s">
        <v>18</v>
      </c>
      <c r="K190" s="2" t="s">
        <v>19</v>
      </c>
      <c r="L190" s="2" t="s">
        <v>74</v>
      </c>
      <c r="M190" s="5">
        <v>25677941807</v>
      </c>
    </row>
    <row r="191" spans="1:13" x14ac:dyDescent="0.35">
      <c r="A191" s="2" t="s">
        <v>72</v>
      </c>
      <c r="B191" s="2" t="s">
        <v>14</v>
      </c>
      <c r="C191" s="2">
        <v>0</v>
      </c>
      <c r="D191" s="2">
        <v>1584</v>
      </c>
      <c r="E191" s="2">
        <v>-4549951.12</v>
      </c>
      <c r="F191" s="2" t="s">
        <v>15</v>
      </c>
      <c r="G191" s="2" t="s">
        <v>15</v>
      </c>
      <c r="H191" s="2" t="s">
        <v>75</v>
      </c>
      <c r="I191" s="2" t="s">
        <v>17</v>
      </c>
      <c r="J191" s="2" t="s">
        <v>18</v>
      </c>
      <c r="K191" s="2" t="s">
        <v>19</v>
      </c>
      <c r="L191" s="2" t="s">
        <v>75</v>
      </c>
      <c r="M191" s="5">
        <v>256779412065</v>
      </c>
    </row>
    <row r="192" spans="1:13" x14ac:dyDescent="0.35">
      <c r="A192" s="2" t="s">
        <v>72</v>
      </c>
      <c r="B192" s="2" t="s">
        <v>14</v>
      </c>
      <c r="C192" s="2">
        <v>0</v>
      </c>
      <c r="D192" s="2">
        <v>1256</v>
      </c>
      <c r="E192" s="2">
        <v>-4551207.12</v>
      </c>
      <c r="F192" s="2" t="s">
        <v>15</v>
      </c>
      <c r="G192" s="2" t="s">
        <v>15</v>
      </c>
      <c r="H192" s="2" t="s">
        <v>76</v>
      </c>
      <c r="I192" s="2" t="s">
        <v>21</v>
      </c>
      <c r="J192" s="2" t="s">
        <v>18</v>
      </c>
      <c r="K192" s="2" t="s">
        <v>19</v>
      </c>
      <c r="L192" s="2" t="s">
        <v>76</v>
      </c>
      <c r="M192" s="5">
        <v>256779411885</v>
      </c>
    </row>
    <row r="193" spans="1:13" x14ac:dyDescent="0.35">
      <c r="A193" s="2" t="s">
        <v>72</v>
      </c>
      <c r="B193" s="2" t="s">
        <v>14</v>
      </c>
      <c r="C193" s="2">
        <v>0</v>
      </c>
      <c r="D193" s="2">
        <v>21549</v>
      </c>
      <c r="E193" s="2">
        <v>-4572756.12</v>
      </c>
      <c r="F193" s="2" t="s">
        <v>15</v>
      </c>
      <c r="G193" s="2" t="s">
        <v>15</v>
      </c>
      <c r="H193" s="2" t="s">
        <v>77</v>
      </c>
      <c r="I193" s="2" t="s">
        <v>17</v>
      </c>
      <c r="J193" s="2" t="s">
        <v>18</v>
      </c>
      <c r="K193" s="2" t="s">
        <v>19</v>
      </c>
      <c r="L193" s="2" t="s">
        <v>77</v>
      </c>
      <c r="M193" s="5">
        <v>256779412100</v>
      </c>
    </row>
    <row r="194" spans="1:13" x14ac:dyDescent="0.35">
      <c r="A194" s="2" t="s">
        <v>72</v>
      </c>
      <c r="B194" s="2" t="s">
        <v>14</v>
      </c>
      <c r="C194" s="2">
        <v>0</v>
      </c>
      <c r="D194" s="2">
        <v>447</v>
      </c>
      <c r="E194" s="2">
        <v>-4573203.12</v>
      </c>
      <c r="F194" s="2" t="s">
        <v>15</v>
      </c>
      <c r="G194" s="2" t="s">
        <v>15</v>
      </c>
      <c r="H194" s="2" t="s">
        <v>78</v>
      </c>
      <c r="I194" s="2" t="s">
        <v>21</v>
      </c>
      <c r="J194" s="2" t="s">
        <v>18</v>
      </c>
      <c r="K194" s="2" t="s">
        <v>19</v>
      </c>
      <c r="L194" s="2" t="s">
        <v>78</v>
      </c>
      <c r="M194" s="5">
        <v>256779411886</v>
      </c>
    </row>
    <row r="195" spans="1:13" x14ac:dyDescent="0.35">
      <c r="A195" s="2" t="s">
        <v>72</v>
      </c>
      <c r="B195" s="2" t="s">
        <v>14</v>
      </c>
      <c r="C195" s="2">
        <v>0</v>
      </c>
      <c r="D195" s="2">
        <v>12169</v>
      </c>
      <c r="E195" s="2">
        <v>-4585372.12</v>
      </c>
      <c r="F195" s="2" t="s">
        <v>15</v>
      </c>
      <c r="G195" s="2" t="s">
        <v>15</v>
      </c>
      <c r="H195" s="2" t="s">
        <v>79</v>
      </c>
      <c r="I195" s="2" t="s">
        <v>80</v>
      </c>
      <c r="J195" s="2" t="s">
        <v>18</v>
      </c>
      <c r="K195" s="2" t="s">
        <v>19</v>
      </c>
      <c r="L195" s="2" t="s">
        <v>79</v>
      </c>
      <c r="M195" s="5">
        <v>256779411917</v>
      </c>
    </row>
    <row r="196" spans="1:13" x14ac:dyDescent="0.35">
      <c r="A196" s="2" t="s">
        <v>81</v>
      </c>
      <c r="B196" s="2" t="s">
        <v>14</v>
      </c>
      <c r="C196" s="2">
        <v>0</v>
      </c>
      <c r="D196" s="2">
        <v>34962</v>
      </c>
      <c r="E196" s="2">
        <v>-4620334.12</v>
      </c>
      <c r="F196" s="2" t="s">
        <v>15</v>
      </c>
      <c r="G196" s="2" t="s">
        <v>15</v>
      </c>
      <c r="H196" s="2" t="s">
        <v>82</v>
      </c>
      <c r="I196" s="2" t="s">
        <v>43</v>
      </c>
      <c r="J196" s="2" t="s">
        <v>18</v>
      </c>
      <c r="K196" s="2" t="s">
        <v>19</v>
      </c>
      <c r="L196" s="2" t="s">
        <v>82</v>
      </c>
      <c r="M196" s="5">
        <v>256779412161</v>
      </c>
    </row>
    <row r="197" spans="1:13" x14ac:dyDescent="0.35">
      <c r="A197" s="2" t="s">
        <v>83</v>
      </c>
      <c r="B197" s="2" t="s">
        <v>14</v>
      </c>
      <c r="C197" s="2">
        <v>0</v>
      </c>
      <c r="D197" s="2">
        <v>2085</v>
      </c>
      <c r="E197" s="2">
        <v>-4622419.12</v>
      </c>
      <c r="F197" s="2" t="s">
        <v>15</v>
      </c>
      <c r="G197" s="2" t="s">
        <v>15</v>
      </c>
      <c r="H197" s="2" t="s">
        <v>84</v>
      </c>
      <c r="I197" s="2" t="s">
        <v>21</v>
      </c>
      <c r="J197" s="2" t="s">
        <v>18</v>
      </c>
      <c r="K197" s="2" t="s">
        <v>19</v>
      </c>
      <c r="L197" s="2" t="s">
        <v>84</v>
      </c>
      <c r="M197" s="5">
        <v>256779412655</v>
      </c>
    </row>
    <row r="198" spans="1:13" x14ac:dyDescent="0.35">
      <c r="A198" s="2" t="s">
        <v>83</v>
      </c>
      <c r="B198" s="2" t="s">
        <v>14</v>
      </c>
      <c r="C198" s="2">
        <v>0</v>
      </c>
      <c r="D198" s="2">
        <v>3922</v>
      </c>
      <c r="E198" s="2">
        <v>-4626341.12</v>
      </c>
      <c r="F198" s="2" t="s">
        <v>15</v>
      </c>
      <c r="G198" s="2" t="s">
        <v>15</v>
      </c>
      <c r="H198" s="2" t="s">
        <v>85</v>
      </c>
      <c r="I198" s="2" t="s">
        <v>21</v>
      </c>
      <c r="J198" s="2" t="s">
        <v>18</v>
      </c>
      <c r="K198" s="2" t="s">
        <v>19</v>
      </c>
      <c r="L198" s="2" t="s">
        <v>85</v>
      </c>
      <c r="M198" s="5">
        <v>256779412613</v>
      </c>
    </row>
    <row r="199" spans="1:13" x14ac:dyDescent="0.35">
      <c r="A199" s="2" t="s">
        <v>83</v>
      </c>
      <c r="B199" s="2" t="s">
        <v>14</v>
      </c>
      <c r="C199" s="2">
        <v>0</v>
      </c>
      <c r="D199" s="2">
        <v>14119</v>
      </c>
      <c r="E199" s="2">
        <v>-4640460.12</v>
      </c>
      <c r="F199" s="2" t="s">
        <v>15</v>
      </c>
      <c r="G199" s="2" t="s">
        <v>15</v>
      </c>
      <c r="H199" s="2" t="s">
        <v>86</v>
      </c>
      <c r="I199" s="2" t="s">
        <v>31</v>
      </c>
      <c r="J199" s="2" t="s">
        <v>18</v>
      </c>
      <c r="K199" s="2" t="s">
        <v>19</v>
      </c>
      <c r="L199" s="2" t="s">
        <v>86</v>
      </c>
      <c r="M199" s="5">
        <v>256779412468</v>
      </c>
    </row>
    <row r="200" spans="1:13" x14ac:dyDescent="0.35">
      <c r="A200" s="2" t="s">
        <v>83</v>
      </c>
      <c r="B200" s="2" t="s">
        <v>14</v>
      </c>
      <c r="C200" s="2">
        <v>0</v>
      </c>
      <c r="D200" s="2">
        <v>1447</v>
      </c>
      <c r="E200" s="2">
        <v>-4641907.12</v>
      </c>
      <c r="F200" s="2" t="s">
        <v>15</v>
      </c>
      <c r="G200" s="2" t="s">
        <v>15</v>
      </c>
      <c r="H200" s="2" t="s">
        <v>87</v>
      </c>
      <c r="I200" s="2" t="s">
        <v>88</v>
      </c>
      <c r="J200" s="2" t="s">
        <v>18</v>
      </c>
      <c r="K200" s="2" t="s">
        <v>19</v>
      </c>
      <c r="L200" s="2" t="s">
        <v>87</v>
      </c>
      <c r="M200" s="5">
        <v>256779412675</v>
      </c>
    </row>
    <row r="201" spans="1:13" x14ac:dyDescent="0.35">
      <c r="A201" s="2" t="s">
        <v>83</v>
      </c>
      <c r="B201" s="2" t="s">
        <v>14</v>
      </c>
      <c r="C201" s="2">
        <v>0</v>
      </c>
      <c r="D201" s="2">
        <v>43195</v>
      </c>
      <c r="E201" s="2">
        <v>-4685102.12</v>
      </c>
      <c r="F201" s="2" t="s">
        <v>15</v>
      </c>
      <c r="G201" s="2" t="s">
        <v>15</v>
      </c>
      <c r="H201" s="2" t="s">
        <v>89</v>
      </c>
      <c r="I201" s="2" t="s">
        <v>90</v>
      </c>
      <c r="J201" s="2" t="s">
        <v>18</v>
      </c>
      <c r="K201" s="2" t="s">
        <v>19</v>
      </c>
      <c r="L201" s="2" t="s">
        <v>89</v>
      </c>
      <c r="M201" s="5">
        <v>256779412683</v>
      </c>
    </row>
    <row r="202" spans="1:13" x14ac:dyDescent="0.35">
      <c r="A202" s="2" t="s">
        <v>83</v>
      </c>
      <c r="B202" s="2" t="s">
        <v>14</v>
      </c>
      <c r="C202" s="2">
        <v>0</v>
      </c>
      <c r="D202" s="2">
        <v>10809</v>
      </c>
      <c r="E202" s="2">
        <v>-4695911.12</v>
      </c>
      <c r="F202" s="2" t="s">
        <v>15</v>
      </c>
      <c r="G202" s="2" t="s">
        <v>15</v>
      </c>
      <c r="H202" s="2" t="s">
        <v>91</v>
      </c>
      <c r="I202" s="2" t="s">
        <v>31</v>
      </c>
      <c r="J202" s="2" t="s">
        <v>18</v>
      </c>
      <c r="K202" s="2" t="s">
        <v>19</v>
      </c>
      <c r="L202" s="2" t="s">
        <v>91</v>
      </c>
      <c r="M202" s="5">
        <v>256779412461</v>
      </c>
    </row>
    <row r="203" spans="1:13" x14ac:dyDescent="0.35">
      <c r="A203" s="2" t="s">
        <v>92</v>
      </c>
      <c r="B203" s="2" t="s">
        <v>14</v>
      </c>
      <c r="C203" s="2">
        <v>0</v>
      </c>
      <c r="D203" s="2">
        <v>1878</v>
      </c>
      <c r="E203" s="2">
        <v>-4697789.12</v>
      </c>
      <c r="F203" s="2" t="s">
        <v>15</v>
      </c>
      <c r="G203" s="2" t="s">
        <v>15</v>
      </c>
      <c r="H203" s="2" t="s">
        <v>93</v>
      </c>
      <c r="I203" s="2" t="s">
        <v>21</v>
      </c>
      <c r="J203" s="2" t="s">
        <v>18</v>
      </c>
      <c r="K203" s="2" t="s">
        <v>19</v>
      </c>
      <c r="L203" s="2" t="s">
        <v>93</v>
      </c>
      <c r="M203" s="5">
        <v>256779412926</v>
      </c>
    </row>
    <row r="204" spans="1:13" x14ac:dyDescent="0.35">
      <c r="A204" s="2" t="s">
        <v>92</v>
      </c>
      <c r="B204" s="2" t="s">
        <v>14</v>
      </c>
      <c r="C204" s="2">
        <v>0</v>
      </c>
      <c r="D204" s="2">
        <v>13211</v>
      </c>
      <c r="E204" s="2">
        <v>-4711000.12</v>
      </c>
      <c r="F204" s="2" t="s">
        <v>15</v>
      </c>
      <c r="G204" s="2" t="s">
        <v>15</v>
      </c>
      <c r="H204" s="2" t="s">
        <v>94</v>
      </c>
      <c r="I204" s="2" t="s">
        <v>21</v>
      </c>
      <c r="J204" s="2" t="s">
        <v>18</v>
      </c>
      <c r="K204" s="2" t="s">
        <v>19</v>
      </c>
      <c r="L204" s="2" t="s">
        <v>94</v>
      </c>
      <c r="M204" s="5">
        <v>256779412950</v>
      </c>
    </row>
    <row r="205" spans="1:13" x14ac:dyDescent="0.35">
      <c r="A205" s="2" t="s">
        <v>92</v>
      </c>
      <c r="B205" s="2" t="s">
        <v>14</v>
      </c>
      <c r="C205" s="2">
        <v>0</v>
      </c>
      <c r="D205" s="2">
        <v>27408</v>
      </c>
      <c r="E205" s="2">
        <v>-4738408.12</v>
      </c>
      <c r="F205" s="2" t="s">
        <v>15</v>
      </c>
      <c r="G205" s="2" t="s">
        <v>15</v>
      </c>
      <c r="H205" s="2" t="s">
        <v>95</v>
      </c>
      <c r="I205" s="2" t="s">
        <v>71</v>
      </c>
      <c r="J205" s="2" t="s">
        <v>18</v>
      </c>
      <c r="K205" s="2" t="s">
        <v>19</v>
      </c>
      <c r="L205" s="2" t="s">
        <v>95</v>
      </c>
      <c r="M205" s="5">
        <v>256779412941</v>
      </c>
    </row>
    <row r="206" spans="1:13" x14ac:dyDescent="0.35">
      <c r="A206" s="2" t="s">
        <v>92</v>
      </c>
      <c r="B206" s="2" t="s">
        <v>14</v>
      </c>
      <c r="C206" s="2">
        <v>0</v>
      </c>
      <c r="D206" s="2">
        <v>6084</v>
      </c>
      <c r="E206" s="2">
        <v>-4744492.12</v>
      </c>
      <c r="F206" s="2" t="s">
        <v>15</v>
      </c>
      <c r="G206" s="2" t="s">
        <v>15</v>
      </c>
      <c r="H206" s="2" t="s">
        <v>96</v>
      </c>
      <c r="I206" s="2" t="s">
        <v>80</v>
      </c>
      <c r="J206" s="2" t="s">
        <v>18</v>
      </c>
      <c r="K206" s="2" t="s">
        <v>19</v>
      </c>
      <c r="L206" s="2" t="s">
        <v>96</v>
      </c>
      <c r="M206" s="5">
        <v>256779412692</v>
      </c>
    </row>
    <row r="207" spans="1:13" x14ac:dyDescent="0.35">
      <c r="A207" s="2" t="s">
        <v>97</v>
      </c>
      <c r="B207" s="2" t="s">
        <v>14</v>
      </c>
      <c r="C207" s="2">
        <v>0</v>
      </c>
      <c r="D207" s="2">
        <v>7981</v>
      </c>
      <c r="E207" s="2">
        <v>-4752473.12</v>
      </c>
      <c r="F207" s="2" t="s">
        <v>15</v>
      </c>
      <c r="G207" s="2" t="s">
        <v>15</v>
      </c>
      <c r="H207" s="2" t="s">
        <v>98</v>
      </c>
      <c r="I207" s="2" t="s">
        <v>17</v>
      </c>
      <c r="J207" s="2" t="s">
        <v>18</v>
      </c>
      <c r="K207" s="2" t="s">
        <v>19</v>
      </c>
      <c r="L207" s="2" t="s">
        <v>98</v>
      </c>
      <c r="M207" s="5">
        <v>256779412777</v>
      </c>
    </row>
    <row r="208" spans="1:13" x14ac:dyDescent="0.35">
      <c r="A208" s="2" t="s">
        <v>99</v>
      </c>
      <c r="B208" s="2" t="s">
        <v>14</v>
      </c>
      <c r="C208" s="2">
        <v>0</v>
      </c>
      <c r="D208" s="2">
        <v>15927</v>
      </c>
      <c r="E208" s="2">
        <v>-4768400.12</v>
      </c>
      <c r="F208" s="2" t="s">
        <v>15</v>
      </c>
      <c r="G208" s="2" t="s">
        <v>15</v>
      </c>
      <c r="H208" s="2" t="s">
        <v>100</v>
      </c>
      <c r="I208" s="2" t="s">
        <v>31</v>
      </c>
      <c r="J208" s="2" t="s">
        <v>18</v>
      </c>
      <c r="K208" s="2" t="s">
        <v>19</v>
      </c>
      <c r="L208" s="2" t="s">
        <v>100</v>
      </c>
      <c r="M208" s="5">
        <v>256779413163</v>
      </c>
    </row>
    <row r="209" spans="1:13" x14ac:dyDescent="0.35">
      <c r="A209" s="2" t="s">
        <v>99</v>
      </c>
      <c r="B209" s="2" t="s">
        <v>14</v>
      </c>
      <c r="C209" s="2">
        <v>0</v>
      </c>
      <c r="D209" s="2">
        <v>35097</v>
      </c>
      <c r="E209" s="2">
        <v>-4803497.12</v>
      </c>
      <c r="F209" s="2" t="s">
        <v>15</v>
      </c>
      <c r="G209" s="2" t="s">
        <v>15</v>
      </c>
      <c r="H209" s="2" t="s">
        <v>101</v>
      </c>
      <c r="I209" s="2" t="s">
        <v>43</v>
      </c>
      <c r="J209" s="2" t="s">
        <v>18</v>
      </c>
      <c r="K209" s="2" t="s">
        <v>19</v>
      </c>
      <c r="L209" s="2" t="s">
        <v>101</v>
      </c>
      <c r="M209" s="5">
        <v>256779413127</v>
      </c>
    </row>
    <row r="210" spans="1:13" x14ac:dyDescent="0.35">
      <c r="A210" s="2" t="s">
        <v>99</v>
      </c>
      <c r="B210" s="2" t="s">
        <v>14</v>
      </c>
      <c r="C210" s="2">
        <v>0</v>
      </c>
      <c r="D210" s="2">
        <v>11810</v>
      </c>
      <c r="E210" s="2">
        <v>-4815307.12</v>
      </c>
      <c r="F210" s="2" t="s">
        <v>15</v>
      </c>
      <c r="G210" s="2" t="s">
        <v>15</v>
      </c>
      <c r="H210" s="2" t="s">
        <v>102</v>
      </c>
      <c r="I210" s="2" t="s">
        <v>21</v>
      </c>
      <c r="J210" s="2" t="s">
        <v>18</v>
      </c>
      <c r="K210" s="2" t="s">
        <v>19</v>
      </c>
      <c r="L210" s="2" t="s">
        <v>102</v>
      </c>
      <c r="M210" s="5">
        <v>256779413172</v>
      </c>
    </row>
    <row r="211" spans="1:13" x14ac:dyDescent="0.35">
      <c r="A211" s="2" t="s">
        <v>99</v>
      </c>
      <c r="B211" s="2" t="s">
        <v>14</v>
      </c>
      <c r="C211" s="2">
        <v>0</v>
      </c>
      <c r="D211" s="2">
        <v>3623</v>
      </c>
      <c r="E211" s="2">
        <v>-4818930.12</v>
      </c>
      <c r="F211" s="2" t="s">
        <v>15</v>
      </c>
      <c r="G211" s="2" t="s">
        <v>15</v>
      </c>
      <c r="H211" s="2" t="s">
        <v>103</v>
      </c>
      <c r="I211" s="2" t="s">
        <v>17</v>
      </c>
      <c r="J211" s="2" t="s">
        <v>18</v>
      </c>
      <c r="K211" s="2" t="s">
        <v>19</v>
      </c>
      <c r="L211" s="2" t="s">
        <v>103</v>
      </c>
      <c r="M211" s="5">
        <v>256779413243</v>
      </c>
    </row>
    <row r="212" spans="1:13" x14ac:dyDescent="0.35">
      <c r="A212" s="2" t="s">
        <v>104</v>
      </c>
      <c r="B212" s="2" t="s">
        <v>14</v>
      </c>
      <c r="C212" s="2">
        <v>0</v>
      </c>
      <c r="D212" s="2">
        <v>1264</v>
      </c>
      <c r="E212" s="2">
        <v>-4820194.12</v>
      </c>
      <c r="F212" s="2" t="s">
        <v>15</v>
      </c>
      <c r="G212" s="2" t="s">
        <v>15</v>
      </c>
      <c r="H212" s="2" t="s">
        <v>105</v>
      </c>
      <c r="I212" s="2" t="s">
        <v>21</v>
      </c>
      <c r="J212" s="2" t="s">
        <v>18</v>
      </c>
      <c r="K212" s="2" t="s">
        <v>19</v>
      </c>
      <c r="L212" s="2" t="s">
        <v>105</v>
      </c>
      <c r="M212" s="5">
        <v>256779413357</v>
      </c>
    </row>
    <row r="213" spans="1:13" x14ac:dyDescent="0.35">
      <c r="A213" s="2" t="s">
        <v>104</v>
      </c>
      <c r="B213" s="2" t="s">
        <v>14</v>
      </c>
      <c r="C213" s="2">
        <v>0</v>
      </c>
      <c r="D213" s="2">
        <v>11797</v>
      </c>
      <c r="E213" s="2">
        <v>-4831991.12</v>
      </c>
      <c r="F213" s="2" t="s">
        <v>15</v>
      </c>
      <c r="G213" s="2" t="s">
        <v>15</v>
      </c>
      <c r="H213" s="2" t="s">
        <v>106</v>
      </c>
      <c r="I213" s="2" t="s">
        <v>107</v>
      </c>
      <c r="J213" s="2" t="s">
        <v>18</v>
      </c>
      <c r="K213" s="2" t="s">
        <v>19</v>
      </c>
      <c r="L213" s="2" t="s">
        <v>106</v>
      </c>
      <c r="M213" s="5">
        <v>256779413283</v>
      </c>
    </row>
    <row r="214" spans="1:13" x14ac:dyDescent="0.35">
      <c r="A214" s="2" t="s">
        <v>108</v>
      </c>
      <c r="B214" s="2" t="s">
        <v>14</v>
      </c>
      <c r="C214" s="2">
        <v>0</v>
      </c>
      <c r="D214" s="2">
        <v>1054</v>
      </c>
      <c r="E214" s="2">
        <v>-4833045.12</v>
      </c>
      <c r="F214" s="2" t="s">
        <v>15</v>
      </c>
      <c r="G214" s="2" t="s">
        <v>15</v>
      </c>
      <c r="H214" s="2" t="s">
        <v>109</v>
      </c>
      <c r="I214" s="2" t="s">
        <v>21</v>
      </c>
      <c r="J214" s="2" t="s">
        <v>18</v>
      </c>
      <c r="K214" s="2" t="s">
        <v>19</v>
      </c>
      <c r="L214" s="2" t="s">
        <v>109</v>
      </c>
      <c r="M214" s="5">
        <v>256779413486</v>
      </c>
    </row>
    <row r="215" spans="1:13" x14ac:dyDescent="0.35">
      <c r="A215" s="2" t="s">
        <v>108</v>
      </c>
      <c r="B215" s="2" t="s">
        <v>14</v>
      </c>
      <c r="C215" s="2">
        <v>0</v>
      </c>
      <c r="D215" s="2">
        <v>12177</v>
      </c>
      <c r="E215" s="2">
        <v>-4845222.12</v>
      </c>
      <c r="F215" s="2" t="s">
        <v>15</v>
      </c>
      <c r="G215" s="2" t="s">
        <v>15</v>
      </c>
      <c r="H215" s="2" t="s">
        <v>110</v>
      </c>
      <c r="I215" s="2" t="s">
        <v>17</v>
      </c>
      <c r="J215" s="2" t="s">
        <v>18</v>
      </c>
      <c r="K215" s="2" t="s">
        <v>19</v>
      </c>
      <c r="L215" s="2" t="s">
        <v>110</v>
      </c>
      <c r="M215" s="5">
        <v>256779413837</v>
      </c>
    </row>
    <row r="216" spans="1:13" x14ac:dyDescent="0.35">
      <c r="A216" s="2" t="s">
        <v>111</v>
      </c>
      <c r="B216" s="2" t="s">
        <v>14</v>
      </c>
      <c r="C216" s="2">
        <v>0</v>
      </c>
      <c r="D216" s="2">
        <v>3960</v>
      </c>
      <c r="E216" s="2">
        <v>-4849182.12</v>
      </c>
      <c r="F216" s="2" t="s">
        <v>15</v>
      </c>
      <c r="G216" s="2" t="s">
        <v>15</v>
      </c>
      <c r="H216" s="2" t="s">
        <v>112</v>
      </c>
      <c r="I216" s="2" t="s">
        <v>31</v>
      </c>
      <c r="J216" s="2" t="s">
        <v>18</v>
      </c>
      <c r="K216" s="2" t="s">
        <v>19</v>
      </c>
      <c r="L216" s="2" t="s">
        <v>112</v>
      </c>
      <c r="M216" s="5">
        <v>256779413405</v>
      </c>
    </row>
    <row r="217" spans="1:13" x14ac:dyDescent="0.35">
      <c r="A217" s="2" t="s">
        <v>111</v>
      </c>
      <c r="B217" s="2" t="s">
        <v>14</v>
      </c>
      <c r="C217" s="2">
        <v>0</v>
      </c>
      <c r="D217" s="2">
        <v>7129</v>
      </c>
      <c r="E217" s="2">
        <v>-4856311.12</v>
      </c>
      <c r="F217" s="2" t="s">
        <v>15</v>
      </c>
      <c r="G217" s="2" t="s">
        <v>15</v>
      </c>
      <c r="H217" s="2" t="s">
        <v>113</v>
      </c>
      <c r="I217" s="2" t="s">
        <v>31</v>
      </c>
      <c r="J217" s="2" t="s">
        <v>18</v>
      </c>
      <c r="K217" s="2" t="s">
        <v>19</v>
      </c>
      <c r="L217" s="2" t="s">
        <v>113</v>
      </c>
      <c r="M217" s="5">
        <v>256779413404</v>
      </c>
    </row>
    <row r="218" spans="1:13" x14ac:dyDescent="0.35">
      <c r="A218" s="2" t="s">
        <v>111</v>
      </c>
      <c r="B218" s="2" t="s">
        <v>14</v>
      </c>
      <c r="C218" s="2">
        <v>0</v>
      </c>
      <c r="D218" s="2">
        <v>990</v>
      </c>
      <c r="E218" s="2">
        <v>-4857301.12</v>
      </c>
      <c r="F218" s="2" t="s">
        <v>15</v>
      </c>
      <c r="G218" s="2" t="s">
        <v>15</v>
      </c>
      <c r="H218" s="2" t="s">
        <v>114</v>
      </c>
      <c r="I218" s="2" t="s">
        <v>21</v>
      </c>
      <c r="J218" s="2" t="s">
        <v>18</v>
      </c>
      <c r="K218" s="2" t="s">
        <v>19</v>
      </c>
      <c r="L218" s="2" t="s">
        <v>114</v>
      </c>
      <c r="M218" s="5">
        <v>256779413427</v>
      </c>
    </row>
    <row r="219" spans="1:13" x14ac:dyDescent="0.35">
      <c r="A219" s="2" t="s">
        <v>111</v>
      </c>
      <c r="B219" s="2" t="s">
        <v>14</v>
      </c>
      <c r="C219" s="2">
        <v>0</v>
      </c>
      <c r="D219" s="2">
        <v>990</v>
      </c>
      <c r="E219" s="2">
        <v>-4858291.12</v>
      </c>
      <c r="F219" s="2" t="s">
        <v>15</v>
      </c>
      <c r="G219" s="2" t="s">
        <v>15</v>
      </c>
      <c r="H219" s="2" t="s">
        <v>115</v>
      </c>
      <c r="I219" s="2" t="s">
        <v>21</v>
      </c>
      <c r="J219" s="2" t="s">
        <v>18</v>
      </c>
      <c r="K219" s="2" t="s">
        <v>19</v>
      </c>
      <c r="L219" s="2" t="s">
        <v>115</v>
      </c>
      <c r="M219" s="5">
        <v>256779413428</v>
      </c>
    </row>
    <row r="220" spans="1:13" x14ac:dyDescent="0.35">
      <c r="A220" s="2" t="s">
        <v>111</v>
      </c>
      <c r="B220" s="2" t="s">
        <v>14</v>
      </c>
      <c r="C220" s="2">
        <v>0</v>
      </c>
      <c r="D220" s="2">
        <v>601</v>
      </c>
      <c r="E220" s="2">
        <v>-4858892.12</v>
      </c>
      <c r="F220" s="2" t="s">
        <v>15</v>
      </c>
      <c r="G220" s="2" t="s">
        <v>15</v>
      </c>
      <c r="H220" s="2" t="s">
        <v>116</v>
      </c>
      <c r="I220" s="2" t="s">
        <v>21</v>
      </c>
      <c r="J220" s="2" t="s">
        <v>18</v>
      </c>
      <c r="K220" s="2" t="s">
        <v>19</v>
      </c>
      <c r="L220" s="2" t="s">
        <v>116</v>
      </c>
      <c r="M220" s="5">
        <v>256779413429</v>
      </c>
    </row>
    <row r="221" spans="1:13" x14ac:dyDescent="0.35">
      <c r="A221" s="2" t="s">
        <v>111</v>
      </c>
      <c r="B221" s="2" t="s">
        <v>14</v>
      </c>
      <c r="C221" s="2">
        <v>0</v>
      </c>
      <c r="D221" s="2">
        <v>1201</v>
      </c>
      <c r="E221" s="2">
        <v>-4860093.12</v>
      </c>
      <c r="F221" s="2" t="s">
        <v>15</v>
      </c>
      <c r="G221" s="2" t="s">
        <v>15</v>
      </c>
      <c r="H221" s="2" t="s">
        <v>117</v>
      </c>
      <c r="I221" s="2" t="s">
        <v>21</v>
      </c>
      <c r="J221" s="2" t="s">
        <v>18</v>
      </c>
      <c r="K221" s="2" t="s">
        <v>19</v>
      </c>
      <c r="L221" s="2" t="s">
        <v>117</v>
      </c>
      <c r="M221" s="5">
        <v>256779413430</v>
      </c>
    </row>
    <row r="222" spans="1:13" x14ac:dyDescent="0.35">
      <c r="A222" s="2" t="s">
        <v>118</v>
      </c>
      <c r="B222" s="2" t="s">
        <v>14</v>
      </c>
      <c r="C222" s="2">
        <v>0</v>
      </c>
      <c r="D222" s="2">
        <v>333696</v>
      </c>
      <c r="E222" s="2">
        <v>-5193789.12</v>
      </c>
      <c r="F222" s="2" t="s">
        <v>15</v>
      </c>
      <c r="G222" s="2" t="s">
        <v>15</v>
      </c>
      <c r="H222" s="2" t="s">
        <v>119</v>
      </c>
      <c r="I222" s="2" t="s">
        <v>36</v>
      </c>
      <c r="J222" s="2" t="s">
        <v>18</v>
      </c>
      <c r="K222" s="2" t="s">
        <v>19</v>
      </c>
      <c r="L222" s="2" t="s">
        <v>119</v>
      </c>
      <c r="M222" s="5">
        <v>256779413899</v>
      </c>
    </row>
    <row r="223" spans="1:13" x14ac:dyDescent="0.35">
      <c r="A223" s="2" t="s">
        <v>120</v>
      </c>
      <c r="B223" s="2" t="s">
        <v>14</v>
      </c>
      <c r="C223" s="2">
        <v>177773</v>
      </c>
      <c r="D223" s="2">
        <v>0</v>
      </c>
      <c r="E223" s="2">
        <v>-5016016.12</v>
      </c>
      <c r="F223" s="2" t="s">
        <v>121</v>
      </c>
      <c r="G223" s="2" t="s">
        <v>122</v>
      </c>
      <c r="H223" s="2" t="s">
        <v>123</v>
      </c>
      <c r="I223" s="2" t="s">
        <v>124</v>
      </c>
      <c r="J223" s="2" t="s">
        <v>18</v>
      </c>
      <c r="K223" s="2" t="s">
        <v>19</v>
      </c>
      <c r="L223" s="2"/>
      <c r="M223" s="5"/>
    </row>
    <row r="224" spans="1:13" x14ac:dyDescent="0.35">
      <c r="A224" s="2" t="s">
        <v>125</v>
      </c>
      <c r="B224" s="2" t="s">
        <v>14</v>
      </c>
      <c r="C224" s="2">
        <v>0</v>
      </c>
      <c r="D224" s="2">
        <v>9844</v>
      </c>
      <c r="E224" s="2">
        <v>-5025860.12</v>
      </c>
      <c r="F224" s="2" t="s">
        <v>15</v>
      </c>
      <c r="G224" s="2" t="s">
        <v>15</v>
      </c>
      <c r="H224" s="2" t="s">
        <v>126</v>
      </c>
      <c r="I224" s="2" t="s">
        <v>21</v>
      </c>
      <c r="J224" s="2" t="s">
        <v>18</v>
      </c>
      <c r="K224" s="2" t="s">
        <v>19</v>
      </c>
      <c r="L224" s="2" t="s">
        <v>126</v>
      </c>
      <c r="M224" s="5">
        <v>256779414165</v>
      </c>
    </row>
    <row r="225" spans="1:13" x14ac:dyDescent="0.35">
      <c r="A225" s="2" t="s">
        <v>125</v>
      </c>
      <c r="B225" s="2" t="s">
        <v>14</v>
      </c>
      <c r="C225" s="2">
        <v>0</v>
      </c>
      <c r="D225" s="2">
        <v>8407</v>
      </c>
      <c r="E225" s="2">
        <v>-5034267.12</v>
      </c>
      <c r="F225" s="2" t="s">
        <v>15</v>
      </c>
      <c r="G225" s="2" t="s">
        <v>15</v>
      </c>
      <c r="H225" s="2" t="s">
        <v>127</v>
      </c>
      <c r="I225" s="2" t="s">
        <v>21</v>
      </c>
      <c r="J225" s="2" t="s">
        <v>18</v>
      </c>
      <c r="K225" s="2" t="s">
        <v>19</v>
      </c>
      <c r="L225" s="2" t="s">
        <v>127</v>
      </c>
      <c r="M225" s="5">
        <v>256779414216</v>
      </c>
    </row>
    <row r="226" spans="1:13" x14ac:dyDescent="0.35">
      <c r="A226" s="2" t="s">
        <v>125</v>
      </c>
      <c r="B226" s="2" t="s">
        <v>14</v>
      </c>
      <c r="C226" s="2">
        <v>500946.52</v>
      </c>
      <c r="D226" s="2">
        <v>0</v>
      </c>
      <c r="E226" s="2">
        <v>-4533320.5999999996</v>
      </c>
      <c r="F226" s="2" t="s">
        <v>121</v>
      </c>
      <c r="G226" s="2" t="s">
        <v>122</v>
      </c>
      <c r="H226" s="2" t="s">
        <v>128</v>
      </c>
      <c r="I226" s="2" t="s">
        <v>124</v>
      </c>
      <c r="J226" s="2" t="s">
        <v>18</v>
      </c>
      <c r="K226" s="2" t="s">
        <v>19</v>
      </c>
      <c r="L226" s="2" t="s">
        <v>129</v>
      </c>
      <c r="M226" s="5">
        <v>246779410117</v>
      </c>
    </row>
    <row r="227" spans="1:13" x14ac:dyDescent="0.35">
      <c r="A227" s="2" t="s">
        <v>125</v>
      </c>
      <c r="B227" s="2" t="s">
        <v>14</v>
      </c>
      <c r="C227" s="2">
        <v>0</v>
      </c>
      <c r="D227" s="2">
        <v>17313</v>
      </c>
      <c r="E227" s="2">
        <v>-4550633.5999999996</v>
      </c>
      <c r="F227" s="2" t="s">
        <v>15</v>
      </c>
      <c r="G227" s="2" t="s">
        <v>15</v>
      </c>
      <c r="H227" s="2" t="s">
        <v>130</v>
      </c>
      <c r="I227" s="2" t="s">
        <v>80</v>
      </c>
      <c r="J227" s="2" t="s">
        <v>18</v>
      </c>
      <c r="K227" s="2" t="s">
        <v>19</v>
      </c>
      <c r="L227" s="2" t="s">
        <v>130</v>
      </c>
      <c r="M227" s="5">
        <v>256779414288</v>
      </c>
    </row>
    <row r="228" spans="1:13" x14ac:dyDescent="0.35">
      <c r="A228" s="2" t="s">
        <v>125</v>
      </c>
      <c r="B228" s="2" t="s">
        <v>14</v>
      </c>
      <c r="C228" s="2">
        <v>0</v>
      </c>
      <c r="D228" s="2">
        <v>41769</v>
      </c>
      <c r="E228" s="2">
        <v>-4592402.5999999996</v>
      </c>
      <c r="F228" s="2" t="s">
        <v>15</v>
      </c>
      <c r="G228" s="2" t="s">
        <v>15</v>
      </c>
      <c r="H228" s="2" t="s">
        <v>131</v>
      </c>
      <c r="I228" s="2" t="s">
        <v>132</v>
      </c>
      <c r="J228" s="2" t="s">
        <v>18</v>
      </c>
      <c r="K228" s="2" t="s">
        <v>19</v>
      </c>
      <c r="L228" s="2" t="s">
        <v>131</v>
      </c>
      <c r="M228" s="5">
        <v>256779414158</v>
      </c>
    </row>
    <row r="229" spans="1:13" x14ac:dyDescent="0.35">
      <c r="A229" s="2" t="s">
        <v>133</v>
      </c>
      <c r="B229" s="2" t="s">
        <v>14</v>
      </c>
      <c r="C229" s="2">
        <v>0</v>
      </c>
      <c r="D229" s="2">
        <v>352792</v>
      </c>
      <c r="E229" s="2">
        <v>-4945194.5999999996</v>
      </c>
      <c r="F229" s="2" t="s">
        <v>15</v>
      </c>
      <c r="G229" s="2" t="s">
        <v>15</v>
      </c>
      <c r="H229" s="2" t="s">
        <v>134</v>
      </c>
      <c r="I229" s="2" t="s">
        <v>36</v>
      </c>
      <c r="J229" s="2" t="s">
        <v>18</v>
      </c>
      <c r="K229" s="2" t="s">
        <v>19</v>
      </c>
      <c r="L229" s="2" t="s">
        <v>134</v>
      </c>
      <c r="M229" s="5">
        <v>256779414242</v>
      </c>
    </row>
    <row r="230" spans="1:13" x14ac:dyDescent="0.35">
      <c r="A230" s="2" t="s">
        <v>135</v>
      </c>
      <c r="B230" s="2" t="s">
        <v>14</v>
      </c>
      <c r="C230" s="2">
        <v>0</v>
      </c>
      <c r="D230" s="2">
        <v>35431</v>
      </c>
      <c r="E230" s="2">
        <v>-4980625.5999999996</v>
      </c>
      <c r="F230" s="2" t="s">
        <v>15</v>
      </c>
      <c r="G230" s="2" t="s">
        <v>15</v>
      </c>
      <c r="H230" s="2" t="s">
        <v>136</v>
      </c>
      <c r="I230" s="2" t="s">
        <v>43</v>
      </c>
      <c r="J230" s="2" t="s">
        <v>18</v>
      </c>
      <c r="K230" s="2" t="s">
        <v>19</v>
      </c>
      <c r="L230" s="2" t="s">
        <v>136</v>
      </c>
      <c r="M230" s="5">
        <v>256779414386</v>
      </c>
    </row>
    <row r="231" spans="1:13" x14ac:dyDescent="0.35">
      <c r="A231" s="2" t="s">
        <v>137</v>
      </c>
      <c r="B231" s="2" t="s">
        <v>14</v>
      </c>
      <c r="C231" s="2">
        <v>700000</v>
      </c>
      <c r="D231" s="2">
        <v>0</v>
      </c>
      <c r="E231" s="2">
        <v>-4280625.5999999996</v>
      </c>
      <c r="F231" s="2" t="s">
        <v>121</v>
      </c>
      <c r="G231" s="2" t="s">
        <v>122</v>
      </c>
      <c r="H231" s="2" t="s">
        <v>138</v>
      </c>
      <c r="I231" s="2" t="s">
        <v>124</v>
      </c>
      <c r="J231" s="2" t="s">
        <v>18</v>
      </c>
      <c r="K231" s="2" t="s">
        <v>19</v>
      </c>
      <c r="L231" s="2"/>
      <c r="M231" s="5"/>
    </row>
    <row r="232" spans="1:13" x14ac:dyDescent="0.35">
      <c r="A232" s="2" t="s">
        <v>139</v>
      </c>
      <c r="B232" s="2" t="s">
        <v>14</v>
      </c>
      <c r="C232" s="2">
        <v>700000</v>
      </c>
      <c r="D232" s="2">
        <v>0</v>
      </c>
      <c r="E232" s="2">
        <v>-3580625.6</v>
      </c>
      <c r="F232" s="2" t="s">
        <v>121</v>
      </c>
      <c r="G232" s="2" t="s">
        <v>122</v>
      </c>
      <c r="H232" s="2" t="s">
        <v>140</v>
      </c>
      <c r="I232" s="2" t="s">
        <v>124</v>
      </c>
      <c r="J232" s="2" t="s">
        <v>18</v>
      </c>
      <c r="K232" s="2" t="s">
        <v>19</v>
      </c>
      <c r="L232" s="2"/>
      <c r="M232" s="5"/>
    </row>
    <row r="233" spans="1:13" x14ac:dyDescent="0.35">
      <c r="A233" s="2" t="s">
        <v>141</v>
      </c>
      <c r="B233" s="2" t="s">
        <v>14</v>
      </c>
      <c r="C233" s="2">
        <v>700000</v>
      </c>
      <c r="D233" s="2">
        <v>0</v>
      </c>
      <c r="E233" s="2">
        <v>-2880625.6</v>
      </c>
      <c r="F233" s="2" t="s">
        <v>121</v>
      </c>
      <c r="G233" s="2" t="s">
        <v>122</v>
      </c>
      <c r="H233" s="2" t="s">
        <v>142</v>
      </c>
      <c r="I233" s="2" t="s">
        <v>124</v>
      </c>
      <c r="J233" s="2" t="s">
        <v>18</v>
      </c>
      <c r="K233" s="2" t="s">
        <v>19</v>
      </c>
      <c r="L233" s="2"/>
      <c r="M233" s="5"/>
    </row>
    <row r="234" spans="1:13" x14ac:dyDescent="0.35">
      <c r="A234" s="2" t="s">
        <v>143</v>
      </c>
      <c r="B234" s="2" t="s">
        <v>14</v>
      </c>
      <c r="C234" s="2">
        <v>700000</v>
      </c>
      <c r="D234" s="2">
        <v>0</v>
      </c>
      <c r="E234" s="2">
        <v>-2180625.6</v>
      </c>
      <c r="F234" s="2" t="s">
        <v>121</v>
      </c>
      <c r="G234" s="2" t="s">
        <v>122</v>
      </c>
      <c r="H234" s="2" t="s">
        <v>144</v>
      </c>
      <c r="I234" s="2" t="s">
        <v>124</v>
      </c>
      <c r="J234" s="2" t="s">
        <v>18</v>
      </c>
      <c r="K234" s="2" t="s">
        <v>19</v>
      </c>
      <c r="L234" s="2"/>
      <c r="M234" s="5"/>
    </row>
    <row r="235" spans="1:13" x14ac:dyDescent="0.35">
      <c r="A235" s="2" t="s">
        <v>145</v>
      </c>
      <c r="B235" s="2" t="s">
        <v>14</v>
      </c>
      <c r="C235" s="2">
        <v>700000</v>
      </c>
      <c r="D235" s="2">
        <v>0</v>
      </c>
      <c r="E235" s="2">
        <v>-1480625.6</v>
      </c>
      <c r="F235" s="2" t="s">
        <v>121</v>
      </c>
      <c r="G235" s="2" t="s">
        <v>122</v>
      </c>
      <c r="H235" s="2" t="s">
        <v>146</v>
      </c>
      <c r="I235" s="2" t="s">
        <v>124</v>
      </c>
      <c r="J235" s="2" t="s">
        <v>18</v>
      </c>
      <c r="K235" s="2" t="s">
        <v>19</v>
      </c>
      <c r="L235" s="2"/>
      <c r="M235" s="5"/>
    </row>
    <row r="236" spans="1:13" x14ac:dyDescent="0.35">
      <c r="A236" s="2" t="s">
        <v>145</v>
      </c>
      <c r="B236" s="2" t="s">
        <v>14</v>
      </c>
      <c r="C236" s="2">
        <v>0</v>
      </c>
      <c r="D236" s="2">
        <v>151725</v>
      </c>
      <c r="E236" s="2">
        <v>-1632350.6</v>
      </c>
      <c r="F236" s="2" t="s">
        <v>15</v>
      </c>
      <c r="G236" s="2" t="s">
        <v>15</v>
      </c>
      <c r="H236" s="2" t="s">
        <v>147</v>
      </c>
      <c r="I236" s="2" t="s">
        <v>36</v>
      </c>
      <c r="J236" s="2" t="s">
        <v>18</v>
      </c>
      <c r="K236" s="2" t="s">
        <v>19</v>
      </c>
      <c r="L236" s="2" t="s">
        <v>147</v>
      </c>
      <c r="M236" s="5">
        <v>246779410348</v>
      </c>
    </row>
    <row r="237" spans="1:13" x14ac:dyDescent="0.35">
      <c r="A237" s="2" t="s">
        <v>148</v>
      </c>
      <c r="B237" s="2" t="s">
        <v>14</v>
      </c>
      <c r="C237" s="2">
        <v>19430</v>
      </c>
      <c r="D237" s="2">
        <v>0</v>
      </c>
      <c r="E237" s="2">
        <v>-1612920.6</v>
      </c>
      <c r="F237" s="2" t="s">
        <v>15</v>
      </c>
      <c r="G237" s="2" t="s">
        <v>149</v>
      </c>
      <c r="H237" s="2" t="s">
        <v>150</v>
      </c>
      <c r="I237" s="2" t="s">
        <v>36</v>
      </c>
      <c r="J237" s="2" t="s">
        <v>18</v>
      </c>
      <c r="K237" s="2" t="s">
        <v>19</v>
      </c>
      <c r="L237" s="2" t="s">
        <v>40</v>
      </c>
      <c r="M237" s="5">
        <v>246779413705</v>
      </c>
    </row>
    <row r="238" spans="1:13" x14ac:dyDescent="0.35">
      <c r="A238" s="2" t="s">
        <v>148</v>
      </c>
      <c r="B238" s="2" t="s">
        <v>14</v>
      </c>
      <c r="C238" s="2">
        <v>18611</v>
      </c>
      <c r="D238" s="2">
        <v>0</v>
      </c>
      <c r="E238" s="2">
        <v>-1594309.6</v>
      </c>
      <c r="F238" s="2" t="s">
        <v>15</v>
      </c>
      <c r="G238" s="2" t="s">
        <v>149</v>
      </c>
      <c r="H238" s="2" t="s">
        <v>151</v>
      </c>
      <c r="I238" s="2" t="s">
        <v>107</v>
      </c>
      <c r="J238" s="2" t="s">
        <v>18</v>
      </c>
      <c r="K238" s="2" t="s">
        <v>19</v>
      </c>
      <c r="L238" s="2" t="s">
        <v>152</v>
      </c>
      <c r="M238" s="5">
        <v>246779413816</v>
      </c>
    </row>
    <row r="239" spans="1:13" x14ac:dyDescent="0.35">
      <c r="A239" s="2" t="s">
        <v>148</v>
      </c>
      <c r="B239" s="2" t="s">
        <v>14</v>
      </c>
      <c r="C239" s="2">
        <v>31723</v>
      </c>
      <c r="D239" s="2">
        <v>0</v>
      </c>
      <c r="E239" s="2">
        <v>-1562586.6</v>
      </c>
      <c r="F239" s="2" t="s">
        <v>15</v>
      </c>
      <c r="G239" s="2" t="s">
        <v>149</v>
      </c>
      <c r="H239" s="2" t="s">
        <v>153</v>
      </c>
      <c r="I239" s="2" t="s">
        <v>107</v>
      </c>
      <c r="J239" s="2" t="s">
        <v>18</v>
      </c>
      <c r="K239" s="2" t="s">
        <v>19</v>
      </c>
      <c r="L239" s="2" t="s">
        <v>154</v>
      </c>
      <c r="M239" s="5">
        <v>246779413827</v>
      </c>
    </row>
    <row r="240" spans="1:13" x14ac:dyDescent="0.35">
      <c r="A240" s="2" t="s">
        <v>148</v>
      </c>
      <c r="B240" s="2" t="s">
        <v>14</v>
      </c>
      <c r="C240" s="2">
        <v>17857</v>
      </c>
      <c r="D240" s="2">
        <v>0</v>
      </c>
      <c r="E240" s="2">
        <v>-1544729.6000000001</v>
      </c>
      <c r="F240" s="2" t="s">
        <v>15</v>
      </c>
      <c r="G240" s="2" t="s">
        <v>149</v>
      </c>
      <c r="H240" s="2" t="s">
        <v>155</v>
      </c>
      <c r="I240" s="2" t="s">
        <v>107</v>
      </c>
      <c r="J240" s="2" t="s">
        <v>18</v>
      </c>
      <c r="K240" s="2" t="s">
        <v>19</v>
      </c>
      <c r="L240" s="2" t="s">
        <v>156</v>
      </c>
      <c r="M240" s="5">
        <v>246779411339</v>
      </c>
    </row>
    <row r="241" spans="1:13" x14ac:dyDescent="0.35">
      <c r="A241" s="2" t="s">
        <v>148</v>
      </c>
      <c r="B241" s="2" t="s">
        <v>14</v>
      </c>
      <c r="C241" s="2">
        <v>11798</v>
      </c>
      <c r="D241" s="2">
        <v>0</v>
      </c>
      <c r="E241" s="2">
        <v>-1532931.6</v>
      </c>
      <c r="F241" s="2" t="s">
        <v>15</v>
      </c>
      <c r="G241" s="2" t="s">
        <v>149</v>
      </c>
      <c r="H241" s="2" t="s">
        <v>157</v>
      </c>
      <c r="I241" s="2" t="s">
        <v>107</v>
      </c>
      <c r="J241" s="2" t="s">
        <v>18</v>
      </c>
      <c r="K241" s="2" t="s">
        <v>19</v>
      </c>
      <c r="L241" s="2" t="s">
        <v>106</v>
      </c>
      <c r="M241" s="5">
        <v>256779413283</v>
      </c>
    </row>
    <row r="242" spans="1:13" x14ac:dyDescent="0.35">
      <c r="A242" s="2" t="s">
        <v>148</v>
      </c>
      <c r="B242" s="2" t="s">
        <v>14</v>
      </c>
      <c r="C242" s="2">
        <v>20874</v>
      </c>
      <c r="D242" s="2">
        <v>0</v>
      </c>
      <c r="E242" s="2">
        <v>-1512057.6</v>
      </c>
      <c r="F242" s="2" t="s">
        <v>15</v>
      </c>
      <c r="G242" s="2" t="s">
        <v>149</v>
      </c>
      <c r="H242" s="2" t="s">
        <v>158</v>
      </c>
      <c r="I242" s="2" t="s">
        <v>107</v>
      </c>
      <c r="J242" s="2" t="s">
        <v>18</v>
      </c>
      <c r="K242" s="2" t="s">
        <v>19</v>
      </c>
      <c r="L242" s="2" t="s">
        <v>159</v>
      </c>
      <c r="M242" s="5">
        <v>246779411326</v>
      </c>
    </row>
    <row r="243" spans="1:13" x14ac:dyDescent="0.35">
      <c r="A243" s="2" t="s">
        <v>148</v>
      </c>
      <c r="B243" s="2" t="s">
        <v>14</v>
      </c>
      <c r="C243" s="2">
        <v>140649</v>
      </c>
      <c r="D243" s="2">
        <v>0</v>
      </c>
      <c r="E243" s="2">
        <v>-1371408.6</v>
      </c>
      <c r="F243" s="2" t="s">
        <v>15</v>
      </c>
      <c r="G243" s="2" t="s">
        <v>149</v>
      </c>
      <c r="H243" s="2" t="s">
        <v>160</v>
      </c>
      <c r="I243" s="2" t="s">
        <v>36</v>
      </c>
      <c r="J243" s="2" t="s">
        <v>18</v>
      </c>
      <c r="K243" s="2" t="s">
        <v>19</v>
      </c>
      <c r="L243" s="2" t="s">
        <v>57</v>
      </c>
      <c r="M243" s="5">
        <v>256779410010</v>
      </c>
    </row>
    <row r="244" spans="1:13" x14ac:dyDescent="0.35">
      <c r="A244" s="2" t="s">
        <v>148</v>
      </c>
      <c r="B244" s="2" t="s">
        <v>14</v>
      </c>
      <c r="C244" s="2">
        <v>55272</v>
      </c>
      <c r="D244" s="2">
        <v>0</v>
      </c>
      <c r="E244" s="2">
        <v>-1316136.6000000001</v>
      </c>
      <c r="F244" s="2" t="s">
        <v>15</v>
      </c>
      <c r="G244" s="2" t="s">
        <v>149</v>
      </c>
      <c r="H244" s="2" t="s">
        <v>161</v>
      </c>
      <c r="I244" s="2" t="s">
        <v>36</v>
      </c>
      <c r="J244" s="2" t="s">
        <v>18</v>
      </c>
      <c r="K244" s="2" t="s">
        <v>19</v>
      </c>
      <c r="L244" s="2" t="s">
        <v>58</v>
      </c>
      <c r="M244" s="5">
        <v>256779410004</v>
      </c>
    </row>
    <row r="245" spans="1:13" x14ac:dyDescent="0.35">
      <c r="A245" s="2" t="s">
        <v>148</v>
      </c>
      <c r="B245" s="2" t="s">
        <v>14</v>
      </c>
      <c r="C245" s="2">
        <v>4786</v>
      </c>
      <c r="D245" s="2">
        <v>0</v>
      </c>
      <c r="E245" s="2">
        <v>-1311350.6000000001</v>
      </c>
      <c r="F245" s="2" t="s">
        <v>15</v>
      </c>
      <c r="G245" s="2" t="s">
        <v>149</v>
      </c>
      <c r="H245" s="2" t="s">
        <v>162</v>
      </c>
      <c r="I245" s="2" t="s">
        <v>36</v>
      </c>
      <c r="J245" s="2" t="s">
        <v>18</v>
      </c>
      <c r="K245" s="2" t="s">
        <v>19</v>
      </c>
      <c r="L245" s="2" t="s">
        <v>162</v>
      </c>
      <c r="M245" s="5">
        <v>256779421381</v>
      </c>
    </row>
    <row r="246" spans="1:13" x14ac:dyDescent="0.35">
      <c r="A246" s="2" t="s">
        <v>148</v>
      </c>
      <c r="B246" s="2" t="s">
        <v>14</v>
      </c>
      <c r="C246" s="2">
        <v>11955</v>
      </c>
      <c r="D246" s="2">
        <v>0</v>
      </c>
      <c r="E246" s="2">
        <v>-1299395.6000000001</v>
      </c>
      <c r="F246" s="2" t="s">
        <v>15</v>
      </c>
      <c r="G246" s="2" t="s">
        <v>149</v>
      </c>
      <c r="H246" s="2" t="s">
        <v>163</v>
      </c>
      <c r="I246" s="2" t="s">
        <v>39</v>
      </c>
      <c r="J246" s="2" t="s">
        <v>18</v>
      </c>
      <c r="K246" s="2" t="s">
        <v>19</v>
      </c>
      <c r="L246" s="2" t="s">
        <v>38</v>
      </c>
      <c r="M246" s="5">
        <v>246779413845</v>
      </c>
    </row>
    <row r="247" spans="1:13" x14ac:dyDescent="0.35">
      <c r="A247" s="2" t="s">
        <v>148</v>
      </c>
      <c r="B247" s="2" t="s">
        <v>14</v>
      </c>
      <c r="C247" s="2">
        <v>0</v>
      </c>
      <c r="D247" s="2">
        <v>163631</v>
      </c>
      <c r="E247" s="2">
        <v>-1463026.6</v>
      </c>
      <c r="F247" s="2" t="s">
        <v>15</v>
      </c>
      <c r="G247" s="2" t="s">
        <v>15</v>
      </c>
      <c r="H247" s="2" t="s">
        <v>164</v>
      </c>
      <c r="I247" s="2" t="s">
        <v>36</v>
      </c>
      <c r="J247" s="2" t="s">
        <v>18</v>
      </c>
      <c r="K247" s="2" t="s">
        <v>19</v>
      </c>
      <c r="L247" s="2" t="s">
        <v>164</v>
      </c>
      <c r="M247" s="5">
        <v>246779413796</v>
      </c>
    </row>
    <row r="248" spans="1:13" x14ac:dyDescent="0.35">
      <c r="A248" s="2" t="s">
        <v>148</v>
      </c>
      <c r="B248" s="2" t="s">
        <v>14</v>
      </c>
      <c r="C248" s="2">
        <v>12467</v>
      </c>
      <c r="D248" s="2">
        <v>0</v>
      </c>
      <c r="E248" s="2">
        <v>-1450559.6</v>
      </c>
      <c r="F248" s="2" t="s">
        <v>15</v>
      </c>
      <c r="G248" s="2" t="s">
        <v>149</v>
      </c>
      <c r="H248" s="2" t="s">
        <v>165</v>
      </c>
      <c r="I248" s="2" t="s">
        <v>36</v>
      </c>
      <c r="J248" s="2" t="s">
        <v>18</v>
      </c>
      <c r="K248" s="2" t="s">
        <v>19</v>
      </c>
      <c r="L248" s="2" t="s">
        <v>165</v>
      </c>
      <c r="M248" s="5">
        <v>256779421383</v>
      </c>
    </row>
    <row r="249" spans="1:13" x14ac:dyDescent="0.35">
      <c r="A249" s="2" t="s">
        <v>148</v>
      </c>
      <c r="B249" s="2" t="s">
        <v>14</v>
      </c>
      <c r="C249" s="2">
        <v>6084</v>
      </c>
      <c r="D249" s="2">
        <v>0</v>
      </c>
      <c r="E249" s="2">
        <v>-1444475.6</v>
      </c>
      <c r="F249" s="2" t="s">
        <v>15</v>
      </c>
      <c r="G249" s="2" t="s">
        <v>149</v>
      </c>
      <c r="H249" s="2" t="s">
        <v>166</v>
      </c>
      <c r="I249" s="2" t="s">
        <v>80</v>
      </c>
      <c r="J249" s="2" t="s">
        <v>18</v>
      </c>
      <c r="K249" s="2" t="s">
        <v>19</v>
      </c>
      <c r="L249" s="2" t="s">
        <v>166</v>
      </c>
      <c r="M249" s="5">
        <v>256779421376</v>
      </c>
    </row>
    <row r="250" spans="1:13" x14ac:dyDescent="0.35">
      <c r="A250" s="2" t="s">
        <v>148</v>
      </c>
      <c r="B250" s="2" t="s">
        <v>14</v>
      </c>
      <c r="C250" s="2">
        <v>12169</v>
      </c>
      <c r="D250" s="2">
        <v>0</v>
      </c>
      <c r="E250" s="2">
        <v>-1432306.6</v>
      </c>
      <c r="F250" s="2" t="s">
        <v>15</v>
      </c>
      <c r="G250" s="2" t="s">
        <v>149</v>
      </c>
      <c r="H250" s="2" t="s">
        <v>167</v>
      </c>
      <c r="I250" s="2" t="s">
        <v>80</v>
      </c>
      <c r="J250" s="2" t="s">
        <v>18</v>
      </c>
      <c r="K250" s="2" t="s">
        <v>19</v>
      </c>
      <c r="L250" s="2" t="s">
        <v>167</v>
      </c>
      <c r="M250" s="5">
        <v>256779421370</v>
      </c>
    </row>
    <row r="251" spans="1:13" x14ac:dyDescent="0.35">
      <c r="A251" s="2" t="s">
        <v>148</v>
      </c>
      <c r="B251" s="2" t="s">
        <v>14</v>
      </c>
      <c r="C251" s="2">
        <v>114223</v>
      </c>
      <c r="D251" s="2">
        <v>0</v>
      </c>
      <c r="E251" s="2">
        <v>-1318083.6000000001</v>
      </c>
      <c r="F251" s="2" t="s">
        <v>15</v>
      </c>
      <c r="G251" s="2" t="s">
        <v>149</v>
      </c>
      <c r="H251" s="2" t="s">
        <v>168</v>
      </c>
      <c r="I251" s="2" t="s">
        <v>36</v>
      </c>
      <c r="J251" s="2" t="s">
        <v>18</v>
      </c>
      <c r="K251" s="2" t="s">
        <v>19</v>
      </c>
      <c r="L251" s="2" t="s">
        <v>168</v>
      </c>
      <c r="M251" s="5">
        <v>256779421367</v>
      </c>
    </row>
    <row r="252" spans="1:13" x14ac:dyDescent="0.35">
      <c r="A252" s="2" t="s">
        <v>148</v>
      </c>
      <c r="B252" s="2" t="s">
        <v>14</v>
      </c>
      <c r="C252" s="2">
        <v>0</v>
      </c>
      <c r="D252" s="2">
        <v>31577</v>
      </c>
      <c r="E252" s="2">
        <v>-1349660.6</v>
      </c>
      <c r="F252" s="2" t="s">
        <v>15</v>
      </c>
      <c r="G252" s="2" t="s">
        <v>15</v>
      </c>
      <c r="H252" s="2" t="s">
        <v>169</v>
      </c>
      <c r="I252" s="2" t="s">
        <v>36</v>
      </c>
      <c r="J252" s="2" t="s">
        <v>18</v>
      </c>
      <c r="K252" s="2" t="s">
        <v>19</v>
      </c>
      <c r="L252" s="2" t="s">
        <v>169</v>
      </c>
      <c r="M252" s="5">
        <v>246779413702</v>
      </c>
    </row>
    <row r="253" spans="1:13" x14ac:dyDescent="0.35">
      <c r="A253" s="2" t="s">
        <v>148</v>
      </c>
      <c r="B253" s="2" t="s">
        <v>14</v>
      </c>
      <c r="C253" s="2">
        <v>31577</v>
      </c>
      <c r="D253" s="2">
        <v>0</v>
      </c>
      <c r="E253" s="2">
        <v>-1318083.6000000001</v>
      </c>
      <c r="F253" s="2" t="s">
        <v>15</v>
      </c>
      <c r="G253" s="2" t="s">
        <v>149</v>
      </c>
      <c r="H253" s="2" t="s">
        <v>170</v>
      </c>
      <c r="I253" s="2" t="s">
        <v>36</v>
      </c>
      <c r="J253" s="2" t="s">
        <v>18</v>
      </c>
      <c r="K253" s="2" t="s">
        <v>19</v>
      </c>
      <c r="L253" s="2" t="s">
        <v>170</v>
      </c>
      <c r="M253" s="5">
        <v>256779421361</v>
      </c>
    </row>
    <row r="254" spans="1:13" x14ac:dyDescent="0.35">
      <c r="A254" s="2" t="s">
        <v>148</v>
      </c>
      <c r="B254" s="2" t="s">
        <v>14</v>
      </c>
      <c r="C254" s="2">
        <v>17313</v>
      </c>
      <c r="D254" s="2">
        <v>330</v>
      </c>
      <c r="E254" s="2">
        <v>-1301100.6000000001</v>
      </c>
      <c r="F254" s="2" t="s">
        <v>15</v>
      </c>
      <c r="G254" s="2" t="s">
        <v>171</v>
      </c>
      <c r="H254" s="2" t="s">
        <v>172</v>
      </c>
      <c r="I254" s="2" t="s">
        <v>80</v>
      </c>
      <c r="J254" s="2" t="s">
        <v>18</v>
      </c>
      <c r="K254" s="2" t="s">
        <v>19</v>
      </c>
      <c r="L254" s="2" t="s">
        <v>173</v>
      </c>
      <c r="M254" s="5">
        <v>256779421379</v>
      </c>
    </row>
    <row r="255" spans="1:13" x14ac:dyDescent="0.35">
      <c r="A255" s="2" t="s">
        <v>148</v>
      </c>
      <c r="B255" s="2" t="s">
        <v>14</v>
      </c>
      <c r="C255" s="2">
        <v>8696</v>
      </c>
      <c r="D255" s="2">
        <v>173</v>
      </c>
      <c r="E255" s="2">
        <v>-1292577.6000000001</v>
      </c>
      <c r="F255" s="2" t="s">
        <v>15</v>
      </c>
      <c r="G255" s="2" t="s">
        <v>171</v>
      </c>
      <c r="H255" s="2" t="s">
        <v>174</v>
      </c>
      <c r="I255" s="2" t="s">
        <v>107</v>
      </c>
      <c r="J255" s="2" t="s">
        <v>18</v>
      </c>
      <c r="K255" s="2" t="s">
        <v>19</v>
      </c>
      <c r="L255" s="2" t="s">
        <v>175</v>
      </c>
      <c r="M255" s="5">
        <v>256779421373</v>
      </c>
    </row>
    <row r="256" spans="1:13" x14ac:dyDescent="0.35">
      <c r="A256" s="2" t="s">
        <v>176</v>
      </c>
      <c r="B256" s="2" t="s">
        <v>14</v>
      </c>
      <c r="C256" s="2">
        <v>700000</v>
      </c>
      <c r="D256" s="2">
        <v>0</v>
      </c>
      <c r="E256" s="2">
        <v>-592577.59999999963</v>
      </c>
      <c r="F256" s="2" t="s">
        <v>121</v>
      </c>
      <c r="G256" s="2" t="s">
        <v>122</v>
      </c>
      <c r="H256" s="2" t="s">
        <v>177</v>
      </c>
      <c r="I256" s="2" t="s">
        <v>124</v>
      </c>
      <c r="J256" s="2" t="s">
        <v>18</v>
      </c>
      <c r="K256" s="2" t="s">
        <v>19</v>
      </c>
      <c r="L256" s="2"/>
      <c r="M256" s="5"/>
    </row>
    <row r="257" spans="1:13" x14ac:dyDescent="0.35">
      <c r="A257" s="2" t="s">
        <v>178</v>
      </c>
      <c r="B257" s="2" t="s">
        <v>14</v>
      </c>
      <c r="C257" s="2">
        <v>0</v>
      </c>
      <c r="D257" s="2">
        <v>9368</v>
      </c>
      <c r="E257" s="2">
        <v>-601945.59999999963</v>
      </c>
      <c r="F257" s="2" t="s">
        <v>15</v>
      </c>
      <c r="G257" s="2" t="s">
        <v>15</v>
      </c>
      <c r="H257" s="2" t="s">
        <v>179</v>
      </c>
      <c r="I257" s="2" t="s">
        <v>31</v>
      </c>
      <c r="J257" s="2" t="s">
        <v>18</v>
      </c>
      <c r="K257" s="2" t="s">
        <v>19</v>
      </c>
      <c r="L257" s="2" t="s">
        <v>179</v>
      </c>
      <c r="M257" s="5">
        <v>256779415945</v>
      </c>
    </row>
    <row r="258" spans="1:13" x14ac:dyDescent="0.35">
      <c r="A258" s="2" t="s">
        <v>180</v>
      </c>
      <c r="B258" s="2" t="s">
        <v>14</v>
      </c>
      <c r="C258" s="2">
        <v>350672</v>
      </c>
      <c r="D258" s="2">
        <v>0</v>
      </c>
      <c r="E258" s="2">
        <v>-251273.5999999996</v>
      </c>
      <c r="F258" s="2" t="s">
        <v>121</v>
      </c>
      <c r="G258" s="2" t="s">
        <v>122</v>
      </c>
      <c r="H258" s="2" t="s">
        <v>181</v>
      </c>
      <c r="I258" s="2" t="s">
        <v>124</v>
      </c>
      <c r="J258" s="2" t="s">
        <v>18</v>
      </c>
      <c r="K258" s="2" t="s">
        <v>19</v>
      </c>
      <c r="L258" s="2"/>
      <c r="M258" s="5"/>
    </row>
    <row r="259" spans="1:13" x14ac:dyDescent="0.35">
      <c r="A259" s="2" t="s">
        <v>180</v>
      </c>
      <c r="B259" s="2" t="s">
        <v>14</v>
      </c>
      <c r="C259" s="2">
        <v>0</v>
      </c>
      <c r="D259" s="2">
        <v>32007</v>
      </c>
      <c r="E259" s="2">
        <v>-283280.59999999963</v>
      </c>
      <c r="F259" s="2" t="s">
        <v>15</v>
      </c>
      <c r="G259" s="2" t="s">
        <v>15</v>
      </c>
      <c r="H259" s="2" t="s">
        <v>182</v>
      </c>
      <c r="I259" s="2" t="s">
        <v>36</v>
      </c>
      <c r="J259" s="2" t="s">
        <v>18</v>
      </c>
      <c r="K259" s="2" t="s">
        <v>19</v>
      </c>
      <c r="L259" s="2" t="s">
        <v>182</v>
      </c>
      <c r="M259" s="5">
        <v>256779415967</v>
      </c>
    </row>
    <row r="260" spans="1:13" x14ac:dyDescent="0.35">
      <c r="A260" s="2" t="s">
        <v>180</v>
      </c>
      <c r="B260" s="2" t="s">
        <v>14</v>
      </c>
      <c r="C260" s="2">
        <v>0</v>
      </c>
      <c r="D260" s="2">
        <v>9348</v>
      </c>
      <c r="E260" s="2">
        <v>-292628.59999999963</v>
      </c>
      <c r="F260" s="2" t="s">
        <v>15</v>
      </c>
      <c r="G260" s="2" t="s">
        <v>15</v>
      </c>
      <c r="H260" s="2" t="s">
        <v>183</v>
      </c>
      <c r="I260" s="2" t="s">
        <v>36</v>
      </c>
      <c r="J260" s="2" t="s">
        <v>18</v>
      </c>
      <c r="K260" s="2" t="s">
        <v>19</v>
      </c>
      <c r="L260" s="2" t="s">
        <v>183</v>
      </c>
      <c r="M260" s="5">
        <v>256779415970</v>
      </c>
    </row>
    <row r="261" spans="1:13" x14ac:dyDescent="0.35">
      <c r="A261" s="2" t="s">
        <v>180</v>
      </c>
      <c r="B261" s="2" t="s">
        <v>14</v>
      </c>
      <c r="C261" s="2">
        <v>0</v>
      </c>
      <c r="D261" s="2">
        <v>196</v>
      </c>
      <c r="E261" s="2">
        <v>-292824.59999999963</v>
      </c>
      <c r="F261" s="2" t="s">
        <v>15</v>
      </c>
      <c r="G261" s="2" t="s">
        <v>15</v>
      </c>
      <c r="H261" s="2" t="s">
        <v>184</v>
      </c>
      <c r="I261" s="2" t="s">
        <v>17</v>
      </c>
      <c r="J261" s="2" t="s">
        <v>18</v>
      </c>
      <c r="K261" s="2" t="s">
        <v>19</v>
      </c>
      <c r="L261" s="2" t="s">
        <v>184</v>
      </c>
      <c r="M261" s="5">
        <v>256779415995</v>
      </c>
    </row>
    <row r="262" spans="1:13" x14ac:dyDescent="0.35">
      <c r="A262" s="2" t="s">
        <v>185</v>
      </c>
      <c r="B262" s="2" t="s">
        <v>14</v>
      </c>
      <c r="C262" s="2">
        <v>33376</v>
      </c>
      <c r="D262" s="2">
        <v>0</v>
      </c>
      <c r="E262" s="2">
        <v>-259448.5999999996</v>
      </c>
      <c r="F262" s="2" t="s">
        <v>15</v>
      </c>
      <c r="G262" s="2" t="s">
        <v>149</v>
      </c>
      <c r="H262" s="2" t="s">
        <v>186</v>
      </c>
      <c r="I262" s="2" t="s">
        <v>107</v>
      </c>
      <c r="J262" s="2" t="s">
        <v>18</v>
      </c>
      <c r="K262" s="2" t="s">
        <v>19</v>
      </c>
      <c r="L262" s="2" t="s">
        <v>187</v>
      </c>
      <c r="M262" s="5">
        <v>246779411300</v>
      </c>
    </row>
    <row r="263" spans="1:13" x14ac:dyDescent="0.35">
      <c r="A263" s="2" t="s">
        <v>185</v>
      </c>
      <c r="B263" s="2" t="s">
        <v>14</v>
      </c>
      <c r="C263" s="2">
        <v>15778</v>
      </c>
      <c r="D263" s="2">
        <v>0</v>
      </c>
      <c r="E263" s="2">
        <v>-243670.5999999996</v>
      </c>
      <c r="F263" s="2" t="s">
        <v>15</v>
      </c>
      <c r="G263" s="2" t="s">
        <v>149</v>
      </c>
      <c r="H263" s="2" t="s">
        <v>188</v>
      </c>
      <c r="I263" s="2" t="s">
        <v>36</v>
      </c>
      <c r="J263" s="2" t="s">
        <v>18</v>
      </c>
      <c r="K263" s="2" t="s">
        <v>19</v>
      </c>
      <c r="L263" s="2" t="s">
        <v>188</v>
      </c>
      <c r="M263" s="5" t="s">
        <v>189</v>
      </c>
    </row>
    <row r="264" spans="1:13" x14ac:dyDescent="0.35">
      <c r="A264" s="2" t="s">
        <v>185</v>
      </c>
      <c r="B264" s="2" t="s">
        <v>14</v>
      </c>
      <c r="C264" s="2">
        <v>0</v>
      </c>
      <c r="D264" s="2">
        <v>44602</v>
      </c>
      <c r="E264" s="2">
        <v>-288272.59999999963</v>
      </c>
      <c r="F264" s="2" t="s">
        <v>15</v>
      </c>
      <c r="G264" s="2" t="s">
        <v>15</v>
      </c>
      <c r="H264" s="2" t="s">
        <v>190</v>
      </c>
      <c r="I264" s="2" t="s">
        <v>107</v>
      </c>
      <c r="J264" s="2" t="s">
        <v>18</v>
      </c>
      <c r="K264" s="2" t="s">
        <v>19</v>
      </c>
      <c r="L264" s="2" t="s">
        <v>190</v>
      </c>
      <c r="M264" s="5">
        <v>246779411278</v>
      </c>
    </row>
    <row r="265" spans="1:13" x14ac:dyDescent="0.35">
      <c r="A265" s="2" t="s">
        <v>185</v>
      </c>
      <c r="B265" s="2" t="s">
        <v>14</v>
      </c>
      <c r="C265" s="2">
        <v>36410</v>
      </c>
      <c r="D265" s="2">
        <v>0</v>
      </c>
      <c r="E265" s="2">
        <v>-251862.5999999996</v>
      </c>
      <c r="F265" s="2" t="s">
        <v>15</v>
      </c>
      <c r="G265" s="2" t="s">
        <v>149</v>
      </c>
      <c r="H265" s="2" t="s">
        <v>191</v>
      </c>
      <c r="I265" s="2" t="s">
        <v>107</v>
      </c>
      <c r="J265" s="2" t="s">
        <v>18</v>
      </c>
      <c r="K265" s="2" t="s">
        <v>19</v>
      </c>
      <c r="L265" s="2" t="s">
        <v>191</v>
      </c>
      <c r="M265" s="5" t="s">
        <v>192</v>
      </c>
    </row>
    <row r="266" spans="1:13" x14ac:dyDescent="0.35">
      <c r="A266" s="2" t="s">
        <v>185</v>
      </c>
      <c r="B266" s="2" t="s">
        <v>14</v>
      </c>
      <c r="C266" s="2">
        <v>15401</v>
      </c>
      <c r="D266" s="2">
        <v>0</v>
      </c>
      <c r="E266" s="2">
        <v>-236461.5999999996</v>
      </c>
      <c r="F266" s="2" t="s">
        <v>15</v>
      </c>
      <c r="G266" s="2" t="s">
        <v>149</v>
      </c>
      <c r="H266" s="2" t="s">
        <v>193</v>
      </c>
      <c r="I266" s="2" t="s">
        <v>43</v>
      </c>
      <c r="J266" s="2" t="s">
        <v>18</v>
      </c>
      <c r="K266" s="2" t="s">
        <v>19</v>
      </c>
      <c r="L266" s="2" t="s">
        <v>193</v>
      </c>
      <c r="M266" s="5" t="s">
        <v>194</v>
      </c>
    </row>
    <row r="267" spans="1:13" x14ac:dyDescent="0.35">
      <c r="A267" s="2" t="s">
        <v>185</v>
      </c>
      <c r="B267" s="2" t="s">
        <v>14</v>
      </c>
      <c r="C267" s="2">
        <v>0</v>
      </c>
      <c r="D267" s="2">
        <v>18367</v>
      </c>
      <c r="E267" s="2">
        <v>-254828.5999999996</v>
      </c>
      <c r="F267" s="2" t="s">
        <v>15</v>
      </c>
      <c r="G267" s="2" t="s">
        <v>15</v>
      </c>
      <c r="H267" s="2" t="s">
        <v>195</v>
      </c>
      <c r="I267" s="2" t="s">
        <v>43</v>
      </c>
      <c r="J267" s="2" t="s">
        <v>18</v>
      </c>
      <c r="K267" s="2" t="s">
        <v>19</v>
      </c>
      <c r="L267" s="2" t="s">
        <v>195</v>
      </c>
      <c r="M267" s="5">
        <v>246779413701</v>
      </c>
    </row>
    <row r="268" spans="1:13" x14ac:dyDescent="0.35">
      <c r="A268" s="2" t="s">
        <v>196</v>
      </c>
      <c r="B268" s="2" t="s">
        <v>14</v>
      </c>
      <c r="C268" s="2">
        <v>0</v>
      </c>
      <c r="D268" s="2">
        <v>9124</v>
      </c>
      <c r="E268" s="2">
        <v>-263952.59999999963</v>
      </c>
      <c r="F268" s="2" t="s">
        <v>15</v>
      </c>
      <c r="G268" s="2" t="s">
        <v>15</v>
      </c>
      <c r="H268" s="2" t="s">
        <v>197</v>
      </c>
      <c r="I268" s="2" t="s">
        <v>21</v>
      </c>
      <c r="J268" s="2" t="s">
        <v>18</v>
      </c>
      <c r="K268" s="2" t="s">
        <v>19</v>
      </c>
      <c r="L268" s="2" t="s">
        <v>197</v>
      </c>
      <c r="M268" s="5">
        <v>256779416223</v>
      </c>
    </row>
    <row r="269" spans="1:13" x14ac:dyDescent="0.35">
      <c r="A269" s="2" t="s">
        <v>196</v>
      </c>
      <c r="B269" s="2" t="s">
        <v>14</v>
      </c>
      <c r="C269" s="2">
        <v>0</v>
      </c>
      <c r="D269" s="2">
        <v>4755</v>
      </c>
      <c r="E269" s="2">
        <v>-268707.59999999963</v>
      </c>
      <c r="F269" s="2" t="s">
        <v>15</v>
      </c>
      <c r="G269" s="2" t="s">
        <v>15</v>
      </c>
      <c r="H269" s="2" t="s">
        <v>198</v>
      </c>
      <c r="I269" s="2" t="s">
        <v>21</v>
      </c>
      <c r="J269" s="2" t="s">
        <v>18</v>
      </c>
      <c r="K269" s="2" t="s">
        <v>19</v>
      </c>
      <c r="L269" s="2" t="s">
        <v>198</v>
      </c>
      <c r="M269" s="5">
        <v>256779416256</v>
      </c>
    </row>
    <row r="270" spans="1:13" x14ac:dyDescent="0.35">
      <c r="A270" s="2" t="s">
        <v>196</v>
      </c>
      <c r="B270" s="2" t="s">
        <v>14</v>
      </c>
      <c r="C270" s="2">
        <v>0</v>
      </c>
      <c r="D270" s="2">
        <v>462828</v>
      </c>
      <c r="E270" s="2">
        <v>-731535.59999999963</v>
      </c>
      <c r="F270" s="2" t="s">
        <v>15</v>
      </c>
      <c r="G270" s="2" t="s">
        <v>15</v>
      </c>
      <c r="H270" s="2" t="s">
        <v>199</v>
      </c>
      <c r="I270" s="2" t="s">
        <v>200</v>
      </c>
      <c r="J270" s="2" t="s">
        <v>18</v>
      </c>
      <c r="K270" s="2" t="s">
        <v>19</v>
      </c>
      <c r="L270" s="2" t="s">
        <v>199</v>
      </c>
      <c r="M270" s="5">
        <v>256779416088</v>
      </c>
    </row>
    <row r="271" spans="1:13" x14ac:dyDescent="0.35">
      <c r="A271" s="2" t="s">
        <v>201</v>
      </c>
      <c r="B271" s="2" t="s">
        <v>14</v>
      </c>
      <c r="C271" s="2">
        <v>0</v>
      </c>
      <c r="D271" s="2">
        <v>4790</v>
      </c>
      <c r="E271" s="2">
        <v>-736325.59999999963</v>
      </c>
      <c r="F271" s="2" t="s">
        <v>15</v>
      </c>
      <c r="G271" s="2" t="s">
        <v>15</v>
      </c>
      <c r="H271" s="2" t="s">
        <v>202</v>
      </c>
      <c r="I271" s="2" t="s">
        <v>90</v>
      </c>
      <c r="J271" s="2" t="s">
        <v>18</v>
      </c>
      <c r="K271" s="2" t="s">
        <v>19</v>
      </c>
      <c r="L271" s="2" t="s">
        <v>202</v>
      </c>
      <c r="M271" s="5">
        <v>256779416615</v>
      </c>
    </row>
    <row r="272" spans="1:13" x14ac:dyDescent="0.35">
      <c r="A272" s="2" t="s">
        <v>201</v>
      </c>
      <c r="B272" s="2" t="s">
        <v>14</v>
      </c>
      <c r="C272" s="2">
        <v>0</v>
      </c>
      <c r="D272" s="2">
        <v>6981</v>
      </c>
      <c r="E272" s="2">
        <v>-743306.59999999963</v>
      </c>
      <c r="F272" s="2" t="s">
        <v>15</v>
      </c>
      <c r="G272" s="2" t="s">
        <v>15</v>
      </c>
      <c r="H272" s="2" t="s">
        <v>203</v>
      </c>
      <c r="I272" s="2" t="s">
        <v>17</v>
      </c>
      <c r="J272" s="2" t="s">
        <v>18</v>
      </c>
      <c r="K272" s="2" t="s">
        <v>19</v>
      </c>
      <c r="L272" s="2" t="s">
        <v>203</v>
      </c>
      <c r="M272" s="5">
        <v>256779416809</v>
      </c>
    </row>
    <row r="273" spans="1:13" x14ac:dyDescent="0.35">
      <c r="A273" s="2" t="s">
        <v>201</v>
      </c>
      <c r="B273" s="2" t="s">
        <v>14</v>
      </c>
      <c r="C273" s="2">
        <v>0</v>
      </c>
      <c r="D273" s="2">
        <v>971</v>
      </c>
      <c r="E273" s="2">
        <v>-744277.59999999963</v>
      </c>
      <c r="F273" s="2" t="s">
        <v>15</v>
      </c>
      <c r="G273" s="2" t="s">
        <v>15</v>
      </c>
      <c r="H273" s="2" t="s">
        <v>204</v>
      </c>
      <c r="I273" s="2" t="s">
        <v>205</v>
      </c>
      <c r="J273" s="2" t="s">
        <v>18</v>
      </c>
      <c r="K273" s="2" t="s">
        <v>19</v>
      </c>
      <c r="L273" s="2" t="s">
        <v>204</v>
      </c>
      <c r="M273" s="5">
        <v>256779416878</v>
      </c>
    </row>
    <row r="274" spans="1:13" x14ac:dyDescent="0.35">
      <c r="A274" s="2" t="s">
        <v>201</v>
      </c>
      <c r="B274" s="2" t="s">
        <v>14</v>
      </c>
      <c r="C274" s="2">
        <v>0</v>
      </c>
      <c r="D274" s="2">
        <v>11922</v>
      </c>
      <c r="E274" s="2">
        <v>-756199.59999999963</v>
      </c>
      <c r="F274" s="2" t="s">
        <v>15</v>
      </c>
      <c r="G274" s="2" t="s">
        <v>15</v>
      </c>
      <c r="H274" s="2" t="s">
        <v>206</v>
      </c>
      <c r="I274" s="2" t="s">
        <v>207</v>
      </c>
      <c r="J274" s="2" t="s">
        <v>18</v>
      </c>
      <c r="K274" s="2" t="s">
        <v>19</v>
      </c>
      <c r="L274" s="2" t="s">
        <v>206</v>
      </c>
      <c r="M274" s="5">
        <v>256779416844</v>
      </c>
    </row>
    <row r="275" spans="1:13" x14ac:dyDescent="0.35">
      <c r="A275" s="2" t="s">
        <v>201</v>
      </c>
      <c r="B275" s="2" t="s">
        <v>14</v>
      </c>
      <c r="C275" s="2">
        <v>0</v>
      </c>
      <c r="D275" s="2">
        <v>1463</v>
      </c>
      <c r="E275" s="2">
        <v>-757662.59999999963</v>
      </c>
      <c r="F275" s="2" t="s">
        <v>15</v>
      </c>
      <c r="G275" s="2" t="s">
        <v>15</v>
      </c>
      <c r="H275" s="2" t="s">
        <v>208</v>
      </c>
      <c r="I275" s="2" t="s">
        <v>209</v>
      </c>
      <c r="J275" s="2" t="s">
        <v>18</v>
      </c>
      <c r="K275" s="2" t="s">
        <v>19</v>
      </c>
      <c r="L275" s="2" t="s">
        <v>208</v>
      </c>
      <c r="M275" s="5">
        <v>256779416603</v>
      </c>
    </row>
    <row r="276" spans="1:13" x14ac:dyDescent="0.35">
      <c r="A276" s="2" t="s">
        <v>210</v>
      </c>
      <c r="B276" s="2" t="s">
        <v>14</v>
      </c>
      <c r="C276" s="2">
        <v>4786</v>
      </c>
      <c r="D276" s="2">
        <v>4786</v>
      </c>
      <c r="E276" s="2">
        <v>-757662.59999999963</v>
      </c>
      <c r="F276" s="2" t="s">
        <v>211</v>
      </c>
      <c r="G276" s="2" t="s">
        <v>171</v>
      </c>
      <c r="H276" s="2" t="s">
        <v>212</v>
      </c>
      <c r="I276" s="2"/>
      <c r="J276" s="2" t="s">
        <v>18</v>
      </c>
      <c r="K276" s="2" t="s">
        <v>19</v>
      </c>
      <c r="L276" s="2" t="s">
        <v>213</v>
      </c>
      <c r="M276" s="5">
        <v>246779410360</v>
      </c>
    </row>
    <row r="277" spans="1:13" x14ac:dyDescent="0.35">
      <c r="A277" s="2" t="s">
        <v>210</v>
      </c>
      <c r="B277" s="2" t="s">
        <v>14</v>
      </c>
      <c r="C277" s="2">
        <v>15778</v>
      </c>
      <c r="D277" s="2">
        <v>15778</v>
      </c>
      <c r="E277" s="2">
        <v>-757662.59999999963</v>
      </c>
      <c r="F277" s="2" t="s">
        <v>211</v>
      </c>
      <c r="G277" s="2" t="s">
        <v>171</v>
      </c>
      <c r="H277" s="2" t="s">
        <v>214</v>
      </c>
      <c r="I277" s="2"/>
      <c r="J277" s="2" t="s">
        <v>18</v>
      </c>
      <c r="K277" s="2" t="s">
        <v>19</v>
      </c>
      <c r="L277" s="2" t="s">
        <v>215</v>
      </c>
      <c r="M277" s="5">
        <v>246779410348</v>
      </c>
    </row>
    <row r="278" spans="1:13" x14ac:dyDescent="0.35">
      <c r="A278" s="2" t="s">
        <v>210</v>
      </c>
      <c r="B278" s="2" t="s">
        <v>14</v>
      </c>
      <c r="C278" s="2">
        <v>36410</v>
      </c>
      <c r="D278" s="2">
        <v>36410</v>
      </c>
      <c r="E278" s="2">
        <v>-757662.59999999963</v>
      </c>
      <c r="F278" s="2" t="s">
        <v>211</v>
      </c>
      <c r="G278" s="2" t="s">
        <v>171</v>
      </c>
      <c r="H278" s="2" t="s">
        <v>216</v>
      </c>
      <c r="I278" s="2"/>
      <c r="J278" s="2" t="s">
        <v>18</v>
      </c>
      <c r="K278" s="2" t="s">
        <v>19</v>
      </c>
      <c r="L278" s="2" t="s">
        <v>217</v>
      </c>
      <c r="M278" s="5">
        <v>246779411278</v>
      </c>
    </row>
    <row r="279" spans="1:13" x14ac:dyDescent="0.35">
      <c r="A279" s="2" t="s">
        <v>210</v>
      </c>
      <c r="B279" s="2" t="s">
        <v>14</v>
      </c>
      <c r="C279" s="2">
        <v>15401</v>
      </c>
      <c r="D279" s="2">
        <v>15401</v>
      </c>
      <c r="E279" s="2">
        <v>-757662.59999999963</v>
      </c>
      <c r="F279" s="2" t="s">
        <v>211</v>
      </c>
      <c r="G279" s="2" t="s">
        <v>171</v>
      </c>
      <c r="H279" s="2" t="s">
        <v>218</v>
      </c>
      <c r="I279" s="2"/>
      <c r="J279" s="2" t="s">
        <v>18</v>
      </c>
      <c r="K279" s="2" t="s">
        <v>19</v>
      </c>
      <c r="L279" s="2" t="s">
        <v>219</v>
      </c>
      <c r="M279" s="5">
        <v>246779413701</v>
      </c>
    </row>
    <row r="280" spans="1:13" x14ac:dyDescent="0.35">
      <c r="A280" s="2" t="s">
        <v>210</v>
      </c>
      <c r="B280" s="2" t="s">
        <v>14</v>
      </c>
      <c r="C280" s="2">
        <v>12467</v>
      </c>
      <c r="D280" s="2">
        <v>12467</v>
      </c>
      <c r="E280" s="2">
        <v>-757662.59999999963</v>
      </c>
      <c r="F280" s="2" t="s">
        <v>211</v>
      </c>
      <c r="G280" s="2" t="s">
        <v>171</v>
      </c>
      <c r="H280" s="2" t="s">
        <v>220</v>
      </c>
      <c r="I280" s="2"/>
      <c r="J280" s="2" t="s">
        <v>18</v>
      </c>
      <c r="K280" s="2" t="s">
        <v>19</v>
      </c>
      <c r="L280" s="2" t="s">
        <v>221</v>
      </c>
      <c r="M280" s="5">
        <v>246779413796</v>
      </c>
    </row>
    <row r="281" spans="1:13" x14ac:dyDescent="0.35">
      <c r="A281" s="2" t="s">
        <v>210</v>
      </c>
      <c r="B281" s="2" t="s">
        <v>14</v>
      </c>
      <c r="C281" s="2">
        <v>6084</v>
      </c>
      <c r="D281" s="2">
        <v>6084</v>
      </c>
      <c r="E281" s="2">
        <v>-757662.59999999963</v>
      </c>
      <c r="F281" s="2" t="s">
        <v>211</v>
      </c>
      <c r="G281" s="2" t="s">
        <v>171</v>
      </c>
      <c r="H281" s="2" t="s">
        <v>222</v>
      </c>
      <c r="I281" s="2"/>
      <c r="J281" s="2" t="s">
        <v>18</v>
      </c>
      <c r="K281" s="2" t="s">
        <v>19</v>
      </c>
      <c r="L281" s="2" t="s">
        <v>223</v>
      </c>
      <c r="M281" s="5">
        <v>256779412692</v>
      </c>
    </row>
    <row r="282" spans="1:13" x14ac:dyDescent="0.35">
      <c r="A282" s="2" t="s">
        <v>210</v>
      </c>
      <c r="B282" s="2" t="s">
        <v>14</v>
      </c>
      <c r="C282" s="2">
        <v>12169</v>
      </c>
      <c r="D282" s="2">
        <v>12169</v>
      </c>
      <c r="E282" s="2">
        <v>-757662.59999999963</v>
      </c>
      <c r="F282" s="2" t="s">
        <v>211</v>
      </c>
      <c r="G282" s="2" t="s">
        <v>171</v>
      </c>
      <c r="H282" s="2" t="s">
        <v>224</v>
      </c>
      <c r="I282" s="2"/>
      <c r="J282" s="2" t="s">
        <v>18</v>
      </c>
      <c r="K282" s="2" t="s">
        <v>19</v>
      </c>
      <c r="L282" s="2" t="s">
        <v>225</v>
      </c>
      <c r="M282" s="5">
        <v>256779411917</v>
      </c>
    </row>
    <row r="283" spans="1:13" x14ac:dyDescent="0.35">
      <c r="A283" s="2" t="s">
        <v>210</v>
      </c>
      <c r="B283" s="2" t="s">
        <v>14</v>
      </c>
      <c r="C283" s="2">
        <v>114223</v>
      </c>
      <c r="D283" s="2">
        <v>114223</v>
      </c>
      <c r="E283" s="2">
        <v>-757662.59999999963</v>
      </c>
      <c r="F283" s="2" t="s">
        <v>211</v>
      </c>
      <c r="G283" s="2" t="s">
        <v>171</v>
      </c>
      <c r="H283" s="2" t="s">
        <v>226</v>
      </c>
      <c r="I283" s="2"/>
      <c r="J283" s="2" t="s">
        <v>18</v>
      </c>
      <c r="K283" s="2" t="s">
        <v>19</v>
      </c>
      <c r="L283" s="2" t="s">
        <v>227</v>
      </c>
      <c r="M283" s="5">
        <v>256779410220</v>
      </c>
    </row>
    <row r="284" spans="1:13" x14ac:dyDescent="0.35">
      <c r="A284" s="2" t="s">
        <v>210</v>
      </c>
      <c r="B284" s="2" t="s">
        <v>14</v>
      </c>
      <c r="C284" s="2">
        <v>31577</v>
      </c>
      <c r="D284" s="2">
        <v>31577</v>
      </c>
      <c r="E284" s="2">
        <v>-757662.59999999963</v>
      </c>
      <c r="F284" s="2" t="s">
        <v>211</v>
      </c>
      <c r="G284" s="2" t="s">
        <v>171</v>
      </c>
      <c r="H284" s="2" t="s">
        <v>228</v>
      </c>
      <c r="I284" s="2"/>
      <c r="J284" s="2" t="s">
        <v>18</v>
      </c>
      <c r="K284" s="2" t="s">
        <v>19</v>
      </c>
      <c r="L284" s="2" t="s">
        <v>229</v>
      </c>
      <c r="M284" s="5">
        <v>246779413702</v>
      </c>
    </row>
    <row r="285" spans="1:13" x14ac:dyDescent="0.35">
      <c r="A285" s="2" t="s">
        <v>230</v>
      </c>
      <c r="B285" s="2" t="s">
        <v>14</v>
      </c>
      <c r="C285" s="2">
        <v>500000</v>
      </c>
      <c r="D285" s="2">
        <v>0</v>
      </c>
      <c r="E285" s="2">
        <v>-257662.5999999996</v>
      </c>
      <c r="F285" s="2" t="s">
        <v>121</v>
      </c>
      <c r="G285" s="2" t="s">
        <v>122</v>
      </c>
      <c r="H285" s="2" t="s">
        <v>231</v>
      </c>
      <c r="I285" s="2" t="s">
        <v>124</v>
      </c>
      <c r="J285" s="2" t="s">
        <v>18</v>
      </c>
      <c r="K285" s="2" t="s">
        <v>19</v>
      </c>
      <c r="L285" s="2" t="s">
        <v>232</v>
      </c>
      <c r="M285" s="5">
        <v>256779414158</v>
      </c>
    </row>
    <row r="286" spans="1:13" x14ac:dyDescent="0.35">
      <c r="A286" s="2" t="s">
        <v>233</v>
      </c>
      <c r="B286" s="2" t="s">
        <v>14</v>
      </c>
      <c r="C286" s="2">
        <v>108564</v>
      </c>
      <c r="D286" s="2">
        <v>0</v>
      </c>
      <c r="E286" s="2">
        <v>-149098.5999999996</v>
      </c>
      <c r="F286" s="2" t="s">
        <v>121</v>
      </c>
      <c r="G286" s="2" t="s">
        <v>122</v>
      </c>
      <c r="H286" s="2" t="s">
        <v>234</v>
      </c>
      <c r="I286" s="2" t="s">
        <v>124</v>
      </c>
      <c r="J286" s="2" t="s">
        <v>18</v>
      </c>
      <c r="K286" s="2" t="s">
        <v>19</v>
      </c>
      <c r="L286" s="2" t="s">
        <v>235</v>
      </c>
      <c r="M286" s="5">
        <v>256779414158</v>
      </c>
    </row>
    <row r="287" spans="1:13" x14ac:dyDescent="0.35">
      <c r="A287" s="2" t="s">
        <v>236</v>
      </c>
      <c r="B287" s="2" t="s">
        <v>14</v>
      </c>
      <c r="C287" s="2">
        <v>500000</v>
      </c>
      <c r="D287" s="2">
        <v>0</v>
      </c>
      <c r="E287" s="2">
        <v>350901.40000000037</v>
      </c>
      <c r="F287" s="2" t="s">
        <v>121</v>
      </c>
      <c r="G287" s="2" t="s">
        <v>122</v>
      </c>
      <c r="H287" s="2" t="s">
        <v>237</v>
      </c>
      <c r="I287" s="2" t="s">
        <v>124</v>
      </c>
      <c r="J287" s="2" t="s">
        <v>18</v>
      </c>
      <c r="K287" s="2" t="s">
        <v>19</v>
      </c>
      <c r="L287" s="2"/>
      <c r="M287" s="5"/>
    </row>
    <row r="288" spans="1:13" x14ac:dyDescent="0.35">
      <c r="A288" s="2" t="s">
        <v>238</v>
      </c>
      <c r="B288" s="2" t="s">
        <v>14</v>
      </c>
      <c r="C288" s="2">
        <v>300000</v>
      </c>
      <c r="D288" s="2">
        <v>0</v>
      </c>
      <c r="E288" s="2">
        <v>650901.40000000037</v>
      </c>
      <c r="F288" s="2" t="s">
        <v>121</v>
      </c>
      <c r="G288" s="2" t="s">
        <v>122</v>
      </c>
      <c r="H288" s="2" t="s">
        <v>239</v>
      </c>
      <c r="I288" s="2" t="s">
        <v>124</v>
      </c>
      <c r="J288" s="2" t="s">
        <v>18</v>
      </c>
      <c r="K288" s="2" t="s">
        <v>19</v>
      </c>
      <c r="L288" s="2"/>
      <c r="M288" s="5"/>
    </row>
    <row r="289" spans="1:13" x14ac:dyDescent="0.35">
      <c r="A289" s="2" t="s">
        <v>240</v>
      </c>
      <c r="B289" s="2" t="s">
        <v>14</v>
      </c>
      <c r="C289" s="2">
        <v>500000</v>
      </c>
      <c r="D289" s="2">
        <v>0</v>
      </c>
      <c r="E289" s="2">
        <v>1150901.3999999999</v>
      </c>
      <c r="F289" s="2" t="s">
        <v>121</v>
      </c>
      <c r="G289" s="2" t="s">
        <v>122</v>
      </c>
      <c r="H289" s="2" t="s">
        <v>241</v>
      </c>
      <c r="I289" s="2" t="s">
        <v>124</v>
      </c>
      <c r="J289" s="2" t="s">
        <v>18</v>
      </c>
      <c r="K289" s="2" t="s">
        <v>19</v>
      </c>
      <c r="L289" s="2"/>
      <c r="M289" s="5"/>
    </row>
    <row r="290" spans="1:13" x14ac:dyDescent="0.35">
      <c r="A290" s="2" t="s">
        <v>242</v>
      </c>
      <c r="B290" s="2" t="s">
        <v>14</v>
      </c>
      <c r="C290" s="2">
        <v>0</v>
      </c>
      <c r="D290" s="2">
        <v>16480.710999999999</v>
      </c>
      <c r="E290" s="2">
        <v>1134420.689</v>
      </c>
      <c r="F290" s="2" t="s">
        <v>15</v>
      </c>
      <c r="G290" s="2" t="s">
        <v>15</v>
      </c>
      <c r="H290" s="2" t="s">
        <v>243</v>
      </c>
      <c r="I290" s="2" t="s">
        <v>36</v>
      </c>
      <c r="J290" s="2" t="s">
        <v>18</v>
      </c>
      <c r="K290" s="2" t="s">
        <v>19</v>
      </c>
      <c r="L290" s="2" t="s">
        <v>243</v>
      </c>
      <c r="M290" s="5">
        <v>246779410327</v>
      </c>
    </row>
    <row r="291" spans="1:13" x14ac:dyDescent="0.35">
      <c r="A291" s="2" t="s">
        <v>242</v>
      </c>
      <c r="B291" s="2" t="s">
        <v>14</v>
      </c>
      <c r="C291" s="2">
        <v>0</v>
      </c>
      <c r="D291" s="2">
        <v>29975.441999999999</v>
      </c>
      <c r="E291" s="2">
        <v>1104445.247</v>
      </c>
      <c r="F291" s="2" t="s">
        <v>15</v>
      </c>
      <c r="G291" s="2" t="s">
        <v>15</v>
      </c>
      <c r="H291" s="2" t="s">
        <v>244</v>
      </c>
      <c r="I291" s="2" t="s">
        <v>36</v>
      </c>
      <c r="J291" s="2" t="s">
        <v>18</v>
      </c>
      <c r="K291" s="2" t="s">
        <v>19</v>
      </c>
      <c r="L291" s="2" t="s">
        <v>244</v>
      </c>
      <c r="M291" s="5">
        <v>246779410333</v>
      </c>
    </row>
    <row r="292" spans="1:13" x14ac:dyDescent="0.35">
      <c r="A292" s="2" t="s">
        <v>242</v>
      </c>
      <c r="B292" s="2" t="s">
        <v>14</v>
      </c>
      <c r="C292" s="2">
        <v>0</v>
      </c>
      <c r="D292" s="2">
        <v>144772.565</v>
      </c>
      <c r="E292" s="2">
        <v>959672.6820000005</v>
      </c>
      <c r="F292" s="2" t="s">
        <v>15</v>
      </c>
      <c r="G292" s="2" t="s">
        <v>15</v>
      </c>
      <c r="H292" s="2" t="s">
        <v>245</v>
      </c>
      <c r="I292" s="2" t="s">
        <v>36</v>
      </c>
      <c r="J292" s="2" t="s">
        <v>18</v>
      </c>
      <c r="K292" s="2" t="s">
        <v>19</v>
      </c>
      <c r="L292" s="2" t="s">
        <v>245</v>
      </c>
      <c r="M292" s="5">
        <v>246779410340</v>
      </c>
    </row>
    <row r="293" spans="1:13" x14ac:dyDescent="0.35">
      <c r="A293" s="2" t="s">
        <v>242</v>
      </c>
      <c r="B293" s="2" t="s">
        <v>14</v>
      </c>
      <c r="C293" s="2">
        <v>0</v>
      </c>
      <c r="D293" s="2">
        <v>102103.25599999999</v>
      </c>
      <c r="E293" s="2">
        <v>857569.42600000044</v>
      </c>
      <c r="F293" s="2" t="s">
        <v>15</v>
      </c>
      <c r="G293" s="2" t="s">
        <v>15</v>
      </c>
      <c r="H293" s="2" t="s">
        <v>246</v>
      </c>
      <c r="I293" s="2" t="s">
        <v>36</v>
      </c>
      <c r="J293" s="2" t="s">
        <v>18</v>
      </c>
      <c r="K293" s="2" t="s">
        <v>19</v>
      </c>
      <c r="L293" s="2" t="s">
        <v>246</v>
      </c>
      <c r="M293" s="5">
        <v>246779410352</v>
      </c>
    </row>
    <row r="294" spans="1:13" x14ac:dyDescent="0.35">
      <c r="A294" s="2" t="s">
        <v>242</v>
      </c>
      <c r="B294" s="2" t="s">
        <v>14</v>
      </c>
      <c r="C294" s="2">
        <v>0</v>
      </c>
      <c r="D294" s="2">
        <v>13859.78</v>
      </c>
      <c r="E294" s="2">
        <v>843709.64600000042</v>
      </c>
      <c r="F294" s="2" t="s">
        <v>15</v>
      </c>
      <c r="G294" s="2" t="s">
        <v>15</v>
      </c>
      <c r="H294" s="2" t="s">
        <v>247</v>
      </c>
      <c r="I294" s="2" t="s">
        <v>36</v>
      </c>
      <c r="J294" s="2" t="s">
        <v>18</v>
      </c>
      <c r="K294" s="2" t="s">
        <v>19</v>
      </c>
      <c r="L294" s="2" t="s">
        <v>247</v>
      </c>
      <c r="M294" s="5">
        <v>246779410338</v>
      </c>
    </row>
    <row r="295" spans="1:13" x14ac:dyDescent="0.35">
      <c r="A295" s="2" t="s">
        <v>242</v>
      </c>
      <c r="B295" s="2" t="s">
        <v>14</v>
      </c>
      <c r="C295" s="2">
        <v>0</v>
      </c>
      <c r="D295" s="2">
        <v>44681.824999999997</v>
      </c>
      <c r="E295" s="2">
        <v>799027.82100000046</v>
      </c>
      <c r="F295" s="2" t="s">
        <v>15</v>
      </c>
      <c r="G295" s="2" t="s">
        <v>15</v>
      </c>
      <c r="H295" s="2" t="s">
        <v>248</v>
      </c>
      <c r="I295" s="2" t="s">
        <v>36</v>
      </c>
      <c r="J295" s="2" t="s">
        <v>18</v>
      </c>
      <c r="K295" s="2" t="s">
        <v>19</v>
      </c>
      <c r="L295" s="2" t="s">
        <v>248</v>
      </c>
      <c r="M295" s="5">
        <v>246779410339</v>
      </c>
    </row>
    <row r="296" spans="1:13" x14ac:dyDescent="0.35">
      <c r="A296" s="2" t="s">
        <v>242</v>
      </c>
      <c r="B296" s="2" t="s">
        <v>14</v>
      </c>
      <c r="C296" s="2">
        <v>500000</v>
      </c>
      <c r="D296" s="2">
        <v>0</v>
      </c>
      <c r="E296" s="2">
        <v>1299027.821</v>
      </c>
      <c r="F296" s="2" t="s">
        <v>121</v>
      </c>
      <c r="G296" s="2" t="s">
        <v>122</v>
      </c>
      <c r="H296" s="2" t="s">
        <v>249</v>
      </c>
      <c r="I296" s="2" t="s">
        <v>124</v>
      </c>
      <c r="J296" s="2" t="s">
        <v>18</v>
      </c>
      <c r="K296" s="2" t="s">
        <v>19</v>
      </c>
      <c r="L296" s="2"/>
      <c r="M296" s="5"/>
    </row>
    <row r="297" spans="1:13" x14ac:dyDescent="0.35">
      <c r="A297" s="2" t="s">
        <v>242</v>
      </c>
      <c r="B297" s="2" t="s">
        <v>14</v>
      </c>
      <c r="C297" s="2">
        <v>0</v>
      </c>
      <c r="D297" s="2">
        <v>2053.9</v>
      </c>
      <c r="E297" s="2">
        <v>1296973.921000001</v>
      </c>
      <c r="F297" s="2" t="s">
        <v>15</v>
      </c>
      <c r="G297" s="2" t="s">
        <v>15</v>
      </c>
      <c r="H297" s="2" t="s">
        <v>250</v>
      </c>
      <c r="I297" s="2" t="s">
        <v>31</v>
      </c>
      <c r="J297" s="2" t="s">
        <v>18</v>
      </c>
      <c r="K297" s="2" t="s">
        <v>19</v>
      </c>
      <c r="L297" s="2" t="s">
        <v>250</v>
      </c>
      <c r="M297" s="5">
        <v>256779411807</v>
      </c>
    </row>
    <row r="298" spans="1:13" x14ac:dyDescent="0.35">
      <c r="A298" s="2" t="s">
        <v>251</v>
      </c>
      <c r="B298" s="2" t="s">
        <v>14</v>
      </c>
      <c r="C298" s="2">
        <v>0</v>
      </c>
      <c r="D298" s="2">
        <v>6064.0230000000001</v>
      </c>
      <c r="E298" s="2">
        <v>1290909.898000001</v>
      </c>
      <c r="F298" s="2" t="s">
        <v>15</v>
      </c>
      <c r="G298" s="2" t="s">
        <v>15</v>
      </c>
      <c r="H298" s="2" t="s">
        <v>252</v>
      </c>
      <c r="I298" s="2" t="s">
        <v>17</v>
      </c>
      <c r="J298" s="2" t="s">
        <v>18</v>
      </c>
      <c r="K298" s="2" t="s">
        <v>19</v>
      </c>
      <c r="L298" s="2" t="s">
        <v>252</v>
      </c>
      <c r="M298" s="5">
        <v>256779414743</v>
      </c>
    </row>
    <row r="299" spans="1:13" x14ac:dyDescent="0.35">
      <c r="A299" s="2" t="s">
        <v>251</v>
      </c>
      <c r="B299" s="2" t="s">
        <v>14</v>
      </c>
      <c r="C299" s="2">
        <v>0</v>
      </c>
      <c r="D299" s="2">
        <v>1800.3510000000001</v>
      </c>
      <c r="E299" s="2">
        <v>1289109.547</v>
      </c>
      <c r="F299" s="2" t="s">
        <v>15</v>
      </c>
      <c r="G299" s="2" t="s">
        <v>15</v>
      </c>
      <c r="H299" s="2" t="s">
        <v>253</v>
      </c>
      <c r="I299" s="2" t="s">
        <v>254</v>
      </c>
      <c r="J299" s="2" t="s">
        <v>18</v>
      </c>
      <c r="K299" s="2" t="s">
        <v>19</v>
      </c>
      <c r="L299" s="2" t="s">
        <v>253</v>
      </c>
      <c r="M299" s="5">
        <v>256779414748</v>
      </c>
    </row>
    <row r="300" spans="1:13" x14ac:dyDescent="0.35">
      <c r="A300" s="2" t="s">
        <v>251</v>
      </c>
      <c r="B300" s="2" t="s">
        <v>14</v>
      </c>
      <c r="C300" s="2">
        <v>0</v>
      </c>
      <c r="D300" s="2">
        <v>14610.374299999999</v>
      </c>
      <c r="E300" s="2">
        <v>1274499.1727</v>
      </c>
      <c r="F300" s="2" t="s">
        <v>15</v>
      </c>
      <c r="G300" s="2" t="s">
        <v>15</v>
      </c>
      <c r="H300" s="2" t="s">
        <v>255</v>
      </c>
      <c r="I300" s="2" t="s">
        <v>21</v>
      </c>
      <c r="J300" s="2" t="s">
        <v>18</v>
      </c>
      <c r="K300" s="2" t="s">
        <v>19</v>
      </c>
      <c r="L300" s="2" t="s">
        <v>255</v>
      </c>
      <c r="M300" s="5">
        <v>256779414758</v>
      </c>
    </row>
    <row r="301" spans="1:13" x14ac:dyDescent="0.35">
      <c r="A301" s="2" t="s">
        <v>251</v>
      </c>
      <c r="B301" s="2" t="s">
        <v>14</v>
      </c>
      <c r="C301" s="2">
        <v>0</v>
      </c>
      <c r="D301" s="2">
        <v>45061.335200000001</v>
      </c>
      <c r="E301" s="2">
        <v>1229437.8374999999</v>
      </c>
      <c r="F301" s="2" t="s">
        <v>15</v>
      </c>
      <c r="G301" s="2" t="s">
        <v>15</v>
      </c>
      <c r="H301" s="2" t="s">
        <v>256</v>
      </c>
      <c r="I301" s="2" t="s">
        <v>36</v>
      </c>
      <c r="J301" s="2" t="s">
        <v>18</v>
      </c>
      <c r="K301" s="2" t="s">
        <v>19</v>
      </c>
      <c r="L301" s="2" t="s">
        <v>256</v>
      </c>
      <c r="M301" s="5">
        <v>256779414340</v>
      </c>
    </row>
    <row r="302" spans="1:13" x14ac:dyDescent="0.35">
      <c r="A302" s="2" t="s">
        <v>251</v>
      </c>
      <c r="B302" s="2" t="s">
        <v>14</v>
      </c>
      <c r="C302" s="2">
        <v>0</v>
      </c>
      <c r="D302" s="2">
        <v>11782.0918</v>
      </c>
      <c r="E302" s="2">
        <v>1217655.7457000001</v>
      </c>
      <c r="F302" s="2" t="s">
        <v>15</v>
      </c>
      <c r="G302" s="2" t="s">
        <v>15</v>
      </c>
      <c r="H302" s="2" t="s">
        <v>257</v>
      </c>
      <c r="I302" s="2" t="s">
        <v>107</v>
      </c>
      <c r="J302" s="2" t="s">
        <v>18</v>
      </c>
      <c r="K302" s="2" t="s">
        <v>19</v>
      </c>
      <c r="L302" s="2" t="s">
        <v>257</v>
      </c>
      <c r="M302" s="5">
        <v>256779415939</v>
      </c>
    </row>
    <row r="303" spans="1:13" x14ac:dyDescent="0.35">
      <c r="A303" s="2" t="s">
        <v>251</v>
      </c>
      <c r="B303" s="2" t="s">
        <v>14</v>
      </c>
      <c r="C303" s="2">
        <v>0</v>
      </c>
      <c r="D303" s="2">
        <v>2559.3798999999999</v>
      </c>
      <c r="E303" s="2">
        <v>1215096.3658</v>
      </c>
      <c r="F303" s="2" t="s">
        <v>15</v>
      </c>
      <c r="G303" s="2" t="s">
        <v>15</v>
      </c>
      <c r="H303" s="2" t="s">
        <v>258</v>
      </c>
      <c r="I303" s="2" t="s">
        <v>17</v>
      </c>
      <c r="J303" s="2" t="s">
        <v>18</v>
      </c>
      <c r="K303" s="2" t="s">
        <v>19</v>
      </c>
      <c r="L303" s="2" t="s">
        <v>258</v>
      </c>
      <c r="M303" s="5">
        <v>256779415771</v>
      </c>
    </row>
    <row r="304" spans="1:13" x14ac:dyDescent="0.35">
      <c r="A304" s="2" t="s">
        <v>251</v>
      </c>
      <c r="B304" s="2" t="s">
        <v>14</v>
      </c>
      <c r="C304" s="2">
        <v>0</v>
      </c>
      <c r="D304" s="2">
        <v>148540.3572</v>
      </c>
      <c r="E304" s="2">
        <v>1066556.0086000001</v>
      </c>
      <c r="F304" s="2" t="s">
        <v>15</v>
      </c>
      <c r="G304" s="2" t="s">
        <v>15</v>
      </c>
      <c r="H304" s="2" t="s">
        <v>259</v>
      </c>
      <c r="I304" s="2" t="s">
        <v>31</v>
      </c>
      <c r="J304" s="2" t="s">
        <v>18</v>
      </c>
      <c r="K304" s="2" t="s">
        <v>19</v>
      </c>
      <c r="L304" s="2" t="s">
        <v>259</v>
      </c>
      <c r="M304" s="5">
        <v>256779415801</v>
      </c>
    </row>
    <row r="305" spans="1:13" x14ac:dyDescent="0.35">
      <c r="A305" s="2" t="s">
        <v>251</v>
      </c>
      <c r="B305" s="2" t="s">
        <v>14</v>
      </c>
      <c r="C305" s="2">
        <v>0</v>
      </c>
      <c r="D305" s="2">
        <v>13522.7454</v>
      </c>
      <c r="E305" s="2">
        <v>1053033.2631999999</v>
      </c>
      <c r="F305" s="2" t="s">
        <v>15</v>
      </c>
      <c r="G305" s="2" t="s">
        <v>15</v>
      </c>
      <c r="H305" s="2" t="s">
        <v>260</v>
      </c>
      <c r="I305" s="2" t="s">
        <v>90</v>
      </c>
      <c r="J305" s="2" t="s">
        <v>18</v>
      </c>
      <c r="K305" s="2" t="s">
        <v>19</v>
      </c>
      <c r="L305" s="2" t="s">
        <v>260</v>
      </c>
      <c r="M305" s="5">
        <v>256779415456</v>
      </c>
    </row>
    <row r="306" spans="1:13" x14ac:dyDescent="0.35">
      <c r="A306" s="2" t="s">
        <v>251</v>
      </c>
      <c r="B306" s="2" t="s">
        <v>14</v>
      </c>
      <c r="C306" s="2">
        <v>0</v>
      </c>
      <c r="D306" s="2">
        <v>8342.0650000000005</v>
      </c>
      <c r="E306" s="2">
        <v>1044691.1982</v>
      </c>
      <c r="F306" s="2" t="s">
        <v>15</v>
      </c>
      <c r="G306" s="2" t="s">
        <v>15</v>
      </c>
      <c r="H306" s="2" t="s">
        <v>261</v>
      </c>
      <c r="I306" s="2" t="s">
        <v>262</v>
      </c>
      <c r="J306" s="2" t="s">
        <v>18</v>
      </c>
      <c r="K306" s="2" t="s">
        <v>19</v>
      </c>
      <c r="L306" s="2" t="s">
        <v>261</v>
      </c>
      <c r="M306" s="5">
        <v>256779415444</v>
      </c>
    </row>
    <row r="307" spans="1:13" x14ac:dyDescent="0.35">
      <c r="A307" s="2" t="s">
        <v>263</v>
      </c>
      <c r="B307" s="2" t="s">
        <v>14</v>
      </c>
      <c r="C307" s="2">
        <v>0</v>
      </c>
      <c r="D307" s="2">
        <v>2629.9005000000002</v>
      </c>
      <c r="E307" s="2">
        <v>1042061.2977</v>
      </c>
      <c r="F307" s="2" t="s">
        <v>15</v>
      </c>
      <c r="G307" s="2" t="s">
        <v>15</v>
      </c>
      <c r="H307" s="2" t="s">
        <v>264</v>
      </c>
      <c r="I307" s="2" t="s">
        <v>265</v>
      </c>
      <c r="J307" s="2" t="s">
        <v>18</v>
      </c>
      <c r="K307" s="2" t="s">
        <v>19</v>
      </c>
      <c r="L307" s="2" t="s">
        <v>264</v>
      </c>
      <c r="M307" s="5">
        <v>256779414968</v>
      </c>
    </row>
    <row r="308" spans="1:13" x14ac:dyDescent="0.35">
      <c r="A308" s="2" t="s">
        <v>263</v>
      </c>
      <c r="B308" s="2" t="s">
        <v>14</v>
      </c>
      <c r="C308" s="2">
        <v>0</v>
      </c>
      <c r="D308" s="2">
        <v>201.24160000000001</v>
      </c>
      <c r="E308" s="2">
        <v>1041860.056100001</v>
      </c>
      <c r="F308" s="2" t="s">
        <v>15</v>
      </c>
      <c r="G308" s="2" t="s">
        <v>15</v>
      </c>
      <c r="H308" s="2" t="s">
        <v>266</v>
      </c>
      <c r="I308" s="2" t="s">
        <v>17</v>
      </c>
      <c r="J308" s="2" t="s">
        <v>18</v>
      </c>
      <c r="K308" s="2" t="s">
        <v>19</v>
      </c>
      <c r="L308" s="2" t="s">
        <v>266</v>
      </c>
      <c r="M308" s="5">
        <v>256779415263</v>
      </c>
    </row>
    <row r="309" spans="1:13" x14ac:dyDescent="0.35">
      <c r="A309" s="2" t="s">
        <v>263</v>
      </c>
      <c r="B309" s="2" t="s">
        <v>14</v>
      </c>
      <c r="C309" s="2">
        <v>0</v>
      </c>
      <c r="D309" s="2">
        <v>257812.80850000001</v>
      </c>
      <c r="E309" s="2">
        <v>784047.24760000047</v>
      </c>
      <c r="F309" s="2" t="s">
        <v>15</v>
      </c>
      <c r="G309" s="2" t="s">
        <v>15</v>
      </c>
      <c r="H309" s="2" t="s">
        <v>267</v>
      </c>
      <c r="I309" s="2" t="s">
        <v>268</v>
      </c>
      <c r="J309" s="2" t="s">
        <v>18</v>
      </c>
      <c r="K309" s="2" t="s">
        <v>19</v>
      </c>
      <c r="L309" s="2" t="s">
        <v>267</v>
      </c>
      <c r="M309" s="5">
        <v>256779415198</v>
      </c>
    </row>
    <row r="310" spans="1:13" x14ac:dyDescent="0.35">
      <c r="A310" s="2" t="s">
        <v>263</v>
      </c>
      <c r="B310" s="2" t="s">
        <v>14</v>
      </c>
      <c r="C310" s="2">
        <v>0</v>
      </c>
      <c r="D310" s="2">
        <v>552.98429999999996</v>
      </c>
      <c r="E310" s="2">
        <v>783494.26330000046</v>
      </c>
      <c r="F310" s="2" t="s">
        <v>15</v>
      </c>
      <c r="G310" s="2" t="s">
        <v>15</v>
      </c>
      <c r="H310" s="2" t="s">
        <v>269</v>
      </c>
      <c r="I310" s="2" t="s">
        <v>270</v>
      </c>
      <c r="J310" s="2" t="s">
        <v>18</v>
      </c>
      <c r="K310" s="2" t="s">
        <v>19</v>
      </c>
      <c r="L310" s="2" t="s">
        <v>269</v>
      </c>
      <c r="M310" s="5">
        <v>256779415048</v>
      </c>
    </row>
    <row r="311" spans="1:13" x14ac:dyDescent="0.35">
      <c r="A311" s="2" t="s">
        <v>263</v>
      </c>
      <c r="B311" s="2" t="s">
        <v>14</v>
      </c>
      <c r="C311" s="2">
        <v>0</v>
      </c>
      <c r="D311" s="2">
        <v>4562.3355000000001</v>
      </c>
      <c r="E311" s="2">
        <v>778931.92780000041</v>
      </c>
      <c r="F311" s="2" t="s">
        <v>15</v>
      </c>
      <c r="G311" s="2" t="s">
        <v>15</v>
      </c>
      <c r="H311" s="2" t="s">
        <v>271</v>
      </c>
      <c r="I311" s="2" t="s">
        <v>21</v>
      </c>
      <c r="J311" s="2" t="s">
        <v>18</v>
      </c>
      <c r="K311" s="2" t="s">
        <v>19</v>
      </c>
      <c r="L311" s="2" t="s">
        <v>271</v>
      </c>
      <c r="M311" s="5">
        <v>256779414975</v>
      </c>
    </row>
    <row r="312" spans="1:13" x14ac:dyDescent="0.35">
      <c r="A312" s="2" t="s">
        <v>263</v>
      </c>
      <c r="B312" s="2" t="s">
        <v>14</v>
      </c>
      <c r="C312" s="2">
        <v>0</v>
      </c>
      <c r="D312" s="2">
        <v>35324.775199999996</v>
      </c>
      <c r="E312" s="2">
        <v>743607.15260000038</v>
      </c>
      <c r="F312" s="2" t="s">
        <v>15</v>
      </c>
      <c r="G312" s="2" t="s">
        <v>15</v>
      </c>
      <c r="H312" s="2" t="s">
        <v>272</v>
      </c>
      <c r="I312" s="2" t="s">
        <v>200</v>
      </c>
      <c r="J312" s="2" t="s">
        <v>18</v>
      </c>
      <c r="K312" s="2" t="s">
        <v>19</v>
      </c>
      <c r="L312" s="2" t="s">
        <v>272</v>
      </c>
      <c r="M312" s="5">
        <v>256779414944</v>
      </c>
    </row>
    <row r="313" spans="1:13" x14ac:dyDescent="0.35">
      <c r="A313" s="2" t="s">
        <v>263</v>
      </c>
      <c r="B313" s="2" t="s">
        <v>14</v>
      </c>
      <c r="C313" s="2">
        <v>0</v>
      </c>
      <c r="D313" s="2">
        <v>91401.512100000007</v>
      </c>
      <c r="E313" s="2">
        <v>652205.64050000033</v>
      </c>
      <c r="F313" s="2" t="s">
        <v>15</v>
      </c>
      <c r="G313" s="2" t="s">
        <v>15</v>
      </c>
      <c r="H313" s="2" t="s">
        <v>273</v>
      </c>
      <c r="I313" s="2" t="s">
        <v>36</v>
      </c>
      <c r="J313" s="2" t="s">
        <v>18</v>
      </c>
      <c r="K313" s="2" t="s">
        <v>19</v>
      </c>
      <c r="L313" s="2" t="s">
        <v>273</v>
      </c>
      <c r="M313" s="5">
        <v>256779414890</v>
      </c>
    </row>
    <row r="314" spans="1:13" x14ac:dyDescent="0.35">
      <c r="A314" s="2" t="s">
        <v>263</v>
      </c>
      <c r="B314" s="2" t="s">
        <v>14</v>
      </c>
      <c r="C314" s="2">
        <v>0</v>
      </c>
      <c r="D314" s="2">
        <v>2642.8006</v>
      </c>
      <c r="E314" s="2">
        <v>649562.83990000037</v>
      </c>
      <c r="F314" s="2" t="s">
        <v>15</v>
      </c>
      <c r="G314" s="2" t="s">
        <v>15</v>
      </c>
      <c r="H314" s="2" t="s">
        <v>274</v>
      </c>
      <c r="I314" s="2" t="s">
        <v>31</v>
      </c>
      <c r="J314" s="2" t="s">
        <v>18</v>
      </c>
      <c r="K314" s="2" t="s">
        <v>19</v>
      </c>
      <c r="L314" s="2" t="s">
        <v>274</v>
      </c>
      <c r="M314" s="5">
        <v>256779414878</v>
      </c>
    </row>
    <row r="315" spans="1:13" x14ac:dyDescent="0.35">
      <c r="A315" s="2" t="s">
        <v>263</v>
      </c>
      <c r="B315" s="2" t="s">
        <v>14</v>
      </c>
      <c r="C315" s="2">
        <v>0</v>
      </c>
      <c r="D315" s="2">
        <v>8595.7669999999998</v>
      </c>
      <c r="E315" s="2">
        <v>640967.07290000038</v>
      </c>
      <c r="F315" s="2" t="s">
        <v>15</v>
      </c>
      <c r="G315" s="2" t="s">
        <v>15</v>
      </c>
      <c r="H315" s="2" t="s">
        <v>275</v>
      </c>
      <c r="I315" s="2" t="s">
        <v>21</v>
      </c>
      <c r="J315" s="2" t="s">
        <v>18</v>
      </c>
      <c r="K315" s="2" t="s">
        <v>19</v>
      </c>
      <c r="L315" s="2" t="s">
        <v>275</v>
      </c>
      <c r="M315" s="5">
        <v>256779414829</v>
      </c>
    </row>
    <row r="316" spans="1:13" x14ac:dyDescent="0.35">
      <c r="A316" s="2" t="s">
        <v>263</v>
      </c>
      <c r="B316" s="2" t="s">
        <v>14</v>
      </c>
      <c r="C316" s="2">
        <v>0</v>
      </c>
      <c r="D316" s="2">
        <v>1492.1116</v>
      </c>
      <c r="E316" s="2">
        <v>639474.96130000043</v>
      </c>
      <c r="F316" s="2" t="s">
        <v>15</v>
      </c>
      <c r="G316" s="2" t="s">
        <v>15</v>
      </c>
      <c r="H316" s="2" t="s">
        <v>276</v>
      </c>
      <c r="I316" s="2" t="s">
        <v>277</v>
      </c>
      <c r="J316" s="2" t="s">
        <v>18</v>
      </c>
      <c r="K316" s="2" t="s">
        <v>19</v>
      </c>
      <c r="L316" s="2" t="s">
        <v>276</v>
      </c>
      <c r="M316" s="5">
        <v>256779414768</v>
      </c>
    </row>
    <row r="317" spans="1:13" x14ac:dyDescent="0.35">
      <c r="A317" s="2" t="s">
        <v>263</v>
      </c>
      <c r="B317" s="2" t="s">
        <v>14</v>
      </c>
      <c r="C317" s="2">
        <v>0</v>
      </c>
      <c r="D317" s="2">
        <v>23117.1535</v>
      </c>
      <c r="E317" s="2">
        <v>616357.80780000042</v>
      </c>
      <c r="F317" s="2" t="s">
        <v>15</v>
      </c>
      <c r="G317" s="2" t="s">
        <v>15</v>
      </c>
      <c r="H317" s="2" t="s">
        <v>278</v>
      </c>
      <c r="I317" s="2" t="s">
        <v>279</v>
      </c>
      <c r="J317" s="2" t="s">
        <v>18</v>
      </c>
      <c r="K317" s="2" t="s">
        <v>19</v>
      </c>
      <c r="L317" s="2" t="s">
        <v>278</v>
      </c>
      <c r="M317" s="5">
        <v>256779416544</v>
      </c>
    </row>
    <row r="318" spans="1:13" x14ac:dyDescent="0.35">
      <c r="A318" s="2" t="s">
        <v>263</v>
      </c>
      <c r="B318" s="2" t="s">
        <v>14</v>
      </c>
      <c r="C318" s="2">
        <v>0</v>
      </c>
      <c r="D318" s="2">
        <v>21929.077600000001</v>
      </c>
      <c r="E318" s="2">
        <v>594428.73020000046</v>
      </c>
      <c r="F318" s="2" t="s">
        <v>15</v>
      </c>
      <c r="G318" s="2" t="s">
        <v>15</v>
      </c>
      <c r="H318" s="2" t="s">
        <v>280</v>
      </c>
      <c r="I318" s="2" t="s">
        <v>279</v>
      </c>
      <c r="J318" s="2" t="s">
        <v>18</v>
      </c>
      <c r="K318" s="2" t="s">
        <v>19</v>
      </c>
      <c r="L318" s="2" t="s">
        <v>280</v>
      </c>
      <c r="M318" s="5">
        <v>256779416546</v>
      </c>
    </row>
    <row r="319" spans="1:13" x14ac:dyDescent="0.35">
      <c r="A319" s="2" t="s">
        <v>263</v>
      </c>
      <c r="B319" s="2" t="s">
        <v>14</v>
      </c>
      <c r="C319" s="2">
        <v>0</v>
      </c>
      <c r="D319" s="2">
        <v>9260.2821000000004</v>
      </c>
      <c r="E319" s="2">
        <v>585168.4481000005</v>
      </c>
      <c r="F319" s="2" t="s">
        <v>15</v>
      </c>
      <c r="G319" s="2" t="s">
        <v>15</v>
      </c>
      <c r="H319" s="2" t="s">
        <v>281</v>
      </c>
      <c r="I319" s="2" t="s">
        <v>17</v>
      </c>
      <c r="J319" s="2" t="s">
        <v>18</v>
      </c>
      <c r="K319" s="2" t="s">
        <v>19</v>
      </c>
      <c r="L319" s="2" t="s">
        <v>281</v>
      </c>
      <c r="M319" s="5">
        <v>256779416444</v>
      </c>
    </row>
    <row r="320" spans="1:13" x14ac:dyDescent="0.35">
      <c r="A320" s="2" t="s">
        <v>263</v>
      </c>
      <c r="B320" s="2" t="s">
        <v>14</v>
      </c>
      <c r="C320" s="2">
        <v>0</v>
      </c>
      <c r="D320" s="2">
        <v>27395.431400000001</v>
      </c>
      <c r="E320" s="2">
        <v>557773.0167000005</v>
      </c>
      <c r="F320" s="2" t="s">
        <v>15</v>
      </c>
      <c r="G320" s="2" t="s">
        <v>15</v>
      </c>
      <c r="H320" s="2" t="s">
        <v>282</v>
      </c>
      <c r="I320" s="2" t="s">
        <v>36</v>
      </c>
      <c r="J320" s="2" t="s">
        <v>18</v>
      </c>
      <c r="K320" s="2" t="s">
        <v>19</v>
      </c>
      <c r="L320" s="2" t="s">
        <v>282</v>
      </c>
      <c r="M320" s="5">
        <v>256779416538</v>
      </c>
    </row>
    <row r="321" spans="1:13" x14ac:dyDescent="0.35">
      <c r="A321" s="2" t="s">
        <v>263</v>
      </c>
      <c r="B321" s="2" t="s">
        <v>14</v>
      </c>
      <c r="C321" s="2">
        <v>0</v>
      </c>
      <c r="D321" s="2">
        <v>35336.871800000001</v>
      </c>
      <c r="E321" s="2">
        <v>522436.14490000048</v>
      </c>
      <c r="F321" s="2" t="s">
        <v>15</v>
      </c>
      <c r="G321" s="2" t="s">
        <v>15</v>
      </c>
      <c r="H321" s="2" t="s">
        <v>283</v>
      </c>
      <c r="I321" s="2" t="s">
        <v>200</v>
      </c>
      <c r="J321" s="2" t="s">
        <v>18</v>
      </c>
      <c r="K321" s="2" t="s">
        <v>19</v>
      </c>
      <c r="L321" s="2" t="s">
        <v>283</v>
      </c>
      <c r="M321" s="5">
        <v>256779416054</v>
      </c>
    </row>
    <row r="322" spans="1:13" x14ac:dyDescent="0.35">
      <c r="A322" s="2" t="s">
        <v>263</v>
      </c>
      <c r="B322" s="2" t="s">
        <v>14</v>
      </c>
      <c r="C322" s="2">
        <v>0</v>
      </c>
      <c r="D322" s="2">
        <v>33482.010999999999</v>
      </c>
      <c r="E322" s="2">
        <v>488954.13390000048</v>
      </c>
      <c r="F322" s="2" t="s">
        <v>15</v>
      </c>
      <c r="G322" s="2" t="s">
        <v>15</v>
      </c>
      <c r="H322" s="2" t="s">
        <v>284</v>
      </c>
      <c r="I322" s="2" t="s">
        <v>200</v>
      </c>
      <c r="J322" s="2" t="s">
        <v>18</v>
      </c>
      <c r="K322" s="2" t="s">
        <v>19</v>
      </c>
      <c r="L322" s="2" t="s">
        <v>284</v>
      </c>
      <c r="M322" s="5">
        <v>256779417373</v>
      </c>
    </row>
    <row r="323" spans="1:13" x14ac:dyDescent="0.35">
      <c r="A323" s="2" t="s">
        <v>263</v>
      </c>
      <c r="B323" s="2" t="s">
        <v>14</v>
      </c>
      <c r="C323" s="2">
        <v>0</v>
      </c>
      <c r="D323" s="2">
        <v>6432.3032999999996</v>
      </c>
      <c r="E323" s="2">
        <v>482521.83060000051</v>
      </c>
      <c r="F323" s="2" t="s">
        <v>15</v>
      </c>
      <c r="G323" s="2" t="s">
        <v>15</v>
      </c>
      <c r="H323" s="2" t="s">
        <v>285</v>
      </c>
      <c r="I323" s="2" t="s">
        <v>66</v>
      </c>
      <c r="J323" s="2" t="s">
        <v>18</v>
      </c>
      <c r="K323" s="2" t="s">
        <v>19</v>
      </c>
      <c r="L323" s="2" t="s">
        <v>285</v>
      </c>
      <c r="M323" s="5">
        <v>256779417566</v>
      </c>
    </row>
    <row r="324" spans="1:13" x14ac:dyDescent="0.35">
      <c r="A324" s="2" t="s">
        <v>263</v>
      </c>
      <c r="B324" s="2" t="s">
        <v>14</v>
      </c>
      <c r="C324" s="2">
        <v>0</v>
      </c>
      <c r="D324" s="2">
        <v>6896.1292000000003</v>
      </c>
      <c r="E324" s="2">
        <v>475625.70140000043</v>
      </c>
      <c r="F324" s="2" t="s">
        <v>15</v>
      </c>
      <c r="G324" s="2" t="s">
        <v>15</v>
      </c>
      <c r="H324" s="2" t="s">
        <v>286</v>
      </c>
      <c r="I324" s="2" t="s">
        <v>66</v>
      </c>
      <c r="J324" s="2" t="s">
        <v>18</v>
      </c>
      <c r="K324" s="2" t="s">
        <v>19</v>
      </c>
      <c r="L324" s="2" t="s">
        <v>286</v>
      </c>
      <c r="M324" s="5">
        <v>256779417582</v>
      </c>
    </row>
    <row r="325" spans="1:13" x14ac:dyDescent="0.35">
      <c r="A325" s="2" t="s">
        <v>263</v>
      </c>
      <c r="B325" s="2" t="s">
        <v>14</v>
      </c>
      <c r="C325" s="2">
        <v>0</v>
      </c>
      <c r="D325" s="2">
        <v>1028.2935</v>
      </c>
      <c r="E325" s="2">
        <v>474597.4079000004</v>
      </c>
      <c r="F325" s="2" t="s">
        <v>15</v>
      </c>
      <c r="G325" s="2" t="s">
        <v>15</v>
      </c>
      <c r="H325" s="2" t="s">
        <v>287</v>
      </c>
      <c r="I325" s="2" t="s">
        <v>21</v>
      </c>
      <c r="J325" s="2" t="s">
        <v>18</v>
      </c>
      <c r="K325" s="2" t="s">
        <v>19</v>
      </c>
      <c r="L325" s="2" t="s">
        <v>287</v>
      </c>
      <c r="M325" s="5">
        <v>256779417594</v>
      </c>
    </row>
    <row r="326" spans="1:13" x14ac:dyDescent="0.35">
      <c r="A326" s="2" t="s">
        <v>263</v>
      </c>
      <c r="B326" s="2" t="s">
        <v>14</v>
      </c>
      <c r="C326" s="2">
        <v>0</v>
      </c>
      <c r="D326" s="2">
        <v>545.21420000000001</v>
      </c>
      <c r="E326" s="2">
        <v>474052.19370000041</v>
      </c>
      <c r="F326" s="2" t="s">
        <v>15</v>
      </c>
      <c r="G326" s="2" t="s">
        <v>15</v>
      </c>
      <c r="H326" s="2" t="s">
        <v>288</v>
      </c>
      <c r="I326" s="2" t="s">
        <v>17</v>
      </c>
      <c r="J326" s="2" t="s">
        <v>18</v>
      </c>
      <c r="K326" s="2" t="s">
        <v>19</v>
      </c>
      <c r="L326" s="2" t="s">
        <v>288</v>
      </c>
      <c r="M326" s="5">
        <v>256779417442</v>
      </c>
    </row>
    <row r="327" spans="1:13" x14ac:dyDescent="0.35">
      <c r="A327" s="2" t="s">
        <v>263</v>
      </c>
      <c r="B327" s="2" t="s">
        <v>14</v>
      </c>
      <c r="C327" s="2">
        <v>0</v>
      </c>
      <c r="D327" s="2">
        <v>26724.251</v>
      </c>
      <c r="E327" s="2">
        <v>447327.94270000042</v>
      </c>
      <c r="F327" s="2" t="s">
        <v>15</v>
      </c>
      <c r="G327" s="2" t="s">
        <v>15</v>
      </c>
      <c r="H327" s="2" t="s">
        <v>289</v>
      </c>
      <c r="I327" s="2" t="s">
        <v>21</v>
      </c>
      <c r="J327" s="2" t="s">
        <v>18</v>
      </c>
      <c r="K327" s="2" t="s">
        <v>19</v>
      </c>
      <c r="L327" s="2" t="s">
        <v>289</v>
      </c>
      <c r="M327" s="5">
        <v>256779417525</v>
      </c>
    </row>
    <row r="328" spans="1:13" x14ac:dyDescent="0.35">
      <c r="A328" s="2" t="s">
        <v>263</v>
      </c>
      <c r="B328" s="2" t="s">
        <v>14</v>
      </c>
      <c r="C328" s="2">
        <v>0</v>
      </c>
      <c r="D328" s="2">
        <v>29303.298299999999</v>
      </c>
      <c r="E328" s="2">
        <v>418024.6444000004</v>
      </c>
      <c r="F328" s="2" t="s">
        <v>15</v>
      </c>
      <c r="G328" s="2" t="s">
        <v>15</v>
      </c>
      <c r="H328" s="2" t="s">
        <v>290</v>
      </c>
      <c r="I328" s="2" t="s">
        <v>279</v>
      </c>
      <c r="J328" s="2" t="s">
        <v>18</v>
      </c>
      <c r="K328" s="2" t="s">
        <v>19</v>
      </c>
      <c r="L328" s="2" t="s">
        <v>290</v>
      </c>
      <c r="M328" s="5">
        <v>256779417410</v>
      </c>
    </row>
    <row r="329" spans="1:13" x14ac:dyDescent="0.35">
      <c r="A329" s="2" t="s">
        <v>291</v>
      </c>
      <c r="B329" s="2" t="s">
        <v>14</v>
      </c>
      <c r="C329" s="2">
        <v>0</v>
      </c>
      <c r="D329" s="2">
        <v>42087.391600000003</v>
      </c>
      <c r="E329" s="2">
        <v>375937.25280000042</v>
      </c>
      <c r="F329" s="2" t="s">
        <v>15</v>
      </c>
      <c r="G329" s="2" t="s">
        <v>15</v>
      </c>
      <c r="H329" s="2" t="s">
        <v>292</v>
      </c>
      <c r="I329" s="2" t="s">
        <v>36</v>
      </c>
      <c r="J329" s="2" t="s">
        <v>18</v>
      </c>
      <c r="K329" s="2" t="s">
        <v>19</v>
      </c>
      <c r="L329" s="2" t="s">
        <v>292</v>
      </c>
      <c r="M329" s="5">
        <v>256779417489</v>
      </c>
    </row>
    <row r="330" spans="1:13" x14ac:dyDescent="0.35">
      <c r="A330" s="2" t="s">
        <v>291</v>
      </c>
      <c r="B330" s="2" t="s">
        <v>14</v>
      </c>
      <c r="C330" s="2">
        <v>0</v>
      </c>
      <c r="D330" s="2">
        <v>36224.358800000002</v>
      </c>
      <c r="E330" s="2">
        <v>339712.89400000038</v>
      </c>
      <c r="F330" s="2" t="s">
        <v>15</v>
      </c>
      <c r="G330" s="2" t="s">
        <v>15</v>
      </c>
      <c r="H330" s="2" t="s">
        <v>293</v>
      </c>
      <c r="I330" s="2" t="s">
        <v>200</v>
      </c>
      <c r="J330" s="2" t="s">
        <v>18</v>
      </c>
      <c r="K330" s="2" t="s">
        <v>19</v>
      </c>
      <c r="L330" s="2" t="s">
        <v>293</v>
      </c>
      <c r="M330" s="5">
        <v>256779418036</v>
      </c>
    </row>
    <row r="331" spans="1:13" x14ac:dyDescent="0.35">
      <c r="A331" s="2" t="s">
        <v>291</v>
      </c>
      <c r="B331" s="2" t="s">
        <v>14</v>
      </c>
      <c r="C331" s="2">
        <v>0</v>
      </c>
      <c r="D331" s="2">
        <v>38482.042500000003</v>
      </c>
      <c r="E331" s="2">
        <v>301230.8515000004</v>
      </c>
      <c r="F331" s="2" t="s">
        <v>15</v>
      </c>
      <c r="G331" s="2" t="s">
        <v>15</v>
      </c>
      <c r="H331" s="2" t="s">
        <v>294</v>
      </c>
      <c r="I331" s="2" t="s">
        <v>66</v>
      </c>
      <c r="J331" s="2" t="s">
        <v>18</v>
      </c>
      <c r="K331" s="2" t="s">
        <v>19</v>
      </c>
      <c r="L331" s="2" t="s">
        <v>294</v>
      </c>
      <c r="M331" s="5">
        <v>256779417939</v>
      </c>
    </row>
    <row r="332" spans="1:13" x14ac:dyDescent="0.35">
      <c r="A332" s="2" t="s">
        <v>291</v>
      </c>
      <c r="B332" s="2" t="s">
        <v>14</v>
      </c>
      <c r="C332" s="2">
        <v>0</v>
      </c>
      <c r="D332" s="2">
        <v>679906.74129999999</v>
      </c>
      <c r="E332" s="2">
        <v>-378675.8897999996</v>
      </c>
      <c r="F332" s="2" t="s">
        <v>15</v>
      </c>
      <c r="G332" s="2" t="s">
        <v>15</v>
      </c>
      <c r="H332" s="2" t="s">
        <v>295</v>
      </c>
      <c r="I332" s="2" t="s">
        <v>268</v>
      </c>
      <c r="J332" s="2" t="s">
        <v>18</v>
      </c>
      <c r="K332" s="2" t="s">
        <v>19</v>
      </c>
      <c r="L332" s="2" t="s">
        <v>295</v>
      </c>
      <c r="M332" s="5">
        <v>256779418010</v>
      </c>
    </row>
    <row r="333" spans="1:13" x14ac:dyDescent="0.35">
      <c r="A333" s="2" t="s">
        <v>291</v>
      </c>
      <c r="B333" s="2" t="s">
        <v>14</v>
      </c>
      <c r="C333" s="2">
        <v>0</v>
      </c>
      <c r="D333" s="2">
        <v>3487.4461000000001</v>
      </c>
      <c r="E333" s="2">
        <v>-382163.3358999996</v>
      </c>
      <c r="F333" s="2" t="s">
        <v>15</v>
      </c>
      <c r="G333" s="2" t="s">
        <v>15</v>
      </c>
      <c r="H333" s="2" t="s">
        <v>296</v>
      </c>
      <c r="I333" s="2" t="s">
        <v>262</v>
      </c>
      <c r="J333" s="2" t="s">
        <v>18</v>
      </c>
      <c r="K333" s="2" t="s">
        <v>19</v>
      </c>
      <c r="L333" s="2" t="s">
        <v>296</v>
      </c>
      <c r="M333" s="5">
        <v>256779416911</v>
      </c>
    </row>
    <row r="334" spans="1:13" x14ac:dyDescent="0.35">
      <c r="A334" s="2" t="s">
        <v>291</v>
      </c>
      <c r="B334" s="2" t="s">
        <v>14</v>
      </c>
      <c r="C334" s="2">
        <v>0</v>
      </c>
      <c r="D334" s="2">
        <v>90131.008499999996</v>
      </c>
      <c r="E334" s="2">
        <v>-472294.34439999959</v>
      </c>
      <c r="F334" s="2" t="s">
        <v>15</v>
      </c>
      <c r="G334" s="2" t="s">
        <v>15</v>
      </c>
      <c r="H334" s="2" t="s">
        <v>297</v>
      </c>
      <c r="I334" s="2" t="s">
        <v>262</v>
      </c>
      <c r="J334" s="2" t="s">
        <v>18</v>
      </c>
      <c r="K334" s="2" t="s">
        <v>19</v>
      </c>
      <c r="L334" s="2" t="s">
        <v>297</v>
      </c>
      <c r="M334" s="5">
        <v>256779417286</v>
      </c>
    </row>
    <row r="335" spans="1:13" x14ac:dyDescent="0.35">
      <c r="A335" s="2" t="s">
        <v>291</v>
      </c>
      <c r="B335" s="2" t="s">
        <v>14</v>
      </c>
      <c r="C335" s="2">
        <v>0</v>
      </c>
      <c r="D335" s="2">
        <v>4231.3179</v>
      </c>
      <c r="E335" s="2">
        <v>-476525.66229999962</v>
      </c>
      <c r="F335" s="2" t="s">
        <v>15</v>
      </c>
      <c r="G335" s="2" t="s">
        <v>15</v>
      </c>
      <c r="H335" s="2" t="s">
        <v>298</v>
      </c>
      <c r="I335" s="2" t="s">
        <v>21</v>
      </c>
      <c r="J335" s="2" t="s">
        <v>18</v>
      </c>
      <c r="K335" s="2" t="s">
        <v>19</v>
      </c>
      <c r="L335" s="2" t="s">
        <v>298</v>
      </c>
      <c r="M335" s="5">
        <v>256779417324</v>
      </c>
    </row>
    <row r="336" spans="1:13" x14ac:dyDescent="0.35">
      <c r="A336" s="2" t="s">
        <v>291</v>
      </c>
      <c r="B336" s="2" t="s">
        <v>14</v>
      </c>
      <c r="C336" s="2">
        <v>0</v>
      </c>
      <c r="D336" s="2">
        <v>1233.9521</v>
      </c>
      <c r="E336" s="2">
        <v>-477759.61439999961</v>
      </c>
      <c r="F336" s="2" t="s">
        <v>15</v>
      </c>
      <c r="G336" s="2" t="s">
        <v>15</v>
      </c>
      <c r="H336" s="2" t="s">
        <v>299</v>
      </c>
      <c r="I336" s="2" t="s">
        <v>21</v>
      </c>
      <c r="J336" s="2" t="s">
        <v>18</v>
      </c>
      <c r="K336" s="2" t="s">
        <v>19</v>
      </c>
      <c r="L336" s="2" t="s">
        <v>299</v>
      </c>
      <c r="M336" s="5">
        <v>256779416948</v>
      </c>
    </row>
    <row r="337" spans="1:13" x14ac:dyDescent="0.35">
      <c r="A337" s="2" t="s">
        <v>291</v>
      </c>
      <c r="B337" s="2" t="s">
        <v>14</v>
      </c>
      <c r="C337" s="2">
        <v>0</v>
      </c>
      <c r="D337" s="2">
        <v>1992.7012</v>
      </c>
      <c r="E337" s="2">
        <v>-479752.31559999962</v>
      </c>
      <c r="F337" s="2" t="s">
        <v>15</v>
      </c>
      <c r="G337" s="2" t="s">
        <v>15</v>
      </c>
      <c r="H337" s="2" t="s">
        <v>300</v>
      </c>
      <c r="I337" s="2" t="s">
        <v>270</v>
      </c>
      <c r="J337" s="2" t="s">
        <v>18</v>
      </c>
      <c r="K337" s="2" t="s">
        <v>19</v>
      </c>
      <c r="L337" s="2" t="s">
        <v>300</v>
      </c>
      <c r="M337" s="5">
        <v>256779417261</v>
      </c>
    </row>
    <row r="338" spans="1:13" x14ac:dyDescent="0.35">
      <c r="A338" s="2" t="s">
        <v>291</v>
      </c>
      <c r="B338" s="2" t="s">
        <v>14</v>
      </c>
      <c r="C338" s="2">
        <v>0</v>
      </c>
      <c r="D338" s="2">
        <v>695663.66119999997</v>
      </c>
      <c r="E338" s="2">
        <v>-1175415.9768000001</v>
      </c>
      <c r="F338" s="2" t="s">
        <v>15</v>
      </c>
      <c r="G338" s="2" t="s">
        <v>15</v>
      </c>
      <c r="H338" s="2" t="s">
        <v>301</v>
      </c>
      <c r="I338" s="2" t="s">
        <v>268</v>
      </c>
      <c r="J338" s="2" t="s">
        <v>18</v>
      </c>
      <c r="K338" s="2" t="s">
        <v>19</v>
      </c>
      <c r="L338" s="2" t="s">
        <v>301</v>
      </c>
      <c r="M338" s="5">
        <v>256779417084</v>
      </c>
    </row>
    <row r="339" spans="1:13" x14ac:dyDescent="0.35">
      <c r="A339" s="2" t="s">
        <v>291</v>
      </c>
      <c r="B339" s="2" t="s">
        <v>14</v>
      </c>
      <c r="C339" s="2">
        <v>0</v>
      </c>
      <c r="D339" s="2">
        <v>1247.0791999999999</v>
      </c>
      <c r="E339" s="2">
        <v>-1176663.0560000001</v>
      </c>
      <c r="F339" s="2" t="s">
        <v>15</v>
      </c>
      <c r="G339" s="2" t="s">
        <v>15</v>
      </c>
      <c r="H339" s="2" t="s">
        <v>302</v>
      </c>
      <c r="I339" s="2" t="s">
        <v>17</v>
      </c>
      <c r="J339" s="2" t="s">
        <v>18</v>
      </c>
      <c r="K339" s="2" t="s">
        <v>19</v>
      </c>
      <c r="L339" s="2" t="s">
        <v>302</v>
      </c>
      <c r="M339" s="5">
        <v>256779417160</v>
      </c>
    </row>
    <row r="340" spans="1:13" x14ac:dyDescent="0.35">
      <c r="A340" s="2" t="s">
        <v>291</v>
      </c>
      <c r="B340" s="2" t="s">
        <v>14</v>
      </c>
      <c r="C340" s="2">
        <v>0</v>
      </c>
      <c r="D340" s="2">
        <v>59881.6803</v>
      </c>
      <c r="E340" s="2">
        <v>-1236544.7363</v>
      </c>
      <c r="F340" s="2" t="s">
        <v>15</v>
      </c>
      <c r="G340" s="2" t="s">
        <v>15</v>
      </c>
      <c r="H340" s="2" t="s">
        <v>303</v>
      </c>
      <c r="I340" s="2" t="s">
        <v>304</v>
      </c>
      <c r="J340" s="2" t="s">
        <v>18</v>
      </c>
      <c r="K340" s="2" t="s">
        <v>19</v>
      </c>
      <c r="L340" s="2" t="s">
        <v>303</v>
      </c>
      <c r="M340" s="5">
        <v>256779417166</v>
      </c>
    </row>
    <row r="341" spans="1:13" x14ac:dyDescent="0.35">
      <c r="A341" s="2" t="s">
        <v>291</v>
      </c>
      <c r="B341" s="2" t="s">
        <v>14</v>
      </c>
      <c r="C341" s="2">
        <v>0</v>
      </c>
      <c r="D341" s="2">
        <v>58594.344499999999</v>
      </c>
      <c r="E341" s="2">
        <v>-1295139.0807999989</v>
      </c>
      <c r="F341" s="2" t="s">
        <v>15</v>
      </c>
      <c r="G341" s="2" t="s">
        <v>15</v>
      </c>
      <c r="H341" s="2" t="s">
        <v>305</v>
      </c>
      <c r="I341" s="2" t="s">
        <v>36</v>
      </c>
      <c r="J341" s="2" t="s">
        <v>18</v>
      </c>
      <c r="K341" s="2" t="s">
        <v>19</v>
      </c>
      <c r="L341" s="2" t="s">
        <v>305</v>
      </c>
      <c r="M341" s="5">
        <v>256779417173</v>
      </c>
    </row>
    <row r="342" spans="1:13" x14ac:dyDescent="0.35">
      <c r="A342" s="2" t="s">
        <v>291</v>
      </c>
      <c r="B342" s="2" t="s">
        <v>14</v>
      </c>
      <c r="C342" s="2">
        <v>0</v>
      </c>
      <c r="D342" s="2">
        <v>991.79819999999995</v>
      </c>
      <c r="E342" s="2">
        <v>-1296130.878999999</v>
      </c>
      <c r="F342" s="2" t="s">
        <v>15</v>
      </c>
      <c r="G342" s="2" t="s">
        <v>15</v>
      </c>
      <c r="H342" s="2" t="s">
        <v>306</v>
      </c>
      <c r="I342" s="2" t="s">
        <v>270</v>
      </c>
      <c r="J342" s="2" t="s">
        <v>18</v>
      </c>
      <c r="K342" s="2" t="s">
        <v>19</v>
      </c>
      <c r="L342" s="2" t="s">
        <v>306</v>
      </c>
      <c r="M342" s="5">
        <v>256779419248</v>
      </c>
    </row>
    <row r="343" spans="1:13" x14ac:dyDescent="0.35">
      <c r="A343" s="2" t="s">
        <v>291</v>
      </c>
      <c r="B343" s="2" t="s">
        <v>14</v>
      </c>
      <c r="C343" s="2">
        <v>0</v>
      </c>
      <c r="D343" s="2">
        <v>2793.2276000000002</v>
      </c>
      <c r="E343" s="2">
        <v>-1298924.1066000001</v>
      </c>
      <c r="F343" s="2" t="s">
        <v>15</v>
      </c>
      <c r="G343" s="2" t="s">
        <v>15</v>
      </c>
      <c r="H343" s="2" t="s">
        <v>307</v>
      </c>
      <c r="I343" s="2" t="s">
        <v>17</v>
      </c>
      <c r="J343" s="2" t="s">
        <v>18</v>
      </c>
      <c r="K343" s="2" t="s">
        <v>19</v>
      </c>
      <c r="L343" s="2" t="s">
        <v>307</v>
      </c>
      <c r="M343" s="5">
        <v>256779418819</v>
      </c>
    </row>
    <row r="344" spans="1:13" x14ac:dyDescent="0.35">
      <c r="A344" s="2" t="s">
        <v>291</v>
      </c>
      <c r="B344" s="2" t="s">
        <v>14</v>
      </c>
      <c r="C344" s="2">
        <v>0</v>
      </c>
      <c r="D344" s="2">
        <v>529469.75580000004</v>
      </c>
      <c r="E344" s="2">
        <v>-1828393.8624</v>
      </c>
      <c r="F344" s="2" t="s">
        <v>15</v>
      </c>
      <c r="G344" s="2" t="s">
        <v>15</v>
      </c>
      <c r="H344" s="2" t="s">
        <v>308</v>
      </c>
      <c r="I344" s="2" t="s">
        <v>268</v>
      </c>
      <c r="J344" s="2" t="s">
        <v>18</v>
      </c>
      <c r="K344" s="2" t="s">
        <v>19</v>
      </c>
      <c r="L344" s="2" t="s">
        <v>308</v>
      </c>
      <c r="M344" s="5">
        <v>256779418869</v>
      </c>
    </row>
    <row r="345" spans="1:13" x14ac:dyDescent="0.35">
      <c r="A345" s="2" t="s">
        <v>291</v>
      </c>
      <c r="B345" s="2" t="s">
        <v>14</v>
      </c>
      <c r="C345" s="2">
        <v>0</v>
      </c>
      <c r="D345" s="2">
        <v>9367.9609</v>
      </c>
      <c r="E345" s="2">
        <v>-1837761.8233</v>
      </c>
      <c r="F345" s="2" t="s">
        <v>15</v>
      </c>
      <c r="G345" s="2" t="s">
        <v>15</v>
      </c>
      <c r="H345" s="2" t="s">
        <v>309</v>
      </c>
      <c r="I345" s="2" t="s">
        <v>66</v>
      </c>
      <c r="J345" s="2" t="s">
        <v>18</v>
      </c>
      <c r="K345" s="2" t="s">
        <v>19</v>
      </c>
      <c r="L345" s="2" t="s">
        <v>309</v>
      </c>
      <c r="M345" s="5">
        <v>256779418897</v>
      </c>
    </row>
    <row r="346" spans="1:13" x14ac:dyDescent="0.35">
      <c r="A346" s="2" t="s">
        <v>291</v>
      </c>
      <c r="B346" s="2" t="s">
        <v>14</v>
      </c>
      <c r="C346" s="2">
        <v>0</v>
      </c>
      <c r="D346" s="2">
        <v>3014.1161000000002</v>
      </c>
      <c r="E346" s="2">
        <v>-1840775.9394</v>
      </c>
      <c r="F346" s="2" t="s">
        <v>15</v>
      </c>
      <c r="G346" s="2" t="s">
        <v>15</v>
      </c>
      <c r="H346" s="2" t="s">
        <v>310</v>
      </c>
      <c r="I346" s="2" t="s">
        <v>21</v>
      </c>
      <c r="J346" s="2" t="s">
        <v>18</v>
      </c>
      <c r="K346" s="2" t="s">
        <v>19</v>
      </c>
      <c r="L346" s="2" t="s">
        <v>310</v>
      </c>
      <c r="M346" s="5">
        <v>256779418906</v>
      </c>
    </row>
    <row r="347" spans="1:13" x14ac:dyDescent="0.35">
      <c r="A347" s="2" t="s">
        <v>291</v>
      </c>
      <c r="B347" s="2" t="s">
        <v>14</v>
      </c>
      <c r="C347" s="2">
        <v>0</v>
      </c>
      <c r="D347" s="2">
        <v>63274.437400000003</v>
      </c>
      <c r="E347" s="2">
        <v>-1904050.3768</v>
      </c>
      <c r="F347" s="2" t="s">
        <v>15</v>
      </c>
      <c r="G347" s="2" t="s">
        <v>15</v>
      </c>
      <c r="H347" s="2" t="s">
        <v>311</v>
      </c>
      <c r="I347" s="2" t="s">
        <v>36</v>
      </c>
      <c r="J347" s="2" t="s">
        <v>18</v>
      </c>
      <c r="K347" s="2" t="s">
        <v>19</v>
      </c>
      <c r="L347" s="2" t="s">
        <v>311</v>
      </c>
      <c r="M347" s="5">
        <v>256779419076</v>
      </c>
    </row>
    <row r="348" spans="1:13" x14ac:dyDescent="0.35">
      <c r="A348" s="2" t="s">
        <v>291</v>
      </c>
      <c r="B348" s="2" t="s">
        <v>14</v>
      </c>
      <c r="C348" s="2">
        <v>0</v>
      </c>
      <c r="D348" s="2">
        <v>26716.949199999999</v>
      </c>
      <c r="E348" s="2">
        <v>-1930767.325999999</v>
      </c>
      <c r="F348" s="2" t="s">
        <v>15</v>
      </c>
      <c r="G348" s="2" t="s">
        <v>15</v>
      </c>
      <c r="H348" s="2" t="s">
        <v>312</v>
      </c>
      <c r="I348" s="2" t="s">
        <v>279</v>
      </c>
      <c r="J348" s="2" t="s">
        <v>18</v>
      </c>
      <c r="K348" s="2" t="s">
        <v>19</v>
      </c>
      <c r="L348" s="2" t="s">
        <v>312</v>
      </c>
      <c r="M348" s="5">
        <v>256779419069</v>
      </c>
    </row>
    <row r="349" spans="1:13" x14ac:dyDescent="0.35">
      <c r="A349" s="2" t="s">
        <v>291</v>
      </c>
      <c r="B349" s="2" t="s">
        <v>14</v>
      </c>
      <c r="C349" s="2">
        <v>0</v>
      </c>
      <c r="D349" s="2">
        <v>5909.4276</v>
      </c>
      <c r="E349" s="2">
        <v>-1936676.753599999</v>
      </c>
      <c r="F349" s="2" t="s">
        <v>15</v>
      </c>
      <c r="G349" s="2" t="s">
        <v>15</v>
      </c>
      <c r="H349" s="2" t="s">
        <v>313</v>
      </c>
      <c r="I349" s="2" t="s">
        <v>21</v>
      </c>
      <c r="J349" s="2" t="s">
        <v>18</v>
      </c>
      <c r="K349" s="2" t="s">
        <v>19</v>
      </c>
      <c r="L349" s="2" t="s">
        <v>313</v>
      </c>
      <c r="M349" s="5">
        <v>256779419172</v>
      </c>
    </row>
    <row r="350" spans="1:13" x14ac:dyDescent="0.35">
      <c r="A350" s="2" t="s">
        <v>291</v>
      </c>
      <c r="B350" s="2" t="s">
        <v>14</v>
      </c>
      <c r="C350" s="2">
        <v>0</v>
      </c>
      <c r="D350" s="2">
        <v>39821.534</v>
      </c>
      <c r="E350" s="2">
        <v>-1976498.287599999</v>
      </c>
      <c r="F350" s="2" t="s">
        <v>15</v>
      </c>
      <c r="G350" s="2" t="s">
        <v>15</v>
      </c>
      <c r="H350" s="2" t="s">
        <v>314</v>
      </c>
      <c r="I350" s="2" t="s">
        <v>36</v>
      </c>
      <c r="J350" s="2" t="s">
        <v>18</v>
      </c>
      <c r="K350" s="2" t="s">
        <v>19</v>
      </c>
      <c r="L350" s="2" t="s">
        <v>314</v>
      </c>
      <c r="M350" s="5">
        <v>256779419556</v>
      </c>
    </row>
    <row r="351" spans="1:13" x14ac:dyDescent="0.35">
      <c r="A351" s="2" t="s">
        <v>291</v>
      </c>
      <c r="B351" s="2" t="s">
        <v>14</v>
      </c>
      <c r="C351" s="2">
        <v>0</v>
      </c>
      <c r="D351" s="2">
        <v>29234.726200000001</v>
      </c>
      <c r="E351" s="2">
        <v>-2005733.0137999989</v>
      </c>
      <c r="F351" s="2" t="s">
        <v>15</v>
      </c>
      <c r="G351" s="2" t="s">
        <v>15</v>
      </c>
      <c r="H351" s="2" t="s">
        <v>315</v>
      </c>
      <c r="I351" s="2" t="s">
        <v>262</v>
      </c>
      <c r="J351" s="2" t="s">
        <v>18</v>
      </c>
      <c r="K351" s="2" t="s">
        <v>19</v>
      </c>
      <c r="L351" s="2" t="s">
        <v>315</v>
      </c>
      <c r="M351" s="5">
        <v>256779419588</v>
      </c>
    </row>
    <row r="352" spans="1:13" x14ac:dyDescent="0.35">
      <c r="A352" s="2" t="s">
        <v>291</v>
      </c>
      <c r="B352" s="2" t="s">
        <v>14</v>
      </c>
      <c r="C352" s="2">
        <v>0</v>
      </c>
      <c r="D352" s="2">
        <v>897.63459999999998</v>
      </c>
      <c r="E352" s="2">
        <v>-2006630.6483999989</v>
      </c>
      <c r="F352" s="2" t="s">
        <v>15</v>
      </c>
      <c r="G352" s="2" t="s">
        <v>15</v>
      </c>
      <c r="H352" s="2" t="s">
        <v>316</v>
      </c>
      <c r="I352" s="2" t="s">
        <v>205</v>
      </c>
      <c r="J352" s="2" t="s">
        <v>18</v>
      </c>
      <c r="K352" s="2" t="s">
        <v>19</v>
      </c>
      <c r="L352" s="2" t="s">
        <v>316</v>
      </c>
      <c r="M352" s="5">
        <v>256779419628</v>
      </c>
    </row>
    <row r="353" spans="1:13" x14ac:dyDescent="0.35">
      <c r="A353" s="2" t="s">
        <v>317</v>
      </c>
      <c r="B353" s="2" t="s">
        <v>14</v>
      </c>
      <c r="C353" s="2">
        <v>0</v>
      </c>
      <c r="D353" s="2">
        <v>20693.117099999999</v>
      </c>
      <c r="E353" s="2">
        <v>-2027323.765499999</v>
      </c>
      <c r="F353" s="2" t="s">
        <v>15</v>
      </c>
      <c r="G353" s="2" t="s">
        <v>15</v>
      </c>
      <c r="H353" s="2" t="s">
        <v>318</v>
      </c>
      <c r="I353" s="2" t="s">
        <v>17</v>
      </c>
      <c r="J353" s="2" t="s">
        <v>18</v>
      </c>
      <c r="K353" s="2" t="s">
        <v>19</v>
      </c>
      <c r="L353" s="2" t="s">
        <v>318</v>
      </c>
      <c r="M353" s="5">
        <v>256779419465</v>
      </c>
    </row>
    <row r="354" spans="1:13" x14ac:dyDescent="0.35">
      <c r="A354" s="2" t="s">
        <v>317</v>
      </c>
      <c r="B354" s="2" t="s">
        <v>14</v>
      </c>
      <c r="C354" s="2">
        <v>0</v>
      </c>
      <c r="D354" s="2">
        <v>14016.2999</v>
      </c>
      <c r="E354" s="2">
        <v>-2041340.065399999</v>
      </c>
      <c r="F354" s="2" t="s">
        <v>15</v>
      </c>
      <c r="G354" s="2" t="s">
        <v>15</v>
      </c>
      <c r="H354" s="2" t="s">
        <v>319</v>
      </c>
      <c r="I354" s="2" t="s">
        <v>254</v>
      </c>
      <c r="J354" s="2" t="s">
        <v>18</v>
      </c>
      <c r="K354" s="2" t="s">
        <v>19</v>
      </c>
      <c r="L354" s="2" t="s">
        <v>319</v>
      </c>
      <c r="M354" s="5">
        <v>256779419476</v>
      </c>
    </row>
    <row r="355" spans="1:13" x14ac:dyDescent="0.35">
      <c r="A355" s="2" t="s">
        <v>317</v>
      </c>
      <c r="B355" s="2" t="s">
        <v>14</v>
      </c>
      <c r="C355" s="2">
        <v>0</v>
      </c>
      <c r="D355" s="2">
        <v>7761.8990000000003</v>
      </c>
      <c r="E355" s="2">
        <v>-2049101.964399999</v>
      </c>
      <c r="F355" s="2" t="s">
        <v>15</v>
      </c>
      <c r="G355" s="2" t="s">
        <v>15</v>
      </c>
      <c r="H355" s="2" t="s">
        <v>320</v>
      </c>
      <c r="I355" s="2" t="s">
        <v>262</v>
      </c>
      <c r="J355" s="2" t="s">
        <v>18</v>
      </c>
      <c r="K355" s="2" t="s">
        <v>19</v>
      </c>
      <c r="L355" s="2" t="s">
        <v>320</v>
      </c>
      <c r="M355" s="5">
        <v>256779419534</v>
      </c>
    </row>
    <row r="356" spans="1:13" x14ac:dyDescent="0.35">
      <c r="A356" s="2" t="s">
        <v>317</v>
      </c>
      <c r="B356" s="2" t="s">
        <v>14</v>
      </c>
      <c r="C356" s="2">
        <v>0</v>
      </c>
      <c r="D356" s="2">
        <v>9417.2428</v>
      </c>
      <c r="E356" s="2">
        <v>-2058519.2071999989</v>
      </c>
      <c r="F356" s="2" t="s">
        <v>15</v>
      </c>
      <c r="G356" s="2" t="s">
        <v>15</v>
      </c>
      <c r="H356" s="2" t="s">
        <v>321</v>
      </c>
      <c r="I356" s="2" t="s">
        <v>90</v>
      </c>
      <c r="J356" s="2" t="s">
        <v>18</v>
      </c>
      <c r="K356" s="2" t="s">
        <v>19</v>
      </c>
      <c r="L356" s="2" t="s">
        <v>321</v>
      </c>
      <c r="M356" s="5">
        <v>256779419547</v>
      </c>
    </row>
    <row r="357" spans="1:13" x14ac:dyDescent="0.35">
      <c r="A357" s="2" t="s">
        <v>317</v>
      </c>
      <c r="B357" s="2" t="s">
        <v>14</v>
      </c>
      <c r="C357" s="2">
        <v>0</v>
      </c>
      <c r="D357" s="2">
        <v>27787.070400000001</v>
      </c>
      <c r="E357" s="2">
        <v>-2086306.277599999</v>
      </c>
      <c r="F357" s="2" t="s">
        <v>15</v>
      </c>
      <c r="G357" s="2" t="s">
        <v>15</v>
      </c>
      <c r="H357" s="2" t="s">
        <v>322</v>
      </c>
      <c r="I357" s="2" t="s">
        <v>304</v>
      </c>
      <c r="J357" s="2" t="s">
        <v>18</v>
      </c>
      <c r="K357" s="2" t="s">
        <v>19</v>
      </c>
      <c r="L357" s="2" t="s">
        <v>322</v>
      </c>
      <c r="M357" s="5">
        <v>256779419364</v>
      </c>
    </row>
    <row r="358" spans="1:13" x14ac:dyDescent="0.35">
      <c r="A358" s="2" t="s">
        <v>317</v>
      </c>
      <c r="B358" s="2" t="s">
        <v>14</v>
      </c>
      <c r="C358" s="2">
        <v>0</v>
      </c>
      <c r="D358" s="2">
        <v>11723.0177</v>
      </c>
      <c r="E358" s="2">
        <v>-2098029.295299999</v>
      </c>
      <c r="F358" s="2" t="s">
        <v>15</v>
      </c>
      <c r="G358" s="2" t="s">
        <v>15</v>
      </c>
      <c r="H358" s="2" t="s">
        <v>323</v>
      </c>
      <c r="I358" s="2" t="s">
        <v>36</v>
      </c>
      <c r="J358" s="2" t="s">
        <v>18</v>
      </c>
      <c r="K358" s="2" t="s">
        <v>19</v>
      </c>
      <c r="L358" s="2" t="s">
        <v>323</v>
      </c>
      <c r="M358" s="5">
        <v>256779413184</v>
      </c>
    </row>
    <row r="359" spans="1:13" x14ac:dyDescent="0.35">
      <c r="A359" s="2" t="s">
        <v>324</v>
      </c>
      <c r="B359" s="2" t="s">
        <v>14</v>
      </c>
      <c r="C359" s="2">
        <v>0</v>
      </c>
      <c r="D359" s="2">
        <v>61159.633500000004</v>
      </c>
      <c r="E359" s="2">
        <v>-2159188.9287999989</v>
      </c>
      <c r="F359" s="2" t="s">
        <v>15</v>
      </c>
      <c r="G359" s="2" t="s">
        <v>15</v>
      </c>
      <c r="H359" s="2" t="s">
        <v>325</v>
      </c>
      <c r="I359" s="2" t="s">
        <v>262</v>
      </c>
      <c r="J359" s="2" t="s">
        <v>18</v>
      </c>
      <c r="K359" s="2" t="s">
        <v>19</v>
      </c>
      <c r="L359" s="2" t="s">
        <v>325</v>
      </c>
      <c r="M359" s="5">
        <v>256779419867</v>
      </c>
    </row>
    <row r="360" spans="1:13" x14ac:dyDescent="0.35">
      <c r="A360" s="2" t="s">
        <v>324</v>
      </c>
      <c r="B360" s="2" t="s">
        <v>14</v>
      </c>
      <c r="C360" s="2">
        <v>0</v>
      </c>
      <c r="D360" s="2">
        <v>11115.014499999999</v>
      </c>
      <c r="E360" s="2">
        <v>-2170303.943299999</v>
      </c>
      <c r="F360" s="2" t="s">
        <v>15</v>
      </c>
      <c r="G360" s="2" t="s">
        <v>15</v>
      </c>
      <c r="H360" s="2" t="s">
        <v>326</v>
      </c>
      <c r="I360" s="2" t="s">
        <v>21</v>
      </c>
      <c r="J360" s="2" t="s">
        <v>18</v>
      </c>
      <c r="K360" s="2" t="s">
        <v>19</v>
      </c>
      <c r="L360" s="2" t="s">
        <v>326</v>
      </c>
      <c r="M360" s="5">
        <v>256779419916</v>
      </c>
    </row>
    <row r="361" spans="1:13" x14ac:dyDescent="0.35">
      <c r="A361" s="2" t="s">
        <v>324</v>
      </c>
      <c r="B361" s="2" t="s">
        <v>14</v>
      </c>
      <c r="C361" s="2">
        <v>0</v>
      </c>
      <c r="D361" s="2">
        <v>10489.678599999999</v>
      </c>
      <c r="E361" s="2">
        <v>-2180793.6219000001</v>
      </c>
      <c r="F361" s="2" t="s">
        <v>15</v>
      </c>
      <c r="G361" s="2" t="s">
        <v>15</v>
      </c>
      <c r="H361" s="2" t="s">
        <v>327</v>
      </c>
      <c r="I361" s="2" t="s">
        <v>279</v>
      </c>
      <c r="J361" s="2" t="s">
        <v>18</v>
      </c>
      <c r="K361" s="2" t="s">
        <v>19</v>
      </c>
      <c r="L361" s="2" t="s">
        <v>327</v>
      </c>
      <c r="M361" s="5">
        <v>256779419933</v>
      </c>
    </row>
    <row r="362" spans="1:13" x14ac:dyDescent="0.35">
      <c r="A362" s="2" t="s">
        <v>324</v>
      </c>
      <c r="B362" s="2" t="s">
        <v>14</v>
      </c>
      <c r="C362" s="2">
        <v>0</v>
      </c>
      <c r="D362" s="2">
        <v>28407.106800000001</v>
      </c>
      <c r="E362" s="2">
        <v>-2209200.7286999999</v>
      </c>
      <c r="F362" s="2" t="s">
        <v>15</v>
      </c>
      <c r="G362" s="2" t="s">
        <v>15</v>
      </c>
      <c r="H362" s="2" t="s">
        <v>328</v>
      </c>
      <c r="I362" s="2" t="s">
        <v>36</v>
      </c>
      <c r="J362" s="2" t="s">
        <v>18</v>
      </c>
      <c r="K362" s="2" t="s">
        <v>19</v>
      </c>
      <c r="L362" s="2" t="s">
        <v>328</v>
      </c>
      <c r="M362" s="5">
        <v>256779419795</v>
      </c>
    </row>
    <row r="363" spans="1:13" x14ac:dyDescent="0.35">
      <c r="A363" s="2" t="s">
        <v>329</v>
      </c>
      <c r="B363" s="2" t="s">
        <v>14</v>
      </c>
      <c r="C363" s="2">
        <v>4048</v>
      </c>
      <c r="D363" s="2">
        <v>40195.392399999997</v>
      </c>
      <c r="E363" s="2">
        <v>-2245348.1211000001</v>
      </c>
      <c r="F363" s="2" t="s">
        <v>15</v>
      </c>
      <c r="G363" s="2" t="s">
        <v>15</v>
      </c>
      <c r="H363" s="2" t="s">
        <v>330</v>
      </c>
      <c r="I363" s="2" t="s">
        <v>43</v>
      </c>
      <c r="J363" s="2" t="s">
        <v>18</v>
      </c>
      <c r="K363" s="2" t="s">
        <v>19</v>
      </c>
      <c r="L363" s="2" t="s">
        <v>331</v>
      </c>
      <c r="M363" s="5">
        <v>256779418802</v>
      </c>
    </row>
    <row r="364" spans="1:13" x14ac:dyDescent="0.35">
      <c r="A364" s="2" t="s">
        <v>329</v>
      </c>
      <c r="B364" s="2" t="s">
        <v>14</v>
      </c>
      <c r="C364" s="2">
        <v>0</v>
      </c>
      <c r="D364" s="2">
        <v>299.84859999999998</v>
      </c>
      <c r="E364" s="2">
        <v>-2245647.9696999998</v>
      </c>
      <c r="F364" s="2" t="s">
        <v>15</v>
      </c>
      <c r="G364" s="2" t="s">
        <v>15</v>
      </c>
      <c r="H364" s="2" t="s">
        <v>332</v>
      </c>
      <c r="I364" s="2" t="s">
        <v>254</v>
      </c>
      <c r="J364" s="2" t="s">
        <v>18</v>
      </c>
      <c r="K364" s="2" t="s">
        <v>19</v>
      </c>
      <c r="L364" s="2" t="s">
        <v>332</v>
      </c>
      <c r="M364" s="5">
        <v>256779418477</v>
      </c>
    </row>
    <row r="365" spans="1:13" x14ac:dyDescent="0.35">
      <c r="A365" s="2" t="s">
        <v>329</v>
      </c>
      <c r="B365" s="2" t="s">
        <v>14</v>
      </c>
      <c r="C365" s="2">
        <v>7320</v>
      </c>
      <c r="D365" s="2">
        <v>73283.168300000005</v>
      </c>
      <c r="E365" s="2">
        <v>-2311611.1379999998</v>
      </c>
      <c r="F365" s="2" t="s">
        <v>15</v>
      </c>
      <c r="G365" s="2" t="s">
        <v>15</v>
      </c>
      <c r="H365" s="2" t="s">
        <v>333</v>
      </c>
      <c r="I365" s="2" t="s">
        <v>36</v>
      </c>
      <c r="J365" s="2" t="s">
        <v>18</v>
      </c>
      <c r="K365" s="2" t="s">
        <v>19</v>
      </c>
      <c r="L365" s="2" t="s">
        <v>334</v>
      </c>
      <c r="M365" s="5">
        <v>246779418620</v>
      </c>
    </row>
    <row r="366" spans="1:13" x14ac:dyDescent="0.35">
      <c r="A366" s="2" t="s">
        <v>329</v>
      </c>
      <c r="B366" s="2" t="s">
        <v>14</v>
      </c>
      <c r="C366" s="2">
        <v>500000</v>
      </c>
      <c r="D366" s="2">
        <v>0</v>
      </c>
      <c r="E366" s="2">
        <v>-1811611.138</v>
      </c>
      <c r="F366" s="2" t="s">
        <v>121</v>
      </c>
      <c r="G366" s="2" t="s">
        <v>122</v>
      </c>
      <c r="H366" s="2" t="s">
        <v>335</v>
      </c>
      <c r="I366" s="2" t="s">
        <v>124</v>
      </c>
      <c r="J366" s="2" t="s">
        <v>18</v>
      </c>
      <c r="K366" s="2" t="s">
        <v>19</v>
      </c>
      <c r="L366" s="2"/>
      <c r="M366" s="5"/>
    </row>
    <row r="367" spans="1:13" x14ac:dyDescent="0.35">
      <c r="A367" s="2" t="s">
        <v>329</v>
      </c>
      <c r="B367" s="2" t="s">
        <v>14</v>
      </c>
      <c r="C367" s="2">
        <v>6</v>
      </c>
      <c r="D367" s="2">
        <v>306</v>
      </c>
      <c r="E367" s="2">
        <v>-1811911.138</v>
      </c>
      <c r="F367" s="2" t="s">
        <v>15</v>
      </c>
      <c r="G367" s="2" t="s">
        <v>15</v>
      </c>
      <c r="H367" s="2" t="s">
        <v>336</v>
      </c>
      <c r="I367" s="2" t="s">
        <v>254</v>
      </c>
      <c r="J367" s="2" t="s">
        <v>18</v>
      </c>
      <c r="K367" s="2" t="s">
        <v>19</v>
      </c>
      <c r="L367" s="2" t="s">
        <v>337</v>
      </c>
      <c r="M367" s="5">
        <v>256779418492</v>
      </c>
    </row>
    <row r="368" spans="1:13" x14ac:dyDescent="0.35">
      <c r="A368" s="2" t="s">
        <v>338</v>
      </c>
      <c r="B368" s="2" t="s">
        <v>14</v>
      </c>
      <c r="C368" s="2">
        <v>176</v>
      </c>
      <c r="D368" s="2">
        <v>7046.0609999999997</v>
      </c>
      <c r="E368" s="2">
        <v>-1818781.199</v>
      </c>
      <c r="F368" s="2" t="s">
        <v>15</v>
      </c>
      <c r="G368" s="2" t="s">
        <v>15</v>
      </c>
      <c r="H368" s="2" t="s">
        <v>339</v>
      </c>
      <c r="I368" s="2" t="s">
        <v>21</v>
      </c>
      <c r="J368" s="2" t="s">
        <v>18</v>
      </c>
      <c r="K368" s="2" t="s">
        <v>19</v>
      </c>
      <c r="L368" s="2" t="s">
        <v>340</v>
      </c>
      <c r="M368" s="5">
        <v>256779418437</v>
      </c>
    </row>
    <row r="369" spans="1:13" x14ac:dyDescent="0.35">
      <c r="A369" s="2" t="s">
        <v>338</v>
      </c>
      <c r="B369" s="2" t="s">
        <v>14</v>
      </c>
      <c r="C369" s="2">
        <v>88</v>
      </c>
      <c r="D369" s="2">
        <v>2901.2856000000002</v>
      </c>
      <c r="E369" s="2">
        <v>-1821594.4846000001</v>
      </c>
      <c r="F369" s="2" t="s">
        <v>15</v>
      </c>
      <c r="G369" s="2" t="s">
        <v>15</v>
      </c>
      <c r="H369" s="2" t="s">
        <v>341</v>
      </c>
      <c r="I369" s="2" t="s">
        <v>31</v>
      </c>
      <c r="J369" s="2" t="s">
        <v>18</v>
      </c>
      <c r="K369" s="2" t="s">
        <v>19</v>
      </c>
      <c r="L369" s="2" t="s">
        <v>342</v>
      </c>
      <c r="M369" s="5">
        <v>256779418428</v>
      </c>
    </row>
    <row r="370" spans="1:13" x14ac:dyDescent="0.35">
      <c r="A370" s="2" t="s">
        <v>338</v>
      </c>
      <c r="B370" s="2" t="s">
        <v>14</v>
      </c>
      <c r="C370" s="2">
        <v>0</v>
      </c>
      <c r="D370" s="2">
        <v>1036.08</v>
      </c>
      <c r="E370" s="2">
        <v>-1822630.5645999999</v>
      </c>
      <c r="F370" s="2" t="s">
        <v>15</v>
      </c>
      <c r="G370" s="2" t="s">
        <v>15</v>
      </c>
      <c r="H370" s="2" t="s">
        <v>343</v>
      </c>
      <c r="I370" s="2" t="s">
        <v>21</v>
      </c>
      <c r="J370" s="2" t="s">
        <v>18</v>
      </c>
      <c r="K370" s="2" t="s">
        <v>19</v>
      </c>
      <c r="L370" s="2" t="s">
        <v>343</v>
      </c>
      <c r="M370" s="5">
        <v>256779418351</v>
      </c>
    </row>
    <row r="371" spans="1:13" x14ac:dyDescent="0.35">
      <c r="A371" s="2" t="s">
        <v>338</v>
      </c>
      <c r="B371" s="2" t="s">
        <v>14</v>
      </c>
      <c r="C371" s="2">
        <v>970</v>
      </c>
      <c r="D371" s="2">
        <v>46651.936999999998</v>
      </c>
      <c r="E371" s="2">
        <v>-1868312.5016000001</v>
      </c>
      <c r="F371" s="2" t="s">
        <v>15</v>
      </c>
      <c r="G371" s="2" t="s">
        <v>15</v>
      </c>
      <c r="H371" s="2" t="s">
        <v>344</v>
      </c>
      <c r="I371" s="2" t="s">
        <v>17</v>
      </c>
      <c r="J371" s="2" t="s">
        <v>18</v>
      </c>
      <c r="K371" s="2" t="s">
        <v>19</v>
      </c>
      <c r="L371" s="2" t="s">
        <v>345</v>
      </c>
      <c r="M371" s="5">
        <v>256779418103</v>
      </c>
    </row>
    <row r="372" spans="1:13" x14ac:dyDescent="0.35">
      <c r="A372" s="2" t="s">
        <v>338</v>
      </c>
      <c r="B372" s="2" t="s">
        <v>14</v>
      </c>
      <c r="C372" s="2">
        <v>88</v>
      </c>
      <c r="D372" s="2">
        <v>6173.1630999999998</v>
      </c>
      <c r="E372" s="2">
        <v>-1874397.6647000001</v>
      </c>
      <c r="F372" s="2" t="s">
        <v>15</v>
      </c>
      <c r="G372" s="2" t="s">
        <v>15</v>
      </c>
      <c r="H372" s="2" t="s">
        <v>346</v>
      </c>
      <c r="I372" s="2" t="s">
        <v>347</v>
      </c>
      <c r="J372" s="2" t="s">
        <v>18</v>
      </c>
      <c r="K372" s="2" t="s">
        <v>19</v>
      </c>
      <c r="L372" s="2" t="s">
        <v>348</v>
      </c>
      <c r="M372" s="5">
        <v>256779418168</v>
      </c>
    </row>
    <row r="373" spans="1:13" x14ac:dyDescent="0.35">
      <c r="A373" s="2" t="s">
        <v>338</v>
      </c>
      <c r="B373" s="2" t="s">
        <v>14</v>
      </c>
      <c r="C373" s="2">
        <v>6791</v>
      </c>
      <c r="D373" s="2">
        <v>68060.655499999993</v>
      </c>
      <c r="E373" s="2">
        <v>-1935667.3202</v>
      </c>
      <c r="F373" s="2" t="s">
        <v>15</v>
      </c>
      <c r="G373" s="2" t="s">
        <v>15</v>
      </c>
      <c r="H373" s="2" t="s">
        <v>349</v>
      </c>
      <c r="I373" s="2" t="s">
        <v>36</v>
      </c>
      <c r="J373" s="2" t="s">
        <v>18</v>
      </c>
      <c r="K373" s="2" t="s">
        <v>19</v>
      </c>
      <c r="L373" s="2" t="s">
        <v>350</v>
      </c>
      <c r="M373" s="5">
        <v>256779418094</v>
      </c>
    </row>
    <row r="374" spans="1:13" x14ac:dyDescent="0.35">
      <c r="A374" s="2" t="s">
        <v>338</v>
      </c>
      <c r="B374" s="2" t="s">
        <v>14</v>
      </c>
      <c r="C374" s="2">
        <v>1058</v>
      </c>
      <c r="D374" s="2">
        <v>51397.291499999999</v>
      </c>
      <c r="E374" s="2">
        <v>-1986006.6117</v>
      </c>
      <c r="F374" s="2" t="s">
        <v>15</v>
      </c>
      <c r="G374" s="2" t="s">
        <v>15</v>
      </c>
      <c r="H374" s="2" t="s">
        <v>351</v>
      </c>
      <c r="I374" s="2" t="s">
        <v>21</v>
      </c>
      <c r="J374" s="2" t="s">
        <v>18</v>
      </c>
      <c r="K374" s="2" t="s">
        <v>19</v>
      </c>
      <c r="L374" s="2" t="s">
        <v>352</v>
      </c>
      <c r="M374" s="5">
        <v>256779417978</v>
      </c>
    </row>
    <row r="375" spans="1:13" x14ac:dyDescent="0.35">
      <c r="A375" s="2" t="s">
        <v>338</v>
      </c>
      <c r="B375" s="2" t="s">
        <v>14</v>
      </c>
      <c r="C375" s="2">
        <v>10</v>
      </c>
      <c r="D375" s="2">
        <v>506</v>
      </c>
      <c r="E375" s="2">
        <v>-1986502.6117</v>
      </c>
      <c r="F375" s="2" t="s">
        <v>15</v>
      </c>
      <c r="G375" s="2" t="s">
        <v>15</v>
      </c>
      <c r="H375" s="2" t="s">
        <v>353</v>
      </c>
      <c r="I375" s="2" t="s">
        <v>270</v>
      </c>
      <c r="J375" s="2" t="s">
        <v>18</v>
      </c>
      <c r="K375" s="2" t="s">
        <v>19</v>
      </c>
      <c r="L375" s="2" t="s">
        <v>354</v>
      </c>
      <c r="M375" s="5">
        <v>256779418103</v>
      </c>
    </row>
    <row r="376" spans="1:13" x14ac:dyDescent="0.35">
      <c r="A376" s="2" t="s">
        <v>355</v>
      </c>
      <c r="B376" s="2" t="s">
        <v>14</v>
      </c>
      <c r="C376" s="2">
        <v>1351</v>
      </c>
      <c r="D376" s="2">
        <v>67557</v>
      </c>
      <c r="E376" s="2">
        <v>-2052708.6117</v>
      </c>
      <c r="F376" s="2" t="s">
        <v>15</v>
      </c>
      <c r="G376" s="2" t="s">
        <v>15</v>
      </c>
      <c r="H376" s="2" t="s">
        <v>356</v>
      </c>
      <c r="I376" s="2" t="s">
        <v>66</v>
      </c>
      <c r="J376" s="2" t="s">
        <v>18</v>
      </c>
      <c r="K376" s="2" t="s">
        <v>19</v>
      </c>
      <c r="L376" s="2" t="s">
        <v>357</v>
      </c>
      <c r="M376" s="5">
        <v>256779416178</v>
      </c>
    </row>
    <row r="377" spans="1:13" x14ac:dyDescent="0.35">
      <c r="A377" s="2" t="s">
        <v>355</v>
      </c>
      <c r="B377" s="2" t="s">
        <v>14</v>
      </c>
      <c r="C377" s="2">
        <v>16530</v>
      </c>
      <c r="D377" s="2">
        <v>16530</v>
      </c>
      <c r="E377" s="2">
        <v>-2052708.6117</v>
      </c>
      <c r="F377" s="2" t="s">
        <v>211</v>
      </c>
      <c r="G377" s="2" t="s">
        <v>171</v>
      </c>
      <c r="H377" s="2" t="s">
        <v>358</v>
      </c>
      <c r="I377" s="2"/>
      <c r="J377" s="2" t="s">
        <v>18</v>
      </c>
      <c r="K377" s="2" t="s">
        <v>19</v>
      </c>
      <c r="L377" s="2" t="s">
        <v>359</v>
      </c>
      <c r="M377" s="5">
        <v>256779414288</v>
      </c>
    </row>
    <row r="378" spans="1:13" x14ac:dyDescent="0.35">
      <c r="A378" s="2" t="s">
        <v>355</v>
      </c>
      <c r="B378" s="2" t="s">
        <v>14</v>
      </c>
      <c r="C378" s="2">
        <v>453</v>
      </c>
      <c r="D378" s="2">
        <v>453</v>
      </c>
      <c r="E378" s="2">
        <v>-2052708.6117</v>
      </c>
      <c r="F378" s="2" t="s">
        <v>211</v>
      </c>
      <c r="G378" s="2" t="s">
        <v>171</v>
      </c>
      <c r="H378" s="2" t="s">
        <v>360</v>
      </c>
      <c r="I378" s="2"/>
      <c r="J378" s="2" t="s">
        <v>18</v>
      </c>
      <c r="K378" s="2" t="s">
        <v>19</v>
      </c>
      <c r="L378" s="2" t="s">
        <v>361</v>
      </c>
      <c r="M378" s="5">
        <v>256779417084</v>
      </c>
    </row>
    <row r="379" spans="1:13" x14ac:dyDescent="0.35">
      <c r="A379" s="2" t="s">
        <v>355</v>
      </c>
      <c r="B379" s="2" t="s">
        <v>14</v>
      </c>
      <c r="C379" s="2">
        <v>8522</v>
      </c>
      <c r="D379" s="2">
        <v>8522</v>
      </c>
      <c r="E379" s="2">
        <v>-2052708.6117</v>
      </c>
      <c r="F379" s="2" t="s">
        <v>211</v>
      </c>
      <c r="G379" s="2" t="s">
        <v>171</v>
      </c>
      <c r="H379" s="2" t="s">
        <v>362</v>
      </c>
      <c r="I379" s="2"/>
      <c r="J379" s="2" t="s">
        <v>18</v>
      </c>
      <c r="K379" s="2" t="s">
        <v>19</v>
      </c>
      <c r="L379" s="2" t="s">
        <v>363</v>
      </c>
      <c r="M379" s="5">
        <v>246779411314</v>
      </c>
    </row>
    <row r="380" spans="1:13" x14ac:dyDescent="0.35">
      <c r="A380" s="2" t="s">
        <v>364</v>
      </c>
      <c r="B380" s="2" t="s">
        <v>14</v>
      </c>
      <c r="C380" s="2">
        <v>4174</v>
      </c>
      <c r="D380" s="2">
        <v>41446.745000000003</v>
      </c>
      <c r="E380" s="2">
        <v>-2089981.3566999999</v>
      </c>
      <c r="F380" s="2" t="s">
        <v>15</v>
      </c>
      <c r="G380" s="2" t="s">
        <v>15</v>
      </c>
      <c r="H380" s="2" t="s">
        <v>365</v>
      </c>
      <c r="I380" s="2" t="s">
        <v>200</v>
      </c>
      <c r="J380" s="2" t="s">
        <v>18</v>
      </c>
      <c r="K380" s="2" t="s">
        <v>19</v>
      </c>
      <c r="L380" s="2" t="s">
        <v>366</v>
      </c>
      <c r="M380" s="5">
        <v>256779440041</v>
      </c>
    </row>
    <row r="381" spans="1:13" x14ac:dyDescent="0.35">
      <c r="A381" s="2" t="s">
        <v>364</v>
      </c>
      <c r="B381" s="2" t="s">
        <v>14</v>
      </c>
      <c r="C381" s="2">
        <v>0</v>
      </c>
      <c r="D381" s="2">
        <v>1066.231</v>
      </c>
      <c r="E381" s="2">
        <v>-2091047.5877</v>
      </c>
      <c r="F381" s="2" t="s">
        <v>15</v>
      </c>
      <c r="G381" s="2" t="s">
        <v>15</v>
      </c>
      <c r="H381" s="2" t="s">
        <v>367</v>
      </c>
      <c r="I381" s="2" t="s">
        <v>21</v>
      </c>
      <c r="J381" s="2" t="s">
        <v>18</v>
      </c>
      <c r="K381" s="2" t="s">
        <v>19</v>
      </c>
      <c r="L381" s="2" t="s">
        <v>367</v>
      </c>
      <c r="M381" s="5">
        <v>256779440069</v>
      </c>
    </row>
    <row r="382" spans="1:13" x14ac:dyDescent="0.35">
      <c r="A382" s="2" t="s">
        <v>368</v>
      </c>
      <c r="B382" s="2" t="s">
        <v>14</v>
      </c>
      <c r="C382" s="2">
        <v>181</v>
      </c>
      <c r="D382" s="2">
        <v>8983.0849999999991</v>
      </c>
      <c r="E382" s="2">
        <v>-2099849.6727</v>
      </c>
      <c r="F382" s="2" t="s">
        <v>15</v>
      </c>
      <c r="G382" s="2" t="s">
        <v>15</v>
      </c>
      <c r="H382" s="2" t="s">
        <v>369</v>
      </c>
      <c r="I382" s="2" t="s">
        <v>370</v>
      </c>
      <c r="J382" s="2" t="s">
        <v>18</v>
      </c>
      <c r="K382" s="2" t="s">
        <v>19</v>
      </c>
      <c r="L382" s="2" t="s">
        <v>371</v>
      </c>
      <c r="M382" s="5">
        <v>256779440118</v>
      </c>
    </row>
    <row r="383" spans="1:13" x14ac:dyDescent="0.35">
      <c r="A383" s="2" t="s">
        <v>372</v>
      </c>
      <c r="B383" s="2" t="s">
        <v>14</v>
      </c>
      <c r="C383" s="2">
        <v>674751</v>
      </c>
      <c r="D383" s="2">
        <v>0</v>
      </c>
      <c r="E383" s="2">
        <v>-1425098.6727</v>
      </c>
      <c r="F383" s="2" t="s">
        <v>121</v>
      </c>
      <c r="G383" s="2" t="s">
        <v>122</v>
      </c>
      <c r="H383" s="2" t="s">
        <v>373</v>
      </c>
      <c r="I383" s="2" t="s">
        <v>124</v>
      </c>
      <c r="J383" s="2" t="s">
        <v>18</v>
      </c>
      <c r="K383" s="2" t="s">
        <v>19</v>
      </c>
      <c r="L383" s="2" t="s">
        <v>301</v>
      </c>
      <c r="M383" s="5">
        <v>256779417084</v>
      </c>
    </row>
    <row r="384" spans="1:13" x14ac:dyDescent="0.35">
      <c r="A384" s="2" t="s">
        <v>374</v>
      </c>
      <c r="B384" s="2" t="s">
        <v>14</v>
      </c>
      <c r="C384" s="2">
        <v>90</v>
      </c>
      <c r="D384" s="2">
        <v>4904.3774000000003</v>
      </c>
      <c r="E384" s="2">
        <v>-1429913.0501000001</v>
      </c>
      <c r="F384" s="2" t="s">
        <v>15</v>
      </c>
      <c r="G384" s="2" t="s">
        <v>15</v>
      </c>
      <c r="H384" s="2" t="s">
        <v>375</v>
      </c>
      <c r="I384" s="2" t="s">
        <v>376</v>
      </c>
      <c r="J384" s="2" t="s">
        <v>18</v>
      </c>
      <c r="K384" s="2" t="s">
        <v>19</v>
      </c>
      <c r="L384" s="2" t="s">
        <v>377</v>
      </c>
      <c r="M384" s="5">
        <v>256779440383</v>
      </c>
    </row>
    <row r="385" spans="1:13" x14ac:dyDescent="0.35">
      <c r="A385" s="2" t="s">
        <v>374</v>
      </c>
      <c r="B385" s="2" t="s">
        <v>14</v>
      </c>
      <c r="C385" s="2">
        <v>181</v>
      </c>
      <c r="D385" s="2">
        <v>8983.0846000000001</v>
      </c>
      <c r="E385" s="2">
        <v>-1438715.1347000001</v>
      </c>
      <c r="F385" s="2" t="s">
        <v>15</v>
      </c>
      <c r="G385" s="2" t="s">
        <v>15</v>
      </c>
      <c r="H385" s="2" t="s">
        <v>378</v>
      </c>
      <c r="I385" s="2" t="s">
        <v>379</v>
      </c>
      <c r="J385" s="2" t="s">
        <v>18</v>
      </c>
      <c r="K385" s="2" t="s">
        <v>19</v>
      </c>
      <c r="L385" s="2" t="s">
        <v>380</v>
      </c>
      <c r="M385" s="5">
        <v>256779440413</v>
      </c>
    </row>
    <row r="386" spans="1:13" x14ac:dyDescent="0.35">
      <c r="A386" s="2" t="s">
        <v>374</v>
      </c>
      <c r="B386" s="2" t="s">
        <v>14</v>
      </c>
      <c r="C386" s="2">
        <v>91</v>
      </c>
      <c r="D386" s="2">
        <v>6141.7525999999998</v>
      </c>
      <c r="E386" s="2">
        <v>-1444765.8873000001</v>
      </c>
      <c r="F386" s="2" t="s">
        <v>15</v>
      </c>
      <c r="G386" s="2" t="s">
        <v>15</v>
      </c>
      <c r="H386" s="2" t="s">
        <v>381</v>
      </c>
      <c r="I386" s="2" t="s">
        <v>21</v>
      </c>
      <c r="J386" s="2" t="s">
        <v>18</v>
      </c>
      <c r="K386" s="2" t="s">
        <v>19</v>
      </c>
      <c r="L386" s="2" t="s">
        <v>382</v>
      </c>
      <c r="M386" s="5">
        <v>256779440429</v>
      </c>
    </row>
    <row r="387" spans="1:13" x14ac:dyDescent="0.35">
      <c r="A387" s="2" t="s">
        <v>374</v>
      </c>
      <c r="B387" s="2" t="s">
        <v>14</v>
      </c>
      <c r="C387" s="2">
        <v>1815</v>
      </c>
      <c r="D387" s="2">
        <v>18211.378000000001</v>
      </c>
      <c r="E387" s="2">
        <v>-1461162.2653000001</v>
      </c>
      <c r="F387" s="2" t="s">
        <v>15</v>
      </c>
      <c r="G387" s="2" t="s">
        <v>15</v>
      </c>
      <c r="H387" s="2" t="s">
        <v>383</v>
      </c>
      <c r="I387" s="2" t="s">
        <v>36</v>
      </c>
      <c r="J387" s="2" t="s">
        <v>18</v>
      </c>
      <c r="K387" s="2" t="s">
        <v>19</v>
      </c>
      <c r="L387" s="2" t="s">
        <v>384</v>
      </c>
      <c r="M387" s="5">
        <v>256779440394</v>
      </c>
    </row>
    <row r="388" spans="1:13" x14ac:dyDescent="0.35">
      <c r="A388" s="2" t="s">
        <v>374</v>
      </c>
      <c r="B388" s="2" t="s">
        <v>14</v>
      </c>
      <c r="C388" s="2">
        <v>1089</v>
      </c>
      <c r="D388" s="2">
        <v>11313.937</v>
      </c>
      <c r="E388" s="2">
        <v>-1471387.2023</v>
      </c>
      <c r="F388" s="2" t="s">
        <v>15</v>
      </c>
      <c r="G388" s="2" t="s">
        <v>15</v>
      </c>
      <c r="H388" s="2" t="s">
        <v>385</v>
      </c>
      <c r="I388" s="2" t="s">
        <v>386</v>
      </c>
      <c r="J388" s="2" t="s">
        <v>18</v>
      </c>
      <c r="K388" s="2" t="s">
        <v>19</v>
      </c>
      <c r="L388" s="2" t="s">
        <v>387</v>
      </c>
      <c r="M388" s="5">
        <v>256779440392</v>
      </c>
    </row>
    <row r="389" spans="1:13" x14ac:dyDescent="0.35">
      <c r="A389" s="2" t="s">
        <v>388</v>
      </c>
      <c r="B389" s="2" t="s">
        <v>14</v>
      </c>
      <c r="C389" s="2">
        <v>181</v>
      </c>
      <c r="D389" s="2">
        <v>7063.8671999999997</v>
      </c>
      <c r="E389" s="2">
        <v>-1478270.0695</v>
      </c>
      <c r="F389" s="2" t="s">
        <v>15</v>
      </c>
      <c r="G389" s="2" t="s">
        <v>15</v>
      </c>
      <c r="H389" s="2" t="s">
        <v>389</v>
      </c>
      <c r="I389" s="2" t="s">
        <v>88</v>
      </c>
      <c r="J389" s="2" t="s">
        <v>18</v>
      </c>
      <c r="K389" s="2" t="s">
        <v>19</v>
      </c>
      <c r="L389" s="2" t="s">
        <v>390</v>
      </c>
      <c r="M389" s="5">
        <v>256779440210</v>
      </c>
    </row>
    <row r="390" spans="1:13" x14ac:dyDescent="0.35">
      <c r="A390" s="2" t="s">
        <v>388</v>
      </c>
      <c r="B390" s="2" t="s">
        <v>14</v>
      </c>
      <c r="C390" s="2">
        <v>181</v>
      </c>
      <c r="D390" s="2">
        <v>11185.420599999999</v>
      </c>
      <c r="E390" s="2">
        <v>-1489274.4901000001</v>
      </c>
      <c r="F390" s="2" t="s">
        <v>15</v>
      </c>
      <c r="G390" s="2" t="s">
        <v>15</v>
      </c>
      <c r="H390" s="2" t="s">
        <v>391</v>
      </c>
      <c r="I390" s="2" t="s">
        <v>386</v>
      </c>
      <c r="J390" s="2" t="s">
        <v>18</v>
      </c>
      <c r="K390" s="2" t="s">
        <v>19</v>
      </c>
      <c r="L390" s="2" t="s">
        <v>392</v>
      </c>
      <c r="M390" s="5">
        <v>256779440122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D8A4-4455-46BA-B013-F042AB7C6290}">
  <dimension ref="A1:N378"/>
  <sheetViews>
    <sheetView topLeftCell="G1" zoomScale="85" zoomScaleNormal="85" workbookViewId="0">
      <selection activeCell="A226" sqref="A1:I378"/>
    </sheetView>
  </sheetViews>
  <sheetFormatPr defaultColWidth="8.81640625" defaultRowHeight="14.5" x14ac:dyDescent="0.35"/>
  <cols>
    <col min="1" max="1" width="12.453125" bestFit="1" customWidth="1"/>
    <col min="2" max="3" width="12" style="8" bestFit="1" customWidth="1"/>
    <col min="4" max="5" width="16.1796875" bestFit="1" customWidth="1"/>
    <col min="6" max="6" width="19.81640625" bestFit="1" customWidth="1"/>
    <col min="7" max="7" width="44.54296875" customWidth="1"/>
    <col min="8" max="8" width="25.1796875" customWidth="1"/>
    <col min="9" max="9" width="26.36328125" style="45" bestFit="1" customWidth="1"/>
    <col min="10" max="10" width="20.54296875" style="3" bestFit="1" customWidth="1"/>
    <col min="11" max="11" width="27.81640625" style="46" bestFit="1" customWidth="1"/>
    <col min="12" max="12" width="16.81640625" style="3" bestFit="1" customWidth="1"/>
    <col min="13" max="13" width="17.1796875" style="3" bestFit="1" customWidth="1"/>
    <col min="14" max="14" width="17" style="3" bestFit="1" customWidth="1"/>
    <col min="15" max="16384" width="8.81640625" style="3"/>
  </cols>
  <sheetData>
    <row r="1" spans="1:13" x14ac:dyDescent="0.35">
      <c r="B1" s="8">
        <f>SUBTOTAL(9,B2:B381)</f>
        <v>9479044.5199999996</v>
      </c>
      <c r="C1" s="8">
        <f>SUBTOTAL(9,C2:C381)</f>
        <v>10968319.010100003</v>
      </c>
      <c r="D1" s="44">
        <f>C1-B1</f>
        <v>1489274.4901000038</v>
      </c>
    </row>
    <row r="2" spans="1:13" x14ac:dyDescent="0.35">
      <c r="A2" s="1" t="s">
        <v>0</v>
      </c>
      <c r="B2" s="7" t="s">
        <v>2</v>
      </c>
      <c r="C2" s="7" t="s">
        <v>3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11</v>
      </c>
      <c r="I2" s="4" t="s">
        <v>12</v>
      </c>
      <c r="K2" s="4" t="s">
        <v>12</v>
      </c>
      <c r="L2" s="4" t="s">
        <v>945</v>
      </c>
      <c r="M2" s="4" t="s">
        <v>946</v>
      </c>
    </row>
    <row r="3" spans="1:13" x14ac:dyDescent="0.35">
      <c r="A3" s="1" t="s">
        <v>393</v>
      </c>
      <c r="B3" s="7">
        <v>0</v>
      </c>
      <c r="C3" s="7">
        <v>35554.519999999997</v>
      </c>
      <c r="D3" s="1" t="s">
        <v>15</v>
      </c>
      <c r="E3" s="1" t="s">
        <v>15</v>
      </c>
      <c r="F3" s="1" t="s">
        <v>394</v>
      </c>
      <c r="G3" s="1" t="s">
        <v>43</v>
      </c>
      <c r="H3" s="1" t="s">
        <v>394</v>
      </c>
      <c r="I3" s="4">
        <v>246779410049</v>
      </c>
      <c r="K3" s="4">
        <v>256779418075</v>
      </c>
      <c r="L3" s="7">
        <v>0</v>
      </c>
      <c r="M3" s="7">
        <v>1972</v>
      </c>
    </row>
    <row r="4" spans="1:13" x14ac:dyDescent="0.35">
      <c r="A4" s="1" t="s">
        <v>393</v>
      </c>
      <c r="B4" s="7">
        <v>0</v>
      </c>
      <c r="C4" s="7">
        <v>35554.519999999997</v>
      </c>
      <c r="D4" s="1" t="s">
        <v>15</v>
      </c>
      <c r="E4" s="1" t="s">
        <v>15</v>
      </c>
      <c r="F4" s="1" t="s">
        <v>395</v>
      </c>
      <c r="G4" s="1" t="s">
        <v>43</v>
      </c>
      <c r="H4" s="1" t="s">
        <v>395</v>
      </c>
      <c r="I4" s="4">
        <v>246779410303</v>
      </c>
      <c r="K4" s="4">
        <v>246779410049</v>
      </c>
      <c r="L4" s="7">
        <v>0</v>
      </c>
      <c r="M4" s="7">
        <v>35554.519999999997</v>
      </c>
    </row>
    <row r="5" spans="1:13" x14ac:dyDescent="0.35">
      <c r="A5" s="1" t="s">
        <v>393</v>
      </c>
      <c r="B5" s="7">
        <v>0</v>
      </c>
      <c r="C5" s="7">
        <v>35554.519999999997</v>
      </c>
      <c r="D5" s="1" t="s">
        <v>15</v>
      </c>
      <c r="E5" s="1" t="s">
        <v>15</v>
      </c>
      <c r="F5" s="1" t="s">
        <v>396</v>
      </c>
      <c r="G5" s="1" t="s">
        <v>43</v>
      </c>
      <c r="H5" s="1" t="s">
        <v>396</v>
      </c>
      <c r="I5" s="4">
        <v>246779410117</v>
      </c>
      <c r="K5" s="4">
        <v>246779410072</v>
      </c>
      <c r="L5" s="7">
        <v>0</v>
      </c>
      <c r="M5" s="7">
        <v>35477</v>
      </c>
    </row>
    <row r="6" spans="1:13" x14ac:dyDescent="0.35">
      <c r="A6" s="1" t="s">
        <v>393</v>
      </c>
      <c r="B6" s="7">
        <v>0</v>
      </c>
      <c r="C6" s="7">
        <v>35554.519999999997</v>
      </c>
      <c r="D6" s="1" t="s">
        <v>15</v>
      </c>
      <c r="E6" s="1" t="s">
        <v>15</v>
      </c>
      <c r="F6" s="1" t="s">
        <v>397</v>
      </c>
      <c r="G6" s="1" t="s">
        <v>43</v>
      </c>
      <c r="H6" s="1" t="s">
        <v>397</v>
      </c>
      <c r="I6" s="4">
        <v>246779410160</v>
      </c>
      <c r="K6" s="4">
        <v>246779410117</v>
      </c>
      <c r="L6" s="7">
        <v>0</v>
      </c>
      <c r="M6" s="7">
        <v>35554.519999999997</v>
      </c>
    </row>
    <row r="7" spans="1:13" x14ac:dyDescent="0.35">
      <c r="A7" s="1" t="s">
        <v>393</v>
      </c>
      <c r="B7" s="7">
        <v>0</v>
      </c>
      <c r="C7" s="7">
        <v>35554.519999999997</v>
      </c>
      <c r="D7" s="1" t="s">
        <v>15</v>
      </c>
      <c r="E7" s="1" t="s">
        <v>15</v>
      </c>
      <c r="F7" s="1" t="s">
        <v>398</v>
      </c>
      <c r="G7" s="1" t="s">
        <v>43</v>
      </c>
      <c r="H7" s="1" t="s">
        <v>398</v>
      </c>
      <c r="I7" s="4">
        <v>246779410203</v>
      </c>
      <c r="K7" s="4">
        <v>246779410160</v>
      </c>
      <c r="L7" s="7">
        <v>0</v>
      </c>
      <c r="M7" s="7">
        <v>35554.519999999997</v>
      </c>
    </row>
    <row r="8" spans="1:13" x14ac:dyDescent="0.35">
      <c r="A8" s="1" t="s">
        <v>393</v>
      </c>
      <c r="B8" s="7">
        <v>0</v>
      </c>
      <c r="C8" s="7">
        <v>35554.519999999997</v>
      </c>
      <c r="D8" s="1" t="s">
        <v>15</v>
      </c>
      <c r="E8" s="1" t="s">
        <v>15</v>
      </c>
      <c r="F8" s="1" t="s">
        <v>399</v>
      </c>
      <c r="G8" s="1" t="s">
        <v>43</v>
      </c>
      <c r="H8" s="1" t="s">
        <v>399</v>
      </c>
      <c r="I8" s="4">
        <v>246779410246</v>
      </c>
      <c r="K8" s="4">
        <v>246779410203</v>
      </c>
      <c r="L8" s="7">
        <v>0</v>
      </c>
      <c r="M8" s="7">
        <v>35554.519999999997</v>
      </c>
    </row>
    <row r="9" spans="1:13" x14ac:dyDescent="0.35">
      <c r="A9" s="1" t="s">
        <v>400</v>
      </c>
      <c r="B9" s="7">
        <v>0</v>
      </c>
      <c r="C9" s="7">
        <v>804</v>
      </c>
      <c r="D9" s="1" t="s">
        <v>15</v>
      </c>
      <c r="E9" s="1" t="s">
        <v>15</v>
      </c>
      <c r="F9" s="1" t="s">
        <v>401</v>
      </c>
      <c r="G9" s="1" t="s">
        <v>21</v>
      </c>
      <c r="H9" s="1" t="s">
        <v>401</v>
      </c>
      <c r="I9" s="4">
        <v>246779410613</v>
      </c>
      <c r="K9" s="4">
        <v>246779410246</v>
      </c>
      <c r="L9" s="7">
        <v>0</v>
      </c>
      <c r="M9" s="7">
        <v>35554.519999999997</v>
      </c>
    </row>
    <row r="10" spans="1:13" x14ac:dyDescent="0.35">
      <c r="A10" s="1" t="s">
        <v>400</v>
      </c>
      <c r="B10" s="7">
        <v>0</v>
      </c>
      <c r="C10" s="7">
        <v>1004</v>
      </c>
      <c r="D10" s="1" t="s">
        <v>15</v>
      </c>
      <c r="E10" s="1" t="s">
        <v>15</v>
      </c>
      <c r="F10" s="1" t="s">
        <v>402</v>
      </c>
      <c r="G10" s="1" t="s">
        <v>21</v>
      </c>
      <c r="H10" s="1" t="s">
        <v>402</v>
      </c>
      <c r="I10" s="4">
        <v>246779410612</v>
      </c>
      <c r="K10" s="4">
        <v>246779410303</v>
      </c>
      <c r="L10" s="7">
        <v>0</v>
      </c>
      <c r="M10" s="7">
        <v>35554.519999999997</v>
      </c>
    </row>
    <row r="11" spans="1:13" x14ac:dyDescent="0.35">
      <c r="A11" s="1" t="s">
        <v>400</v>
      </c>
      <c r="B11" s="7">
        <v>0</v>
      </c>
      <c r="C11" s="7">
        <v>402</v>
      </c>
      <c r="D11" s="1" t="s">
        <v>15</v>
      </c>
      <c r="E11" s="1" t="s">
        <v>15</v>
      </c>
      <c r="F11" s="1" t="s">
        <v>403</v>
      </c>
      <c r="G11" s="1" t="s">
        <v>21</v>
      </c>
      <c r="H11" s="1" t="s">
        <v>403</v>
      </c>
      <c r="I11" s="4">
        <v>246779410611</v>
      </c>
      <c r="K11" s="4">
        <v>246779410327</v>
      </c>
      <c r="L11" s="7">
        <v>0</v>
      </c>
      <c r="M11" s="7">
        <v>16480.710999999999</v>
      </c>
    </row>
    <row r="12" spans="1:13" x14ac:dyDescent="0.35">
      <c r="A12" s="1" t="s">
        <v>400</v>
      </c>
      <c r="B12" s="7">
        <v>0</v>
      </c>
      <c r="C12" s="7">
        <v>201</v>
      </c>
      <c r="D12" s="1" t="s">
        <v>15</v>
      </c>
      <c r="E12" s="1" t="s">
        <v>15</v>
      </c>
      <c r="F12" s="1" t="s">
        <v>404</v>
      </c>
      <c r="G12" s="1" t="s">
        <v>21</v>
      </c>
      <c r="H12" s="1" t="s">
        <v>404</v>
      </c>
      <c r="I12" s="4">
        <v>246779410610</v>
      </c>
      <c r="K12" s="4">
        <v>246779410333</v>
      </c>
      <c r="L12" s="7">
        <v>0</v>
      </c>
      <c r="M12" s="7">
        <v>29975.441999999999</v>
      </c>
    </row>
    <row r="13" spans="1:13" x14ac:dyDescent="0.35">
      <c r="A13" s="1" t="s">
        <v>400</v>
      </c>
      <c r="B13" s="7">
        <v>0</v>
      </c>
      <c r="C13" s="7">
        <v>804</v>
      </c>
      <c r="D13" s="1" t="s">
        <v>15</v>
      </c>
      <c r="E13" s="1" t="s">
        <v>15</v>
      </c>
      <c r="F13" s="1" t="s">
        <v>405</v>
      </c>
      <c r="G13" s="1" t="s">
        <v>21</v>
      </c>
      <c r="H13" s="1" t="s">
        <v>405</v>
      </c>
      <c r="I13" s="4">
        <v>246779410608</v>
      </c>
      <c r="K13" s="4">
        <v>246779410338</v>
      </c>
      <c r="L13" s="7">
        <v>0</v>
      </c>
      <c r="M13" s="7">
        <v>13859.78</v>
      </c>
    </row>
    <row r="14" spans="1:13" x14ac:dyDescent="0.35">
      <c r="A14" s="1" t="s">
        <v>400</v>
      </c>
      <c r="B14" s="7">
        <v>0</v>
      </c>
      <c r="C14" s="7">
        <v>402</v>
      </c>
      <c r="D14" s="1" t="s">
        <v>15</v>
      </c>
      <c r="E14" s="1" t="s">
        <v>15</v>
      </c>
      <c r="F14" s="1" t="s">
        <v>406</v>
      </c>
      <c r="G14" s="1" t="s">
        <v>21</v>
      </c>
      <c r="H14" s="1" t="s">
        <v>406</v>
      </c>
      <c r="I14" s="4">
        <v>246779410607</v>
      </c>
      <c r="K14" s="4">
        <v>246779410339</v>
      </c>
      <c r="L14" s="7">
        <v>0</v>
      </c>
      <c r="M14" s="7">
        <v>44681.824999999997</v>
      </c>
    </row>
    <row r="15" spans="1:13" x14ac:dyDescent="0.35">
      <c r="A15" s="1" t="s">
        <v>400</v>
      </c>
      <c r="B15" s="7">
        <v>0</v>
      </c>
      <c r="C15" s="7">
        <v>580687</v>
      </c>
      <c r="D15" s="1" t="s">
        <v>15</v>
      </c>
      <c r="E15" s="1" t="s">
        <v>15</v>
      </c>
      <c r="F15" s="1" t="s">
        <v>407</v>
      </c>
      <c r="G15" s="1" t="s">
        <v>36</v>
      </c>
      <c r="H15" s="1" t="s">
        <v>407</v>
      </c>
      <c r="I15" s="4">
        <v>246779410404</v>
      </c>
      <c r="K15" s="4">
        <v>246779410340</v>
      </c>
      <c r="L15" s="7">
        <v>0</v>
      </c>
      <c r="M15" s="7">
        <v>144772.565</v>
      </c>
    </row>
    <row r="16" spans="1:13" x14ac:dyDescent="0.35">
      <c r="A16" s="1" t="s">
        <v>400</v>
      </c>
      <c r="B16" s="7">
        <v>0</v>
      </c>
      <c r="C16" s="7">
        <v>340227</v>
      </c>
      <c r="D16" s="1" t="s">
        <v>15</v>
      </c>
      <c r="E16" s="1" t="s">
        <v>15</v>
      </c>
      <c r="F16" s="1" t="s">
        <v>408</v>
      </c>
      <c r="G16" s="1" t="s">
        <v>36</v>
      </c>
      <c r="H16" s="1" t="s">
        <v>408</v>
      </c>
      <c r="I16" s="4">
        <v>246779410428</v>
      </c>
      <c r="K16" s="4">
        <v>246779410348</v>
      </c>
      <c r="L16" s="7">
        <v>0</v>
      </c>
      <c r="M16" s="7">
        <v>151725</v>
      </c>
    </row>
    <row r="17" spans="1:13" x14ac:dyDescent="0.35">
      <c r="A17" s="1" t="s">
        <v>400</v>
      </c>
      <c r="B17" s="7">
        <v>0</v>
      </c>
      <c r="C17" s="7">
        <v>460370</v>
      </c>
      <c r="D17" s="1" t="s">
        <v>15</v>
      </c>
      <c r="E17" s="1" t="s">
        <v>15</v>
      </c>
      <c r="F17" s="1" t="s">
        <v>409</v>
      </c>
      <c r="G17" s="1" t="s">
        <v>36</v>
      </c>
      <c r="H17" s="1" t="s">
        <v>409</v>
      </c>
      <c r="I17" s="4">
        <v>246779410379</v>
      </c>
      <c r="K17" s="4">
        <v>246779410352</v>
      </c>
      <c r="L17" s="7">
        <v>0</v>
      </c>
      <c r="M17" s="7">
        <v>102103.25599999999</v>
      </c>
    </row>
    <row r="18" spans="1:13" x14ac:dyDescent="0.35">
      <c r="A18" s="1" t="s">
        <v>400</v>
      </c>
      <c r="B18" s="7">
        <v>0</v>
      </c>
      <c r="C18" s="7">
        <v>2009</v>
      </c>
      <c r="D18" s="1" t="s">
        <v>15</v>
      </c>
      <c r="E18" s="1" t="s">
        <v>15</v>
      </c>
      <c r="F18" s="1" t="s">
        <v>410</v>
      </c>
      <c r="G18" s="1" t="s">
        <v>21</v>
      </c>
      <c r="H18" s="1" t="s">
        <v>410</v>
      </c>
      <c r="I18" s="4">
        <v>246779410605</v>
      </c>
      <c r="K18" s="4">
        <v>246779410360</v>
      </c>
      <c r="L18" s="7">
        <v>0</v>
      </c>
      <c r="M18" s="7">
        <v>59624</v>
      </c>
    </row>
    <row r="19" spans="1:13" x14ac:dyDescent="0.35">
      <c r="A19" s="1" t="s">
        <v>400</v>
      </c>
      <c r="B19" s="7">
        <v>0</v>
      </c>
      <c r="C19" s="7">
        <v>402</v>
      </c>
      <c r="D19" s="1" t="s">
        <v>15</v>
      </c>
      <c r="E19" s="1" t="s">
        <v>15</v>
      </c>
      <c r="F19" s="1" t="s">
        <v>411</v>
      </c>
      <c r="G19" s="1" t="s">
        <v>21</v>
      </c>
      <c r="H19" s="1" t="s">
        <v>411</v>
      </c>
      <c r="I19" s="4">
        <v>246779410606</v>
      </c>
      <c r="K19" s="4">
        <v>246779410379</v>
      </c>
      <c r="L19" s="7">
        <v>0</v>
      </c>
      <c r="M19" s="7">
        <v>460370</v>
      </c>
    </row>
    <row r="20" spans="1:13" x14ac:dyDescent="0.35">
      <c r="A20" s="1" t="s">
        <v>400</v>
      </c>
      <c r="B20" s="7">
        <v>0</v>
      </c>
      <c r="C20" s="7">
        <v>2009</v>
      </c>
      <c r="D20" s="1" t="s">
        <v>15</v>
      </c>
      <c r="E20" s="1" t="s">
        <v>15</v>
      </c>
      <c r="F20" s="1" t="s">
        <v>412</v>
      </c>
      <c r="G20" s="1" t="s">
        <v>21</v>
      </c>
      <c r="H20" s="1" t="s">
        <v>412</v>
      </c>
      <c r="I20" s="4">
        <v>246779410495</v>
      </c>
      <c r="K20" s="4">
        <v>246779410404</v>
      </c>
      <c r="L20" s="7">
        <v>0</v>
      </c>
      <c r="M20" s="7">
        <v>580687</v>
      </c>
    </row>
    <row r="21" spans="1:13" x14ac:dyDescent="0.35">
      <c r="A21" s="1" t="s">
        <v>400</v>
      </c>
      <c r="B21" s="7">
        <v>0</v>
      </c>
      <c r="C21" s="7">
        <v>201</v>
      </c>
      <c r="D21" s="1" t="s">
        <v>15</v>
      </c>
      <c r="E21" s="1" t="s">
        <v>15</v>
      </c>
      <c r="F21" s="1" t="s">
        <v>413</v>
      </c>
      <c r="G21" s="1" t="s">
        <v>21</v>
      </c>
      <c r="H21" s="1" t="s">
        <v>413</v>
      </c>
      <c r="I21" s="4">
        <v>246779410494</v>
      </c>
      <c r="K21" s="4">
        <v>246779410428</v>
      </c>
      <c r="L21" s="7">
        <v>0</v>
      </c>
      <c r="M21" s="7">
        <v>340227</v>
      </c>
    </row>
    <row r="22" spans="1:13" x14ac:dyDescent="0.35">
      <c r="A22" s="1" t="s">
        <v>400</v>
      </c>
      <c r="B22" s="7">
        <v>0</v>
      </c>
      <c r="C22" s="7">
        <v>201</v>
      </c>
      <c r="D22" s="1" t="s">
        <v>15</v>
      </c>
      <c r="E22" s="1" t="s">
        <v>15</v>
      </c>
      <c r="F22" s="1" t="s">
        <v>414</v>
      </c>
      <c r="G22" s="1" t="s">
        <v>21</v>
      </c>
      <c r="H22" s="1" t="s">
        <v>414</v>
      </c>
      <c r="I22" s="4">
        <v>246779410496</v>
      </c>
      <c r="K22" s="4">
        <v>246779410494</v>
      </c>
      <c r="L22" s="7">
        <v>0</v>
      </c>
      <c r="M22" s="7">
        <v>201</v>
      </c>
    </row>
    <row r="23" spans="1:13" x14ac:dyDescent="0.35">
      <c r="A23" s="1" t="s">
        <v>400</v>
      </c>
      <c r="B23" s="7">
        <v>0</v>
      </c>
      <c r="C23" s="7">
        <v>201</v>
      </c>
      <c r="D23" s="1" t="s">
        <v>15</v>
      </c>
      <c r="E23" s="1" t="s">
        <v>15</v>
      </c>
      <c r="F23" s="1" t="s">
        <v>415</v>
      </c>
      <c r="G23" s="1" t="s">
        <v>21</v>
      </c>
      <c r="H23" s="1" t="s">
        <v>415</v>
      </c>
      <c r="I23" s="4">
        <v>246779410497</v>
      </c>
      <c r="K23" s="4">
        <v>246779410495</v>
      </c>
      <c r="L23" s="7">
        <v>0</v>
      </c>
      <c r="M23" s="7">
        <v>2009</v>
      </c>
    </row>
    <row r="24" spans="1:13" x14ac:dyDescent="0.35">
      <c r="A24" s="1" t="s">
        <v>400</v>
      </c>
      <c r="B24" s="7">
        <v>0</v>
      </c>
      <c r="C24" s="7">
        <v>804</v>
      </c>
      <c r="D24" s="1" t="s">
        <v>15</v>
      </c>
      <c r="E24" s="1" t="s">
        <v>15</v>
      </c>
      <c r="F24" s="1" t="s">
        <v>416</v>
      </c>
      <c r="G24" s="1" t="s">
        <v>21</v>
      </c>
      <c r="H24" s="1" t="s">
        <v>416</v>
      </c>
      <c r="I24" s="4">
        <v>246779410499</v>
      </c>
      <c r="K24" s="4">
        <v>246779410496</v>
      </c>
      <c r="L24" s="7">
        <v>0</v>
      </c>
      <c r="M24" s="7">
        <v>201</v>
      </c>
    </row>
    <row r="25" spans="1:13" x14ac:dyDescent="0.35">
      <c r="A25" s="1" t="s">
        <v>400</v>
      </c>
      <c r="B25" s="7">
        <v>0</v>
      </c>
      <c r="C25" s="7">
        <v>201</v>
      </c>
      <c r="D25" s="1" t="s">
        <v>15</v>
      </c>
      <c r="E25" s="1" t="s">
        <v>15</v>
      </c>
      <c r="F25" s="1" t="s">
        <v>417</v>
      </c>
      <c r="G25" s="1" t="s">
        <v>21</v>
      </c>
      <c r="H25" s="1" t="s">
        <v>417</v>
      </c>
      <c r="I25" s="4">
        <v>246779410500</v>
      </c>
      <c r="K25" s="4">
        <v>246779410497</v>
      </c>
      <c r="L25" s="7">
        <v>0</v>
      </c>
      <c r="M25" s="7">
        <v>201</v>
      </c>
    </row>
    <row r="26" spans="1:13" x14ac:dyDescent="0.35">
      <c r="A26" s="1" t="s">
        <v>400</v>
      </c>
      <c r="B26" s="7">
        <v>0</v>
      </c>
      <c r="C26" s="7">
        <v>1607</v>
      </c>
      <c r="D26" s="1" t="s">
        <v>15</v>
      </c>
      <c r="E26" s="1" t="s">
        <v>15</v>
      </c>
      <c r="F26" s="1" t="s">
        <v>418</v>
      </c>
      <c r="G26" s="1" t="s">
        <v>21</v>
      </c>
      <c r="H26" s="1" t="s">
        <v>418</v>
      </c>
      <c r="I26" s="4">
        <v>246779410501</v>
      </c>
      <c r="K26" s="4">
        <v>246779410498</v>
      </c>
      <c r="L26" s="7">
        <v>0</v>
      </c>
      <c r="M26" s="7">
        <v>200</v>
      </c>
    </row>
    <row r="27" spans="1:13" x14ac:dyDescent="0.35">
      <c r="A27" s="1" t="s">
        <v>400</v>
      </c>
      <c r="B27" s="7">
        <v>0</v>
      </c>
      <c r="C27" s="7">
        <v>2009</v>
      </c>
      <c r="D27" s="1" t="s">
        <v>15</v>
      </c>
      <c r="E27" s="1" t="s">
        <v>15</v>
      </c>
      <c r="F27" s="1" t="s">
        <v>419</v>
      </c>
      <c r="G27" s="1" t="s">
        <v>21</v>
      </c>
      <c r="H27" s="1" t="s">
        <v>419</v>
      </c>
      <c r="I27" s="4">
        <v>246779410502</v>
      </c>
      <c r="K27" s="4">
        <v>246779410499</v>
      </c>
      <c r="L27" s="7">
        <v>0</v>
      </c>
      <c r="M27" s="7">
        <v>804</v>
      </c>
    </row>
    <row r="28" spans="1:13" x14ac:dyDescent="0.35">
      <c r="A28" s="1" t="s">
        <v>400</v>
      </c>
      <c r="B28" s="7">
        <v>0</v>
      </c>
      <c r="C28" s="7">
        <v>2009</v>
      </c>
      <c r="D28" s="1" t="s">
        <v>15</v>
      </c>
      <c r="E28" s="1" t="s">
        <v>15</v>
      </c>
      <c r="F28" s="1" t="s">
        <v>420</v>
      </c>
      <c r="G28" s="1" t="s">
        <v>21</v>
      </c>
      <c r="H28" s="1" t="s">
        <v>420</v>
      </c>
      <c r="I28" s="4">
        <v>246779410503</v>
      </c>
      <c r="K28" s="4">
        <v>246779410500</v>
      </c>
      <c r="L28" s="7">
        <v>0</v>
      </c>
      <c r="M28" s="7">
        <v>201</v>
      </c>
    </row>
    <row r="29" spans="1:13" x14ac:dyDescent="0.35">
      <c r="A29" s="1" t="s">
        <v>400</v>
      </c>
      <c r="B29" s="7">
        <v>0</v>
      </c>
      <c r="C29" s="7">
        <v>201</v>
      </c>
      <c r="D29" s="1" t="s">
        <v>15</v>
      </c>
      <c r="E29" s="1" t="s">
        <v>15</v>
      </c>
      <c r="F29" s="1" t="s">
        <v>421</v>
      </c>
      <c r="G29" s="1" t="s">
        <v>21</v>
      </c>
      <c r="H29" s="1" t="s">
        <v>421</v>
      </c>
      <c r="I29" s="4">
        <v>246779410504</v>
      </c>
      <c r="K29" s="4">
        <v>246779410501</v>
      </c>
      <c r="L29" s="7">
        <v>0</v>
      </c>
      <c r="M29" s="7">
        <v>1607</v>
      </c>
    </row>
    <row r="30" spans="1:13" x14ac:dyDescent="0.35">
      <c r="A30" s="1" t="s">
        <v>400</v>
      </c>
      <c r="B30" s="7">
        <v>0</v>
      </c>
      <c r="C30" s="7">
        <v>603</v>
      </c>
      <c r="D30" s="1" t="s">
        <v>15</v>
      </c>
      <c r="E30" s="1" t="s">
        <v>15</v>
      </c>
      <c r="F30" s="1" t="s">
        <v>422</v>
      </c>
      <c r="G30" s="1" t="s">
        <v>21</v>
      </c>
      <c r="H30" s="1" t="s">
        <v>422</v>
      </c>
      <c r="I30" s="4">
        <v>246779410505</v>
      </c>
      <c r="K30" s="4">
        <v>246779410502</v>
      </c>
      <c r="L30" s="7">
        <v>0</v>
      </c>
      <c r="M30" s="7">
        <v>2009</v>
      </c>
    </row>
    <row r="31" spans="1:13" x14ac:dyDescent="0.35">
      <c r="A31" s="1" t="s">
        <v>400</v>
      </c>
      <c r="B31" s="7">
        <v>0</v>
      </c>
      <c r="C31" s="7">
        <v>402</v>
      </c>
      <c r="D31" s="1" t="s">
        <v>15</v>
      </c>
      <c r="E31" s="1" t="s">
        <v>15</v>
      </c>
      <c r="F31" s="1" t="s">
        <v>423</v>
      </c>
      <c r="G31" s="1" t="s">
        <v>21</v>
      </c>
      <c r="H31" s="1" t="s">
        <v>423</v>
      </c>
      <c r="I31" s="4">
        <v>246779410506</v>
      </c>
      <c r="K31" s="4">
        <v>246779410503</v>
      </c>
      <c r="L31" s="7">
        <v>0</v>
      </c>
      <c r="M31" s="7">
        <v>2009</v>
      </c>
    </row>
    <row r="32" spans="1:13" x14ac:dyDescent="0.35">
      <c r="A32" s="1" t="s">
        <v>400</v>
      </c>
      <c r="B32" s="7">
        <v>0</v>
      </c>
      <c r="C32" s="7">
        <v>402</v>
      </c>
      <c r="D32" s="1" t="s">
        <v>15</v>
      </c>
      <c r="E32" s="1" t="s">
        <v>15</v>
      </c>
      <c r="F32" s="1" t="s">
        <v>424</v>
      </c>
      <c r="G32" s="1" t="s">
        <v>21</v>
      </c>
      <c r="H32" s="1" t="s">
        <v>424</v>
      </c>
      <c r="I32" s="4">
        <v>246779410507</v>
      </c>
      <c r="K32" s="4">
        <v>246779410504</v>
      </c>
      <c r="L32" s="7">
        <v>0</v>
      </c>
      <c r="M32" s="7">
        <v>201</v>
      </c>
    </row>
    <row r="33" spans="1:13" x14ac:dyDescent="0.35">
      <c r="A33" s="1" t="s">
        <v>400</v>
      </c>
      <c r="B33" s="7">
        <v>0</v>
      </c>
      <c r="C33" s="7">
        <v>201</v>
      </c>
      <c r="D33" s="1" t="s">
        <v>15</v>
      </c>
      <c r="E33" s="1" t="s">
        <v>15</v>
      </c>
      <c r="F33" s="1" t="s">
        <v>425</v>
      </c>
      <c r="G33" s="1" t="s">
        <v>21</v>
      </c>
      <c r="H33" s="1" t="s">
        <v>425</v>
      </c>
      <c r="I33" s="4">
        <v>246779410508</v>
      </c>
      <c r="K33" s="4">
        <v>246779410505</v>
      </c>
      <c r="L33" s="7">
        <v>0</v>
      </c>
      <c r="M33" s="7">
        <v>603</v>
      </c>
    </row>
    <row r="34" spans="1:13" x14ac:dyDescent="0.35">
      <c r="A34" s="1" t="s">
        <v>426</v>
      </c>
      <c r="B34" s="7">
        <v>0</v>
      </c>
      <c r="C34" s="7">
        <v>403</v>
      </c>
      <c r="D34" s="1" t="s">
        <v>15</v>
      </c>
      <c r="E34" s="1" t="s">
        <v>15</v>
      </c>
      <c r="F34" s="1" t="s">
        <v>427</v>
      </c>
      <c r="G34" s="1" t="s">
        <v>21</v>
      </c>
      <c r="H34" s="1" t="s">
        <v>427</v>
      </c>
      <c r="I34" s="4">
        <v>246779410843</v>
      </c>
      <c r="K34" s="4">
        <v>246779410506</v>
      </c>
      <c r="L34" s="7">
        <v>0</v>
      </c>
      <c r="M34" s="7">
        <v>402</v>
      </c>
    </row>
    <row r="35" spans="1:13" x14ac:dyDescent="0.35">
      <c r="A35" s="1" t="s">
        <v>426</v>
      </c>
      <c r="B35" s="7">
        <v>0</v>
      </c>
      <c r="C35" s="7">
        <v>805</v>
      </c>
      <c r="D35" s="1" t="s">
        <v>15</v>
      </c>
      <c r="E35" s="1" t="s">
        <v>15</v>
      </c>
      <c r="F35" s="1" t="s">
        <v>428</v>
      </c>
      <c r="G35" s="1" t="s">
        <v>21</v>
      </c>
      <c r="H35" s="1" t="s">
        <v>428</v>
      </c>
      <c r="I35" s="4">
        <v>246779410686</v>
      </c>
      <c r="K35" s="4">
        <v>246779410507</v>
      </c>
      <c r="L35" s="7">
        <v>0</v>
      </c>
      <c r="M35" s="7">
        <v>402</v>
      </c>
    </row>
    <row r="36" spans="1:13" x14ac:dyDescent="0.35">
      <c r="A36" s="1" t="s">
        <v>426</v>
      </c>
      <c r="B36" s="7">
        <v>0</v>
      </c>
      <c r="C36" s="7">
        <v>201</v>
      </c>
      <c r="D36" s="1" t="s">
        <v>15</v>
      </c>
      <c r="E36" s="1" t="s">
        <v>15</v>
      </c>
      <c r="F36" s="1" t="s">
        <v>429</v>
      </c>
      <c r="G36" s="1" t="s">
        <v>21</v>
      </c>
      <c r="H36" s="1" t="s">
        <v>429</v>
      </c>
      <c r="I36" s="4">
        <v>246779410683</v>
      </c>
      <c r="K36" s="4">
        <v>246779410508</v>
      </c>
      <c r="L36" s="7">
        <v>0</v>
      </c>
      <c r="M36" s="7">
        <v>201</v>
      </c>
    </row>
    <row r="37" spans="1:13" x14ac:dyDescent="0.35">
      <c r="A37" s="1" t="s">
        <v>426</v>
      </c>
      <c r="B37" s="7">
        <v>0</v>
      </c>
      <c r="C37" s="7">
        <v>604</v>
      </c>
      <c r="D37" s="1" t="s">
        <v>15</v>
      </c>
      <c r="E37" s="1" t="s">
        <v>15</v>
      </c>
      <c r="F37" s="1" t="s">
        <v>430</v>
      </c>
      <c r="G37" s="1" t="s">
        <v>21</v>
      </c>
      <c r="H37" s="1" t="s">
        <v>430</v>
      </c>
      <c r="I37" s="4">
        <v>246779410759</v>
      </c>
      <c r="K37" s="4">
        <v>246779410605</v>
      </c>
      <c r="L37" s="7">
        <v>0</v>
      </c>
      <c r="M37" s="7">
        <v>2009</v>
      </c>
    </row>
    <row r="38" spans="1:13" x14ac:dyDescent="0.35">
      <c r="A38" s="1" t="s">
        <v>426</v>
      </c>
      <c r="B38" s="7">
        <v>0</v>
      </c>
      <c r="C38" s="7">
        <v>1006</v>
      </c>
      <c r="D38" s="1" t="s">
        <v>15</v>
      </c>
      <c r="E38" s="1" t="s">
        <v>15</v>
      </c>
      <c r="F38" s="1" t="s">
        <v>431</v>
      </c>
      <c r="G38" s="1" t="s">
        <v>21</v>
      </c>
      <c r="H38" s="1" t="s">
        <v>431</v>
      </c>
      <c r="I38" s="4">
        <v>246779410760</v>
      </c>
      <c r="K38" s="4">
        <v>246779410606</v>
      </c>
      <c r="L38" s="7">
        <v>0</v>
      </c>
      <c r="M38" s="7">
        <v>402</v>
      </c>
    </row>
    <row r="39" spans="1:13" x14ac:dyDescent="0.35">
      <c r="A39" s="1" t="s">
        <v>426</v>
      </c>
      <c r="B39" s="7">
        <v>0</v>
      </c>
      <c r="C39" s="7">
        <v>1207</v>
      </c>
      <c r="D39" s="1" t="s">
        <v>15</v>
      </c>
      <c r="E39" s="1" t="s">
        <v>15</v>
      </c>
      <c r="F39" s="1" t="s">
        <v>432</v>
      </c>
      <c r="G39" s="1" t="s">
        <v>21</v>
      </c>
      <c r="H39" s="1" t="s">
        <v>432</v>
      </c>
      <c r="I39" s="4">
        <v>246779410761</v>
      </c>
      <c r="K39" s="4">
        <v>246779410607</v>
      </c>
      <c r="L39" s="7">
        <v>0</v>
      </c>
      <c r="M39" s="7">
        <v>402</v>
      </c>
    </row>
    <row r="40" spans="1:13" x14ac:dyDescent="0.35">
      <c r="A40" s="1" t="s">
        <v>426</v>
      </c>
      <c r="B40" s="7">
        <v>0</v>
      </c>
      <c r="C40" s="7">
        <v>201</v>
      </c>
      <c r="D40" s="1" t="s">
        <v>15</v>
      </c>
      <c r="E40" s="1" t="s">
        <v>15</v>
      </c>
      <c r="F40" s="1" t="s">
        <v>433</v>
      </c>
      <c r="G40" s="1" t="s">
        <v>21</v>
      </c>
      <c r="H40" s="1" t="s">
        <v>433</v>
      </c>
      <c r="I40" s="4">
        <v>246779410763</v>
      </c>
      <c r="K40" s="4">
        <v>246779410608</v>
      </c>
      <c r="L40" s="7">
        <v>0</v>
      </c>
      <c r="M40" s="7">
        <v>804</v>
      </c>
    </row>
    <row r="41" spans="1:13" x14ac:dyDescent="0.35">
      <c r="A41" s="1" t="s">
        <v>426</v>
      </c>
      <c r="B41" s="7">
        <v>0</v>
      </c>
      <c r="C41" s="7">
        <v>403</v>
      </c>
      <c r="D41" s="1" t="s">
        <v>15</v>
      </c>
      <c r="E41" s="1" t="s">
        <v>15</v>
      </c>
      <c r="F41" s="1" t="s">
        <v>434</v>
      </c>
      <c r="G41" s="1" t="s">
        <v>21</v>
      </c>
      <c r="H41" s="1" t="s">
        <v>434</v>
      </c>
      <c r="I41" s="4">
        <v>246779410762</v>
      </c>
      <c r="K41" s="4">
        <v>246779410609</v>
      </c>
      <c r="L41" s="7">
        <v>0</v>
      </c>
      <c r="M41" s="7">
        <v>3203</v>
      </c>
    </row>
    <row r="42" spans="1:13" x14ac:dyDescent="0.35">
      <c r="A42" s="1" t="s">
        <v>426</v>
      </c>
      <c r="B42" s="7">
        <v>0</v>
      </c>
      <c r="C42" s="7">
        <v>403</v>
      </c>
      <c r="D42" s="1" t="s">
        <v>15</v>
      </c>
      <c r="E42" s="1" t="s">
        <v>15</v>
      </c>
      <c r="F42" s="1" t="s">
        <v>435</v>
      </c>
      <c r="G42" s="1" t="s">
        <v>21</v>
      </c>
      <c r="H42" s="1" t="s">
        <v>435</v>
      </c>
      <c r="I42" s="4">
        <v>246779410757</v>
      </c>
      <c r="K42" s="4">
        <v>246779410610</v>
      </c>
      <c r="L42" s="7">
        <v>0</v>
      </c>
      <c r="M42" s="7">
        <v>201</v>
      </c>
    </row>
    <row r="43" spans="1:13" x14ac:dyDescent="0.35">
      <c r="A43" s="1" t="s">
        <v>426</v>
      </c>
      <c r="B43" s="7">
        <v>0</v>
      </c>
      <c r="C43" s="7">
        <v>201</v>
      </c>
      <c r="D43" s="1" t="s">
        <v>15</v>
      </c>
      <c r="E43" s="1" t="s">
        <v>15</v>
      </c>
      <c r="F43" s="1" t="s">
        <v>436</v>
      </c>
      <c r="G43" s="1" t="s">
        <v>21</v>
      </c>
      <c r="H43" s="1" t="s">
        <v>436</v>
      </c>
      <c r="I43" s="4">
        <v>246779410765</v>
      </c>
      <c r="K43" s="4">
        <v>246779410611</v>
      </c>
      <c r="L43" s="7">
        <v>0</v>
      </c>
      <c r="M43" s="7">
        <v>402</v>
      </c>
    </row>
    <row r="44" spans="1:13" x14ac:dyDescent="0.35">
      <c r="A44" s="1" t="s">
        <v>426</v>
      </c>
      <c r="B44" s="7">
        <v>0</v>
      </c>
      <c r="C44" s="7">
        <v>201</v>
      </c>
      <c r="D44" s="1" t="s">
        <v>15</v>
      </c>
      <c r="E44" s="1" t="s">
        <v>15</v>
      </c>
      <c r="F44" s="1" t="s">
        <v>437</v>
      </c>
      <c r="G44" s="1" t="s">
        <v>21</v>
      </c>
      <c r="H44" s="1" t="s">
        <v>437</v>
      </c>
      <c r="I44" s="4">
        <v>246779410764</v>
      </c>
      <c r="K44" s="4">
        <v>246779410612</v>
      </c>
      <c r="L44" s="7">
        <v>0</v>
      </c>
      <c r="M44" s="7">
        <v>1004</v>
      </c>
    </row>
    <row r="45" spans="1:13" x14ac:dyDescent="0.35">
      <c r="A45" s="1" t="s">
        <v>426</v>
      </c>
      <c r="B45" s="7">
        <v>0</v>
      </c>
      <c r="C45" s="7">
        <v>403</v>
      </c>
      <c r="D45" s="1" t="s">
        <v>15</v>
      </c>
      <c r="E45" s="1" t="s">
        <v>15</v>
      </c>
      <c r="F45" s="1" t="s">
        <v>438</v>
      </c>
      <c r="G45" s="1" t="s">
        <v>21</v>
      </c>
      <c r="H45" s="1" t="s">
        <v>438</v>
      </c>
      <c r="I45" s="4">
        <v>246779410766</v>
      </c>
      <c r="K45" s="4">
        <v>246779410613</v>
      </c>
      <c r="L45" s="7">
        <v>0</v>
      </c>
      <c r="M45" s="7">
        <v>804</v>
      </c>
    </row>
    <row r="46" spans="1:13" x14ac:dyDescent="0.35">
      <c r="A46" s="1" t="s">
        <v>426</v>
      </c>
      <c r="B46" s="7">
        <v>0</v>
      </c>
      <c r="C46" s="7">
        <v>403</v>
      </c>
      <c r="D46" s="1" t="s">
        <v>15</v>
      </c>
      <c r="E46" s="1" t="s">
        <v>15</v>
      </c>
      <c r="F46" s="1" t="s">
        <v>439</v>
      </c>
      <c r="G46" s="1" t="s">
        <v>21</v>
      </c>
      <c r="H46" s="1" t="s">
        <v>439</v>
      </c>
      <c r="I46" s="4">
        <v>246779410756</v>
      </c>
      <c r="K46" s="4">
        <v>246779410678</v>
      </c>
      <c r="L46" s="7">
        <v>0</v>
      </c>
      <c r="M46" s="7">
        <v>201</v>
      </c>
    </row>
    <row r="47" spans="1:13" x14ac:dyDescent="0.35">
      <c r="A47" s="1" t="s">
        <v>426</v>
      </c>
      <c r="B47" s="7">
        <v>0</v>
      </c>
      <c r="C47" s="7">
        <v>3219</v>
      </c>
      <c r="D47" s="1" t="s">
        <v>15</v>
      </c>
      <c r="E47" s="1" t="s">
        <v>15</v>
      </c>
      <c r="F47" s="1" t="s">
        <v>440</v>
      </c>
      <c r="G47" s="1" t="s">
        <v>21</v>
      </c>
      <c r="H47" s="1" t="s">
        <v>440</v>
      </c>
      <c r="I47" s="4">
        <v>246779410758</v>
      </c>
      <c r="K47" s="4">
        <v>246779410679</v>
      </c>
      <c r="L47" s="7">
        <v>0</v>
      </c>
      <c r="M47" s="7">
        <v>201</v>
      </c>
    </row>
    <row r="48" spans="1:13" x14ac:dyDescent="0.35">
      <c r="A48" s="1" t="s">
        <v>426</v>
      </c>
      <c r="B48" s="7">
        <v>0</v>
      </c>
      <c r="C48" s="7">
        <v>403</v>
      </c>
      <c r="D48" s="1" t="s">
        <v>15</v>
      </c>
      <c r="E48" s="1" t="s">
        <v>15</v>
      </c>
      <c r="F48" s="1" t="s">
        <v>441</v>
      </c>
      <c r="G48" s="1" t="s">
        <v>21</v>
      </c>
      <c r="H48" s="1" t="s">
        <v>441</v>
      </c>
      <c r="I48" s="4">
        <v>246779410689</v>
      </c>
      <c r="K48" s="4">
        <v>246779410680</v>
      </c>
      <c r="L48" s="7">
        <v>0</v>
      </c>
      <c r="M48" s="7">
        <v>1207</v>
      </c>
    </row>
    <row r="49" spans="1:13" x14ac:dyDescent="0.35">
      <c r="A49" s="1" t="s">
        <v>426</v>
      </c>
      <c r="B49" s="7">
        <v>0</v>
      </c>
      <c r="C49" s="7">
        <v>805</v>
      </c>
      <c r="D49" s="1" t="s">
        <v>15</v>
      </c>
      <c r="E49" s="1" t="s">
        <v>15</v>
      </c>
      <c r="F49" s="1" t="s">
        <v>442</v>
      </c>
      <c r="G49" s="1" t="s">
        <v>21</v>
      </c>
      <c r="H49" s="1" t="s">
        <v>442</v>
      </c>
      <c r="I49" s="4">
        <v>246779410693</v>
      </c>
      <c r="K49" s="4">
        <v>246779410681</v>
      </c>
      <c r="L49" s="7">
        <v>0</v>
      </c>
      <c r="M49" s="7">
        <v>201</v>
      </c>
    </row>
    <row r="50" spans="1:13" x14ac:dyDescent="0.35">
      <c r="A50" s="1" t="s">
        <v>426</v>
      </c>
      <c r="B50" s="7">
        <v>0</v>
      </c>
      <c r="C50" s="7">
        <v>604</v>
      </c>
      <c r="D50" s="1" t="s">
        <v>15</v>
      </c>
      <c r="E50" s="1" t="s">
        <v>15</v>
      </c>
      <c r="F50" s="1" t="s">
        <v>443</v>
      </c>
      <c r="G50" s="1" t="s">
        <v>21</v>
      </c>
      <c r="H50" s="1" t="s">
        <v>443</v>
      </c>
      <c r="I50" s="4">
        <v>246779410691</v>
      </c>
      <c r="K50" s="4">
        <v>246779410682</v>
      </c>
      <c r="L50" s="7">
        <v>0</v>
      </c>
      <c r="M50" s="7">
        <v>201</v>
      </c>
    </row>
    <row r="51" spans="1:13" x14ac:dyDescent="0.35">
      <c r="A51" s="1" t="s">
        <v>426</v>
      </c>
      <c r="B51" s="7">
        <v>0</v>
      </c>
      <c r="C51" s="7">
        <v>604</v>
      </c>
      <c r="D51" s="1" t="s">
        <v>15</v>
      </c>
      <c r="E51" s="1" t="s">
        <v>15</v>
      </c>
      <c r="F51" s="1" t="s">
        <v>444</v>
      </c>
      <c r="G51" s="1" t="s">
        <v>21</v>
      </c>
      <c r="H51" s="1" t="s">
        <v>444</v>
      </c>
      <c r="I51" s="4">
        <v>246779410684</v>
      </c>
      <c r="K51" s="4">
        <v>246779410683</v>
      </c>
      <c r="L51" s="7">
        <v>0</v>
      </c>
      <c r="M51" s="7">
        <v>201</v>
      </c>
    </row>
    <row r="52" spans="1:13" x14ac:dyDescent="0.35">
      <c r="A52" s="1" t="s">
        <v>426</v>
      </c>
      <c r="B52" s="7">
        <v>0</v>
      </c>
      <c r="C52" s="7">
        <v>201</v>
      </c>
      <c r="D52" s="1" t="s">
        <v>15</v>
      </c>
      <c r="E52" s="1" t="s">
        <v>15</v>
      </c>
      <c r="F52" s="1" t="s">
        <v>445</v>
      </c>
      <c r="G52" s="1" t="s">
        <v>21</v>
      </c>
      <c r="H52" s="1" t="s">
        <v>445</v>
      </c>
      <c r="I52" s="4">
        <v>246779410685</v>
      </c>
      <c r="K52" s="4">
        <v>246779410684</v>
      </c>
      <c r="L52" s="7">
        <v>0</v>
      </c>
      <c r="M52" s="7">
        <v>604</v>
      </c>
    </row>
    <row r="53" spans="1:13" x14ac:dyDescent="0.35">
      <c r="A53" s="1" t="s">
        <v>426</v>
      </c>
      <c r="B53" s="7">
        <v>0</v>
      </c>
      <c r="C53" s="7">
        <v>3622</v>
      </c>
      <c r="D53" s="1" t="s">
        <v>15</v>
      </c>
      <c r="E53" s="1" t="s">
        <v>15</v>
      </c>
      <c r="F53" s="1" t="s">
        <v>446</v>
      </c>
      <c r="G53" s="1" t="s">
        <v>21</v>
      </c>
      <c r="H53" s="1" t="s">
        <v>446</v>
      </c>
      <c r="I53" s="4">
        <v>246779410690</v>
      </c>
      <c r="K53" s="4">
        <v>246779410685</v>
      </c>
      <c r="L53" s="7">
        <v>0</v>
      </c>
      <c r="M53" s="7">
        <v>201</v>
      </c>
    </row>
    <row r="54" spans="1:13" x14ac:dyDescent="0.35">
      <c r="A54" s="1" t="s">
        <v>426</v>
      </c>
      <c r="B54" s="7">
        <v>0</v>
      </c>
      <c r="C54" s="7">
        <v>1207</v>
      </c>
      <c r="D54" s="1" t="s">
        <v>15</v>
      </c>
      <c r="E54" s="1" t="s">
        <v>15</v>
      </c>
      <c r="F54" s="1" t="s">
        <v>447</v>
      </c>
      <c r="G54" s="1" t="s">
        <v>21</v>
      </c>
      <c r="H54" s="1" t="s">
        <v>447</v>
      </c>
      <c r="I54" s="4">
        <v>246779410680</v>
      </c>
      <c r="K54" s="4">
        <v>246779410686</v>
      </c>
      <c r="L54" s="7">
        <v>0</v>
      </c>
      <c r="M54" s="7">
        <v>805</v>
      </c>
    </row>
    <row r="55" spans="1:13" x14ac:dyDescent="0.35">
      <c r="A55" s="1" t="s">
        <v>426</v>
      </c>
      <c r="B55" s="7">
        <v>0</v>
      </c>
      <c r="C55" s="7">
        <v>201</v>
      </c>
      <c r="D55" s="1" t="s">
        <v>15</v>
      </c>
      <c r="E55" s="1" t="s">
        <v>15</v>
      </c>
      <c r="F55" s="1" t="s">
        <v>448</v>
      </c>
      <c r="G55" s="1" t="s">
        <v>21</v>
      </c>
      <c r="H55" s="1" t="s">
        <v>448</v>
      </c>
      <c r="I55" s="4">
        <v>246779410681</v>
      </c>
      <c r="K55" s="4">
        <v>246779410687</v>
      </c>
      <c r="L55" s="7">
        <v>0</v>
      </c>
      <c r="M55" s="7">
        <v>1797</v>
      </c>
    </row>
    <row r="56" spans="1:13" x14ac:dyDescent="0.35">
      <c r="A56" s="1" t="s">
        <v>426</v>
      </c>
      <c r="B56" s="7">
        <v>0</v>
      </c>
      <c r="C56" s="7">
        <v>201</v>
      </c>
      <c r="D56" s="1" t="s">
        <v>15</v>
      </c>
      <c r="E56" s="1" t="s">
        <v>15</v>
      </c>
      <c r="F56" s="1" t="s">
        <v>449</v>
      </c>
      <c r="G56" s="1" t="s">
        <v>21</v>
      </c>
      <c r="H56" s="1" t="s">
        <v>449</v>
      </c>
      <c r="I56" s="4">
        <v>246779410682</v>
      </c>
      <c r="K56" s="4">
        <v>246779410688</v>
      </c>
      <c r="L56" s="7">
        <v>0</v>
      </c>
      <c r="M56" s="7">
        <v>799</v>
      </c>
    </row>
    <row r="57" spans="1:13" x14ac:dyDescent="0.35">
      <c r="A57" s="1" t="s">
        <v>426</v>
      </c>
      <c r="B57" s="7">
        <v>0</v>
      </c>
      <c r="C57" s="7">
        <v>201</v>
      </c>
      <c r="D57" s="1" t="s">
        <v>15</v>
      </c>
      <c r="E57" s="1" t="s">
        <v>15</v>
      </c>
      <c r="F57" s="1" t="s">
        <v>450</v>
      </c>
      <c r="G57" s="1" t="s">
        <v>21</v>
      </c>
      <c r="H57" s="1" t="s">
        <v>450</v>
      </c>
      <c r="I57" s="4">
        <v>246779410678</v>
      </c>
      <c r="K57" s="4">
        <v>246779410689</v>
      </c>
      <c r="L57" s="7">
        <v>0</v>
      </c>
      <c r="M57" s="7">
        <v>403</v>
      </c>
    </row>
    <row r="58" spans="1:13" x14ac:dyDescent="0.35">
      <c r="A58" s="1" t="s">
        <v>426</v>
      </c>
      <c r="B58" s="7">
        <v>0</v>
      </c>
      <c r="C58" s="7">
        <v>805</v>
      </c>
      <c r="D58" s="1" t="s">
        <v>15</v>
      </c>
      <c r="E58" s="1" t="s">
        <v>15</v>
      </c>
      <c r="F58" s="1" t="s">
        <v>451</v>
      </c>
      <c r="G58" s="1" t="s">
        <v>21</v>
      </c>
      <c r="H58" s="1" t="s">
        <v>451</v>
      </c>
      <c r="I58" s="4">
        <v>246779410845</v>
      </c>
      <c r="K58" s="4">
        <v>246779410690</v>
      </c>
      <c r="L58" s="7">
        <v>0</v>
      </c>
      <c r="M58" s="7">
        <v>3622</v>
      </c>
    </row>
    <row r="59" spans="1:13" x14ac:dyDescent="0.35">
      <c r="A59" s="1" t="s">
        <v>426</v>
      </c>
      <c r="B59" s="7">
        <v>0</v>
      </c>
      <c r="C59" s="7">
        <v>604</v>
      </c>
      <c r="D59" s="1" t="s">
        <v>15</v>
      </c>
      <c r="E59" s="1" t="s">
        <v>15</v>
      </c>
      <c r="F59" s="1" t="s">
        <v>452</v>
      </c>
      <c r="G59" s="1" t="s">
        <v>21</v>
      </c>
      <c r="H59" s="1" t="s">
        <v>452</v>
      </c>
      <c r="I59" s="4">
        <v>246779410841</v>
      </c>
      <c r="K59" s="4">
        <v>246779410691</v>
      </c>
      <c r="L59" s="7">
        <v>0</v>
      </c>
      <c r="M59" s="7">
        <v>604</v>
      </c>
    </row>
    <row r="60" spans="1:13" x14ac:dyDescent="0.35">
      <c r="A60" s="1" t="s">
        <v>426</v>
      </c>
      <c r="B60" s="7">
        <v>0</v>
      </c>
      <c r="C60" s="7">
        <v>403</v>
      </c>
      <c r="D60" s="1" t="s">
        <v>15</v>
      </c>
      <c r="E60" s="1" t="s">
        <v>15</v>
      </c>
      <c r="F60" s="1" t="s">
        <v>453</v>
      </c>
      <c r="G60" s="1" t="s">
        <v>21</v>
      </c>
      <c r="H60" s="1" t="s">
        <v>453</v>
      </c>
      <c r="I60" s="4">
        <v>246779410844</v>
      </c>
      <c r="K60" s="4">
        <v>246779410692</v>
      </c>
      <c r="L60" s="7">
        <v>0</v>
      </c>
      <c r="M60" s="7">
        <v>805</v>
      </c>
    </row>
    <row r="61" spans="1:13" x14ac:dyDescent="0.35">
      <c r="A61" s="1" t="s">
        <v>426</v>
      </c>
      <c r="B61" s="7">
        <v>0</v>
      </c>
      <c r="C61" s="7">
        <v>403</v>
      </c>
      <c r="D61" s="1" t="s">
        <v>15</v>
      </c>
      <c r="E61" s="1" t="s">
        <v>15</v>
      </c>
      <c r="F61" s="1" t="s">
        <v>454</v>
      </c>
      <c r="G61" s="1" t="s">
        <v>21</v>
      </c>
      <c r="H61" s="1" t="s">
        <v>454</v>
      </c>
      <c r="I61" s="4">
        <v>246779410842</v>
      </c>
      <c r="K61" s="4">
        <v>246779410693</v>
      </c>
      <c r="L61" s="7">
        <v>0</v>
      </c>
      <c r="M61" s="7">
        <v>805</v>
      </c>
    </row>
    <row r="62" spans="1:13" x14ac:dyDescent="0.35">
      <c r="A62" s="1" t="s">
        <v>426</v>
      </c>
      <c r="B62" s="7">
        <v>0</v>
      </c>
      <c r="C62" s="7">
        <v>805</v>
      </c>
      <c r="D62" s="1" t="s">
        <v>15</v>
      </c>
      <c r="E62" s="1" t="s">
        <v>15</v>
      </c>
      <c r="F62" s="1" t="s">
        <v>455</v>
      </c>
      <c r="G62" s="1" t="s">
        <v>21</v>
      </c>
      <c r="H62" s="1" t="s">
        <v>455</v>
      </c>
      <c r="I62" s="4">
        <v>246779410692</v>
      </c>
      <c r="K62" s="4">
        <v>246779410755</v>
      </c>
      <c r="L62" s="7">
        <v>0</v>
      </c>
      <c r="M62" s="7">
        <v>3594</v>
      </c>
    </row>
    <row r="63" spans="1:13" x14ac:dyDescent="0.35">
      <c r="A63" s="1" t="s">
        <v>426</v>
      </c>
      <c r="B63" s="7">
        <v>0</v>
      </c>
      <c r="C63" s="7">
        <v>201</v>
      </c>
      <c r="D63" s="1" t="s">
        <v>15</v>
      </c>
      <c r="E63" s="1" t="s">
        <v>15</v>
      </c>
      <c r="F63" s="1" t="s">
        <v>456</v>
      </c>
      <c r="G63" s="1" t="s">
        <v>21</v>
      </c>
      <c r="H63" s="1" t="s">
        <v>456</v>
      </c>
      <c r="I63" s="4">
        <v>246779410679</v>
      </c>
      <c r="K63" s="4">
        <v>246779410756</v>
      </c>
      <c r="L63" s="7">
        <v>0</v>
      </c>
      <c r="M63" s="7">
        <v>403</v>
      </c>
    </row>
    <row r="64" spans="1:13" x14ac:dyDescent="0.35">
      <c r="A64" s="1" t="s">
        <v>457</v>
      </c>
      <c r="B64" s="7">
        <v>0</v>
      </c>
      <c r="C64" s="7">
        <v>2406</v>
      </c>
      <c r="D64" s="1" t="s">
        <v>15</v>
      </c>
      <c r="E64" s="1" t="s">
        <v>15</v>
      </c>
      <c r="F64" s="1" t="s">
        <v>458</v>
      </c>
      <c r="G64" s="1" t="s">
        <v>31</v>
      </c>
      <c r="H64" s="1" t="s">
        <v>458</v>
      </c>
      <c r="I64" s="4">
        <v>246779411128</v>
      </c>
      <c r="K64" s="4">
        <v>246779410757</v>
      </c>
      <c r="L64" s="7">
        <v>0</v>
      </c>
      <c r="M64" s="7">
        <v>403</v>
      </c>
    </row>
    <row r="65" spans="1:13" x14ac:dyDescent="0.35">
      <c r="A65" s="1" t="s">
        <v>457</v>
      </c>
      <c r="B65" s="7">
        <v>0</v>
      </c>
      <c r="C65" s="7">
        <v>1882</v>
      </c>
      <c r="D65" s="1" t="s">
        <v>15</v>
      </c>
      <c r="E65" s="1" t="s">
        <v>15</v>
      </c>
      <c r="F65" s="1" t="s">
        <v>459</v>
      </c>
      <c r="G65" s="1" t="s">
        <v>88</v>
      </c>
      <c r="H65" s="1" t="s">
        <v>459</v>
      </c>
      <c r="I65" s="4">
        <v>246779410970</v>
      </c>
      <c r="K65" s="4">
        <v>246779410758</v>
      </c>
      <c r="L65" s="7">
        <v>0</v>
      </c>
      <c r="M65" s="7">
        <v>3219</v>
      </c>
    </row>
    <row r="66" spans="1:13" x14ac:dyDescent="0.35">
      <c r="A66" s="1" t="s">
        <v>457</v>
      </c>
      <c r="B66" s="7">
        <v>0</v>
      </c>
      <c r="C66" s="7">
        <v>36538</v>
      </c>
      <c r="D66" s="1" t="s">
        <v>15</v>
      </c>
      <c r="E66" s="1" t="s">
        <v>15</v>
      </c>
      <c r="F66" s="1" t="s">
        <v>460</v>
      </c>
      <c r="G66" s="1" t="s">
        <v>66</v>
      </c>
      <c r="H66" s="1" t="s">
        <v>460</v>
      </c>
      <c r="I66" s="4">
        <v>246779410971</v>
      </c>
      <c r="K66" s="4">
        <v>246779410759</v>
      </c>
      <c r="L66" s="7">
        <v>0</v>
      </c>
      <c r="M66" s="7">
        <v>604</v>
      </c>
    </row>
    <row r="67" spans="1:13" x14ac:dyDescent="0.35">
      <c r="A67" s="1" t="s">
        <v>457</v>
      </c>
      <c r="B67" s="7">
        <v>0</v>
      </c>
      <c r="C67" s="7">
        <v>401</v>
      </c>
      <c r="D67" s="1" t="s">
        <v>15</v>
      </c>
      <c r="E67" s="1" t="s">
        <v>15</v>
      </c>
      <c r="F67" s="1" t="s">
        <v>461</v>
      </c>
      <c r="G67" s="1" t="s">
        <v>31</v>
      </c>
      <c r="H67" s="1" t="s">
        <v>461</v>
      </c>
      <c r="I67" s="4">
        <v>246779410974</v>
      </c>
      <c r="K67" s="4">
        <v>246779410760</v>
      </c>
      <c r="L67" s="7">
        <v>0</v>
      </c>
      <c r="M67" s="7">
        <v>1006</v>
      </c>
    </row>
    <row r="68" spans="1:13" x14ac:dyDescent="0.35">
      <c r="A68" s="1" t="s">
        <v>457</v>
      </c>
      <c r="B68" s="7">
        <v>0</v>
      </c>
      <c r="C68" s="7">
        <v>1481</v>
      </c>
      <c r="D68" s="1" t="s">
        <v>15</v>
      </c>
      <c r="E68" s="1" t="s">
        <v>15</v>
      </c>
      <c r="F68" s="1" t="s">
        <v>462</v>
      </c>
      <c r="G68" s="1" t="s">
        <v>88</v>
      </c>
      <c r="H68" s="1" t="s">
        <v>462</v>
      </c>
      <c r="I68" s="4">
        <v>246779410972</v>
      </c>
      <c r="K68" s="4">
        <v>246779410761</v>
      </c>
      <c r="L68" s="7">
        <v>0</v>
      </c>
      <c r="M68" s="7">
        <v>1207</v>
      </c>
    </row>
    <row r="69" spans="1:13" x14ac:dyDescent="0.35">
      <c r="A69" s="1" t="s">
        <v>457</v>
      </c>
      <c r="B69" s="7">
        <v>0</v>
      </c>
      <c r="C69" s="7">
        <v>2884</v>
      </c>
      <c r="D69" s="1" t="s">
        <v>15</v>
      </c>
      <c r="E69" s="1" t="s">
        <v>15</v>
      </c>
      <c r="F69" s="1" t="s">
        <v>463</v>
      </c>
      <c r="G69" s="1" t="s">
        <v>88</v>
      </c>
      <c r="H69" s="1" t="s">
        <v>463</v>
      </c>
      <c r="I69" s="4">
        <v>246779410973</v>
      </c>
      <c r="K69" s="4">
        <v>246779410762</v>
      </c>
      <c r="L69" s="7">
        <v>0</v>
      </c>
      <c r="M69" s="7">
        <v>403</v>
      </c>
    </row>
    <row r="70" spans="1:13" x14ac:dyDescent="0.35">
      <c r="A70" s="1" t="s">
        <v>457</v>
      </c>
      <c r="B70" s="7">
        <v>0</v>
      </c>
      <c r="C70" s="7">
        <v>357094</v>
      </c>
      <c r="D70" s="1" t="s">
        <v>15</v>
      </c>
      <c r="E70" s="1" t="s">
        <v>15</v>
      </c>
      <c r="F70" s="1" t="s">
        <v>464</v>
      </c>
      <c r="G70" s="1" t="s">
        <v>36</v>
      </c>
      <c r="H70" s="1" t="s">
        <v>464</v>
      </c>
      <c r="I70" s="4">
        <v>246779410896</v>
      </c>
      <c r="K70" s="4">
        <v>246779410763</v>
      </c>
      <c r="L70" s="7">
        <v>0</v>
      </c>
      <c r="M70" s="7">
        <v>201</v>
      </c>
    </row>
    <row r="71" spans="1:13" x14ac:dyDescent="0.35">
      <c r="A71" s="1" t="s">
        <v>457</v>
      </c>
      <c r="B71" s="7">
        <v>0</v>
      </c>
      <c r="C71" s="7">
        <v>241385</v>
      </c>
      <c r="D71" s="1" t="s">
        <v>15</v>
      </c>
      <c r="E71" s="1" t="s">
        <v>15</v>
      </c>
      <c r="F71" s="1" t="s">
        <v>465</v>
      </c>
      <c r="G71" s="1" t="s">
        <v>36</v>
      </c>
      <c r="H71" s="1" t="s">
        <v>465</v>
      </c>
      <c r="I71" s="4">
        <v>246779410874</v>
      </c>
      <c r="K71" s="4">
        <v>246779410764</v>
      </c>
      <c r="L71" s="7">
        <v>0</v>
      </c>
      <c r="M71" s="7">
        <v>201</v>
      </c>
    </row>
    <row r="72" spans="1:13" x14ac:dyDescent="0.35">
      <c r="A72" s="1" t="s">
        <v>457</v>
      </c>
      <c r="B72" s="7">
        <v>0</v>
      </c>
      <c r="C72" s="7">
        <v>2004</v>
      </c>
      <c r="D72" s="1" t="s">
        <v>15</v>
      </c>
      <c r="E72" s="1" t="s">
        <v>15</v>
      </c>
      <c r="F72" s="1" t="s">
        <v>466</v>
      </c>
      <c r="G72" s="1" t="s">
        <v>31</v>
      </c>
      <c r="H72" s="1" t="s">
        <v>466</v>
      </c>
      <c r="I72" s="4">
        <v>246779411189</v>
      </c>
      <c r="K72" s="4">
        <v>246779410765</v>
      </c>
      <c r="L72" s="7">
        <v>0</v>
      </c>
      <c r="M72" s="7">
        <v>201</v>
      </c>
    </row>
    <row r="73" spans="1:13" x14ac:dyDescent="0.35">
      <c r="A73" s="1" t="s">
        <v>457</v>
      </c>
      <c r="B73" s="7">
        <v>0</v>
      </c>
      <c r="C73" s="7">
        <v>2004</v>
      </c>
      <c r="D73" s="1" t="s">
        <v>15</v>
      </c>
      <c r="E73" s="1" t="s">
        <v>15</v>
      </c>
      <c r="F73" s="1" t="s">
        <v>467</v>
      </c>
      <c r="G73" s="1" t="s">
        <v>31</v>
      </c>
      <c r="H73" s="1" t="s">
        <v>467</v>
      </c>
      <c r="I73" s="4">
        <v>246779411188</v>
      </c>
      <c r="K73" s="4">
        <v>246779410766</v>
      </c>
      <c r="L73" s="7">
        <v>0</v>
      </c>
      <c r="M73" s="7">
        <v>403</v>
      </c>
    </row>
    <row r="74" spans="1:13" x14ac:dyDescent="0.35">
      <c r="A74" s="1" t="s">
        <v>457</v>
      </c>
      <c r="B74" s="7">
        <v>0</v>
      </c>
      <c r="C74" s="7">
        <v>2004</v>
      </c>
      <c r="D74" s="1" t="s">
        <v>15</v>
      </c>
      <c r="E74" s="1" t="s">
        <v>15</v>
      </c>
      <c r="F74" s="1" t="s">
        <v>468</v>
      </c>
      <c r="G74" s="1" t="s">
        <v>31</v>
      </c>
      <c r="H74" s="1" t="s">
        <v>468</v>
      </c>
      <c r="I74" s="4">
        <v>246779411187</v>
      </c>
      <c r="K74" s="4">
        <v>246779410841</v>
      </c>
      <c r="L74" s="7">
        <v>0</v>
      </c>
      <c r="M74" s="7">
        <v>604</v>
      </c>
    </row>
    <row r="75" spans="1:13" x14ac:dyDescent="0.35">
      <c r="A75" s="1" t="s">
        <v>457</v>
      </c>
      <c r="B75" s="7">
        <v>0</v>
      </c>
      <c r="C75" s="7">
        <v>2004</v>
      </c>
      <c r="D75" s="1" t="s">
        <v>15</v>
      </c>
      <c r="E75" s="1" t="s">
        <v>15</v>
      </c>
      <c r="F75" s="1" t="s">
        <v>469</v>
      </c>
      <c r="G75" s="1" t="s">
        <v>31</v>
      </c>
      <c r="H75" s="1" t="s">
        <v>469</v>
      </c>
      <c r="I75" s="4">
        <v>246779411186</v>
      </c>
      <c r="K75" s="4">
        <v>246779410842</v>
      </c>
      <c r="L75" s="7">
        <v>0</v>
      </c>
      <c r="M75" s="7">
        <v>403</v>
      </c>
    </row>
    <row r="76" spans="1:13" x14ac:dyDescent="0.35">
      <c r="A76" s="1" t="s">
        <v>457</v>
      </c>
      <c r="B76" s="7">
        <v>0</v>
      </c>
      <c r="C76" s="7">
        <v>2004</v>
      </c>
      <c r="D76" s="1" t="s">
        <v>15</v>
      </c>
      <c r="E76" s="1" t="s">
        <v>15</v>
      </c>
      <c r="F76" s="1" t="s">
        <v>470</v>
      </c>
      <c r="G76" s="1" t="s">
        <v>31</v>
      </c>
      <c r="H76" s="1" t="s">
        <v>470</v>
      </c>
      <c r="I76" s="4">
        <v>246779411185</v>
      </c>
      <c r="K76" s="4">
        <v>246779410843</v>
      </c>
      <c r="L76" s="7">
        <v>0</v>
      </c>
      <c r="M76" s="7">
        <v>403</v>
      </c>
    </row>
    <row r="77" spans="1:13" x14ac:dyDescent="0.35">
      <c r="A77" s="1" t="s">
        <v>471</v>
      </c>
      <c r="B77" s="7">
        <v>0</v>
      </c>
      <c r="C77" s="7">
        <v>1842</v>
      </c>
      <c r="D77" s="1" t="s">
        <v>15</v>
      </c>
      <c r="E77" s="1" t="s">
        <v>15</v>
      </c>
      <c r="F77" s="1" t="s">
        <v>472</v>
      </c>
      <c r="G77" s="1" t="s">
        <v>17</v>
      </c>
      <c r="H77" s="1" t="s">
        <v>472</v>
      </c>
      <c r="I77" s="4">
        <v>246779411758</v>
      </c>
      <c r="K77" s="4">
        <v>246779410844</v>
      </c>
      <c r="L77" s="7">
        <v>0</v>
      </c>
      <c r="M77" s="7">
        <v>403</v>
      </c>
    </row>
    <row r="78" spans="1:13" x14ac:dyDescent="0.35">
      <c r="A78" s="1" t="s">
        <v>471</v>
      </c>
      <c r="B78" s="7">
        <v>0</v>
      </c>
      <c r="C78" s="7">
        <v>576</v>
      </c>
      <c r="D78" s="1" t="s">
        <v>15</v>
      </c>
      <c r="E78" s="1" t="s">
        <v>15</v>
      </c>
      <c r="F78" s="1" t="s">
        <v>473</v>
      </c>
      <c r="G78" s="1" t="s">
        <v>17</v>
      </c>
      <c r="H78" s="1" t="s">
        <v>473</v>
      </c>
      <c r="I78" s="4">
        <v>246779411933</v>
      </c>
      <c r="K78" s="4">
        <v>246779410845</v>
      </c>
      <c r="L78" s="7">
        <v>0</v>
      </c>
      <c r="M78" s="7">
        <v>805</v>
      </c>
    </row>
    <row r="79" spans="1:13" x14ac:dyDescent="0.35">
      <c r="A79" s="1" t="s">
        <v>471</v>
      </c>
      <c r="B79" s="7">
        <v>0</v>
      </c>
      <c r="C79" s="7">
        <v>336</v>
      </c>
      <c r="D79" s="1" t="s">
        <v>15</v>
      </c>
      <c r="E79" s="1" t="s">
        <v>15</v>
      </c>
      <c r="F79" s="1" t="s">
        <v>474</v>
      </c>
      <c r="G79" s="1" t="s">
        <v>17</v>
      </c>
      <c r="H79" s="1" t="s">
        <v>474</v>
      </c>
      <c r="I79" s="4">
        <v>246779411934</v>
      </c>
      <c r="K79" s="4">
        <v>246779410846</v>
      </c>
      <c r="L79" s="7">
        <v>0</v>
      </c>
      <c r="M79" s="7">
        <v>381</v>
      </c>
    </row>
    <row r="80" spans="1:13" x14ac:dyDescent="0.35">
      <c r="A80" s="1" t="s">
        <v>471</v>
      </c>
      <c r="B80" s="7">
        <v>0</v>
      </c>
      <c r="C80" s="7">
        <v>576</v>
      </c>
      <c r="D80" s="1" t="s">
        <v>15</v>
      </c>
      <c r="E80" s="1" t="s">
        <v>15</v>
      </c>
      <c r="F80" s="1" t="s">
        <v>475</v>
      </c>
      <c r="G80" s="1" t="s">
        <v>17</v>
      </c>
      <c r="H80" s="1" t="s">
        <v>475</v>
      </c>
      <c r="I80" s="4">
        <v>246779411935</v>
      </c>
      <c r="K80" s="4">
        <v>246779410847</v>
      </c>
      <c r="L80" s="7">
        <v>0</v>
      </c>
      <c r="M80" s="7">
        <v>1528</v>
      </c>
    </row>
    <row r="81" spans="1:13" x14ac:dyDescent="0.35">
      <c r="A81" s="1" t="s">
        <v>476</v>
      </c>
      <c r="B81" s="7">
        <v>0</v>
      </c>
      <c r="C81" s="7">
        <v>35488</v>
      </c>
      <c r="D81" s="1" t="s">
        <v>15</v>
      </c>
      <c r="E81" s="1" t="s">
        <v>15</v>
      </c>
      <c r="F81" s="1" t="s">
        <v>477</v>
      </c>
      <c r="G81" s="1" t="s">
        <v>43</v>
      </c>
      <c r="H81" s="1" t="s">
        <v>477</v>
      </c>
      <c r="I81" s="4">
        <v>246779413000</v>
      </c>
      <c r="K81" s="4">
        <v>246779410848</v>
      </c>
      <c r="L81" s="7">
        <v>0</v>
      </c>
      <c r="M81" s="7">
        <v>200</v>
      </c>
    </row>
    <row r="82" spans="1:13" x14ac:dyDescent="0.35">
      <c r="A82" s="1" t="s">
        <v>478</v>
      </c>
      <c r="B82" s="7">
        <v>0</v>
      </c>
      <c r="C82" s="7">
        <v>1268</v>
      </c>
      <c r="D82" s="1" t="s">
        <v>15</v>
      </c>
      <c r="E82" s="1" t="s">
        <v>15</v>
      </c>
      <c r="F82" s="1" t="s">
        <v>479</v>
      </c>
      <c r="G82" s="1" t="s">
        <v>55</v>
      </c>
      <c r="H82" s="1" t="s">
        <v>479</v>
      </c>
      <c r="I82" s="4">
        <v>246779414142</v>
      </c>
      <c r="K82" s="4">
        <v>246779410849</v>
      </c>
      <c r="L82" s="7">
        <v>0</v>
      </c>
      <c r="M82" s="7">
        <v>3436</v>
      </c>
    </row>
    <row r="83" spans="1:13" x14ac:dyDescent="0.35">
      <c r="A83" s="1" t="s">
        <v>478</v>
      </c>
      <c r="B83" s="7">
        <v>0</v>
      </c>
      <c r="C83" s="7">
        <v>1408</v>
      </c>
      <c r="D83" s="1" t="s">
        <v>15</v>
      </c>
      <c r="E83" s="1" t="s">
        <v>15</v>
      </c>
      <c r="F83" s="1" t="s">
        <v>480</v>
      </c>
      <c r="G83" s="1" t="s">
        <v>71</v>
      </c>
      <c r="H83" s="1" t="s">
        <v>480</v>
      </c>
      <c r="I83" s="4">
        <v>246779411051</v>
      </c>
      <c r="K83" s="4">
        <v>246779410850</v>
      </c>
      <c r="L83" s="7">
        <v>0</v>
      </c>
      <c r="M83" s="7">
        <v>763</v>
      </c>
    </row>
    <row r="84" spans="1:13" x14ac:dyDescent="0.35">
      <c r="A84" s="1" t="s">
        <v>478</v>
      </c>
      <c r="B84" s="7">
        <v>0</v>
      </c>
      <c r="C84" s="7">
        <v>381</v>
      </c>
      <c r="D84" s="1" t="s">
        <v>15</v>
      </c>
      <c r="E84" s="1" t="s">
        <v>15</v>
      </c>
      <c r="F84" s="1" t="s">
        <v>481</v>
      </c>
      <c r="G84" s="1" t="s">
        <v>31</v>
      </c>
      <c r="H84" s="1" t="s">
        <v>481</v>
      </c>
      <c r="I84" s="4">
        <v>246779411052</v>
      </c>
      <c r="K84" s="4">
        <v>246779410851</v>
      </c>
      <c r="L84" s="7">
        <v>0</v>
      </c>
      <c r="M84" s="7">
        <v>381</v>
      </c>
    </row>
    <row r="85" spans="1:13" x14ac:dyDescent="0.35">
      <c r="A85" s="1" t="s">
        <v>478</v>
      </c>
      <c r="B85" s="7">
        <v>0</v>
      </c>
      <c r="C85" s="7">
        <v>1981</v>
      </c>
      <c r="D85" s="1" t="s">
        <v>15</v>
      </c>
      <c r="E85" s="1" t="s">
        <v>15</v>
      </c>
      <c r="F85" s="1" t="s">
        <v>482</v>
      </c>
      <c r="G85" s="1" t="s">
        <v>71</v>
      </c>
      <c r="H85" s="1" t="s">
        <v>482</v>
      </c>
      <c r="I85" s="4">
        <v>246779411053</v>
      </c>
      <c r="K85" s="4">
        <v>246779410852</v>
      </c>
      <c r="L85" s="7">
        <v>0</v>
      </c>
      <c r="M85" s="7">
        <v>381</v>
      </c>
    </row>
    <row r="86" spans="1:13" x14ac:dyDescent="0.35">
      <c r="A86" s="1" t="s">
        <v>478</v>
      </c>
      <c r="B86" s="7">
        <v>0</v>
      </c>
      <c r="C86" s="7">
        <v>1907</v>
      </c>
      <c r="D86" s="1" t="s">
        <v>15</v>
      </c>
      <c r="E86" s="1" t="s">
        <v>15</v>
      </c>
      <c r="F86" s="1" t="s">
        <v>483</v>
      </c>
      <c r="G86" s="1" t="s">
        <v>31</v>
      </c>
      <c r="H86" s="1" t="s">
        <v>483</v>
      </c>
      <c r="I86" s="4">
        <v>246779411050</v>
      </c>
      <c r="K86" s="4">
        <v>246779410853</v>
      </c>
      <c r="L86" s="7">
        <v>0</v>
      </c>
      <c r="M86" s="7">
        <v>190</v>
      </c>
    </row>
    <row r="87" spans="1:13" x14ac:dyDescent="0.35">
      <c r="A87" s="1" t="s">
        <v>478</v>
      </c>
      <c r="B87" s="7">
        <v>0</v>
      </c>
      <c r="C87" s="7">
        <v>596</v>
      </c>
      <c r="D87" s="1" t="s">
        <v>15</v>
      </c>
      <c r="E87" s="1" t="s">
        <v>15</v>
      </c>
      <c r="F87" s="1" t="s">
        <v>484</v>
      </c>
      <c r="G87" s="1" t="s">
        <v>21</v>
      </c>
      <c r="H87" s="1" t="s">
        <v>484</v>
      </c>
      <c r="I87" s="4">
        <v>246779413782</v>
      </c>
      <c r="K87" s="4">
        <v>246779410854</v>
      </c>
      <c r="L87" s="7">
        <v>0</v>
      </c>
      <c r="M87" s="7">
        <v>1145</v>
      </c>
    </row>
    <row r="88" spans="1:13" x14ac:dyDescent="0.35">
      <c r="A88" s="1" t="s">
        <v>478</v>
      </c>
      <c r="B88" s="7">
        <v>0</v>
      </c>
      <c r="C88" s="7">
        <v>3578</v>
      </c>
      <c r="D88" s="1" t="s">
        <v>15</v>
      </c>
      <c r="E88" s="1" t="s">
        <v>15</v>
      </c>
      <c r="F88" s="1" t="s">
        <v>485</v>
      </c>
      <c r="G88" s="1" t="s">
        <v>21</v>
      </c>
      <c r="H88" s="1" t="s">
        <v>485</v>
      </c>
      <c r="I88" s="4">
        <v>246779413627</v>
      </c>
      <c r="K88" s="4">
        <v>246779410855</v>
      </c>
      <c r="L88" s="7">
        <v>0</v>
      </c>
      <c r="M88" s="7">
        <v>1527</v>
      </c>
    </row>
    <row r="89" spans="1:13" x14ac:dyDescent="0.35">
      <c r="A89" s="1" t="s">
        <v>478</v>
      </c>
      <c r="B89" s="7">
        <v>0</v>
      </c>
      <c r="C89" s="7">
        <v>198</v>
      </c>
      <c r="D89" s="1" t="s">
        <v>15</v>
      </c>
      <c r="E89" s="1" t="s">
        <v>15</v>
      </c>
      <c r="F89" s="1" t="s">
        <v>486</v>
      </c>
      <c r="G89" s="1" t="s">
        <v>21</v>
      </c>
      <c r="H89" s="1" t="s">
        <v>486</v>
      </c>
      <c r="I89" s="4">
        <v>246779413628</v>
      </c>
      <c r="K89" s="4">
        <v>246779410874</v>
      </c>
      <c r="L89" s="7">
        <v>0</v>
      </c>
      <c r="M89" s="7">
        <v>241385</v>
      </c>
    </row>
    <row r="90" spans="1:13" x14ac:dyDescent="0.35">
      <c r="A90" s="1" t="s">
        <v>478</v>
      </c>
      <c r="B90" s="7">
        <v>0</v>
      </c>
      <c r="C90" s="7">
        <v>397</v>
      </c>
      <c r="D90" s="1" t="s">
        <v>15</v>
      </c>
      <c r="E90" s="1" t="s">
        <v>15</v>
      </c>
      <c r="F90" s="1" t="s">
        <v>487</v>
      </c>
      <c r="G90" s="1" t="s">
        <v>21</v>
      </c>
      <c r="H90" s="1" t="s">
        <v>487</v>
      </c>
      <c r="I90" s="4">
        <v>246779413629</v>
      </c>
      <c r="K90" s="4">
        <v>246779410896</v>
      </c>
      <c r="L90" s="7">
        <v>0</v>
      </c>
      <c r="M90" s="7">
        <v>357094</v>
      </c>
    </row>
    <row r="91" spans="1:13" x14ac:dyDescent="0.35">
      <c r="A91" s="1" t="s">
        <v>478</v>
      </c>
      <c r="B91" s="7">
        <v>0</v>
      </c>
      <c r="C91" s="7">
        <v>198</v>
      </c>
      <c r="D91" s="1" t="s">
        <v>15</v>
      </c>
      <c r="E91" s="1" t="s">
        <v>15</v>
      </c>
      <c r="F91" s="1" t="s">
        <v>488</v>
      </c>
      <c r="G91" s="1" t="s">
        <v>21</v>
      </c>
      <c r="H91" s="1" t="s">
        <v>488</v>
      </c>
      <c r="I91" s="4">
        <v>246779413690</v>
      </c>
      <c r="K91" s="4">
        <v>246779410970</v>
      </c>
      <c r="L91" s="7">
        <v>0</v>
      </c>
      <c r="M91" s="7">
        <v>1882</v>
      </c>
    </row>
    <row r="92" spans="1:13" x14ac:dyDescent="0.35">
      <c r="A92" s="1" t="s">
        <v>478</v>
      </c>
      <c r="B92" s="7">
        <v>0</v>
      </c>
      <c r="C92" s="7">
        <v>7156</v>
      </c>
      <c r="D92" s="1" t="s">
        <v>15</v>
      </c>
      <c r="E92" s="1" t="s">
        <v>15</v>
      </c>
      <c r="F92" s="1" t="s">
        <v>489</v>
      </c>
      <c r="G92" s="1" t="s">
        <v>21</v>
      </c>
      <c r="H92" s="1" t="s">
        <v>489</v>
      </c>
      <c r="I92" s="4">
        <v>246779413626</v>
      </c>
      <c r="K92" s="4">
        <v>246779410971</v>
      </c>
      <c r="L92" s="7">
        <v>0</v>
      </c>
      <c r="M92" s="7">
        <v>36538</v>
      </c>
    </row>
    <row r="93" spans="1:13" x14ac:dyDescent="0.35">
      <c r="A93" s="1" t="s">
        <v>478</v>
      </c>
      <c r="B93" s="7">
        <v>0</v>
      </c>
      <c r="C93" s="7">
        <v>198</v>
      </c>
      <c r="D93" s="1" t="s">
        <v>15</v>
      </c>
      <c r="E93" s="1" t="s">
        <v>15</v>
      </c>
      <c r="F93" s="1" t="s">
        <v>490</v>
      </c>
      <c r="G93" s="1" t="s">
        <v>21</v>
      </c>
      <c r="H93" s="1" t="s">
        <v>490</v>
      </c>
      <c r="I93" s="4">
        <v>246779413625</v>
      </c>
      <c r="K93" s="4">
        <v>246779410972</v>
      </c>
      <c r="L93" s="7">
        <v>0</v>
      </c>
      <c r="M93" s="7">
        <v>1481</v>
      </c>
    </row>
    <row r="94" spans="1:13" x14ac:dyDescent="0.35">
      <c r="A94" s="1" t="s">
        <v>478</v>
      </c>
      <c r="B94" s="7">
        <v>0</v>
      </c>
      <c r="C94" s="7">
        <v>1590</v>
      </c>
      <c r="D94" s="1" t="s">
        <v>15</v>
      </c>
      <c r="E94" s="1" t="s">
        <v>15</v>
      </c>
      <c r="F94" s="1" t="s">
        <v>491</v>
      </c>
      <c r="G94" s="1" t="s">
        <v>21</v>
      </c>
      <c r="H94" s="1" t="s">
        <v>491</v>
      </c>
      <c r="I94" s="4">
        <v>246779413622</v>
      </c>
      <c r="K94" s="4">
        <v>246779410973</v>
      </c>
      <c r="L94" s="7">
        <v>0</v>
      </c>
      <c r="M94" s="7">
        <v>2884</v>
      </c>
    </row>
    <row r="95" spans="1:13" x14ac:dyDescent="0.35">
      <c r="A95" s="1" t="s">
        <v>478</v>
      </c>
      <c r="B95" s="7">
        <v>0</v>
      </c>
      <c r="C95" s="7">
        <v>198</v>
      </c>
      <c r="D95" s="1" t="s">
        <v>15</v>
      </c>
      <c r="E95" s="1" t="s">
        <v>15</v>
      </c>
      <c r="F95" s="1" t="s">
        <v>492</v>
      </c>
      <c r="G95" s="1" t="s">
        <v>21</v>
      </c>
      <c r="H95" s="1" t="s">
        <v>492</v>
      </c>
      <c r="I95" s="4">
        <v>246779413623</v>
      </c>
      <c r="K95" s="4">
        <v>246779410974</v>
      </c>
      <c r="L95" s="7">
        <v>0</v>
      </c>
      <c r="M95" s="7">
        <v>401</v>
      </c>
    </row>
    <row r="96" spans="1:13" x14ac:dyDescent="0.35">
      <c r="A96" s="1" t="s">
        <v>478</v>
      </c>
      <c r="B96" s="7">
        <v>0</v>
      </c>
      <c r="C96" s="7">
        <v>596</v>
      </c>
      <c r="D96" s="1" t="s">
        <v>15</v>
      </c>
      <c r="E96" s="1" t="s">
        <v>15</v>
      </c>
      <c r="F96" s="1" t="s">
        <v>493</v>
      </c>
      <c r="G96" s="1" t="s">
        <v>21</v>
      </c>
      <c r="H96" s="1" t="s">
        <v>493</v>
      </c>
      <c r="I96" s="4">
        <v>246779413624</v>
      </c>
      <c r="K96" s="4">
        <v>246779411050</v>
      </c>
      <c r="L96" s="7">
        <v>0</v>
      </c>
      <c r="M96" s="7">
        <v>1907</v>
      </c>
    </row>
    <row r="97" spans="1:13" x14ac:dyDescent="0.35">
      <c r="A97" s="1" t="s">
        <v>494</v>
      </c>
      <c r="B97" s="7">
        <v>0</v>
      </c>
      <c r="C97" s="7">
        <v>4387</v>
      </c>
      <c r="D97" s="1" t="s">
        <v>15</v>
      </c>
      <c r="E97" s="1" t="s">
        <v>15</v>
      </c>
      <c r="F97" s="1" t="s">
        <v>495</v>
      </c>
      <c r="G97" s="1" t="s">
        <v>31</v>
      </c>
      <c r="H97" s="1" t="s">
        <v>495</v>
      </c>
      <c r="I97" s="4">
        <v>246779411054</v>
      </c>
      <c r="K97" s="4">
        <v>246779411051</v>
      </c>
      <c r="L97" s="7">
        <v>0</v>
      </c>
      <c r="M97" s="7">
        <v>1408</v>
      </c>
    </row>
    <row r="98" spans="1:13" x14ac:dyDescent="0.35">
      <c r="A98" s="1" t="s">
        <v>494</v>
      </c>
      <c r="B98" s="7">
        <v>0</v>
      </c>
      <c r="C98" s="7">
        <v>1408</v>
      </c>
      <c r="D98" s="1" t="s">
        <v>15</v>
      </c>
      <c r="E98" s="1" t="s">
        <v>15</v>
      </c>
      <c r="F98" s="1" t="s">
        <v>496</v>
      </c>
      <c r="G98" s="1" t="s">
        <v>88</v>
      </c>
      <c r="H98" s="1" t="s">
        <v>496</v>
      </c>
      <c r="I98" s="4">
        <v>246779411055</v>
      </c>
      <c r="K98" s="4">
        <v>246779411052</v>
      </c>
      <c r="L98" s="7">
        <v>0</v>
      </c>
      <c r="M98" s="7">
        <v>381</v>
      </c>
    </row>
    <row r="99" spans="1:13" x14ac:dyDescent="0.35">
      <c r="A99" s="1" t="s">
        <v>494</v>
      </c>
      <c r="B99" s="7">
        <v>0</v>
      </c>
      <c r="C99" s="7">
        <v>3434</v>
      </c>
      <c r="D99" s="1" t="s">
        <v>15</v>
      </c>
      <c r="E99" s="1" t="s">
        <v>15</v>
      </c>
      <c r="F99" s="1" t="s">
        <v>497</v>
      </c>
      <c r="G99" s="1" t="s">
        <v>31</v>
      </c>
      <c r="H99" s="1" t="s">
        <v>497</v>
      </c>
      <c r="I99" s="4">
        <v>246779411248</v>
      </c>
      <c r="K99" s="4">
        <v>246779411053</v>
      </c>
      <c r="L99" s="7">
        <v>0</v>
      </c>
      <c r="M99" s="7">
        <v>1981</v>
      </c>
    </row>
    <row r="100" spans="1:13" x14ac:dyDescent="0.35">
      <c r="A100" s="1" t="s">
        <v>494</v>
      </c>
      <c r="B100" s="7">
        <v>0</v>
      </c>
      <c r="C100" s="7">
        <v>13737</v>
      </c>
      <c r="D100" s="1" t="s">
        <v>15</v>
      </c>
      <c r="E100" s="1" t="s">
        <v>15</v>
      </c>
      <c r="F100" s="1" t="s">
        <v>498</v>
      </c>
      <c r="G100" s="1" t="s">
        <v>31</v>
      </c>
      <c r="H100" s="1" t="s">
        <v>498</v>
      </c>
      <c r="I100" s="4">
        <v>246779411249</v>
      </c>
      <c r="K100" s="4">
        <v>246779411054</v>
      </c>
      <c r="L100" s="7">
        <v>0</v>
      </c>
      <c r="M100" s="7">
        <v>4387</v>
      </c>
    </row>
    <row r="101" spans="1:13" x14ac:dyDescent="0.35">
      <c r="A101" s="1" t="s">
        <v>494</v>
      </c>
      <c r="B101" s="7">
        <v>0</v>
      </c>
      <c r="C101" s="7">
        <v>1599</v>
      </c>
      <c r="D101" s="1" t="s">
        <v>15</v>
      </c>
      <c r="E101" s="1" t="s">
        <v>15</v>
      </c>
      <c r="F101" s="1" t="s">
        <v>499</v>
      </c>
      <c r="G101" s="1" t="s">
        <v>88</v>
      </c>
      <c r="H101" s="1" t="s">
        <v>499</v>
      </c>
      <c r="I101" s="4">
        <v>246779411250</v>
      </c>
      <c r="K101" s="4">
        <v>246779411055</v>
      </c>
      <c r="L101" s="7">
        <v>0</v>
      </c>
      <c r="M101" s="7">
        <v>1408</v>
      </c>
    </row>
    <row r="102" spans="1:13" x14ac:dyDescent="0.35">
      <c r="A102" s="1" t="s">
        <v>494</v>
      </c>
      <c r="B102" s="7">
        <v>0</v>
      </c>
      <c r="C102" s="7">
        <v>1599</v>
      </c>
      <c r="D102" s="1" t="s">
        <v>15</v>
      </c>
      <c r="E102" s="1" t="s">
        <v>15</v>
      </c>
      <c r="F102" s="1" t="s">
        <v>500</v>
      </c>
      <c r="G102" s="1" t="s">
        <v>88</v>
      </c>
      <c r="H102" s="1" t="s">
        <v>500</v>
      </c>
      <c r="I102" s="4">
        <v>246779411251</v>
      </c>
      <c r="K102" s="4">
        <v>246779411128</v>
      </c>
      <c r="L102" s="7">
        <v>0</v>
      </c>
      <c r="M102" s="7">
        <v>2406</v>
      </c>
    </row>
    <row r="103" spans="1:13" x14ac:dyDescent="0.35">
      <c r="A103" s="1" t="s">
        <v>494</v>
      </c>
      <c r="B103" s="7">
        <v>0</v>
      </c>
      <c r="C103" s="7">
        <v>1907</v>
      </c>
      <c r="D103" s="1" t="s">
        <v>15</v>
      </c>
      <c r="E103" s="1" t="s">
        <v>15</v>
      </c>
      <c r="F103" s="1" t="s">
        <v>501</v>
      </c>
      <c r="G103" s="1" t="s">
        <v>31</v>
      </c>
      <c r="H103" s="1" t="s">
        <v>501</v>
      </c>
      <c r="I103" s="4">
        <v>246779411252</v>
      </c>
      <c r="K103" s="4">
        <v>246779411185</v>
      </c>
      <c r="L103" s="7">
        <v>0</v>
      </c>
      <c r="M103" s="7">
        <v>2004</v>
      </c>
    </row>
    <row r="104" spans="1:13" x14ac:dyDescent="0.35">
      <c r="A104" s="1" t="s">
        <v>494</v>
      </c>
      <c r="B104" s="7">
        <v>0</v>
      </c>
      <c r="C104" s="7">
        <v>1907</v>
      </c>
      <c r="D104" s="1" t="s">
        <v>15</v>
      </c>
      <c r="E104" s="1" t="s">
        <v>15</v>
      </c>
      <c r="F104" s="1" t="s">
        <v>502</v>
      </c>
      <c r="G104" s="1" t="s">
        <v>31</v>
      </c>
      <c r="H104" s="1" t="s">
        <v>502</v>
      </c>
      <c r="I104" s="4">
        <v>246779414317</v>
      </c>
      <c r="K104" s="4">
        <v>246779411186</v>
      </c>
      <c r="L104" s="7">
        <v>0</v>
      </c>
      <c r="M104" s="7">
        <v>2004</v>
      </c>
    </row>
    <row r="105" spans="1:13" x14ac:dyDescent="0.35">
      <c r="A105" s="1" t="s">
        <v>494</v>
      </c>
      <c r="B105" s="7">
        <v>0</v>
      </c>
      <c r="C105" s="7">
        <v>4652</v>
      </c>
      <c r="D105" s="1" t="s">
        <v>15</v>
      </c>
      <c r="E105" s="1" t="s">
        <v>15</v>
      </c>
      <c r="F105" s="1" t="s">
        <v>503</v>
      </c>
      <c r="G105" s="1" t="s">
        <v>31</v>
      </c>
      <c r="H105" s="1" t="s">
        <v>503</v>
      </c>
      <c r="I105" s="4">
        <v>246779414141</v>
      </c>
      <c r="K105" s="4">
        <v>246779411187</v>
      </c>
      <c r="L105" s="7">
        <v>0</v>
      </c>
      <c r="M105" s="7">
        <v>2004</v>
      </c>
    </row>
    <row r="106" spans="1:13" x14ac:dyDescent="0.35">
      <c r="A106" s="1" t="s">
        <v>494</v>
      </c>
      <c r="B106" s="7">
        <v>0</v>
      </c>
      <c r="C106" s="7">
        <v>2674</v>
      </c>
      <c r="D106" s="1" t="s">
        <v>15</v>
      </c>
      <c r="E106" s="1" t="s">
        <v>15</v>
      </c>
      <c r="F106" s="1" t="s">
        <v>504</v>
      </c>
      <c r="G106" s="1" t="s">
        <v>31</v>
      </c>
      <c r="H106" s="1" t="s">
        <v>504</v>
      </c>
      <c r="I106" s="4">
        <v>246779414467</v>
      </c>
      <c r="K106" s="4">
        <v>246779411188</v>
      </c>
      <c r="L106" s="7">
        <v>0</v>
      </c>
      <c r="M106" s="7">
        <v>2004</v>
      </c>
    </row>
    <row r="107" spans="1:13" x14ac:dyDescent="0.35">
      <c r="A107" s="1" t="s">
        <v>494</v>
      </c>
      <c r="B107" s="7">
        <v>0</v>
      </c>
      <c r="C107" s="7">
        <v>34760</v>
      </c>
      <c r="D107" s="1" t="s">
        <v>15</v>
      </c>
      <c r="E107" s="1" t="s">
        <v>15</v>
      </c>
      <c r="F107" s="1" t="s">
        <v>505</v>
      </c>
      <c r="G107" s="1" t="s">
        <v>21</v>
      </c>
      <c r="H107" s="1" t="s">
        <v>505</v>
      </c>
      <c r="I107" s="4">
        <v>246779414603</v>
      </c>
      <c r="K107" s="4">
        <v>246779411189</v>
      </c>
      <c r="L107" s="7">
        <v>0</v>
      </c>
      <c r="M107" s="7">
        <v>2004</v>
      </c>
    </row>
    <row r="108" spans="1:13" x14ac:dyDescent="0.35">
      <c r="A108" s="1" t="s">
        <v>494</v>
      </c>
      <c r="B108" s="7">
        <v>0</v>
      </c>
      <c r="C108" s="7">
        <v>480</v>
      </c>
      <c r="D108" s="1" t="s">
        <v>15</v>
      </c>
      <c r="E108" s="1" t="s">
        <v>15</v>
      </c>
      <c r="F108" s="1" t="s">
        <v>506</v>
      </c>
      <c r="G108" s="1" t="s">
        <v>17</v>
      </c>
      <c r="H108" s="1" t="s">
        <v>506</v>
      </c>
      <c r="I108" s="4">
        <v>246779411936</v>
      </c>
      <c r="K108" s="4">
        <v>246779411248</v>
      </c>
      <c r="L108" s="7">
        <v>0</v>
      </c>
      <c r="M108" s="7">
        <v>3434</v>
      </c>
    </row>
    <row r="109" spans="1:13" x14ac:dyDescent="0.35">
      <c r="A109" s="1" t="s">
        <v>494</v>
      </c>
      <c r="B109" s="7">
        <v>0</v>
      </c>
      <c r="C109" s="7">
        <v>31723</v>
      </c>
      <c r="D109" s="1" t="s">
        <v>15</v>
      </c>
      <c r="E109" s="1" t="s">
        <v>15</v>
      </c>
      <c r="F109" s="1" t="s">
        <v>507</v>
      </c>
      <c r="G109" s="1" t="s">
        <v>107</v>
      </c>
      <c r="H109" s="1" t="s">
        <v>507</v>
      </c>
      <c r="I109" s="4">
        <v>246779413753</v>
      </c>
      <c r="K109" s="4">
        <v>246779411249</v>
      </c>
      <c r="L109" s="7">
        <v>0</v>
      </c>
      <c r="M109" s="7">
        <v>13737</v>
      </c>
    </row>
    <row r="110" spans="1:13" x14ac:dyDescent="0.35">
      <c r="A110" s="1" t="s">
        <v>494</v>
      </c>
      <c r="B110" s="7">
        <v>0</v>
      </c>
      <c r="C110" s="7">
        <v>191</v>
      </c>
      <c r="D110" s="1" t="s">
        <v>15</v>
      </c>
      <c r="E110" s="1" t="s">
        <v>15</v>
      </c>
      <c r="F110" s="1" t="s">
        <v>508</v>
      </c>
      <c r="G110" s="1" t="s">
        <v>21</v>
      </c>
      <c r="H110" s="1" t="s">
        <v>508</v>
      </c>
      <c r="I110" s="4">
        <v>246779413762</v>
      </c>
      <c r="K110" s="4">
        <v>246779411250</v>
      </c>
      <c r="L110" s="7">
        <v>0</v>
      </c>
      <c r="M110" s="7">
        <v>1599</v>
      </c>
    </row>
    <row r="111" spans="1:13" x14ac:dyDescent="0.35">
      <c r="A111" s="1" t="s">
        <v>494</v>
      </c>
      <c r="B111" s="7">
        <v>0</v>
      </c>
      <c r="C111" s="7">
        <v>3064</v>
      </c>
      <c r="D111" s="1" t="s">
        <v>15</v>
      </c>
      <c r="E111" s="1" t="s">
        <v>15</v>
      </c>
      <c r="F111" s="1" t="s">
        <v>509</v>
      </c>
      <c r="G111" s="1" t="s">
        <v>21</v>
      </c>
      <c r="H111" s="1" t="s">
        <v>509</v>
      </c>
      <c r="I111" s="4">
        <v>246779413745</v>
      </c>
      <c r="K111" s="4">
        <v>246779411251</v>
      </c>
      <c r="L111" s="7">
        <v>0</v>
      </c>
      <c r="M111" s="7">
        <v>1599</v>
      </c>
    </row>
    <row r="112" spans="1:13" x14ac:dyDescent="0.35">
      <c r="A112" s="1" t="s">
        <v>494</v>
      </c>
      <c r="B112" s="7">
        <v>0</v>
      </c>
      <c r="C112" s="7">
        <v>3448</v>
      </c>
      <c r="D112" s="1" t="s">
        <v>15</v>
      </c>
      <c r="E112" s="1" t="s">
        <v>15</v>
      </c>
      <c r="F112" s="1" t="s">
        <v>510</v>
      </c>
      <c r="G112" s="1" t="s">
        <v>21</v>
      </c>
      <c r="H112" s="1" t="s">
        <v>510</v>
      </c>
      <c r="I112" s="4">
        <v>246779413734</v>
      </c>
      <c r="K112" s="4">
        <v>246779411252</v>
      </c>
      <c r="L112" s="7">
        <v>0</v>
      </c>
      <c r="M112" s="7">
        <v>1907</v>
      </c>
    </row>
    <row r="113" spans="1:13" x14ac:dyDescent="0.35">
      <c r="A113" s="1" t="s">
        <v>494</v>
      </c>
      <c r="B113" s="7">
        <v>0</v>
      </c>
      <c r="C113" s="7">
        <v>6513</v>
      </c>
      <c r="D113" s="1" t="s">
        <v>15</v>
      </c>
      <c r="E113" s="1" t="s">
        <v>15</v>
      </c>
      <c r="F113" s="1" t="s">
        <v>511</v>
      </c>
      <c r="G113" s="1" t="s">
        <v>21</v>
      </c>
      <c r="H113" s="1" t="s">
        <v>511</v>
      </c>
      <c r="I113" s="4">
        <v>246779413736</v>
      </c>
      <c r="K113" s="4">
        <v>246779411278</v>
      </c>
      <c r="L113" s="7">
        <v>0</v>
      </c>
      <c r="M113" s="7">
        <v>44602</v>
      </c>
    </row>
    <row r="114" spans="1:13" x14ac:dyDescent="0.35">
      <c r="A114" s="1" t="s">
        <v>494</v>
      </c>
      <c r="B114" s="7">
        <v>0</v>
      </c>
      <c r="C114" s="7">
        <v>1724</v>
      </c>
      <c r="D114" s="1" t="s">
        <v>15</v>
      </c>
      <c r="E114" s="1" t="s">
        <v>15</v>
      </c>
      <c r="F114" s="1" t="s">
        <v>512</v>
      </c>
      <c r="G114" s="1" t="s">
        <v>21</v>
      </c>
      <c r="H114" s="1" t="s">
        <v>512</v>
      </c>
      <c r="I114" s="4">
        <v>246779413739</v>
      </c>
      <c r="K114" s="4">
        <v>246779411300</v>
      </c>
      <c r="L114" s="7">
        <v>33376</v>
      </c>
      <c r="M114" s="7">
        <v>33376</v>
      </c>
    </row>
    <row r="115" spans="1:13" x14ac:dyDescent="0.35">
      <c r="A115" s="1" t="s">
        <v>494</v>
      </c>
      <c r="B115" s="7">
        <v>0</v>
      </c>
      <c r="C115" s="7">
        <v>1149</v>
      </c>
      <c r="D115" s="1" t="s">
        <v>15</v>
      </c>
      <c r="E115" s="1" t="s">
        <v>15</v>
      </c>
      <c r="F115" s="1" t="s">
        <v>513</v>
      </c>
      <c r="G115" s="1" t="s">
        <v>21</v>
      </c>
      <c r="H115" s="1" t="s">
        <v>513</v>
      </c>
      <c r="I115" s="4">
        <v>246779413742</v>
      </c>
      <c r="K115" s="4">
        <v>246779411314</v>
      </c>
      <c r="L115" s="7">
        <v>0</v>
      </c>
      <c r="M115" s="7">
        <v>8522</v>
      </c>
    </row>
    <row r="116" spans="1:13" x14ac:dyDescent="0.35">
      <c r="A116" s="1" t="s">
        <v>494</v>
      </c>
      <c r="B116" s="7">
        <v>0</v>
      </c>
      <c r="C116" s="7">
        <v>191</v>
      </c>
      <c r="D116" s="1" t="s">
        <v>15</v>
      </c>
      <c r="E116" s="1" t="s">
        <v>15</v>
      </c>
      <c r="F116" s="1" t="s">
        <v>514</v>
      </c>
      <c r="G116" s="1" t="s">
        <v>21</v>
      </c>
      <c r="H116" s="1" t="s">
        <v>514</v>
      </c>
      <c r="I116" s="4">
        <v>246779413692</v>
      </c>
      <c r="K116" s="4">
        <v>246779411326</v>
      </c>
      <c r="L116" s="7">
        <v>20874</v>
      </c>
      <c r="M116" s="7">
        <v>20874</v>
      </c>
    </row>
    <row r="117" spans="1:13" x14ac:dyDescent="0.35">
      <c r="A117" s="1" t="s">
        <v>494</v>
      </c>
      <c r="B117" s="7">
        <v>0</v>
      </c>
      <c r="C117" s="7">
        <v>6896</v>
      </c>
      <c r="D117" s="1" t="s">
        <v>15</v>
      </c>
      <c r="E117" s="1" t="s">
        <v>15</v>
      </c>
      <c r="F117" s="1" t="s">
        <v>515</v>
      </c>
      <c r="G117" s="1" t="s">
        <v>21</v>
      </c>
      <c r="H117" s="1" t="s">
        <v>515</v>
      </c>
      <c r="I117" s="4">
        <v>246779413693</v>
      </c>
      <c r="K117" s="4">
        <v>246779411339</v>
      </c>
      <c r="L117" s="7">
        <v>17857</v>
      </c>
      <c r="M117" s="7">
        <v>17857</v>
      </c>
    </row>
    <row r="118" spans="1:13" x14ac:dyDescent="0.35">
      <c r="A118" s="1" t="s">
        <v>494</v>
      </c>
      <c r="B118" s="7">
        <v>0</v>
      </c>
      <c r="C118" s="7">
        <v>3448</v>
      </c>
      <c r="D118" s="1" t="s">
        <v>15</v>
      </c>
      <c r="E118" s="1" t="s">
        <v>15</v>
      </c>
      <c r="F118" s="1" t="s">
        <v>516</v>
      </c>
      <c r="G118" s="1" t="s">
        <v>21</v>
      </c>
      <c r="H118" s="1" t="s">
        <v>516</v>
      </c>
      <c r="I118" s="4">
        <v>246779413694</v>
      </c>
      <c r="K118" s="4">
        <v>246779411448</v>
      </c>
      <c r="L118" s="7">
        <v>0</v>
      </c>
      <c r="M118" s="7">
        <v>1161</v>
      </c>
    </row>
    <row r="119" spans="1:13" x14ac:dyDescent="0.35">
      <c r="A119" s="1" t="s">
        <v>494</v>
      </c>
      <c r="B119" s="7">
        <v>0</v>
      </c>
      <c r="C119" s="7">
        <v>191</v>
      </c>
      <c r="D119" s="1" t="s">
        <v>15</v>
      </c>
      <c r="E119" s="1" t="s">
        <v>15</v>
      </c>
      <c r="F119" s="1" t="s">
        <v>517</v>
      </c>
      <c r="G119" s="1" t="s">
        <v>21</v>
      </c>
      <c r="H119" s="1" t="s">
        <v>517</v>
      </c>
      <c r="I119" s="4">
        <v>246779413695</v>
      </c>
      <c r="K119" s="4">
        <v>246779411619</v>
      </c>
      <c r="L119" s="7">
        <v>0</v>
      </c>
      <c r="M119" s="7">
        <v>143412</v>
      </c>
    </row>
    <row r="120" spans="1:13" x14ac:dyDescent="0.35">
      <c r="A120" s="1" t="s">
        <v>494</v>
      </c>
      <c r="B120" s="7">
        <v>0</v>
      </c>
      <c r="C120" s="7">
        <v>382</v>
      </c>
      <c r="D120" s="1" t="s">
        <v>15</v>
      </c>
      <c r="E120" s="1" t="s">
        <v>15</v>
      </c>
      <c r="F120" s="1" t="s">
        <v>518</v>
      </c>
      <c r="G120" s="1" t="s">
        <v>21</v>
      </c>
      <c r="H120" s="1" t="s">
        <v>518</v>
      </c>
      <c r="I120" s="4">
        <v>246779413696</v>
      </c>
      <c r="K120" s="4">
        <v>246779411620</v>
      </c>
      <c r="L120" s="7">
        <v>0</v>
      </c>
      <c r="M120" s="7">
        <v>5816</v>
      </c>
    </row>
    <row r="121" spans="1:13" x14ac:dyDescent="0.35">
      <c r="A121" s="1" t="s">
        <v>494</v>
      </c>
      <c r="B121" s="7">
        <v>0</v>
      </c>
      <c r="C121" s="7">
        <v>381</v>
      </c>
      <c r="D121" s="1" t="s">
        <v>15</v>
      </c>
      <c r="E121" s="1" t="s">
        <v>15</v>
      </c>
      <c r="F121" s="1" t="s">
        <v>519</v>
      </c>
      <c r="G121" s="1" t="s">
        <v>21</v>
      </c>
      <c r="H121" s="1" t="s">
        <v>519</v>
      </c>
      <c r="I121" s="4">
        <v>246779410846</v>
      </c>
      <c r="K121" s="4">
        <v>246779411755</v>
      </c>
      <c r="L121" s="7">
        <v>0</v>
      </c>
      <c r="M121" s="7">
        <v>5816</v>
      </c>
    </row>
    <row r="122" spans="1:13" x14ac:dyDescent="0.35">
      <c r="A122" s="1" t="s">
        <v>494</v>
      </c>
      <c r="B122" s="7">
        <v>0</v>
      </c>
      <c r="C122" s="7">
        <v>1528</v>
      </c>
      <c r="D122" s="1" t="s">
        <v>15</v>
      </c>
      <c r="E122" s="1" t="s">
        <v>15</v>
      </c>
      <c r="F122" s="1" t="s">
        <v>520</v>
      </c>
      <c r="G122" s="1" t="s">
        <v>21</v>
      </c>
      <c r="H122" s="1" t="s">
        <v>520</v>
      </c>
      <c r="I122" s="4">
        <v>246779410847</v>
      </c>
      <c r="K122" s="4">
        <v>246779411756</v>
      </c>
      <c r="L122" s="7">
        <v>0</v>
      </c>
      <c r="M122" s="7">
        <v>4339</v>
      </c>
    </row>
    <row r="123" spans="1:13" x14ac:dyDescent="0.35">
      <c r="A123" s="1" t="s">
        <v>494</v>
      </c>
      <c r="B123" s="7">
        <v>0</v>
      </c>
      <c r="C123" s="7">
        <v>3436</v>
      </c>
      <c r="D123" s="1" t="s">
        <v>15</v>
      </c>
      <c r="E123" s="1" t="s">
        <v>15</v>
      </c>
      <c r="F123" s="1" t="s">
        <v>521</v>
      </c>
      <c r="G123" s="1" t="s">
        <v>21</v>
      </c>
      <c r="H123" s="1" t="s">
        <v>521</v>
      </c>
      <c r="I123" s="4">
        <v>246779410849</v>
      </c>
      <c r="K123" s="4">
        <v>246779411757</v>
      </c>
      <c r="L123" s="7">
        <v>0</v>
      </c>
      <c r="M123" s="7">
        <v>3110</v>
      </c>
    </row>
    <row r="124" spans="1:13" x14ac:dyDescent="0.35">
      <c r="A124" s="1" t="s">
        <v>494</v>
      </c>
      <c r="B124" s="7">
        <v>0</v>
      </c>
      <c r="C124" s="7">
        <v>763</v>
      </c>
      <c r="D124" s="1" t="s">
        <v>15</v>
      </c>
      <c r="E124" s="1" t="s">
        <v>15</v>
      </c>
      <c r="F124" s="1" t="s">
        <v>522</v>
      </c>
      <c r="G124" s="1" t="s">
        <v>21</v>
      </c>
      <c r="H124" s="1" t="s">
        <v>522</v>
      </c>
      <c r="I124" s="4">
        <v>246779410850</v>
      </c>
      <c r="K124" s="4">
        <v>246779411758</v>
      </c>
      <c r="L124" s="7">
        <v>0</v>
      </c>
      <c r="M124" s="7">
        <v>1842</v>
      </c>
    </row>
    <row r="125" spans="1:13" x14ac:dyDescent="0.35">
      <c r="A125" s="1" t="s">
        <v>494</v>
      </c>
      <c r="B125" s="7">
        <v>0</v>
      </c>
      <c r="C125" s="7">
        <v>381</v>
      </c>
      <c r="D125" s="1" t="s">
        <v>15</v>
      </c>
      <c r="E125" s="1" t="s">
        <v>15</v>
      </c>
      <c r="F125" s="1" t="s">
        <v>523</v>
      </c>
      <c r="G125" s="1" t="s">
        <v>21</v>
      </c>
      <c r="H125" s="1" t="s">
        <v>523</v>
      </c>
      <c r="I125" s="4">
        <v>246779410851</v>
      </c>
      <c r="K125" s="4">
        <v>246779411759</v>
      </c>
      <c r="L125" s="7">
        <v>0</v>
      </c>
      <c r="M125" s="7">
        <v>6761</v>
      </c>
    </row>
    <row r="126" spans="1:13" x14ac:dyDescent="0.35">
      <c r="A126" s="1" t="s">
        <v>494</v>
      </c>
      <c r="B126" s="7">
        <v>0</v>
      </c>
      <c r="C126" s="7">
        <v>381</v>
      </c>
      <c r="D126" s="1" t="s">
        <v>15</v>
      </c>
      <c r="E126" s="1" t="s">
        <v>15</v>
      </c>
      <c r="F126" s="1" t="s">
        <v>524</v>
      </c>
      <c r="G126" s="1" t="s">
        <v>21</v>
      </c>
      <c r="H126" s="1" t="s">
        <v>524</v>
      </c>
      <c r="I126" s="4">
        <v>246779410852</v>
      </c>
      <c r="K126" s="4">
        <v>246779411933</v>
      </c>
      <c r="L126" s="7">
        <v>0</v>
      </c>
      <c r="M126" s="7">
        <v>576</v>
      </c>
    </row>
    <row r="127" spans="1:13" x14ac:dyDescent="0.35">
      <c r="A127" s="1" t="s">
        <v>494</v>
      </c>
      <c r="B127" s="7">
        <v>0</v>
      </c>
      <c r="C127" s="7">
        <v>190</v>
      </c>
      <c r="D127" s="1" t="s">
        <v>15</v>
      </c>
      <c r="E127" s="1" t="s">
        <v>15</v>
      </c>
      <c r="F127" s="1" t="s">
        <v>525</v>
      </c>
      <c r="G127" s="1" t="s">
        <v>21</v>
      </c>
      <c r="H127" s="1" t="s">
        <v>525</v>
      </c>
      <c r="I127" s="4">
        <v>246779410853</v>
      </c>
      <c r="K127" s="4">
        <v>246779411934</v>
      </c>
      <c r="L127" s="7">
        <v>0</v>
      </c>
      <c r="M127" s="7">
        <v>336</v>
      </c>
    </row>
    <row r="128" spans="1:13" x14ac:dyDescent="0.35">
      <c r="A128" s="1" t="s">
        <v>494</v>
      </c>
      <c r="B128" s="7">
        <v>0</v>
      </c>
      <c r="C128" s="7">
        <v>1145</v>
      </c>
      <c r="D128" s="1" t="s">
        <v>15</v>
      </c>
      <c r="E128" s="1" t="s">
        <v>15</v>
      </c>
      <c r="F128" s="1" t="s">
        <v>526</v>
      </c>
      <c r="G128" s="1" t="s">
        <v>21</v>
      </c>
      <c r="H128" s="1" t="s">
        <v>526</v>
      </c>
      <c r="I128" s="4">
        <v>246779410854</v>
      </c>
      <c r="K128" s="4">
        <v>246779411935</v>
      </c>
      <c r="L128" s="7">
        <v>0</v>
      </c>
      <c r="M128" s="7">
        <v>576</v>
      </c>
    </row>
    <row r="129" spans="1:13" x14ac:dyDescent="0.35">
      <c r="A129" s="1" t="s">
        <v>494</v>
      </c>
      <c r="B129" s="7">
        <v>0</v>
      </c>
      <c r="C129" s="7">
        <v>1527</v>
      </c>
      <c r="D129" s="1" t="s">
        <v>15</v>
      </c>
      <c r="E129" s="1" t="s">
        <v>15</v>
      </c>
      <c r="F129" s="1" t="s">
        <v>527</v>
      </c>
      <c r="G129" s="1" t="s">
        <v>21</v>
      </c>
      <c r="H129" s="1" t="s">
        <v>527</v>
      </c>
      <c r="I129" s="4">
        <v>246779410855</v>
      </c>
      <c r="K129" s="4">
        <v>246779411936</v>
      </c>
      <c r="L129" s="7">
        <v>0</v>
      </c>
      <c r="M129" s="7">
        <v>480</v>
      </c>
    </row>
    <row r="130" spans="1:13" x14ac:dyDescent="0.35">
      <c r="A130" s="1" t="s">
        <v>494</v>
      </c>
      <c r="B130" s="7">
        <v>0</v>
      </c>
      <c r="C130" s="7">
        <v>1268</v>
      </c>
      <c r="D130" s="1" t="s">
        <v>15</v>
      </c>
      <c r="E130" s="1" t="s">
        <v>15</v>
      </c>
      <c r="F130" s="1" t="s">
        <v>528</v>
      </c>
      <c r="G130" s="1" t="s">
        <v>21</v>
      </c>
      <c r="H130" s="1" t="s">
        <v>528</v>
      </c>
      <c r="I130" s="4">
        <v>246779414681</v>
      </c>
      <c r="K130" s="4">
        <v>246779413000</v>
      </c>
      <c r="L130" s="7">
        <v>0</v>
      </c>
      <c r="M130" s="7">
        <v>35488</v>
      </c>
    </row>
    <row r="131" spans="1:13" x14ac:dyDescent="0.35">
      <c r="A131" s="1" t="s">
        <v>494</v>
      </c>
      <c r="B131" s="7">
        <v>0</v>
      </c>
      <c r="C131" s="7">
        <v>211</v>
      </c>
      <c r="D131" s="1" t="s">
        <v>15</v>
      </c>
      <c r="E131" s="1" t="s">
        <v>15</v>
      </c>
      <c r="F131" s="1" t="s">
        <v>529</v>
      </c>
      <c r="G131" s="1" t="s">
        <v>31</v>
      </c>
      <c r="H131" s="1" t="s">
        <v>529</v>
      </c>
      <c r="I131" s="4">
        <v>246779414734</v>
      </c>
      <c r="K131" s="4">
        <v>246779413622</v>
      </c>
      <c r="L131" s="7">
        <v>0</v>
      </c>
      <c r="M131" s="7">
        <v>1590</v>
      </c>
    </row>
    <row r="132" spans="1:13" x14ac:dyDescent="0.35">
      <c r="A132" s="1" t="s">
        <v>494</v>
      </c>
      <c r="B132" s="7">
        <v>0</v>
      </c>
      <c r="C132" s="7">
        <v>211</v>
      </c>
      <c r="D132" s="1" t="s">
        <v>15</v>
      </c>
      <c r="E132" s="1" t="s">
        <v>15</v>
      </c>
      <c r="F132" s="1" t="s">
        <v>530</v>
      </c>
      <c r="G132" s="1" t="s">
        <v>21</v>
      </c>
      <c r="H132" s="1" t="s">
        <v>530</v>
      </c>
      <c r="I132" s="4">
        <v>246779414885</v>
      </c>
      <c r="K132" s="4">
        <v>246779413623</v>
      </c>
      <c r="L132" s="7">
        <v>0</v>
      </c>
      <c r="M132" s="7">
        <v>198</v>
      </c>
    </row>
    <row r="133" spans="1:13" x14ac:dyDescent="0.35">
      <c r="A133" s="1" t="s">
        <v>494</v>
      </c>
      <c r="B133" s="7">
        <v>0</v>
      </c>
      <c r="C133" s="7">
        <v>17701</v>
      </c>
      <c r="D133" s="1" t="s">
        <v>15</v>
      </c>
      <c r="E133" s="1" t="s">
        <v>15</v>
      </c>
      <c r="F133" s="1" t="s">
        <v>531</v>
      </c>
      <c r="G133" s="1" t="s">
        <v>21</v>
      </c>
      <c r="H133" s="1" t="s">
        <v>531</v>
      </c>
      <c r="I133" s="4">
        <v>246779414221</v>
      </c>
      <c r="K133" s="4">
        <v>246779413624</v>
      </c>
      <c r="L133" s="7">
        <v>0</v>
      </c>
      <c r="M133" s="7">
        <v>596</v>
      </c>
    </row>
    <row r="134" spans="1:13" x14ac:dyDescent="0.35">
      <c r="A134" s="1" t="s">
        <v>494</v>
      </c>
      <c r="B134" s="7">
        <v>0</v>
      </c>
      <c r="C134" s="7">
        <v>596</v>
      </c>
      <c r="D134" s="1" t="s">
        <v>15</v>
      </c>
      <c r="E134" s="1" t="s">
        <v>15</v>
      </c>
      <c r="F134" s="1" t="s">
        <v>532</v>
      </c>
      <c r="G134" s="1" t="s">
        <v>21</v>
      </c>
      <c r="H134" s="1" t="s">
        <v>532</v>
      </c>
      <c r="I134" s="4">
        <v>246779413691</v>
      </c>
      <c r="K134" s="4">
        <v>246779413625</v>
      </c>
      <c r="L134" s="7">
        <v>0</v>
      </c>
      <c r="M134" s="7">
        <v>198</v>
      </c>
    </row>
    <row r="135" spans="1:13" x14ac:dyDescent="0.35">
      <c r="A135" s="1" t="s">
        <v>494</v>
      </c>
      <c r="B135" s="7">
        <v>0</v>
      </c>
      <c r="C135" s="7">
        <v>994</v>
      </c>
      <c r="D135" s="1" t="s">
        <v>15</v>
      </c>
      <c r="E135" s="1" t="s">
        <v>15</v>
      </c>
      <c r="F135" s="1" t="s">
        <v>533</v>
      </c>
      <c r="G135" s="1" t="s">
        <v>21</v>
      </c>
      <c r="H135" s="1" t="s">
        <v>533</v>
      </c>
      <c r="I135" s="4">
        <v>246779413772</v>
      </c>
      <c r="K135" s="4">
        <v>246779413626</v>
      </c>
      <c r="L135" s="7">
        <v>0</v>
      </c>
      <c r="M135" s="7">
        <v>7156</v>
      </c>
    </row>
    <row r="136" spans="1:13" x14ac:dyDescent="0.35">
      <c r="A136" s="1" t="s">
        <v>494</v>
      </c>
      <c r="B136" s="7">
        <v>0</v>
      </c>
      <c r="C136" s="7">
        <v>143412</v>
      </c>
      <c r="D136" s="1" t="s">
        <v>15</v>
      </c>
      <c r="E136" s="1" t="s">
        <v>15</v>
      </c>
      <c r="F136" s="1" t="s">
        <v>535</v>
      </c>
      <c r="G136" s="1" t="s">
        <v>17</v>
      </c>
      <c r="H136" s="1" t="s">
        <v>535</v>
      </c>
      <c r="I136" s="4">
        <v>246779411619</v>
      </c>
      <c r="K136" s="4">
        <v>246779413627</v>
      </c>
      <c r="L136" s="7">
        <v>0</v>
      </c>
      <c r="M136" s="7">
        <v>3578</v>
      </c>
    </row>
    <row r="137" spans="1:13" x14ac:dyDescent="0.35">
      <c r="A137" s="1" t="s">
        <v>494</v>
      </c>
      <c r="B137" s="7">
        <v>0</v>
      </c>
      <c r="C137" s="7">
        <v>5816</v>
      </c>
      <c r="D137" s="1" t="s">
        <v>15</v>
      </c>
      <c r="E137" s="1" t="s">
        <v>15</v>
      </c>
      <c r="F137" s="1" t="s">
        <v>536</v>
      </c>
      <c r="G137" s="1" t="s">
        <v>17</v>
      </c>
      <c r="H137" s="1" t="s">
        <v>536</v>
      </c>
      <c r="I137" s="4">
        <v>246779411620</v>
      </c>
      <c r="K137" s="4">
        <v>246779413628</v>
      </c>
      <c r="L137" s="7">
        <v>0</v>
      </c>
      <c r="M137" s="7">
        <v>198</v>
      </c>
    </row>
    <row r="138" spans="1:13" x14ac:dyDescent="0.35">
      <c r="A138" s="1" t="s">
        <v>494</v>
      </c>
      <c r="B138" s="7">
        <v>0</v>
      </c>
      <c r="C138" s="7">
        <v>5816</v>
      </c>
      <c r="D138" s="1" t="s">
        <v>15</v>
      </c>
      <c r="E138" s="1" t="s">
        <v>15</v>
      </c>
      <c r="F138" s="1" t="s">
        <v>537</v>
      </c>
      <c r="G138" s="1" t="s">
        <v>17</v>
      </c>
      <c r="H138" s="1" t="s">
        <v>537</v>
      </c>
      <c r="I138" s="4">
        <v>246779411755</v>
      </c>
      <c r="K138" s="4">
        <v>246779413629</v>
      </c>
      <c r="L138" s="7">
        <v>0</v>
      </c>
      <c r="M138" s="7">
        <v>397</v>
      </c>
    </row>
    <row r="139" spans="1:13" x14ac:dyDescent="0.35">
      <c r="A139" s="1" t="s">
        <v>494</v>
      </c>
      <c r="B139" s="7">
        <v>0</v>
      </c>
      <c r="C139" s="7">
        <v>4339</v>
      </c>
      <c r="D139" s="1" t="s">
        <v>15</v>
      </c>
      <c r="E139" s="1" t="s">
        <v>15</v>
      </c>
      <c r="F139" s="1" t="s">
        <v>538</v>
      </c>
      <c r="G139" s="1" t="s">
        <v>17</v>
      </c>
      <c r="H139" s="1" t="s">
        <v>538</v>
      </c>
      <c r="I139" s="4">
        <v>246779411756</v>
      </c>
      <c r="K139" s="4">
        <v>246779413689</v>
      </c>
      <c r="L139" s="7">
        <v>0</v>
      </c>
      <c r="M139" s="7">
        <v>1591</v>
      </c>
    </row>
    <row r="140" spans="1:13" x14ac:dyDescent="0.35">
      <c r="A140" s="1" t="s">
        <v>494</v>
      </c>
      <c r="B140" s="7">
        <v>0</v>
      </c>
      <c r="C140" s="7">
        <v>6761</v>
      </c>
      <c r="D140" s="1" t="s">
        <v>15</v>
      </c>
      <c r="E140" s="1" t="s">
        <v>15</v>
      </c>
      <c r="F140" s="1" t="s">
        <v>539</v>
      </c>
      <c r="G140" s="1" t="s">
        <v>17</v>
      </c>
      <c r="H140" s="1" t="s">
        <v>539</v>
      </c>
      <c r="I140" s="4">
        <v>246779411759</v>
      </c>
      <c r="K140" s="4">
        <v>246779413690</v>
      </c>
      <c r="L140" s="7">
        <v>0</v>
      </c>
      <c r="M140" s="7">
        <v>198</v>
      </c>
    </row>
    <row r="141" spans="1:13" x14ac:dyDescent="0.35">
      <c r="A141" s="1" t="s">
        <v>494</v>
      </c>
      <c r="B141" s="7">
        <v>0</v>
      </c>
      <c r="C141" s="7">
        <v>3110</v>
      </c>
      <c r="D141" s="1" t="s">
        <v>15</v>
      </c>
      <c r="E141" s="1" t="s">
        <v>15</v>
      </c>
      <c r="F141" s="1" t="s">
        <v>540</v>
      </c>
      <c r="G141" s="1" t="s">
        <v>17</v>
      </c>
      <c r="H141" s="1" t="s">
        <v>540</v>
      </c>
      <c r="I141" s="4">
        <v>246779411757</v>
      </c>
      <c r="K141" s="4">
        <v>246779413691</v>
      </c>
      <c r="L141" s="7">
        <v>0</v>
      </c>
      <c r="M141" s="7">
        <v>596</v>
      </c>
    </row>
    <row r="142" spans="1:13" x14ac:dyDescent="0.35">
      <c r="A142" s="2" t="s">
        <v>13</v>
      </c>
      <c r="B142" s="6">
        <v>0</v>
      </c>
      <c r="C142" s="6">
        <v>1161</v>
      </c>
      <c r="D142" s="2" t="s">
        <v>15</v>
      </c>
      <c r="E142" s="2" t="s">
        <v>15</v>
      </c>
      <c r="F142" s="2" t="s">
        <v>16</v>
      </c>
      <c r="G142" s="2" t="s">
        <v>17</v>
      </c>
      <c r="H142" s="2" t="s">
        <v>16</v>
      </c>
      <c r="I142" s="4">
        <v>246779411448</v>
      </c>
      <c r="K142" s="4">
        <v>246779413692</v>
      </c>
      <c r="L142" s="7">
        <v>0</v>
      </c>
      <c r="M142" s="7">
        <v>191</v>
      </c>
    </row>
    <row r="143" spans="1:13" x14ac:dyDescent="0.35">
      <c r="A143" s="2" t="s">
        <v>13</v>
      </c>
      <c r="B143" s="6">
        <v>0</v>
      </c>
      <c r="C143" s="6">
        <v>1591</v>
      </c>
      <c r="D143" s="2" t="s">
        <v>15</v>
      </c>
      <c r="E143" s="2" t="s">
        <v>15</v>
      </c>
      <c r="F143" s="2" t="s">
        <v>20</v>
      </c>
      <c r="G143" s="2" t="s">
        <v>21</v>
      </c>
      <c r="H143" s="2" t="s">
        <v>20</v>
      </c>
      <c r="I143" s="4">
        <v>246779413689</v>
      </c>
      <c r="K143" s="4">
        <v>246779413693</v>
      </c>
      <c r="L143" s="7">
        <v>0</v>
      </c>
      <c r="M143" s="7">
        <v>6896</v>
      </c>
    </row>
    <row r="144" spans="1:13" x14ac:dyDescent="0.35">
      <c r="A144" s="2" t="s">
        <v>13</v>
      </c>
      <c r="B144" s="6">
        <v>0</v>
      </c>
      <c r="C144" s="6">
        <v>574</v>
      </c>
      <c r="D144" s="2" t="s">
        <v>15</v>
      </c>
      <c r="E144" s="2" t="s">
        <v>15</v>
      </c>
      <c r="F144" s="2" t="s">
        <v>22</v>
      </c>
      <c r="G144" s="2" t="s">
        <v>21</v>
      </c>
      <c r="H144" s="2" t="s">
        <v>22</v>
      </c>
      <c r="I144" s="4">
        <v>246779413740</v>
      </c>
      <c r="K144" s="4">
        <v>246779413694</v>
      </c>
      <c r="L144" s="7">
        <v>0</v>
      </c>
      <c r="M144" s="7">
        <v>3448</v>
      </c>
    </row>
    <row r="145" spans="1:13" x14ac:dyDescent="0.35">
      <c r="A145" s="2" t="s">
        <v>13</v>
      </c>
      <c r="B145" s="6">
        <v>0</v>
      </c>
      <c r="C145" s="6">
        <v>574</v>
      </c>
      <c r="D145" s="2" t="s">
        <v>15</v>
      </c>
      <c r="E145" s="2" t="s">
        <v>15</v>
      </c>
      <c r="F145" s="2" t="s">
        <v>23</v>
      </c>
      <c r="G145" s="2" t="s">
        <v>21</v>
      </c>
      <c r="H145" s="2" t="s">
        <v>23</v>
      </c>
      <c r="I145" s="4">
        <v>246779413737</v>
      </c>
      <c r="K145" s="4">
        <v>246779413695</v>
      </c>
      <c r="L145" s="7">
        <v>0</v>
      </c>
      <c r="M145" s="7">
        <v>191</v>
      </c>
    </row>
    <row r="146" spans="1:13" x14ac:dyDescent="0.35">
      <c r="A146" s="2" t="s">
        <v>13</v>
      </c>
      <c r="B146" s="6">
        <v>0</v>
      </c>
      <c r="C146" s="6">
        <v>6896</v>
      </c>
      <c r="D146" s="2" t="s">
        <v>15</v>
      </c>
      <c r="E146" s="2" t="s">
        <v>15</v>
      </c>
      <c r="F146" s="2" t="s">
        <v>24</v>
      </c>
      <c r="G146" s="2" t="s">
        <v>21</v>
      </c>
      <c r="H146" s="2" t="s">
        <v>24</v>
      </c>
      <c r="I146" s="4">
        <v>246779413735</v>
      </c>
      <c r="K146" s="4">
        <v>246779413696</v>
      </c>
      <c r="L146" s="7">
        <v>0</v>
      </c>
      <c r="M146" s="7">
        <v>382</v>
      </c>
    </row>
    <row r="147" spans="1:13" x14ac:dyDescent="0.35">
      <c r="A147" s="2" t="s">
        <v>13</v>
      </c>
      <c r="B147" s="6">
        <v>0</v>
      </c>
      <c r="C147" s="6">
        <v>191</v>
      </c>
      <c r="D147" s="2" t="s">
        <v>15</v>
      </c>
      <c r="E147" s="2" t="s">
        <v>15</v>
      </c>
      <c r="F147" s="2" t="s">
        <v>25</v>
      </c>
      <c r="G147" s="2" t="s">
        <v>21</v>
      </c>
      <c r="H147" s="2" t="s">
        <v>25</v>
      </c>
      <c r="I147" s="4">
        <v>246779413744</v>
      </c>
      <c r="K147" s="4">
        <v>246779413701</v>
      </c>
      <c r="L147" s="7">
        <v>0</v>
      </c>
      <c r="M147" s="7">
        <v>18367</v>
      </c>
    </row>
    <row r="148" spans="1:13" x14ac:dyDescent="0.35">
      <c r="A148" s="2" t="s">
        <v>13</v>
      </c>
      <c r="B148" s="6">
        <v>0</v>
      </c>
      <c r="C148" s="6">
        <v>191</v>
      </c>
      <c r="D148" s="2" t="s">
        <v>15</v>
      </c>
      <c r="E148" s="2" t="s">
        <v>15</v>
      </c>
      <c r="F148" s="2" t="s">
        <v>26</v>
      </c>
      <c r="G148" s="2" t="s">
        <v>21</v>
      </c>
      <c r="H148" s="2" t="s">
        <v>26</v>
      </c>
      <c r="I148" s="4">
        <v>246779413733</v>
      </c>
      <c r="K148" s="4">
        <v>246779413702</v>
      </c>
      <c r="L148" s="7">
        <v>0</v>
      </c>
      <c r="M148" s="7">
        <v>31577</v>
      </c>
    </row>
    <row r="149" spans="1:13" x14ac:dyDescent="0.35">
      <c r="A149" s="2" t="s">
        <v>13</v>
      </c>
      <c r="B149" s="6">
        <v>0</v>
      </c>
      <c r="C149" s="6">
        <v>383</v>
      </c>
      <c r="D149" s="2" t="s">
        <v>15</v>
      </c>
      <c r="E149" s="2" t="s">
        <v>15</v>
      </c>
      <c r="F149" s="2" t="s">
        <v>27</v>
      </c>
      <c r="G149" s="2" t="s">
        <v>21</v>
      </c>
      <c r="H149" s="2" t="s">
        <v>27</v>
      </c>
      <c r="I149" s="4">
        <v>246779413743</v>
      </c>
      <c r="K149" s="4">
        <v>246779413704</v>
      </c>
      <c r="L149" s="7">
        <v>0</v>
      </c>
      <c r="M149" s="7">
        <v>13011</v>
      </c>
    </row>
    <row r="150" spans="1:13" x14ac:dyDescent="0.35">
      <c r="A150" s="2" t="s">
        <v>13</v>
      </c>
      <c r="B150" s="6">
        <v>0</v>
      </c>
      <c r="C150" s="6">
        <v>383</v>
      </c>
      <c r="D150" s="2" t="s">
        <v>15</v>
      </c>
      <c r="E150" s="2" t="s">
        <v>15</v>
      </c>
      <c r="F150" s="2" t="s">
        <v>28</v>
      </c>
      <c r="G150" s="2" t="s">
        <v>21</v>
      </c>
      <c r="H150" s="2" t="s">
        <v>28</v>
      </c>
      <c r="I150" s="4">
        <v>246779414680</v>
      </c>
      <c r="K150" s="4">
        <v>246779413705</v>
      </c>
      <c r="L150" s="7">
        <v>19430</v>
      </c>
      <c r="M150" s="7">
        <v>19429</v>
      </c>
    </row>
    <row r="151" spans="1:13" x14ac:dyDescent="0.35">
      <c r="A151" s="2" t="s">
        <v>13</v>
      </c>
      <c r="B151" s="6">
        <v>0</v>
      </c>
      <c r="C151" s="6">
        <v>6895</v>
      </c>
      <c r="D151" s="2" t="s">
        <v>15</v>
      </c>
      <c r="E151" s="2" t="s">
        <v>15</v>
      </c>
      <c r="F151" s="2" t="s">
        <v>29</v>
      </c>
      <c r="G151" s="2" t="s">
        <v>21</v>
      </c>
      <c r="H151" s="2" t="s">
        <v>29</v>
      </c>
      <c r="I151" s="4">
        <v>246779413741</v>
      </c>
      <c r="K151" s="4">
        <v>246779413733</v>
      </c>
      <c r="L151" s="7">
        <v>0</v>
      </c>
      <c r="M151" s="7">
        <v>191</v>
      </c>
    </row>
    <row r="152" spans="1:13" x14ac:dyDescent="0.35">
      <c r="A152" s="2" t="s">
        <v>13</v>
      </c>
      <c r="B152" s="6">
        <v>0</v>
      </c>
      <c r="C152" s="6">
        <v>846</v>
      </c>
      <c r="D152" s="2" t="s">
        <v>15</v>
      </c>
      <c r="E152" s="2" t="s">
        <v>15</v>
      </c>
      <c r="F152" s="2" t="s">
        <v>30</v>
      </c>
      <c r="G152" s="2" t="s">
        <v>31</v>
      </c>
      <c r="H152" s="2" t="s">
        <v>30</v>
      </c>
      <c r="I152" s="4">
        <v>246779413933</v>
      </c>
      <c r="K152" s="4">
        <v>246779413734</v>
      </c>
      <c r="L152" s="7">
        <v>0</v>
      </c>
      <c r="M152" s="7">
        <v>3448</v>
      </c>
    </row>
    <row r="153" spans="1:13" x14ac:dyDescent="0.35">
      <c r="A153" s="2" t="s">
        <v>13</v>
      </c>
      <c r="B153" s="6">
        <v>0</v>
      </c>
      <c r="C153" s="6">
        <v>3203</v>
      </c>
      <c r="D153" s="2" t="s">
        <v>15</v>
      </c>
      <c r="E153" s="2" t="s">
        <v>15</v>
      </c>
      <c r="F153" s="2" t="s">
        <v>32</v>
      </c>
      <c r="G153" s="2" t="s">
        <v>21</v>
      </c>
      <c r="H153" s="2" t="s">
        <v>32</v>
      </c>
      <c r="I153" s="4">
        <v>246779410609</v>
      </c>
      <c r="K153" s="4">
        <v>246779413735</v>
      </c>
      <c r="L153" s="7">
        <v>0</v>
      </c>
      <c r="M153" s="7">
        <v>6896</v>
      </c>
    </row>
    <row r="154" spans="1:13" x14ac:dyDescent="0.35">
      <c r="A154" s="2" t="s">
        <v>13</v>
      </c>
      <c r="B154" s="6">
        <v>0</v>
      </c>
      <c r="C154" s="6">
        <v>3603</v>
      </c>
      <c r="D154" s="2" t="s">
        <v>15</v>
      </c>
      <c r="E154" s="2" t="s">
        <v>15</v>
      </c>
      <c r="F154" s="2" t="s">
        <v>33</v>
      </c>
      <c r="G154" s="2" t="s">
        <v>21</v>
      </c>
      <c r="H154" s="2" t="s">
        <v>33</v>
      </c>
      <c r="I154" s="4">
        <v>246779413738</v>
      </c>
      <c r="K154" s="4">
        <v>246779413736</v>
      </c>
      <c r="L154" s="7">
        <v>0</v>
      </c>
      <c r="M154" s="7">
        <v>6513</v>
      </c>
    </row>
    <row r="155" spans="1:13" x14ac:dyDescent="0.35">
      <c r="A155" s="2" t="s">
        <v>13</v>
      </c>
      <c r="B155" s="6">
        <v>0</v>
      </c>
      <c r="C155" s="6">
        <v>200</v>
      </c>
      <c r="D155" s="2" t="s">
        <v>15</v>
      </c>
      <c r="E155" s="2" t="s">
        <v>15</v>
      </c>
      <c r="F155" s="2" t="s">
        <v>34</v>
      </c>
      <c r="G155" s="2" t="s">
        <v>21</v>
      </c>
      <c r="H155" s="2" t="s">
        <v>34</v>
      </c>
      <c r="I155" s="4">
        <v>246779410498</v>
      </c>
      <c r="K155" s="4">
        <v>246779413737</v>
      </c>
      <c r="L155" s="7">
        <v>0</v>
      </c>
      <c r="M155" s="7">
        <v>574</v>
      </c>
    </row>
    <row r="156" spans="1:13" x14ac:dyDescent="0.35">
      <c r="A156" s="2" t="s">
        <v>13</v>
      </c>
      <c r="B156" s="6">
        <v>0</v>
      </c>
      <c r="C156" s="6">
        <v>13011</v>
      </c>
      <c r="D156" s="2" t="s">
        <v>15</v>
      </c>
      <c r="E156" s="2" t="s">
        <v>15</v>
      </c>
      <c r="F156" s="2" t="s">
        <v>35</v>
      </c>
      <c r="G156" s="2" t="s">
        <v>36</v>
      </c>
      <c r="H156" s="2" t="s">
        <v>35</v>
      </c>
      <c r="I156" s="4">
        <v>246779413704</v>
      </c>
      <c r="K156" s="4">
        <v>246779413738</v>
      </c>
      <c r="L156" s="7">
        <v>0</v>
      </c>
      <c r="M156" s="7">
        <v>3603</v>
      </c>
    </row>
    <row r="157" spans="1:13" x14ac:dyDescent="0.35">
      <c r="A157" s="2" t="s">
        <v>13</v>
      </c>
      <c r="B157" s="6">
        <v>0</v>
      </c>
      <c r="C157" s="6">
        <v>200</v>
      </c>
      <c r="D157" s="2" t="s">
        <v>15</v>
      </c>
      <c r="E157" s="2" t="s">
        <v>15</v>
      </c>
      <c r="F157" s="2" t="s">
        <v>37</v>
      </c>
      <c r="G157" s="2" t="s">
        <v>21</v>
      </c>
      <c r="H157" s="2" t="s">
        <v>37</v>
      </c>
      <c r="I157" s="4">
        <v>246779410848</v>
      </c>
      <c r="K157" s="4">
        <v>246779413739</v>
      </c>
      <c r="L157" s="7">
        <v>0</v>
      </c>
      <c r="M157" s="7">
        <v>1724</v>
      </c>
    </row>
    <row r="158" spans="1:13" x14ac:dyDescent="0.35">
      <c r="A158" s="2" t="s">
        <v>13</v>
      </c>
      <c r="B158" s="6">
        <v>0</v>
      </c>
      <c r="C158" s="6">
        <v>3594</v>
      </c>
      <c r="D158" s="2" t="s">
        <v>15</v>
      </c>
      <c r="E158" s="2" t="s">
        <v>15</v>
      </c>
      <c r="F158" s="2" t="s">
        <v>41</v>
      </c>
      <c r="G158" s="2" t="s">
        <v>21</v>
      </c>
      <c r="H158" s="2" t="s">
        <v>41</v>
      </c>
      <c r="I158" s="4">
        <v>246779410755</v>
      </c>
      <c r="K158" s="4">
        <v>246779413740</v>
      </c>
      <c r="L158" s="7">
        <v>0</v>
      </c>
      <c r="M158" s="7">
        <v>574</v>
      </c>
    </row>
    <row r="159" spans="1:13" x14ac:dyDescent="0.35">
      <c r="A159" s="2" t="s">
        <v>13</v>
      </c>
      <c r="B159" s="6">
        <v>0</v>
      </c>
      <c r="C159" s="6">
        <v>35477</v>
      </c>
      <c r="D159" s="2" t="s">
        <v>15</v>
      </c>
      <c r="E159" s="2" t="s">
        <v>15</v>
      </c>
      <c r="F159" s="2" t="s">
        <v>42</v>
      </c>
      <c r="G159" s="2" t="s">
        <v>43</v>
      </c>
      <c r="H159" s="2" t="s">
        <v>42</v>
      </c>
      <c r="I159" s="4">
        <v>246779410072</v>
      </c>
      <c r="K159" s="4">
        <v>246779413741</v>
      </c>
      <c r="L159" s="7">
        <v>0</v>
      </c>
      <c r="M159" s="7">
        <v>6895</v>
      </c>
    </row>
    <row r="160" spans="1:13" x14ac:dyDescent="0.35">
      <c r="A160" s="2" t="s">
        <v>13</v>
      </c>
      <c r="B160" s="6">
        <v>0</v>
      </c>
      <c r="C160" s="6">
        <v>799</v>
      </c>
      <c r="D160" s="2" t="s">
        <v>15</v>
      </c>
      <c r="E160" s="2" t="s">
        <v>15</v>
      </c>
      <c r="F160" s="2" t="s">
        <v>44</v>
      </c>
      <c r="G160" s="2" t="s">
        <v>21</v>
      </c>
      <c r="H160" s="2" t="s">
        <v>44</v>
      </c>
      <c r="I160" s="4">
        <v>246779410688</v>
      </c>
      <c r="K160" s="4">
        <v>246779413742</v>
      </c>
      <c r="L160" s="7">
        <v>0</v>
      </c>
      <c r="M160" s="7">
        <v>1149</v>
      </c>
    </row>
    <row r="161" spans="1:13" x14ac:dyDescent="0.35">
      <c r="A161" s="2" t="s">
        <v>13</v>
      </c>
      <c r="B161" s="6">
        <v>0</v>
      </c>
      <c r="C161" s="6">
        <v>1797</v>
      </c>
      <c r="D161" s="2" t="s">
        <v>15</v>
      </c>
      <c r="E161" s="2" t="s">
        <v>15</v>
      </c>
      <c r="F161" s="2" t="s">
        <v>45</v>
      </c>
      <c r="G161" s="2" t="s">
        <v>21</v>
      </c>
      <c r="H161" s="2" t="s">
        <v>45</v>
      </c>
      <c r="I161" s="4">
        <v>246779410687</v>
      </c>
      <c r="K161" s="4">
        <v>246779413743</v>
      </c>
      <c r="L161" s="7">
        <v>0</v>
      </c>
      <c r="M161" s="7">
        <v>383</v>
      </c>
    </row>
    <row r="162" spans="1:13" x14ac:dyDescent="0.35">
      <c r="A162" s="2" t="s">
        <v>47</v>
      </c>
      <c r="B162" s="6">
        <v>0</v>
      </c>
      <c r="C162" s="6">
        <v>2883</v>
      </c>
      <c r="D162" s="2" t="s">
        <v>15</v>
      </c>
      <c r="E162" s="2" t="s">
        <v>15</v>
      </c>
      <c r="F162" s="2" t="s">
        <v>48</v>
      </c>
      <c r="G162" s="2" t="s">
        <v>49</v>
      </c>
      <c r="H162" s="2" t="s">
        <v>48</v>
      </c>
      <c r="I162" s="4">
        <v>256779410157</v>
      </c>
      <c r="K162" s="4">
        <v>246779413744</v>
      </c>
      <c r="L162" s="7">
        <v>0</v>
      </c>
      <c r="M162" s="7">
        <v>191</v>
      </c>
    </row>
    <row r="163" spans="1:13" x14ac:dyDescent="0.35">
      <c r="A163" s="2" t="s">
        <v>47</v>
      </c>
      <c r="B163" s="6">
        <v>0</v>
      </c>
      <c r="C163" s="6">
        <v>4913</v>
      </c>
      <c r="D163" s="2" t="s">
        <v>15</v>
      </c>
      <c r="E163" s="2" t="s">
        <v>15</v>
      </c>
      <c r="F163" s="2" t="s">
        <v>50</v>
      </c>
      <c r="G163" s="2" t="s">
        <v>31</v>
      </c>
      <c r="H163" s="2" t="s">
        <v>50</v>
      </c>
      <c r="I163" s="4">
        <v>256779410156</v>
      </c>
      <c r="K163" s="4">
        <v>246779413745</v>
      </c>
      <c r="L163" s="7">
        <v>0</v>
      </c>
      <c r="M163" s="7">
        <v>3064</v>
      </c>
    </row>
    <row r="164" spans="1:13" x14ac:dyDescent="0.35">
      <c r="A164" s="2" t="s">
        <v>47</v>
      </c>
      <c r="B164" s="6">
        <v>0</v>
      </c>
      <c r="C164" s="6">
        <v>13011</v>
      </c>
      <c r="D164" s="2" t="s">
        <v>15</v>
      </c>
      <c r="E164" s="2" t="s">
        <v>15</v>
      </c>
      <c r="F164" s="2" t="s">
        <v>51</v>
      </c>
      <c r="G164" s="2" t="s">
        <v>21</v>
      </c>
      <c r="H164" s="2" t="s">
        <v>51</v>
      </c>
      <c r="I164" s="4">
        <v>256779410166</v>
      </c>
      <c r="K164" s="4">
        <v>246779413753</v>
      </c>
      <c r="L164" s="7">
        <v>0</v>
      </c>
      <c r="M164" s="7">
        <v>31723</v>
      </c>
    </row>
    <row r="165" spans="1:13" x14ac:dyDescent="0.35">
      <c r="A165" s="2" t="s">
        <v>47</v>
      </c>
      <c r="B165" s="6">
        <v>0</v>
      </c>
      <c r="C165" s="6">
        <v>6205</v>
      </c>
      <c r="D165" s="2" t="s">
        <v>15</v>
      </c>
      <c r="E165" s="2" t="s">
        <v>15</v>
      </c>
      <c r="F165" s="2" t="s">
        <v>52</v>
      </c>
      <c r="G165" s="2" t="s">
        <v>21</v>
      </c>
      <c r="H165" s="2" t="s">
        <v>52</v>
      </c>
      <c r="I165" s="4">
        <v>256779410174</v>
      </c>
      <c r="K165" s="4">
        <v>246779413762</v>
      </c>
      <c r="L165" s="7">
        <v>0</v>
      </c>
      <c r="M165" s="7">
        <v>191</v>
      </c>
    </row>
    <row r="166" spans="1:13" x14ac:dyDescent="0.35">
      <c r="A166" s="2" t="s">
        <v>47</v>
      </c>
      <c r="B166" s="6">
        <v>0</v>
      </c>
      <c r="C166" s="6">
        <v>2937</v>
      </c>
      <c r="D166" s="2" t="s">
        <v>15</v>
      </c>
      <c r="E166" s="2" t="s">
        <v>15</v>
      </c>
      <c r="F166" s="2" t="s">
        <v>53</v>
      </c>
      <c r="G166" s="2" t="s">
        <v>17</v>
      </c>
      <c r="H166" s="2" t="s">
        <v>53</v>
      </c>
      <c r="I166" s="4">
        <v>256779410201</v>
      </c>
      <c r="K166" s="4">
        <v>246779413772</v>
      </c>
      <c r="L166" s="7">
        <v>0</v>
      </c>
      <c r="M166" s="7">
        <v>994</v>
      </c>
    </row>
    <row r="167" spans="1:13" x14ac:dyDescent="0.35">
      <c r="A167" s="2" t="s">
        <v>47</v>
      </c>
      <c r="B167" s="6">
        <v>0</v>
      </c>
      <c r="C167" s="6">
        <v>319</v>
      </c>
      <c r="D167" s="2" t="s">
        <v>15</v>
      </c>
      <c r="E167" s="2" t="s">
        <v>15</v>
      </c>
      <c r="F167" s="2" t="s">
        <v>54</v>
      </c>
      <c r="G167" s="2" t="s">
        <v>55</v>
      </c>
      <c r="H167" s="2" t="s">
        <v>54</v>
      </c>
      <c r="I167" s="4">
        <v>256779410135</v>
      </c>
      <c r="K167" s="4">
        <v>246779413782</v>
      </c>
      <c r="L167" s="7">
        <v>0</v>
      </c>
      <c r="M167" s="7">
        <v>596</v>
      </c>
    </row>
    <row r="168" spans="1:13" x14ac:dyDescent="0.35">
      <c r="A168" s="2" t="s">
        <v>47</v>
      </c>
      <c r="B168" s="6">
        <v>0</v>
      </c>
      <c r="C168" s="6">
        <v>639</v>
      </c>
      <c r="D168" s="2" t="s">
        <v>15</v>
      </c>
      <c r="E168" s="2" t="s">
        <v>15</v>
      </c>
      <c r="F168" s="2" t="s">
        <v>56</v>
      </c>
      <c r="G168" s="2" t="s">
        <v>31</v>
      </c>
      <c r="H168" s="2" t="s">
        <v>56</v>
      </c>
      <c r="I168" s="4">
        <v>256779410134</v>
      </c>
      <c r="K168" s="4">
        <v>246779413796</v>
      </c>
      <c r="L168" s="7">
        <v>0</v>
      </c>
      <c r="M168" s="7">
        <v>163631</v>
      </c>
    </row>
    <row r="169" spans="1:13" x14ac:dyDescent="0.35">
      <c r="A169" s="2" t="s">
        <v>60</v>
      </c>
      <c r="B169" s="6">
        <v>0</v>
      </c>
      <c r="C169" s="6">
        <v>331566</v>
      </c>
      <c r="D169" s="2" t="s">
        <v>15</v>
      </c>
      <c r="E169" s="2" t="s">
        <v>15</v>
      </c>
      <c r="F169" s="2" t="s">
        <v>61</v>
      </c>
      <c r="G169" s="2" t="s">
        <v>36</v>
      </c>
      <c r="H169" s="2" t="s">
        <v>61</v>
      </c>
      <c r="I169" s="4">
        <v>256779410812</v>
      </c>
      <c r="K169" s="4">
        <v>246779413816</v>
      </c>
      <c r="L169" s="7">
        <v>18611</v>
      </c>
      <c r="M169" s="7">
        <v>18610</v>
      </c>
    </row>
    <row r="170" spans="1:13" x14ac:dyDescent="0.35">
      <c r="A170" s="2" t="s">
        <v>60</v>
      </c>
      <c r="B170" s="6">
        <v>0</v>
      </c>
      <c r="C170" s="6">
        <v>384955</v>
      </c>
      <c r="D170" s="2" t="s">
        <v>15</v>
      </c>
      <c r="E170" s="2" t="s">
        <v>15</v>
      </c>
      <c r="F170" s="2" t="s">
        <v>62</v>
      </c>
      <c r="G170" s="2" t="s">
        <v>36</v>
      </c>
      <c r="H170" s="2" t="s">
        <v>62</v>
      </c>
      <c r="I170" s="4">
        <v>256779410795</v>
      </c>
      <c r="K170" s="4">
        <v>246779413827</v>
      </c>
      <c r="L170" s="7">
        <v>31723</v>
      </c>
      <c r="M170" s="7">
        <v>31723</v>
      </c>
    </row>
    <row r="171" spans="1:13" x14ac:dyDescent="0.35">
      <c r="A171" s="2" t="s">
        <v>63</v>
      </c>
      <c r="B171" s="6">
        <v>0</v>
      </c>
      <c r="C171" s="6">
        <v>13328</v>
      </c>
      <c r="D171" s="2" t="s">
        <v>15</v>
      </c>
      <c r="E171" s="2" t="s">
        <v>15</v>
      </c>
      <c r="F171" s="2" t="s">
        <v>64</v>
      </c>
      <c r="G171" s="2" t="s">
        <v>21</v>
      </c>
      <c r="H171" s="2" t="s">
        <v>64</v>
      </c>
      <c r="I171" s="4">
        <v>256779411150</v>
      </c>
      <c r="K171" s="4">
        <v>246779413845</v>
      </c>
      <c r="L171" s="7">
        <v>11955</v>
      </c>
      <c r="M171" s="7">
        <v>45188</v>
      </c>
    </row>
    <row r="172" spans="1:13" x14ac:dyDescent="0.35">
      <c r="A172" s="2" t="s">
        <v>63</v>
      </c>
      <c r="B172" s="6">
        <v>0</v>
      </c>
      <c r="C172" s="6">
        <v>25546</v>
      </c>
      <c r="D172" s="2" t="s">
        <v>15</v>
      </c>
      <c r="E172" s="2" t="s">
        <v>15</v>
      </c>
      <c r="F172" s="2" t="s">
        <v>65</v>
      </c>
      <c r="G172" s="2" t="s">
        <v>66</v>
      </c>
      <c r="H172" s="2" t="s">
        <v>65</v>
      </c>
      <c r="I172" s="4">
        <v>256779411148</v>
      </c>
      <c r="K172" s="4">
        <v>246779413933</v>
      </c>
      <c r="L172" s="7">
        <v>0</v>
      </c>
      <c r="M172" s="7">
        <v>846</v>
      </c>
    </row>
    <row r="173" spans="1:13" x14ac:dyDescent="0.35">
      <c r="A173" s="2" t="s">
        <v>63</v>
      </c>
      <c r="B173" s="6">
        <v>0</v>
      </c>
      <c r="C173" s="6">
        <v>2664</v>
      </c>
      <c r="D173" s="2" t="s">
        <v>15</v>
      </c>
      <c r="E173" s="2" t="s">
        <v>15</v>
      </c>
      <c r="F173" s="2" t="s">
        <v>67</v>
      </c>
      <c r="G173" s="2" t="s">
        <v>31</v>
      </c>
      <c r="H173" s="2" t="s">
        <v>67</v>
      </c>
      <c r="I173" s="4">
        <v>256779411149</v>
      </c>
      <c r="K173" s="4">
        <v>246779414141</v>
      </c>
      <c r="L173" s="7">
        <v>0</v>
      </c>
      <c r="M173" s="7">
        <v>4652</v>
      </c>
    </row>
    <row r="174" spans="1:13" x14ac:dyDescent="0.35">
      <c r="A174" s="2" t="s">
        <v>63</v>
      </c>
      <c r="B174" s="6">
        <v>0</v>
      </c>
      <c r="C174" s="6">
        <v>790</v>
      </c>
      <c r="D174" s="2" t="s">
        <v>15</v>
      </c>
      <c r="E174" s="2" t="s">
        <v>15</v>
      </c>
      <c r="F174" s="2" t="s">
        <v>68</v>
      </c>
      <c r="G174" s="2" t="s">
        <v>31</v>
      </c>
      <c r="H174" s="2" t="s">
        <v>68</v>
      </c>
      <c r="I174" s="4">
        <v>256779411564</v>
      </c>
      <c r="K174" s="4">
        <v>246779414142</v>
      </c>
      <c r="L174" s="7">
        <v>0</v>
      </c>
      <c r="M174" s="7">
        <v>1268</v>
      </c>
    </row>
    <row r="175" spans="1:13" x14ac:dyDescent="0.35">
      <c r="A175" s="2" t="s">
        <v>63</v>
      </c>
      <c r="B175" s="6">
        <v>0</v>
      </c>
      <c r="C175" s="6">
        <v>198</v>
      </c>
      <c r="D175" s="2" t="s">
        <v>15</v>
      </c>
      <c r="E175" s="2" t="s">
        <v>15</v>
      </c>
      <c r="F175" s="2" t="s">
        <v>69</v>
      </c>
      <c r="G175" s="2" t="s">
        <v>21</v>
      </c>
      <c r="H175" s="2" t="s">
        <v>69</v>
      </c>
      <c r="I175" s="4">
        <v>256779411563</v>
      </c>
      <c r="K175" s="4">
        <v>246779414221</v>
      </c>
      <c r="L175" s="7">
        <v>0</v>
      </c>
      <c r="M175" s="7">
        <v>17701</v>
      </c>
    </row>
    <row r="176" spans="1:13" x14ac:dyDescent="0.35">
      <c r="A176" s="2" t="s">
        <v>63</v>
      </c>
      <c r="B176" s="6">
        <v>0</v>
      </c>
      <c r="C176" s="6">
        <v>13629</v>
      </c>
      <c r="D176" s="2" t="s">
        <v>15</v>
      </c>
      <c r="E176" s="2" t="s">
        <v>15</v>
      </c>
      <c r="F176" s="2" t="s">
        <v>70</v>
      </c>
      <c r="G176" s="2" t="s">
        <v>71</v>
      </c>
      <c r="H176" s="2" t="s">
        <v>70</v>
      </c>
      <c r="I176" s="4">
        <v>256779411151</v>
      </c>
      <c r="K176" s="4">
        <v>246779414317</v>
      </c>
      <c r="L176" s="7">
        <v>0</v>
      </c>
      <c r="M176" s="7">
        <v>1907</v>
      </c>
    </row>
    <row r="177" spans="1:13" x14ac:dyDescent="0.35">
      <c r="A177" s="2" t="s">
        <v>72</v>
      </c>
      <c r="B177" s="6">
        <v>0</v>
      </c>
      <c r="C177" s="6">
        <v>417286</v>
      </c>
      <c r="D177" s="2" t="s">
        <v>15</v>
      </c>
      <c r="E177" s="2" t="s">
        <v>15</v>
      </c>
      <c r="F177" s="2" t="s">
        <v>73</v>
      </c>
      <c r="G177" s="2" t="s">
        <v>36</v>
      </c>
      <c r="H177" s="2" t="s">
        <v>73</v>
      </c>
      <c r="I177" s="4">
        <v>256779412117</v>
      </c>
      <c r="K177" s="4">
        <v>246779414467</v>
      </c>
      <c r="L177" s="7">
        <v>0</v>
      </c>
      <c r="M177" s="7">
        <v>2674</v>
      </c>
    </row>
    <row r="178" spans="1:13" x14ac:dyDescent="0.35">
      <c r="A178" s="2" t="s">
        <v>72</v>
      </c>
      <c r="B178" s="6">
        <v>0</v>
      </c>
      <c r="C178" s="6">
        <v>1972</v>
      </c>
      <c r="D178" s="2" t="s">
        <v>15</v>
      </c>
      <c r="E178" s="2" t="s">
        <v>15</v>
      </c>
      <c r="F178" s="2" t="s">
        <v>74</v>
      </c>
      <c r="G178" s="2" t="s">
        <v>31</v>
      </c>
      <c r="H178" s="2" t="s">
        <v>74</v>
      </c>
      <c r="I178" s="4">
        <v>256779418075</v>
      </c>
      <c r="K178" s="4">
        <v>246779414603</v>
      </c>
      <c r="L178" s="7">
        <v>0</v>
      </c>
      <c r="M178" s="7">
        <v>34760</v>
      </c>
    </row>
    <row r="179" spans="1:13" x14ac:dyDescent="0.35">
      <c r="A179" s="2" t="s">
        <v>72</v>
      </c>
      <c r="B179" s="6">
        <v>0</v>
      </c>
      <c r="C179" s="6">
        <v>1584</v>
      </c>
      <c r="D179" s="2" t="s">
        <v>15</v>
      </c>
      <c r="E179" s="2" t="s">
        <v>15</v>
      </c>
      <c r="F179" s="2" t="s">
        <v>75</v>
      </c>
      <c r="G179" s="2" t="s">
        <v>17</v>
      </c>
      <c r="H179" s="2" t="s">
        <v>75</v>
      </c>
      <c r="I179" s="4">
        <v>256779412065</v>
      </c>
      <c r="K179" s="4">
        <v>246779414680</v>
      </c>
      <c r="L179" s="7">
        <v>0</v>
      </c>
      <c r="M179" s="7">
        <v>383</v>
      </c>
    </row>
    <row r="180" spans="1:13" x14ac:dyDescent="0.35">
      <c r="A180" s="2" t="s">
        <v>72</v>
      </c>
      <c r="B180" s="6">
        <v>0</v>
      </c>
      <c r="C180" s="6">
        <v>1256</v>
      </c>
      <c r="D180" s="2" t="s">
        <v>15</v>
      </c>
      <c r="E180" s="2" t="s">
        <v>15</v>
      </c>
      <c r="F180" s="2" t="s">
        <v>76</v>
      </c>
      <c r="G180" s="2" t="s">
        <v>21</v>
      </c>
      <c r="H180" s="2" t="s">
        <v>76</v>
      </c>
      <c r="I180" s="4">
        <v>256779411885</v>
      </c>
      <c r="K180" s="4">
        <v>246779414681</v>
      </c>
      <c r="L180" s="7">
        <v>0</v>
      </c>
      <c r="M180" s="7">
        <v>1268</v>
      </c>
    </row>
    <row r="181" spans="1:13" x14ac:dyDescent="0.35">
      <c r="A181" s="2" t="s">
        <v>72</v>
      </c>
      <c r="B181" s="6">
        <v>0</v>
      </c>
      <c r="C181" s="6">
        <v>21549</v>
      </c>
      <c r="D181" s="2" t="s">
        <v>15</v>
      </c>
      <c r="E181" s="2" t="s">
        <v>15</v>
      </c>
      <c r="F181" s="2" t="s">
        <v>77</v>
      </c>
      <c r="G181" s="2" t="s">
        <v>17</v>
      </c>
      <c r="H181" s="2" t="s">
        <v>77</v>
      </c>
      <c r="I181" s="4">
        <v>256779412100</v>
      </c>
      <c r="K181" s="4">
        <v>246779414734</v>
      </c>
      <c r="L181" s="7">
        <v>0</v>
      </c>
      <c r="M181" s="7">
        <v>211</v>
      </c>
    </row>
    <row r="182" spans="1:13" x14ac:dyDescent="0.35">
      <c r="A182" s="2" t="s">
        <v>72</v>
      </c>
      <c r="B182" s="6">
        <v>0</v>
      </c>
      <c r="C182" s="6">
        <v>447</v>
      </c>
      <c r="D182" s="2" t="s">
        <v>15</v>
      </c>
      <c r="E182" s="2" t="s">
        <v>15</v>
      </c>
      <c r="F182" s="2" t="s">
        <v>78</v>
      </c>
      <c r="G182" s="2" t="s">
        <v>21</v>
      </c>
      <c r="H182" s="2" t="s">
        <v>78</v>
      </c>
      <c r="I182" s="4">
        <v>256779411886</v>
      </c>
      <c r="K182" s="4">
        <v>246779414885</v>
      </c>
      <c r="L182" s="7">
        <v>0</v>
      </c>
      <c r="M182" s="7">
        <v>211</v>
      </c>
    </row>
    <row r="183" spans="1:13" x14ac:dyDescent="0.35">
      <c r="A183" s="2" t="s">
        <v>338</v>
      </c>
      <c r="B183" s="6">
        <v>970</v>
      </c>
      <c r="C183" s="6">
        <v>46651.936999999998</v>
      </c>
      <c r="D183" s="2" t="s">
        <v>15</v>
      </c>
      <c r="E183" s="2" t="s">
        <v>15</v>
      </c>
      <c r="F183" s="2" t="s">
        <v>344</v>
      </c>
      <c r="G183" s="2" t="s">
        <v>17</v>
      </c>
      <c r="H183" s="2" t="s">
        <v>345</v>
      </c>
      <c r="I183" s="4">
        <v>256779418103</v>
      </c>
      <c r="K183" s="4">
        <v>246779418620</v>
      </c>
      <c r="L183" s="7">
        <v>7320</v>
      </c>
      <c r="M183" s="7">
        <v>73283.168300000005</v>
      </c>
    </row>
    <row r="184" spans="1:13" x14ac:dyDescent="0.35">
      <c r="A184" s="2" t="s">
        <v>81</v>
      </c>
      <c r="B184" s="6">
        <v>0</v>
      </c>
      <c r="C184" s="6">
        <v>34962</v>
      </c>
      <c r="D184" s="2" t="s">
        <v>15</v>
      </c>
      <c r="E184" s="2" t="s">
        <v>15</v>
      </c>
      <c r="F184" s="2" t="s">
        <v>82</v>
      </c>
      <c r="G184" s="2" t="s">
        <v>43</v>
      </c>
      <c r="H184" s="2" t="s">
        <v>82</v>
      </c>
      <c r="I184" s="4">
        <v>256779412161</v>
      </c>
      <c r="K184" s="4">
        <v>256779410004</v>
      </c>
      <c r="L184" s="7">
        <v>55272</v>
      </c>
      <c r="M184" s="7">
        <v>55272</v>
      </c>
    </row>
    <row r="185" spans="1:13" x14ac:dyDescent="0.35">
      <c r="A185" s="2" t="s">
        <v>83</v>
      </c>
      <c r="B185" s="6">
        <v>0</v>
      </c>
      <c r="C185" s="6">
        <v>2085</v>
      </c>
      <c r="D185" s="2" t="s">
        <v>15</v>
      </c>
      <c r="E185" s="2" t="s">
        <v>15</v>
      </c>
      <c r="F185" s="2" t="s">
        <v>84</v>
      </c>
      <c r="G185" s="2" t="s">
        <v>21</v>
      </c>
      <c r="H185" s="2" t="s">
        <v>84</v>
      </c>
      <c r="I185" s="4">
        <v>256779412655</v>
      </c>
      <c r="K185" s="4">
        <v>256779410010</v>
      </c>
      <c r="L185" s="7">
        <v>140649</v>
      </c>
      <c r="M185" s="7">
        <v>140649</v>
      </c>
    </row>
    <row r="186" spans="1:13" x14ac:dyDescent="0.35">
      <c r="A186" s="2" t="s">
        <v>83</v>
      </c>
      <c r="B186" s="6">
        <v>0</v>
      </c>
      <c r="C186" s="6">
        <v>3922</v>
      </c>
      <c r="D186" s="2" t="s">
        <v>15</v>
      </c>
      <c r="E186" s="2" t="s">
        <v>15</v>
      </c>
      <c r="F186" s="2" t="s">
        <v>85</v>
      </c>
      <c r="G186" s="2" t="s">
        <v>21</v>
      </c>
      <c r="H186" s="2" t="s">
        <v>85</v>
      </c>
      <c r="I186" s="4">
        <v>256779412613</v>
      </c>
      <c r="K186" s="4">
        <v>256779410134</v>
      </c>
      <c r="L186" s="7">
        <v>0</v>
      </c>
      <c r="M186" s="7">
        <v>639</v>
      </c>
    </row>
    <row r="187" spans="1:13" x14ac:dyDescent="0.35">
      <c r="A187" s="2" t="s">
        <v>83</v>
      </c>
      <c r="B187" s="6">
        <v>0</v>
      </c>
      <c r="C187" s="6">
        <v>14119</v>
      </c>
      <c r="D187" s="2" t="s">
        <v>15</v>
      </c>
      <c r="E187" s="2" t="s">
        <v>15</v>
      </c>
      <c r="F187" s="2" t="s">
        <v>86</v>
      </c>
      <c r="G187" s="2" t="s">
        <v>31</v>
      </c>
      <c r="H187" s="2" t="s">
        <v>86</v>
      </c>
      <c r="I187" s="4">
        <v>256779412468</v>
      </c>
      <c r="K187" s="4">
        <v>256779410135</v>
      </c>
      <c r="L187" s="7">
        <v>0</v>
      </c>
      <c r="M187" s="7">
        <v>319</v>
      </c>
    </row>
    <row r="188" spans="1:13" x14ac:dyDescent="0.35">
      <c r="A188" s="2" t="s">
        <v>83</v>
      </c>
      <c r="B188" s="6">
        <v>0</v>
      </c>
      <c r="C188" s="6">
        <v>1447</v>
      </c>
      <c r="D188" s="2" t="s">
        <v>15</v>
      </c>
      <c r="E188" s="2" t="s">
        <v>15</v>
      </c>
      <c r="F188" s="2" t="s">
        <v>87</v>
      </c>
      <c r="G188" s="2" t="s">
        <v>88</v>
      </c>
      <c r="H188" s="2" t="s">
        <v>87</v>
      </c>
      <c r="I188" s="4">
        <v>256779412675</v>
      </c>
      <c r="K188" s="4">
        <v>256779410156</v>
      </c>
      <c r="L188" s="7">
        <v>0</v>
      </c>
      <c r="M188" s="7">
        <v>4913</v>
      </c>
    </row>
    <row r="189" spans="1:13" x14ac:dyDescent="0.35">
      <c r="A189" s="2" t="s">
        <v>83</v>
      </c>
      <c r="B189" s="6">
        <v>0</v>
      </c>
      <c r="C189" s="6">
        <v>43195</v>
      </c>
      <c r="D189" s="2" t="s">
        <v>15</v>
      </c>
      <c r="E189" s="2" t="s">
        <v>15</v>
      </c>
      <c r="F189" s="2" t="s">
        <v>89</v>
      </c>
      <c r="G189" s="2" t="s">
        <v>90</v>
      </c>
      <c r="H189" s="2" t="s">
        <v>89</v>
      </c>
      <c r="I189" s="4">
        <v>256779412683</v>
      </c>
      <c r="K189" s="4">
        <v>256779410157</v>
      </c>
      <c r="L189" s="7">
        <v>0</v>
      </c>
      <c r="M189" s="7">
        <v>2883</v>
      </c>
    </row>
    <row r="190" spans="1:13" x14ac:dyDescent="0.35">
      <c r="A190" s="2" t="s">
        <v>83</v>
      </c>
      <c r="B190" s="6">
        <v>0</v>
      </c>
      <c r="C190" s="6">
        <v>10809</v>
      </c>
      <c r="D190" s="2" t="s">
        <v>15</v>
      </c>
      <c r="E190" s="2" t="s">
        <v>15</v>
      </c>
      <c r="F190" s="2" t="s">
        <v>91</v>
      </c>
      <c r="G190" s="2" t="s">
        <v>31</v>
      </c>
      <c r="H190" s="2" t="s">
        <v>91</v>
      </c>
      <c r="I190" s="4">
        <v>256779412461</v>
      </c>
      <c r="K190" s="4">
        <v>256779410166</v>
      </c>
      <c r="L190" s="7">
        <v>0</v>
      </c>
      <c r="M190" s="7">
        <v>13011</v>
      </c>
    </row>
    <row r="191" spans="1:13" x14ac:dyDescent="0.35">
      <c r="A191" s="2" t="s">
        <v>92</v>
      </c>
      <c r="B191" s="6">
        <v>0</v>
      </c>
      <c r="C191" s="6">
        <v>1878</v>
      </c>
      <c r="D191" s="2" t="s">
        <v>15</v>
      </c>
      <c r="E191" s="2" t="s">
        <v>15</v>
      </c>
      <c r="F191" s="2" t="s">
        <v>93</v>
      </c>
      <c r="G191" s="2" t="s">
        <v>21</v>
      </c>
      <c r="H191" s="2" t="s">
        <v>93</v>
      </c>
      <c r="I191" s="4">
        <v>256779412926</v>
      </c>
      <c r="K191" s="4">
        <v>256779410174</v>
      </c>
      <c r="L191" s="7">
        <v>0</v>
      </c>
      <c r="M191" s="7">
        <v>6205</v>
      </c>
    </row>
    <row r="192" spans="1:13" x14ac:dyDescent="0.35">
      <c r="A192" s="2" t="s">
        <v>92</v>
      </c>
      <c r="B192" s="6">
        <v>0</v>
      </c>
      <c r="C192" s="6">
        <v>13211</v>
      </c>
      <c r="D192" s="2" t="s">
        <v>15</v>
      </c>
      <c r="E192" s="2" t="s">
        <v>15</v>
      </c>
      <c r="F192" s="2" t="s">
        <v>94</v>
      </c>
      <c r="G192" s="2" t="s">
        <v>21</v>
      </c>
      <c r="H192" s="2" t="s">
        <v>94</v>
      </c>
      <c r="I192" s="4">
        <v>256779412950</v>
      </c>
      <c r="K192" s="4">
        <v>256779410201</v>
      </c>
      <c r="L192" s="7">
        <v>0</v>
      </c>
      <c r="M192" s="7">
        <v>2937</v>
      </c>
    </row>
    <row r="193" spans="1:13" x14ac:dyDescent="0.35">
      <c r="A193" s="2" t="s">
        <v>92</v>
      </c>
      <c r="B193" s="6">
        <v>0</v>
      </c>
      <c r="C193" s="6">
        <v>27408</v>
      </c>
      <c r="D193" s="2" t="s">
        <v>15</v>
      </c>
      <c r="E193" s="2" t="s">
        <v>15</v>
      </c>
      <c r="F193" s="2" t="s">
        <v>95</v>
      </c>
      <c r="G193" s="2" t="s">
        <v>71</v>
      </c>
      <c r="H193" s="2" t="s">
        <v>95</v>
      </c>
      <c r="I193" s="4">
        <v>256779412941</v>
      </c>
      <c r="K193" s="4">
        <v>256779410220</v>
      </c>
      <c r="L193" s="7">
        <v>0</v>
      </c>
      <c r="M193" s="7">
        <v>114223</v>
      </c>
    </row>
    <row r="194" spans="1:13" s="42" customFormat="1" x14ac:dyDescent="0.35">
      <c r="A194" s="2" t="s">
        <v>338</v>
      </c>
      <c r="B194" s="6">
        <v>10</v>
      </c>
      <c r="C194" s="6">
        <v>506</v>
      </c>
      <c r="D194" s="2" t="s">
        <v>15</v>
      </c>
      <c r="E194" s="2" t="s">
        <v>15</v>
      </c>
      <c r="F194" s="2" t="s">
        <v>353</v>
      </c>
      <c r="G194" s="2" t="s">
        <v>270</v>
      </c>
      <c r="H194" s="2" t="s">
        <v>354</v>
      </c>
      <c r="I194" s="4">
        <v>256779418103</v>
      </c>
      <c r="K194" s="4">
        <v>256779410795</v>
      </c>
      <c r="L194" s="7">
        <v>0</v>
      </c>
      <c r="M194" s="7">
        <v>384955</v>
      </c>
    </row>
    <row r="195" spans="1:13" x14ac:dyDescent="0.35">
      <c r="A195" s="2" t="s">
        <v>97</v>
      </c>
      <c r="B195" s="6">
        <v>0</v>
      </c>
      <c r="C195" s="6">
        <v>7981</v>
      </c>
      <c r="D195" s="2" t="s">
        <v>15</v>
      </c>
      <c r="E195" s="2" t="s">
        <v>15</v>
      </c>
      <c r="F195" s="2" t="s">
        <v>98</v>
      </c>
      <c r="G195" s="2" t="s">
        <v>17</v>
      </c>
      <c r="H195" s="2" t="s">
        <v>98</v>
      </c>
      <c r="I195" s="4">
        <v>256779412777</v>
      </c>
      <c r="K195" s="4">
        <v>256779410812</v>
      </c>
      <c r="L195" s="7">
        <v>0</v>
      </c>
      <c r="M195" s="7">
        <v>331566</v>
      </c>
    </row>
    <row r="196" spans="1:13" x14ac:dyDescent="0.35">
      <c r="A196" s="2" t="s">
        <v>99</v>
      </c>
      <c r="B196" s="6">
        <v>0</v>
      </c>
      <c r="C196" s="6">
        <v>15927</v>
      </c>
      <c r="D196" s="2" t="s">
        <v>15</v>
      </c>
      <c r="E196" s="2" t="s">
        <v>15</v>
      </c>
      <c r="F196" s="2" t="s">
        <v>100</v>
      </c>
      <c r="G196" s="2" t="s">
        <v>31</v>
      </c>
      <c r="H196" s="2" t="s">
        <v>100</v>
      </c>
      <c r="I196" s="4">
        <v>256779413163</v>
      </c>
      <c r="K196" s="4">
        <v>256779411148</v>
      </c>
      <c r="L196" s="7">
        <v>0</v>
      </c>
      <c r="M196" s="7">
        <v>25546</v>
      </c>
    </row>
    <row r="197" spans="1:13" x14ac:dyDescent="0.35">
      <c r="A197" s="2" t="s">
        <v>99</v>
      </c>
      <c r="B197" s="6">
        <v>0</v>
      </c>
      <c r="C197" s="6">
        <v>35097</v>
      </c>
      <c r="D197" s="2" t="s">
        <v>15</v>
      </c>
      <c r="E197" s="2" t="s">
        <v>15</v>
      </c>
      <c r="F197" s="2" t="s">
        <v>101</v>
      </c>
      <c r="G197" s="2" t="s">
        <v>43</v>
      </c>
      <c r="H197" s="2" t="s">
        <v>101</v>
      </c>
      <c r="I197" s="4">
        <v>256779413127</v>
      </c>
      <c r="K197" s="4">
        <v>256779411149</v>
      </c>
      <c r="L197" s="7">
        <v>0</v>
      </c>
      <c r="M197" s="7">
        <v>2664</v>
      </c>
    </row>
    <row r="198" spans="1:13" x14ac:dyDescent="0.35">
      <c r="A198" s="2" t="s">
        <v>99</v>
      </c>
      <c r="B198" s="6">
        <v>0</v>
      </c>
      <c r="C198" s="6">
        <v>11810</v>
      </c>
      <c r="D198" s="2" t="s">
        <v>15</v>
      </c>
      <c r="E198" s="2" t="s">
        <v>15</v>
      </c>
      <c r="F198" s="2" t="s">
        <v>102</v>
      </c>
      <c r="G198" s="2" t="s">
        <v>21</v>
      </c>
      <c r="H198" s="2" t="s">
        <v>102</v>
      </c>
      <c r="I198" s="4">
        <v>256779413172</v>
      </c>
      <c r="K198" s="4">
        <v>256779411150</v>
      </c>
      <c r="L198" s="7">
        <v>0</v>
      </c>
      <c r="M198" s="7">
        <v>13328</v>
      </c>
    </row>
    <row r="199" spans="1:13" x14ac:dyDescent="0.35">
      <c r="A199" s="2" t="s">
        <v>99</v>
      </c>
      <c r="B199" s="6">
        <v>0</v>
      </c>
      <c r="C199" s="6">
        <v>3623</v>
      </c>
      <c r="D199" s="2" t="s">
        <v>15</v>
      </c>
      <c r="E199" s="2" t="s">
        <v>15</v>
      </c>
      <c r="F199" s="2" t="s">
        <v>103</v>
      </c>
      <c r="G199" s="2" t="s">
        <v>17</v>
      </c>
      <c r="H199" s="2" t="s">
        <v>103</v>
      </c>
      <c r="I199" s="4">
        <v>256779413243</v>
      </c>
      <c r="K199" s="4">
        <v>256779411151</v>
      </c>
      <c r="L199" s="7">
        <v>0</v>
      </c>
      <c r="M199" s="7">
        <v>13629</v>
      </c>
    </row>
    <row r="200" spans="1:13" x14ac:dyDescent="0.35">
      <c r="A200" s="2" t="s">
        <v>104</v>
      </c>
      <c r="B200" s="6">
        <v>0</v>
      </c>
      <c r="C200" s="6">
        <v>1264</v>
      </c>
      <c r="D200" s="2" t="s">
        <v>15</v>
      </c>
      <c r="E200" s="2" t="s">
        <v>15</v>
      </c>
      <c r="F200" s="2" t="s">
        <v>105</v>
      </c>
      <c r="G200" s="2" t="s">
        <v>21</v>
      </c>
      <c r="H200" s="2" t="s">
        <v>105</v>
      </c>
      <c r="I200" s="4">
        <v>256779413357</v>
      </c>
      <c r="K200" s="4">
        <v>256779411563</v>
      </c>
      <c r="L200" s="7">
        <v>0</v>
      </c>
      <c r="M200" s="7">
        <v>198</v>
      </c>
    </row>
    <row r="201" spans="1:13" x14ac:dyDescent="0.35">
      <c r="A201" s="2" t="s">
        <v>291</v>
      </c>
      <c r="B201" s="6">
        <v>0</v>
      </c>
      <c r="C201" s="6">
        <v>695663.66119999997</v>
      </c>
      <c r="D201" s="2" t="s">
        <v>15</v>
      </c>
      <c r="E201" s="2" t="s">
        <v>15</v>
      </c>
      <c r="F201" s="2" t="s">
        <v>301</v>
      </c>
      <c r="G201" s="2" t="s">
        <v>268</v>
      </c>
      <c r="H201" s="2" t="s">
        <v>301</v>
      </c>
      <c r="I201" s="4">
        <v>256779417084</v>
      </c>
      <c r="K201" s="4">
        <v>256779411564</v>
      </c>
      <c r="L201" s="7">
        <v>0</v>
      </c>
      <c r="M201" s="7">
        <v>790</v>
      </c>
    </row>
    <row r="202" spans="1:13" x14ac:dyDescent="0.35">
      <c r="A202" s="2" t="s">
        <v>108</v>
      </c>
      <c r="B202" s="6">
        <v>0</v>
      </c>
      <c r="C202" s="6">
        <v>1054</v>
      </c>
      <c r="D202" s="2" t="s">
        <v>15</v>
      </c>
      <c r="E202" s="2" t="s">
        <v>15</v>
      </c>
      <c r="F202" s="2" t="s">
        <v>109</v>
      </c>
      <c r="G202" s="2" t="s">
        <v>21</v>
      </c>
      <c r="H202" s="2" t="s">
        <v>109</v>
      </c>
      <c r="I202" s="4">
        <v>256779413486</v>
      </c>
      <c r="K202" s="4">
        <v>256779411807</v>
      </c>
      <c r="L202" s="7">
        <v>0</v>
      </c>
      <c r="M202" s="7">
        <v>2053.9</v>
      </c>
    </row>
    <row r="203" spans="1:13" x14ac:dyDescent="0.35">
      <c r="A203" s="2" t="s">
        <v>108</v>
      </c>
      <c r="B203" s="6">
        <v>0</v>
      </c>
      <c r="C203" s="6">
        <v>12177</v>
      </c>
      <c r="D203" s="2" t="s">
        <v>15</v>
      </c>
      <c r="E203" s="2" t="s">
        <v>15</v>
      </c>
      <c r="F203" s="2" t="s">
        <v>110</v>
      </c>
      <c r="G203" s="2" t="s">
        <v>17</v>
      </c>
      <c r="H203" s="2" t="s">
        <v>110</v>
      </c>
      <c r="I203" s="4">
        <v>256779413837</v>
      </c>
      <c r="K203" s="4">
        <v>256779411885</v>
      </c>
      <c r="L203" s="7">
        <v>0</v>
      </c>
      <c r="M203" s="7">
        <v>1256</v>
      </c>
    </row>
    <row r="204" spans="1:13" x14ac:dyDescent="0.35">
      <c r="A204" s="2" t="s">
        <v>111</v>
      </c>
      <c r="B204" s="6">
        <v>0</v>
      </c>
      <c r="C204" s="6">
        <v>3960</v>
      </c>
      <c r="D204" s="2" t="s">
        <v>15</v>
      </c>
      <c r="E204" s="2" t="s">
        <v>15</v>
      </c>
      <c r="F204" s="2" t="s">
        <v>112</v>
      </c>
      <c r="G204" s="2" t="s">
        <v>31</v>
      </c>
      <c r="H204" s="2" t="s">
        <v>112</v>
      </c>
      <c r="I204" s="4">
        <v>256779413405</v>
      </c>
      <c r="K204" s="4">
        <v>256779411886</v>
      </c>
      <c r="L204" s="7">
        <v>0</v>
      </c>
      <c r="M204" s="7">
        <v>447</v>
      </c>
    </row>
    <row r="205" spans="1:13" x14ac:dyDescent="0.35">
      <c r="A205" s="2" t="s">
        <v>111</v>
      </c>
      <c r="B205" s="6">
        <v>0</v>
      </c>
      <c r="C205" s="6">
        <v>7129</v>
      </c>
      <c r="D205" s="2" t="s">
        <v>15</v>
      </c>
      <c r="E205" s="2" t="s">
        <v>15</v>
      </c>
      <c r="F205" s="2" t="s">
        <v>113</v>
      </c>
      <c r="G205" s="2" t="s">
        <v>31</v>
      </c>
      <c r="H205" s="2" t="s">
        <v>113</v>
      </c>
      <c r="I205" s="4">
        <v>256779413404</v>
      </c>
      <c r="K205" s="4">
        <v>256779411917</v>
      </c>
      <c r="L205" s="7">
        <v>0</v>
      </c>
      <c r="M205" s="7">
        <v>12169</v>
      </c>
    </row>
    <row r="206" spans="1:13" x14ac:dyDescent="0.35">
      <c r="A206" s="2" t="s">
        <v>111</v>
      </c>
      <c r="B206" s="6">
        <v>0</v>
      </c>
      <c r="C206" s="6">
        <v>990</v>
      </c>
      <c r="D206" s="2" t="s">
        <v>15</v>
      </c>
      <c r="E206" s="2" t="s">
        <v>15</v>
      </c>
      <c r="F206" s="2" t="s">
        <v>114</v>
      </c>
      <c r="G206" s="2" t="s">
        <v>21</v>
      </c>
      <c r="H206" s="2" t="s">
        <v>114</v>
      </c>
      <c r="I206" s="4">
        <v>256779413427</v>
      </c>
      <c r="K206" s="4">
        <v>256779412065</v>
      </c>
      <c r="L206" s="7">
        <v>0</v>
      </c>
      <c r="M206" s="7">
        <v>1584</v>
      </c>
    </row>
    <row r="207" spans="1:13" x14ac:dyDescent="0.35">
      <c r="A207" s="2" t="s">
        <v>111</v>
      </c>
      <c r="B207" s="6">
        <v>0</v>
      </c>
      <c r="C207" s="6">
        <v>990</v>
      </c>
      <c r="D207" s="2" t="s">
        <v>15</v>
      </c>
      <c r="E207" s="2" t="s">
        <v>15</v>
      </c>
      <c r="F207" s="2" t="s">
        <v>115</v>
      </c>
      <c r="G207" s="2" t="s">
        <v>21</v>
      </c>
      <c r="H207" s="2" t="s">
        <v>115</v>
      </c>
      <c r="I207" s="4">
        <v>256779413428</v>
      </c>
      <c r="K207" s="4">
        <v>256779412100</v>
      </c>
      <c r="L207" s="7">
        <v>0</v>
      </c>
      <c r="M207" s="7">
        <v>21549</v>
      </c>
    </row>
    <row r="208" spans="1:13" x14ac:dyDescent="0.35">
      <c r="A208" s="2" t="s">
        <v>111</v>
      </c>
      <c r="B208" s="6">
        <v>0</v>
      </c>
      <c r="C208" s="6">
        <v>601</v>
      </c>
      <c r="D208" s="2" t="s">
        <v>15</v>
      </c>
      <c r="E208" s="2" t="s">
        <v>15</v>
      </c>
      <c r="F208" s="2" t="s">
        <v>116</v>
      </c>
      <c r="G208" s="2" t="s">
        <v>21</v>
      </c>
      <c r="H208" s="2" t="s">
        <v>116</v>
      </c>
      <c r="I208" s="4">
        <v>256779413429</v>
      </c>
      <c r="K208" s="4">
        <v>256779412117</v>
      </c>
      <c r="L208" s="7">
        <v>0</v>
      </c>
      <c r="M208" s="7">
        <v>417286</v>
      </c>
    </row>
    <row r="209" spans="1:13" x14ac:dyDescent="0.35">
      <c r="A209" s="2" t="s">
        <v>111</v>
      </c>
      <c r="B209" s="6">
        <v>0</v>
      </c>
      <c r="C209" s="6">
        <v>1201</v>
      </c>
      <c r="D209" s="2" t="s">
        <v>15</v>
      </c>
      <c r="E209" s="2" t="s">
        <v>15</v>
      </c>
      <c r="F209" s="2" t="s">
        <v>117</v>
      </c>
      <c r="G209" s="2" t="s">
        <v>21</v>
      </c>
      <c r="H209" s="2" t="s">
        <v>117</v>
      </c>
      <c r="I209" s="4">
        <v>256779413430</v>
      </c>
      <c r="K209" s="4">
        <v>256779412161</v>
      </c>
      <c r="L209" s="7">
        <v>0</v>
      </c>
      <c r="M209" s="7">
        <v>34962</v>
      </c>
    </row>
    <row r="210" spans="1:13" x14ac:dyDescent="0.35">
      <c r="A210" s="2" t="s">
        <v>118</v>
      </c>
      <c r="B210" s="6">
        <v>0</v>
      </c>
      <c r="C210" s="6">
        <v>333696</v>
      </c>
      <c r="D210" s="2" t="s">
        <v>15</v>
      </c>
      <c r="E210" s="2" t="s">
        <v>15</v>
      </c>
      <c r="F210" s="2" t="s">
        <v>119</v>
      </c>
      <c r="G210" s="2" t="s">
        <v>36</v>
      </c>
      <c r="H210" s="2" t="s">
        <v>119</v>
      </c>
      <c r="I210" s="4">
        <v>256779413899</v>
      </c>
      <c r="K210" s="4">
        <v>256779412461</v>
      </c>
      <c r="L210" s="7">
        <v>0</v>
      </c>
      <c r="M210" s="7">
        <v>10809</v>
      </c>
    </row>
    <row r="211" spans="1:13" x14ac:dyDescent="0.35">
      <c r="A211" s="2" t="s">
        <v>120</v>
      </c>
      <c r="B211" s="6">
        <v>177773</v>
      </c>
      <c r="C211" s="6">
        <v>0</v>
      </c>
      <c r="D211" s="2" t="s">
        <v>121</v>
      </c>
      <c r="E211" s="2" t="s">
        <v>122</v>
      </c>
      <c r="F211" s="2" t="s">
        <v>123</v>
      </c>
      <c r="G211" s="2" t="s">
        <v>124</v>
      </c>
      <c r="H211" s="2"/>
      <c r="I211" s="4"/>
      <c r="K211" s="4">
        <v>256779412468</v>
      </c>
      <c r="L211" s="7">
        <v>0</v>
      </c>
      <c r="M211" s="7">
        <v>14119</v>
      </c>
    </row>
    <row r="212" spans="1:13" x14ac:dyDescent="0.35">
      <c r="A212" s="2" t="s">
        <v>125</v>
      </c>
      <c r="B212" s="6">
        <v>0</v>
      </c>
      <c r="C212" s="6">
        <v>9844</v>
      </c>
      <c r="D212" s="2" t="s">
        <v>15</v>
      </c>
      <c r="E212" s="2" t="s">
        <v>15</v>
      </c>
      <c r="F212" s="2" t="s">
        <v>126</v>
      </c>
      <c r="G212" s="2" t="s">
        <v>21</v>
      </c>
      <c r="H212" s="2" t="s">
        <v>126</v>
      </c>
      <c r="I212" s="4">
        <v>256779414165</v>
      </c>
      <c r="K212" s="4">
        <v>256779412613</v>
      </c>
      <c r="L212" s="7">
        <v>0</v>
      </c>
      <c r="M212" s="7">
        <v>3922</v>
      </c>
    </row>
    <row r="213" spans="1:13" x14ac:dyDescent="0.35">
      <c r="A213" s="2" t="s">
        <v>125</v>
      </c>
      <c r="B213" s="6">
        <v>0</v>
      </c>
      <c r="C213" s="6">
        <v>8407</v>
      </c>
      <c r="D213" s="2" t="s">
        <v>15</v>
      </c>
      <c r="E213" s="2" t="s">
        <v>15</v>
      </c>
      <c r="F213" s="2" t="s">
        <v>127</v>
      </c>
      <c r="G213" s="2" t="s">
        <v>21</v>
      </c>
      <c r="H213" s="2" t="s">
        <v>127</v>
      </c>
      <c r="I213" s="4">
        <v>256779414216</v>
      </c>
      <c r="K213" s="4">
        <v>256779412655</v>
      </c>
      <c r="L213" s="7">
        <v>0</v>
      </c>
      <c r="M213" s="7">
        <v>2085</v>
      </c>
    </row>
    <row r="214" spans="1:13" x14ac:dyDescent="0.35">
      <c r="A214" s="2" t="s">
        <v>125</v>
      </c>
      <c r="B214" s="6">
        <v>500946.52</v>
      </c>
      <c r="C214" s="6">
        <v>0</v>
      </c>
      <c r="D214" s="2" t="s">
        <v>121</v>
      </c>
      <c r="E214" s="2" t="s">
        <v>122</v>
      </c>
      <c r="F214" s="2" t="s">
        <v>128</v>
      </c>
      <c r="G214" s="2" t="s">
        <v>124</v>
      </c>
      <c r="H214" s="2" t="s">
        <v>129</v>
      </c>
      <c r="I214" s="4"/>
      <c r="K214" s="4">
        <v>256779412675</v>
      </c>
      <c r="L214" s="7">
        <v>0</v>
      </c>
      <c r="M214" s="7">
        <v>1447</v>
      </c>
    </row>
    <row r="215" spans="1:13" x14ac:dyDescent="0.35">
      <c r="A215" s="2" t="s">
        <v>125</v>
      </c>
      <c r="B215" s="6">
        <v>0</v>
      </c>
      <c r="C215" s="6">
        <v>17313</v>
      </c>
      <c r="D215" s="2" t="s">
        <v>15</v>
      </c>
      <c r="E215" s="2" t="s">
        <v>15</v>
      </c>
      <c r="F215" s="2" t="s">
        <v>130</v>
      </c>
      <c r="G215" s="2" t="s">
        <v>80</v>
      </c>
      <c r="H215" s="2" t="s">
        <v>130</v>
      </c>
      <c r="I215" s="4">
        <v>256779414288</v>
      </c>
      <c r="K215" s="4">
        <v>256779412683</v>
      </c>
      <c r="L215" s="7">
        <v>0</v>
      </c>
      <c r="M215" s="7">
        <v>43195</v>
      </c>
    </row>
    <row r="216" spans="1:13" x14ac:dyDescent="0.35">
      <c r="A216" s="2" t="s">
        <v>125</v>
      </c>
      <c r="B216" s="6">
        <v>0</v>
      </c>
      <c r="C216" s="6">
        <v>41769</v>
      </c>
      <c r="D216" s="2" t="s">
        <v>15</v>
      </c>
      <c r="E216" s="2" t="s">
        <v>15</v>
      </c>
      <c r="F216" s="2" t="s">
        <v>131</v>
      </c>
      <c r="G216" s="2" t="s">
        <v>132</v>
      </c>
      <c r="H216" s="2" t="s">
        <v>131</v>
      </c>
      <c r="I216" s="4">
        <v>256779414158</v>
      </c>
      <c r="K216" s="4">
        <v>256779412692</v>
      </c>
      <c r="L216" s="7">
        <v>0</v>
      </c>
      <c r="M216" s="7">
        <v>6084</v>
      </c>
    </row>
    <row r="217" spans="1:13" x14ac:dyDescent="0.35">
      <c r="A217" s="2" t="s">
        <v>133</v>
      </c>
      <c r="B217" s="6">
        <v>0</v>
      </c>
      <c r="C217" s="6">
        <v>352792</v>
      </c>
      <c r="D217" s="2" t="s">
        <v>15</v>
      </c>
      <c r="E217" s="2" t="s">
        <v>15</v>
      </c>
      <c r="F217" s="2" t="s">
        <v>134</v>
      </c>
      <c r="G217" s="2" t="s">
        <v>36</v>
      </c>
      <c r="H217" s="2" t="s">
        <v>134</v>
      </c>
      <c r="I217" s="4">
        <v>256779414242</v>
      </c>
      <c r="K217" s="4">
        <v>256779412777</v>
      </c>
      <c r="L217" s="7">
        <v>0</v>
      </c>
      <c r="M217" s="7">
        <v>7981</v>
      </c>
    </row>
    <row r="218" spans="1:13" x14ac:dyDescent="0.35">
      <c r="A218" s="2" t="s">
        <v>135</v>
      </c>
      <c r="B218" s="6">
        <v>0</v>
      </c>
      <c r="C218" s="6">
        <v>35431</v>
      </c>
      <c r="D218" s="2" t="s">
        <v>15</v>
      </c>
      <c r="E218" s="2" t="s">
        <v>15</v>
      </c>
      <c r="F218" s="2" t="s">
        <v>136</v>
      </c>
      <c r="G218" s="2" t="s">
        <v>43</v>
      </c>
      <c r="H218" s="2" t="s">
        <v>136</v>
      </c>
      <c r="I218" s="4">
        <v>256779414386</v>
      </c>
      <c r="K218" s="4">
        <v>256779412926</v>
      </c>
      <c r="L218" s="7">
        <v>0</v>
      </c>
      <c r="M218" s="7">
        <v>1878</v>
      </c>
    </row>
    <row r="219" spans="1:13" x14ac:dyDescent="0.35">
      <c r="A219" s="2" t="s">
        <v>137</v>
      </c>
      <c r="B219" s="6">
        <v>700000</v>
      </c>
      <c r="C219" s="6">
        <v>0</v>
      </c>
      <c r="D219" s="2" t="s">
        <v>121</v>
      </c>
      <c r="E219" s="2" t="s">
        <v>122</v>
      </c>
      <c r="F219" s="2" t="s">
        <v>138</v>
      </c>
      <c r="G219" s="2" t="s">
        <v>124</v>
      </c>
      <c r="H219" s="2"/>
      <c r="I219" s="4"/>
      <c r="K219" s="4">
        <v>256779412941</v>
      </c>
      <c r="L219" s="7">
        <v>0</v>
      </c>
      <c r="M219" s="7">
        <v>27408</v>
      </c>
    </row>
    <row r="220" spans="1:13" x14ac:dyDescent="0.35">
      <c r="A220" s="2" t="s">
        <v>139</v>
      </c>
      <c r="B220" s="6">
        <v>700000</v>
      </c>
      <c r="C220" s="6">
        <v>0</v>
      </c>
      <c r="D220" s="2" t="s">
        <v>121</v>
      </c>
      <c r="E220" s="2" t="s">
        <v>122</v>
      </c>
      <c r="F220" s="2" t="s">
        <v>140</v>
      </c>
      <c r="G220" s="2" t="s">
        <v>124</v>
      </c>
      <c r="H220" s="2"/>
      <c r="I220" s="4"/>
      <c r="K220" s="4">
        <v>256779412950</v>
      </c>
      <c r="L220" s="7">
        <v>0</v>
      </c>
      <c r="M220" s="7">
        <v>13211</v>
      </c>
    </row>
    <row r="221" spans="1:13" x14ac:dyDescent="0.35">
      <c r="A221" s="2" t="s">
        <v>141</v>
      </c>
      <c r="B221" s="6">
        <v>700000</v>
      </c>
      <c r="C221" s="6">
        <v>0</v>
      </c>
      <c r="D221" s="2" t="s">
        <v>121</v>
      </c>
      <c r="E221" s="2" t="s">
        <v>122</v>
      </c>
      <c r="F221" s="2" t="s">
        <v>142</v>
      </c>
      <c r="G221" s="2" t="s">
        <v>124</v>
      </c>
      <c r="H221" s="2"/>
      <c r="I221" s="4"/>
      <c r="K221" s="4">
        <v>256779413127</v>
      </c>
      <c r="L221" s="7">
        <v>0</v>
      </c>
      <c r="M221" s="7">
        <v>35097</v>
      </c>
    </row>
    <row r="222" spans="1:13" x14ac:dyDescent="0.35">
      <c r="A222" s="2" t="s">
        <v>143</v>
      </c>
      <c r="B222" s="6">
        <v>700000</v>
      </c>
      <c r="C222" s="6">
        <v>0</v>
      </c>
      <c r="D222" s="2" t="s">
        <v>121</v>
      </c>
      <c r="E222" s="2" t="s">
        <v>122</v>
      </c>
      <c r="F222" s="2" t="s">
        <v>144</v>
      </c>
      <c r="G222" s="2" t="s">
        <v>124</v>
      </c>
      <c r="H222" s="2"/>
      <c r="I222" s="4"/>
      <c r="K222" s="4">
        <v>256779413163</v>
      </c>
      <c r="L222" s="7">
        <v>0</v>
      </c>
      <c r="M222" s="7">
        <v>15927</v>
      </c>
    </row>
    <row r="223" spans="1:13" x14ac:dyDescent="0.35">
      <c r="A223" s="2" t="s">
        <v>145</v>
      </c>
      <c r="B223" s="6">
        <v>700000</v>
      </c>
      <c r="C223" s="6">
        <v>0</v>
      </c>
      <c r="D223" s="2" t="s">
        <v>121</v>
      </c>
      <c r="E223" s="2" t="s">
        <v>122</v>
      </c>
      <c r="F223" s="2" t="s">
        <v>146</v>
      </c>
      <c r="G223" s="2" t="s">
        <v>124</v>
      </c>
      <c r="H223" s="2"/>
      <c r="I223" s="4"/>
      <c r="K223" s="4">
        <v>256779413172</v>
      </c>
      <c r="L223" s="7">
        <v>0</v>
      </c>
      <c r="M223" s="7">
        <v>11810</v>
      </c>
    </row>
    <row r="224" spans="1:13" x14ac:dyDescent="0.35">
      <c r="A224" s="2" t="s">
        <v>104</v>
      </c>
      <c r="B224" s="6">
        <v>0</v>
      </c>
      <c r="C224" s="6">
        <v>11797</v>
      </c>
      <c r="D224" s="2" t="s">
        <v>15</v>
      </c>
      <c r="E224" s="2" t="s">
        <v>15</v>
      </c>
      <c r="F224" s="2" t="s">
        <v>106</v>
      </c>
      <c r="G224" s="2" t="s">
        <v>107</v>
      </c>
      <c r="H224" s="2" t="s">
        <v>106</v>
      </c>
      <c r="I224" s="4">
        <v>256779413283</v>
      </c>
      <c r="K224" s="4">
        <v>256779413184</v>
      </c>
      <c r="L224" s="7">
        <v>0</v>
      </c>
      <c r="M224" s="7">
        <v>11723.0177</v>
      </c>
    </row>
    <row r="225" spans="1:13" x14ac:dyDescent="0.35">
      <c r="A225" s="2" t="s">
        <v>148</v>
      </c>
      <c r="B225" s="6">
        <v>11798</v>
      </c>
      <c r="C225" s="6">
        <v>0</v>
      </c>
      <c r="D225" s="2" t="s">
        <v>15</v>
      </c>
      <c r="E225" s="2" t="s">
        <v>149</v>
      </c>
      <c r="F225" s="2" t="s">
        <v>157</v>
      </c>
      <c r="G225" s="2" t="s">
        <v>107</v>
      </c>
      <c r="H225" s="2" t="s">
        <v>106</v>
      </c>
      <c r="I225" s="4">
        <v>256779413283</v>
      </c>
      <c r="K225" s="4">
        <v>256779413243</v>
      </c>
      <c r="L225" s="7">
        <v>0</v>
      </c>
      <c r="M225" s="7">
        <v>3623</v>
      </c>
    </row>
    <row r="226" spans="1:13" x14ac:dyDescent="0.35">
      <c r="A226" s="2" t="s">
        <v>92</v>
      </c>
      <c r="B226" s="6">
        <v>0</v>
      </c>
      <c r="C226" s="6">
        <v>6084</v>
      </c>
      <c r="D226" s="2" t="s">
        <v>15</v>
      </c>
      <c r="E226" s="2" t="s">
        <v>15</v>
      </c>
      <c r="F226" s="2" t="s">
        <v>96</v>
      </c>
      <c r="G226" s="2" t="s">
        <v>80</v>
      </c>
      <c r="H226" s="2" t="s">
        <v>96</v>
      </c>
      <c r="I226" s="4">
        <v>256779412692</v>
      </c>
      <c r="K226" s="4">
        <v>256779413283</v>
      </c>
      <c r="L226" s="7">
        <v>11798</v>
      </c>
      <c r="M226" s="7">
        <v>11797</v>
      </c>
    </row>
    <row r="227" spans="1:13" x14ac:dyDescent="0.35">
      <c r="A227" s="2" t="s">
        <v>72</v>
      </c>
      <c r="B227" s="6">
        <v>0</v>
      </c>
      <c r="C227" s="6">
        <v>12169</v>
      </c>
      <c r="D227" s="2" t="s">
        <v>15</v>
      </c>
      <c r="E227" s="2" t="s">
        <v>15</v>
      </c>
      <c r="F227" s="2" t="s">
        <v>79</v>
      </c>
      <c r="G227" s="2" t="s">
        <v>80</v>
      </c>
      <c r="H227" s="2" t="s">
        <v>79</v>
      </c>
      <c r="I227" s="4">
        <v>256779411917</v>
      </c>
      <c r="K227" s="4">
        <v>256779413357</v>
      </c>
      <c r="L227" s="7">
        <v>0</v>
      </c>
      <c r="M227" s="7">
        <v>1264</v>
      </c>
    </row>
    <row r="228" spans="1:13" x14ac:dyDescent="0.35">
      <c r="A228" s="2" t="s">
        <v>47</v>
      </c>
      <c r="B228" s="6">
        <v>0</v>
      </c>
      <c r="C228" s="6">
        <v>114223</v>
      </c>
      <c r="D228" s="2" t="s">
        <v>15</v>
      </c>
      <c r="E228" s="2" t="s">
        <v>15</v>
      </c>
      <c r="F228" s="2" t="s">
        <v>59</v>
      </c>
      <c r="G228" s="2" t="s">
        <v>36</v>
      </c>
      <c r="H228" s="2" t="s">
        <v>59</v>
      </c>
      <c r="I228" s="4">
        <v>256779410220</v>
      </c>
      <c r="K228" s="4">
        <v>256779413404</v>
      </c>
      <c r="L228" s="7">
        <v>0</v>
      </c>
      <c r="M228" s="7">
        <v>7129</v>
      </c>
    </row>
    <row r="229" spans="1:13" x14ac:dyDescent="0.35">
      <c r="A229" s="2" t="s">
        <v>47</v>
      </c>
      <c r="B229" s="6">
        <v>0</v>
      </c>
      <c r="C229" s="6">
        <v>140649</v>
      </c>
      <c r="D229" s="2" t="s">
        <v>15</v>
      </c>
      <c r="E229" s="2" t="s">
        <v>15</v>
      </c>
      <c r="F229" s="2" t="s">
        <v>57</v>
      </c>
      <c r="G229" s="2" t="s">
        <v>36</v>
      </c>
      <c r="H229" s="2" t="s">
        <v>57</v>
      </c>
      <c r="I229" s="4">
        <v>256779410010</v>
      </c>
      <c r="K229" s="4">
        <v>256779413405</v>
      </c>
      <c r="L229" s="7">
        <v>0</v>
      </c>
      <c r="M229" s="7">
        <v>3960</v>
      </c>
    </row>
    <row r="230" spans="1:13" x14ac:dyDescent="0.35">
      <c r="A230" s="2" t="s">
        <v>148</v>
      </c>
      <c r="B230" s="6">
        <v>140649</v>
      </c>
      <c r="C230" s="6">
        <v>0</v>
      </c>
      <c r="D230" s="2" t="s">
        <v>15</v>
      </c>
      <c r="E230" s="2" t="s">
        <v>149</v>
      </c>
      <c r="F230" s="2" t="s">
        <v>160</v>
      </c>
      <c r="G230" s="2" t="s">
        <v>36</v>
      </c>
      <c r="H230" s="2" t="s">
        <v>57</v>
      </c>
      <c r="I230" s="4">
        <v>256779410010</v>
      </c>
      <c r="K230" s="4">
        <v>256779413427</v>
      </c>
      <c r="L230" s="7">
        <v>0</v>
      </c>
      <c r="M230" s="7">
        <v>990</v>
      </c>
    </row>
    <row r="231" spans="1:13" x14ac:dyDescent="0.35">
      <c r="A231" s="2" t="s">
        <v>47</v>
      </c>
      <c r="B231" s="6">
        <v>0</v>
      </c>
      <c r="C231" s="6">
        <v>55272</v>
      </c>
      <c r="D231" s="2" t="s">
        <v>15</v>
      </c>
      <c r="E231" s="2" t="s">
        <v>15</v>
      </c>
      <c r="F231" s="2" t="s">
        <v>58</v>
      </c>
      <c r="G231" s="2" t="s">
        <v>36</v>
      </c>
      <c r="H231" s="2" t="s">
        <v>58</v>
      </c>
      <c r="I231" s="4">
        <v>256779410004</v>
      </c>
      <c r="K231" s="4">
        <v>256779413428</v>
      </c>
      <c r="L231" s="7">
        <v>0</v>
      </c>
      <c r="M231" s="7">
        <v>990</v>
      </c>
    </row>
    <row r="232" spans="1:13" x14ac:dyDescent="0.35">
      <c r="A232" s="2" t="s">
        <v>148</v>
      </c>
      <c r="B232" s="6">
        <v>55272</v>
      </c>
      <c r="C232" s="6">
        <v>0</v>
      </c>
      <c r="D232" s="2" t="s">
        <v>15</v>
      </c>
      <c r="E232" s="2" t="s">
        <v>149</v>
      </c>
      <c r="F232" s="2" t="s">
        <v>161</v>
      </c>
      <c r="G232" s="2" t="s">
        <v>36</v>
      </c>
      <c r="H232" s="2" t="s">
        <v>58</v>
      </c>
      <c r="I232" s="4">
        <v>256779410004</v>
      </c>
      <c r="K232" s="4">
        <v>256779413429</v>
      </c>
      <c r="L232" s="7">
        <v>0</v>
      </c>
      <c r="M232" s="7">
        <v>601</v>
      </c>
    </row>
    <row r="233" spans="1:13" x14ac:dyDescent="0.35">
      <c r="A233" s="2" t="s">
        <v>148</v>
      </c>
      <c r="B233" s="6">
        <v>4786</v>
      </c>
      <c r="C233" s="6">
        <v>0</v>
      </c>
      <c r="D233" s="2" t="s">
        <v>15</v>
      </c>
      <c r="E233" s="2" t="s">
        <v>149</v>
      </c>
      <c r="F233" s="2" t="s">
        <v>162</v>
      </c>
      <c r="G233" s="2" t="s">
        <v>36</v>
      </c>
      <c r="H233" s="2" t="s">
        <v>162</v>
      </c>
      <c r="I233" s="4">
        <v>256779421381</v>
      </c>
      <c r="K233" s="4">
        <v>256779413430</v>
      </c>
      <c r="L233" s="7">
        <v>0</v>
      </c>
      <c r="M233" s="7">
        <v>1201</v>
      </c>
    </row>
    <row r="234" spans="1:13" s="42" customFormat="1" x14ac:dyDescent="0.35">
      <c r="A234" s="2" t="s">
        <v>13</v>
      </c>
      <c r="B234" s="6">
        <v>0</v>
      </c>
      <c r="C234" s="6">
        <v>45188</v>
      </c>
      <c r="D234" s="2" t="s">
        <v>15</v>
      </c>
      <c r="E234" s="2" t="s">
        <v>15</v>
      </c>
      <c r="F234" s="2" t="s">
        <v>38</v>
      </c>
      <c r="G234" s="2" t="s">
        <v>39</v>
      </c>
      <c r="H234" s="2" t="s">
        <v>38</v>
      </c>
      <c r="I234" s="4">
        <v>246779413845</v>
      </c>
      <c r="K234" s="4">
        <v>256779413486</v>
      </c>
      <c r="L234" s="7">
        <v>0</v>
      </c>
      <c r="M234" s="7">
        <v>1054</v>
      </c>
    </row>
    <row r="235" spans="1:13" x14ac:dyDescent="0.35">
      <c r="A235" s="2" t="s">
        <v>148</v>
      </c>
      <c r="B235" s="6">
        <v>11955</v>
      </c>
      <c r="C235" s="6">
        <v>0</v>
      </c>
      <c r="D235" s="2" t="s">
        <v>15</v>
      </c>
      <c r="E235" s="2" t="s">
        <v>149</v>
      </c>
      <c r="F235" s="2" t="s">
        <v>163</v>
      </c>
      <c r="G235" s="2" t="s">
        <v>39</v>
      </c>
      <c r="H235" s="2" t="s">
        <v>38</v>
      </c>
      <c r="I235" s="4">
        <v>246779413845</v>
      </c>
      <c r="K235" s="4">
        <v>256779413837</v>
      </c>
      <c r="L235" s="7">
        <v>0</v>
      </c>
      <c r="M235" s="7">
        <v>12177</v>
      </c>
    </row>
    <row r="236" spans="1:13" x14ac:dyDescent="0.35">
      <c r="A236" s="2" t="s">
        <v>148</v>
      </c>
      <c r="B236" s="6">
        <v>12467</v>
      </c>
      <c r="C236" s="6">
        <v>0</v>
      </c>
      <c r="D236" s="2" t="s">
        <v>15</v>
      </c>
      <c r="E236" s="2" t="s">
        <v>149</v>
      </c>
      <c r="F236" s="2" t="s">
        <v>165</v>
      </c>
      <c r="G236" s="2" t="s">
        <v>36</v>
      </c>
      <c r="H236" s="2" t="s">
        <v>165</v>
      </c>
      <c r="I236" s="4">
        <v>256779421383</v>
      </c>
      <c r="K236" s="4">
        <v>256779413899</v>
      </c>
      <c r="L236" s="7">
        <v>0</v>
      </c>
      <c r="M236" s="7">
        <v>333696</v>
      </c>
    </row>
    <row r="237" spans="1:13" x14ac:dyDescent="0.35">
      <c r="A237" s="2" t="s">
        <v>148</v>
      </c>
      <c r="B237" s="6">
        <v>6084</v>
      </c>
      <c r="C237" s="6">
        <v>0</v>
      </c>
      <c r="D237" s="2" t="s">
        <v>15</v>
      </c>
      <c r="E237" s="2" t="s">
        <v>149</v>
      </c>
      <c r="F237" s="2" t="s">
        <v>166</v>
      </c>
      <c r="G237" s="2" t="s">
        <v>80</v>
      </c>
      <c r="H237" s="2" t="s">
        <v>166</v>
      </c>
      <c r="I237" s="4">
        <v>256779421376</v>
      </c>
      <c r="K237" s="4">
        <v>256779414158</v>
      </c>
      <c r="L237" s="7">
        <v>0</v>
      </c>
      <c r="M237" s="7">
        <v>41769</v>
      </c>
    </row>
    <row r="238" spans="1:13" x14ac:dyDescent="0.35">
      <c r="A238" s="2" t="s">
        <v>148</v>
      </c>
      <c r="B238" s="6">
        <v>12169</v>
      </c>
      <c r="C238" s="6">
        <v>0</v>
      </c>
      <c r="D238" s="2" t="s">
        <v>15</v>
      </c>
      <c r="E238" s="2" t="s">
        <v>149</v>
      </c>
      <c r="F238" s="2" t="s">
        <v>167</v>
      </c>
      <c r="G238" s="2" t="s">
        <v>80</v>
      </c>
      <c r="H238" s="2" t="s">
        <v>167</v>
      </c>
      <c r="I238" s="4">
        <v>256779421370</v>
      </c>
      <c r="K238" s="4">
        <v>256779414165</v>
      </c>
      <c r="L238" s="7">
        <v>0</v>
      </c>
      <c r="M238" s="7">
        <v>9844</v>
      </c>
    </row>
    <row r="239" spans="1:13" x14ac:dyDescent="0.35">
      <c r="A239" s="2" t="s">
        <v>148</v>
      </c>
      <c r="B239" s="6">
        <v>114223</v>
      </c>
      <c r="C239" s="6">
        <v>0</v>
      </c>
      <c r="D239" s="2" t="s">
        <v>15</v>
      </c>
      <c r="E239" s="2" t="s">
        <v>149</v>
      </c>
      <c r="F239" s="2" t="s">
        <v>168</v>
      </c>
      <c r="G239" s="2" t="s">
        <v>36</v>
      </c>
      <c r="H239" s="2" t="s">
        <v>168</v>
      </c>
      <c r="I239" s="4">
        <v>256779421367</v>
      </c>
      <c r="K239" s="4">
        <v>256779414216</v>
      </c>
      <c r="L239" s="7">
        <v>0</v>
      </c>
      <c r="M239" s="7">
        <v>8407</v>
      </c>
    </row>
    <row r="240" spans="1:13" x14ac:dyDescent="0.35">
      <c r="A240" s="1" t="s">
        <v>494</v>
      </c>
      <c r="B240" s="7">
        <v>0</v>
      </c>
      <c r="C240" s="7">
        <v>31723</v>
      </c>
      <c r="D240" s="1" t="s">
        <v>15</v>
      </c>
      <c r="E240" s="1" t="s">
        <v>15</v>
      </c>
      <c r="F240" s="1" t="s">
        <v>154</v>
      </c>
      <c r="G240" s="1" t="s">
        <v>107</v>
      </c>
      <c r="H240" s="1" t="s">
        <v>154</v>
      </c>
      <c r="I240" s="4">
        <v>246779413827</v>
      </c>
      <c r="K240" s="4">
        <v>256779414242</v>
      </c>
      <c r="L240" s="7">
        <v>0</v>
      </c>
      <c r="M240" s="7">
        <v>352792</v>
      </c>
    </row>
    <row r="241" spans="1:13" x14ac:dyDescent="0.35">
      <c r="A241" s="2" t="s">
        <v>148</v>
      </c>
      <c r="B241" s="6">
        <v>31577</v>
      </c>
      <c r="C241" s="6">
        <v>0</v>
      </c>
      <c r="D241" s="2" t="s">
        <v>15</v>
      </c>
      <c r="E241" s="2" t="s">
        <v>149</v>
      </c>
      <c r="F241" s="2" t="s">
        <v>170</v>
      </c>
      <c r="G241" s="2" t="s">
        <v>36</v>
      </c>
      <c r="H241" s="2" t="s">
        <v>170</v>
      </c>
      <c r="I241" s="4">
        <v>256779421361</v>
      </c>
      <c r="K241" s="4">
        <v>256779414288</v>
      </c>
      <c r="L241" s="7">
        <v>0</v>
      </c>
      <c r="M241" s="7">
        <v>17313</v>
      </c>
    </row>
    <row r="242" spans="1:13" x14ac:dyDescent="0.35">
      <c r="A242" s="2" t="s">
        <v>148</v>
      </c>
      <c r="B242" s="6">
        <v>17313</v>
      </c>
      <c r="C242" s="6">
        <v>330</v>
      </c>
      <c r="D242" s="2" t="s">
        <v>15</v>
      </c>
      <c r="E242" s="2" t="s">
        <v>171</v>
      </c>
      <c r="F242" s="2" t="s">
        <v>172</v>
      </c>
      <c r="G242" s="2" t="s">
        <v>80</v>
      </c>
      <c r="H242" s="2" t="s">
        <v>173</v>
      </c>
      <c r="I242" s="4">
        <v>256779421379</v>
      </c>
      <c r="J242" s="9"/>
      <c r="K242" s="4">
        <v>256779414340</v>
      </c>
      <c r="L242" s="7">
        <v>0</v>
      </c>
      <c r="M242" s="7">
        <v>45061.335200000001</v>
      </c>
    </row>
    <row r="243" spans="1:13" x14ac:dyDescent="0.35">
      <c r="A243" s="2" t="s">
        <v>148</v>
      </c>
      <c r="B243" s="6">
        <v>8696</v>
      </c>
      <c r="C243" s="6">
        <v>173</v>
      </c>
      <c r="D243" s="2" t="s">
        <v>15</v>
      </c>
      <c r="E243" s="2" t="s">
        <v>171</v>
      </c>
      <c r="F243" s="2" t="s">
        <v>174</v>
      </c>
      <c r="G243" s="2" t="s">
        <v>107</v>
      </c>
      <c r="H243" s="2" t="s">
        <v>175</v>
      </c>
      <c r="I243" s="4">
        <v>256779421373</v>
      </c>
      <c r="J243" s="9"/>
      <c r="K243" s="4">
        <v>256779414386</v>
      </c>
      <c r="L243" s="7">
        <v>0</v>
      </c>
      <c r="M243" s="7">
        <v>35431</v>
      </c>
    </row>
    <row r="244" spans="1:13" x14ac:dyDescent="0.35">
      <c r="A244" s="2" t="s">
        <v>176</v>
      </c>
      <c r="B244" s="6">
        <v>700000</v>
      </c>
      <c r="C244" s="6">
        <v>0</v>
      </c>
      <c r="D244" s="2" t="s">
        <v>121</v>
      </c>
      <c r="E244" s="2" t="s">
        <v>122</v>
      </c>
      <c r="F244" s="2" t="s">
        <v>177</v>
      </c>
      <c r="G244" s="2" t="s">
        <v>124</v>
      </c>
      <c r="H244" s="2"/>
      <c r="I244" s="4"/>
      <c r="K244" s="4">
        <v>256779414743</v>
      </c>
      <c r="L244" s="7">
        <v>0</v>
      </c>
      <c r="M244" s="7">
        <v>6064.0230000000001</v>
      </c>
    </row>
    <row r="245" spans="1:13" x14ac:dyDescent="0.35">
      <c r="A245" s="2" t="s">
        <v>178</v>
      </c>
      <c r="B245" s="6">
        <v>0</v>
      </c>
      <c r="C245" s="6">
        <v>9368</v>
      </c>
      <c r="D245" s="2" t="s">
        <v>15</v>
      </c>
      <c r="E245" s="2" t="s">
        <v>15</v>
      </c>
      <c r="F245" s="2" t="s">
        <v>179</v>
      </c>
      <c r="G245" s="2" t="s">
        <v>31</v>
      </c>
      <c r="H245" s="2" t="s">
        <v>179</v>
      </c>
      <c r="I245" s="4">
        <v>256779415945</v>
      </c>
      <c r="K245" s="4">
        <v>256779414748</v>
      </c>
      <c r="L245" s="7">
        <v>0</v>
      </c>
      <c r="M245" s="7">
        <v>1800.3510000000001</v>
      </c>
    </row>
    <row r="246" spans="1:13" x14ac:dyDescent="0.35">
      <c r="A246" s="2" t="s">
        <v>180</v>
      </c>
      <c r="B246" s="6">
        <v>350672</v>
      </c>
      <c r="C246" s="6">
        <v>0</v>
      </c>
      <c r="D246" s="2" t="s">
        <v>121</v>
      </c>
      <c r="E246" s="2" t="s">
        <v>122</v>
      </c>
      <c r="F246" s="2" t="s">
        <v>181</v>
      </c>
      <c r="G246" s="2" t="s">
        <v>124</v>
      </c>
      <c r="H246" s="2"/>
      <c r="I246" s="4"/>
      <c r="K246" s="4">
        <v>256779414758</v>
      </c>
      <c r="L246" s="7">
        <v>0</v>
      </c>
      <c r="M246" s="7">
        <v>14610.374299999999</v>
      </c>
    </row>
    <row r="247" spans="1:13" x14ac:dyDescent="0.35">
      <c r="A247" s="2" t="s">
        <v>180</v>
      </c>
      <c r="B247" s="6">
        <v>0</v>
      </c>
      <c r="C247" s="6">
        <v>32007</v>
      </c>
      <c r="D247" s="2" t="s">
        <v>15</v>
      </c>
      <c r="E247" s="2" t="s">
        <v>15</v>
      </c>
      <c r="F247" s="2" t="s">
        <v>182</v>
      </c>
      <c r="G247" s="2" t="s">
        <v>36</v>
      </c>
      <c r="H247" s="2" t="s">
        <v>182</v>
      </c>
      <c r="I247" s="4">
        <v>256779415967</v>
      </c>
      <c r="K247" s="4">
        <v>256779414768</v>
      </c>
      <c r="L247" s="7">
        <v>0</v>
      </c>
      <c r="M247" s="7">
        <v>1492.1116</v>
      </c>
    </row>
    <row r="248" spans="1:13" x14ac:dyDescent="0.35">
      <c r="A248" s="2" t="s">
        <v>180</v>
      </c>
      <c r="B248" s="6">
        <v>0</v>
      </c>
      <c r="C248" s="6">
        <v>9348</v>
      </c>
      <c r="D248" s="2" t="s">
        <v>15</v>
      </c>
      <c r="E248" s="2" t="s">
        <v>15</v>
      </c>
      <c r="F248" s="2" t="s">
        <v>183</v>
      </c>
      <c r="G248" s="2" t="s">
        <v>36</v>
      </c>
      <c r="H248" s="2" t="s">
        <v>183</v>
      </c>
      <c r="I248" s="4">
        <v>256779415970</v>
      </c>
      <c r="K248" s="4">
        <v>256779414829</v>
      </c>
      <c r="L248" s="7">
        <v>0</v>
      </c>
      <c r="M248" s="7">
        <v>8595.7669999999998</v>
      </c>
    </row>
    <row r="249" spans="1:13" x14ac:dyDescent="0.35">
      <c r="A249" s="2" t="s">
        <v>180</v>
      </c>
      <c r="B249" s="6">
        <v>0</v>
      </c>
      <c r="C249" s="6">
        <v>196</v>
      </c>
      <c r="D249" s="2" t="s">
        <v>15</v>
      </c>
      <c r="E249" s="2" t="s">
        <v>15</v>
      </c>
      <c r="F249" s="2" t="s">
        <v>184</v>
      </c>
      <c r="G249" s="2" t="s">
        <v>17</v>
      </c>
      <c r="H249" s="2" t="s">
        <v>184</v>
      </c>
      <c r="I249" s="4">
        <v>256779415995</v>
      </c>
      <c r="K249" s="4">
        <v>256779414878</v>
      </c>
      <c r="L249" s="7">
        <v>0</v>
      </c>
      <c r="M249" s="7">
        <v>2642.8006</v>
      </c>
    </row>
    <row r="250" spans="1:13" x14ac:dyDescent="0.35">
      <c r="A250" s="2" t="s">
        <v>148</v>
      </c>
      <c r="B250" s="6">
        <v>31723</v>
      </c>
      <c r="C250" s="6">
        <v>0</v>
      </c>
      <c r="D250" s="2" t="s">
        <v>15</v>
      </c>
      <c r="E250" s="2" t="s">
        <v>149</v>
      </c>
      <c r="F250" s="2" t="s">
        <v>153</v>
      </c>
      <c r="G250" s="2" t="s">
        <v>107</v>
      </c>
      <c r="H250" s="2" t="s">
        <v>154</v>
      </c>
      <c r="I250" s="4">
        <v>246779413827</v>
      </c>
      <c r="K250" s="4">
        <v>256779414890</v>
      </c>
      <c r="L250" s="7">
        <v>0</v>
      </c>
      <c r="M250" s="7">
        <v>91401.512100000007</v>
      </c>
    </row>
    <row r="251" spans="1:13" x14ac:dyDescent="0.35">
      <c r="A251" s="2" t="s">
        <v>185</v>
      </c>
      <c r="B251" s="6">
        <v>15778</v>
      </c>
      <c r="C251" s="6">
        <v>0</v>
      </c>
      <c r="D251" s="2" t="s">
        <v>15</v>
      </c>
      <c r="E251" s="2" t="s">
        <v>149</v>
      </c>
      <c r="F251" s="2" t="s">
        <v>188</v>
      </c>
      <c r="G251" s="2" t="s">
        <v>36</v>
      </c>
      <c r="H251" s="2" t="s">
        <v>188</v>
      </c>
      <c r="I251" s="4" t="s">
        <v>189</v>
      </c>
      <c r="K251" s="4">
        <v>256779414944</v>
      </c>
      <c r="L251" s="7">
        <v>0</v>
      </c>
      <c r="M251" s="7">
        <v>35324.775199999996</v>
      </c>
    </row>
    <row r="252" spans="1:13" s="42" customFormat="1" x14ac:dyDescent="0.35">
      <c r="A252" s="1" t="s">
        <v>494</v>
      </c>
      <c r="B252" s="7">
        <v>0</v>
      </c>
      <c r="C252" s="7">
        <v>18610</v>
      </c>
      <c r="D252" s="1" t="s">
        <v>15</v>
      </c>
      <c r="E252" s="1" t="s">
        <v>15</v>
      </c>
      <c r="F252" s="1" t="s">
        <v>152</v>
      </c>
      <c r="G252" s="1" t="s">
        <v>107</v>
      </c>
      <c r="H252" s="1" t="s">
        <v>152</v>
      </c>
      <c r="I252" s="4">
        <v>246779413816</v>
      </c>
      <c r="K252" s="4">
        <v>256779414968</v>
      </c>
      <c r="L252" s="7">
        <v>0</v>
      </c>
      <c r="M252" s="7">
        <v>2629.9005000000002</v>
      </c>
    </row>
    <row r="253" spans="1:13" x14ac:dyDescent="0.35">
      <c r="A253" s="2" t="s">
        <v>185</v>
      </c>
      <c r="B253" s="6">
        <v>36410</v>
      </c>
      <c r="C253" s="6">
        <v>0</v>
      </c>
      <c r="D253" s="2" t="s">
        <v>15</v>
      </c>
      <c r="E253" s="2" t="s">
        <v>149</v>
      </c>
      <c r="F253" s="2" t="s">
        <v>191</v>
      </c>
      <c r="G253" s="2" t="s">
        <v>107</v>
      </c>
      <c r="H253" s="2" t="s">
        <v>191</v>
      </c>
      <c r="I253" s="4" t="s">
        <v>192</v>
      </c>
      <c r="K253" s="4">
        <v>256779414975</v>
      </c>
      <c r="L253" s="7">
        <v>0</v>
      </c>
      <c r="M253" s="7">
        <v>4562.3355000000001</v>
      </c>
    </row>
    <row r="254" spans="1:13" x14ac:dyDescent="0.35">
      <c r="A254" s="2" t="s">
        <v>185</v>
      </c>
      <c r="B254" s="6">
        <v>15401</v>
      </c>
      <c r="C254" s="6">
        <v>0</v>
      </c>
      <c r="D254" s="2" t="s">
        <v>15</v>
      </c>
      <c r="E254" s="2" t="s">
        <v>149</v>
      </c>
      <c r="F254" s="2" t="s">
        <v>193</v>
      </c>
      <c r="G254" s="2" t="s">
        <v>43</v>
      </c>
      <c r="H254" s="2" t="s">
        <v>193</v>
      </c>
      <c r="I254" s="4" t="s">
        <v>194</v>
      </c>
      <c r="K254" s="4">
        <v>256779415048</v>
      </c>
      <c r="L254" s="7">
        <v>0</v>
      </c>
      <c r="M254" s="7">
        <v>552.98429999999996</v>
      </c>
    </row>
    <row r="255" spans="1:13" x14ac:dyDescent="0.35">
      <c r="A255" s="2" t="s">
        <v>148</v>
      </c>
      <c r="B255" s="6">
        <v>18611</v>
      </c>
      <c r="C255" s="6">
        <v>0</v>
      </c>
      <c r="D255" s="2" t="s">
        <v>15</v>
      </c>
      <c r="E255" s="2" t="s">
        <v>149</v>
      </c>
      <c r="F255" s="2" t="s">
        <v>151</v>
      </c>
      <c r="G255" s="2" t="s">
        <v>107</v>
      </c>
      <c r="H255" s="2" t="s">
        <v>152</v>
      </c>
      <c r="I255" s="4">
        <v>246779413816</v>
      </c>
      <c r="K255" s="4">
        <v>256779415198</v>
      </c>
      <c r="L255" s="7">
        <v>0</v>
      </c>
      <c r="M255" s="7">
        <v>257812.80850000001</v>
      </c>
    </row>
    <row r="256" spans="1:13" x14ac:dyDescent="0.35">
      <c r="A256" s="2" t="s">
        <v>196</v>
      </c>
      <c r="B256" s="6">
        <v>0</v>
      </c>
      <c r="C256" s="6">
        <v>9124</v>
      </c>
      <c r="D256" s="2" t="s">
        <v>15</v>
      </c>
      <c r="E256" s="2" t="s">
        <v>15</v>
      </c>
      <c r="F256" s="2" t="s">
        <v>197</v>
      </c>
      <c r="G256" s="2" t="s">
        <v>21</v>
      </c>
      <c r="H256" s="2" t="s">
        <v>197</v>
      </c>
      <c r="I256" s="4">
        <v>256779416223</v>
      </c>
      <c r="K256" s="4">
        <v>256779415263</v>
      </c>
      <c r="L256" s="7">
        <v>0</v>
      </c>
      <c r="M256" s="7">
        <v>201.24160000000001</v>
      </c>
    </row>
    <row r="257" spans="1:13" x14ac:dyDescent="0.35">
      <c r="A257" s="2" t="s">
        <v>196</v>
      </c>
      <c r="B257" s="6">
        <v>0</v>
      </c>
      <c r="C257" s="6">
        <v>4755</v>
      </c>
      <c r="D257" s="2" t="s">
        <v>15</v>
      </c>
      <c r="E257" s="2" t="s">
        <v>15</v>
      </c>
      <c r="F257" s="2" t="s">
        <v>198</v>
      </c>
      <c r="G257" s="2" t="s">
        <v>21</v>
      </c>
      <c r="H257" s="2" t="s">
        <v>198</v>
      </c>
      <c r="I257" s="4">
        <v>256779416256</v>
      </c>
      <c r="K257" s="4">
        <v>256779415444</v>
      </c>
      <c r="L257" s="7">
        <v>0</v>
      </c>
      <c r="M257" s="7">
        <v>8342.0650000000005</v>
      </c>
    </row>
    <row r="258" spans="1:13" x14ac:dyDescent="0.35">
      <c r="A258" s="2" t="s">
        <v>196</v>
      </c>
      <c r="B258" s="6">
        <v>0</v>
      </c>
      <c r="C258" s="6">
        <v>462828</v>
      </c>
      <c r="D258" s="2" t="s">
        <v>15</v>
      </c>
      <c r="E258" s="2" t="s">
        <v>15</v>
      </c>
      <c r="F258" s="2" t="s">
        <v>199</v>
      </c>
      <c r="G258" s="2" t="s">
        <v>200</v>
      </c>
      <c r="H258" s="2" t="s">
        <v>199</v>
      </c>
      <c r="I258" s="4">
        <v>256779416088</v>
      </c>
      <c r="K258" s="4">
        <v>256779415456</v>
      </c>
      <c r="L258" s="7">
        <v>0</v>
      </c>
      <c r="M258" s="7">
        <v>13522.7454</v>
      </c>
    </row>
    <row r="259" spans="1:13" x14ac:dyDescent="0.35">
      <c r="A259" s="2" t="s">
        <v>201</v>
      </c>
      <c r="B259" s="6">
        <v>0</v>
      </c>
      <c r="C259" s="6">
        <v>4790</v>
      </c>
      <c r="D259" s="2" t="s">
        <v>15</v>
      </c>
      <c r="E259" s="2" t="s">
        <v>15</v>
      </c>
      <c r="F259" s="2" t="s">
        <v>202</v>
      </c>
      <c r="G259" s="2" t="s">
        <v>90</v>
      </c>
      <c r="H259" s="2" t="s">
        <v>202</v>
      </c>
      <c r="I259" s="4">
        <v>256779416615</v>
      </c>
      <c r="K259" s="4">
        <v>256779415771</v>
      </c>
      <c r="L259" s="7">
        <v>0</v>
      </c>
      <c r="M259" s="7">
        <v>2559.3798999999999</v>
      </c>
    </row>
    <row r="260" spans="1:13" x14ac:dyDescent="0.35">
      <c r="A260" s="2" t="s">
        <v>201</v>
      </c>
      <c r="B260" s="6">
        <v>0</v>
      </c>
      <c r="C260" s="6">
        <v>6981</v>
      </c>
      <c r="D260" s="2" t="s">
        <v>15</v>
      </c>
      <c r="E260" s="2" t="s">
        <v>15</v>
      </c>
      <c r="F260" s="2" t="s">
        <v>203</v>
      </c>
      <c r="G260" s="2" t="s">
        <v>17</v>
      </c>
      <c r="H260" s="2" t="s">
        <v>203</v>
      </c>
      <c r="I260" s="4">
        <v>256779416809</v>
      </c>
      <c r="K260" s="4">
        <v>256779415801</v>
      </c>
      <c r="L260" s="7">
        <v>0</v>
      </c>
      <c r="M260" s="7">
        <v>148540.3572</v>
      </c>
    </row>
    <row r="261" spans="1:13" x14ac:dyDescent="0.35">
      <c r="A261" s="2" t="s">
        <v>201</v>
      </c>
      <c r="B261" s="6">
        <v>0</v>
      </c>
      <c r="C261" s="6">
        <v>971</v>
      </c>
      <c r="D261" s="2" t="s">
        <v>15</v>
      </c>
      <c r="E261" s="2" t="s">
        <v>15</v>
      </c>
      <c r="F261" s="2" t="s">
        <v>204</v>
      </c>
      <c r="G261" s="2" t="s">
        <v>205</v>
      </c>
      <c r="H261" s="2" t="s">
        <v>204</v>
      </c>
      <c r="I261" s="4">
        <v>256779416878</v>
      </c>
      <c r="K261" s="4">
        <v>256779415939</v>
      </c>
      <c r="L261" s="7">
        <v>0</v>
      </c>
      <c r="M261" s="7">
        <v>11782.0918</v>
      </c>
    </row>
    <row r="262" spans="1:13" x14ac:dyDescent="0.35">
      <c r="A262" s="2" t="s">
        <v>201</v>
      </c>
      <c r="B262" s="6">
        <v>0</v>
      </c>
      <c r="C262" s="6">
        <v>11922</v>
      </c>
      <c r="D262" s="2" t="s">
        <v>15</v>
      </c>
      <c r="E262" s="2" t="s">
        <v>15</v>
      </c>
      <c r="F262" s="2" t="s">
        <v>206</v>
      </c>
      <c r="G262" s="2" t="s">
        <v>207</v>
      </c>
      <c r="H262" s="2" t="s">
        <v>206</v>
      </c>
      <c r="I262" s="4">
        <v>256779416844</v>
      </c>
      <c r="K262" s="4">
        <v>256779415945</v>
      </c>
      <c r="L262" s="7">
        <v>0</v>
      </c>
      <c r="M262" s="7">
        <v>9368</v>
      </c>
    </row>
    <row r="263" spans="1:13" x14ac:dyDescent="0.35">
      <c r="A263" s="2" t="s">
        <v>201</v>
      </c>
      <c r="B263" s="6">
        <v>0</v>
      </c>
      <c r="C263" s="6">
        <v>1463</v>
      </c>
      <c r="D263" s="2" t="s">
        <v>15</v>
      </c>
      <c r="E263" s="2" t="s">
        <v>15</v>
      </c>
      <c r="F263" s="2" t="s">
        <v>208</v>
      </c>
      <c r="G263" s="2" t="s">
        <v>209</v>
      </c>
      <c r="H263" s="2" t="s">
        <v>208</v>
      </c>
      <c r="I263" s="4">
        <v>256779416603</v>
      </c>
      <c r="K263" s="4">
        <v>256779415967</v>
      </c>
      <c r="L263" s="7">
        <v>0</v>
      </c>
      <c r="M263" s="7">
        <v>32007</v>
      </c>
    </row>
    <row r="264" spans="1:13" s="42" customFormat="1" x14ac:dyDescent="0.35">
      <c r="A264" s="2" t="s">
        <v>148</v>
      </c>
      <c r="B264" s="6">
        <v>0</v>
      </c>
      <c r="C264" s="6">
        <v>163631</v>
      </c>
      <c r="D264" s="2" t="s">
        <v>15</v>
      </c>
      <c r="E264" s="2" t="s">
        <v>15</v>
      </c>
      <c r="F264" s="2" t="s">
        <v>164</v>
      </c>
      <c r="G264" s="2" t="s">
        <v>36</v>
      </c>
      <c r="H264" s="2" t="s">
        <v>164</v>
      </c>
      <c r="I264" s="4">
        <v>246779413796</v>
      </c>
      <c r="J264" s="43"/>
      <c r="K264" s="4">
        <v>256779415970</v>
      </c>
      <c r="L264" s="7">
        <v>0</v>
      </c>
      <c r="M264" s="7">
        <v>9348</v>
      </c>
    </row>
    <row r="265" spans="1:13" x14ac:dyDescent="0.35">
      <c r="A265" s="2" t="s">
        <v>13</v>
      </c>
      <c r="B265" s="6">
        <v>0</v>
      </c>
      <c r="C265" s="6">
        <v>19429</v>
      </c>
      <c r="D265" s="2" t="s">
        <v>15</v>
      </c>
      <c r="E265" s="2" t="s">
        <v>15</v>
      </c>
      <c r="F265" s="2" t="s">
        <v>40</v>
      </c>
      <c r="G265" s="2" t="s">
        <v>36</v>
      </c>
      <c r="H265" s="2" t="s">
        <v>40</v>
      </c>
      <c r="I265" s="4">
        <v>246779413705</v>
      </c>
      <c r="J265" s="9"/>
      <c r="K265" s="4">
        <v>256779415995</v>
      </c>
      <c r="L265" s="7">
        <v>0</v>
      </c>
      <c r="M265" s="7">
        <v>196</v>
      </c>
    </row>
    <row r="266" spans="1:13" x14ac:dyDescent="0.35">
      <c r="A266" s="2" t="s">
        <v>148</v>
      </c>
      <c r="B266" s="6">
        <v>19430</v>
      </c>
      <c r="C266" s="6">
        <v>0</v>
      </c>
      <c r="D266" s="2" t="s">
        <v>15</v>
      </c>
      <c r="E266" s="2" t="s">
        <v>149</v>
      </c>
      <c r="F266" s="2" t="s">
        <v>150</v>
      </c>
      <c r="G266" s="2" t="s">
        <v>36</v>
      </c>
      <c r="H266" s="2" t="s">
        <v>40</v>
      </c>
      <c r="I266" s="4">
        <v>246779413705</v>
      </c>
      <c r="J266" s="9"/>
      <c r="K266" s="4">
        <v>256779416054</v>
      </c>
      <c r="L266" s="7">
        <v>0</v>
      </c>
      <c r="M266" s="7">
        <v>35336.871800000001</v>
      </c>
    </row>
    <row r="267" spans="1:13" x14ac:dyDescent="0.35">
      <c r="A267" s="2" t="s">
        <v>148</v>
      </c>
      <c r="B267" s="6">
        <v>0</v>
      </c>
      <c r="C267" s="6">
        <v>31577</v>
      </c>
      <c r="D267" s="2" t="s">
        <v>15</v>
      </c>
      <c r="E267" s="2" t="s">
        <v>15</v>
      </c>
      <c r="F267" s="2" t="s">
        <v>169</v>
      </c>
      <c r="G267" s="2" t="s">
        <v>36</v>
      </c>
      <c r="H267" s="2" t="s">
        <v>169</v>
      </c>
      <c r="I267" s="4">
        <v>246779413702</v>
      </c>
      <c r="J267" s="9"/>
      <c r="K267" s="4">
        <v>256779416088</v>
      </c>
      <c r="L267" s="7">
        <v>0</v>
      </c>
      <c r="M267" s="7">
        <v>462828</v>
      </c>
    </row>
    <row r="268" spans="1:13" x14ac:dyDescent="0.35">
      <c r="A268" s="2" t="s">
        <v>185</v>
      </c>
      <c r="B268" s="6">
        <v>0</v>
      </c>
      <c r="C268" s="6">
        <v>18367</v>
      </c>
      <c r="D268" s="2" t="s">
        <v>15</v>
      </c>
      <c r="E268" s="2" t="s">
        <v>15</v>
      </c>
      <c r="F268" s="2" t="s">
        <v>195</v>
      </c>
      <c r="G268" s="2" t="s">
        <v>43</v>
      </c>
      <c r="H268" s="2" t="s">
        <v>195</v>
      </c>
      <c r="I268" s="4">
        <v>246779413701</v>
      </c>
      <c r="J268" s="9"/>
      <c r="K268" s="4">
        <v>256779416178</v>
      </c>
      <c r="L268" s="7">
        <v>1351</v>
      </c>
      <c r="M268" s="7">
        <v>67557</v>
      </c>
    </row>
    <row r="269" spans="1:13" x14ac:dyDescent="0.35">
      <c r="A269" s="1" t="s">
        <v>494</v>
      </c>
      <c r="B269" s="7">
        <v>0</v>
      </c>
      <c r="C269" s="7">
        <v>17857</v>
      </c>
      <c r="D269" s="1" t="s">
        <v>15</v>
      </c>
      <c r="E269" s="1" t="s">
        <v>15</v>
      </c>
      <c r="F269" s="1" t="s">
        <v>156</v>
      </c>
      <c r="G269" s="1" t="s">
        <v>107</v>
      </c>
      <c r="H269" s="1" t="s">
        <v>156</v>
      </c>
      <c r="I269" s="4">
        <v>246779411339</v>
      </c>
      <c r="J269" s="9"/>
      <c r="K269" s="4">
        <v>256779416223</v>
      </c>
      <c r="L269" s="7">
        <v>0</v>
      </c>
      <c r="M269" s="7">
        <v>9124</v>
      </c>
    </row>
    <row r="270" spans="1:13" s="42" customFormat="1" x14ac:dyDescent="0.35">
      <c r="A270" s="2" t="s">
        <v>148</v>
      </c>
      <c r="B270" s="6">
        <v>17857</v>
      </c>
      <c r="C270" s="6">
        <v>0</v>
      </c>
      <c r="D270" s="2" t="s">
        <v>15</v>
      </c>
      <c r="E270" s="2" t="s">
        <v>149</v>
      </c>
      <c r="F270" s="2" t="s">
        <v>155</v>
      </c>
      <c r="G270" s="2" t="s">
        <v>107</v>
      </c>
      <c r="H270" s="2" t="s">
        <v>156</v>
      </c>
      <c r="I270" s="4">
        <v>246779411339</v>
      </c>
      <c r="J270" s="43"/>
      <c r="K270" s="4">
        <v>256779416256</v>
      </c>
      <c r="L270" s="7">
        <v>0</v>
      </c>
      <c r="M270" s="7">
        <v>4755</v>
      </c>
    </row>
    <row r="271" spans="1:13" x14ac:dyDescent="0.35">
      <c r="A271" s="1" t="s">
        <v>494</v>
      </c>
      <c r="B271" s="7">
        <v>0</v>
      </c>
      <c r="C271" s="7">
        <v>20874</v>
      </c>
      <c r="D271" s="1" t="s">
        <v>15</v>
      </c>
      <c r="E271" s="1" t="s">
        <v>15</v>
      </c>
      <c r="F271" s="1" t="s">
        <v>159</v>
      </c>
      <c r="G271" s="1" t="s">
        <v>107</v>
      </c>
      <c r="H271" s="1" t="s">
        <v>159</v>
      </c>
      <c r="I271" s="4">
        <v>246779411326</v>
      </c>
      <c r="J271" s="9"/>
      <c r="K271" s="4">
        <v>256779416444</v>
      </c>
      <c r="L271" s="7">
        <v>0</v>
      </c>
      <c r="M271" s="7">
        <v>9260.2821000000004</v>
      </c>
    </row>
    <row r="272" spans="1:13" x14ac:dyDescent="0.35">
      <c r="A272" s="2" t="s">
        <v>148</v>
      </c>
      <c r="B272" s="6">
        <v>20874</v>
      </c>
      <c r="C272" s="6">
        <v>0</v>
      </c>
      <c r="D272" s="2" t="s">
        <v>15</v>
      </c>
      <c r="E272" s="2" t="s">
        <v>149</v>
      </c>
      <c r="F272" s="2" t="s">
        <v>158</v>
      </c>
      <c r="G272" s="2" t="s">
        <v>107</v>
      </c>
      <c r="H272" s="2" t="s">
        <v>159</v>
      </c>
      <c r="I272" s="4">
        <v>246779411326</v>
      </c>
      <c r="J272" s="9"/>
      <c r="K272" s="4">
        <v>256779416538</v>
      </c>
      <c r="L272" s="7">
        <v>0</v>
      </c>
      <c r="M272" s="7">
        <v>27395.431400000001</v>
      </c>
    </row>
    <row r="273" spans="1:13" x14ac:dyDescent="0.35">
      <c r="A273" s="2" t="s">
        <v>230</v>
      </c>
      <c r="B273" s="6">
        <v>500000</v>
      </c>
      <c r="C273" s="6">
        <v>0</v>
      </c>
      <c r="D273" s="2" t="s">
        <v>121</v>
      </c>
      <c r="E273" s="2" t="s">
        <v>122</v>
      </c>
      <c r="F273" s="2" t="s">
        <v>231</v>
      </c>
      <c r="G273" s="2" t="s">
        <v>124</v>
      </c>
      <c r="H273" s="2" t="s">
        <v>232</v>
      </c>
      <c r="I273" s="4"/>
      <c r="K273" s="4">
        <v>256779416544</v>
      </c>
      <c r="L273" s="7">
        <v>0</v>
      </c>
      <c r="M273" s="7">
        <v>23117.1535</v>
      </c>
    </row>
    <row r="274" spans="1:13" x14ac:dyDescent="0.35">
      <c r="A274" s="2" t="s">
        <v>233</v>
      </c>
      <c r="B274" s="6">
        <v>108564</v>
      </c>
      <c r="C274" s="6">
        <v>0</v>
      </c>
      <c r="D274" s="2" t="s">
        <v>121</v>
      </c>
      <c r="E274" s="2" t="s">
        <v>122</v>
      </c>
      <c r="F274" s="2" t="s">
        <v>234</v>
      </c>
      <c r="G274" s="2" t="s">
        <v>124</v>
      </c>
      <c r="H274" s="2" t="s">
        <v>235</v>
      </c>
      <c r="I274" s="4"/>
      <c r="K274" s="4">
        <v>256779416546</v>
      </c>
      <c r="L274" s="7">
        <v>0</v>
      </c>
      <c r="M274" s="7">
        <v>21929.077600000001</v>
      </c>
    </row>
    <row r="275" spans="1:13" x14ac:dyDescent="0.35">
      <c r="A275" s="2" t="s">
        <v>236</v>
      </c>
      <c r="B275" s="6">
        <v>500000</v>
      </c>
      <c r="C275" s="6">
        <v>0</v>
      </c>
      <c r="D275" s="2" t="s">
        <v>121</v>
      </c>
      <c r="E275" s="2" t="s">
        <v>122</v>
      </c>
      <c r="F275" s="2" t="s">
        <v>237</v>
      </c>
      <c r="G275" s="2" t="s">
        <v>124</v>
      </c>
      <c r="H275" s="2"/>
      <c r="I275" s="4"/>
      <c r="K275" s="4">
        <v>256779416603</v>
      </c>
      <c r="L275" s="7">
        <v>0</v>
      </c>
      <c r="M275" s="7">
        <v>1463</v>
      </c>
    </row>
    <row r="276" spans="1:13" x14ac:dyDescent="0.35">
      <c r="A276" s="2" t="s">
        <v>238</v>
      </c>
      <c r="B276" s="6">
        <v>300000</v>
      </c>
      <c r="C276" s="6">
        <v>0</v>
      </c>
      <c r="D276" s="2" t="s">
        <v>121</v>
      </c>
      <c r="E276" s="2" t="s">
        <v>122</v>
      </c>
      <c r="F276" s="2" t="s">
        <v>239</v>
      </c>
      <c r="G276" s="2" t="s">
        <v>124</v>
      </c>
      <c r="H276" s="2"/>
      <c r="I276" s="4"/>
      <c r="K276" s="4">
        <v>256779416615</v>
      </c>
      <c r="L276" s="7">
        <v>0</v>
      </c>
      <c r="M276" s="7">
        <v>4790</v>
      </c>
    </row>
    <row r="277" spans="1:13" x14ac:dyDescent="0.35">
      <c r="A277" s="2" t="s">
        <v>240</v>
      </c>
      <c r="B277" s="6">
        <v>500000</v>
      </c>
      <c r="C277" s="6">
        <v>0</v>
      </c>
      <c r="D277" s="2" t="s">
        <v>121</v>
      </c>
      <c r="E277" s="2" t="s">
        <v>122</v>
      </c>
      <c r="F277" s="2" t="s">
        <v>241</v>
      </c>
      <c r="G277" s="2" t="s">
        <v>124</v>
      </c>
      <c r="H277" s="2"/>
      <c r="I277" s="4"/>
      <c r="K277" s="4">
        <v>256779416809</v>
      </c>
      <c r="L277" s="7">
        <v>0</v>
      </c>
      <c r="M277" s="7">
        <v>6981</v>
      </c>
    </row>
    <row r="278" spans="1:13" x14ac:dyDescent="0.35">
      <c r="A278" s="2" t="s">
        <v>242</v>
      </c>
      <c r="B278" s="6">
        <v>0</v>
      </c>
      <c r="C278" s="6">
        <v>16480.710999999999</v>
      </c>
      <c r="D278" s="2" t="s">
        <v>15</v>
      </c>
      <c r="E278" s="2" t="s">
        <v>15</v>
      </c>
      <c r="F278" s="2" t="s">
        <v>243</v>
      </c>
      <c r="G278" s="2" t="s">
        <v>36</v>
      </c>
      <c r="H278" s="2" t="s">
        <v>243</v>
      </c>
      <c r="I278" s="4">
        <v>246779410327</v>
      </c>
      <c r="K278" s="4">
        <v>256779416844</v>
      </c>
      <c r="L278" s="7">
        <v>0</v>
      </c>
      <c r="M278" s="7">
        <v>11922</v>
      </c>
    </row>
    <row r="279" spans="1:13" x14ac:dyDescent="0.35">
      <c r="A279" s="2" t="s">
        <v>242</v>
      </c>
      <c r="B279" s="6">
        <v>0</v>
      </c>
      <c r="C279" s="6">
        <v>29975.441999999999</v>
      </c>
      <c r="D279" s="2" t="s">
        <v>15</v>
      </c>
      <c r="E279" s="2" t="s">
        <v>15</v>
      </c>
      <c r="F279" s="2" t="s">
        <v>244</v>
      </c>
      <c r="G279" s="2" t="s">
        <v>36</v>
      </c>
      <c r="H279" s="2" t="s">
        <v>244</v>
      </c>
      <c r="I279" s="4">
        <v>246779410333</v>
      </c>
      <c r="K279" s="4">
        <v>256779416878</v>
      </c>
      <c r="L279" s="7">
        <v>0</v>
      </c>
      <c r="M279" s="7">
        <v>971</v>
      </c>
    </row>
    <row r="280" spans="1:13" x14ac:dyDescent="0.35">
      <c r="A280" s="2" t="s">
        <v>242</v>
      </c>
      <c r="B280" s="6">
        <v>0</v>
      </c>
      <c r="C280" s="6">
        <v>144772.565</v>
      </c>
      <c r="D280" s="2" t="s">
        <v>15</v>
      </c>
      <c r="E280" s="2" t="s">
        <v>15</v>
      </c>
      <c r="F280" s="2" t="s">
        <v>245</v>
      </c>
      <c r="G280" s="2" t="s">
        <v>36</v>
      </c>
      <c r="H280" s="2" t="s">
        <v>245</v>
      </c>
      <c r="I280" s="4">
        <v>246779410340</v>
      </c>
      <c r="K280" s="4">
        <v>256779416911</v>
      </c>
      <c r="L280" s="7">
        <v>0</v>
      </c>
      <c r="M280" s="7">
        <v>3487.4461000000001</v>
      </c>
    </row>
    <row r="281" spans="1:13" x14ac:dyDescent="0.35">
      <c r="A281" s="2" t="s">
        <v>242</v>
      </c>
      <c r="B281" s="6">
        <v>0</v>
      </c>
      <c r="C281" s="6">
        <v>102103.25599999999</v>
      </c>
      <c r="D281" s="2" t="s">
        <v>15</v>
      </c>
      <c r="E281" s="2" t="s">
        <v>15</v>
      </c>
      <c r="F281" s="2" t="s">
        <v>246</v>
      </c>
      <c r="G281" s="2" t="s">
        <v>36</v>
      </c>
      <c r="H281" s="2" t="s">
        <v>246</v>
      </c>
      <c r="I281" s="4">
        <v>246779410352</v>
      </c>
      <c r="K281" s="4">
        <v>256779416948</v>
      </c>
      <c r="L281" s="7">
        <v>0</v>
      </c>
      <c r="M281" s="7">
        <v>1233.9521</v>
      </c>
    </row>
    <row r="282" spans="1:13" x14ac:dyDescent="0.35">
      <c r="A282" s="2" t="s">
        <v>242</v>
      </c>
      <c r="B282" s="6">
        <v>0</v>
      </c>
      <c r="C282" s="6">
        <v>13859.78</v>
      </c>
      <c r="D282" s="2" t="s">
        <v>15</v>
      </c>
      <c r="E282" s="2" t="s">
        <v>15</v>
      </c>
      <c r="F282" s="2" t="s">
        <v>247</v>
      </c>
      <c r="G282" s="2" t="s">
        <v>36</v>
      </c>
      <c r="H282" s="2" t="s">
        <v>247</v>
      </c>
      <c r="I282" s="4">
        <v>246779410338</v>
      </c>
      <c r="K282" s="4">
        <v>256779417084</v>
      </c>
      <c r="L282" s="7">
        <v>0</v>
      </c>
      <c r="M282" s="7">
        <v>695663.66119999997</v>
      </c>
    </row>
    <row r="283" spans="1:13" x14ac:dyDescent="0.35">
      <c r="A283" s="2" t="s">
        <v>242</v>
      </c>
      <c r="B283" s="6">
        <v>0</v>
      </c>
      <c r="C283" s="6">
        <v>44681.824999999997</v>
      </c>
      <c r="D283" s="2" t="s">
        <v>15</v>
      </c>
      <c r="E283" s="2" t="s">
        <v>15</v>
      </c>
      <c r="F283" s="2" t="s">
        <v>248</v>
      </c>
      <c r="G283" s="2" t="s">
        <v>36</v>
      </c>
      <c r="H283" s="2" t="s">
        <v>248</v>
      </c>
      <c r="I283" s="4">
        <v>246779410339</v>
      </c>
      <c r="K283" s="4">
        <v>256779417160</v>
      </c>
      <c r="L283" s="7">
        <v>0</v>
      </c>
      <c r="M283" s="7">
        <v>1247.0791999999999</v>
      </c>
    </row>
    <row r="284" spans="1:13" x14ac:dyDescent="0.35">
      <c r="A284" s="2" t="s">
        <v>242</v>
      </c>
      <c r="B284" s="6">
        <v>500000</v>
      </c>
      <c r="C284" s="6">
        <v>0</v>
      </c>
      <c r="D284" s="2" t="s">
        <v>121</v>
      </c>
      <c r="E284" s="2" t="s">
        <v>122</v>
      </c>
      <c r="F284" s="2" t="s">
        <v>249</v>
      </c>
      <c r="G284" s="2" t="s">
        <v>124</v>
      </c>
      <c r="H284" s="2"/>
      <c r="I284" s="4"/>
      <c r="K284" s="4">
        <v>256779417166</v>
      </c>
      <c r="L284" s="7">
        <v>0</v>
      </c>
      <c r="M284" s="7">
        <v>59881.6803</v>
      </c>
    </row>
    <row r="285" spans="1:13" x14ac:dyDescent="0.35">
      <c r="A285" s="2" t="s">
        <v>242</v>
      </c>
      <c r="B285" s="6">
        <v>0</v>
      </c>
      <c r="C285" s="6">
        <v>2053.9</v>
      </c>
      <c r="D285" s="2" t="s">
        <v>15</v>
      </c>
      <c r="E285" s="2" t="s">
        <v>15</v>
      </c>
      <c r="F285" s="2" t="s">
        <v>250</v>
      </c>
      <c r="G285" s="2" t="s">
        <v>31</v>
      </c>
      <c r="H285" s="2" t="s">
        <v>250</v>
      </c>
      <c r="I285" s="4">
        <v>256779411807</v>
      </c>
      <c r="K285" s="4">
        <v>256779417173</v>
      </c>
      <c r="L285" s="7">
        <v>0</v>
      </c>
      <c r="M285" s="7">
        <v>58594.344499999999</v>
      </c>
    </row>
    <row r="286" spans="1:13" x14ac:dyDescent="0.35">
      <c r="A286" s="2" t="s">
        <v>251</v>
      </c>
      <c r="B286" s="6">
        <v>0</v>
      </c>
      <c r="C286" s="6">
        <v>6064.0230000000001</v>
      </c>
      <c r="D286" s="2" t="s">
        <v>15</v>
      </c>
      <c r="E286" s="2" t="s">
        <v>15</v>
      </c>
      <c r="F286" s="2" t="s">
        <v>252</v>
      </c>
      <c r="G286" s="2" t="s">
        <v>17</v>
      </c>
      <c r="H286" s="2" t="s">
        <v>252</v>
      </c>
      <c r="I286" s="4">
        <v>256779414743</v>
      </c>
      <c r="K286" s="4">
        <v>256779417261</v>
      </c>
      <c r="L286" s="7">
        <v>0</v>
      </c>
      <c r="M286" s="7">
        <v>1992.7012</v>
      </c>
    </row>
    <row r="287" spans="1:13" x14ac:dyDescent="0.35">
      <c r="A287" s="2" t="s">
        <v>251</v>
      </c>
      <c r="B287" s="6">
        <v>0</v>
      </c>
      <c r="C287" s="6">
        <v>1800.3510000000001</v>
      </c>
      <c r="D287" s="2" t="s">
        <v>15</v>
      </c>
      <c r="E287" s="2" t="s">
        <v>15</v>
      </c>
      <c r="F287" s="2" t="s">
        <v>253</v>
      </c>
      <c r="G287" s="2" t="s">
        <v>254</v>
      </c>
      <c r="H287" s="2" t="s">
        <v>253</v>
      </c>
      <c r="I287" s="4">
        <v>256779414748</v>
      </c>
      <c r="K287" s="4">
        <v>256779417286</v>
      </c>
      <c r="L287" s="7">
        <v>0</v>
      </c>
      <c r="M287" s="7">
        <v>90131.008499999996</v>
      </c>
    </row>
    <row r="288" spans="1:13" x14ac:dyDescent="0.35">
      <c r="A288" s="2" t="s">
        <v>251</v>
      </c>
      <c r="B288" s="6">
        <v>0</v>
      </c>
      <c r="C288" s="6">
        <v>14610.374299999999</v>
      </c>
      <c r="D288" s="2" t="s">
        <v>15</v>
      </c>
      <c r="E288" s="2" t="s">
        <v>15</v>
      </c>
      <c r="F288" s="2" t="s">
        <v>255</v>
      </c>
      <c r="G288" s="2" t="s">
        <v>21</v>
      </c>
      <c r="H288" s="2" t="s">
        <v>255</v>
      </c>
      <c r="I288" s="4">
        <v>256779414758</v>
      </c>
      <c r="K288" s="4">
        <v>256779417324</v>
      </c>
      <c r="L288" s="7">
        <v>0</v>
      </c>
      <c r="M288" s="7">
        <v>4231.3179</v>
      </c>
    </row>
    <row r="289" spans="1:13" x14ac:dyDescent="0.35">
      <c r="A289" s="2" t="s">
        <v>251</v>
      </c>
      <c r="B289" s="6">
        <v>0</v>
      </c>
      <c r="C289" s="6">
        <v>45061.335200000001</v>
      </c>
      <c r="D289" s="2" t="s">
        <v>15</v>
      </c>
      <c r="E289" s="2" t="s">
        <v>15</v>
      </c>
      <c r="F289" s="2" t="s">
        <v>256</v>
      </c>
      <c r="G289" s="2" t="s">
        <v>36</v>
      </c>
      <c r="H289" s="2" t="s">
        <v>256</v>
      </c>
      <c r="I289" s="4">
        <v>256779414340</v>
      </c>
      <c r="K289" s="4">
        <v>256779417373</v>
      </c>
      <c r="L289" s="7">
        <v>0</v>
      </c>
      <c r="M289" s="7">
        <v>33482.010999999999</v>
      </c>
    </row>
    <row r="290" spans="1:13" x14ac:dyDescent="0.35">
      <c r="A290" s="2" t="s">
        <v>251</v>
      </c>
      <c r="B290" s="6">
        <v>0</v>
      </c>
      <c r="C290" s="6">
        <v>11782.0918</v>
      </c>
      <c r="D290" s="2" t="s">
        <v>15</v>
      </c>
      <c r="E290" s="2" t="s">
        <v>15</v>
      </c>
      <c r="F290" s="2" t="s">
        <v>257</v>
      </c>
      <c r="G290" s="2" t="s">
        <v>107</v>
      </c>
      <c r="H290" s="2" t="s">
        <v>257</v>
      </c>
      <c r="I290" s="4">
        <v>256779415939</v>
      </c>
      <c r="K290" s="4">
        <v>256779417410</v>
      </c>
      <c r="L290" s="7">
        <v>0</v>
      </c>
      <c r="M290" s="7">
        <v>29303.298299999999</v>
      </c>
    </row>
    <row r="291" spans="1:13" x14ac:dyDescent="0.35">
      <c r="A291" s="2" t="s">
        <v>251</v>
      </c>
      <c r="B291" s="6">
        <v>0</v>
      </c>
      <c r="C291" s="6">
        <v>2559.3798999999999</v>
      </c>
      <c r="D291" s="2" t="s">
        <v>15</v>
      </c>
      <c r="E291" s="2" t="s">
        <v>15</v>
      </c>
      <c r="F291" s="2" t="s">
        <v>258</v>
      </c>
      <c r="G291" s="2" t="s">
        <v>17</v>
      </c>
      <c r="H291" s="2" t="s">
        <v>258</v>
      </c>
      <c r="I291" s="4">
        <v>256779415771</v>
      </c>
      <c r="K291" s="4">
        <v>256779417442</v>
      </c>
      <c r="L291" s="7">
        <v>0</v>
      </c>
      <c r="M291" s="7">
        <v>545.21420000000001</v>
      </c>
    </row>
    <row r="292" spans="1:13" x14ac:dyDescent="0.35">
      <c r="A292" s="2" t="s">
        <v>251</v>
      </c>
      <c r="B292" s="6">
        <v>0</v>
      </c>
      <c r="C292" s="6">
        <v>148540.3572</v>
      </c>
      <c r="D292" s="2" t="s">
        <v>15</v>
      </c>
      <c r="E292" s="2" t="s">
        <v>15</v>
      </c>
      <c r="F292" s="2" t="s">
        <v>259</v>
      </c>
      <c r="G292" s="2" t="s">
        <v>31</v>
      </c>
      <c r="H292" s="2" t="s">
        <v>259</v>
      </c>
      <c r="I292" s="4">
        <v>256779415801</v>
      </c>
      <c r="K292" s="4">
        <v>256779417489</v>
      </c>
      <c r="L292" s="7">
        <v>0</v>
      </c>
      <c r="M292" s="7">
        <v>42087.391600000003</v>
      </c>
    </row>
    <row r="293" spans="1:13" x14ac:dyDescent="0.35">
      <c r="A293" s="2" t="s">
        <v>251</v>
      </c>
      <c r="B293" s="6">
        <v>0</v>
      </c>
      <c r="C293" s="6">
        <v>13522.7454</v>
      </c>
      <c r="D293" s="2" t="s">
        <v>15</v>
      </c>
      <c r="E293" s="2" t="s">
        <v>15</v>
      </c>
      <c r="F293" s="2" t="s">
        <v>260</v>
      </c>
      <c r="G293" s="2" t="s">
        <v>90</v>
      </c>
      <c r="H293" s="2" t="s">
        <v>260</v>
      </c>
      <c r="I293" s="4">
        <v>256779415456</v>
      </c>
      <c r="K293" s="4">
        <v>256779417525</v>
      </c>
      <c r="L293" s="7">
        <v>0</v>
      </c>
      <c r="M293" s="7">
        <v>26724.251</v>
      </c>
    </row>
    <row r="294" spans="1:13" x14ac:dyDescent="0.35">
      <c r="A294" s="2" t="s">
        <v>251</v>
      </c>
      <c r="B294" s="6">
        <v>0</v>
      </c>
      <c r="C294" s="6">
        <v>8342.0650000000005</v>
      </c>
      <c r="D294" s="2" t="s">
        <v>15</v>
      </c>
      <c r="E294" s="2" t="s">
        <v>15</v>
      </c>
      <c r="F294" s="2" t="s">
        <v>261</v>
      </c>
      <c r="G294" s="2" t="s">
        <v>262</v>
      </c>
      <c r="H294" s="2" t="s">
        <v>261</v>
      </c>
      <c r="I294" s="4">
        <v>256779415444</v>
      </c>
      <c r="K294" s="4">
        <v>256779417566</v>
      </c>
      <c r="L294" s="7">
        <v>0</v>
      </c>
      <c r="M294" s="7">
        <v>6432.3032999999996</v>
      </c>
    </row>
    <row r="295" spans="1:13" x14ac:dyDescent="0.35">
      <c r="A295" s="2" t="s">
        <v>263</v>
      </c>
      <c r="B295" s="6">
        <v>0</v>
      </c>
      <c r="C295" s="6">
        <v>2629.9005000000002</v>
      </c>
      <c r="D295" s="2" t="s">
        <v>15</v>
      </c>
      <c r="E295" s="2" t="s">
        <v>15</v>
      </c>
      <c r="F295" s="2" t="s">
        <v>264</v>
      </c>
      <c r="G295" s="2" t="s">
        <v>265</v>
      </c>
      <c r="H295" s="2" t="s">
        <v>264</v>
      </c>
      <c r="I295" s="4">
        <v>256779414968</v>
      </c>
      <c r="K295" s="4">
        <v>256779417582</v>
      </c>
      <c r="L295" s="7">
        <v>0</v>
      </c>
      <c r="M295" s="7">
        <v>6896.1292000000003</v>
      </c>
    </row>
    <row r="296" spans="1:13" x14ac:dyDescent="0.35">
      <c r="A296" s="2" t="s">
        <v>263</v>
      </c>
      <c r="B296" s="6">
        <v>0</v>
      </c>
      <c r="C296" s="6">
        <v>201.24160000000001</v>
      </c>
      <c r="D296" s="2" t="s">
        <v>15</v>
      </c>
      <c r="E296" s="2" t="s">
        <v>15</v>
      </c>
      <c r="F296" s="2" t="s">
        <v>266</v>
      </c>
      <c r="G296" s="2" t="s">
        <v>17</v>
      </c>
      <c r="H296" s="2" t="s">
        <v>266</v>
      </c>
      <c r="I296" s="4">
        <v>256779415263</v>
      </c>
      <c r="K296" s="4">
        <v>256779417594</v>
      </c>
      <c r="L296" s="7">
        <v>0</v>
      </c>
      <c r="M296" s="7">
        <v>1028.2935</v>
      </c>
    </row>
    <row r="297" spans="1:13" x14ac:dyDescent="0.35">
      <c r="A297" s="2" t="s">
        <v>263</v>
      </c>
      <c r="B297" s="6">
        <v>0</v>
      </c>
      <c r="C297" s="6">
        <v>257812.80850000001</v>
      </c>
      <c r="D297" s="2" t="s">
        <v>15</v>
      </c>
      <c r="E297" s="2" t="s">
        <v>15</v>
      </c>
      <c r="F297" s="2" t="s">
        <v>267</v>
      </c>
      <c r="G297" s="2" t="s">
        <v>268</v>
      </c>
      <c r="H297" s="2" t="s">
        <v>267</v>
      </c>
      <c r="I297" s="4">
        <v>256779415198</v>
      </c>
      <c r="K297" s="4">
        <v>256779417939</v>
      </c>
      <c r="L297" s="7">
        <v>0</v>
      </c>
      <c r="M297" s="7">
        <v>38482.042500000003</v>
      </c>
    </row>
    <row r="298" spans="1:13" x14ac:dyDescent="0.35">
      <c r="A298" s="2" t="s">
        <v>263</v>
      </c>
      <c r="B298" s="6">
        <v>0</v>
      </c>
      <c r="C298" s="6">
        <v>552.98429999999996</v>
      </c>
      <c r="D298" s="2" t="s">
        <v>15</v>
      </c>
      <c r="E298" s="2" t="s">
        <v>15</v>
      </c>
      <c r="F298" s="2" t="s">
        <v>269</v>
      </c>
      <c r="G298" s="2" t="s">
        <v>270</v>
      </c>
      <c r="H298" s="2" t="s">
        <v>269</v>
      </c>
      <c r="I298" s="4">
        <v>256779415048</v>
      </c>
      <c r="K298" s="4">
        <v>256779417978</v>
      </c>
      <c r="L298" s="7">
        <v>1058</v>
      </c>
      <c r="M298" s="7">
        <v>51397.291499999999</v>
      </c>
    </row>
    <row r="299" spans="1:13" x14ac:dyDescent="0.35">
      <c r="A299" s="2" t="s">
        <v>263</v>
      </c>
      <c r="B299" s="6">
        <v>0</v>
      </c>
      <c r="C299" s="6">
        <v>4562.3355000000001</v>
      </c>
      <c r="D299" s="2" t="s">
        <v>15</v>
      </c>
      <c r="E299" s="2" t="s">
        <v>15</v>
      </c>
      <c r="F299" s="2" t="s">
        <v>271</v>
      </c>
      <c r="G299" s="2" t="s">
        <v>21</v>
      </c>
      <c r="H299" s="2" t="s">
        <v>271</v>
      </c>
      <c r="I299" s="4">
        <v>256779414975</v>
      </c>
      <c r="K299" s="4">
        <v>256779418010</v>
      </c>
      <c r="L299" s="7">
        <v>0</v>
      </c>
      <c r="M299" s="7">
        <v>679906.74129999999</v>
      </c>
    </row>
    <row r="300" spans="1:13" x14ac:dyDescent="0.35">
      <c r="A300" s="2" t="s">
        <v>263</v>
      </c>
      <c r="B300" s="6">
        <v>0</v>
      </c>
      <c r="C300" s="6">
        <v>35324.775199999996</v>
      </c>
      <c r="D300" s="2" t="s">
        <v>15</v>
      </c>
      <c r="E300" s="2" t="s">
        <v>15</v>
      </c>
      <c r="F300" s="2" t="s">
        <v>272</v>
      </c>
      <c r="G300" s="2" t="s">
        <v>200</v>
      </c>
      <c r="H300" s="2" t="s">
        <v>272</v>
      </c>
      <c r="I300" s="4">
        <v>256779414944</v>
      </c>
      <c r="K300" s="4">
        <v>256779418036</v>
      </c>
      <c r="L300" s="7">
        <v>0</v>
      </c>
      <c r="M300" s="7">
        <v>36224.358800000002</v>
      </c>
    </row>
    <row r="301" spans="1:13" x14ac:dyDescent="0.35">
      <c r="A301" s="2" t="s">
        <v>263</v>
      </c>
      <c r="B301" s="6">
        <v>0</v>
      </c>
      <c r="C301" s="6">
        <v>91401.512100000007</v>
      </c>
      <c r="D301" s="2" t="s">
        <v>15</v>
      </c>
      <c r="E301" s="2" t="s">
        <v>15</v>
      </c>
      <c r="F301" s="2" t="s">
        <v>273</v>
      </c>
      <c r="G301" s="2" t="s">
        <v>36</v>
      </c>
      <c r="H301" s="2" t="s">
        <v>273</v>
      </c>
      <c r="I301" s="4">
        <v>256779414890</v>
      </c>
      <c r="K301" s="4">
        <v>256779418094</v>
      </c>
      <c r="L301" s="7">
        <v>6791</v>
      </c>
      <c r="M301" s="7">
        <v>68060.655499999993</v>
      </c>
    </row>
    <row r="302" spans="1:13" x14ac:dyDescent="0.35">
      <c r="A302" s="2" t="s">
        <v>263</v>
      </c>
      <c r="B302" s="6">
        <v>0</v>
      </c>
      <c r="C302" s="6">
        <v>2642.8006</v>
      </c>
      <c r="D302" s="2" t="s">
        <v>15</v>
      </c>
      <c r="E302" s="2" t="s">
        <v>15</v>
      </c>
      <c r="F302" s="2" t="s">
        <v>274</v>
      </c>
      <c r="G302" s="2" t="s">
        <v>31</v>
      </c>
      <c r="H302" s="2" t="s">
        <v>274</v>
      </c>
      <c r="I302" s="4">
        <v>256779414878</v>
      </c>
      <c r="K302" s="4">
        <v>256779418103</v>
      </c>
      <c r="L302" s="7">
        <v>980</v>
      </c>
      <c r="M302" s="7">
        <v>47157.936999999998</v>
      </c>
    </row>
    <row r="303" spans="1:13" x14ac:dyDescent="0.35">
      <c r="A303" s="2" t="s">
        <v>263</v>
      </c>
      <c r="B303" s="6">
        <v>0</v>
      </c>
      <c r="C303" s="6">
        <v>8595.7669999999998</v>
      </c>
      <c r="D303" s="2" t="s">
        <v>15</v>
      </c>
      <c r="E303" s="2" t="s">
        <v>15</v>
      </c>
      <c r="F303" s="2" t="s">
        <v>275</v>
      </c>
      <c r="G303" s="2" t="s">
        <v>21</v>
      </c>
      <c r="H303" s="2" t="s">
        <v>275</v>
      </c>
      <c r="I303" s="4">
        <v>256779414829</v>
      </c>
      <c r="K303" s="4">
        <v>256779418168</v>
      </c>
      <c r="L303" s="7">
        <v>88</v>
      </c>
      <c r="M303" s="7">
        <v>6173.1630999999998</v>
      </c>
    </row>
    <row r="304" spans="1:13" x14ac:dyDescent="0.35">
      <c r="A304" s="2" t="s">
        <v>263</v>
      </c>
      <c r="B304" s="6">
        <v>0</v>
      </c>
      <c r="C304" s="6">
        <v>1492.1116</v>
      </c>
      <c r="D304" s="2" t="s">
        <v>15</v>
      </c>
      <c r="E304" s="2" t="s">
        <v>15</v>
      </c>
      <c r="F304" s="2" t="s">
        <v>276</v>
      </c>
      <c r="G304" s="2" t="s">
        <v>277</v>
      </c>
      <c r="H304" s="2" t="s">
        <v>276</v>
      </c>
      <c r="I304" s="4">
        <v>256779414768</v>
      </c>
      <c r="K304" s="4">
        <v>256779418351</v>
      </c>
      <c r="L304" s="7">
        <v>0</v>
      </c>
      <c r="M304" s="7">
        <v>1036.08</v>
      </c>
    </row>
    <row r="305" spans="1:13" x14ac:dyDescent="0.35">
      <c r="A305" s="2" t="s">
        <v>263</v>
      </c>
      <c r="B305" s="6">
        <v>0</v>
      </c>
      <c r="C305" s="6">
        <v>23117.1535</v>
      </c>
      <c r="D305" s="2" t="s">
        <v>15</v>
      </c>
      <c r="E305" s="2" t="s">
        <v>15</v>
      </c>
      <c r="F305" s="2" t="s">
        <v>278</v>
      </c>
      <c r="G305" s="2" t="s">
        <v>279</v>
      </c>
      <c r="H305" s="2" t="s">
        <v>278</v>
      </c>
      <c r="I305" s="4">
        <v>256779416544</v>
      </c>
      <c r="K305" s="4">
        <v>256779418428</v>
      </c>
      <c r="L305" s="7">
        <v>88</v>
      </c>
      <c r="M305" s="7">
        <v>2901.2856000000002</v>
      </c>
    </row>
    <row r="306" spans="1:13" x14ac:dyDescent="0.35">
      <c r="A306" s="2" t="s">
        <v>263</v>
      </c>
      <c r="B306" s="6">
        <v>0</v>
      </c>
      <c r="C306" s="6">
        <v>21929.077600000001</v>
      </c>
      <c r="D306" s="2" t="s">
        <v>15</v>
      </c>
      <c r="E306" s="2" t="s">
        <v>15</v>
      </c>
      <c r="F306" s="2" t="s">
        <v>280</v>
      </c>
      <c r="G306" s="2" t="s">
        <v>279</v>
      </c>
      <c r="H306" s="2" t="s">
        <v>280</v>
      </c>
      <c r="I306" s="4">
        <v>256779416546</v>
      </c>
      <c r="K306" s="4">
        <v>256779418437</v>
      </c>
      <c r="L306" s="7">
        <v>176</v>
      </c>
      <c r="M306" s="7">
        <v>7046.0609999999997</v>
      </c>
    </row>
    <row r="307" spans="1:13" x14ac:dyDescent="0.35">
      <c r="A307" s="2" t="s">
        <v>263</v>
      </c>
      <c r="B307" s="6">
        <v>0</v>
      </c>
      <c r="C307" s="6">
        <v>9260.2821000000004</v>
      </c>
      <c r="D307" s="2" t="s">
        <v>15</v>
      </c>
      <c r="E307" s="2" t="s">
        <v>15</v>
      </c>
      <c r="F307" s="2" t="s">
        <v>281</v>
      </c>
      <c r="G307" s="2" t="s">
        <v>17</v>
      </c>
      <c r="H307" s="2" t="s">
        <v>281</v>
      </c>
      <c r="I307" s="4">
        <v>256779416444</v>
      </c>
      <c r="K307" s="4">
        <v>256779418477</v>
      </c>
      <c r="L307" s="7">
        <v>0</v>
      </c>
      <c r="M307" s="7">
        <v>299.84859999999998</v>
      </c>
    </row>
    <row r="308" spans="1:13" x14ac:dyDescent="0.35">
      <c r="A308" s="2" t="s">
        <v>263</v>
      </c>
      <c r="B308" s="6">
        <v>0</v>
      </c>
      <c r="C308" s="6">
        <v>27395.431400000001</v>
      </c>
      <c r="D308" s="2" t="s">
        <v>15</v>
      </c>
      <c r="E308" s="2" t="s">
        <v>15</v>
      </c>
      <c r="F308" s="2" t="s">
        <v>282</v>
      </c>
      <c r="G308" s="2" t="s">
        <v>36</v>
      </c>
      <c r="H308" s="2" t="s">
        <v>282</v>
      </c>
      <c r="I308" s="4">
        <v>256779416538</v>
      </c>
      <c r="K308" s="4">
        <v>256779418492</v>
      </c>
      <c r="L308" s="7">
        <v>6</v>
      </c>
      <c r="M308" s="7">
        <v>306</v>
      </c>
    </row>
    <row r="309" spans="1:13" x14ac:dyDescent="0.35">
      <c r="A309" s="2" t="s">
        <v>263</v>
      </c>
      <c r="B309" s="6">
        <v>0</v>
      </c>
      <c r="C309" s="6">
        <v>35336.871800000001</v>
      </c>
      <c r="D309" s="2" t="s">
        <v>15</v>
      </c>
      <c r="E309" s="2" t="s">
        <v>15</v>
      </c>
      <c r="F309" s="2" t="s">
        <v>283</v>
      </c>
      <c r="G309" s="2" t="s">
        <v>200</v>
      </c>
      <c r="H309" s="2" t="s">
        <v>283</v>
      </c>
      <c r="I309" s="4">
        <v>256779416054</v>
      </c>
      <c r="K309" s="4">
        <v>256779418802</v>
      </c>
      <c r="L309" s="7">
        <v>4048</v>
      </c>
      <c r="M309" s="7">
        <v>40195.392399999997</v>
      </c>
    </row>
    <row r="310" spans="1:13" x14ac:dyDescent="0.35">
      <c r="A310" s="2" t="s">
        <v>263</v>
      </c>
      <c r="B310" s="6">
        <v>0</v>
      </c>
      <c r="C310" s="6">
        <v>33482.010999999999</v>
      </c>
      <c r="D310" s="2" t="s">
        <v>15</v>
      </c>
      <c r="E310" s="2" t="s">
        <v>15</v>
      </c>
      <c r="F310" s="2" t="s">
        <v>284</v>
      </c>
      <c r="G310" s="2" t="s">
        <v>200</v>
      </c>
      <c r="H310" s="2" t="s">
        <v>284</v>
      </c>
      <c r="I310" s="4">
        <v>256779417373</v>
      </c>
      <c r="K310" s="4">
        <v>256779418819</v>
      </c>
      <c r="L310" s="7">
        <v>0</v>
      </c>
      <c r="M310" s="7">
        <v>2793.2276000000002</v>
      </c>
    </row>
    <row r="311" spans="1:13" x14ac:dyDescent="0.35">
      <c r="A311" s="2" t="s">
        <v>263</v>
      </c>
      <c r="B311" s="6">
        <v>0</v>
      </c>
      <c r="C311" s="6">
        <v>6432.3032999999996</v>
      </c>
      <c r="D311" s="2" t="s">
        <v>15</v>
      </c>
      <c r="E311" s="2" t="s">
        <v>15</v>
      </c>
      <c r="F311" s="2" t="s">
        <v>285</v>
      </c>
      <c r="G311" s="2" t="s">
        <v>66</v>
      </c>
      <c r="H311" s="2" t="s">
        <v>285</v>
      </c>
      <c r="I311" s="4">
        <v>256779417566</v>
      </c>
      <c r="K311" s="4">
        <v>256779418869</v>
      </c>
      <c r="L311" s="7">
        <v>0</v>
      </c>
      <c r="M311" s="7">
        <v>529469.75580000004</v>
      </c>
    </row>
    <row r="312" spans="1:13" x14ac:dyDescent="0.35">
      <c r="A312" s="2" t="s">
        <v>263</v>
      </c>
      <c r="B312" s="6">
        <v>0</v>
      </c>
      <c r="C312" s="6">
        <v>6896.1292000000003</v>
      </c>
      <c r="D312" s="2" t="s">
        <v>15</v>
      </c>
      <c r="E312" s="2" t="s">
        <v>15</v>
      </c>
      <c r="F312" s="2" t="s">
        <v>286</v>
      </c>
      <c r="G312" s="2" t="s">
        <v>66</v>
      </c>
      <c r="H312" s="2" t="s">
        <v>286</v>
      </c>
      <c r="I312" s="4">
        <v>256779417582</v>
      </c>
      <c r="K312" s="4">
        <v>256779418897</v>
      </c>
      <c r="L312" s="7">
        <v>0</v>
      </c>
      <c r="M312" s="7">
        <v>9367.9609</v>
      </c>
    </row>
    <row r="313" spans="1:13" x14ac:dyDescent="0.35">
      <c r="A313" s="2" t="s">
        <v>263</v>
      </c>
      <c r="B313" s="6">
        <v>0</v>
      </c>
      <c r="C313" s="6">
        <v>1028.2935</v>
      </c>
      <c r="D313" s="2" t="s">
        <v>15</v>
      </c>
      <c r="E313" s="2" t="s">
        <v>15</v>
      </c>
      <c r="F313" s="2" t="s">
        <v>287</v>
      </c>
      <c r="G313" s="2" t="s">
        <v>21</v>
      </c>
      <c r="H313" s="2" t="s">
        <v>287</v>
      </c>
      <c r="I313" s="4">
        <v>256779417594</v>
      </c>
      <c r="K313" s="4">
        <v>256779418906</v>
      </c>
      <c r="L313" s="7">
        <v>0</v>
      </c>
      <c r="M313" s="7">
        <v>3014.1161000000002</v>
      </c>
    </row>
    <row r="314" spans="1:13" x14ac:dyDescent="0.35">
      <c r="A314" s="2" t="s">
        <v>263</v>
      </c>
      <c r="B314" s="6">
        <v>0</v>
      </c>
      <c r="C314" s="6">
        <v>545.21420000000001</v>
      </c>
      <c r="D314" s="2" t="s">
        <v>15</v>
      </c>
      <c r="E314" s="2" t="s">
        <v>15</v>
      </c>
      <c r="F314" s="2" t="s">
        <v>288</v>
      </c>
      <c r="G314" s="2" t="s">
        <v>17</v>
      </c>
      <c r="H314" s="2" t="s">
        <v>288</v>
      </c>
      <c r="I314" s="4">
        <v>256779417442</v>
      </c>
      <c r="K314" s="4">
        <v>256779419069</v>
      </c>
      <c r="L314" s="7">
        <v>0</v>
      </c>
      <c r="M314" s="7">
        <v>26716.949199999999</v>
      </c>
    </row>
    <row r="315" spans="1:13" x14ac:dyDescent="0.35">
      <c r="A315" s="2" t="s">
        <v>263</v>
      </c>
      <c r="B315" s="6">
        <v>0</v>
      </c>
      <c r="C315" s="6">
        <v>26724.251</v>
      </c>
      <c r="D315" s="2" t="s">
        <v>15</v>
      </c>
      <c r="E315" s="2" t="s">
        <v>15</v>
      </c>
      <c r="F315" s="2" t="s">
        <v>289</v>
      </c>
      <c r="G315" s="2" t="s">
        <v>21</v>
      </c>
      <c r="H315" s="2" t="s">
        <v>289</v>
      </c>
      <c r="I315" s="4">
        <v>256779417525</v>
      </c>
      <c r="K315" s="4">
        <v>256779419076</v>
      </c>
      <c r="L315" s="7">
        <v>0</v>
      </c>
      <c r="M315" s="7">
        <v>63274.437400000003</v>
      </c>
    </row>
    <row r="316" spans="1:13" x14ac:dyDescent="0.35">
      <c r="A316" s="2" t="s">
        <v>263</v>
      </c>
      <c r="B316" s="6">
        <v>0</v>
      </c>
      <c r="C316" s="6">
        <v>29303.298299999999</v>
      </c>
      <c r="D316" s="2" t="s">
        <v>15</v>
      </c>
      <c r="E316" s="2" t="s">
        <v>15</v>
      </c>
      <c r="F316" s="2" t="s">
        <v>290</v>
      </c>
      <c r="G316" s="2" t="s">
        <v>279</v>
      </c>
      <c r="H316" s="2" t="s">
        <v>290</v>
      </c>
      <c r="I316" s="4">
        <v>256779417410</v>
      </c>
      <c r="K316" s="4">
        <v>256779419172</v>
      </c>
      <c r="L316" s="7">
        <v>0</v>
      </c>
      <c r="M316" s="7">
        <v>5909.4276</v>
      </c>
    </row>
    <row r="317" spans="1:13" x14ac:dyDescent="0.35">
      <c r="A317" s="2" t="s">
        <v>291</v>
      </c>
      <c r="B317" s="6">
        <v>0</v>
      </c>
      <c r="C317" s="6">
        <v>42087.391600000003</v>
      </c>
      <c r="D317" s="2" t="s">
        <v>15</v>
      </c>
      <c r="E317" s="2" t="s">
        <v>15</v>
      </c>
      <c r="F317" s="2" t="s">
        <v>292</v>
      </c>
      <c r="G317" s="2" t="s">
        <v>36</v>
      </c>
      <c r="H317" s="2" t="s">
        <v>292</v>
      </c>
      <c r="I317" s="4">
        <v>256779417489</v>
      </c>
      <c r="K317" s="4">
        <v>256779419248</v>
      </c>
      <c r="L317" s="7">
        <v>0</v>
      </c>
      <c r="M317" s="7">
        <v>991.79819999999995</v>
      </c>
    </row>
    <row r="318" spans="1:13" x14ac:dyDescent="0.35">
      <c r="A318" s="2" t="s">
        <v>291</v>
      </c>
      <c r="B318" s="6">
        <v>0</v>
      </c>
      <c r="C318" s="6">
        <v>36224.358800000002</v>
      </c>
      <c r="D318" s="2" t="s">
        <v>15</v>
      </c>
      <c r="E318" s="2" t="s">
        <v>15</v>
      </c>
      <c r="F318" s="2" t="s">
        <v>293</v>
      </c>
      <c r="G318" s="2" t="s">
        <v>200</v>
      </c>
      <c r="H318" s="2" t="s">
        <v>293</v>
      </c>
      <c r="I318" s="4">
        <v>256779418036</v>
      </c>
      <c r="K318" s="4">
        <v>256779419364</v>
      </c>
      <c r="L318" s="7">
        <v>0</v>
      </c>
      <c r="M318" s="7">
        <v>27787.070400000001</v>
      </c>
    </row>
    <row r="319" spans="1:13" x14ac:dyDescent="0.35">
      <c r="A319" s="2" t="s">
        <v>291</v>
      </c>
      <c r="B319" s="6">
        <v>0</v>
      </c>
      <c r="C319" s="6">
        <v>38482.042500000003</v>
      </c>
      <c r="D319" s="2" t="s">
        <v>15</v>
      </c>
      <c r="E319" s="2" t="s">
        <v>15</v>
      </c>
      <c r="F319" s="2" t="s">
        <v>294</v>
      </c>
      <c r="G319" s="2" t="s">
        <v>66</v>
      </c>
      <c r="H319" s="2" t="s">
        <v>294</v>
      </c>
      <c r="I319" s="4">
        <v>256779417939</v>
      </c>
      <c r="K319" s="4">
        <v>256779419465</v>
      </c>
      <c r="L319" s="7">
        <v>0</v>
      </c>
      <c r="M319" s="7">
        <v>20693.117099999999</v>
      </c>
    </row>
    <row r="320" spans="1:13" x14ac:dyDescent="0.35">
      <c r="A320" s="2" t="s">
        <v>291</v>
      </c>
      <c r="B320" s="6">
        <v>0</v>
      </c>
      <c r="C320" s="6">
        <v>679906.74129999999</v>
      </c>
      <c r="D320" s="2" t="s">
        <v>15</v>
      </c>
      <c r="E320" s="2" t="s">
        <v>15</v>
      </c>
      <c r="F320" s="2" t="s">
        <v>295</v>
      </c>
      <c r="G320" s="2" t="s">
        <v>268</v>
      </c>
      <c r="H320" s="2" t="s">
        <v>295</v>
      </c>
      <c r="I320" s="4">
        <v>256779418010</v>
      </c>
      <c r="K320" s="4">
        <v>256779419476</v>
      </c>
      <c r="L320" s="7">
        <v>0</v>
      </c>
      <c r="M320" s="7">
        <v>14016.2999</v>
      </c>
    </row>
    <row r="321" spans="1:13" x14ac:dyDescent="0.35">
      <c r="A321" s="2" t="s">
        <v>291</v>
      </c>
      <c r="B321" s="6">
        <v>0</v>
      </c>
      <c r="C321" s="6">
        <v>3487.4461000000001</v>
      </c>
      <c r="D321" s="2" t="s">
        <v>15</v>
      </c>
      <c r="E321" s="2" t="s">
        <v>15</v>
      </c>
      <c r="F321" s="2" t="s">
        <v>296</v>
      </c>
      <c r="G321" s="2" t="s">
        <v>262</v>
      </c>
      <c r="H321" s="2" t="s">
        <v>296</v>
      </c>
      <c r="I321" s="4">
        <v>256779416911</v>
      </c>
      <c r="K321" s="4">
        <v>256779419534</v>
      </c>
      <c r="L321" s="7">
        <v>0</v>
      </c>
      <c r="M321" s="7">
        <v>7761.8990000000003</v>
      </c>
    </row>
    <row r="322" spans="1:13" x14ac:dyDescent="0.35">
      <c r="A322" s="2" t="s">
        <v>291</v>
      </c>
      <c r="B322" s="6">
        <v>0</v>
      </c>
      <c r="C322" s="6">
        <v>90131.008499999996</v>
      </c>
      <c r="D322" s="2" t="s">
        <v>15</v>
      </c>
      <c r="E322" s="2" t="s">
        <v>15</v>
      </c>
      <c r="F322" s="2" t="s">
        <v>297</v>
      </c>
      <c r="G322" s="2" t="s">
        <v>262</v>
      </c>
      <c r="H322" s="2" t="s">
        <v>297</v>
      </c>
      <c r="I322" s="4">
        <v>256779417286</v>
      </c>
      <c r="K322" s="4">
        <v>256779419547</v>
      </c>
      <c r="L322" s="7">
        <v>0</v>
      </c>
      <c r="M322" s="7">
        <v>9417.2428</v>
      </c>
    </row>
    <row r="323" spans="1:13" x14ac:dyDescent="0.35">
      <c r="A323" s="2" t="s">
        <v>291</v>
      </c>
      <c r="B323" s="6">
        <v>0</v>
      </c>
      <c r="C323" s="6">
        <v>4231.3179</v>
      </c>
      <c r="D323" s="2" t="s">
        <v>15</v>
      </c>
      <c r="E323" s="2" t="s">
        <v>15</v>
      </c>
      <c r="F323" s="2" t="s">
        <v>298</v>
      </c>
      <c r="G323" s="2" t="s">
        <v>21</v>
      </c>
      <c r="H323" s="2" t="s">
        <v>298</v>
      </c>
      <c r="I323" s="4">
        <v>256779417324</v>
      </c>
      <c r="K323" s="4">
        <v>256779419556</v>
      </c>
      <c r="L323" s="7">
        <v>0</v>
      </c>
      <c r="M323" s="7">
        <v>39821.534</v>
      </c>
    </row>
    <row r="324" spans="1:13" x14ac:dyDescent="0.35">
      <c r="A324" s="2" t="s">
        <v>291</v>
      </c>
      <c r="B324" s="6">
        <v>0</v>
      </c>
      <c r="C324" s="6">
        <v>1233.9521</v>
      </c>
      <c r="D324" s="2" t="s">
        <v>15</v>
      </c>
      <c r="E324" s="2" t="s">
        <v>15</v>
      </c>
      <c r="F324" s="2" t="s">
        <v>299</v>
      </c>
      <c r="G324" s="2" t="s">
        <v>21</v>
      </c>
      <c r="H324" s="2" t="s">
        <v>299</v>
      </c>
      <c r="I324" s="4">
        <v>256779416948</v>
      </c>
      <c r="K324" s="4">
        <v>256779419588</v>
      </c>
      <c r="L324" s="7">
        <v>0</v>
      </c>
      <c r="M324" s="7">
        <v>29234.726200000001</v>
      </c>
    </row>
    <row r="325" spans="1:13" x14ac:dyDescent="0.35">
      <c r="A325" s="2" t="s">
        <v>291</v>
      </c>
      <c r="B325" s="6">
        <v>0</v>
      </c>
      <c r="C325" s="6">
        <v>1992.7012</v>
      </c>
      <c r="D325" s="2" t="s">
        <v>15</v>
      </c>
      <c r="E325" s="2" t="s">
        <v>15</v>
      </c>
      <c r="F325" s="2" t="s">
        <v>300</v>
      </c>
      <c r="G325" s="2" t="s">
        <v>270</v>
      </c>
      <c r="H325" s="2" t="s">
        <v>300</v>
      </c>
      <c r="I325" s="4">
        <v>256779417261</v>
      </c>
      <c r="K325" s="4">
        <v>256779419628</v>
      </c>
      <c r="L325" s="7">
        <v>0</v>
      </c>
      <c r="M325" s="7">
        <v>897.63459999999998</v>
      </c>
    </row>
    <row r="326" spans="1:13" x14ac:dyDescent="0.35">
      <c r="A326" s="1" t="s">
        <v>494</v>
      </c>
      <c r="B326" s="7">
        <v>0</v>
      </c>
      <c r="C326" s="7">
        <v>8522</v>
      </c>
      <c r="D326" s="1" t="s">
        <v>15</v>
      </c>
      <c r="E326" s="1" t="s">
        <v>15</v>
      </c>
      <c r="F326" s="1" t="s">
        <v>534</v>
      </c>
      <c r="G326" s="1" t="s">
        <v>107</v>
      </c>
      <c r="H326" s="1" t="s">
        <v>534</v>
      </c>
      <c r="I326" s="4">
        <v>246779411314</v>
      </c>
      <c r="K326" s="4">
        <v>256779419795</v>
      </c>
      <c r="L326" s="7">
        <v>0</v>
      </c>
      <c r="M326" s="7">
        <v>28407.106800000001</v>
      </c>
    </row>
    <row r="327" spans="1:13" x14ac:dyDescent="0.35">
      <c r="A327" s="2" t="s">
        <v>291</v>
      </c>
      <c r="B327" s="6">
        <v>0</v>
      </c>
      <c r="C327" s="6">
        <v>1247.0791999999999</v>
      </c>
      <c r="D327" s="2" t="s">
        <v>15</v>
      </c>
      <c r="E327" s="2" t="s">
        <v>15</v>
      </c>
      <c r="F327" s="2" t="s">
        <v>302</v>
      </c>
      <c r="G327" s="2" t="s">
        <v>17</v>
      </c>
      <c r="H327" s="2" t="s">
        <v>302</v>
      </c>
      <c r="I327" s="4">
        <v>256779417160</v>
      </c>
      <c r="K327" s="4">
        <v>256779419867</v>
      </c>
      <c r="L327" s="7">
        <v>0</v>
      </c>
      <c r="M327" s="7">
        <v>61159.633500000004</v>
      </c>
    </row>
    <row r="328" spans="1:13" x14ac:dyDescent="0.35">
      <c r="A328" s="2" t="s">
        <v>291</v>
      </c>
      <c r="B328" s="6">
        <v>0</v>
      </c>
      <c r="C328" s="6">
        <v>59881.6803</v>
      </c>
      <c r="D328" s="2" t="s">
        <v>15</v>
      </c>
      <c r="E328" s="2" t="s">
        <v>15</v>
      </c>
      <c r="F328" s="2" t="s">
        <v>303</v>
      </c>
      <c r="G328" s="2" t="s">
        <v>304</v>
      </c>
      <c r="H328" s="2" t="s">
        <v>303</v>
      </c>
      <c r="I328" s="4">
        <v>256779417166</v>
      </c>
      <c r="K328" s="4">
        <v>256779419916</v>
      </c>
      <c r="L328" s="7">
        <v>0</v>
      </c>
      <c r="M328" s="7">
        <v>11115.014499999999</v>
      </c>
    </row>
    <row r="329" spans="1:13" x14ac:dyDescent="0.35">
      <c r="A329" s="2" t="s">
        <v>291</v>
      </c>
      <c r="B329" s="6">
        <v>0</v>
      </c>
      <c r="C329" s="6">
        <v>58594.344499999999</v>
      </c>
      <c r="D329" s="2" t="s">
        <v>15</v>
      </c>
      <c r="E329" s="2" t="s">
        <v>15</v>
      </c>
      <c r="F329" s="2" t="s">
        <v>305</v>
      </c>
      <c r="G329" s="2" t="s">
        <v>36</v>
      </c>
      <c r="H329" s="2" t="s">
        <v>305</v>
      </c>
      <c r="I329" s="4">
        <v>256779417173</v>
      </c>
      <c r="K329" s="4">
        <v>256779419933</v>
      </c>
      <c r="L329" s="7">
        <v>0</v>
      </c>
      <c r="M329" s="7">
        <v>10489.678599999999</v>
      </c>
    </row>
    <row r="330" spans="1:13" x14ac:dyDescent="0.35">
      <c r="A330" s="2" t="s">
        <v>291</v>
      </c>
      <c r="B330" s="6">
        <v>0</v>
      </c>
      <c r="C330" s="6">
        <v>991.79819999999995</v>
      </c>
      <c r="D330" s="2" t="s">
        <v>15</v>
      </c>
      <c r="E330" s="2" t="s">
        <v>15</v>
      </c>
      <c r="F330" s="2" t="s">
        <v>306</v>
      </c>
      <c r="G330" s="2" t="s">
        <v>270</v>
      </c>
      <c r="H330" s="2" t="s">
        <v>306</v>
      </c>
      <c r="I330" s="4">
        <v>256779419248</v>
      </c>
      <c r="K330" s="4">
        <v>256779421361</v>
      </c>
      <c r="L330" s="7">
        <v>31577</v>
      </c>
      <c r="M330" s="7">
        <v>0</v>
      </c>
    </row>
    <row r="331" spans="1:13" x14ac:dyDescent="0.35">
      <c r="A331" s="2" t="s">
        <v>291</v>
      </c>
      <c r="B331" s="6">
        <v>0</v>
      </c>
      <c r="C331" s="6">
        <v>2793.2276000000002</v>
      </c>
      <c r="D331" s="2" t="s">
        <v>15</v>
      </c>
      <c r="E331" s="2" t="s">
        <v>15</v>
      </c>
      <c r="F331" s="2" t="s">
        <v>307</v>
      </c>
      <c r="G331" s="2" t="s">
        <v>17</v>
      </c>
      <c r="H331" s="2" t="s">
        <v>307</v>
      </c>
      <c r="I331" s="4">
        <v>256779418819</v>
      </c>
      <c r="K331" s="4">
        <v>256779421367</v>
      </c>
      <c r="L331" s="7">
        <v>114223</v>
      </c>
      <c r="M331" s="7">
        <v>0</v>
      </c>
    </row>
    <row r="332" spans="1:13" x14ac:dyDescent="0.35">
      <c r="A332" s="2" t="s">
        <v>291</v>
      </c>
      <c r="B332" s="6">
        <v>0</v>
      </c>
      <c r="C332" s="6">
        <v>529469.75580000004</v>
      </c>
      <c r="D332" s="2" t="s">
        <v>15</v>
      </c>
      <c r="E332" s="2" t="s">
        <v>15</v>
      </c>
      <c r="F332" s="2" t="s">
        <v>308</v>
      </c>
      <c r="G332" s="2" t="s">
        <v>268</v>
      </c>
      <c r="H332" s="2" t="s">
        <v>308</v>
      </c>
      <c r="I332" s="4">
        <v>256779418869</v>
      </c>
      <c r="K332" s="4">
        <v>256779421370</v>
      </c>
      <c r="L332" s="7">
        <v>12169</v>
      </c>
      <c r="M332" s="7">
        <v>0</v>
      </c>
    </row>
    <row r="333" spans="1:13" x14ac:dyDescent="0.35">
      <c r="A333" s="2" t="s">
        <v>291</v>
      </c>
      <c r="B333" s="6">
        <v>0</v>
      </c>
      <c r="C333" s="6">
        <v>9367.9609</v>
      </c>
      <c r="D333" s="2" t="s">
        <v>15</v>
      </c>
      <c r="E333" s="2" t="s">
        <v>15</v>
      </c>
      <c r="F333" s="2" t="s">
        <v>309</v>
      </c>
      <c r="G333" s="2" t="s">
        <v>66</v>
      </c>
      <c r="H333" s="2" t="s">
        <v>309</v>
      </c>
      <c r="I333" s="4">
        <v>256779418897</v>
      </c>
      <c r="K333" s="4">
        <v>256779421373</v>
      </c>
      <c r="L333" s="7">
        <v>8696</v>
      </c>
      <c r="M333" s="7">
        <v>173</v>
      </c>
    </row>
    <row r="334" spans="1:13" x14ac:dyDescent="0.35">
      <c r="A334" s="2" t="s">
        <v>291</v>
      </c>
      <c r="B334" s="6">
        <v>0</v>
      </c>
      <c r="C334" s="6">
        <v>3014.1161000000002</v>
      </c>
      <c r="D334" s="2" t="s">
        <v>15</v>
      </c>
      <c r="E334" s="2" t="s">
        <v>15</v>
      </c>
      <c r="F334" s="2" t="s">
        <v>310</v>
      </c>
      <c r="G334" s="2" t="s">
        <v>21</v>
      </c>
      <c r="H334" s="2" t="s">
        <v>310</v>
      </c>
      <c r="I334" s="4">
        <v>256779418906</v>
      </c>
      <c r="K334" s="4">
        <v>256779421376</v>
      </c>
      <c r="L334" s="7">
        <v>6084</v>
      </c>
      <c r="M334" s="7">
        <v>0</v>
      </c>
    </row>
    <row r="335" spans="1:13" x14ac:dyDescent="0.35">
      <c r="A335" s="2" t="s">
        <v>291</v>
      </c>
      <c r="B335" s="6">
        <v>0</v>
      </c>
      <c r="C335" s="6">
        <v>63274.437400000003</v>
      </c>
      <c r="D335" s="2" t="s">
        <v>15</v>
      </c>
      <c r="E335" s="2" t="s">
        <v>15</v>
      </c>
      <c r="F335" s="2" t="s">
        <v>311</v>
      </c>
      <c r="G335" s="2" t="s">
        <v>36</v>
      </c>
      <c r="H335" s="2" t="s">
        <v>311</v>
      </c>
      <c r="I335" s="4">
        <v>256779419076</v>
      </c>
      <c r="K335" s="4">
        <v>256779421379</v>
      </c>
      <c r="L335" s="7">
        <v>17313</v>
      </c>
      <c r="M335" s="7">
        <v>330</v>
      </c>
    </row>
    <row r="336" spans="1:13" x14ac:dyDescent="0.35">
      <c r="A336" s="2" t="s">
        <v>291</v>
      </c>
      <c r="B336" s="6">
        <v>0</v>
      </c>
      <c r="C336" s="6">
        <v>26716.949199999999</v>
      </c>
      <c r="D336" s="2" t="s">
        <v>15</v>
      </c>
      <c r="E336" s="2" t="s">
        <v>15</v>
      </c>
      <c r="F336" s="2" t="s">
        <v>312</v>
      </c>
      <c r="G336" s="2" t="s">
        <v>279</v>
      </c>
      <c r="H336" s="2" t="s">
        <v>312</v>
      </c>
      <c r="I336" s="4">
        <v>256779419069</v>
      </c>
      <c r="K336" s="4">
        <v>256779421381</v>
      </c>
      <c r="L336" s="7">
        <v>4786</v>
      </c>
      <c r="M336" s="7">
        <v>0</v>
      </c>
    </row>
    <row r="337" spans="1:14" x14ac:dyDescent="0.35">
      <c r="A337" s="2" t="s">
        <v>291</v>
      </c>
      <c r="B337" s="6">
        <v>0</v>
      </c>
      <c r="C337" s="6">
        <v>5909.4276</v>
      </c>
      <c r="D337" s="2" t="s">
        <v>15</v>
      </c>
      <c r="E337" s="2" t="s">
        <v>15</v>
      </c>
      <c r="F337" s="2" t="s">
        <v>313</v>
      </c>
      <c r="G337" s="2" t="s">
        <v>21</v>
      </c>
      <c r="H337" s="2" t="s">
        <v>313</v>
      </c>
      <c r="I337" s="4">
        <v>256779419172</v>
      </c>
      <c r="K337" s="4">
        <v>256779421383</v>
      </c>
      <c r="L337" s="7">
        <v>12467</v>
      </c>
      <c r="M337" s="7">
        <v>0</v>
      </c>
    </row>
    <row r="338" spans="1:14" x14ac:dyDescent="0.35">
      <c r="A338" s="2" t="s">
        <v>291</v>
      </c>
      <c r="B338" s="6">
        <v>0</v>
      </c>
      <c r="C338" s="6">
        <v>39821.534</v>
      </c>
      <c r="D338" s="2" t="s">
        <v>15</v>
      </c>
      <c r="E338" s="2" t="s">
        <v>15</v>
      </c>
      <c r="F338" s="2" t="s">
        <v>314</v>
      </c>
      <c r="G338" s="2" t="s">
        <v>36</v>
      </c>
      <c r="H338" s="2" t="s">
        <v>314</v>
      </c>
      <c r="I338" s="4">
        <v>256779419556</v>
      </c>
      <c r="K338" s="4">
        <v>256779440041</v>
      </c>
      <c r="L338" s="7">
        <v>4174</v>
      </c>
      <c r="M338" s="7">
        <v>41446.745000000003</v>
      </c>
      <c r="N338" s="30">
        <f t="shared" ref="N338:N346" si="0">L338/M338</f>
        <v>0.10070754651541393</v>
      </c>
    </row>
    <row r="339" spans="1:14" x14ac:dyDescent="0.35">
      <c r="A339" s="2" t="s">
        <v>291</v>
      </c>
      <c r="B339" s="6">
        <v>0</v>
      </c>
      <c r="C339" s="6">
        <v>29234.726200000001</v>
      </c>
      <c r="D339" s="2" t="s">
        <v>15</v>
      </c>
      <c r="E339" s="2" t="s">
        <v>15</v>
      </c>
      <c r="F339" s="2" t="s">
        <v>315</v>
      </c>
      <c r="G339" s="2" t="s">
        <v>262</v>
      </c>
      <c r="H339" s="2" t="s">
        <v>315</v>
      </c>
      <c r="I339" s="4">
        <v>256779419588</v>
      </c>
      <c r="K339" s="4">
        <v>256779440069</v>
      </c>
      <c r="L339" s="7">
        <v>0</v>
      </c>
      <c r="M339" s="7">
        <v>1066.231</v>
      </c>
      <c r="N339" s="30">
        <f t="shared" si="0"/>
        <v>0</v>
      </c>
    </row>
    <row r="340" spans="1:14" x14ac:dyDescent="0.35">
      <c r="A340" s="2" t="s">
        <v>291</v>
      </c>
      <c r="B340" s="6">
        <v>0</v>
      </c>
      <c r="C340" s="6">
        <v>897.63459999999998</v>
      </c>
      <c r="D340" s="2" t="s">
        <v>15</v>
      </c>
      <c r="E340" s="2" t="s">
        <v>15</v>
      </c>
      <c r="F340" s="2" t="s">
        <v>316</v>
      </c>
      <c r="G340" s="2" t="s">
        <v>205</v>
      </c>
      <c r="H340" s="2" t="s">
        <v>316</v>
      </c>
      <c r="I340" s="4">
        <v>256779419628</v>
      </c>
      <c r="K340" s="4">
        <v>256779440118</v>
      </c>
      <c r="L340" s="7">
        <v>181</v>
      </c>
      <c r="M340" s="7">
        <v>8983.0849999999991</v>
      </c>
      <c r="N340" s="30">
        <f t="shared" si="0"/>
        <v>2.0148979999632645E-2</v>
      </c>
    </row>
    <row r="341" spans="1:14" x14ac:dyDescent="0.35">
      <c r="A341" s="2" t="s">
        <v>317</v>
      </c>
      <c r="B341" s="6">
        <v>0</v>
      </c>
      <c r="C341" s="6">
        <v>20693.117099999999</v>
      </c>
      <c r="D341" s="2" t="s">
        <v>15</v>
      </c>
      <c r="E341" s="2" t="s">
        <v>15</v>
      </c>
      <c r="F341" s="2" t="s">
        <v>318</v>
      </c>
      <c r="G341" s="2" t="s">
        <v>17</v>
      </c>
      <c r="H341" s="2" t="s">
        <v>318</v>
      </c>
      <c r="I341" s="4">
        <v>256779419465</v>
      </c>
      <c r="K341" s="4">
        <v>256779440122</v>
      </c>
      <c r="L341" s="7">
        <v>181</v>
      </c>
      <c r="M341" s="7">
        <v>11185.420599999999</v>
      </c>
      <c r="N341" s="30">
        <f t="shared" si="0"/>
        <v>1.6181778627081759E-2</v>
      </c>
    </row>
    <row r="342" spans="1:14" x14ac:dyDescent="0.35">
      <c r="A342" s="2" t="s">
        <v>317</v>
      </c>
      <c r="B342" s="6">
        <v>0</v>
      </c>
      <c r="C342" s="6">
        <v>14016.2999</v>
      </c>
      <c r="D342" s="2" t="s">
        <v>15</v>
      </c>
      <c r="E342" s="2" t="s">
        <v>15</v>
      </c>
      <c r="F342" s="2" t="s">
        <v>319</v>
      </c>
      <c r="G342" s="2" t="s">
        <v>254</v>
      </c>
      <c r="H342" s="2" t="s">
        <v>319</v>
      </c>
      <c r="I342" s="4">
        <v>256779419476</v>
      </c>
      <c r="K342" s="4">
        <v>256779440210</v>
      </c>
      <c r="L342" s="7">
        <v>181</v>
      </c>
      <c r="M342" s="7">
        <v>7063.8671999999997</v>
      </c>
      <c r="N342" s="30">
        <f t="shared" si="0"/>
        <v>2.562335826471936E-2</v>
      </c>
    </row>
    <row r="343" spans="1:14" x14ac:dyDescent="0.35">
      <c r="A343" s="2" t="s">
        <v>317</v>
      </c>
      <c r="B343" s="6">
        <v>0</v>
      </c>
      <c r="C343" s="6">
        <v>7761.8990000000003</v>
      </c>
      <c r="D343" s="2" t="s">
        <v>15</v>
      </c>
      <c r="E343" s="2" t="s">
        <v>15</v>
      </c>
      <c r="F343" s="2" t="s">
        <v>320</v>
      </c>
      <c r="G343" s="2" t="s">
        <v>262</v>
      </c>
      <c r="H343" s="2" t="s">
        <v>320</v>
      </c>
      <c r="I343" s="4">
        <v>256779419534</v>
      </c>
      <c r="K343" s="4">
        <v>256779440383</v>
      </c>
      <c r="L343" s="7">
        <v>90</v>
      </c>
      <c r="M343" s="7">
        <v>4904.3774000000003</v>
      </c>
      <c r="N343" s="30">
        <f t="shared" si="0"/>
        <v>1.835095317093664E-2</v>
      </c>
    </row>
    <row r="344" spans="1:14" x14ac:dyDescent="0.35">
      <c r="A344" s="2" t="s">
        <v>317</v>
      </c>
      <c r="B344" s="6">
        <v>0</v>
      </c>
      <c r="C344" s="6">
        <v>9417.2428</v>
      </c>
      <c r="D344" s="2" t="s">
        <v>15</v>
      </c>
      <c r="E344" s="2" t="s">
        <v>15</v>
      </c>
      <c r="F344" s="2" t="s">
        <v>321</v>
      </c>
      <c r="G344" s="2" t="s">
        <v>90</v>
      </c>
      <c r="H344" s="2" t="s">
        <v>321</v>
      </c>
      <c r="I344" s="4">
        <v>256779419547</v>
      </c>
      <c r="K344" s="4">
        <v>256779440392</v>
      </c>
      <c r="L344" s="7">
        <v>1089</v>
      </c>
      <c r="M344" s="7">
        <v>11313.937</v>
      </c>
      <c r="N344" s="30">
        <f t="shared" si="0"/>
        <v>9.6252966584487787E-2</v>
      </c>
    </row>
    <row r="345" spans="1:14" x14ac:dyDescent="0.35">
      <c r="A345" s="2" t="s">
        <v>317</v>
      </c>
      <c r="B345" s="6">
        <v>0</v>
      </c>
      <c r="C345" s="6">
        <v>27787.070400000001</v>
      </c>
      <c r="D345" s="2" t="s">
        <v>15</v>
      </c>
      <c r="E345" s="2" t="s">
        <v>15</v>
      </c>
      <c r="F345" s="2" t="s">
        <v>322</v>
      </c>
      <c r="G345" s="2" t="s">
        <v>304</v>
      </c>
      <c r="H345" s="2" t="s">
        <v>322</v>
      </c>
      <c r="I345" s="4">
        <v>256779419364</v>
      </c>
      <c r="K345" s="4">
        <v>256779440394</v>
      </c>
      <c r="L345" s="7">
        <v>1815</v>
      </c>
      <c r="M345" s="7">
        <v>18211.378000000001</v>
      </c>
      <c r="N345" s="30">
        <f t="shared" si="0"/>
        <v>9.9662968941724231E-2</v>
      </c>
    </row>
    <row r="346" spans="1:14" x14ac:dyDescent="0.35">
      <c r="A346" s="2" t="s">
        <v>317</v>
      </c>
      <c r="B346" s="6">
        <v>0</v>
      </c>
      <c r="C346" s="6">
        <v>11723.0177</v>
      </c>
      <c r="D346" s="2" t="s">
        <v>15</v>
      </c>
      <c r="E346" s="2" t="s">
        <v>15</v>
      </c>
      <c r="F346" s="2" t="s">
        <v>323</v>
      </c>
      <c r="G346" s="2" t="s">
        <v>36</v>
      </c>
      <c r="H346" s="2" t="s">
        <v>323</v>
      </c>
      <c r="I346" s="4">
        <v>256779413184</v>
      </c>
      <c r="K346" s="4">
        <v>256779440413</v>
      </c>
      <c r="L346" s="7">
        <v>181</v>
      </c>
      <c r="M346" s="7">
        <v>8983.0846000000001</v>
      </c>
      <c r="N346" s="30">
        <f t="shared" si="0"/>
        <v>2.0148980896829136E-2</v>
      </c>
    </row>
    <row r="347" spans="1:14" x14ac:dyDescent="0.35">
      <c r="A347" s="2" t="s">
        <v>324</v>
      </c>
      <c r="B347" s="6">
        <v>0</v>
      </c>
      <c r="C347" s="6">
        <v>61159.633500000004</v>
      </c>
      <c r="D347" s="2" t="s">
        <v>15</v>
      </c>
      <c r="E347" s="2" t="s">
        <v>15</v>
      </c>
      <c r="F347" s="2" t="s">
        <v>325</v>
      </c>
      <c r="G347" s="2" t="s">
        <v>262</v>
      </c>
      <c r="H347" s="2" t="s">
        <v>325</v>
      </c>
      <c r="I347" s="4">
        <v>256779419867</v>
      </c>
      <c r="K347" s="4">
        <v>256779440429</v>
      </c>
      <c r="L347" s="7">
        <v>91</v>
      </c>
      <c r="M347" s="7">
        <v>6141.7525999999998</v>
      </c>
      <c r="N347" s="30">
        <f>L347/M347</f>
        <v>1.4816617654055293E-2</v>
      </c>
    </row>
    <row r="348" spans="1:14" x14ac:dyDescent="0.35">
      <c r="A348" s="2" t="s">
        <v>324</v>
      </c>
      <c r="B348" s="6">
        <v>0</v>
      </c>
      <c r="C348" s="6">
        <v>11115.014499999999</v>
      </c>
      <c r="D348" s="2" t="s">
        <v>15</v>
      </c>
      <c r="E348" s="2" t="s">
        <v>15</v>
      </c>
      <c r="F348" s="2" t="s">
        <v>326</v>
      </c>
      <c r="G348" s="2" t="s">
        <v>21</v>
      </c>
      <c r="H348" s="2" t="s">
        <v>326</v>
      </c>
      <c r="I348" s="4">
        <v>256779419916</v>
      </c>
      <c r="K348" s="4" t="s">
        <v>189</v>
      </c>
      <c r="L348" s="7">
        <v>15778</v>
      </c>
      <c r="M348" s="7">
        <v>0</v>
      </c>
    </row>
    <row r="349" spans="1:14" x14ac:dyDescent="0.35">
      <c r="A349" s="2" t="s">
        <v>324</v>
      </c>
      <c r="B349" s="6">
        <v>0</v>
      </c>
      <c r="C349" s="6">
        <v>10489.678599999999</v>
      </c>
      <c r="D349" s="2" t="s">
        <v>15</v>
      </c>
      <c r="E349" s="2" t="s">
        <v>15</v>
      </c>
      <c r="F349" s="2" t="s">
        <v>327</v>
      </c>
      <c r="G349" s="2" t="s">
        <v>279</v>
      </c>
      <c r="H349" s="2" t="s">
        <v>327</v>
      </c>
      <c r="I349" s="4">
        <v>256779419933</v>
      </c>
      <c r="K349" s="4" t="s">
        <v>192</v>
      </c>
      <c r="L349" s="7">
        <v>36410</v>
      </c>
      <c r="M349" s="7">
        <v>0</v>
      </c>
    </row>
    <row r="350" spans="1:14" x14ac:dyDescent="0.35">
      <c r="A350" s="2" t="s">
        <v>324</v>
      </c>
      <c r="B350" s="6">
        <v>0</v>
      </c>
      <c r="C350" s="6">
        <v>28407.106800000001</v>
      </c>
      <c r="D350" s="2" t="s">
        <v>15</v>
      </c>
      <c r="E350" s="2" t="s">
        <v>15</v>
      </c>
      <c r="F350" s="2" t="s">
        <v>328</v>
      </c>
      <c r="G350" s="2" t="s">
        <v>36</v>
      </c>
      <c r="H350" s="2" t="s">
        <v>328</v>
      </c>
      <c r="I350" s="4">
        <v>256779419795</v>
      </c>
      <c r="K350" s="4" t="s">
        <v>194</v>
      </c>
      <c r="L350" s="7">
        <v>15401</v>
      </c>
      <c r="M350" s="7">
        <v>0</v>
      </c>
    </row>
    <row r="351" spans="1:14" x14ac:dyDescent="0.35">
      <c r="A351" s="2" t="s">
        <v>329</v>
      </c>
      <c r="B351" s="6">
        <v>4048</v>
      </c>
      <c r="C351" s="6">
        <v>40195.392399999997</v>
      </c>
      <c r="D351" s="2" t="s">
        <v>15</v>
      </c>
      <c r="E351" s="2" t="s">
        <v>15</v>
      </c>
      <c r="F351" s="2" t="s">
        <v>330</v>
      </c>
      <c r="G351" s="2" t="s">
        <v>43</v>
      </c>
      <c r="H351" s="2" t="s">
        <v>331</v>
      </c>
      <c r="I351" s="4">
        <v>256779418802</v>
      </c>
      <c r="K351" s="4" t="s">
        <v>947</v>
      </c>
      <c r="L351" s="7">
        <v>8812706.5199999996</v>
      </c>
      <c r="M351" s="7">
        <v>0</v>
      </c>
    </row>
    <row r="352" spans="1:14" x14ac:dyDescent="0.35">
      <c r="A352" s="2" t="s">
        <v>329</v>
      </c>
      <c r="B352" s="6">
        <v>0</v>
      </c>
      <c r="C352" s="6">
        <v>299.84859999999998</v>
      </c>
      <c r="D352" s="2" t="s">
        <v>15</v>
      </c>
      <c r="E352" s="2" t="s">
        <v>15</v>
      </c>
      <c r="F352" s="2" t="s">
        <v>332</v>
      </c>
      <c r="G352" s="2" t="s">
        <v>254</v>
      </c>
      <c r="H352" s="2" t="s">
        <v>332</v>
      </c>
      <c r="I352" s="4">
        <v>256779418477</v>
      </c>
      <c r="K352"/>
      <c r="L352"/>
      <c r="M352"/>
    </row>
    <row r="353" spans="1:11" x14ac:dyDescent="0.35">
      <c r="A353" s="2" t="s">
        <v>329</v>
      </c>
      <c r="B353" s="6">
        <v>7320</v>
      </c>
      <c r="C353" s="6">
        <v>73283.168300000005</v>
      </c>
      <c r="D353" s="2" t="s">
        <v>15</v>
      </c>
      <c r="E353" s="2" t="s">
        <v>15</v>
      </c>
      <c r="F353" s="2" t="s">
        <v>333</v>
      </c>
      <c r="G353" s="2" t="s">
        <v>36</v>
      </c>
      <c r="H353" s="2" t="s">
        <v>334</v>
      </c>
      <c r="I353" s="4">
        <v>246779418620</v>
      </c>
    </row>
    <row r="354" spans="1:11" x14ac:dyDescent="0.35">
      <c r="A354" s="2" t="s">
        <v>329</v>
      </c>
      <c r="B354" s="6">
        <v>500000</v>
      </c>
      <c r="C354" s="6">
        <v>0</v>
      </c>
      <c r="D354" s="2" t="s">
        <v>121</v>
      </c>
      <c r="E354" s="2" t="s">
        <v>122</v>
      </c>
      <c r="F354" s="2" t="s">
        <v>335</v>
      </c>
      <c r="G354" s="2" t="s">
        <v>124</v>
      </c>
      <c r="H354" s="2"/>
      <c r="I354" s="4"/>
    </row>
    <row r="355" spans="1:11" x14ac:dyDescent="0.35">
      <c r="A355" s="2" t="s">
        <v>329</v>
      </c>
      <c r="B355" s="6">
        <v>6</v>
      </c>
      <c r="C355" s="6">
        <v>306</v>
      </c>
      <c r="D355" s="2" t="s">
        <v>15</v>
      </c>
      <c r="E355" s="2" t="s">
        <v>15</v>
      </c>
      <c r="F355" s="2" t="s">
        <v>336</v>
      </c>
      <c r="G355" s="2" t="s">
        <v>254</v>
      </c>
      <c r="H355" s="2" t="s">
        <v>337</v>
      </c>
      <c r="I355" s="4">
        <v>256779418492</v>
      </c>
    </row>
    <row r="356" spans="1:11" x14ac:dyDescent="0.35">
      <c r="A356" s="2" t="s">
        <v>338</v>
      </c>
      <c r="B356" s="6">
        <v>176</v>
      </c>
      <c r="C356" s="6">
        <v>7046.0609999999997</v>
      </c>
      <c r="D356" s="2" t="s">
        <v>15</v>
      </c>
      <c r="E356" s="2" t="s">
        <v>15</v>
      </c>
      <c r="F356" s="2" t="s">
        <v>339</v>
      </c>
      <c r="G356" s="2" t="s">
        <v>21</v>
      </c>
      <c r="H356" s="2" t="s">
        <v>340</v>
      </c>
      <c r="I356" s="4">
        <v>256779418437</v>
      </c>
    </row>
    <row r="357" spans="1:11" x14ac:dyDescent="0.35">
      <c r="A357" s="2" t="s">
        <v>338</v>
      </c>
      <c r="B357" s="6">
        <v>88</v>
      </c>
      <c r="C357" s="6">
        <v>2901.2856000000002</v>
      </c>
      <c r="D357" s="2" t="s">
        <v>15</v>
      </c>
      <c r="E357" s="2" t="s">
        <v>15</v>
      </c>
      <c r="F357" s="2" t="s">
        <v>341</v>
      </c>
      <c r="G357" s="2" t="s">
        <v>31</v>
      </c>
      <c r="H357" s="2" t="s">
        <v>342</v>
      </c>
      <c r="I357" s="4">
        <v>256779418428</v>
      </c>
    </row>
    <row r="358" spans="1:11" x14ac:dyDescent="0.35">
      <c r="A358" s="2" t="s">
        <v>338</v>
      </c>
      <c r="B358" s="6">
        <v>0</v>
      </c>
      <c r="C358" s="6">
        <v>1036.08</v>
      </c>
      <c r="D358" s="2" t="s">
        <v>15</v>
      </c>
      <c r="E358" s="2" t="s">
        <v>15</v>
      </c>
      <c r="F358" s="2" t="s">
        <v>343</v>
      </c>
      <c r="G358" s="2" t="s">
        <v>21</v>
      </c>
      <c r="H358" s="2" t="s">
        <v>343</v>
      </c>
      <c r="I358" s="4">
        <v>256779418351</v>
      </c>
    </row>
    <row r="359" spans="1:11" s="42" customFormat="1" x14ac:dyDescent="0.35">
      <c r="A359" s="1" t="s">
        <v>494</v>
      </c>
      <c r="B359" s="7">
        <v>0</v>
      </c>
      <c r="C359" s="7">
        <v>33376</v>
      </c>
      <c r="D359" s="1" t="s">
        <v>15</v>
      </c>
      <c r="E359" s="1" t="s">
        <v>15</v>
      </c>
      <c r="F359" s="1" t="s">
        <v>187</v>
      </c>
      <c r="G359" s="1" t="s">
        <v>107</v>
      </c>
      <c r="H359" s="1" t="s">
        <v>187</v>
      </c>
      <c r="I359" s="4">
        <v>246779411300</v>
      </c>
      <c r="K359" s="47"/>
    </row>
    <row r="360" spans="1:11" x14ac:dyDescent="0.35">
      <c r="A360" s="2" t="s">
        <v>338</v>
      </c>
      <c r="B360" s="6">
        <v>88</v>
      </c>
      <c r="C360" s="6">
        <v>6173.1630999999998</v>
      </c>
      <c r="D360" s="2" t="s">
        <v>15</v>
      </c>
      <c r="E360" s="2" t="s">
        <v>15</v>
      </c>
      <c r="F360" s="2" t="s">
        <v>346</v>
      </c>
      <c r="G360" s="2" t="s">
        <v>347</v>
      </c>
      <c r="H360" s="2" t="s">
        <v>348</v>
      </c>
      <c r="I360" s="4">
        <v>256779418168</v>
      </c>
    </row>
    <row r="361" spans="1:11" x14ac:dyDescent="0.35">
      <c r="A361" s="2" t="s">
        <v>338</v>
      </c>
      <c r="B361" s="6">
        <v>6791</v>
      </c>
      <c r="C361" s="6">
        <v>68060.655499999993</v>
      </c>
      <c r="D361" s="2" t="s">
        <v>15</v>
      </c>
      <c r="E361" s="2" t="s">
        <v>15</v>
      </c>
      <c r="F361" s="2" t="s">
        <v>349</v>
      </c>
      <c r="G361" s="2" t="s">
        <v>36</v>
      </c>
      <c r="H361" s="2" t="s">
        <v>350</v>
      </c>
      <c r="I361" s="4">
        <v>256779418094</v>
      </c>
    </row>
    <row r="362" spans="1:11" x14ac:dyDescent="0.35">
      <c r="A362" s="2" t="s">
        <v>338</v>
      </c>
      <c r="B362" s="6">
        <v>1058</v>
      </c>
      <c r="C362" s="6">
        <v>51397.291499999999</v>
      </c>
      <c r="D362" s="2" t="s">
        <v>15</v>
      </c>
      <c r="E362" s="2" t="s">
        <v>15</v>
      </c>
      <c r="F362" s="2" t="s">
        <v>351</v>
      </c>
      <c r="G362" s="2" t="s">
        <v>21</v>
      </c>
      <c r="H362" s="2" t="s">
        <v>352</v>
      </c>
      <c r="I362" s="4">
        <v>256779417978</v>
      </c>
    </row>
    <row r="363" spans="1:11" x14ac:dyDescent="0.35">
      <c r="A363" s="2" t="s">
        <v>185</v>
      </c>
      <c r="B363" s="6">
        <v>33376</v>
      </c>
      <c r="C363" s="6">
        <v>0</v>
      </c>
      <c r="D363" s="2" t="s">
        <v>15</v>
      </c>
      <c r="E363" s="2" t="s">
        <v>149</v>
      </c>
      <c r="F363" s="2" t="s">
        <v>186</v>
      </c>
      <c r="G363" s="2" t="s">
        <v>107</v>
      </c>
      <c r="H363" s="2" t="s">
        <v>187</v>
      </c>
      <c r="I363" s="4">
        <v>246779411300</v>
      </c>
    </row>
    <row r="364" spans="1:11" x14ac:dyDescent="0.35">
      <c r="A364" s="2" t="s">
        <v>355</v>
      </c>
      <c r="B364" s="6">
        <v>1351</v>
      </c>
      <c r="C364" s="6">
        <v>67557</v>
      </c>
      <c r="D364" s="2" t="s">
        <v>15</v>
      </c>
      <c r="E364" s="2" t="s">
        <v>15</v>
      </c>
      <c r="F364" s="2" t="s">
        <v>356</v>
      </c>
      <c r="G364" s="2" t="s">
        <v>66</v>
      </c>
      <c r="H364" s="2" t="s">
        <v>357</v>
      </c>
      <c r="I364" s="4">
        <v>256779416178</v>
      </c>
    </row>
    <row r="365" spans="1:11" s="42" customFormat="1" x14ac:dyDescent="0.35">
      <c r="A365" s="2" t="s">
        <v>185</v>
      </c>
      <c r="B365" s="6">
        <v>0</v>
      </c>
      <c r="C365" s="6">
        <v>44602</v>
      </c>
      <c r="D365" s="2" t="s">
        <v>15</v>
      </c>
      <c r="E365" s="2" t="s">
        <v>15</v>
      </c>
      <c r="F365" s="2" t="s">
        <v>190</v>
      </c>
      <c r="G365" s="2" t="s">
        <v>107</v>
      </c>
      <c r="H365" s="2" t="s">
        <v>190</v>
      </c>
      <c r="I365" s="4">
        <v>246779411278</v>
      </c>
      <c r="J365" s="43"/>
      <c r="K365" s="48"/>
    </row>
    <row r="366" spans="1:11" x14ac:dyDescent="0.35">
      <c r="A366" s="2" t="s">
        <v>13</v>
      </c>
      <c r="B366" s="6">
        <v>0</v>
      </c>
      <c r="C366" s="6">
        <v>59624</v>
      </c>
      <c r="D366" s="2" t="s">
        <v>15</v>
      </c>
      <c r="E366" s="2" t="s">
        <v>15</v>
      </c>
      <c r="F366" s="2" t="s">
        <v>46</v>
      </c>
      <c r="G366" s="2" t="s">
        <v>36</v>
      </c>
      <c r="H366" s="2" t="s">
        <v>46</v>
      </c>
      <c r="I366" s="4">
        <v>246779410360</v>
      </c>
      <c r="J366" s="9"/>
      <c r="K366" s="49"/>
    </row>
    <row r="367" spans="1:11" s="42" customFormat="1" x14ac:dyDescent="0.35">
      <c r="A367" s="2" t="s">
        <v>145</v>
      </c>
      <c r="B367" s="6">
        <v>0</v>
      </c>
      <c r="C367" s="6">
        <v>151725</v>
      </c>
      <c r="D367" s="2" t="s">
        <v>15</v>
      </c>
      <c r="E367" s="2" t="s">
        <v>15</v>
      </c>
      <c r="F367" s="2" t="s">
        <v>147</v>
      </c>
      <c r="G367" s="2" t="s">
        <v>36</v>
      </c>
      <c r="H367" s="2" t="s">
        <v>147</v>
      </c>
      <c r="I367" s="4">
        <v>246779410348</v>
      </c>
      <c r="J367" s="43"/>
      <c r="K367" s="48"/>
    </row>
    <row r="368" spans="1:11" x14ac:dyDescent="0.35">
      <c r="A368" s="2" t="s">
        <v>364</v>
      </c>
      <c r="B368" s="6">
        <v>4174</v>
      </c>
      <c r="C368" s="6">
        <v>41446.745000000003</v>
      </c>
      <c r="D368" s="2" t="s">
        <v>15</v>
      </c>
      <c r="E368" s="2" t="s">
        <v>15</v>
      </c>
      <c r="F368" s="2" t="s">
        <v>365</v>
      </c>
      <c r="G368" s="2" t="s">
        <v>200</v>
      </c>
      <c r="H368" s="2" t="s">
        <v>366</v>
      </c>
      <c r="I368" s="4">
        <v>256779440041</v>
      </c>
    </row>
    <row r="369" spans="1:9" x14ac:dyDescent="0.35">
      <c r="A369" s="2" t="s">
        <v>364</v>
      </c>
      <c r="B369" s="6">
        <v>0</v>
      </c>
      <c r="C369" s="6">
        <v>1066.231</v>
      </c>
      <c r="D369" s="2" t="s">
        <v>15</v>
      </c>
      <c r="E369" s="2" t="s">
        <v>15</v>
      </c>
      <c r="F369" s="2" t="s">
        <v>367</v>
      </c>
      <c r="G369" s="2" t="s">
        <v>21</v>
      </c>
      <c r="H369" s="2" t="s">
        <v>367</v>
      </c>
      <c r="I369" s="4">
        <v>256779440069</v>
      </c>
    </row>
    <row r="370" spans="1:9" x14ac:dyDescent="0.35">
      <c r="A370" s="2" t="s">
        <v>368</v>
      </c>
      <c r="B370" s="6">
        <v>181</v>
      </c>
      <c r="C370" s="6">
        <v>8983.0849999999991</v>
      </c>
      <c r="D370" s="2" t="s">
        <v>15</v>
      </c>
      <c r="E370" s="2" t="s">
        <v>15</v>
      </c>
      <c r="F370" s="2" t="s">
        <v>369</v>
      </c>
      <c r="G370" s="2" t="s">
        <v>370</v>
      </c>
      <c r="H370" s="2" t="s">
        <v>371</v>
      </c>
      <c r="I370" s="4">
        <v>256779440118</v>
      </c>
    </row>
    <row r="371" spans="1:9" x14ac:dyDescent="0.35">
      <c r="A371" s="2" t="s">
        <v>372</v>
      </c>
      <c r="B371" s="6">
        <v>674751</v>
      </c>
      <c r="C371" s="6">
        <v>0</v>
      </c>
      <c r="D371" s="2" t="s">
        <v>121</v>
      </c>
      <c r="E371" s="2" t="s">
        <v>122</v>
      </c>
      <c r="F371" s="2" t="s">
        <v>373</v>
      </c>
      <c r="G371" s="2" t="s">
        <v>124</v>
      </c>
      <c r="H371" s="2" t="s">
        <v>301</v>
      </c>
      <c r="I371" s="4"/>
    </row>
    <row r="372" spans="1:9" x14ac:dyDescent="0.35">
      <c r="A372" s="2" t="s">
        <v>374</v>
      </c>
      <c r="B372" s="6">
        <v>90</v>
      </c>
      <c r="C372" s="6">
        <v>4904.3774000000003</v>
      </c>
      <c r="D372" s="2" t="s">
        <v>15</v>
      </c>
      <c r="E372" s="2" t="s">
        <v>15</v>
      </c>
      <c r="F372" s="2" t="s">
        <v>375</v>
      </c>
      <c r="G372" s="2" t="s">
        <v>376</v>
      </c>
      <c r="H372" s="2" t="s">
        <v>377</v>
      </c>
      <c r="I372" s="4">
        <v>256779440383</v>
      </c>
    </row>
    <row r="373" spans="1:9" x14ac:dyDescent="0.35">
      <c r="A373" s="2" t="s">
        <v>374</v>
      </c>
      <c r="B373" s="6">
        <v>181</v>
      </c>
      <c r="C373" s="6">
        <v>8983.0846000000001</v>
      </c>
      <c r="D373" s="2" t="s">
        <v>15</v>
      </c>
      <c r="E373" s="2" t="s">
        <v>15</v>
      </c>
      <c r="F373" s="2" t="s">
        <v>378</v>
      </c>
      <c r="G373" s="2" t="s">
        <v>379</v>
      </c>
      <c r="H373" s="2" t="s">
        <v>380</v>
      </c>
      <c r="I373" s="4">
        <v>256779440413</v>
      </c>
    </row>
    <row r="374" spans="1:9" x14ac:dyDescent="0.35">
      <c r="A374" s="2" t="s">
        <v>374</v>
      </c>
      <c r="B374" s="6">
        <v>91</v>
      </c>
      <c r="C374" s="6">
        <v>6141.7525999999998</v>
      </c>
      <c r="D374" s="2" t="s">
        <v>15</v>
      </c>
      <c r="E374" s="2" t="s">
        <v>15</v>
      </c>
      <c r="F374" s="2" t="s">
        <v>381</v>
      </c>
      <c r="G374" s="2" t="s">
        <v>21</v>
      </c>
      <c r="H374" s="2" t="s">
        <v>382</v>
      </c>
      <c r="I374" s="4">
        <v>256779440429</v>
      </c>
    </row>
    <row r="375" spans="1:9" x14ac:dyDescent="0.35">
      <c r="A375" s="2" t="s">
        <v>374</v>
      </c>
      <c r="B375" s="6">
        <v>1815</v>
      </c>
      <c r="C375" s="6">
        <v>18211.378000000001</v>
      </c>
      <c r="D375" s="2" t="s">
        <v>15</v>
      </c>
      <c r="E375" s="2" t="s">
        <v>15</v>
      </c>
      <c r="F375" s="2" t="s">
        <v>383</v>
      </c>
      <c r="G375" s="2" t="s">
        <v>36</v>
      </c>
      <c r="H375" s="2" t="s">
        <v>384</v>
      </c>
      <c r="I375" s="4">
        <v>256779440394</v>
      </c>
    </row>
    <row r="376" spans="1:9" x14ac:dyDescent="0.35">
      <c r="A376" s="2" t="s">
        <v>374</v>
      </c>
      <c r="B376" s="6">
        <v>1089</v>
      </c>
      <c r="C376" s="6">
        <v>11313.937</v>
      </c>
      <c r="D376" s="2" t="s">
        <v>15</v>
      </c>
      <c r="E376" s="2" t="s">
        <v>15</v>
      </c>
      <c r="F376" s="2" t="s">
        <v>385</v>
      </c>
      <c r="G376" s="2" t="s">
        <v>386</v>
      </c>
      <c r="H376" s="2" t="s">
        <v>387</v>
      </c>
      <c r="I376" s="4">
        <v>256779440392</v>
      </c>
    </row>
    <row r="377" spans="1:9" x14ac:dyDescent="0.35">
      <c r="A377" s="2" t="s">
        <v>388</v>
      </c>
      <c r="B377" s="6">
        <v>181</v>
      </c>
      <c r="C377" s="6">
        <v>7063.8671999999997</v>
      </c>
      <c r="D377" s="2" t="s">
        <v>15</v>
      </c>
      <c r="E377" s="2" t="s">
        <v>15</v>
      </c>
      <c r="F377" s="2" t="s">
        <v>389</v>
      </c>
      <c r="G377" s="2" t="s">
        <v>88</v>
      </c>
      <c r="H377" s="2" t="s">
        <v>390</v>
      </c>
      <c r="I377" s="4">
        <v>256779440210</v>
      </c>
    </row>
    <row r="378" spans="1:9" x14ac:dyDescent="0.35">
      <c r="A378" s="2" t="s">
        <v>388</v>
      </c>
      <c r="B378" s="6">
        <v>181</v>
      </c>
      <c r="C378" s="6">
        <v>11185.420599999999</v>
      </c>
      <c r="D378" s="2" t="s">
        <v>15</v>
      </c>
      <c r="E378" s="2" t="s">
        <v>15</v>
      </c>
      <c r="F378" s="2" t="s">
        <v>391</v>
      </c>
      <c r="G378" s="2" t="s">
        <v>386</v>
      </c>
      <c r="H378" s="2" t="s">
        <v>392</v>
      </c>
      <c r="I378" s="4">
        <v>256779440122</v>
      </c>
    </row>
  </sheetData>
  <autoFilter ref="A2:I378" xr:uid="{3A75D8A4-4455-46BA-B013-F042AB7C6290}"/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TDS</vt:lpstr>
      <vt:lpstr>Ascendus Data</vt:lpstr>
      <vt:lpstr>Difference in Invoice Value</vt:lpstr>
      <vt:lpstr>Invoice &amp; CN not in Customers</vt:lpstr>
      <vt:lpstr>Foreign Exchnage Gain loss</vt:lpstr>
      <vt:lpstr>Customer Data Vlookup</vt:lpstr>
      <vt:lpstr>DN &amp; CN in customer books</vt:lpstr>
      <vt:lpstr>DN Reversal with CN in customer</vt:lpstr>
      <vt:lpstr>Customer Data</vt:lpstr>
      <vt:lpstr>Customer Data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2026-03-12T10:14:49Z</dcterms:created>
  <dcterms:modified xsi:type="dcterms:W3CDTF">2026-04-23T10:12:30Z</dcterms:modified>
</cp:coreProperties>
</file>