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0. SHAH TC GLOBAL EXIM LLP\"/>
    </mc:Choice>
  </mc:AlternateContent>
  <xr:revisionPtr revIDLastSave="0" documentId="13_ncr:1_{262F9773-73A6-492F-92DB-2F7F5F5BF30E}" xr6:coauthVersionLast="47" xr6:coauthVersionMax="47" xr10:uidLastSave="{00000000-0000-0000-0000-000000000000}"/>
  <bookViews>
    <workbookView xWindow="-110" yWindow="-110" windowWidth="21820" windowHeight="14020" activeTab="3" xr2:uid="{00000000-000D-0000-FFFF-FFFF00000000}"/>
  </bookViews>
  <sheets>
    <sheet name="Sheet2" sheetId="4" r:id="rId1"/>
    <sheet name="Sheet1" sheetId="1" r:id="rId2"/>
    <sheet name="pivot" sheetId="3" r:id="rId3"/>
    <sheet name="Workings" sheetId="2" r:id="rId4"/>
  </sheets>
  <externalReferences>
    <externalReference r:id="rId5"/>
  </externalReferences>
  <definedNames>
    <definedName name="_xlnm._FilterDatabase" localSheetId="1" hidden="1">Sheet1!$A$1:$AG$322</definedName>
    <definedName name="_xlnm._FilterDatabase" localSheetId="3" hidden="1">Workings!$A$2:$AJ$321</definedName>
  </definedNames>
  <calcPr calcId="191029"/>
  <pivotCaches>
    <pivotCache cacheId="6" r:id="rId6"/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21" i="2" l="1"/>
  <c r="W321" i="2" s="1"/>
  <c r="V320" i="2"/>
  <c r="W320" i="2" s="1"/>
  <c r="V319" i="2"/>
  <c r="W319" i="2" s="1"/>
  <c r="V318" i="2"/>
  <c r="W318" i="2" s="1"/>
  <c r="V317" i="2"/>
  <c r="W317" i="2" s="1"/>
  <c r="V316" i="2"/>
  <c r="W316" i="2" s="1"/>
  <c r="V315" i="2"/>
  <c r="W315" i="2" s="1"/>
  <c r="V314" i="2"/>
  <c r="W314" i="2" s="1"/>
  <c r="V313" i="2"/>
  <c r="W313" i="2" s="1"/>
  <c r="V312" i="2"/>
  <c r="W312" i="2" s="1"/>
  <c r="V311" i="2"/>
  <c r="W311" i="2" s="1"/>
  <c r="V310" i="2"/>
  <c r="W310" i="2" s="1"/>
  <c r="V309" i="2"/>
  <c r="W309" i="2" s="1"/>
  <c r="V308" i="2"/>
  <c r="W308" i="2" s="1"/>
  <c r="V307" i="2"/>
  <c r="W307" i="2" s="1"/>
  <c r="V306" i="2"/>
  <c r="W306" i="2" s="1"/>
  <c r="V305" i="2"/>
  <c r="W305" i="2" s="1"/>
  <c r="V304" i="2"/>
  <c r="W304" i="2" s="1"/>
  <c r="V303" i="2"/>
  <c r="W303" i="2" s="1"/>
  <c r="V302" i="2"/>
  <c r="W302" i="2" s="1"/>
  <c r="V301" i="2"/>
  <c r="W301" i="2" s="1"/>
  <c r="V300" i="2"/>
  <c r="W300" i="2" s="1"/>
  <c r="V299" i="2"/>
  <c r="W299" i="2" s="1"/>
  <c r="V298" i="2"/>
  <c r="W298" i="2" s="1"/>
  <c r="V291" i="2"/>
  <c r="W291" i="2" s="1"/>
  <c r="V290" i="2"/>
  <c r="W290" i="2" s="1"/>
  <c r="V289" i="2"/>
  <c r="W289" i="2" s="1"/>
  <c r="V288" i="2"/>
  <c r="W288" i="2" s="1"/>
  <c r="V287" i="2"/>
  <c r="W287" i="2" s="1"/>
  <c r="V286" i="2"/>
  <c r="W286" i="2" s="1"/>
  <c r="V285" i="2"/>
  <c r="W285" i="2" s="1"/>
  <c r="V284" i="2"/>
  <c r="W284" i="2" s="1"/>
  <c r="V283" i="2"/>
  <c r="W283" i="2" s="1"/>
  <c r="V282" i="2"/>
  <c r="W282" i="2" s="1"/>
  <c r="V281" i="2"/>
  <c r="W281" i="2" s="1"/>
  <c r="V280" i="2"/>
  <c r="W280" i="2" s="1"/>
  <c r="V279" i="2"/>
  <c r="W279" i="2" s="1"/>
  <c r="V278" i="2"/>
  <c r="W278" i="2" s="1"/>
  <c r="V277" i="2"/>
  <c r="W277" i="2" s="1"/>
  <c r="V276" i="2"/>
  <c r="W276" i="2" s="1"/>
  <c r="V275" i="2"/>
  <c r="W275" i="2" s="1"/>
  <c r="V274" i="2"/>
  <c r="W274" i="2" s="1"/>
  <c r="V273" i="2"/>
  <c r="W273" i="2" s="1"/>
  <c r="V272" i="2"/>
  <c r="W272" i="2" s="1"/>
  <c r="V271" i="2"/>
  <c r="W271" i="2" s="1"/>
  <c r="V270" i="2"/>
  <c r="W270" i="2" s="1"/>
  <c r="V269" i="2"/>
  <c r="W269" i="2" s="1"/>
  <c r="V268" i="2"/>
  <c r="W268" i="2" s="1"/>
  <c r="V267" i="2"/>
  <c r="W267" i="2" s="1"/>
  <c r="V266" i="2"/>
  <c r="W266" i="2" s="1"/>
  <c r="V265" i="2"/>
  <c r="W265" i="2" s="1"/>
  <c r="V264" i="2"/>
  <c r="W264" i="2" s="1"/>
  <c r="V263" i="2"/>
  <c r="W263" i="2" s="1"/>
  <c r="V262" i="2"/>
  <c r="W262" i="2" s="1"/>
  <c r="V261" i="2"/>
  <c r="W261" i="2" s="1"/>
  <c r="V260" i="2"/>
  <c r="W260" i="2" s="1"/>
  <c r="V259" i="2"/>
  <c r="W259" i="2" s="1"/>
  <c r="V258" i="2"/>
  <c r="W258" i="2" s="1"/>
  <c r="V257" i="2"/>
  <c r="W257" i="2" s="1"/>
  <c r="V256" i="2"/>
  <c r="W256" i="2" s="1"/>
  <c r="V255" i="2"/>
  <c r="W255" i="2" s="1"/>
  <c r="V254" i="2"/>
  <c r="W254" i="2" s="1"/>
  <c r="V253" i="2"/>
  <c r="W253" i="2" s="1"/>
  <c r="V252" i="2"/>
  <c r="W252" i="2" s="1"/>
  <c r="V251" i="2"/>
  <c r="W251" i="2" s="1"/>
  <c r="V250" i="2"/>
  <c r="W250" i="2" s="1"/>
  <c r="V249" i="2"/>
  <c r="W249" i="2" s="1"/>
  <c r="V248" i="2"/>
  <c r="W248" i="2" s="1"/>
  <c r="V247" i="2"/>
  <c r="W247" i="2" s="1"/>
  <c r="V246" i="2"/>
  <c r="W246" i="2" s="1"/>
  <c r="V245" i="2"/>
  <c r="W245" i="2" s="1"/>
  <c r="V244" i="2"/>
  <c r="W244" i="2" s="1"/>
  <c r="V243" i="2"/>
  <c r="W243" i="2" s="1"/>
  <c r="V242" i="2"/>
  <c r="W242" i="2" s="1"/>
  <c r="V241" i="2"/>
  <c r="W241" i="2" s="1"/>
  <c r="V240" i="2"/>
  <c r="W240" i="2" s="1"/>
  <c r="V239" i="2"/>
  <c r="W239" i="2" s="1"/>
  <c r="V238" i="2"/>
  <c r="W238" i="2" s="1"/>
  <c r="V237" i="2"/>
  <c r="W237" i="2" s="1"/>
  <c r="V236" i="2"/>
  <c r="W236" i="2" s="1"/>
  <c r="V235" i="2"/>
  <c r="W235" i="2" s="1"/>
  <c r="V234" i="2"/>
  <c r="W234" i="2" s="1"/>
  <c r="V233" i="2"/>
  <c r="W233" i="2" s="1"/>
  <c r="V232" i="2"/>
  <c r="W232" i="2" s="1"/>
  <c r="V231" i="2"/>
  <c r="W231" i="2" s="1"/>
  <c r="V230" i="2"/>
  <c r="W230" i="2" s="1"/>
  <c r="V229" i="2"/>
  <c r="W229" i="2" s="1"/>
  <c r="V228" i="2"/>
  <c r="W228" i="2" s="1"/>
  <c r="V227" i="2"/>
  <c r="W227" i="2" s="1"/>
  <c r="V226" i="2"/>
  <c r="W226" i="2" s="1"/>
  <c r="V225" i="2"/>
  <c r="W225" i="2" s="1"/>
  <c r="V224" i="2"/>
  <c r="W224" i="2" s="1"/>
  <c r="V223" i="2"/>
  <c r="W223" i="2" s="1"/>
  <c r="V222" i="2"/>
  <c r="W222" i="2" s="1"/>
  <c r="V221" i="2"/>
  <c r="W221" i="2" s="1"/>
  <c r="V220" i="2"/>
  <c r="W220" i="2" s="1"/>
  <c r="V219" i="2"/>
  <c r="W219" i="2" s="1"/>
  <c r="V218" i="2"/>
  <c r="W218" i="2" s="1"/>
  <c r="V217" i="2"/>
  <c r="W217" i="2" s="1"/>
  <c r="V216" i="2"/>
  <c r="W216" i="2" s="1"/>
  <c r="V215" i="2"/>
  <c r="W215" i="2" s="1"/>
  <c r="V214" i="2"/>
  <c r="W214" i="2" s="1"/>
  <c r="V213" i="2"/>
  <c r="W213" i="2" s="1"/>
  <c r="V212" i="2"/>
  <c r="W212" i="2" s="1"/>
  <c r="V211" i="2"/>
  <c r="W211" i="2" s="1"/>
  <c r="V210" i="2"/>
  <c r="W210" i="2" s="1"/>
  <c r="V209" i="2"/>
  <c r="W209" i="2" s="1"/>
  <c r="V208" i="2"/>
  <c r="W208" i="2" s="1"/>
  <c r="V207" i="2"/>
  <c r="W207" i="2" s="1"/>
  <c r="V206" i="2"/>
  <c r="W206" i="2" s="1"/>
  <c r="V205" i="2"/>
  <c r="W205" i="2" s="1"/>
  <c r="V204" i="2"/>
  <c r="W204" i="2" s="1"/>
  <c r="V203" i="2"/>
  <c r="W203" i="2" s="1"/>
  <c r="V202" i="2"/>
  <c r="W202" i="2" s="1"/>
  <c r="V201" i="2"/>
  <c r="W201" i="2" s="1"/>
  <c r="V200" i="2"/>
  <c r="W200" i="2" s="1"/>
  <c r="V199" i="2"/>
  <c r="W199" i="2" s="1"/>
  <c r="V198" i="2"/>
  <c r="W198" i="2" s="1"/>
  <c r="V197" i="2"/>
  <c r="W197" i="2" s="1"/>
  <c r="V196" i="2"/>
  <c r="W196" i="2" s="1"/>
  <c r="V195" i="2"/>
  <c r="W195" i="2" s="1"/>
  <c r="V194" i="2"/>
  <c r="W194" i="2" s="1"/>
  <c r="V193" i="2"/>
  <c r="W193" i="2" s="1"/>
  <c r="V192" i="2"/>
  <c r="W192" i="2" s="1"/>
  <c r="V191" i="2"/>
  <c r="W191" i="2" s="1"/>
  <c r="V190" i="2"/>
  <c r="W190" i="2" s="1"/>
  <c r="V189" i="2"/>
  <c r="W189" i="2" s="1"/>
  <c r="V188" i="2"/>
  <c r="W188" i="2" s="1"/>
  <c r="V187" i="2"/>
  <c r="W187" i="2" s="1"/>
  <c r="V186" i="2"/>
  <c r="W186" i="2" s="1"/>
  <c r="V185" i="2"/>
  <c r="W185" i="2" s="1"/>
  <c r="V184" i="2"/>
  <c r="W184" i="2" s="1"/>
  <c r="V183" i="2"/>
  <c r="W183" i="2" s="1"/>
  <c r="V182" i="2"/>
  <c r="W182" i="2" s="1"/>
  <c r="V181" i="2"/>
  <c r="W181" i="2" s="1"/>
  <c r="V180" i="2"/>
  <c r="W180" i="2" s="1"/>
  <c r="V179" i="2"/>
  <c r="W179" i="2" s="1"/>
  <c r="V178" i="2"/>
  <c r="W178" i="2" s="1"/>
  <c r="V177" i="2"/>
  <c r="W177" i="2" s="1"/>
  <c r="V176" i="2"/>
  <c r="W176" i="2" s="1"/>
  <c r="V175" i="2"/>
  <c r="W175" i="2" s="1"/>
  <c r="V174" i="2"/>
  <c r="W174" i="2" s="1"/>
  <c r="V173" i="2"/>
  <c r="W173" i="2" s="1"/>
  <c r="V172" i="2"/>
  <c r="W172" i="2" s="1"/>
  <c r="V171" i="2"/>
  <c r="W171" i="2" s="1"/>
  <c r="V170" i="2"/>
  <c r="W170" i="2" s="1"/>
  <c r="V169" i="2"/>
  <c r="W169" i="2" s="1"/>
  <c r="V168" i="2"/>
  <c r="W168" i="2" s="1"/>
  <c r="V167" i="2"/>
  <c r="W167" i="2" s="1"/>
  <c r="V166" i="2"/>
  <c r="W166" i="2" s="1"/>
  <c r="V165" i="2"/>
  <c r="W165" i="2" s="1"/>
  <c r="V164" i="2"/>
  <c r="W164" i="2" s="1"/>
  <c r="V163" i="2"/>
  <c r="W163" i="2" s="1"/>
  <c r="V162" i="2"/>
  <c r="W162" i="2" s="1"/>
  <c r="V161" i="2"/>
  <c r="W161" i="2" s="1"/>
  <c r="V160" i="2"/>
  <c r="W160" i="2" s="1"/>
  <c r="V159" i="2"/>
  <c r="W159" i="2" s="1"/>
  <c r="V158" i="2"/>
  <c r="W158" i="2" s="1"/>
  <c r="V157" i="2"/>
  <c r="W157" i="2" s="1"/>
  <c r="V156" i="2"/>
  <c r="W156" i="2" s="1"/>
  <c r="V155" i="2"/>
  <c r="W155" i="2" s="1"/>
  <c r="V154" i="2"/>
  <c r="W154" i="2" s="1"/>
  <c r="V153" i="2"/>
  <c r="W153" i="2" s="1"/>
  <c r="V152" i="2"/>
  <c r="W152" i="2" s="1"/>
  <c r="V151" i="2"/>
  <c r="W151" i="2" s="1"/>
  <c r="V150" i="2"/>
  <c r="W150" i="2" s="1"/>
  <c r="V149" i="2"/>
  <c r="W149" i="2" s="1"/>
  <c r="V148" i="2"/>
  <c r="W148" i="2" s="1"/>
  <c r="V147" i="2"/>
  <c r="W147" i="2" s="1"/>
  <c r="V146" i="2"/>
  <c r="W146" i="2" s="1"/>
  <c r="V145" i="2"/>
  <c r="W145" i="2" s="1"/>
  <c r="V144" i="2"/>
  <c r="W144" i="2" s="1"/>
  <c r="V143" i="2"/>
  <c r="W143" i="2" s="1"/>
  <c r="V142" i="2"/>
  <c r="W142" i="2" s="1"/>
  <c r="V141" i="2"/>
  <c r="W141" i="2" s="1"/>
  <c r="V140" i="2"/>
  <c r="W140" i="2" s="1"/>
  <c r="V139" i="2"/>
  <c r="W139" i="2" s="1"/>
  <c r="V138" i="2"/>
  <c r="W138" i="2" s="1"/>
  <c r="V137" i="2"/>
  <c r="W137" i="2" s="1"/>
  <c r="V136" i="2"/>
  <c r="W136" i="2" s="1"/>
  <c r="V135" i="2"/>
  <c r="W135" i="2" s="1"/>
  <c r="V134" i="2"/>
  <c r="W134" i="2" s="1"/>
  <c r="V133" i="2"/>
  <c r="W133" i="2" s="1"/>
  <c r="V132" i="2"/>
  <c r="W132" i="2" s="1"/>
  <c r="V131" i="2"/>
  <c r="W131" i="2" s="1"/>
  <c r="V130" i="2"/>
  <c r="W130" i="2" s="1"/>
  <c r="V129" i="2"/>
  <c r="W129" i="2" s="1"/>
  <c r="V128" i="2"/>
  <c r="W128" i="2" s="1"/>
  <c r="V127" i="2"/>
  <c r="W127" i="2" s="1"/>
  <c r="V126" i="2"/>
  <c r="W126" i="2" s="1"/>
  <c r="V125" i="2"/>
  <c r="W125" i="2" s="1"/>
  <c r="V124" i="2"/>
  <c r="W124" i="2" s="1"/>
  <c r="V123" i="2"/>
  <c r="W123" i="2" s="1"/>
  <c r="V122" i="2"/>
  <c r="W122" i="2" s="1"/>
  <c r="V121" i="2"/>
  <c r="W121" i="2" s="1"/>
  <c r="V120" i="2"/>
  <c r="W120" i="2" s="1"/>
  <c r="V119" i="2"/>
  <c r="W119" i="2" s="1"/>
  <c r="V118" i="2"/>
  <c r="W118" i="2" s="1"/>
  <c r="V117" i="2"/>
  <c r="W117" i="2" s="1"/>
  <c r="V116" i="2"/>
  <c r="W116" i="2" s="1"/>
  <c r="V115" i="2"/>
  <c r="W115" i="2" s="1"/>
  <c r="V114" i="2"/>
  <c r="W114" i="2" s="1"/>
  <c r="V113" i="2"/>
  <c r="W113" i="2" s="1"/>
  <c r="V112" i="2"/>
  <c r="W112" i="2" s="1"/>
  <c r="V111" i="2"/>
  <c r="W111" i="2" s="1"/>
  <c r="V110" i="2"/>
  <c r="W110" i="2" s="1"/>
  <c r="V109" i="2"/>
  <c r="W109" i="2" s="1"/>
  <c r="V108" i="2"/>
  <c r="W108" i="2" s="1"/>
  <c r="V107" i="2"/>
  <c r="W107" i="2" s="1"/>
  <c r="V106" i="2"/>
  <c r="W106" i="2" s="1"/>
  <c r="V105" i="2"/>
  <c r="W105" i="2" s="1"/>
  <c r="V104" i="2"/>
  <c r="W104" i="2" s="1"/>
  <c r="V103" i="2"/>
  <c r="W103" i="2" s="1"/>
  <c r="V102" i="2"/>
  <c r="W102" i="2" s="1"/>
  <c r="V101" i="2"/>
  <c r="W101" i="2" s="1"/>
  <c r="V100" i="2"/>
  <c r="W100" i="2" s="1"/>
  <c r="V99" i="2"/>
  <c r="W99" i="2" s="1"/>
  <c r="V98" i="2"/>
  <c r="W98" i="2" s="1"/>
  <c r="V97" i="2"/>
  <c r="W97" i="2" s="1"/>
  <c r="V96" i="2"/>
  <c r="W96" i="2" s="1"/>
  <c r="V95" i="2"/>
  <c r="W95" i="2" s="1"/>
  <c r="V94" i="2"/>
  <c r="W94" i="2" s="1"/>
  <c r="V93" i="2"/>
  <c r="W93" i="2" s="1"/>
  <c r="V92" i="2"/>
  <c r="W92" i="2" s="1"/>
  <c r="V91" i="2"/>
  <c r="W91" i="2" s="1"/>
  <c r="V90" i="2"/>
  <c r="W90" i="2" s="1"/>
  <c r="V89" i="2"/>
  <c r="W89" i="2" s="1"/>
  <c r="V88" i="2"/>
  <c r="W88" i="2" s="1"/>
  <c r="V87" i="2"/>
  <c r="W87" i="2" s="1"/>
  <c r="V86" i="2"/>
  <c r="W86" i="2" s="1"/>
  <c r="V85" i="2"/>
  <c r="W85" i="2" s="1"/>
  <c r="V84" i="2"/>
  <c r="W84" i="2" s="1"/>
  <c r="V83" i="2"/>
  <c r="W83" i="2" s="1"/>
  <c r="V82" i="2"/>
  <c r="W82" i="2" s="1"/>
  <c r="V81" i="2"/>
  <c r="W81" i="2" s="1"/>
  <c r="V80" i="2"/>
  <c r="W80" i="2" s="1"/>
  <c r="V79" i="2"/>
  <c r="W79" i="2" s="1"/>
  <c r="V78" i="2"/>
  <c r="W78" i="2" s="1"/>
  <c r="V77" i="2"/>
  <c r="W77" i="2" s="1"/>
  <c r="V76" i="2"/>
  <c r="W76" i="2" s="1"/>
  <c r="V75" i="2"/>
  <c r="W75" i="2" s="1"/>
  <c r="V74" i="2"/>
  <c r="W74" i="2" s="1"/>
  <c r="V73" i="2"/>
  <c r="W73" i="2" s="1"/>
  <c r="V72" i="2"/>
  <c r="W72" i="2" s="1"/>
  <c r="V71" i="2"/>
  <c r="W71" i="2" s="1"/>
  <c r="V70" i="2"/>
  <c r="W70" i="2" s="1"/>
  <c r="V69" i="2"/>
  <c r="W69" i="2" s="1"/>
  <c r="V68" i="2"/>
  <c r="W68" i="2" s="1"/>
  <c r="V67" i="2"/>
  <c r="W67" i="2" s="1"/>
  <c r="V66" i="2"/>
  <c r="W66" i="2" s="1"/>
  <c r="V65" i="2"/>
  <c r="W65" i="2" s="1"/>
  <c r="V64" i="2"/>
  <c r="W64" i="2" s="1"/>
  <c r="V63" i="2"/>
  <c r="W63" i="2" s="1"/>
  <c r="V62" i="2"/>
  <c r="W62" i="2" s="1"/>
  <c r="V61" i="2"/>
  <c r="W61" i="2" s="1"/>
  <c r="V60" i="2"/>
  <c r="W60" i="2" s="1"/>
  <c r="V59" i="2"/>
  <c r="W59" i="2" s="1"/>
  <c r="V58" i="2"/>
  <c r="W58" i="2" s="1"/>
  <c r="V57" i="2"/>
  <c r="W57" i="2" s="1"/>
  <c r="V56" i="2"/>
  <c r="W56" i="2" s="1"/>
  <c r="V55" i="2"/>
  <c r="W55" i="2" s="1"/>
  <c r="V54" i="2"/>
  <c r="W54" i="2" s="1"/>
  <c r="V53" i="2"/>
  <c r="W53" i="2" s="1"/>
  <c r="V52" i="2"/>
  <c r="W52" i="2" s="1"/>
  <c r="V51" i="2"/>
  <c r="W51" i="2" s="1"/>
  <c r="V50" i="2"/>
  <c r="W50" i="2" s="1"/>
  <c r="V49" i="2"/>
  <c r="W49" i="2" s="1"/>
  <c r="V48" i="2"/>
  <c r="W48" i="2" s="1"/>
  <c r="V47" i="2"/>
  <c r="W47" i="2" s="1"/>
  <c r="V46" i="2"/>
  <c r="W46" i="2" s="1"/>
  <c r="V45" i="2"/>
  <c r="W45" i="2" s="1"/>
  <c r="V44" i="2"/>
  <c r="W44" i="2" s="1"/>
  <c r="V43" i="2"/>
  <c r="W43" i="2" s="1"/>
  <c r="V42" i="2"/>
  <c r="W42" i="2" s="1"/>
  <c r="V41" i="2"/>
  <c r="W41" i="2" s="1"/>
  <c r="V40" i="2"/>
  <c r="W40" i="2" s="1"/>
  <c r="V39" i="2"/>
  <c r="W39" i="2" s="1"/>
  <c r="V38" i="2"/>
  <c r="W38" i="2" s="1"/>
  <c r="V37" i="2"/>
  <c r="W37" i="2" s="1"/>
  <c r="V36" i="2"/>
  <c r="W36" i="2" s="1"/>
  <c r="V35" i="2"/>
  <c r="W35" i="2" s="1"/>
  <c r="V34" i="2"/>
  <c r="W34" i="2" s="1"/>
  <c r="V33" i="2"/>
  <c r="W33" i="2" s="1"/>
  <c r="V32" i="2"/>
  <c r="W32" i="2" s="1"/>
  <c r="V31" i="2"/>
  <c r="W31" i="2" s="1"/>
  <c r="U1" i="2"/>
</calcChain>
</file>

<file path=xl/sharedStrings.xml><?xml version="1.0" encoding="utf-8"?>
<sst xmlns="http://schemas.openxmlformats.org/spreadsheetml/2006/main" count="16433" uniqueCount="976">
  <si>
    <t>Selected</t>
  </si>
  <si>
    <t>6779</t>
  </si>
  <si>
    <t>100222372</t>
  </si>
  <si>
    <t>SHAH TC GLOBAL EXIM LLP</t>
  </si>
  <si>
    <t>2025</t>
  </si>
  <si>
    <t>4</t>
  </si>
  <si>
    <t>1600000042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</si>
  <si>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</si>
  <si>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</si>
  <si>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</si>
  <si>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</si>
  <si>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</si>
  <si>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</si>
  <si>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</si>
  <si>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</si>
  <si>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</si>
  <si>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</si>
  <si>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</si>
  <si>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9</t>
  </si>
  <si>
    <t>1400001110</t>
  </si>
  <si>
    <t>DY</t>
  </si>
  <si>
    <t>08</t>
  </si>
  <si>
    <t>15</t>
  </si>
  <si>
    <t>8</t>
  </si>
  <si>
    <t>1400000854</t>
  </si>
  <si>
    <t>DZ</t>
  </si>
  <si>
    <t>USD</t>
  </si>
  <si>
    <t>Not Selected</t>
  </si>
  <si>
    <t>10</t>
  </si>
  <si>
    <t>1400001231</t>
  </si>
  <si>
    <t>0758767253FS</t>
  </si>
  <si>
    <t>6779220000</t>
  </si>
  <si>
    <t>1400000977</t>
  </si>
  <si>
    <t>T54SWIC264904</t>
  </si>
  <si>
    <t>1400000990</t>
  </si>
  <si>
    <t>T54SWIC268990</t>
  </si>
  <si>
    <t>7</t>
  </si>
  <si>
    <t>1400000126</t>
  </si>
  <si>
    <t>1810304156FS</t>
  </si>
  <si>
    <t>1400000149</t>
  </si>
  <si>
    <t>1400000127</t>
  </si>
  <si>
    <t>9422978156FS</t>
  </si>
  <si>
    <t>1400000128</t>
  </si>
  <si>
    <t>8113643156FS</t>
  </si>
  <si>
    <t>1400000133</t>
  </si>
  <si>
    <t>1171852164FS</t>
  </si>
  <si>
    <t>1400000134</t>
  </si>
  <si>
    <t>4989824164FS</t>
  </si>
  <si>
    <t>05</t>
  </si>
  <si>
    <t>3</t>
  </si>
  <si>
    <t>1400000864</t>
  </si>
  <si>
    <t>8681446219FS</t>
  </si>
  <si>
    <t>1400001221</t>
  </si>
  <si>
    <t>4568362253FS</t>
  </si>
  <si>
    <t>11</t>
  </si>
  <si>
    <t>1400001598</t>
  </si>
  <si>
    <t>T54SWIC278972</t>
  </si>
  <si>
    <t>1400001618</t>
  </si>
  <si>
    <t>T54SWIC279192</t>
  </si>
  <si>
    <t>1400001620</t>
  </si>
  <si>
    <t>5940256259FS</t>
  </si>
  <si>
    <t>1400001622</t>
  </si>
  <si>
    <t>T54SWIC279194</t>
  </si>
  <si>
    <t>XC</t>
  </si>
  <si>
    <t>6779ZR25000004</t>
  </si>
  <si>
    <t>01</t>
  </si>
  <si>
    <t>6779ZP25000099</t>
  </si>
  <si>
    <t>123</t>
  </si>
  <si>
    <t>1400000213</t>
  </si>
  <si>
    <t>NA</t>
  </si>
  <si>
    <t>KNOCK OFF ENTRY</t>
  </si>
  <si>
    <t>1400000214</t>
  </si>
  <si>
    <t>1400000215</t>
  </si>
  <si>
    <t>5</t>
  </si>
  <si>
    <t>1800008260</t>
  </si>
  <si>
    <t>DR</t>
  </si>
  <si>
    <t>256779413144</t>
  </si>
  <si>
    <t>O0</t>
  </si>
  <si>
    <t>Fixed Storage Charges fo MAY 2025</t>
  </si>
  <si>
    <t>6</t>
  </si>
  <si>
    <t>1800009592</t>
  </si>
  <si>
    <t>256779414356</t>
  </si>
  <si>
    <t>Fixed Storage Charges fo JUNE 2025</t>
  </si>
  <si>
    <t>1800010154</t>
  </si>
  <si>
    <t>256779414914</t>
  </si>
  <si>
    <t>Fixed Storage Charges fo JULY 2025</t>
  </si>
  <si>
    <t>1800011360</t>
  </si>
  <si>
    <t>256779416026</t>
  </si>
  <si>
    <t>Fixed Storage Charges for August 2025</t>
  </si>
  <si>
    <t>1800012712</t>
  </si>
  <si>
    <t>256779417346</t>
  </si>
  <si>
    <t>2097261</t>
  </si>
  <si>
    <t>Fixed Storage Charges for September 2025</t>
  </si>
  <si>
    <t>1800014235</t>
  </si>
  <si>
    <t>256779418775</t>
  </si>
  <si>
    <t>2123158</t>
  </si>
  <si>
    <t>Fixed Storage Charges for November 2025</t>
  </si>
  <si>
    <t>12</t>
  </si>
  <si>
    <t>1800015484</t>
  </si>
  <si>
    <t>256779419968</t>
  </si>
  <si>
    <t>2139804</t>
  </si>
  <si>
    <t>Fixed Storage Charges for December 2025</t>
  </si>
  <si>
    <t>1800008261</t>
  </si>
  <si>
    <t>256779413145</t>
  </si>
  <si>
    <t>1800009593</t>
  </si>
  <si>
    <t>256779414357</t>
  </si>
  <si>
    <t>1800010155</t>
  </si>
  <si>
    <t>256779414915</t>
  </si>
  <si>
    <t>1800011361</t>
  </si>
  <si>
    <t>256779416027</t>
  </si>
  <si>
    <t>1800012713</t>
  </si>
  <si>
    <t>256779417347</t>
  </si>
  <si>
    <t>1800014236</t>
  </si>
  <si>
    <t>256779418776</t>
  </si>
  <si>
    <t>1800015485</t>
  </si>
  <si>
    <t>256779419969</t>
  </si>
  <si>
    <t>Fixed Mangement FEE for December 2025</t>
  </si>
  <si>
    <t>1600002145</t>
  </si>
  <si>
    <t>DG</t>
  </si>
  <si>
    <t>256779421709</t>
  </si>
  <si>
    <t>CN issued towards D &amp; D</t>
  </si>
  <si>
    <t>1800012258</t>
  </si>
  <si>
    <t>256779416887</t>
  </si>
  <si>
    <t>DN issued towards D &amp; D 256779421709</t>
  </si>
  <si>
    <t>1800002451</t>
  </si>
  <si>
    <t>246779412116</t>
  </si>
  <si>
    <t>Intra Unit Transfer Charges Month Of December,2024</t>
  </si>
  <si>
    <t>1800002454</t>
  </si>
  <si>
    <t>246779412119</t>
  </si>
  <si>
    <t>1800002456</t>
  </si>
  <si>
    <t>246779412121</t>
  </si>
  <si>
    <t>1800008348</t>
  </si>
  <si>
    <t>256779413231</t>
  </si>
  <si>
    <t>Intra Unit Transfer 16-30 April 25</t>
  </si>
  <si>
    <t>1800009077</t>
  </si>
  <si>
    <t>256779413841</t>
  </si>
  <si>
    <t>Unit to Unit, 1-15 May 25</t>
  </si>
  <si>
    <t>1800009083</t>
  </si>
  <si>
    <t>256779413847</t>
  </si>
  <si>
    <t>1800009084</t>
  </si>
  <si>
    <t>256779413848</t>
  </si>
  <si>
    <t>1800011280</t>
  </si>
  <si>
    <t>256779416012</t>
  </si>
  <si>
    <t>Unit to Unit 16-31 May 25</t>
  </si>
  <si>
    <t>1800001850</t>
  </si>
  <si>
    <t>246779411515</t>
  </si>
  <si>
    <t>Intra Unit Transfer Charges Month Of August,2024</t>
  </si>
  <si>
    <t>1800009967</t>
  </si>
  <si>
    <t>256779414731</t>
  </si>
  <si>
    <t>Unit to Unit 1-15 June 25</t>
  </si>
  <si>
    <t>1800009968</t>
  </si>
  <si>
    <t>256779414732</t>
  </si>
  <si>
    <t>1800009969</t>
  </si>
  <si>
    <t>256779414733</t>
  </si>
  <si>
    <t>1800009970</t>
  </si>
  <si>
    <t>256779414734</t>
  </si>
  <si>
    <t>1800009971</t>
  </si>
  <si>
    <t>256779414735</t>
  </si>
  <si>
    <t>1800012780</t>
  </si>
  <si>
    <t>256779417434</t>
  </si>
  <si>
    <t>2102531</t>
  </si>
  <si>
    <t>Intra SEZ -1-15 Sept-25</t>
  </si>
  <si>
    <t>1800013748</t>
  </si>
  <si>
    <t>256779418169</t>
  </si>
  <si>
    <t>2110802</t>
  </si>
  <si>
    <t>Intra - SEZ-16-30 Sept 25</t>
  </si>
  <si>
    <t>1800013749</t>
  </si>
  <si>
    <t>256779418170</t>
  </si>
  <si>
    <t>1800000374</t>
  </si>
  <si>
    <t>246779410343</t>
  </si>
  <si>
    <t>CY Longstanding container Ground Rent charges for</t>
  </si>
  <si>
    <t>1800000381</t>
  </si>
  <si>
    <t>246779410350</t>
  </si>
  <si>
    <t>1800000387</t>
  </si>
  <si>
    <t>246779410356</t>
  </si>
  <si>
    <t>1800000393</t>
  </si>
  <si>
    <t>246779410362</t>
  </si>
  <si>
    <t>1800000931</t>
  </si>
  <si>
    <t>246779410871</t>
  </si>
  <si>
    <t>Storage Charges for the month of November, 2024 Ex</t>
  </si>
  <si>
    <t>1800000953</t>
  </si>
  <si>
    <t>246779410893</t>
  </si>
  <si>
    <t>Storage Charges for the month of December, 2024 Ex</t>
  </si>
  <si>
    <t>1600002439</t>
  </si>
  <si>
    <t>256779421983</t>
  </si>
  <si>
    <t>2112591</t>
  </si>
  <si>
    <t>CN issued against 256779418011</t>
  </si>
  <si>
    <t>1800000414</t>
  </si>
  <si>
    <t>246779410376</t>
  </si>
  <si>
    <t>Storage Charges for the month of August, 2024</t>
  </si>
  <si>
    <t>1800000439</t>
  </si>
  <si>
    <t>246779410401</t>
  </si>
  <si>
    <t>Storage  for the month of Sept  2024</t>
  </si>
  <si>
    <t>1800000463</t>
  </si>
  <si>
    <t>246779410425</t>
  </si>
  <si>
    <t>Storage for the month of Oct 2024</t>
  </si>
  <si>
    <t>1800001956</t>
  </si>
  <si>
    <t>246779411621</t>
  </si>
  <si>
    <t>VAS Activity Charges for the month of September, 2</t>
  </si>
  <si>
    <t>1800002095</t>
  </si>
  <si>
    <t>246779411760</t>
  </si>
  <si>
    <t>VAS Activity Charges for the month of October, 24</t>
  </si>
  <si>
    <t>1800002401</t>
  </si>
  <si>
    <t>246779412066</t>
  </si>
  <si>
    <t>VAS Activity Charges for the month of December, 24</t>
  </si>
  <si>
    <t>1800002272</t>
  </si>
  <si>
    <t>246779411937</t>
  </si>
  <si>
    <t>VAS Activity Charges for the month of November, 24</t>
  </si>
  <si>
    <t>1800002273</t>
  </si>
  <si>
    <t>246779411938</t>
  </si>
  <si>
    <t>1800002274</t>
  </si>
  <si>
    <t>246779411939</t>
  </si>
  <si>
    <t>1800002275</t>
  </si>
  <si>
    <t>246779411940</t>
  </si>
  <si>
    <t>1800002276</t>
  </si>
  <si>
    <t>246779411941</t>
  </si>
  <si>
    <t>1800006261</t>
  </si>
  <si>
    <t>256779411152</t>
  </si>
  <si>
    <t>Empty Transportation August 2024</t>
  </si>
  <si>
    <t>1800006262</t>
  </si>
  <si>
    <t>256779411153</t>
  </si>
  <si>
    <t>LCL Charges August 2024</t>
  </si>
  <si>
    <t>1800006263</t>
  </si>
  <si>
    <t>256779411154</t>
  </si>
  <si>
    <t>1800006264</t>
  </si>
  <si>
    <t>256779411155</t>
  </si>
  <si>
    <t>Inbound Handling for August 24</t>
  </si>
  <si>
    <t>1800006265</t>
  </si>
  <si>
    <t>256779411156</t>
  </si>
  <si>
    <t>1800006266</t>
  </si>
  <si>
    <t>256779411157</t>
  </si>
  <si>
    <t>1800006674</t>
  </si>
  <si>
    <t>256779411565</t>
  </si>
  <si>
    <t>Outbound Handling Charges Aug 2024</t>
  </si>
  <si>
    <t>1800006675</t>
  </si>
  <si>
    <t>256779411566</t>
  </si>
  <si>
    <t>1800006676</t>
  </si>
  <si>
    <t>256779411567</t>
  </si>
  <si>
    <t>1800006677</t>
  </si>
  <si>
    <t>256779411568</t>
  </si>
  <si>
    <t>1800006678</t>
  </si>
  <si>
    <t>256779411569</t>
  </si>
  <si>
    <t>1800006679</t>
  </si>
  <si>
    <t>256779411570</t>
  </si>
  <si>
    <t>1800006680</t>
  </si>
  <si>
    <t>256779411571</t>
  </si>
  <si>
    <t>1800006681</t>
  </si>
  <si>
    <t>256779411572</t>
  </si>
  <si>
    <t>1800006682</t>
  </si>
  <si>
    <t>256779411573</t>
  </si>
  <si>
    <t>1800006683</t>
  </si>
  <si>
    <t>256779411574</t>
  </si>
  <si>
    <t>1800006684</t>
  </si>
  <si>
    <t>256779411575</t>
  </si>
  <si>
    <t>1800006685</t>
  </si>
  <si>
    <t>256779411576</t>
  </si>
  <si>
    <t>1800006686</t>
  </si>
  <si>
    <t>256779411577</t>
  </si>
  <si>
    <t>1800006687</t>
  </si>
  <si>
    <t>256779411578</t>
  </si>
  <si>
    <t>1800006688</t>
  </si>
  <si>
    <t>256779411579</t>
  </si>
  <si>
    <t>1800006689</t>
  </si>
  <si>
    <t>256779411580</t>
  </si>
  <si>
    <t>1800006690</t>
  </si>
  <si>
    <t>256779411581</t>
  </si>
  <si>
    <t>1800006691</t>
  </si>
  <si>
    <t>256779411582</t>
  </si>
  <si>
    <t>1800006692</t>
  </si>
  <si>
    <t>256779411583</t>
  </si>
  <si>
    <t>1800006693</t>
  </si>
  <si>
    <t>256779411584</t>
  </si>
  <si>
    <t>1800006694</t>
  </si>
  <si>
    <t>256779411585</t>
  </si>
  <si>
    <t>1600002472</t>
  </si>
  <si>
    <t>256779422014</t>
  </si>
  <si>
    <t>2117487</t>
  </si>
  <si>
    <t>Credit note raised against 256779418076</t>
  </si>
  <si>
    <t>1800006996</t>
  </si>
  <si>
    <t>256779411887</t>
  </si>
  <si>
    <t>Outbound Handling charges for Dec 2024</t>
  </si>
  <si>
    <t>1800007093</t>
  </si>
  <si>
    <t>256779411984</t>
  </si>
  <si>
    <t>CAAU5283880-Port SSR Shifting Mar 2025. Exch rate</t>
  </si>
  <si>
    <t>1800007129</t>
  </si>
  <si>
    <t>256779412020</t>
  </si>
  <si>
    <t>VAS Activity - Jan 25, Ex Rate. 86.64</t>
  </si>
  <si>
    <t>1800007210</t>
  </si>
  <si>
    <t>256779412101</t>
  </si>
  <si>
    <t>VAS Activity - Mar 25, 16-31, Ex Rate. 85.58</t>
  </si>
  <si>
    <t>1800007235</t>
  </si>
  <si>
    <t>256779412126</t>
  </si>
  <si>
    <t>Storage Charges Mar, 25 Exch Rate 85.58</t>
  </si>
  <si>
    <t>1800011264</t>
  </si>
  <si>
    <t>256779415996</t>
  </si>
  <si>
    <t>VAS 16-31 May 25 Ex.85.48</t>
  </si>
  <si>
    <t>1800001581</t>
  </si>
  <si>
    <t>246779412238</t>
  </si>
  <si>
    <t>VAS Activity Charges for the month of August, 24</t>
  </si>
  <si>
    <t>1800001784</t>
  </si>
  <si>
    <t>246779411449</t>
  </si>
  <si>
    <t>1600002155</t>
  </si>
  <si>
    <t>256779421715</t>
  </si>
  <si>
    <t>1800012461</t>
  </si>
  <si>
    <t>256779417161</t>
  </si>
  <si>
    <t>VAS -16-31 Aug 25</t>
  </si>
  <si>
    <t>1800012559</t>
  </si>
  <si>
    <t>256779417178</t>
  </si>
  <si>
    <t>CY Refer Pluging Chgs - 01 - 31 May 25</t>
  </si>
  <si>
    <t>1800012560</t>
  </si>
  <si>
    <t>256779417179</t>
  </si>
  <si>
    <t>CY Refer Pluging Chgs - 01 - 30 Jun 25</t>
  </si>
  <si>
    <t>1800012561</t>
  </si>
  <si>
    <t>256779417180</t>
  </si>
  <si>
    <t>CY Ground rent Chgs - 01 - 31 July 25</t>
  </si>
  <si>
    <t>1800012562</t>
  </si>
  <si>
    <t>256779417181</t>
  </si>
  <si>
    <t>CY Ground rent Chgs - 01 - 31 Aug 25</t>
  </si>
  <si>
    <t>1800012619</t>
  </si>
  <si>
    <t>256779417206</t>
  </si>
  <si>
    <t>Empty Lolo Chgs - 01 - 31 AUG 25</t>
  </si>
  <si>
    <t>1800012587</t>
  </si>
  <si>
    <t>256779417245</t>
  </si>
  <si>
    <t>PORT SSR Chgs Aug 25</t>
  </si>
  <si>
    <t>1800012647</t>
  </si>
  <si>
    <t>256779417287</t>
  </si>
  <si>
    <t>Transportation In Chgs - 16 - 31 AUG 25</t>
  </si>
  <si>
    <t>1800012685</t>
  </si>
  <si>
    <t>256779417325</t>
  </si>
  <si>
    <t>2096996</t>
  </si>
  <si>
    <t>Outbound chgs - 16 - 31 Aug 25</t>
  </si>
  <si>
    <t>1600002212</t>
  </si>
  <si>
    <t>256779421767</t>
  </si>
  <si>
    <t>2100473</t>
  </si>
  <si>
    <t>CN Issued towards bill no. 256779417178</t>
  </si>
  <si>
    <t>1600002213</t>
  </si>
  <si>
    <t>256779421768</t>
  </si>
  <si>
    <t>CN Issued towards bill no. 256779417179</t>
  </si>
  <si>
    <t>1600002214</t>
  </si>
  <si>
    <t>256779421769</t>
  </si>
  <si>
    <t>CN Issued towards bill no. 256779417180</t>
  </si>
  <si>
    <t>1600002215</t>
  </si>
  <si>
    <t>256779421770</t>
  </si>
  <si>
    <t>CN Issued towards bill no. 256779417181</t>
  </si>
  <si>
    <t>1800010008</t>
  </si>
  <si>
    <t>256779414772</t>
  </si>
  <si>
    <t>Transportation In Chgs - 01 - 15 Jun 25</t>
  </si>
  <si>
    <t>1800010066</t>
  </si>
  <si>
    <t>256779414830</t>
  </si>
  <si>
    <t>Outbound chgs - 01 - 15 Jun 25</t>
  </si>
  <si>
    <t>1800010119</t>
  </si>
  <si>
    <t>256779414879</t>
  </si>
  <si>
    <t>Transportation In Chgs - 16 - 30 JUN 25</t>
  </si>
  <si>
    <t>1800010131</t>
  </si>
  <si>
    <t>256779414891</t>
  </si>
  <si>
    <t>CY Ground rent Chgs - 01 - 30 June 25</t>
  </si>
  <si>
    <t>1800010144</t>
  </si>
  <si>
    <t>256779414904</t>
  </si>
  <si>
    <t>Empty Lolo Chgs - 01 - 30 JUN 25</t>
  </si>
  <si>
    <t>1800010196</t>
  </si>
  <si>
    <t>256779414956</t>
  </si>
  <si>
    <t>Empty Cont Out Chgs - 01 - 15 May 25</t>
  </si>
  <si>
    <t>1800010197</t>
  </si>
  <si>
    <t>256779414957</t>
  </si>
  <si>
    <t>1800010257</t>
  </si>
  <si>
    <t>256779415017</t>
  </si>
  <si>
    <t>Outbound chgs - 16 - 30 Jun 25</t>
  </si>
  <si>
    <t>1800010436</t>
  </si>
  <si>
    <t>256779415196</t>
  </si>
  <si>
    <t>Unit Storage - 1-30 June 25</t>
  </si>
  <si>
    <t>1800010504</t>
  </si>
  <si>
    <t>256779415264</t>
  </si>
  <si>
    <t>VAS - 16-30 June 25</t>
  </si>
  <si>
    <t>1600001539</t>
  </si>
  <si>
    <t>256779421172</t>
  </si>
  <si>
    <t>CN against 256779410006</t>
  </si>
  <si>
    <t>1600001540</t>
  </si>
  <si>
    <t>256779421173</t>
  </si>
  <si>
    <t>CN against 256779410012</t>
  </si>
  <si>
    <t>1600001541</t>
  </si>
  <si>
    <t>256779421174</t>
  </si>
  <si>
    <t>CN against 256779410015</t>
  </si>
  <si>
    <t>1600001542</t>
  </si>
  <si>
    <t>256779421175</t>
  </si>
  <si>
    <t>CN against 256779410224</t>
  </si>
  <si>
    <t>1800014283</t>
  </si>
  <si>
    <t>256779418820</t>
  </si>
  <si>
    <t>2123387</t>
  </si>
  <si>
    <t>VAS-16 -31 Oct 25</t>
  </si>
  <si>
    <t>1800014544</t>
  </si>
  <si>
    <t>256779418876</t>
  </si>
  <si>
    <t>2123390</t>
  </si>
  <si>
    <t>Unit Storage - 1-31 Oct 2025</t>
  </si>
  <si>
    <t>1800014634</t>
  </si>
  <si>
    <t>256779419077</t>
  </si>
  <si>
    <t>2123404</t>
  </si>
  <si>
    <t>CY Ground rent Chgs - 16 - 31 Oct 25</t>
  </si>
  <si>
    <t>1800014525</t>
  </si>
  <si>
    <t>256779419174</t>
  </si>
  <si>
    <t>2123410</t>
  </si>
  <si>
    <t>Outbound chgs - 16 - 31 Oct 25</t>
  </si>
  <si>
    <t>1800014618</t>
  </si>
  <si>
    <t>256779419200</t>
  </si>
  <si>
    <t>2123415</t>
  </si>
  <si>
    <t>Empty Lolo Chgs - 01 - 31 OCT 25</t>
  </si>
  <si>
    <t>1800014731</t>
  </si>
  <si>
    <t>2123630</t>
  </si>
  <si>
    <t>256779419232</t>
  </si>
  <si>
    <t>PORT SSR Chgs Oct 25</t>
  </si>
  <si>
    <t>1800000350</t>
  </si>
  <si>
    <t>246779410324</t>
  </si>
  <si>
    <t>1800014408</t>
  </si>
  <si>
    <t>256779419130</t>
  </si>
  <si>
    <t>2123409</t>
  </si>
  <si>
    <t>LCL Chgs - 16 - 31 OCT 25</t>
  </si>
  <si>
    <t>1800011648</t>
  </si>
  <si>
    <t>256779416078</t>
  </si>
  <si>
    <t>1800011656</t>
  </si>
  <si>
    <t>256779416086</t>
  </si>
  <si>
    <t>Unit Storage - 1-31 July 25</t>
  </si>
  <si>
    <t>1800011800</t>
  </si>
  <si>
    <t>256779416103</t>
  </si>
  <si>
    <t>Scanning  Chgs - 16 - 31 Jul 25</t>
  </si>
  <si>
    <t>1800011832</t>
  </si>
  <si>
    <t>256779416141</t>
  </si>
  <si>
    <t>Empty Lolo Chgs - 01 - 31 JUL 25</t>
  </si>
  <si>
    <t>1800011788</t>
  </si>
  <si>
    <t>256779416179</t>
  </si>
  <si>
    <t>Transportation In Chgs - 16 - 31 JUL 25</t>
  </si>
  <si>
    <t>1800011706</t>
  </si>
  <si>
    <t>256779416224</t>
  </si>
  <si>
    <t>Outbound chgs - 16 - 31 Jul 25</t>
  </si>
  <si>
    <t>1800011595</t>
  </si>
  <si>
    <t>256779416445</t>
  </si>
  <si>
    <t>VAS 16-31 July 25</t>
  </si>
  <si>
    <t>1800011864</t>
  </si>
  <si>
    <t>256779416515</t>
  </si>
  <si>
    <t>PORT SSR Chgs July 25</t>
  </si>
  <si>
    <t>1800009453</t>
  </si>
  <si>
    <t>256779414217</t>
  </si>
  <si>
    <t>Outbound chgs - 16 - 31 MAY 25</t>
  </si>
  <si>
    <t>1800009511</t>
  </si>
  <si>
    <t>256779414275</t>
  </si>
  <si>
    <t>Empty Lolo Chgs - 01 - 31 MAY 25</t>
  </si>
  <si>
    <t>1800009553</t>
  </si>
  <si>
    <t>256779414317</t>
  </si>
  <si>
    <t>LCL Chgs - 16-31 MAY 25</t>
  </si>
  <si>
    <t>1600000596</t>
  </si>
  <si>
    <t>256779420305</t>
  </si>
  <si>
    <t>Credit note against 246779412238</t>
  </si>
  <si>
    <t>1600000782</t>
  </si>
  <si>
    <t>256779420491</t>
  </si>
  <si>
    <t>Credit note against 256779410230</t>
  </si>
  <si>
    <t>1600000816</t>
  </si>
  <si>
    <t>256779420525</t>
  </si>
  <si>
    <t>Credit note against 256779410271</t>
  </si>
  <si>
    <t>1800008488</t>
  </si>
  <si>
    <t>256779413256</t>
  </si>
  <si>
    <t>Transportation In Chgs - 16 - 30 Apr 25</t>
  </si>
  <si>
    <t>1800008520</t>
  </si>
  <si>
    <t>256779413284</t>
  </si>
  <si>
    <t>Scanning  Chgs - 16 - 31 Apr 25</t>
  </si>
  <si>
    <t>1800008549</t>
  </si>
  <si>
    <t>256779413313</t>
  </si>
  <si>
    <t>LCL Chgs - 16 - 30 Apr 25</t>
  </si>
  <si>
    <t>1800008594</t>
  </si>
  <si>
    <t>256779413358</t>
  </si>
  <si>
    <t>Outbound chgs - 16 - 30 Apr 25</t>
  </si>
  <si>
    <t>1800009133</t>
  </si>
  <si>
    <t>256779413897</t>
  </si>
  <si>
    <t>Storage Chgs - 01 - 31 Apr 25</t>
  </si>
  <si>
    <t>1800010770</t>
  </si>
  <si>
    <t>256779415432</t>
  </si>
  <si>
    <t>PORT SSR Chgs Apr to June 25</t>
  </si>
  <si>
    <t>1800010698</t>
  </si>
  <si>
    <t>256779415482</t>
  </si>
  <si>
    <t>Transportation In Chgs - 01 - 15 JUL 25</t>
  </si>
  <si>
    <t>1800010740</t>
  </si>
  <si>
    <t>256779415524</t>
  </si>
  <si>
    <t>Outbound chgs - 01 - 15 Jul 25</t>
  </si>
  <si>
    <t>1800010941</t>
  </si>
  <si>
    <t>256779415701</t>
  </si>
  <si>
    <t>Transportation In Chgs - 01 - 15 Jul 25</t>
  </si>
  <si>
    <t>1800011042</t>
  </si>
  <si>
    <t>256779415802</t>
  </si>
  <si>
    <t>1800001469</t>
  </si>
  <si>
    <t>246779411301</t>
  </si>
  <si>
    <t>Scanning Charges for the month of September, 2024</t>
  </si>
  <si>
    <t>1800001451</t>
  </si>
  <si>
    <t>246779411315</t>
  </si>
  <si>
    <t>Scanning Charges for the month of October, 2024</t>
  </si>
  <si>
    <t>1800001411</t>
  </si>
  <si>
    <t>246779411279</t>
  </si>
  <si>
    <t>Scanning Charges for the month of August, 2024</t>
  </si>
  <si>
    <t>1800003929</t>
  </si>
  <si>
    <t>246779413797</t>
  </si>
  <si>
    <t>Ground Rent Jan 25</t>
  </si>
  <si>
    <t>1800003940</t>
  </si>
  <si>
    <t>246779413808</t>
  </si>
  <si>
    <t>Ground Rent Feb 25</t>
  </si>
  <si>
    <t>1800003961</t>
  </si>
  <si>
    <t>246779413817</t>
  </si>
  <si>
    <t>Scanning Charges for the month of Feb 2025</t>
  </si>
  <si>
    <t>1800003972</t>
  </si>
  <si>
    <t>246779413828</t>
  </si>
  <si>
    <t>Scanning Charges for the month of Jan 2025</t>
  </si>
  <si>
    <t>1800004049</t>
  </si>
  <si>
    <t>246779413905</t>
  </si>
  <si>
    <t>Outbound Handling charges for Feb 2025</t>
  </si>
  <si>
    <t>1800004275</t>
  </si>
  <si>
    <t>246779414143</t>
  </si>
  <si>
    <t>Inbound Handling charges for  Sep 2024</t>
  </si>
  <si>
    <t>1800004276</t>
  </si>
  <si>
    <t>246779414144</t>
  </si>
  <si>
    <t>LCL charges for Sep 2024</t>
  </si>
  <si>
    <t>1800004277</t>
  </si>
  <si>
    <t>246779414145</t>
  </si>
  <si>
    <t>Reefer Plugin charges for Sep 2024</t>
  </si>
  <si>
    <t>1800004278</t>
  </si>
  <si>
    <t>246779414146</t>
  </si>
  <si>
    <t>Ground Rent charges for Sep 2024</t>
  </si>
  <si>
    <t>1800004354</t>
  </si>
  <si>
    <t>246779414222</t>
  </si>
  <si>
    <t>Outbound Handling charges for Sep 2024</t>
  </si>
  <si>
    <t>1800004529</t>
  </si>
  <si>
    <t>246779414397</t>
  </si>
  <si>
    <t>Loose handling Charges for Nov 2024</t>
  </si>
  <si>
    <t>1800004530</t>
  </si>
  <si>
    <t>246779414398</t>
  </si>
  <si>
    <t>Inbound Handling charges for Nov 2024</t>
  </si>
  <si>
    <t>1800004531</t>
  </si>
  <si>
    <t>246779414399</t>
  </si>
  <si>
    <t>LCL Movement Charges for Nov 2024</t>
  </si>
  <si>
    <t>1800004867</t>
  </si>
  <si>
    <t>246779414735</t>
  </si>
  <si>
    <t>Outbound Handling charges for Jan 2025</t>
  </si>
  <si>
    <t>1800005018</t>
  </si>
  <si>
    <t>246779414886</t>
  </si>
  <si>
    <t>1800005019</t>
  </si>
  <si>
    <t>246779414887</t>
  </si>
  <si>
    <t>1800005020</t>
  </si>
  <si>
    <t>246779414888</t>
  </si>
  <si>
    <t>1800005021</t>
  </si>
  <si>
    <t>246779414889</t>
  </si>
  <si>
    <t>1800005022</t>
  </si>
  <si>
    <t>246779414890</t>
  </si>
  <si>
    <t>1800004600</t>
  </si>
  <si>
    <t>246779414468</t>
  </si>
  <si>
    <t>Inbound Handling charges for Jan 2025</t>
  </si>
  <si>
    <t>1800004736</t>
  </si>
  <si>
    <t>246779414604</t>
  </si>
  <si>
    <t>Outbound Handling charges for Oct 2024</t>
  </si>
  <si>
    <t>1800004814</t>
  </si>
  <si>
    <t>246779414682</t>
  </si>
  <si>
    <t>Outbound Handling charges for Nov 2024</t>
  </si>
  <si>
    <t>1800000101</t>
  </si>
  <si>
    <t>246779410029</t>
  </si>
  <si>
    <t>Fixed Rental charges for Sept 2024</t>
  </si>
  <si>
    <t>1800000127</t>
  </si>
  <si>
    <t>246779410055</t>
  </si>
  <si>
    <t>Management Fees for Sept 2024</t>
  </si>
  <si>
    <t>1800000170</t>
  </si>
  <si>
    <t>246779410097</t>
  </si>
  <si>
    <t>Fixed Rental charges for Nov 2024</t>
  </si>
  <si>
    <t>1800000196</t>
  </si>
  <si>
    <t>246779410123</t>
  </si>
  <si>
    <t>Management Fees for Nov 2024</t>
  </si>
  <si>
    <t>1800000213</t>
  </si>
  <si>
    <t>246779410140</t>
  </si>
  <si>
    <t>Fixed Rental charges for Dec 2024</t>
  </si>
  <si>
    <t>1800000239</t>
  </si>
  <si>
    <t>246779410166</t>
  </si>
  <si>
    <t>Management Fees for Dec 2024</t>
  </si>
  <si>
    <t>1800000256</t>
  </si>
  <si>
    <t>246779410183</t>
  </si>
  <si>
    <t>Fixed Rental charges for Jan 2025</t>
  </si>
  <si>
    <t>1800000282</t>
  </si>
  <si>
    <t>246779410209</t>
  </si>
  <si>
    <t>Management Fees for Jan 2025</t>
  </si>
  <si>
    <t>1800000299</t>
  </si>
  <si>
    <t>246779410226</t>
  </si>
  <si>
    <t>Fixed Rental charges for Feb 2025</t>
  </si>
  <si>
    <t>1800000325</t>
  </si>
  <si>
    <t>246779410252</t>
  </si>
  <si>
    <t>Management Fees for Feb 2025</t>
  </si>
  <si>
    <t>1800000070</t>
  </si>
  <si>
    <t>246779410276</t>
  </si>
  <si>
    <t>Fixed Rental charges for Oct 2024</t>
  </si>
  <si>
    <t>1800000141</t>
  </si>
  <si>
    <t>246779410308</t>
  </si>
  <si>
    <t>Management Fees for Oct 2024</t>
  </si>
  <si>
    <t>1800000040</t>
  </si>
  <si>
    <t>246779410077</t>
  </si>
  <si>
    <t>Management Fees - Aug 2024</t>
  </si>
  <si>
    <t>1800012185</t>
  </si>
  <si>
    <t>256779416817</t>
  </si>
  <si>
    <t>Transportation In Chgs - 01 - 15 Aug 25</t>
  </si>
  <si>
    <t>1800012249</t>
  </si>
  <si>
    <t>256779416845</t>
  </si>
  <si>
    <t>Transportation In Chgs - 01 - 15 AUG 25</t>
  </si>
  <si>
    <t>1800012217</t>
  </si>
  <si>
    <t>256779416879</t>
  </si>
  <si>
    <t>Outbound chgs - 01 - 15 Aug 25</t>
  </si>
  <si>
    <t>1800000016</t>
  </si>
  <si>
    <t>246779410009</t>
  </si>
  <si>
    <t>Fixed Rental charges for Aug 2024</t>
  </si>
  <si>
    <t>1600002318</t>
  </si>
  <si>
    <t>256779421873</t>
  </si>
  <si>
    <t>2104190</t>
  </si>
  <si>
    <t>Credit Note Raised against INV_256779413886</t>
  </si>
  <si>
    <t>1800009577</t>
  </si>
  <si>
    <t>256779414341</t>
  </si>
  <si>
    <t>CY Longstanding - March 25,16-31</t>
  </si>
  <si>
    <t>1800008723</t>
  </si>
  <si>
    <t>256779413487</t>
  </si>
  <si>
    <t>Outbound chgs - 01 - 15 MAY 25</t>
  </si>
  <si>
    <t>1800009122</t>
  </si>
  <si>
    <t>256779413886</t>
  </si>
  <si>
    <t>LCL Chgs - 01-15 MAY 25</t>
  </si>
  <si>
    <t>1800011380</t>
  </si>
  <si>
    <t>256779416064</t>
  </si>
  <si>
    <t>O2</t>
  </si>
  <si>
    <t>Debit note raised against 256779421172</t>
  </si>
  <si>
    <t>1800011381</t>
  </si>
  <si>
    <t>256779416065</t>
  </si>
  <si>
    <t>Debit note raised against 256779421173</t>
  </si>
  <si>
    <t>1800011382</t>
  </si>
  <si>
    <t>256779416066</t>
  </si>
  <si>
    <t>Debit note raised against 256779421174</t>
  </si>
  <si>
    <t>1800011383</t>
  </si>
  <si>
    <t>256779416067</t>
  </si>
  <si>
    <t>Debit note raised against 256779421175</t>
  </si>
  <si>
    <t>1800005190</t>
  </si>
  <si>
    <t>256779410136</t>
  </si>
  <si>
    <t>Outbound Handling charges for Mar 25</t>
  </si>
  <si>
    <t>1800005364</t>
  </si>
  <si>
    <t>256779410256</t>
  </si>
  <si>
    <t>1800005405</t>
  </si>
  <si>
    <t>256779410297</t>
  </si>
  <si>
    <t>1800005338</t>
  </si>
  <si>
    <t>256779410230</t>
  </si>
  <si>
    <t>1800005379</t>
  </si>
  <si>
    <t>256779410271</t>
  </si>
  <si>
    <t>1800005060</t>
  </si>
  <si>
    <t>256779410006</t>
  </si>
  <si>
    <t>1800005066</t>
  </si>
  <si>
    <t>256779410012</t>
  </si>
  <si>
    <t>1800005069</t>
  </si>
  <si>
    <t>256779410015</t>
  </si>
  <si>
    <t>1800005332</t>
  </si>
  <si>
    <t>256779410224</t>
  </si>
  <si>
    <t>1800014014</t>
  </si>
  <si>
    <t>256779418621</t>
  </si>
  <si>
    <t>2114877</t>
  </si>
  <si>
    <t>CY Ground rent Chgs - 01 - 15 Oct 25</t>
  </si>
  <si>
    <t>1800013815</t>
  </si>
  <si>
    <t>256779418633</t>
  </si>
  <si>
    <t>2114880</t>
  </si>
  <si>
    <t>Scanning  Chgs - 01 - 15 Oct 25</t>
  </si>
  <si>
    <t>1800013845</t>
  </si>
  <si>
    <t>256779418663</t>
  </si>
  <si>
    <t>2114881</t>
  </si>
  <si>
    <t>Transportation In Chgs - 01 - 15 OCT 25</t>
  </si>
  <si>
    <t>1800013926</t>
  </si>
  <si>
    <t>256779418703</t>
  </si>
  <si>
    <t>2114883</t>
  </si>
  <si>
    <t>Outbound chgs - 01 - 15 Oct 25</t>
  </si>
  <si>
    <t>1800007251</t>
  </si>
  <si>
    <t>256779412142</t>
  </si>
  <si>
    <t>Fixed Storage Charges for April 2025</t>
  </si>
  <si>
    <t>1800007286</t>
  </si>
  <si>
    <t>256779412177</t>
  </si>
  <si>
    <t>1600001839</t>
  </si>
  <si>
    <t>256779421459</t>
  </si>
  <si>
    <t>Credit note raised against 256779410006</t>
  </si>
  <si>
    <t>1600001840</t>
  </si>
  <si>
    <t>256779421460</t>
  </si>
  <si>
    <t>Credit note raised against 256779410012</t>
  </si>
  <si>
    <t>1600001841</t>
  </si>
  <si>
    <t>256779421461</t>
  </si>
  <si>
    <t>Credit note raised against 256779410015</t>
  </si>
  <si>
    <t>1600001842</t>
  </si>
  <si>
    <t>256779421462</t>
  </si>
  <si>
    <t>Credit note raised against 256779410224</t>
  </si>
  <si>
    <t>1600001862</t>
  </si>
  <si>
    <t>256779421482</t>
  </si>
  <si>
    <t>Credit note raised against 256779414414</t>
  </si>
  <si>
    <t>1600001884</t>
  </si>
  <si>
    <t>256779421504</t>
  </si>
  <si>
    <t>Credit note raised against 256779414437</t>
  </si>
  <si>
    <t>1600001885</t>
  </si>
  <si>
    <t>256779421505</t>
  </si>
  <si>
    <t>Credit note raised against 256779414438</t>
  </si>
  <si>
    <t>1600001912</t>
  </si>
  <si>
    <t>256779421532</t>
  </si>
  <si>
    <t>Credit note raised against 256779414465</t>
  </si>
  <si>
    <t>1600001928</t>
  </si>
  <si>
    <t>256779421548</t>
  </si>
  <si>
    <t>Credit note raised against 256779414481</t>
  </si>
  <si>
    <t>1800009650</t>
  </si>
  <si>
    <t>256779414414</t>
  </si>
  <si>
    <t>1800009673</t>
  </si>
  <si>
    <t>256779414437</t>
  </si>
  <si>
    <t>1800009674</t>
  </si>
  <si>
    <t>256779414438</t>
  </si>
  <si>
    <t>1800009701</t>
  </si>
  <si>
    <t>256779414465</t>
  </si>
  <si>
    <t>1800009717</t>
  </si>
  <si>
    <t>256779414481</t>
  </si>
  <si>
    <t>1800003114</t>
  </si>
  <si>
    <t>246779412981</t>
  </si>
  <si>
    <t>Fixed Storage Charges for Mar 2025</t>
  </si>
  <si>
    <t>1800003222</t>
  </si>
  <si>
    <t>246779413089</t>
  </si>
  <si>
    <t>Port SSR Charges - Shifting for Aug to Dec,24.</t>
  </si>
  <si>
    <t>1800003347</t>
  </si>
  <si>
    <t>246779413214</t>
  </si>
  <si>
    <t>TIIU6358742-Port SSR Shifting Jan 2025. Exch rate</t>
  </si>
  <si>
    <t>1800003149</t>
  </si>
  <si>
    <t>246779413016</t>
  </si>
  <si>
    <t>1800013202</t>
  </si>
  <si>
    <t>256779417818</t>
  </si>
  <si>
    <t>2104588</t>
  </si>
  <si>
    <t>LCL Chgs - 01-15 MAY 25 ( BOE9705814 / 9824060 / 9</t>
  </si>
  <si>
    <t>1800015045</t>
  </si>
  <si>
    <t>256779419558</t>
  </si>
  <si>
    <t>2130610</t>
  </si>
  <si>
    <t>CY Ground rent Chgs - 01 - 15 Nov 25</t>
  </si>
  <si>
    <t>1800015077</t>
  </si>
  <si>
    <t>256779419590</t>
  </si>
  <si>
    <t>2130611</t>
  </si>
  <si>
    <t>Inbound chgs - 01 - 15 NOV 25</t>
  </si>
  <si>
    <t>1800015131</t>
  </si>
  <si>
    <t>256779419630</t>
  </si>
  <si>
    <t>2130612</t>
  </si>
  <si>
    <t>Outbound chgs - 01 - 15 Nov 25</t>
  </si>
  <si>
    <t>1800007659</t>
  </si>
  <si>
    <t>256779412550</t>
  </si>
  <si>
    <t>Inbound Handling charges for Feb 2025</t>
  </si>
  <si>
    <t>1800007691</t>
  </si>
  <si>
    <t>256779412582</t>
  </si>
  <si>
    <t>1800007724</t>
  </si>
  <si>
    <t>256779412615</t>
  </si>
  <si>
    <t>Inbound Handling charges for 31 Mar 2025</t>
  </si>
  <si>
    <t>1800007766</t>
  </si>
  <si>
    <t>256779412657</t>
  </si>
  <si>
    <t>Outbound Handling charges for 31 Mar 25</t>
  </si>
  <si>
    <t>1800012815</t>
  </si>
  <si>
    <t>256779417420</t>
  </si>
  <si>
    <t>2102479</t>
  </si>
  <si>
    <t>Scanning  Chgs - 01 - 15 Sep 25</t>
  </si>
  <si>
    <t>1800012872</t>
  </si>
  <si>
    <t>256779417490</t>
  </si>
  <si>
    <t>2102476</t>
  </si>
  <si>
    <t>CY Ground rent Chgs - 01 - 15 Sep 25</t>
  </si>
  <si>
    <t>1800012991</t>
  </si>
  <si>
    <t>256779417526</t>
  </si>
  <si>
    <t>2102483</t>
  </si>
  <si>
    <t>Outbound chgs - 01 - 15 Sep 25</t>
  </si>
  <si>
    <t>1800012929</t>
  </si>
  <si>
    <t>256779417568</t>
  </si>
  <si>
    <t>2102480</t>
  </si>
  <si>
    <t>Transportation In Chgs - 01 - 15 SEP 25</t>
  </si>
  <si>
    <t>1800015347</t>
  </si>
  <si>
    <t>256779419796</t>
  </si>
  <si>
    <t>2140068</t>
  </si>
  <si>
    <t>CY Ground rent Chgs - 16 - 30 Nov 25</t>
  </si>
  <si>
    <t>1800015289</t>
  </si>
  <si>
    <t>256779419918</t>
  </si>
  <si>
    <t>2140088</t>
  </si>
  <si>
    <t>Outbound chgs - 16 - 30 Nov 25</t>
  </si>
  <si>
    <t>1800008037</t>
  </si>
  <si>
    <t>256779412928</t>
  </si>
  <si>
    <t>Outbound chgs - 01 - 15 Apr 25</t>
  </si>
  <si>
    <t>1800004450</t>
  </si>
  <si>
    <t>246779414318</t>
  </si>
  <si>
    <t>Inbound Handling charges for Oct 2024</t>
  </si>
  <si>
    <t>1800013759</t>
  </si>
  <si>
    <t>256779418180</t>
  </si>
  <si>
    <t>VAS-16-30 Sept 25</t>
  </si>
  <si>
    <t>1800008302</t>
  </si>
  <si>
    <t>256779413185</t>
  </si>
  <si>
    <t>CY Ground rent Chgs - 01 - 30 Apr 25</t>
  </si>
  <si>
    <t>1800008361</t>
  </si>
  <si>
    <t>256779413244</t>
  </si>
  <si>
    <t>VAS - 16-30 April 25, Ex.Rate-85.05</t>
  </si>
  <si>
    <t>1800015454</t>
  </si>
  <si>
    <t>256779419955</t>
  </si>
  <si>
    <t>2140456</t>
  </si>
  <si>
    <t>Empty Lolo Chgs - 01 - 31 NOV 25</t>
  </si>
  <si>
    <t>1800015475</t>
  </si>
  <si>
    <t>256779419992</t>
  </si>
  <si>
    <t>2140458</t>
  </si>
  <si>
    <t>PORT SSR Chgs Nov 25</t>
  </si>
  <si>
    <t>1800009476</t>
  </si>
  <si>
    <t>256779414240</t>
  </si>
  <si>
    <t>Unit storage -1-31 May 25</t>
  </si>
  <si>
    <t>1800013275</t>
  </si>
  <si>
    <t>256779418011</t>
  </si>
  <si>
    <t>2110511</t>
  </si>
  <si>
    <t>Unit Storage - 1-30 Sept 2025</t>
  </si>
  <si>
    <t>1800013306</t>
  </si>
  <si>
    <t>256779417902</t>
  </si>
  <si>
    <t>2110493</t>
  </si>
  <si>
    <t>Empty Lolo Chgs - 01 - 30 SEP 25</t>
  </si>
  <si>
    <t>1800013344</t>
  </si>
  <si>
    <t>256779417940</t>
  </si>
  <si>
    <t>Transportation In Chgs - 16 - 30 SEP 25</t>
  </si>
  <si>
    <t>1800013429</t>
  </si>
  <si>
    <t>256779418076</t>
  </si>
  <si>
    <t>2110503</t>
  </si>
  <si>
    <t>Outbound chgs - 16 - 30 Sep 25</t>
  </si>
  <si>
    <t>1800013510</t>
  </si>
  <si>
    <t>256779418400</t>
  </si>
  <si>
    <t>2110981</t>
  </si>
  <si>
    <t>PORT SSR Chgs Sep 25</t>
  </si>
  <si>
    <t>1800012474</t>
  </si>
  <si>
    <t>256779417082</t>
  </si>
  <si>
    <t>Unit-Storage-1-31 Aug 25</t>
  </si>
  <si>
    <t>2026</t>
  </si>
  <si>
    <t>1800015678</t>
  </si>
  <si>
    <t>256779440011</t>
  </si>
  <si>
    <t>2139799</t>
  </si>
  <si>
    <t>Unit Storage - 1-30 Nov 2025</t>
  </si>
  <si>
    <t>1800015802</t>
  </si>
  <si>
    <t>256779440052</t>
  </si>
  <si>
    <t>2156176</t>
  </si>
  <si>
    <t>CY Ground rent Chgs - 01 - 15 Dec 25</t>
  </si>
  <si>
    <t>1800015965</t>
  </si>
  <si>
    <t>2156419</t>
  </si>
  <si>
    <t>256779440081</t>
  </si>
  <si>
    <t>Outbound chgs - 01 - 15 Dec 25</t>
  </si>
  <si>
    <t>1400002371</t>
  </si>
  <si>
    <t>T54SWIC285279</t>
  </si>
  <si>
    <t>1400002370</t>
  </si>
  <si>
    <t>1400002372</t>
  </si>
  <si>
    <t>1800013253</t>
  </si>
  <si>
    <t>256779417873</t>
  </si>
  <si>
    <t>2110507</t>
  </si>
  <si>
    <t>Fixed Storage Charges for October 2025</t>
  </si>
  <si>
    <t>1800013254</t>
  </si>
  <si>
    <t>256779417874</t>
  </si>
  <si>
    <t>1800013383</t>
  </si>
  <si>
    <t>256779417979</t>
  </si>
  <si>
    <t>2110504</t>
  </si>
  <si>
    <t>1800013479</t>
  </si>
  <si>
    <t>256779418095</t>
  </si>
  <si>
    <t>2110489</t>
  </si>
  <si>
    <t>CY Ground rent Chgs - 16 - 30 Sep 25</t>
  </si>
  <si>
    <t>1800016315</t>
  </si>
  <si>
    <t>2158392</t>
  </si>
  <si>
    <t>256779440168</t>
  </si>
  <si>
    <t>CY Ground rent Chgs - 16 - 31 Dec 25</t>
  </si>
  <si>
    <t>1800016504</t>
  </si>
  <si>
    <t>2158404</t>
  </si>
  <si>
    <t>256779440211</t>
  </si>
  <si>
    <t>LCL Chgs - 16 - 31 DEC 25</t>
  </si>
  <si>
    <t>1800016419</t>
  </si>
  <si>
    <t>2158406</t>
  </si>
  <si>
    <t>256779440230</t>
  </si>
  <si>
    <t>Outbound chgs - 16 - 31 Dec 25</t>
  </si>
  <si>
    <t>1800016509</t>
  </si>
  <si>
    <t>2158636</t>
  </si>
  <si>
    <t>256779440262</t>
  </si>
  <si>
    <t>Intra-Dec 25 - 16-31</t>
  </si>
  <si>
    <t>1800016510</t>
  </si>
  <si>
    <t>256779440263</t>
  </si>
  <si>
    <t>1800016511</t>
  </si>
  <si>
    <t>256779440264</t>
  </si>
  <si>
    <t>1800016512</t>
  </si>
  <si>
    <t>256779440265</t>
  </si>
  <si>
    <t>1800016545</t>
  </si>
  <si>
    <t>2158669</t>
  </si>
  <si>
    <t>256779440307</t>
  </si>
  <si>
    <t>Fixed Storage Charges for January 2026</t>
  </si>
  <si>
    <t>1800016546</t>
  </si>
  <si>
    <t>256779440308</t>
  </si>
  <si>
    <t>Fixed Mangement FEE for January 2026</t>
  </si>
  <si>
    <t>1800016771</t>
  </si>
  <si>
    <t>256779440358</t>
  </si>
  <si>
    <t>2159214</t>
  </si>
  <si>
    <t>INTRA  -NOV 25,16-30</t>
  </si>
  <si>
    <t>1800016778</t>
  </si>
  <si>
    <t>256779440365</t>
  </si>
  <si>
    <t>VAS - NOV 25,16-30</t>
  </si>
  <si>
    <t>1800017005</t>
  </si>
  <si>
    <t>2163135</t>
  </si>
  <si>
    <t>256779440395</t>
  </si>
  <si>
    <t>CY Ground rent Chgs - 01 - 15 Jan 26</t>
  </si>
  <si>
    <t>1800017065</t>
  </si>
  <si>
    <t>2163146</t>
  </si>
  <si>
    <t>256779440414</t>
  </si>
  <si>
    <t>LCL Chgs - 01 - 15 JAN 26</t>
  </si>
  <si>
    <t>1800017110</t>
  </si>
  <si>
    <t>2163152</t>
  </si>
  <si>
    <t>256779440430</t>
  </si>
  <si>
    <t>Outbound chgs - 01 - 15 JAN 26</t>
  </si>
  <si>
    <t>1800017153</t>
  </si>
  <si>
    <t>2163426</t>
  </si>
  <si>
    <t>256779440446</t>
  </si>
  <si>
    <t>VAS-1-15 Jan 2026</t>
  </si>
  <si>
    <t>1600002768</t>
  </si>
  <si>
    <t>2168972</t>
  </si>
  <si>
    <t>256779422238</t>
  </si>
  <si>
    <t>CN issued against - 256779415196</t>
  </si>
  <si>
    <t>1600002769</t>
  </si>
  <si>
    <t>256779422239</t>
  </si>
  <si>
    <t>CN issued against - 256779416078</t>
  </si>
  <si>
    <t>1600002770</t>
  </si>
  <si>
    <t>256779422240</t>
  </si>
  <si>
    <t>CN issued against - 256779414240</t>
  </si>
  <si>
    <t>1600002771</t>
  </si>
  <si>
    <t>256779422241</t>
  </si>
  <si>
    <t>CN issued against - 256779417082</t>
  </si>
  <si>
    <t>1800017178</t>
  </si>
  <si>
    <t>2168973</t>
  </si>
  <si>
    <t>256779440457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</si>
  <si>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</si>
  <si>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</si>
  <si>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</si>
  <si>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</si>
  <si>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</si>
  <si>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</si>
  <si>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</si>
  <si>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</si>
  <si>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</si>
  <si>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</si>
  <si>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</si>
  <si>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</si>
  <si>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</si>
  <si>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</si>
  <si>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</si>
  <si>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</si>
  <si>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</si>
  <si>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</si>
  <si>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</si>
  <si>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</si>
  <si>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</si>
  <si>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</si>
  <si>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</si>
  <si>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</si>
  <si>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</si>
  <si>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</si>
  <si>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</si>
  <si>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</si>
  <si>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</si>
  <si>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</si>
  <si>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</si>
  <si>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</si>
  <si>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</si>
  <si>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Reference/invoice no</t>
  </si>
  <si>
    <t>Grand Total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</si>
  <si>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</si>
  <si>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</si>
  <si>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</si>
  <si>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</si>
  <si>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</si>
  <si>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</si>
  <si>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</si>
  <si>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</si>
  <si>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</si>
  <si>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</si>
  <si>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</si>
  <si>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</si>
  <si>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</si>
  <si>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</si>
  <si>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</si>
  <si>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</si>
  <si>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Sum of Company Code Currency Value</t>
  </si>
  <si>
    <t>Years</t>
  </si>
  <si>
    <t>Quarters</t>
  </si>
  <si>
    <t>.</t>
  </si>
  <si>
    <t>Vlookup</t>
  </si>
  <si>
    <t>Diff</t>
  </si>
  <si>
    <t>Remarks</t>
  </si>
  <si>
    <t>Sum of Document Currency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</si>
</sst>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0" fillId="5" borderId="1" xfId="0" applyFill="1" applyBorder="1" applyAlignment="1">
      <alignment vertical="top" wrapText="1"/>
    </xf>
    <xf numFmtId="43" fontId="0" fillId="0" borderId="0" xfId="1" applyFont="1" applyAlignment="1">
      <alignment vertical="top"/>
    </xf>
    <xf numFmtId="0" fontId="2" fillId="5" borderId="0" xfId="0" applyFont="1" applyFill="1"/>
    <xf numFmtId="1" fontId="0" fillId="0" borderId="0" xfId="0" applyNumberFormat="1" applyAlignment="1">
      <alignment vertical="top"/>
    </xf>
    <xf numFmtId="4" fontId="0" fillId="5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14" fontId="0" fillId="6" borderId="0" xfId="0" applyNumberFormat="1" applyFill="1" applyAlignment="1">
      <alignment horizontal="right" vertical="top"/>
    </xf>
    <xf numFmtId="1" fontId="0" fillId="6" borderId="0" xfId="0" applyNumberFormat="1" applyFill="1" applyAlignment="1">
      <alignment vertical="top"/>
    </xf>
    <xf numFmtId="4" fontId="0" fillId="6" borderId="0" xfId="0" applyNumberFormat="1" applyFill="1" applyAlignment="1">
      <alignment horizontal="right" vertical="top"/>
    </xf>
    <xf numFmtId="0" fontId="0" fillId="0" borderId="1" xfId="0" applyBorder="1" applyAlignment="1">
      <alignment vertical="top"/>
    </xf>
    <xf numFmtId="0" fontId="0" fillId="6" borderId="0" xfId="0" applyNumberForma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CENDAS%20PANVEL%20FTWZ%20PRIVATE%20LIMITED%20LED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-2025"/>
      <sheetName val="2025-2026"/>
      <sheetName val="pivot"/>
      <sheetName val="combined ledger"/>
    </sheetNames>
    <sheetDataSet>
      <sheetData sheetId="0"/>
      <sheetData sheetId="1"/>
      <sheetData sheetId="2"/>
      <sheetData sheetId="3">
        <row r="1">
          <cell r="G1">
            <v>6183010.3298000004</v>
          </cell>
          <cell r="H1">
            <v>7380750.621100002</v>
          </cell>
        </row>
        <row r="2">
          <cell r="A2" t="str">
            <v>Ref. 2 (Header)</v>
          </cell>
          <cell r="B2" t="str">
            <v>Document Date</v>
          </cell>
          <cell r="C2" t="str">
            <v>Series</v>
          </cell>
          <cell r="D2" t="str">
            <v>Doc. No.</v>
          </cell>
          <cell r="E2" t="str">
            <v>Remarks</v>
          </cell>
          <cell r="F2" t="str">
            <v>Offset Acct Name</v>
          </cell>
          <cell r="G2" t="str">
            <v>Debit (LC)</v>
          </cell>
          <cell r="H2" t="str">
            <v>Credit (LC)</v>
          </cell>
        </row>
        <row r="3">
          <cell r="A3">
            <v>246779410276</v>
          </cell>
          <cell r="B3">
            <v>45708</v>
          </cell>
          <cell r="C3" t="str">
            <v>BOS2425M</v>
          </cell>
          <cell r="D3" t="str">
            <v>PU 7350273</v>
          </cell>
          <cell r="E3" t="str">
            <v>A/P Invoices - VD0304</v>
          </cell>
          <cell r="F3" t="str">
            <v>Rent - Ascendas</v>
          </cell>
          <cell r="G3"/>
          <cell r="H3">
            <v>91693.278399999996</v>
          </cell>
        </row>
        <row r="4">
          <cell r="A4">
            <v>246779410209</v>
          </cell>
          <cell r="B4">
            <v>45708</v>
          </cell>
          <cell r="C4" t="str">
            <v>BOS2425M</v>
          </cell>
          <cell r="D4" t="str">
            <v>PU 7350274</v>
          </cell>
          <cell r="E4" t="str">
            <v>A/P Invoices - VD0304</v>
          </cell>
          <cell r="F4" t="str">
            <v>Rent - Ascendas</v>
          </cell>
          <cell r="G4"/>
          <cell r="H4">
            <v>89852.772200000007</v>
          </cell>
        </row>
        <row r="5">
          <cell r="A5">
            <v>246779414604</v>
          </cell>
          <cell r="B5">
            <v>45708</v>
          </cell>
          <cell r="C5" t="str">
            <v>BOS2425M</v>
          </cell>
          <cell r="D5" t="str">
            <v>PU 7350275</v>
          </cell>
          <cell r="E5" t="str">
            <v>A/P Invoices - VD0304</v>
          </cell>
          <cell r="F5" t="str">
            <v>Handeling &amp; Agency Charges</v>
          </cell>
          <cell r="G5"/>
          <cell r="H5">
            <v>38416.774799999999</v>
          </cell>
        </row>
        <row r="6">
          <cell r="A6">
            <v>246779410209</v>
          </cell>
          <cell r="B6">
            <v>45708</v>
          </cell>
          <cell r="C6" t="str">
            <v>BOS2425M</v>
          </cell>
          <cell r="D6" t="str">
            <v>PU 7350276</v>
          </cell>
          <cell r="E6" t="str">
            <v>A/P Invoices - VD0304</v>
          </cell>
          <cell r="F6" t="str">
            <v>Management Fees (Ascendas)</v>
          </cell>
          <cell r="G6"/>
          <cell r="H6">
            <v>34244.169800000003</v>
          </cell>
        </row>
        <row r="7">
          <cell r="A7">
            <v>246779410308</v>
          </cell>
          <cell r="B7">
            <v>45708</v>
          </cell>
          <cell r="C7" t="str">
            <v>BOS2425M</v>
          </cell>
          <cell r="D7" t="str">
            <v>PU 7350277</v>
          </cell>
          <cell r="E7" t="str">
            <v>A/P Invoices - VD0304</v>
          </cell>
          <cell r="F7" t="str">
            <v>Management Fees (Ascendas)</v>
          </cell>
          <cell r="G7"/>
          <cell r="H7">
            <v>34945.618600000002</v>
          </cell>
        </row>
        <row r="8">
          <cell r="A8">
            <v>246779410097</v>
          </cell>
          <cell r="B8">
            <v>45708</v>
          </cell>
          <cell r="C8" t="str">
            <v>BOS2425M</v>
          </cell>
          <cell r="D8" t="str">
            <v>PU 7350278</v>
          </cell>
          <cell r="E8" t="str">
            <v>A/P Invoices - VD0304</v>
          </cell>
          <cell r="F8" t="str">
            <v>Rent - Ascendas</v>
          </cell>
          <cell r="G8"/>
          <cell r="H8">
            <v>91693.278399999996</v>
          </cell>
        </row>
        <row r="9">
          <cell r="A9">
            <v>246779413214</v>
          </cell>
          <cell r="B9">
            <v>45735</v>
          </cell>
          <cell r="C9" t="str">
            <v>BOS2425M</v>
          </cell>
          <cell r="D9" t="str">
            <v>PU 7350279</v>
          </cell>
          <cell r="E9" t="str">
            <v>A/P Invoices - VD0304</v>
          </cell>
          <cell r="F9" t="str">
            <v>Vos Miscellaneous Charges</v>
          </cell>
          <cell r="G9"/>
          <cell r="H9">
            <v>6551.5096000000003</v>
          </cell>
        </row>
        <row r="10">
          <cell r="A10">
            <v>246779410123</v>
          </cell>
          <cell r="B10">
            <v>45708</v>
          </cell>
          <cell r="C10" t="str">
            <v>BOS2425M</v>
          </cell>
          <cell r="D10" t="str">
            <v>PU 7350280</v>
          </cell>
          <cell r="E10" t="str">
            <v>A/P Invoices - VD0304</v>
          </cell>
          <cell r="F10" t="str">
            <v>Management Fees (Ascendas)</v>
          </cell>
          <cell r="G10"/>
          <cell r="H10">
            <v>34945.618600000002</v>
          </cell>
        </row>
        <row r="11">
          <cell r="A11">
            <v>246779411940</v>
          </cell>
          <cell r="B11">
            <v>45733</v>
          </cell>
          <cell r="C11" t="str">
            <v>BOS2425M</v>
          </cell>
          <cell r="D11" t="str">
            <v>PU 7350281</v>
          </cell>
          <cell r="E11" t="str">
            <v>A/P Invoices - VD0304</v>
          </cell>
          <cell r="F11" t="str">
            <v>Vos Miscellaneous Charges</v>
          </cell>
          <cell r="G11"/>
          <cell r="H11">
            <v>4422.6333999999997</v>
          </cell>
        </row>
        <row r="12">
          <cell r="A12">
            <v>246779413797</v>
          </cell>
          <cell r="B12">
            <v>45736</v>
          </cell>
          <cell r="C12" t="str">
            <v>BOS2425M</v>
          </cell>
          <cell r="D12" t="str">
            <v>PU 7350282</v>
          </cell>
          <cell r="E12" t="str">
            <v>A/P Invoices - VD0304</v>
          </cell>
          <cell r="F12" t="str">
            <v>Ground Rent (Container)</v>
          </cell>
          <cell r="G12"/>
          <cell r="H12">
            <v>147112</v>
          </cell>
        </row>
        <row r="13">
          <cell r="A13">
            <v>246779411941</v>
          </cell>
          <cell r="B13">
            <v>45733</v>
          </cell>
          <cell r="C13" t="str">
            <v>BOS2425M</v>
          </cell>
          <cell r="D13" t="str">
            <v>PU 7350283</v>
          </cell>
          <cell r="E13" t="str">
            <v>A/P Invoices - VD0304</v>
          </cell>
          <cell r="F13" t="str">
            <v>Vos Miscellaneous Charges</v>
          </cell>
          <cell r="G13"/>
          <cell r="H13">
            <v>6375.7915999999996</v>
          </cell>
        </row>
        <row r="14">
          <cell r="A14"/>
          <cell r="B14">
            <v>45736</v>
          </cell>
          <cell r="C14" t="str">
            <v>JRN2425M</v>
          </cell>
          <cell r="D14" t="str">
            <v>JE 7353113</v>
          </cell>
          <cell r="E14" t="str">
            <v>Being TDS deduction on 246779413797 ascendas</v>
          </cell>
          <cell r="F14" t="str">
            <v>Tds Payable- 94Ib - Rent</v>
          </cell>
          <cell r="G14">
            <v>1711.6</v>
          </cell>
          <cell r="H14"/>
        </row>
        <row r="15">
          <cell r="A15">
            <v>246779413828</v>
          </cell>
          <cell r="B15">
            <v>45736</v>
          </cell>
          <cell r="C15" t="str">
            <v>BOS2425M</v>
          </cell>
          <cell r="D15" t="str">
            <v>PU 7350284</v>
          </cell>
          <cell r="E15" t="str">
            <v>A/P Invoices - VD0304</v>
          </cell>
          <cell r="F15" t="str">
            <v>Vos Miscellaneous Charges</v>
          </cell>
          <cell r="G15"/>
          <cell r="H15">
            <v>4193</v>
          </cell>
        </row>
        <row r="16">
          <cell r="A16">
            <v>246779411938</v>
          </cell>
          <cell r="B16">
            <v>45733</v>
          </cell>
          <cell r="C16" t="str">
            <v>BOS2425M</v>
          </cell>
          <cell r="D16" t="str">
            <v>PU 7350285</v>
          </cell>
          <cell r="E16" t="str">
            <v>A/P Invoices - VD0304</v>
          </cell>
          <cell r="F16" t="str">
            <v>Vos Miscellaneous Charges</v>
          </cell>
          <cell r="G16"/>
          <cell r="H16">
            <v>4466.9907999999996</v>
          </cell>
        </row>
        <row r="17">
          <cell r="A17">
            <v>246779411937</v>
          </cell>
          <cell r="B17">
            <v>45733</v>
          </cell>
          <cell r="C17" t="str">
            <v>BOS2425M</v>
          </cell>
          <cell r="D17" t="str">
            <v>PU 7350287</v>
          </cell>
          <cell r="E17" t="str">
            <v>A/P Invoices - VD0304</v>
          </cell>
          <cell r="F17" t="str">
            <v>Vos Miscellaneous Charges</v>
          </cell>
          <cell r="G17"/>
          <cell r="H17">
            <v>610.16660000000002</v>
          </cell>
        </row>
        <row r="18">
          <cell r="A18">
            <v>246779411939</v>
          </cell>
          <cell r="B18">
            <v>45733</v>
          </cell>
          <cell r="C18" t="str">
            <v>BOS2425M</v>
          </cell>
          <cell r="D18" t="str">
            <v>PU 7350288</v>
          </cell>
          <cell r="E18" t="str">
            <v>A/P Invoices - VD0304</v>
          </cell>
          <cell r="F18" t="str">
            <v>Vos Miscellaneous Charges</v>
          </cell>
          <cell r="G18"/>
          <cell r="H18">
            <v>1935.1864</v>
          </cell>
        </row>
        <row r="19">
          <cell r="A19">
            <v>246779414468</v>
          </cell>
          <cell r="B19">
            <v>45736</v>
          </cell>
          <cell r="C19" t="str">
            <v>BOS2425M</v>
          </cell>
          <cell r="D19" t="str">
            <v>PU 7350289</v>
          </cell>
          <cell r="E19" t="str">
            <v>A/P Invoices - VD0304</v>
          </cell>
          <cell r="F19" t="str">
            <v>Handeling &amp; Agency Charges</v>
          </cell>
          <cell r="G19"/>
          <cell r="H19">
            <v>7734.1876000000002</v>
          </cell>
        </row>
        <row r="20">
          <cell r="A20">
            <v>246779414682</v>
          </cell>
          <cell r="B20">
            <v>45736</v>
          </cell>
          <cell r="C20" t="str">
            <v>BOS2425M</v>
          </cell>
          <cell r="D20" t="str">
            <v>PU 7350290</v>
          </cell>
          <cell r="E20" t="str">
            <v>A/P Invoices - VD0304</v>
          </cell>
          <cell r="F20" t="str">
            <v>Handeling &amp; Agency Charges</v>
          </cell>
          <cell r="G20"/>
          <cell r="H20">
            <v>7619.7987999999996</v>
          </cell>
        </row>
        <row r="21">
          <cell r="A21">
            <v>246779414735</v>
          </cell>
          <cell r="B21">
            <v>45736</v>
          </cell>
          <cell r="C21" t="str">
            <v>BOS2425M</v>
          </cell>
          <cell r="D21" t="str">
            <v>PU 7350291</v>
          </cell>
          <cell r="E21" t="str">
            <v>A/P Invoices - VD0304</v>
          </cell>
          <cell r="F21" t="str">
            <v>Handeling &amp; Agency Charges</v>
          </cell>
          <cell r="G21"/>
          <cell r="H21">
            <v>8168.4920000000002</v>
          </cell>
        </row>
        <row r="22">
          <cell r="A22">
            <v>246779414886</v>
          </cell>
          <cell r="B22">
            <v>45736</v>
          </cell>
          <cell r="C22" t="str">
            <v>BOS2425M</v>
          </cell>
          <cell r="D22" t="str">
            <v>PU 7350292</v>
          </cell>
          <cell r="E22" t="str">
            <v>A/P Invoices - VD0304</v>
          </cell>
          <cell r="F22" t="str">
            <v>Handeling &amp; Agency Charges</v>
          </cell>
          <cell r="G22"/>
          <cell r="H22">
            <v>2582.864</v>
          </cell>
        </row>
        <row r="23">
          <cell r="A23">
            <v>246779414397</v>
          </cell>
          <cell r="B23">
            <v>45736</v>
          </cell>
          <cell r="C23" t="str">
            <v>BOS2425M</v>
          </cell>
          <cell r="D23" t="str">
            <v>PU 7350293</v>
          </cell>
          <cell r="E23" t="str">
            <v>A/P Invoices - VD0304</v>
          </cell>
          <cell r="F23" t="str">
            <v>Handeling &amp; Agency Charges</v>
          </cell>
          <cell r="G23"/>
          <cell r="H23">
            <v>589.62739999999997</v>
          </cell>
        </row>
        <row r="24">
          <cell r="A24">
            <v>246779414887</v>
          </cell>
          <cell r="B24">
            <v>45736</v>
          </cell>
          <cell r="C24" t="str">
            <v>BOS2425M</v>
          </cell>
          <cell r="D24" t="str">
            <v>PU 7350294</v>
          </cell>
          <cell r="E24" t="str">
            <v>A/P Invoices - VD0304</v>
          </cell>
          <cell r="F24" t="str">
            <v>Handeling &amp; Agency Charges</v>
          </cell>
          <cell r="G24"/>
          <cell r="H24">
            <v>610.16660000000002</v>
          </cell>
        </row>
        <row r="25">
          <cell r="A25">
            <v>256779414888</v>
          </cell>
          <cell r="B25">
            <v>45736</v>
          </cell>
          <cell r="C25" t="str">
            <v>BOS2425M</v>
          </cell>
          <cell r="D25" t="str">
            <v>PU 7350295</v>
          </cell>
          <cell r="E25" t="str">
            <v>A/P Invoices - VD0304</v>
          </cell>
          <cell r="F25" t="str">
            <v>Handeling &amp; Agency Charges</v>
          </cell>
          <cell r="G25"/>
          <cell r="H25">
            <v>914.67780000000005</v>
          </cell>
        </row>
        <row r="26">
          <cell r="A26">
            <v>246779414889</v>
          </cell>
          <cell r="B26">
            <v>45736</v>
          </cell>
          <cell r="C26" t="str">
            <v>BOS2425M</v>
          </cell>
          <cell r="D26" t="str">
            <v>PU 7350296</v>
          </cell>
          <cell r="E26" t="str">
            <v>A/P Invoices - VD0304</v>
          </cell>
          <cell r="F26" t="str">
            <v>Handeling &amp; Agency Charges</v>
          </cell>
          <cell r="G26"/>
          <cell r="H26">
            <v>211.66159999999999</v>
          </cell>
        </row>
        <row r="27">
          <cell r="A27">
            <v>246779414398</v>
          </cell>
          <cell r="B27">
            <v>45736</v>
          </cell>
          <cell r="C27" t="str">
            <v>BOS2425M</v>
          </cell>
          <cell r="D27" t="str">
            <v>PU 7350297</v>
          </cell>
          <cell r="E27" t="str">
            <v>A/P Invoices - VD0304</v>
          </cell>
          <cell r="F27" t="str">
            <v>Handeling &amp; Agency Charges</v>
          </cell>
          <cell r="G27"/>
          <cell r="H27">
            <v>2716.0803999999998</v>
          </cell>
        </row>
        <row r="28">
          <cell r="A28">
            <v>246779414890</v>
          </cell>
          <cell r="B28">
            <v>45736</v>
          </cell>
          <cell r="C28" t="str">
            <v>BOS2425M</v>
          </cell>
          <cell r="D28" t="str">
            <v>PU 7350298</v>
          </cell>
          <cell r="E28" t="str">
            <v>A/P Invoices - VD0304</v>
          </cell>
          <cell r="F28" t="str">
            <v>Handeling &amp; Agency Charges</v>
          </cell>
          <cell r="G28"/>
          <cell r="H28">
            <v>3690.52</v>
          </cell>
        </row>
        <row r="29">
          <cell r="A29">
            <v>246779412066</v>
          </cell>
          <cell r="B29">
            <v>45733</v>
          </cell>
          <cell r="C29" t="str">
            <v>BOS2425M</v>
          </cell>
          <cell r="D29" t="str">
            <v>PU 7350299</v>
          </cell>
          <cell r="E29" t="str">
            <v>A/P Invoices - VD0304</v>
          </cell>
          <cell r="F29" t="str">
            <v>Vos Miscellaneous Charges</v>
          </cell>
          <cell r="G29"/>
          <cell r="H29">
            <v>5577.07</v>
          </cell>
        </row>
        <row r="30">
          <cell r="A30">
            <v>246779414318</v>
          </cell>
          <cell r="B30">
            <v>45737</v>
          </cell>
          <cell r="C30" t="str">
            <v>BOS2425M</v>
          </cell>
          <cell r="D30" t="str">
            <v>PU 7350300</v>
          </cell>
          <cell r="E30" t="str">
            <v>A/P Invoices - VD0304</v>
          </cell>
          <cell r="F30" t="str">
            <v>Handeling &amp; Agency Charges</v>
          </cell>
          <cell r="G30"/>
          <cell r="H30">
            <v>3836.4292</v>
          </cell>
        </row>
        <row r="31">
          <cell r="A31"/>
          <cell r="B31">
            <v>45736</v>
          </cell>
          <cell r="C31" t="str">
            <v>JRN2425M</v>
          </cell>
          <cell r="D31" t="str">
            <v>JE 7353132</v>
          </cell>
          <cell r="E31" t="str">
            <v>Being TDS deduction on 246779413797 ascendas</v>
          </cell>
          <cell r="F31" t="str">
            <v>Tds Payable- 94Ib - Rent</v>
          </cell>
          <cell r="G31"/>
          <cell r="H31">
            <v>1711.6</v>
          </cell>
        </row>
        <row r="32">
          <cell r="A32"/>
          <cell r="B32">
            <v>45736</v>
          </cell>
          <cell r="C32" t="str">
            <v>JRN2425M</v>
          </cell>
          <cell r="D32" t="str">
            <v>JE 7353133</v>
          </cell>
          <cell r="E32" t="str">
            <v>Being TDS deduction on 246779413797 ascendas(Reversal) - 7619</v>
          </cell>
          <cell r="F32" t="str">
            <v>Tds Payable- 94Ib - Rent</v>
          </cell>
          <cell r="G32">
            <v>-1711.6</v>
          </cell>
          <cell r="H32"/>
        </row>
        <row r="33">
          <cell r="A33">
            <v>246779410252</v>
          </cell>
          <cell r="B33">
            <v>45708</v>
          </cell>
          <cell r="C33" t="str">
            <v>BOS2425M</v>
          </cell>
          <cell r="D33" t="str">
            <v>PU 7350301</v>
          </cell>
          <cell r="E33" t="str">
            <v>A/P Invoices - VD0304</v>
          </cell>
          <cell r="F33" t="str">
            <v>Management Fees (Ascendas)</v>
          </cell>
          <cell r="G33"/>
          <cell r="H33">
            <v>33554.7022</v>
          </cell>
        </row>
        <row r="34">
          <cell r="A34">
            <v>246779410166</v>
          </cell>
          <cell r="B34">
            <v>45708</v>
          </cell>
          <cell r="C34" t="str">
            <v>BOS2425M</v>
          </cell>
          <cell r="D34" t="str">
            <v>PU 7350302</v>
          </cell>
          <cell r="E34" t="str">
            <v>A/P Invoices - VD0304</v>
          </cell>
          <cell r="F34" t="str">
            <v>Management Fees (Ascendas)</v>
          </cell>
          <cell r="G34"/>
          <cell r="H34">
            <v>34945.618600000002</v>
          </cell>
        </row>
        <row r="35">
          <cell r="A35">
            <v>246779410140</v>
          </cell>
          <cell r="B35">
            <v>45708</v>
          </cell>
          <cell r="C35" t="str">
            <v>BOS2425M</v>
          </cell>
          <cell r="D35" t="str">
            <v>PU 7350303</v>
          </cell>
          <cell r="E35" t="str">
            <v>A/P Invoices - VD0304</v>
          </cell>
          <cell r="F35" t="str">
            <v>Rent - Ascendas</v>
          </cell>
          <cell r="G35"/>
          <cell r="H35">
            <v>91693.278399999996</v>
          </cell>
        </row>
        <row r="36">
          <cell r="A36">
            <v>246779410226</v>
          </cell>
          <cell r="B36">
            <v>45708</v>
          </cell>
          <cell r="C36" t="str">
            <v>BOS2425M</v>
          </cell>
          <cell r="D36" t="str">
            <v>PU 7350304</v>
          </cell>
          <cell r="E36" t="str">
            <v>A/P Invoices - VD0304</v>
          </cell>
          <cell r="F36" t="str">
            <v>Rent - Ascendas</v>
          </cell>
          <cell r="G36"/>
          <cell r="H36">
            <v>88045.209600000002</v>
          </cell>
        </row>
        <row r="37">
          <cell r="A37">
            <v>246779411760</v>
          </cell>
          <cell r="B37">
            <v>45733</v>
          </cell>
          <cell r="C37" t="str">
            <v>BOS2425M</v>
          </cell>
          <cell r="D37" t="str">
            <v>PU 7350305</v>
          </cell>
          <cell r="E37" t="str">
            <v>A/P Invoices - VD0304</v>
          </cell>
          <cell r="F37" t="str">
            <v>Vos Miscellaneous Charges</v>
          </cell>
          <cell r="G37"/>
          <cell r="H37">
            <v>43626.1486</v>
          </cell>
        </row>
        <row r="38">
          <cell r="A38">
            <v>246779413905</v>
          </cell>
          <cell r="B38">
            <v>45736</v>
          </cell>
          <cell r="C38" t="str">
            <v>BOS2425M</v>
          </cell>
          <cell r="D38" t="str">
            <v>PU 7350306</v>
          </cell>
          <cell r="E38" t="str">
            <v>A/P Invoices - VD0304</v>
          </cell>
          <cell r="F38" t="str">
            <v>Handeling &amp; Agency Charges</v>
          </cell>
          <cell r="G38"/>
          <cell r="H38">
            <v>368.55200000000002</v>
          </cell>
        </row>
        <row r="39">
          <cell r="A39">
            <v>246779414399</v>
          </cell>
          <cell r="B39">
            <v>45736</v>
          </cell>
          <cell r="C39" t="str">
            <v>BOS2425M</v>
          </cell>
          <cell r="D39" t="str">
            <v>PU 7350307</v>
          </cell>
          <cell r="E39" t="str">
            <v>A/P Invoices - VD0304</v>
          </cell>
          <cell r="F39" t="str">
            <v>Handeling &amp; Agency Charges</v>
          </cell>
          <cell r="G39"/>
          <cell r="H39">
            <v>6461.0832</v>
          </cell>
        </row>
        <row r="40">
          <cell r="A40">
            <v>246779410009</v>
          </cell>
          <cell r="B40">
            <v>45707</v>
          </cell>
          <cell r="C40" t="str">
            <v>BOS2425M</v>
          </cell>
          <cell r="D40" t="str">
            <v>PU 7350308</v>
          </cell>
          <cell r="E40" t="str">
            <v>A/P Invoices - VD0304</v>
          </cell>
          <cell r="F40" t="str">
            <v>Rent - Ascendas</v>
          </cell>
          <cell r="G40"/>
          <cell r="H40">
            <v>91693.278399999996</v>
          </cell>
        </row>
        <row r="41">
          <cell r="A41">
            <v>246779410077</v>
          </cell>
          <cell r="B41">
            <v>45708</v>
          </cell>
          <cell r="C41" t="str">
            <v>BOS2425M</v>
          </cell>
          <cell r="D41" t="str">
            <v>PU 7350309</v>
          </cell>
          <cell r="E41" t="str">
            <v>A/P Invoices - VD0304</v>
          </cell>
          <cell r="F41" t="str">
            <v>Management Fees (Ascendas)</v>
          </cell>
          <cell r="G41"/>
          <cell r="H41">
            <v>34945.618600000002</v>
          </cell>
        </row>
        <row r="42">
          <cell r="A42">
            <v>246779411449</v>
          </cell>
          <cell r="B42">
            <v>45730</v>
          </cell>
          <cell r="C42" t="str">
            <v>BOS2425M</v>
          </cell>
          <cell r="D42" t="str">
            <v>PU 7350310</v>
          </cell>
          <cell r="E42" t="str">
            <v>A/P Invoices - VD0304</v>
          </cell>
          <cell r="F42" t="str">
            <v>Vos Miscellaneous Charges</v>
          </cell>
          <cell r="G42"/>
          <cell r="H42">
            <v>79318.285000000003</v>
          </cell>
        </row>
        <row r="43">
          <cell r="A43">
            <v>246779412238</v>
          </cell>
          <cell r="B43">
            <v>45730</v>
          </cell>
          <cell r="C43" t="str">
            <v>BOS2425M</v>
          </cell>
          <cell r="D43" t="str">
            <v>PU 7350311</v>
          </cell>
          <cell r="E43" t="str">
            <v>A/P Invoices - VD0304</v>
          </cell>
          <cell r="F43" t="str">
            <v>Vos Miscellaneous Charges</v>
          </cell>
          <cell r="G43"/>
          <cell r="H43">
            <v>79318.285000000003</v>
          </cell>
        </row>
        <row r="44">
          <cell r="A44">
            <v>246779414222</v>
          </cell>
          <cell r="B44">
            <v>45736</v>
          </cell>
          <cell r="C44" t="str">
            <v>BOS2425M</v>
          </cell>
          <cell r="D44" t="str">
            <v>PU 7350312</v>
          </cell>
          <cell r="E44" t="str">
            <v>A/P Invoices - VD0304</v>
          </cell>
          <cell r="F44" t="str">
            <v>Handeling &amp; Agency Charges</v>
          </cell>
          <cell r="G44"/>
          <cell r="H44">
            <v>16503.432400000002</v>
          </cell>
        </row>
        <row r="45">
          <cell r="A45">
            <v>246779414143</v>
          </cell>
          <cell r="B45">
            <v>45736</v>
          </cell>
          <cell r="C45" t="str">
            <v>BOS2425M</v>
          </cell>
          <cell r="D45" t="str">
            <v>PU 7350313</v>
          </cell>
          <cell r="E45" t="str">
            <v>A/P Invoices - VD0304</v>
          </cell>
          <cell r="F45" t="str">
            <v>Handeling &amp; Agency Charges</v>
          </cell>
          <cell r="G45"/>
          <cell r="H45">
            <v>47478.693800000001</v>
          </cell>
        </row>
        <row r="46">
          <cell r="A46">
            <v>246779411621</v>
          </cell>
          <cell r="B46">
            <v>45733</v>
          </cell>
          <cell r="C46" t="str">
            <v>BOS2425M</v>
          </cell>
          <cell r="D46" t="str">
            <v>PU 7350314</v>
          </cell>
          <cell r="E46" t="str">
            <v>A/P Invoices - VD0304</v>
          </cell>
          <cell r="F46" t="str">
            <v>Vos Miscellaneous Charges</v>
          </cell>
          <cell r="G46"/>
          <cell r="H46">
            <v>37240.943200000002</v>
          </cell>
        </row>
        <row r="47">
          <cell r="A47">
            <v>246779411301</v>
          </cell>
          <cell r="B47">
            <v>45729</v>
          </cell>
          <cell r="C47" t="str">
            <v>BOS2425M</v>
          </cell>
          <cell r="D47" t="str">
            <v>PU 7350315</v>
          </cell>
          <cell r="E47" t="str">
            <v>A/P Invoices - VD0304</v>
          </cell>
          <cell r="F47" t="str">
            <v>Vos Miscellaneous Charges</v>
          </cell>
          <cell r="G47"/>
          <cell r="H47">
            <v>7129.3</v>
          </cell>
        </row>
        <row r="48">
          <cell r="A48">
            <v>246779411315</v>
          </cell>
          <cell r="B48">
            <v>45729</v>
          </cell>
          <cell r="C48" t="str">
            <v>BOS2425M</v>
          </cell>
          <cell r="D48" t="str">
            <v>PU 7350316</v>
          </cell>
          <cell r="E48" t="str">
            <v>A/P Invoices - VD0304</v>
          </cell>
          <cell r="F48" t="str">
            <v>Vos Miscellaneous Charges</v>
          </cell>
          <cell r="G48"/>
          <cell r="H48">
            <v>2935.3</v>
          </cell>
        </row>
        <row r="49">
          <cell r="A49">
            <v>246779413817</v>
          </cell>
          <cell r="B49">
            <v>45736</v>
          </cell>
          <cell r="C49" t="str">
            <v>BOS2425M</v>
          </cell>
          <cell r="D49" t="str">
            <v>PU 7350317</v>
          </cell>
          <cell r="E49" t="str">
            <v>A/P Invoices - VD0304</v>
          </cell>
          <cell r="F49" t="str">
            <v>Vos Miscellaneous Charges</v>
          </cell>
          <cell r="G49"/>
          <cell r="H49">
            <v>4193</v>
          </cell>
        </row>
        <row r="50">
          <cell r="A50">
            <v>246779414146</v>
          </cell>
          <cell r="B50">
            <v>45736</v>
          </cell>
          <cell r="C50" t="str">
            <v>BOS2425M</v>
          </cell>
          <cell r="D50" t="str">
            <v>PU 7350318</v>
          </cell>
          <cell r="E50" t="str">
            <v>A/P Invoices - VD0304</v>
          </cell>
          <cell r="F50" t="str">
            <v>Ground Rent (Container)</v>
          </cell>
          <cell r="G50"/>
          <cell r="H50">
            <v>1489.973</v>
          </cell>
        </row>
        <row r="51">
          <cell r="A51">
            <v>246779413808</v>
          </cell>
          <cell r="B51">
            <v>45736</v>
          </cell>
          <cell r="C51" t="str">
            <v>BOS2425M</v>
          </cell>
          <cell r="D51" t="str">
            <v>PU 7350319</v>
          </cell>
          <cell r="E51" t="str">
            <v>A/P Invoices - VD0304</v>
          </cell>
          <cell r="F51" t="str">
            <v>Ground Rent (Container)</v>
          </cell>
          <cell r="G51"/>
          <cell r="H51">
            <v>134532</v>
          </cell>
        </row>
        <row r="52">
          <cell r="A52"/>
          <cell r="B52">
            <v>45736</v>
          </cell>
          <cell r="C52" t="str">
            <v>JRN2425M</v>
          </cell>
          <cell r="D52" t="str">
            <v>JE 7353155</v>
          </cell>
          <cell r="E52" t="str">
            <v>Being TDS deduction on 246779413808 ascendas</v>
          </cell>
          <cell r="F52" t="str">
            <v>Tds Payable- 94Ib - Rent</v>
          </cell>
          <cell r="G52">
            <v>1711.6</v>
          </cell>
          <cell r="H52"/>
        </row>
        <row r="53">
          <cell r="A53">
            <v>246779414145</v>
          </cell>
          <cell r="B53">
            <v>45736</v>
          </cell>
          <cell r="C53" t="str">
            <v>BOS2425M</v>
          </cell>
          <cell r="D53" t="str">
            <v>PU 7350320</v>
          </cell>
          <cell r="E53" t="str">
            <v>A/P Invoices - VD0304</v>
          </cell>
          <cell r="F53" t="str">
            <v>Reefer Plug In</v>
          </cell>
          <cell r="G53"/>
          <cell r="H53">
            <v>12580</v>
          </cell>
        </row>
        <row r="54">
          <cell r="A54">
            <v>246779410029</v>
          </cell>
          <cell r="B54">
            <v>45708</v>
          </cell>
          <cell r="C54" t="str">
            <v>BOS2425M</v>
          </cell>
          <cell r="D54" t="str">
            <v>PU 7350321</v>
          </cell>
          <cell r="E54" t="str">
            <v>A/P Invoices - VD0304</v>
          </cell>
          <cell r="F54" t="str">
            <v>Rent - Ascendas</v>
          </cell>
          <cell r="G54"/>
          <cell r="H54">
            <v>91693.278399999996</v>
          </cell>
        </row>
        <row r="55">
          <cell r="A55">
            <v>24677910055</v>
          </cell>
          <cell r="B55">
            <v>45708</v>
          </cell>
          <cell r="C55" t="str">
            <v>BOS2425M</v>
          </cell>
          <cell r="D55" t="str">
            <v>PU 7350322</v>
          </cell>
          <cell r="E55" t="str">
            <v>A/P Invoices - VD0304</v>
          </cell>
          <cell r="F55" t="str">
            <v>Management Fees (Ascendas)</v>
          </cell>
          <cell r="G55"/>
          <cell r="H55">
            <v>34945.618600000002</v>
          </cell>
        </row>
        <row r="56">
          <cell r="A56">
            <v>246779411279</v>
          </cell>
          <cell r="B56">
            <v>45729</v>
          </cell>
          <cell r="C56" t="str">
            <v>BOS2425M</v>
          </cell>
          <cell r="D56" t="str">
            <v>PU 7350323</v>
          </cell>
          <cell r="E56" t="str">
            <v>A/P Invoices - VD0304</v>
          </cell>
          <cell r="F56" t="str">
            <v>Vos Miscellaneous Charges</v>
          </cell>
          <cell r="G56"/>
          <cell r="H56">
            <v>2935.3</v>
          </cell>
        </row>
        <row r="57">
          <cell r="A57">
            <v>246779413089</v>
          </cell>
          <cell r="B57">
            <v>45735</v>
          </cell>
          <cell r="C57" t="str">
            <v>BOS2425M</v>
          </cell>
          <cell r="D57" t="str">
            <v>PU 7350324</v>
          </cell>
          <cell r="E57" t="str">
            <v>A/P Invoices - VD0304</v>
          </cell>
          <cell r="F57" t="str">
            <v>Vos Miscellaneous Charges</v>
          </cell>
          <cell r="G57"/>
          <cell r="H57">
            <v>6630.0990000000002</v>
          </cell>
        </row>
        <row r="58">
          <cell r="A58">
            <v>246779410324</v>
          </cell>
          <cell r="B58">
            <v>45713</v>
          </cell>
          <cell r="C58" t="str">
            <v>BOS2425M</v>
          </cell>
          <cell r="D58" t="str">
            <v>PU 7350325</v>
          </cell>
          <cell r="E58" t="str">
            <v>A/P Invoices - VD0304</v>
          </cell>
          <cell r="F58" t="str">
            <v>Ground Rent (Container)</v>
          </cell>
          <cell r="G58"/>
          <cell r="H58">
            <v>134788</v>
          </cell>
        </row>
        <row r="59">
          <cell r="A59">
            <v>246779410893</v>
          </cell>
          <cell r="B59">
            <v>45722</v>
          </cell>
          <cell r="C59" t="str">
            <v>BOS2425M</v>
          </cell>
          <cell r="D59" t="str">
            <v>PU 7350327</v>
          </cell>
          <cell r="E59" t="str">
            <v>A/P Invoices - VD0304</v>
          </cell>
          <cell r="F59" t="str">
            <v>Rent - Ascendas</v>
          </cell>
          <cell r="G59"/>
          <cell r="H59">
            <v>13647.064399999999</v>
          </cell>
        </row>
        <row r="60">
          <cell r="A60">
            <v>246779410871</v>
          </cell>
          <cell r="B60">
            <v>45722</v>
          </cell>
          <cell r="C60" t="str">
            <v>BOS2425M</v>
          </cell>
          <cell r="D60" t="str">
            <v>PU 7350328</v>
          </cell>
          <cell r="E60" t="str">
            <v>A/P Invoices - VD0304</v>
          </cell>
          <cell r="F60" t="str">
            <v>Rent - Ascendas</v>
          </cell>
          <cell r="G60"/>
          <cell r="H60">
            <v>3274.0057999999999</v>
          </cell>
        </row>
        <row r="61">
          <cell r="A61">
            <v>246779412119</v>
          </cell>
          <cell r="B61">
            <v>45733</v>
          </cell>
          <cell r="C61" t="str">
            <v>BOS2425M</v>
          </cell>
          <cell r="D61" t="str">
            <v>PU 7350329</v>
          </cell>
          <cell r="E61" t="str">
            <v>A/P Invoices - VD0304</v>
          </cell>
          <cell r="F61" t="str">
            <v>Vos Miscellaneous Charges</v>
          </cell>
          <cell r="G61"/>
          <cell r="H61">
            <v>8387</v>
          </cell>
        </row>
        <row r="62">
          <cell r="A62">
            <v>246779414144</v>
          </cell>
          <cell r="B62">
            <v>45736</v>
          </cell>
          <cell r="C62" t="str">
            <v>BOS2425M</v>
          </cell>
          <cell r="D62" t="str">
            <v>PU 7350330</v>
          </cell>
          <cell r="E62" t="str">
            <v>A/P Invoices - VD0304</v>
          </cell>
          <cell r="F62" t="str">
            <v>LCL CHARGES</v>
          </cell>
          <cell r="G62"/>
          <cell r="H62">
            <v>10567.08</v>
          </cell>
        </row>
        <row r="63">
          <cell r="A63">
            <v>246779412121</v>
          </cell>
          <cell r="B63">
            <v>45733</v>
          </cell>
          <cell r="C63" t="str">
            <v>BOS2425M</v>
          </cell>
          <cell r="D63" t="str">
            <v>PU 7350331</v>
          </cell>
          <cell r="E63" t="str">
            <v>A/P Invoices - VD0304</v>
          </cell>
          <cell r="F63" t="str">
            <v>Vos Miscellaneous Charges</v>
          </cell>
          <cell r="G63"/>
          <cell r="H63">
            <v>8387</v>
          </cell>
        </row>
        <row r="64">
          <cell r="A64">
            <v>246779412116</v>
          </cell>
          <cell r="B64">
            <v>45733</v>
          </cell>
          <cell r="C64" t="str">
            <v>BOS2425M</v>
          </cell>
          <cell r="D64" t="str">
            <v>PU 7350332</v>
          </cell>
          <cell r="E64" t="str">
            <v>A/P Invoices - VD0304</v>
          </cell>
          <cell r="F64" t="str">
            <v>Vos Miscellaneous Charges</v>
          </cell>
          <cell r="G64"/>
          <cell r="H64">
            <v>8387</v>
          </cell>
        </row>
        <row r="65">
          <cell r="A65">
            <v>246779411515</v>
          </cell>
          <cell r="B65">
            <v>45730</v>
          </cell>
          <cell r="C65" t="str">
            <v>BOS2425M</v>
          </cell>
          <cell r="D65" t="str">
            <v>PU 7350333</v>
          </cell>
          <cell r="E65" t="str">
            <v>A/P Invoices - VD0304</v>
          </cell>
          <cell r="F65" t="str">
            <v>Vos Miscellaneous Charges</v>
          </cell>
          <cell r="G65"/>
          <cell r="H65">
            <v>8387</v>
          </cell>
        </row>
        <row r="66">
          <cell r="A66">
            <v>246779413016</v>
          </cell>
          <cell r="B66">
            <v>45735</v>
          </cell>
          <cell r="C66" t="str">
            <v>BOS2425M</v>
          </cell>
          <cell r="D66" t="str">
            <v>PU 7350335</v>
          </cell>
          <cell r="E66" t="str">
            <v>A/P Invoices - VD0304</v>
          </cell>
          <cell r="F66" t="str">
            <v>Rent - Ascendas</v>
          </cell>
          <cell r="G66"/>
          <cell r="H66">
            <v>30964.871599999999</v>
          </cell>
        </row>
        <row r="67">
          <cell r="A67">
            <v>246779412238</v>
          </cell>
          <cell r="B67">
            <v>45747</v>
          </cell>
          <cell r="C67" t="str">
            <v>CL2425M</v>
          </cell>
          <cell r="D67" t="str">
            <v>PU 300025</v>
          </cell>
          <cell r="E67" t="str">
            <v>A/P Invoice - Cancellation - VD0304</v>
          </cell>
          <cell r="F67" t="str">
            <v>Vos Miscellaneous Charges</v>
          </cell>
          <cell r="G67"/>
          <cell r="H67">
            <v>-79318.285000000003</v>
          </cell>
        </row>
        <row r="68">
          <cell r="A68">
            <v>246779412981</v>
          </cell>
          <cell r="B68">
            <v>45735</v>
          </cell>
          <cell r="C68" t="str">
            <v>BOS2425M</v>
          </cell>
          <cell r="D68" t="str">
            <v>PU 7350336</v>
          </cell>
          <cell r="E68" t="str">
            <v>A/P Invoices - VD0304</v>
          </cell>
          <cell r="F68" t="str">
            <v>Rent - Ascendas</v>
          </cell>
          <cell r="G68"/>
          <cell r="H68">
            <v>88469.755399999995</v>
          </cell>
        </row>
        <row r="69">
          <cell r="A69"/>
          <cell r="B69">
            <v>45736</v>
          </cell>
          <cell r="C69" t="str">
            <v>JRN2425M</v>
          </cell>
          <cell r="D69" t="str">
            <v>JE 7353198</v>
          </cell>
          <cell r="E69" t="str">
            <v>Being TDS deduction on 246779413797 ascendas</v>
          </cell>
          <cell r="F69" t="str">
            <v>Tds Payable- 94Ib - Rent</v>
          </cell>
          <cell r="G69">
            <v>1711.6</v>
          </cell>
          <cell r="H69"/>
        </row>
        <row r="70">
          <cell r="A70"/>
          <cell r="B70">
            <v>45736</v>
          </cell>
          <cell r="C70" t="str">
            <v>JRN2425M</v>
          </cell>
          <cell r="D70" t="str">
            <v>JE 7353199</v>
          </cell>
          <cell r="E70" t="str">
            <v>Being TDS deduction on 246779413797 ascendas(Reversal) - 7646</v>
          </cell>
          <cell r="F70" t="str">
            <v>Tds Payable- 94Ib - Rent</v>
          </cell>
          <cell r="G70"/>
          <cell r="H70">
            <v>-1711.6</v>
          </cell>
        </row>
        <row r="71">
          <cell r="A71">
            <v>246779410425</v>
          </cell>
          <cell r="B71">
            <v>45719</v>
          </cell>
          <cell r="C71" t="str">
            <v>BOS2425M</v>
          </cell>
          <cell r="D71" t="str">
            <v>PU 7350338</v>
          </cell>
          <cell r="E71" t="str">
            <v>A/P Invoices - VD0304</v>
          </cell>
          <cell r="F71" t="str">
            <v>Rent - Ascendas</v>
          </cell>
          <cell r="G71"/>
          <cell r="H71">
            <v>129952.43180000001</v>
          </cell>
        </row>
        <row r="72">
          <cell r="A72">
            <v>246779410401</v>
          </cell>
          <cell r="B72">
            <v>45719</v>
          </cell>
          <cell r="C72" t="str">
            <v>BOS2425M</v>
          </cell>
          <cell r="D72" t="str">
            <v>PU 7350339</v>
          </cell>
          <cell r="E72" t="str">
            <v>A/P Invoices - VD0304</v>
          </cell>
          <cell r="F72" t="str">
            <v>Rent - Ascendas</v>
          </cell>
          <cell r="G72"/>
          <cell r="H72">
            <v>100048.99679999999</v>
          </cell>
        </row>
        <row r="73">
          <cell r="A73">
            <v>246779410376</v>
          </cell>
          <cell r="B73">
            <v>45719</v>
          </cell>
          <cell r="C73" t="str">
            <v>BOS2425M</v>
          </cell>
          <cell r="D73" t="str">
            <v>PU 7350340</v>
          </cell>
          <cell r="E73" t="str">
            <v>A/P Invoices - VD0304</v>
          </cell>
          <cell r="F73" t="str">
            <v>Rent - Ascendas</v>
          </cell>
          <cell r="G73"/>
          <cell r="H73">
            <v>54789.332999999999</v>
          </cell>
        </row>
        <row r="74">
          <cell r="A74">
            <v>256779411887</v>
          </cell>
          <cell r="B74">
            <v>45763</v>
          </cell>
          <cell r="C74" t="str">
            <v>BOS2526M</v>
          </cell>
          <cell r="D74" t="str">
            <v>PU 7360033</v>
          </cell>
          <cell r="E74" t="str">
            <v>A/P Invoices - VD0304</v>
          </cell>
          <cell r="F74" t="str">
            <v>Handeling &amp; Agency Charges</v>
          </cell>
          <cell r="G74"/>
          <cell r="H74">
            <v>5965.8855999999996</v>
          </cell>
        </row>
        <row r="75">
          <cell r="A75">
            <v>256779410224</v>
          </cell>
          <cell r="B75">
            <v>45750</v>
          </cell>
          <cell r="C75" t="str">
            <v>BOS2526M</v>
          </cell>
          <cell r="D75" t="str">
            <v>PU 7360034</v>
          </cell>
          <cell r="E75" t="str">
            <v>A/P Invoices - VD0304</v>
          </cell>
          <cell r="F75" t="str">
            <v>Ground Rent (Container)</v>
          </cell>
          <cell r="G75"/>
          <cell r="H75">
            <v>146940</v>
          </cell>
        </row>
        <row r="76">
          <cell r="A76">
            <v>256779410224</v>
          </cell>
          <cell r="B76">
            <v>45750</v>
          </cell>
          <cell r="C76" t="str">
            <v>JRN2526M</v>
          </cell>
          <cell r="D76" t="str">
            <v>JE 7360255</v>
          </cell>
          <cell r="E76" t="str">
            <v>Being tds deduction for rent against bill no.-256779410224 dated-03-04-2025.</v>
          </cell>
          <cell r="F76" t="str">
            <v>Tds Payable- 94Ib - Rent</v>
          </cell>
          <cell r="G76">
            <v>1709.6</v>
          </cell>
          <cell r="H76"/>
        </row>
        <row r="77">
          <cell r="A77">
            <v>256779412020</v>
          </cell>
          <cell r="B77">
            <v>45763</v>
          </cell>
          <cell r="C77" t="str">
            <v>BOS2526M</v>
          </cell>
          <cell r="D77" t="str">
            <v>PU 7360030</v>
          </cell>
          <cell r="E77" t="str">
            <v>A/P Invoices - VD0304</v>
          </cell>
          <cell r="F77" t="str">
            <v>Vos Miscellaneous Charges</v>
          </cell>
          <cell r="G77"/>
          <cell r="H77">
            <v>7137.7507999999998</v>
          </cell>
        </row>
        <row r="78">
          <cell r="A78">
            <v>256779412550</v>
          </cell>
          <cell r="B78">
            <v>45769</v>
          </cell>
          <cell r="C78" t="str">
            <v>BOS2526M</v>
          </cell>
          <cell r="D78" t="str">
            <v>PU 7360031</v>
          </cell>
          <cell r="E78" t="str">
            <v>A/P Invoices - VD0304</v>
          </cell>
          <cell r="F78" t="str">
            <v>Handeling &amp; Agency Charges</v>
          </cell>
          <cell r="G78"/>
          <cell r="H78">
            <v>7304.8559999999998</v>
          </cell>
        </row>
        <row r="79">
          <cell r="A79">
            <v>256779412582</v>
          </cell>
          <cell r="B79">
            <v>45769</v>
          </cell>
          <cell r="C79" t="str">
            <v>BOS2526M</v>
          </cell>
          <cell r="D79" t="str">
            <v>PU 7360032</v>
          </cell>
          <cell r="E79" t="str">
            <v>A/P Invoices - VD0304</v>
          </cell>
          <cell r="F79" t="str">
            <v>Handeling &amp; Agency Charges</v>
          </cell>
          <cell r="G79"/>
          <cell r="H79">
            <v>4771.0860000000002</v>
          </cell>
        </row>
        <row r="80">
          <cell r="A80"/>
          <cell r="B80">
            <v>45813</v>
          </cell>
          <cell r="C80" t="str">
            <v>OPY2526M</v>
          </cell>
          <cell r="D80" t="str">
            <v>PS 7360069</v>
          </cell>
          <cell r="E80" t="str">
            <v>Outgoing Payments - VD0304, Being Amount paid to ascendas against bank ref. no-003MISC251560088 dated 5-6-2025.</v>
          </cell>
          <cell r="F80" t="str">
            <v>YES BANK - 038784600000486 - CC A/c(SGE)</v>
          </cell>
          <cell r="G80">
            <v>302049.55200000003</v>
          </cell>
          <cell r="H80"/>
        </row>
        <row r="81">
          <cell r="A81"/>
          <cell r="B81">
            <v>45813</v>
          </cell>
          <cell r="C81" t="str">
            <v>OPY2526M</v>
          </cell>
          <cell r="D81" t="str">
            <v>PS 7360072</v>
          </cell>
          <cell r="E81" t="str">
            <v>Outgoing Payments - VD0304,Being Amount paid to ascendas against bank ref. no-003MISC251560102 dated 5-6-2025.</v>
          </cell>
          <cell r="F81" t="str">
            <v>YES BANK - 038784600000486 - CC A/c(SGE)</v>
          </cell>
          <cell r="G81">
            <v>271057.80579999997</v>
          </cell>
          <cell r="H81"/>
        </row>
        <row r="82">
          <cell r="A82"/>
          <cell r="B82">
            <v>45813</v>
          </cell>
          <cell r="C82" t="str">
            <v>OPY2526M</v>
          </cell>
          <cell r="D82" t="str">
            <v>PS 7360074</v>
          </cell>
          <cell r="E82" t="str">
            <v>Outgoing Payments - VD0304,Being Amount paid to ascendas against bank ref. no-003MISC251560090 dated 5-6-2025.</v>
          </cell>
          <cell r="F82" t="str">
            <v>YES BANK - 038784600000486 - CC A/c(SGE)</v>
          </cell>
          <cell r="G82">
            <v>315203.35159999999</v>
          </cell>
          <cell r="H82"/>
        </row>
        <row r="83">
          <cell r="A83">
            <v>256779412126</v>
          </cell>
          <cell r="B83">
            <v>45763</v>
          </cell>
          <cell r="C83" t="str">
            <v>BOS2526M</v>
          </cell>
          <cell r="D83" t="str">
            <v>PU 7360039</v>
          </cell>
          <cell r="E83" t="str">
            <v>A/P Invoices - VD0304</v>
          </cell>
          <cell r="F83" t="str">
            <v>Rent - Ascendas</v>
          </cell>
          <cell r="G83"/>
          <cell r="H83">
            <v>38650.758199999997</v>
          </cell>
        </row>
        <row r="84">
          <cell r="A84">
            <v>256779413185</v>
          </cell>
          <cell r="B84">
            <v>45815</v>
          </cell>
          <cell r="C84" t="str">
            <v>BOS2526M</v>
          </cell>
          <cell r="D84" t="str">
            <v>PU 7360040</v>
          </cell>
          <cell r="E84" t="str">
            <v>A/P Invoices - VD0304</v>
          </cell>
          <cell r="F84" t="str">
            <v>Ground Rent (Container)</v>
          </cell>
          <cell r="G84"/>
          <cell r="H84">
            <v>15442</v>
          </cell>
        </row>
        <row r="85">
          <cell r="A85">
            <v>256779413847</v>
          </cell>
          <cell r="B85">
            <v>45797</v>
          </cell>
          <cell r="C85" t="str">
            <v>BOS2526D</v>
          </cell>
          <cell r="D85" t="str">
            <v>PU 5360026</v>
          </cell>
          <cell r="E85" t="str">
            <v>A/P Invoices - VD0304</v>
          </cell>
          <cell r="F85" t="str">
            <v>Vos Miscellaneous Charges</v>
          </cell>
          <cell r="G85"/>
          <cell r="H85">
            <v>8407</v>
          </cell>
        </row>
        <row r="86">
          <cell r="A86">
            <v>256779413841</v>
          </cell>
          <cell r="B86">
            <v>45797</v>
          </cell>
          <cell r="C86" t="str">
            <v>BOS2526M</v>
          </cell>
          <cell r="D86" t="str">
            <v>PU 7360042</v>
          </cell>
          <cell r="E86" t="str">
            <v>A/P Invoices - VD0304</v>
          </cell>
          <cell r="F86" t="str">
            <v>Vos Miscellaneous Charges</v>
          </cell>
          <cell r="G86"/>
          <cell r="H86">
            <v>8407</v>
          </cell>
        </row>
        <row r="87">
          <cell r="A87">
            <v>256779413244</v>
          </cell>
          <cell r="B87">
            <v>45787</v>
          </cell>
          <cell r="C87" t="str">
            <v>BOS2526M</v>
          </cell>
          <cell r="D87" t="str">
            <v>PU 7360044</v>
          </cell>
          <cell r="E87" t="str">
            <v>A/P Invoices - VD0304</v>
          </cell>
          <cell r="F87" t="str">
            <v>Vos Miscellaneous Charges</v>
          </cell>
          <cell r="G87"/>
          <cell r="H87">
            <v>33734.3796</v>
          </cell>
        </row>
        <row r="88">
          <cell r="A88">
            <v>256779413231</v>
          </cell>
          <cell r="B88">
            <v>45787</v>
          </cell>
          <cell r="C88" t="str">
            <v>BOS2526M</v>
          </cell>
          <cell r="D88" t="str">
            <v>PU 7360045</v>
          </cell>
          <cell r="E88" t="str">
            <v>A/P Invoices - VD0304</v>
          </cell>
          <cell r="F88" t="str">
            <v>Vos Miscellaneous Charges</v>
          </cell>
          <cell r="G88"/>
          <cell r="H88">
            <v>8407</v>
          </cell>
        </row>
        <row r="89">
          <cell r="A89">
            <v>256779412177</v>
          </cell>
          <cell r="B89">
            <v>45768</v>
          </cell>
          <cell r="C89" t="str">
            <v>BOS2526M</v>
          </cell>
          <cell r="D89" t="str">
            <v>PU 7360046</v>
          </cell>
          <cell r="E89" t="str">
            <v>A/P Invoices - VD0304</v>
          </cell>
          <cell r="F89" t="str">
            <v>Management Fees (Ascendas)</v>
          </cell>
          <cell r="G89"/>
          <cell r="H89">
            <v>34292.025199999996</v>
          </cell>
        </row>
        <row r="90">
          <cell r="A90">
            <v>256779412142</v>
          </cell>
          <cell r="B90">
            <v>45768</v>
          </cell>
          <cell r="C90" t="str">
            <v>BOS2526M</v>
          </cell>
          <cell r="D90" t="str">
            <v>PU 7360047</v>
          </cell>
          <cell r="E90" t="str">
            <v>A/P Invoices - VD0304</v>
          </cell>
          <cell r="F90" t="str">
            <v>Rent - Ascendas</v>
          </cell>
          <cell r="G90"/>
          <cell r="H90">
            <v>89979.092300000004</v>
          </cell>
        </row>
        <row r="91">
          <cell r="A91">
            <v>256779413848</v>
          </cell>
          <cell r="B91">
            <v>45797</v>
          </cell>
          <cell r="C91" t="str">
            <v>BOS2526M</v>
          </cell>
          <cell r="D91" t="str">
            <v>PU 7360101</v>
          </cell>
          <cell r="E91" t="str">
            <v>A/P Invoices - VD0304</v>
          </cell>
          <cell r="F91" t="str">
            <v>Vos Miscellaneous Charges</v>
          </cell>
          <cell r="G91"/>
          <cell r="H91">
            <v>8407</v>
          </cell>
        </row>
        <row r="92">
          <cell r="A92">
            <v>256779411984</v>
          </cell>
          <cell r="B92">
            <v>45763</v>
          </cell>
          <cell r="C92" t="str">
            <v>BOS2526M</v>
          </cell>
          <cell r="D92" t="str">
            <v>PU 7360049</v>
          </cell>
          <cell r="E92" t="str">
            <v>A/P Invoices - VD0304</v>
          </cell>
          <cell r="F92" t="str">
            <v>Vos Miscellaneous Charges</v>
          </cell>
          <cell r="G92"/>
          <cell r="H92">
            <v>3324.1365999999998</v>
          </cell>
        </row>
        <row r="93">
          <cell r="A93">
            <v>256779412657</v>
          </cell>
          <cell r="B93">
            <v>45769</v>
          </cell>
          <cell r="C93" t="str">
            <v>BOS2526M</v>
          </cell>
          <cell r="D93" t="str">
            <v>PU 7360050</v>
          </cell>
          <cell r="E93" t="str">
            <v>A/P Invoices - VD0304</v>
          </cell>
          <cell r="F93" t="str">
            <v>Handeling &amp; Agency Charges</v>
          </cell>
          <cell r="G93"/>
          <cell r="H93">
            <v>414.94470000000001</v>
          </cell>
        </row>
        <row r="94">
          <cell r="A94">
            <v>256779412615</v>
          </cell>
          <cell r="B94">
            <v>45769</v>
          </cell>
          <cell r="C94" t="str">
            <v>BOS2526M</v>
          </cell>
          <cell r="D94" t="str">
            <v>PU 7360051</v>
          </cell>
          <cell r="E94" t="str">
            <v>A/P Invoices - VD0304</v>
          </cell>
          <cell r="F94" t="str">
            <v>Handeling &amp; Agency Charges</v>
          </cell>
          <cell r="G94"/>
          <cell r="H94">
            <v>7330.8879999999999</v>
          </cell>
        </row>
        <row r="95">
          <cell r="A95">
            <v>256779410006</v>
          </cell>
          <cell r="B95">
            <v>45750</v>
          </cell>
          <cell r="C95" t="str">
            <v>BOS2526M</v>
          </cell>
          <cell r="D95" t="str">
            <v>PU 7360052</v>
          </cell>
          <cell r="E95" t="str">
            <v>A/P Invoices - VD0304</v>
          </cell>
          <cell r="F95" t="str">
            <v>Rent - Ascendas</v>
          </cell>
          <cell r="G95"/>
          <cell r="H95">
            <v>143269</v>
          </cell>
        </row>
        <row r="96">
          <cell r="A96">
            <v>256779410006</v>
          </cell>
          <cell r="B96">
            <v>45750</v>
          </cell>
          <cell r="C96" t="str">
            <v>JRN2526M</v>
          </cell>
          <cell r="D96" t="str">
            <v>JE 7360300</v>
          </cell>
          <cell r="E96" t="str">
            <v>Being TDS entry passed for the ground rent charges against bill no. 256779410006 dated 03-04-2025.</v>
          </cell>
          <cell r="F96" t="str">
            <v>Tds Payable- 94Ib - Rent</v>
          </cell>
          <cell r="G96">
            <v>1715.8</v>
          </cell>
          <cell r="H96"/>
        </row>
        <row r="97">
          <cell r="A97">
            <v>256779410012</v>
          </cell>
          <cell r="B97">
            <v>45750</v>
          </cell>
          <cell r="C97" t="str">
            <v>BOS2526M</v>
          </cell>
          <cell r="D97" t="str">
            <v>PU 7360053</v>
          </cell>
          <cell r="E97" t="str">
            <v>A/P Invoices - VD0304</v>
          </cell>
          <cell r="F97" t="str">
            <v>Rent - Ascendas</v>
          </cell>
          <cell r="G97"/>
          <cell r="H97">
            <v>147473.5</v>
          </cell>
        </row>
        <row r="98">
          <cell r="A98">
            <v>256779410015</v>
          </cell>
          <cell r="B98">
            <v>45750</v>
          </cell>
          <cell r="C98" t="str">
            <v>BOS2526M</v>
          </cell>
          <cell r="D98" t="str">
            <v>PU 7360054</v>
          </cell>
          <cell r="E98" t="str">
            <v>A/P Invoices - VD0304</v>
          </cell>
          <cell r="F98" t="str">
            <v>Rent - Ascendas</v>
          </cell>
          <cell r="G98"/>
          <cell r="H98">
            <v>143269</v>
          </cell>
        </row>
        <row r="99">
          <cell r="A99">
            <v>256779410015</v>
          </cell>
          <cell r="B99">
            <v>45750</v>
          </cell>
          <cell r="C99" t="str">
            <v>JRN2526M</v>
          </cell>
          <cell r="D99" t="str">
            <v>JE 7360303</v>
          </cell>
          <cell r="E99" t="str">
            <v>Being Ground rent charges tds booked against bill no. 256779410015 dated 03-04-2025.</v>
          </cell>
          <cell r="F99" t="str">
            <v>Tds Payable- 94Ib - Rent</v>
          </cell>
          <cell r="G99">
            <v>1715.8</v>
          </cell>
          <cell r="H99"/>
        </row>
        <row r="100">
          <cell r="A100">
            <v>256779410012</v>
          </cell>
          <cell r="B100">
            <v>45750</v>
          </cell>
          <cell r="C100" t="str">
            <v>JRN2526M</v>
          </cell>
          <cell r="D100" t="str">
            <v>JE 7360304</v>
          </cell>
          <cell r="E100" t="str">
            <v>BEing Ground Rent Charges tds booked against bill no 256779410012 dated 03-04-2025.</v>
          </cell>
          <cell r="F100" t="str">
            <v>Tds Payable- 94Ib - Rent</v>
          </cell>
          <cell r="G100">
            <v>1715.8</v>
          </cell>
          <cell r="H100"/>
        </row>
        <row r="101">
          <cell r="A101"/>
          <cell r="B101">
            <v>45821</v>
          </cell>
          <cell r="C101" t="str">
            <v>OPY2526M</v>
          </cell>
          <cell r="D101" t="str">
            <v>PS 7360113</v>
          </cell>
          <cell r="E101" t="str">
            <v>Outgoing Payments - VD0304,Being Amount paid to ascendas against bank ref. no-003FT01251640051 dated 13-6-2025.</v>
          </cell>
          <cell r="F101" t="str">
            <v>HDFC Bank - INR</v>
          </cell>
          <cell r="G101">
            <v>1075024.8446</v>
          </cell>
          <cell r="H101"/>
        </row>
        <row r="102">
          <cell r="A102"/>
          <cell r="B102">
            <v>45821</v>
          </cell>
          <cell r="C102" t="str">
            <v>OPY2526M</v>
          </cell>
          <cell r="D102" t="str">
            <v>PS 7360143</v>
          </cell>
          <cell r="E102" t="str">
            <v>Outgoing Payments - VD0304,Being Amount paid to ascendas against bank ref. no-003FT01251640038 dated 13-6-2025.</v>
          </cell>
          <cell r="F102" t="str">
            <v>HDFC Bank - INR</v>
          </cell>
          <cell r="G102">
            <v>353878.0502</v>
          </cell>
          <cell r="H102"/>
        </row>
        <row r="103">
          <cell r="A103"/>
          <cell r="B103">
            <v>45821</v>
          </cell>
          <cell r="C103" t="str">
            <v>OPY2526M</v>
          </cell>
          <cell r="D103" t="str">
            <v>PS 7360143</v>
          </cell>
          <cell r="E103" t="str">
            <v>Reverse Entry for Payment No. 7360143</v>
          </cell>
          <cell r="F103" t="str">
            <v>HDFC Bank - INR</v>
          </cell>
          <cell r="G103">
            <v>-353878.0502</v>
          </cell>
          <cell r="H103"/>
        </row>
        <row r="104">
          <cell r="A104"/>
          <cell r="B104">
            <v>45821</v>
          </cell>
          <cell r="C104" t="str">
            <v>OPY2526M</v>
          </cell>
          <cell r="D104" t="str">
            <v>PS 7360144</v>
          </cell>
          <cell r="E104" t="str">
            <v>Outgoing Payments - VD0304,Being Amount paid to ascendas against bank ref. no-003FT01251640038 dated 13-6-2025.</v>
          </cell>
          <cell r="F104" t="str">
            <v>HDFC Bank - INR</v>
          </cell>
          <cell r="G104">
            <v>353878.0502</v>
          </cell>
          <cell r="H104"/>
        </row>
        <row r="105">
          <cell r="A105">
            <v>246779410871</v>
          </cell>
          <cell r="B105">
            <v>45821</v>
          </cell>
          <cell r="C105" t="str">
            <v>JRN2526M</v>
          </cell>
          <cell r="D105" t="str">
            <v>JE 7360530</v>
          </cell>
          <cell r="E105" t="str">
            <v>Being $3.4008 less paid in this bill because in summary sheet 2% tds deduscted instead of 10%</v>
          </cell>
          <cell r="F105" t="str">
            <v>HDFC Bank - INR</v>
          </cell>
          <cell r="G105">
            <v>290.90440000000001</v>
          </cell>
          <cell r="H105"/>
        </row>
        <row r="106">
          <cell r="A106"/>
          <cell r="B106">
            <v>45821</v>
          </cell>
          <cell r="C106" t="str">
            <v>OPY2526M</v>
          </cell>
          <cell r="D106" t="str">
            <v>PS 7360144</v>
          </cell>
          <cell r="E106" t="str">
            <v>Reverse Entry for Payment No. 7360144</v>
          </cell>
          <cell r="F106" t="str">
            <v>HDFC Bank - INR</v>
          </cell>
          <cell r="G106">
            <v>-353878.0502</v>
          </cell>
          <cell r="H106"/>
        </row>
        <row r="107">
          <cell r="A107"/>
          <cell r="B107">
            <v>45821</v>
          </cell>
          <cell r="C107" t="str">
            <v>OPY2526M</v>
          </cell>
          <cell r="D107" t="str">
            <v>PS 7360145</v>
          </cell>
          <cell r="E107" t="str">
            <v>Outgoing Payments - VD0304,Being Amount paid to ascendas against bank ref. no-003FT01251640038 dated 13-6-2025.</v>
          </cell>
          <cell r="F107" t="str">
            <v>HDFC Bank - INR</v>
          </cell>
          <cell r="G107">
            <v>362187.0502</v>
          </cell>
          <cell r="H107"/>
        </row>
        <row r="108">
          <cell r="A108">
            <v>256779414240</v>
          </cell>
          <cell r="B108">
            <v>45815</v>
          </cell>
          <cell r="C108" t="str">
            <v>BOS2526M</v>
          </cell>
          <cell r="D108" t="str">
            <v>PU 7360085</v>
          </cell>
          <cell r="E108" t="str">
            <v>A/P Invoices - VD0304</v>
          </cell>
          <cell r="F108" t="str">
            <v>Rent - Ascendas</v>
          </cell>
          <cell r="G108"/>
          <cell r="H108">
            <v>103047.89</v>
          </cell>
        </row>
        <row r="109">
          <cell r="A109">
            <v>256779414357</v>
          </cell>
          <cell r="B109">
            <v>45818</v>
          </cell>
          <cell r="C109" t="str">
            <v>BOS2526M</v>
          </cell>
          <cell r="D109" t="str">
            <v>PU 7360086</v>
          </cell>
          <cell r="E109" t="str">
            <v>A/P Invoices - VD0304</v>
          </cell>
          <cell r="F109" t="str">
            <v>Rent - Ascendas</v>
          </cell>
          <cell r="G109"/>
          <cell r="H109">
            <v>31506.794000000002</v>
          </cell>
        </row>
        <row r="110">
          <cell r="A110">
            <v>256779414356</v>
          </cell>
          <cell r="B110">
            <v>45818</v>
          </cell>
          <cell r="C110" t="str">
            <v>BOS2526M</v>
          </cell>
          <cell r="D110" t="str">
            <v>PU 7360087</v>
          </cell>
          <cell r="E110" t="str">
            <v>A/P Invoices - VD0304</v>
          </cell>
          <cell r="F110" t="str">
            <v>Rent - Ascendas</v>
          </cell>
          <cell r="G110"/>
          <cell r="H110">
            <v>90020.757199999993</v>
          </cell>
        </row>
        <row r="111">
          <cell r="A111">
            <v>256779413256</v>
          </cell>
          <cell r="B111">
            <v>45793</v>
          </cell>
          <cell r="C111" t="str">
            <v>BOS2526M</v>
          </cell>
          <cell r="D111" t="str">
            <v>PU 7360088</v>
          </cell>
          <cell r="E111" t="str">
            <v>A/P Invoices - VD0304</v>
          </cell>
          <cell r="F111" t="str">
            <v>Transportation (Inbound)</v>
          </cell>
          <cell r="G111"/>
          <cell r="H111">
            <v>22625.7</v>
          </cell>
        </row>
        <row r="112">
          <cell r="A112">
            <v>256779413284</v>
          </cell>
          <cell r="B112">
            <v>45793</v>
          </cell>
          <cell r="C112" t="str">
            <v>BOS2526M</v>
          </cell>
          <cell r="D112" t="str">
            <v>PU 7360089</v>
          </cell>
          <cell r="E112" t="str">
            <v>A/P Invoices - VD0304</v>
          </cell>
          <cell r="F112" t="str">
            <v>Vos Miscellaneous Charges</v>
          </cell>
          <cell r="G112"/>
          <cell r="H112">
            <v>2932.85</v>
          </cell>
        </row>
        <row r="113">
          <cell r="A113">
            <v>256779414275</v>
          </cell>
          <cell r="B113">
            <v>45812</v>
          </cell>
          <cell r="C113" t="str">
            <v>BOS2526M</v>
          </cell>
          <cell r="D113" t="str">
            <v>PU 7360090</v>
          </cell>
          <cell r="E113" t="str">
            <v>A/P Invoices - VD0304</v>
          </cell>
          <cell r="F113" t="str">
            <v>Vos Miscellaneous Charges</v>
          </cell>
          <cell r="G113"/>
          <cell r="H113">
            <v>11403.200800000001</v>
          </cell>
        </row>
        <row r="114">
          <cell r="A114">
            <v>256779414317</v>
          </cell>
          <cell r="B114">
            <v>45827</v>
          </cell>
          <cell r="C114" t="str">
            <v>BOS2526M</v>
          </cell>
          <cell r="D114" t="str">
            <v>PU 7360091</v>
          </cell>
          <cell r="E114" t="str">
            <v>A/P Invoices - VD0304</v>
          </cell>
          <cell r="F114" t="str">
            <v>Vos Miscellaneous Charges</v>
          </cell>
          <cell r="G114"/>
          <cell r="H114">
            <v>58444.239300000001</v>
          </cell>
        </row>
        <row r="115">
          <cell r="A115">
            <v>246779414733</v>
          </cell>
          <cell r="B115">
            <v>45827</v>
          </cell>
          <cell r="C115" t="str">
            <v>BOS2526M</v>
          </cell>
          <cell r="D115" t="str">
            <v>PU 7360106</v>
          </cell>
          <cell r="E115" t="str">
            <v>A/P Invoices - VD0304</v>
          </cell>
          <cell r="F115" t="str">
            <v>Rent - Ascendas</v>
          </cell>
          <cell r="G115"/>
          <cell r="H115">
            <v>7725</v>
          </cell>
        </row>
        <row r="116">
          <cell r="A116">
            <v>246779414732</v>
          </cell>
          <cell r="B116">
            <v>45827</v>
          </cell>
          <cell r="C116" t="str">
            <v>BOS2526M</v>
          </cell>
          <cell r="D116" t="str">
            <v>PU 7360107</v>
          </cell>
          <cell r="E116" t="str">
            <v>A/P Invoices - VD0304</v>
          </cell>
          <cell r="F116" t="str">
            <v>Rent - Ascendas</v>
          </cell>
          <cell r="G116"/>
          <cell r="H116">
            <v>7725</v>
          </cell>
        </row>
        <row r="117">
          <cell r="A117">
            <v>246779414731</v>
          </cell>
          <cell r="B117">
            <v>45827</v>
          </cell>
          <cell r="C117" t="str">
            <v>BOS2526M</v>
          </cell>
          <cell r="D117" t="str">
            <v>PU 7360108</v>
          </cell>
          <cell r="E117" t="str">
            <v>A/P Invoices - VD0304</v>
          </cell>
          <cell r="F117" t="str">
            <v>Rent - Ascendas</v>
          </cell>
          <cell r="G117"/>
          <cell r="H117">
            <v>7725</v>
          </cell>
        </row>
        <row r="118">
          <cell r="A118">
            <v>246779414734</v>
          </cell>
          <cell r="B118">
            <v>45827</v>
          </cell>
          <cell r="C118" t="str">
            <v>BOS2526M</v>
          </cell>
          <cell r="D118" t="str">
            <v>PU 7360109</v>
          </cell>
          <cell r="E118" t="str">
            <v>A/P Invoices - VD0304</v>
          </cell>
          <cell r="F118" t="str">
            <v>Rent - Ascendas</v>
          </cell>
          <cell r="G118"/>
          <cell r="H118">
            <v>7725</v>
          </cell>
        </row>
        <row r="119">
          <cell r="A119">
            <v>256779414341</v>
          </cell>
          <cell r="B119">
            <v>45821</v>
          </cell>
          <cell r="C119" t="str">
            <v>BOS2526M</v>
          </cell>
          <cell r="D119" t="str">
            <v>PU 7360113</v>
          </cell>
          <cell r="E119" t="str">
            <v>A/P Invoices - VD0304</v>
          </cell>
          <cell r="F119" t="str">
            <v>Vos Miscellaneous Charges</v>
          </cell>
          <cell r="G119"/>
          <cell r="H119">
            <v>16823</v>
          </cell>
        </row>
        <row r="120">
          <cell r="A120"/>
          <cell r="B120">
            <v>45856</v>
          </cell>
          <cell r="C120" t="str">
            <v>OPY2526M</v>
          </cell>
          <cell r="D120" t="str">
            <v>PS 7360316</v>
          </cell>
          <cell r="E120" t="str">
            <v>Outgoing Payments - VD0304,Being payment done against USD 3798.9858   ASCENDAS PANVEL FTWZ PRIVATE LIMITED, Bank ref no.-  003MISC251990131 dated-18-07-2025.</v>
          </cell>
          <cell r="F120" t="str">
            <v>YES BANK - USD</v>
          </cell>
          <cell r="G120">
            <v>319981.4313</v>
          </cell>
          <cell r="H120"/>
        </row>
        <row r="121">
          <cell r="A121"/>
          <cell r="B121">
            <v>45856</v>
          </cell>
          <cell r="C121" t="str">
            <v>OPY2526M</v>
          </cell>
          <cell r="D121" t="str">
            <v>PS 7360316</v>
          </cell>
          <cell r="E121" t="str">
            <v>Reverse Entry for Payment No. 7360316</v>
          </cell>
          <cell r="F121" t="str">
            <v>YES BANK - USD</v>
          </cell>
          <cell r="G121">
            <v>-319981.4313</v>
          </cell>
          <cell r="H121"/>
        </row>
        <row r="122">
          <cell r="A122"/>
          <cell r="B122">
            <v>45856</v>
          </cell>
          <cell r="C122" t="str">
            <v>OPY2526M</v>
          </cell>
          <cell r="D122" t="str">
            <v>PS 7360331</v>
          </cell>
          <cell r="E122" t="str">
            <v>Outgoing Payments - VD0304,Being payment done against USD 3798.9858   ASCENDAS PANVEL FTWZ PRIVATE LIMITED, Bank ref no.-  003MISC251990131 dated-18-07-2025.</v>
          </cell>
          <cell r="F122" t="str">
            <v>YES BANK - USD</v>
          </cell>
          <cell r="G122">
            <v>319981.4313</v>
          </cell>
          <cell r="H122"/>
        </row>
        <row r="123">
          <cell r="A123">
            <v>256779414735</v>
          </cell>
          <cell r="B123">
            <v>45827</v>
          </cell>
          <cell r="C123" t="str">
            <v>BOS2526M</v>
          </cell>
          <cell r="D123" t="str">
            <v>PU 7360124</v>
          </cell>
          <cell r="E123" t="str">
            <v>A/P Invoices - VD0304</v>
          </cell>
          <cell r="F123" t="str">
            <v>Rent - Ascendas</v>
          </cell>
          <cell r="G123"/>
          <cell r="H123">
            <v>7758</v>
          </cell>
        </row>
        <row r="124">
          <cell r="A124">
            <v>256779411152</v>
          </cell>
          <cell r="B124">
            <v>45762</v>
          </cell>
          <cell r="C124" t="str">
            <v>BOS2526M</v>
          </cell>
          <cell r="D124" t="str">
            <v>PU 7360133</v>
          </cell>
          <cell r="E124" t="str">
            <v>A/P Invoices - VD0304</v>
          </cell>
          <cell r="F124" t="str">
            <v>Empty Return - Outward</v>
          </cell>
          <cell r="G124"/>
          <cell r="H124">
            <v>13942.089</v>
          </cell>
        </row>
        <row r="125">
          <cell r="A125">
            <v>256779411153</v>
          </cell>
          <cell r="B125">
            <v>45762</v>
          </cell>
          <cell r="C125" t="str">
            <v>BOS2526M</v>
          </cell>
          <cell r="D125" t="str">
            <v>PU 7360134</v>
          </cell>
          <cell r="E125" t="str">
            <v>A/P Invoices - VD0304</v>
          </cell>
          <cell r="F125" t="str">
            <v>LCL CHARGES</v>
          </cell>
          <cell r="G125"/>
          <cell r="H125">
            <v>2251.0369999999998</v>
          </cell>
        </row>
        <row r="126">
          <cell r="A126">
            <v>256779411154</v>
          </cell>
          <cell r="B126">
            <v>45762</v>
          </cell>
          <cell r="C126" t="str">
            <v>BOS2526M</v>
          </cell>
          <cell r="D126" t="str">
            <v>PU 7360135</v>
          </cell>
          <cell r="E126" t="str">
            <v>A/P Invoices - VD0304</v>
          </cell>
          <cell r="F126" t="str">
            <v>LCL CHARGES</v>
          </cell>
          <cell r="G126"/>
          <cell r="H126">
            <v>7146.7030000000004</v>
          </cell>
        </row>
        <row r="127">
          <cell r="A127">
            <v>256779411155</v>
          </cell>
          <cell r="B127">
            <v>45762</v>
          </cell>
          <cell r="C127" t="str">
            <v>BOS2526M</v>
          </cell>
          <cell r="D127" t="str">
            <v>PU 7360136</v>
          </cell>
          <cell r="E127" t="str">
            <v>A/P Invoices - VD0304</v>
          </cell>
          <cell r="F127" t="str">
            <v>Inbound &amp; Outbound Handling</v>
          </cell>
          <cell r="G127"/>
          <cell r="H127">
            <v>3129.6950000000002</v>
          </cell>
        </row>
        <row r="128">
          <cell r="A128">
            <v>256779411156</v>
          </cell>
          <cell r="B128">
            <v>45762</v>
          </cell>
          <cell r="C128" t="str">
            <v>BOS2526M</v>
          </cell>
          <cell r="D128" t="str">
            <v>PU 7360137</v>
          </cell>
          <cell r="E128" t="str">
            <v>A/P Invoices - VD0304</v>
          </cell>
          <cell r="F128" t="str">
            <v>Inbound &amp; Outbound Handling</v>
          </cell>
          <cell r="G128"/>
          <cell r="H128">
            <v>1715.9065000000001</v>
          </cell>
        </row>
        <row r="129">
          <cell r="A129">
            <v>256779411157</v>
          </cell>
          <cell r="B129">
            <v>45762</v>
          </cell>
          <cell r="C129" t="str">
            <v>BOS2526M</v>
          </cell>
          <cell r="D129" t="str">
            <v>PU 7360138</v>
          </cell>
          <cell r="E129" t="str">
            <v>A/P Invoices - VD0304</v>
          </cell>
          <cell r="F129" t="str">
            <v>Inbound &amp; Outbound Handling</v>
          </cell>
          <cell r="G129"/>
          <cell r="H129">
            <v>9866.4959999999992</v>
          </cell>
        </row>
        <row r="130">
          <cell r="A130">
            <v>256779411565</v>
          </cell>
          <cell r="B130">
            <v>45762</v>
          </cell>
          <cell r="C130" t="str">
            <v>BOS2526M</v>
          </cell>
          <cell r="D130" t="str">
            <v>PU 7360139</v>
          </cell>
          <cell r="E130" t="str">
            <v>A/P Invoices - VD0304</v>
          </cell>
          <cell r="F130" t="str">
            <v>Inbound &amp; Outbound Handling</v>
          </cell>
          <cell r="G130"/>
          <cell r="H130">
            <v>1866.1</v>
          </cell>
        </row>
        <row r="131">
          <cell r="A131">
            <v>256779411566</v>
          </cell>
          <cell r="B131">
            <v>45762</v>
          </cell>
          <cell r="C131" t="str">
            <v>BOS2526M</v>
          </cell>
          <cell r="D131" t="str">
            <v>PU 7360140</v>
          </cell>
          <cell r="E131" t="str">
            <v>A/P Invoices - VD0304</v>
          </cell>
          <cell r="F131" t="str">
            <v>Inbound &amp; Outbound Handling</v>
          </cell>
          <cell r="G131"/>
          <cell r="H131">
            <v>372.82</v>
          </cell>
        </row>
        <row r="132">
          <cell r="A132">
            <v>256779411567</v>
          </cell>
          <cell r="B132">
            <v>45762</v>
          </cell>
          <cell r="C132" t="str">
            <v>BOS2526M</v>
          </cell>
          <cell r="D132" t="str">
            <v>PU 7360141</v>
          </cell>
          <cell r="E132" t="str">
            <v>A/P Invoices - VD0304</v>
          </cell>
          <cell r="F132" t="str">
            <v>Inbound &amp; Outbound Handling</v>
          </cell>
          <cell r="G132"/>
          <cell r="H132">
            <v>495.452</v>
          </cell>
        </row>
        <row r="133">
          <cell r="A133">
            <v>256779411568</v>
          </cell>
          <cell r="B133">
            <v>45762</v>
          </cell>
          <cell r="C133" t="str">
            <v>BOS2526M</v>
          </cell>
          <cell r="D133" t="str">
            <v>PU 7360142</v>
          </cell>
          <cell r="E133" t="str">
            <v>A/P Invoices - VD0304</v>
          </cell>
          <cell r="F133" t="str">
            <v>Inbound &amp; Outbound Handling</v>
          </cell>
          <cell r="G133"/>
          <cell r="H133">
            <v>68.239999999999995</v>
          </cell>
        </row>
        <row r="134">
          <cell r="A134">
            <v>256779411569</v>
          </cell>
          <cell r="B134">
            <v>45762</v>
          </cell>
          <cell r="C134" t="str">
            <v>BOS2526M</v>
          </cell>
          <cell r="D134" t="str">
            <v>PU 7360143</v>
          </cell>
          <cell r="E134" t="str">
            <v>A/P Invoices - VD0304</v>
          </cell>
          <cell r="F134" t="str">
            <v>Inbound &amp; Outbound Handling</v>
          </cell>
          <cell r="G134"/>
          <cell r="H134">
            <v>1174.7175</v>
          </cell>
        </row>
        <row r="135">
          <cell r="A135">
            <v>256779411570</v>
          </cell>
          <cell r="B135">
            <v>45762</v>
          </cell>
          <cell r="C135" t="str">
            <v>BOS2526M</v>
          </cell>
          <cell r="D135" t="str">
            <v>PU 7360144</v>
          </cell>
          <cell r="E135" t="str">
            <v>A/P Invoices - VD0304</v>
          </cell>
          <cell r="F135" t="str">
            <v>Inbound &amp; Outbound Handling</v>
          </cell>
          <cell r="G135"/>
          <cell r="H135">
            <v>1539.8824999999999</v>
          </cell>
        </row>
        <row r="136">
          <cell r="A136">
            <v>256779411571</v>
          </cell>
          <cell r="B136">
            <v>45762</v>
          </cell>
          <cell r="C136" t="str">
            <v>BOS2526M</v>
          </cell>
          <cell r="D136" t="str">
            <v>PU 7360145</v>
          </cell>
          <cell r="E136" t="str">
            <v>A/P Invoices - VD0304</v>
          </cell>
          <cell r="F136" t="str">
            <v>Inbound &amp; Outbound Handling</v>
          </cell>
          <cell r="G136"/>
          <cell r="H136">
            <v>1811.7080000000001</v>
          </cell>
        </row>
        <row r="137">
          <cell r="A137">
            <v>256779411572</v>
          </cell>
          <cell r="B137">
            <v>45762</v>
          </cell>
          <cell r="C137" t="str">
            <v>BOS2526M</v>
          </cell>
          <cell r="D137" t="str">
            <v>PU 7360146</v>
          </cell>
          <cell r="E137" t="str">
            <v>A/P Invoices - VD0304</v>
          </cell>
          <cell r="F137" t="str">
            <v>Inbound &amp; Outbound Handling</v>
          </cell>
          <cell r="G137"/>
          <cell r="H137">
            <v>167.5035</v>
          </cell>
        </row>
        <row r="138">
          <cell r="A138">
            <v>256779411573</v>
          </cell>
          <cell r="B138">
            <v>45867</v>
          </cell>
          <cell r="C138" t="str">
            <v>BOS2526M</v>
          </cell>
          <cell r="D138" t="str">
            <v>PU 7360147</v>
          </cell>
          <cell r="E138" t="str">
            <v>A/P Invoices - VD0304</v>
          </cell>
          <cell r="F138" t="str">
            <v>Inbound &amp; Outbound Handling</v>
          </cell>
          <cell r="G138"/>
          <cell r="H138">
            <v>2053.3755000000001</v>
          </cell>
        </row>
        <row r="139">
          <cell r="A139">
            <v>256779411574</v>
          </cell>
          <cell r="B139">
            <v>45762</v>
          </cell>
          <cell r="C139" t="str">
            <v>BOS2526M</v>
          </cell>
          <cell r="D139" t="str">
            <v>PU 7360148</v>
          </cell>
          <cell r="E139" t="str">
            <v>A/P Invoices - VD0304</v>
          </cell>
          <cell r="F139" t="str">
            <v>Inbound &amp; Outbound Handling</v>
          </cell>
          <cell r="G139"/>
          <cell r="H139">
            <v>1247.2850000000001</v>
          </cell>
        </row>
        <row r="140">
          <cell r="A140">
            <v>256779411575</v>
          </cell>
          <cell r="B140">
            <v>45762</v>
          </cell>
          <cell r="C140" t="str">
            <v>BOS2526M</v>
          </cell>
          <cell r="D140" t="str">
            <v>PU 7360149</v>
          </cell>
          <cell r="E140" t="str">
            <v>A/P Invoices - VD0304</v>
          </cell>
          <cell r="F140" t="str">
            <v>Inbound &amp; Outbound Handling</v>
          </cell>
          <cell r="G140"/>
          <cell r="H140">
            <v>1895.3924999999999</v>
          </cell>
        </row>
        <row r="141">
          <cell r="A141">
            <v>256779411576</v>
          </cell>
          <cell r="B141">
            <v>45762</v>
          </cell>
          <cell r="C141" t="str">
            <v>BOS2526M</v>
          </cell>
          <cell r="D141" t="str">
            <v>PU 7360150</v>
          </cell>
          <cell r="E141" t="str">
            <v>A/P Invoices - VD0304</v>
          </cell>
          <cell r="F141" t="str">
            <v>Inbound &amp; Outbound Handling</v>
          </cell>
          <cell r="G141"/>
          <cell r="H141">
            <v>1825.556</v>
          </cell>
        </row>
        <row r="142">
          <cell r="A142">
            <v>256779411577</v>
          </cell>
          <cell r="B142">
            <v>45762</v>
          </cell>
          <cell r="C142" t="str">
            <v>BOS2526M</v>
          </cell>
          <cell r="D142" t="str">
            <v>PU 7360151</v>
          </cell>
          <cell r="E142" t="str">
            <v>A/P Invoices - VD0304</v>
          </cell>
          <cell r="F142" t="str">
            <v>Inbound &amp; Outbound Handling</v>
          </cell>
          <cell r="G142"/>
          <cell r="H142">
            <v>130.28700000000001</v>
          </cell>
        </row>
        <row r="143">
          <cell r="A143">
            <v>256779411578</v>
          </cell>
          <cell r="B143">
            <v>45762</v>
          </cell>
          <cell r="C143" t="str">
            <v>BOS2526M</v>
          </cell>
          <cell r="D143" t="str">
            <v>PU 7360152</v>
          </cell>
          <cell r="E143" t="str">
            <v>A/P Invoices - VD0304</v>
          </cell>
          <cell r="F143" t="str">
            <v>Inbound &amp; Outbound Handling</v>
          </cell>
          <cell r="G143"/>
          <cell r="H143">
            <v>610.29449999999997</v>
          </cell>
        </row>
        <row r="144">
          <cell r="A144">
            <v>256779411579</v>
          </cell>
          <cell r="B144">
            <v>45762</v>
          </cell>
          <cell r="C144" t="str">
            <v>BOS2526M</v>
          </cell>
          <cell r="D144" t="str">
            <v>PU 7360153</v>
          </cell>
          <cell r="E144" t="str">
            <v>A/P Invoices - VD0304</v>
          </cell>
          <cell r="F144" t="str">
            <v>Inbound &amp; Outbound Handling</v>
          </cell>
          <cell r="G144"/>
          <cell r="H144">
            <v>411.76749999999998</v>
          </cell>
        </row>
        <row r="145">
          <cell r="A145">
            <v>256779411580</v>
          </cell>
          <cell r="B145">
            <v>45762</v>
          </cell>
          <cell r="C145" t="str">
            <v>BOS2526M</v>
          </cell>
          <cell r="D145" t="str">
            <v>PU 7360154</v>
          </cell>
          <cell r="E145" t="str">
            <v>A/P Invoices - VD0304</v>
          </cell>
          <cell r="F145" t="str">
            <v>Inbound &amp; Outbound Handling</v>
          </cell>
          <cell r="G145"/>
          <cell r="H145">
            <v>1845.328</v>
          </cell>
        </row>
        <row r="146">
          <cell r="A146">
            <v>256779411581</v>
          </cell>
          <cell r="B146">
            <v>45762</v>
          </cell>
          <cell r="C146" t="str">
            <v>BOS2526M</v>
          </cell>
          <cell r="D146" t="str">
            <v>PU 7360155</v>
          </cell>
          <cell r="E146" t="str">
            <v>A/P Invoices - VD0304</v>
          </cell>
          <cell r="F146" t="str">
            <v>Inbound &amp; Outbound Handling</v>
          </cell>
          <cell r="G146"/>
          <cell r="H146">
            <v>186.41</v>
          </cell>
        </row>
        <row r="147">
          <cell r="A147">
            <v>256779411582</v>
          </cell>
          <cell r="B147">
            <v>45762</v>
          </cell>
          <cell r="C147" t="str">
            <v>BOS2526M</v>
          </cell>
          <cell r="D147" t="str">
            <v>PU 7360156</v>
          </cell>
          <cell r="E147" t="str">
            <v>A/P Invoices - VD0304</v>
          </cell>
          <cell r="F147" t="str">
            <v>Inbound &amp; Outbound Handling</v>
          </cell>
          <cell r="G147"/>
          <cell r="H147">
            <v>94.070499999999996</v>
          </cell>
        </row>
        <row r="148">
          <cell r="A148">
            <v>256779411583</v>
          </cell>
          <cell r="B148">
            <v>45762</v>
          </cell>
          <cell r="C148" t="str">
            <v>BOS2526M</v>
          </cell>
          <cell r="D148" t="str">
            <v>PU 7360157</v>
          </cell>
          <cell r="E148" t="str">
            <v>A/P Invoices - VD0304</v>
          </cell>
          <cell r="F148" t="str">
            <v>Inbound &amp; Outbound Handling</v>
          </cell>
          <cell r="G148"/>
          <cell r="H148">
            <v>933.05</v>
          </cell>
        </row>
        <row r="149">
          <cell r="A149">
            <v>256779411584</v>
          </cell>
          <cell r="B149">
            <v>45762</v>
          </cell>
          <cell r="C149" t="str">
            <v>BOS2526M</v>
          </cell>
          <cell r="D149" t="str">
            <v>PU 7360158</v>
          </cell>
          <cell r="E149" t="str">
            <v>A/P Invoices - VD0304</v>
          </cell>
          <cell r="F149" t="str">
            <v>Inbound &amp; Outbound Handling</v>
          </cell>
          <cell r="G149"/>
          <cell r="H149">
            <v>1968.8254999999999</v>
          </cell>
        </row>
        <row r="150">
          <cell r="A150">
            <v>256779411585</v>
          </cell>
          <cell r="B150">
            <v>45762</v>
          </cell>
          <cell r="C150" t="str">
            <v>BOS2526M</v>
          </cell>
          <cell r="D150" t="str">
            <v>PU 7360159</v>
          </cell>
          <cell r="E150" t="str">
            <v>A/P Invoices - VD0304</v>
          </cell>
          <cell r="F150" t="str">
            <v>Inbound &amp; Outbound Handling</v>
          </cell>
          <cell r="G150"/>
          <cell r="H150">
            <v>661.95550000000003</v>
          </cell>
        </row>
        <row r="151">
          <cell r="A151">
            <v>256779414772</v>
          </cell>
          <cell r="B151">
            <v>45842</v>
          </cell>
          <cell r="C151" t="str">
            <v>BOS2526M</v>
          </cell>
          <cell r="D151" t="str">
            <v>PU 7360163</v>
          </cell>
          <cell r="E151" t="str">
            <v>A/P Invoices - VD0304</v>
          </cell>
          <cell r="F151" t="str">
            <v>Transportation (Inbound)</v>
          </cell>
          <cell r="G151"/>
          <cell r="H151">
            <v>18722.8</v>
          </cell>
        </row>
        <row r="152">
          <cell r="A152">
            <v>256779414956</v>
          </cell>
          <cell r="B152">
            <v>45842</v>
          </cell>
          <cell r="C152" t="str">
            <v>BOS2526M</v>
          </cell>
          <cell r="D152" t="str">
            <v>PU 7360164</v>
          </cell>
          <cell r="E152" t="str">
            <v>A/P Invoices - VD0304</v>
          </cell>
          <cell r="F152" t="str">
            <v>Empty Return - Outward</v>
          </cell>
          <cell r="G152"/>
          <cell r="H152">
            <v>4255</v>
          </cell>
        </row>
        <row r="153">
          <cell r="A153">
            <v>256779414957</v>
          </cell>
          <cell r="B153">
            <v>45842</v>
          </cell>
          <cell r="C153" t="str">
            <v>BOS2526M</v>
          </cell>
          <cell r="D153" t="str">
            <v>PU 7360165</v>
          </cell>
          <cell r="E153" t="str">
            <v>A/P Invoices - VD0304</v>
          </cell>
          <cell r="F153" t="str">
            <v>Empty Return - Outward</v>
          </cell>
          <cell r="G153"/>
          <cell r="H153">
            <v>4255</v>
          </cell>
        </row>
        <row r="154">
          <cell r="A154">
            <v>256779414830</v>
          </cell>
          <cell r="B154">
            <v>45842</v>
          </cell>
          <cell r="C154" t="str">
            <v>BOS2526M</v>
          </cell>
          <cell r="D154" t="str">
            <v>PU 7360166</v>
          </cell>
          <cell r="E154" t="str">
            <v>A/P Invoices - VD0304</v>
          </cell>
          <cell r="F154" t="str">
            <v>Inbound &amp; Outbound Handling</v>
          </cell>
          <cell r="G154"/>
          <cell r="H154">
            <v>12112.068799999999</v>
          </cell>
        </row>
        <row r="155">
          <cell r="A155">
            <v>256779415017</v>
          </cell>
          <cell r="B155">
            <v>45842</v>
          </cell>
          <cell r="C155" t="str">
            <v>BOS2526M</v>
          </cell>
          <cell r="D155" t="str">
            <v>PU 7360167</v>
          </cell>
          <cell r="E155" t="str">
            <v>A/P Invoices - VD0304</v>
          </cell>
          <cell r="F155" t="str">
            <v>Inbound &amp; Outbound Handling</v>
          </cell>
          <cell r="G155"/>
          <cell r="H155">
            <v>29722.738399999998</v>
          </cell>
        </row>
        <row r="156">
          <cell r="A156">
            <v>256779414891</v>
          </cell>
          <cell r="B156">
            <v>45842</v>
          </cell>
          <cell r="C156" t="str">
            <v>BOS2526M</v>
          </cell>
          <cell r="D156" t="str">
            <v>PU 7360168</v>
          </cell>
          <cell r="E156" t="str">
            <v>A/P Invoices - VD0304</v>
          </cell>
          <cell r="F156" t="str">
            <v>Ground Rent (Container)</v>
          </cell>
          <cell r="G156"/>
          <cell r="H156">
            <v>32304.5772</v>
          </cell>
        </row>
        <row r="157">
          <cell r="A157">
            <v>256779414904</v>
          </cell>
          <cell r="B157">
            <v>45842</v>
          </cell>
          <cell r="C157" t="str">
            <v>BOS2526M</v>
          </cell>
          <cell r="D157" t="str">
            <v>PU 7360169</v>
          </cell>
          <cell r="E157" t="str">
            <v>A/P Invoices - VD0304</v>
          </cell>
          <cell r="F157" t="str">
            <v>Empty Lolo (Empty Yard)</v>
          </cell>
          <cell r="G157"/>
          <cell r="H157">
            <v>5869.3548000000001</v>
          </cell>
        </row>
        <row r="158">
          <cell r="A158">
            <v>256779414217</v>
          </cell>
          <cell r="B158">
            <v>45812</v>
          </cell>
          <cell r="C158" t="str">
            <v>BOS2526M</v>
          </cell>
          <cell r="D158" t="str">
            <v>PU 7360170</v>
          </cell>
          <cell r="E158" t="str">
            <v>A/P Invoices - VD0304</v>
          </cell>
          <cell r="F158" t="str">
            <v>Inbound &amp; Outbound Handling</v>
          </cell>
          <cell r="G158"/>
          <cell r="H158">
            <v>6106.6383999999998</v>
          </cell>
        </row>
        <row r="159">
          <cell r="A159">
            <v>256779410136</v>
          </cell>
          <cell r="B159">
            <v>45750</v>
          </cell>
          <cell r="C159" t="str">
            <v>BOS2526M</v>
          </cell>
          <cell r="D159" t="str">
            <v>PU 7360171</v>
          </cell>
          <cell r="E159" t="str">
            <v>A/P Invoices - VD0304</v>
          </cell>
          <cell r="F159" t="str">
            <v>Inbound &amp; Outbound Handling</v>
          </cell>
          <cell r="G159"/>
          <cell r="H159">
            <v>838.37400000000002</v>
          </cell>
        </row>
        <row r="160">
          <cell r="A160">
            <v>256779412928</v>
          </cell>
          <cell r="B160">
            <v>45770</v>
          </cell>
          <cell r="C160" t="str">
            <v>BOS2526M</v>
          </cell>
          <cell r="D160" t="str">
            <v>PU 7360172</v>
          </cell>
          <cell r="E160" t="str">
            <v>A/P Invoices - VD0304</v>
          </cell>
          <cell r="F160" t="str">
            <v>Inbound &amp; Outbound Handling</v>
          </cell>
          <cell r="G160"/>
          <cell r="H160">
            <v>1031.5008</v>
          </cell>
        </row>
        <row r="161">
          <cell r="A161">
            <v>256779414879</v>
          </cell>
          <cell r="B161">
            <v>45842</v>
          </cell>
          <cell r="C161" t="str">
            <v>BOS2526M</v>
          </cell>
          <cell r="D161" t="str">
            <v>PU 7360174</v>
          </cell>
          <cell r="E161" t="str">
            <v>A/P Invoices - VD0304</v>
          </cell>
          <cell r="F161" t="str">
            <v>Transportation (Inbound)</v>
          </cell>
          <cell r="G161"/>
          <cell r="H161">
            <v>138310.23639999999</v>
          </cell>
        </row>
        <row r="162">
          <cell r="A162">
            <v>256779414879</v>
          </cell>
          <cell r="B162">
            <v>45842</v>
          </cell>
          <cell r="C162" t="str">
            <v>BOS2526M</v>
          </cell>
          <cell r="D162" t="str">
            <v>PU 7360175</v>
          </cell>
          <cell r="E162" t="str">
            <v>A/P Invoices - VD0304</v>
          </cell>
          <cell r="F162" t="str">
            <v>Ground Rent (Container)</v>
          </cell>
          <cell r="G162"/>
          <cell r="H162">
            <v>3025.5763999999999</v>
          </cell>
        </row>
        <row r="163">
          <cell r="A163"/>
          <cell r="B163">
            <v>45876</v>
          </cell>
          <cell r="C163" t="str">
            <v>OPY2526M</v>
          </cell>
          <cell r="D163" t="str">
            <v>PS 7360324</v>
          </cell>
          <cell r="E163" t="str">
            <v>Outgoing Payments - VD0304,Being payment done against USD 1007.82   ASCENDAS PANVEL FTWZ PRIVATE LIMITED, Bank ref no.- 003MISC252190104 dated-07-08-2025.</v>
          </cell>
          <cell r="F163" t="str">
            <v>YES BANK - USD</v>
          </cell>
          <cell r="G163">
            <v>86445.871599999999</v>
          </cell>
          <cell r="H163"/>
        </row>
        <row r="164">
          <cell r="A164"/>
          <cell r="B164">
            <v>45877</v>
          </cell>
          <cell r="C164" t="str">
            <v>OPY2526M</v>
          </cell>
          <cell r="D164" t="str">
            <v>PS 7360322</v>
          </cell>
          <cell r="E164" t="str">
            <v>Outgoing Payments - VD0304,Being payment done against USD 4800.34   ASCENDAS PANVEL FTWZ PRIVATE LIMITED, Bank ref no.-  003MISC252200121 dated-08-08-2025.</v>
          </cell>
          <cell r="F164" t="str">
            <v>YES BANK - USD</v>
          </cell>
          <cell r="G164">
            <v>411479.42950000003</v>
          </cell>
          <cell r="H164"/>
        </row>
        <row r="165">
          <cell r="A165">
            <v>256779412101</v>
          </cell>
          <cell r="B165">
            <v>45793</v>
          </cell>
          <cell r="C165" t="str">
            <v>BOS2526M</v>
          </cell>
          <cell r="D165" t="str">
            <v>PU 7360194</v>
          </cell>
          <cell r="E165" t="str">
            <v>A/P Invoices - VD0304</v>
          </cell>
          <cell r="F165" t="str">
            <v>Vos Miscellaneous Charges</v>
          </cell>
          <cell r="G165"/>
          <cell r="H165">
            <v>14655.223900000001</v>
          </cell>
        </row>
        <row r="166">
          <cell r="A166">
            <v>256779415264</v>
          </cell>
          <cell r="B166">
            <v>45842</v>
          </cell>
          <cell r="C166" t="str">
            <v>BOS2526M</v>
          </cell>
          <cell r="D166" t="str">
            <v>PU 7360195</v>
          </cell>
          <cell r="E166" t="str">
            <v>A/P Invoices - VD0304</v>
          </cell>
          <cell r="F166" t="str">
            <v>Vos Miscellaneous Charges</v>
          </cell>
          <cell r="G166"/>
          <cell r="H166">
            <v>79041.919899999994</v>
          </cell>
        </row>
        <row r="167">
          <cell r="A167">
            <v>256779415996</v>
          </cell>
          <cell r="B167">
            <v>45863</v>
          </cell>
          <cell r="C167" t="str">
            <v>BOS2526M</v>
          </cell>
          <cell r="D167" t="str">
            <v>PU 7360196</v>
          </cell>
          <cell r="E167" t="str">
            <v>A/P Invoices - VD0304</v>
          </cell>
          <cell r="F167" t="str">
            <v>Vos Miscellaneous Charges</v>
          </cell>
          <cell r="G167"/>
          <cell r="H167">
            <v>63294.9784</v>
          </cell>
        </row>
        <row r="168">
          <cell r="A168">
            <v>256779415482</v>
          </cell>
          <cell r="B168">
            <v>45856</v>
          </cell>
          <cell r="C168" t="str">
            <v>BOS2526M</v>
          </cell>
          <cell r="D168" t="str">
            <v>PU 7360197</v>
          </cell>
          <cell r="E168" t="str">
            <v>A/P Invoices - VD0304</v>
          </cell>
          <cell r="F168" t="str">
            <v>Transportation (Inbound)</v>
          </cell>
          <cell r="G168"/>
          <cell r="H168">
            <v>71830.685800000007</v>
          </cell>
        </row>
        <row r="169">
          <cell r="A169">
            <v>256779415482</v>
          </cell>
          <cell r="B169">
            <v>45856</v>
          </cell>
          <cell r="C169" t="str">
            <v>BOS2526M</v>
          </cell>
          <cell r="D169" t="str">
            <v>PU 7360198</v>
          </cell>
          <cell r="E169" t="str">
            <v>A/P Invoices - VD0304</v>
          </cell>
          <cell r="F169" t="str">
            <v>Ground Rent (Container)</v>
          </cell>
          <cell r="G169"/>
          <cell r="H169">
            <v>1516.1914999999999</v>
          </cell>
        </row>
        <row r="170">
          <cell r="A170">
            <v>256779415701</v>
          </cell>
          <cell r="B170">
            <v>45856</v>
          </cell>
          <cell r="C170" t="str">
            <v>BOS2526M</v>
          </cell>
          <cell r="D170" t="str">
            <v>PU 7360199</v>
          </cell>
          <cell r="E170" t="str">
            <v>A/P Invoices - VD0304</v>
          </cell>
          <cell r="F170" t="str">
            <v>Transportation (Inbound)</v>
          </cell>
          <cell r="G170"/>
          <cell r="H170">
            <v>56058.2</v>
          </cell>
        </row>
        <row r="171">
          <cell r="A171">
            <v>256779416012</v>
          </cell>
          <cell r="B171">
            <v>45863</v>
          </cell>
          <cell r="C171" t="str">
            <v>BOS2526M</v>
          </cell>
          <cell r="D171" t="str">
            <v>PU 7360200</v>
          </cell>
          <cell r="E171" t="str">
            <v>A/P Invoices - VD0304</v>
          </cell>
          <cell r="F171" t="str">
            <v>Vos Miscellaneous Charges</v>
          </cell>
          <cell r="G171"/>
          <cell r="H171">
            <v>8494</v>
          </cell>
        </row>
        <row r="172">
          <cell r="A172">
            <v>256779415432</v>
          </cell>
          <cell r="B172">
            <v>45856</v>
          </cell>
          <cell r="C172" t="str">
            <v>BOS2526M</v>
          </cell>
          <cell r="D172" t="str">
            <v>PU 7360201</v>
          </cell>
          <cell r="E172" t="str">
            <v>A/P Invoices - VD0304</v>
          </cell>
          <cell r="F172" t="str">
            <v>Vos Miscellaneous Charges</v>
          </cell>
          <cell r="G172"/>
          <cell r="H172">
            <v>25195.788799999998</v>
          </cell>
        </row>
        <row r="173">
          <cell r="A173">
            <v>256779413144</v>
          </cell>
          <cell r="B173">
            <v>45787</v>
          </cell>
          <cell r="C173" t="str">
            <v>BOS2526M</v>
          </cell>
          <cell r="D173" t="str">
            <v>PU 7360202</v>
          </cell>
          <cell r="E173" t="str">
            <v>A/P Invoices - VD0304</v>
          </cell>
          <cell r="F173" t="str">
            <v>Rent - Ascendas</v>
          </cell>
          <cell r="G173"/>
          <cell r="H173">
            <v>89577.395799999998</v>
          </cell>
        </row>
        <row r="174">
          <cell r="A174">
            <v>256779416027</v>
          </cell>
          <cell r="B174">
            <v>45870</v>
          </cell>
          <cell r="C174" t="str">
            <v>BOS2526M</v>
          </cell>
          <cell r="D174" t="str">
            <v>PU 7360217</v>
          </cell>
          <cell r="E174" t="str">
            <v>A/P Invoices - VD0304</v>
          </cell>
          <cell r="F174" t="str">
            <v>Management Fees (Ascendas)</v>
          </cell>
          <cell r="G174"/>
          <cell r="H174">
            <v>35025.015500000001</v>
          </cell>
        </row>
        <row r="175">
          <cell r="A175">
            <v>256779416026</v>
          </cell>
          <cell r="B175">
            <v>45870</v>
          </cell>
          <cell r="C175" t="str">
            <v>BOS2526M</v>
          </cell>
          <cell r="D175" t="str">
            <v>PU 7360218</v>
          </cell>
          <cell r="E175" t="str">
            <v>A/P Invoices - VD0304</v>
          </cell>
          <cell r="F175" t="str">
            <v>Rent - Ascendas</v>
          </cell>
          <cell r="G175"/>
          <cell r="H175">
            <v>91903.082999999999</v>
          </cell>
        </row>
        <row r="176">
          <cell r="A176">
            <v>256779416224</v>
          </cell>
          <cell r="B176">
            <v>45877</v>
          </cell>
          <cell r="C176" t="str">
            <v>BOS2526M</v>
          </cell>
          <cell r="D176" t="str">
            <v>PU 7360219</v>
          </cell>
          <cell r="E176" t="str">
            <v>A/P Invoices - VD0304</v>
          </cell>
          <cell r="F176" t="str">
            <v>Inbound &amp; Outbound Handling</v>
          </cell>
          <cell r="G176"/>
          <cell r="H176">
            <v>26217.960500000001</v>
          </cell>
        </row>
        <row r="177">
          <cell r="A177">
            <v>256779416445</v>
          </cell>
          <cell r="B177">
            <v>45877</v>
          </cell>
          <cell r="C177" t="str">
            <v>BOS2526M</v>
          </cell>
          <cell r="D177" t="str">
            <v>PU 7360221</v>
          </cell>
          <cell r="E177" t="str">
            <v>A/P Invoices - VD0304</v>
          </cell>
          <cell r="F177" t="str">
            <v>Vos Miscellaneous Charges</v>
          </cell>
          <cell r="G177"/>
          <cell r="H177">
            <v>50518.501499999998</v>
          </cell>
        </row>
        <row r="178">
          <cell r="A178">
            <v>256779416179</v>
          </cell>
          <cell r="B178">
            <v>45877</v>
          </cell>
          <cell r="C178" t="str">
            <v>BOS2526M</v>
          </cell>
          <cell r="D178" t="str">
            <v>PU 7360223</v>
          </cell>
          <cell r="E178" t="str">
            <v>A/P Invoices - VD0304</v>
          </cell>
          <cell r="F178" t="str">
            <v>Transportation (Inbound)</v>
          </cell>
          <cell r="G178"/>
          <cell r="H178">
            <v>231074.27849999999</v>
          </cell>
        </row>
        <row r="179">
          <cell r="A179">
            <v>256779416179</v>
          </cell>
          <cell r="B179">
            <v>45877</v>
          </cell>
          <cell r="C179" t="str">
            <v>BOS2526M</v>
          </cell>
          <cell r="D179" t="str">
            <v>PU 7360224</v>
          </cell>
          <cell r="E179" t="str">
            <v>A/P Invoices - VD0304</v>
          </cell>
          <cell r="F179" t="str">
            <v>Ground Rent (Container)</v>
          </cell>
          <cell r="G179"/>
          <cell r="H179">
            <v>8161.7555000000002</v>
          </cell>
        </row>
        <row r="180">
          <cell r="A180"/>
          <cell r="B180">
            <v>45910</v>
          </cell>
          <cell r="C180" t="str">
            <v>OPY2526M</v>
          </cell>
          <cell r="D180" t="str">
            <v>PS 7360434</v>
          </cell>
          <cell r="E180" t="str">
            <v>Outgoing Payments - VD0304,Being payment done against USD 2954.34 ASCENDAS PANVEL FTWZ PRIVATE LIMITED, Bank ref no.- 003MISC252530130 dated-10-09-2025.</v>
          </cell>
          <cell r="F180" t="str">
            <v>YES BANK - USD</v>
          </cell>
          <cell r="G180">
            <v>256553.8652</v>
          </cell>
          <cell r="H180"/>
        </row>
        <row r="181">
          <cell r="A181"/>
          <cell r="B181">
            <v>45910</v>
          </cell>
          <cell r="C181" t="str">
            <v>OPY2526M</v>
          </cell>
          <cell r="D181" t="str">
            <v>PS 7360436</v>
          </cell>
          <cell r="E181" t="str">
            <v>Outgoing Payments - VD0304,Being payment done against USD 4740.75 ASCENDAS PANVEL FTWZ PRIVATE LIMITED, Bank ref no.- 003MISC252530128 dated-10-09-2025.</v>
          </cell>
          <cell r="F181" t="str">
            <v>YES BANK - USD</v>
          </cell>
          <cell r="G181">
            <v>409664.38410000002</v>
          </cell>
          <cell r="H181"/>
        </row>
        <row r="182">
          <cell r="A182"/>
          <cell r="B182">
            <v>45916</v>
          </cell>
          <cell r="C182" t="str">
            <v>OPY2526M</v>
          </cell>
          <cell r="D182" t="str">
            <v>PS 7360437</v>
          </cell>
          <cell r="E182" t="str">
            <v>Outgoing Payments - VD0304,Being payment done against USD 5041.57  ASCENDAS PANVEL FTWZ PRIVATE LIMITED, Bank ref no.- 003MISC252590125 dated-16-09-2025.</v>
          </cell>
          <cell r="F182" t="str">
            <v>YES BANK - USD</v>
          </cell>
          <cell r="G182">
            <v>442900.59450000001</v>
          </cell>
          <cell r="H182"/>
        </row>
        <row r="183">
          <cell r="A183"/>
          <cell r="B183">
            <v>45916</v>
          </cell>
          <cell r="C183" t="str">
            <v>OPY2526M</v>
          </cell>
          <cell r="D183" t="str">
            <v>PS 7360438</v>
          </cell>
          <cell r="E183" t="str">
            <v>Outgoing Payments - VD0304,Being payment done against USD 3327.77  ASCENDAS PANVEL FTWZ PRIVATE LIMITED, Bank ref no.- 003MISC252590125 dated-16-09-2025.</v>
          </cell>
          <cell r="F183" t="str">
            <v>YES BANK - USD</v>
          </cell>
          <cell r="G183">
            <v>284790.76160000003</v>
          </cell>
          <cell r="H183"/>
        </row>
        <row r="184">
          <cell r="A184">
            <v>256779413358</v>
          </cell>
          <cell r="B184">
            <v>45793</v>
          </cell>
          <cell r="C184" t="str">
            <v>BOS2526M</v>
          </cell>
          <cell r="D184" t="str">
            <v>PU 7360239</v>
          </cell>
          <cell r="E184" t="str">
            <v>A/P Invoices - VD0304</v>
          </cell>
          <cell r="F184" t="str">
            <v>Inbound &amp; Outbound Handling</v>
          </cell>
          <cell r="G184"/>
          <cell r="H184">
            <v>1747.1537000000001</v>
          </cell>
        </row>
        <row r="185">
          <cell r="A185">
            <v>256779413487</v>
          </cell>
          <cell r="B185">
            <v>45797</v>
          </cell>
          <cell r="C185" t="str">
            <v>BOS2526M</v>
          </cell>
          <cell r="D185" t="str">
            <v>PU 7360240</v>
          </cell>
          <cell r="E185" t="str">
            <v>A/P Invoices - VD0304</v>
          </cell>
          <cell r="F185" t="str">
            <v>Inbound &amp; Outbound Handling</v>
          </cell>
          <cell r="G185"/>
          <cell r="H185">
            <v>8506.7929999999997</v>
          </cell>
        </row>
        <row r="186">
          <cell r="A186">
            <v>256779416879</v>
          </cell>
          <cell r="B186">
            <v>45889</v>
          </cell>
          <cell r="C186" t="str">
            <v>BOS2526M</v>
          </cell>
          <cell r="D186" t="str">
            <v>PU 7360241</v>
          </cell>
          <cell r="E186" t="str">
            <v>A/P Invoices - VD0304</v>
          </cell>
          <cell r="F186" t="str">
            <v>Inbound &amp; Outbound Handling</v>
          </cell>
          <cell r="G186"/>
          <cell r="H186">
            <v>7311.6938</v>
          </cell>
        </row>
        <row r="187">
          <cell r="A187">
            <v>256779416845</v>
          </cell>
          <cell r="B187">
            <v>45889</v>
          </cell>
          <cell r="C187" t="str">
            <v>BOS2526M</v>
          </cell>
          <cell r="D187" t="str">
            <v>PU 7360242</v>
          </cell>
          <cell r="E187" t="str">
            <v>A/P Invoices - VD0304</v>
          </cell>
          <cell r="F187" t="str">
            <v>Transportation (Inbound)</v>
          </cell>
          <cell r="G187"/>
          <cell r="H187">
            <v>42795.2016</v>
          </cell>
        </row>
        <row r="188">
          <cell r="A188">
            <v>256779413313</v>
          </cell>
          <cell r="B188">
            <v>45793</v>
          </cell>
          <cell r="C188" t="str">
            <v>BOS2526M</v>
          </cell>
          <cell r="D188" t="str">
            <v>PU 7360243</v>
          </cell>
          <cell r="E188" t="str">
            <v>A/P Invoices - VD0304</v>
          </cell>
          <cell r="F188" t="str">
            <v>Inbound &amp; Outbound Handling</v>
          </cell>
          <cell r="G188"/>
          <cell r="H188">
            <v>7472.62</v>
          </cell>
        </row>
        <row r="189">
          <cell r="A189">
            <v>256779416515</v>
          </cell>
          <cell r="B189">
            <v>45877</v>
          </cell>
          <cell r="C189" t="str">
            <v>BOS2526M</v>
          </cell>
          <cell r="D189" t="str">
            <v>PU 7360244</v>
          </cell>
          <cell r="E189" t="str">
            <v>A/P Invoices - VD0304</v>
          </cell>
          <cell r="F189" t="str">
            <v>Vos Miscellaneous Charges</v>
          </cell>
          <cell r="G189"/>
          <cell r="H189">
            <v>34496.2166</v>
          </cell>
        </row>
        <row r="190">
          <cell r="A190">
            <v>256779416141</v>
          </cell>
          <cell r="B190">
            <v>45877</v>
          </cell>
          <cell r="C190" t="str">
            <v>BOS2526M</v>
          </cell>
          <cell r="D190" t="str">
            <v>PU 7360245</v>
          </cell>
          <cell r="E190" t="str">
            <v>A/P Invoices - VD0304</v>
          </cell>
          <cell r="F190" t="str">
            <v>Empty Lolo (Empty Yard)</v>
          </cell>
          <cell r="G190"/>
          <cell r="H190">
            <v>25992.970399999998</v>
          </cell>
        </row>
        <row r="191">
          <cell r="A191">
            <v>256779413145</v>
          </cell>
          <cell r="B191">
            <v>45787</v>
          </cell>
          <cell r="C191" t="str">
            <v>BOS2526M</v>
          </cell>
          <cell r="D191" t="str">
            <v>PU 7360246</v>
          </cell>
          <cell r="E191" t="str">
            <v>A/P Invoices - VD0304</v>
          </cell>
          <cell r="F191" t="str">
            <v>Rent - Ascendas</v>
          </cell>
          <cell r="G191"/>
          <cell r="H191">
            <v>32484.123500000002</v>
          </cell>
        </row>
        <row r="192">
          <cell r="A192">
            <v>256779416817</v>
          </cell>
          <cell r="B192">
            <v>45889</v>
          </cell>
          <cell r="C192" t="str">
            <v>BOS2526M</v>
          </cell>
          <cell r="D192" t="str">
            <v>PU 7360248</v>
          </cell>
          <cell r="E192" t="str">
            <v>A/P Invoices - VD0304</v>
          </cell>
          <cell r="F192" t="str">
            <v>Transportation (Inbound)</v>
          </cell>
          <cell r="G192"/>
          <cell r="H192">
            <v>15641.6</v>
          </cell>
        </row>
        <row r="193">
          <cell r="A193">
            <v>256779417161</v>
          </cell>
          <cell r="B193">
            <v>45904</v>
          </cell>
          <cell r="C193" t="str">
            <v>BOS2526M</v>
          </cell>
          <cell r="D193" t="str">
            <v>PU 7360251</v>
          </cell>
          <cell r="E193" t="str">
            <v>A/P Invoices - VD0304</v>
          </cell>
          <cell r="F193" t="str">
            <v>Vos Miscellaneous Charges</v>
          </cell>
          <cell r="G193"/>
          <cell r="H193">
            <v>67577.916299999997</v>
          </cell>
        </row>
        <row r="194">
          <cell r="A194">
            <v>256779414914</v>
          </cell>
          <cell r="B194">
            <v>45852</v>
          </cell>
          <cell r="C194" t="str">
            <v>BOS2526M</v>
          </cell>
          <cell r="D194" t="str">
            <v>PU 7360252</v>
          </cell>
          <cell r="E194" t="str">
            <v>A/P Invoices - VD0304</v>
          </cell>
          <cell r="F194" t="str">
            <v>Rent - Ascendas</v>
          </cell>
          <cell r="G194"/>
          <cell r="H194">
            <v>89999.859100000001</v>
          </cell>
        </row>
        <row r="195">
          <cell r="A195">
            <v>256779414915</v>
          </cell>
          <cell r="B195">
            <v>45852</v>
          </cell>
          <cell r="C195" t="str">
            <v>BOS2526M</v>
          </cell>
          <cell r="D195" t="str">
            <v>PU 7360253</v>
          </cell>
          <cell r="E195" t="str">
            <v>A/P Invoices - VD0304</v>
          </cell>
          <cell r="F195" t="str">
            <v>Vos Miscellaneous Charges</v>
          </cell>
          <cell r="G195"/>
          <cell r="H195">
            <v>34299.6927</v>
          </cell>
        </row>
        <row r="196">
          <cell r="A196">
            <v>256779417325</v>
          </cell>
          <cell r="B196">
            <v>45904</v>
          </cell>
          <cell r="C196" t="str">
            <v>BOS2526M</v>
          </cell>
          <cell r="D196" t="str">
            <v>PU 7360254</v>
          </cell>
          <cell r="E196" t="str">
            <v>A/P Invoices - VD0304</v>
          </cell>
          <cell r="F196" t="str">
            <v>Inbound &amp; Outbound Handling</v>
          </cell>
          <cell r="G196"/>
          <cell r="H196">
            <v>8391.402</v>
          </cell>
        </row>
        <row r="197">
          <cell r="A197">
            <v>256779415524</v>
          </cell>
          <cell r="B197">
            <v>45856</v>
          </cell>
          <cell r="C197" t="str">
            <v>BOS2526M</v>
          </cell>
          <cell r="D197" t="str">
            <v>PU 7360255</v>
          </cell>
          <cell r="E197" t="str">
            <v>A/P Invoices - VD0304</v>
          </cell>
          <cell r="F197" t="str">
            <v>Inbound &amp; Outbound Handling</v>
          </cell>
          <cell r="G197"/>
          <cell r="H197">
            <v>6162.3689999999997</v>
          </cell>
        </row>
        <row r="198">
          <cell r="A198">
            <v>256779417287</v>
          </cell>
          <cell r="B198">
            <v>45904</v>
          </cell>
          <cell r="C198" t="str">
            <v>BOS2526M</v>
          </cell>
          <cell r="D198" t="str">
            <v>PU 7360256</v>
          </cell>
          <cell r="E198" t="str">
            <v>A/P Invoices - VD0304</v>
          </cell>
          <cell r="F198" t="str">
            <v>Transportation (Inbound)</v>
          </cell>
          <cell r="G198"/>
          <cell r="H198">
            <v>35212.633600000001</v>
          </cell>
        </row>
        <row r="199">
          <cell r="A199">
            <v>256779417179</v>
          </cell>
          <cell r="B199">
            <v>45904</v>
          </cell>
          <cell r="C199" t="str">
            <v>BOS2526M</v>
          </cell>
          <cell r="D199" t="str">
            <v>PU 7360257</v>
          </cell>
          <cell r="E199" t="str">
            <v>A/P Invoices - VD0304</v>
          </cell>
          <cell r="F199" t="str">
            <v>Reefer Plug In</v>
          </cell>
          <cell r="G199"/>
          <cell r="H199">
            <v>133792.3548</v>
          </cell>
        </row>
        <row r="200">
          <cell r="A200">
            <v>256779417178</v>
          </cell>
          <cell r="B200">
            <v>45904</v>
          </cell>
          <cell r="C200" t="str">
            <v>BOS2526M</v>
          </cell>
          <cell r="D200" t="str">
            <v>PU 7360258</v>
          </cell>
          <cell r="E200" t="str">
            <v>A/P Invoices - VD0304</v>
          </cell>
          <cell r="F200" t="str">
            <v>Reefer Plug In</v>
          </cell>
          <cell r="G200"/>
          <cell r="H200">
            <v>133792.3548</v>
          </cell>
        </row>
        <row r="201">
          <cell r="A201">
            <v>256779417180</v>
          </cell>
          <cell r="B201">
            <v>45904</v>
          </cell>
          <cell r="C201" t="str">
            <v>BOS2526M</v>
          </cell>
          <cell r="D201" t="str">
            <v>PU 7360259</v>
          </cell>
          <cell r="E201" t="str">
            <v>A/P Invoices - VD0304</v>
          </cell>
          <cell r="F201" t="str">
            <v>Reefer Plug In</v>
          </cell>
          <cell r="G201"/>
          <cell r="H201">
            <v>138252.1</v>
          </cell>
        </row>
        <row r="202">
          <cell r="A202">
            <v>256779417180</v>
          </cell>
          <cell r="B202">
            <v>45904</v>
          </cell>
          <cell r="C202" t="str">
            <v>BOS2526M</v>
          </cell>
          <cell r="D202" t="str">
            <v>PU 7360260</v>
          </cell>
          <cell r="E202" t="str">
            <v>A/P Invoices - VD0304</v>
          </cell>
          <cell r="F202" t="str">
            <v>Ground Rent (Container)</v>
          </cell>
          <cell r="G202"/>
          <cell r="H202">
            <v>14736.9311</v>
          </cell>
        </row>
        <row r="203">
          <cell r="A203">
            <v>256779417181</v>
          </cell>
          <cell r="B203">
            <v>45904</v>
          </cell>
          <cell r="C203" t="str">
            <v>BOS2526M</v>
          </cell>
          <cell r="D203" t="str">
            <v>PU 7360261</v>
          </cell>
          <cell r="E203" t="str">
            <v>A/P Invoices - VD0304</v>
          </cell>
          <cell r="F203" t="str">
            <v>Ground Rent (Container)</v>
          </cell>
          <cell r="G203"/>
          <cell r="H203">
            <v>15752.866</v>
          </cell>
        </row>
        <row r="204">
          <cell r="A204">
            <v>256779417181</v>
          </cell>
          <cell r="B204">
            <v>45904</v>
          </cell>
          <cell r="C204" t="str">
            <v>BOS2526M</v>
          </cell>
          <cell r="D204" t="str">
            <v>PU 7360262</v>
          </cell>
          <cell r="E204" t="str">
            <v>A/P Invoices - VD0304</v>
          </cell>
          <cell r="F204" t="str">
            <v>Reefer Plug In</v>
          </cell>
          <cell r="G204"/>
          <cell r="H204">
            <v>138252.1</v>
          </cell>
        </row>
        <row r="205">
          <cell r="A205">
            <v>256779417347</v>
          </cell>
          <cell r="B205">
            <v>45904</v>
          </cell>
          <cell r="C205" t="str">
            <v>BOS2526M</v>
          </cell>
          <cell r="D205" t="str">
            <v>PU 7360263</v>
          </cell>
          <cell r="E205" t="str">
            <v>A/P Invoices - VD0304</v>
          </cell>
          <cell r="F205" t="str">
            <v>Rent - Ascendas</v>
          </cell>
          <cell r="G205"/>
          <cell r="H205">
            <v>31499.606</v>
          </cell>
        </row>
        <row r="206">
          <cell r="A206">
            <v>256779417346</v>
          </cell>
          <cell r="B206">
            <v>45904</v>
          </cell>
          <cell r="C206" t="str">
            <v>BOS2526M</v>
          </cell>
          <cell r="D206" t="str">
            <v>PU 7360264</v>
          </cell>
          <cell r="E206" t="str">
            <v>A/P Invoices - VD0304</v>
          </cell>
          <cell r="F206" t="str">
            <v>Rent - Ascendas</v>
          </cell>
          <cell r="G206"/>
          <cell r="H206">
            <v>89999.999500000005</v>
          </cell>
        </row>
        <row r="207">
          <cell r="A207">
            <v>7360258</v>
          </cell>
          <cell r="B207">
            <v>45904</v>
          </cell>
          <cell r="C207" t="str">
            <v>OB2526M</v>
          </cell>
          <cell r="D207" t="str">
            <v>PC 1002</v>
          </cell>
          <cell r="E207" t="str">
            <v>A/P Credit Memos - VD0304</v>
          </cell>
          <cell r="F207" t="str">
            <v>Reefer Plug In</v>
          </cell>
          <cell r="G207"/>
          <cell r="H207">
            <v>-2520.8598000000002</v>
          </cell>
        </row>
        <row r="208">
          <cell r="A208">
            <v>7360257</v>
          </cell>
          <cell r="B208">
            <v>45904</v>
          </cell>
          <cell r="C208" t="str">
            <v>OB2526M</v>
          </cell>
          <cell r="D208" t="str">
            <v>PC 1003</v>
          </cell>
          <cell r="E208" t="str">
            <v>A/P Credit Memos - VD0304</v>
          </cell>
          <cell r="F208" t="str">
            <v>Reefer Plug In</v>
          </cell>
          <cell r="G208"/>
          <cell r="H208">
            <v>-2520.8598000000002</v>
          </cell>
        </row>
        <row r="209">
          <cell r="A209">
            <v>7360259</v>
          </cell>
          <cell r="B209">
            <v>45904</v>
          </cell>
          <cell r="C209" t="str">
            <v>OB2526M</v>
          </cell>
          <cell r="D209" t="str">
            <v>PC 1004</v>
          </cell>
          <cell r="E209" t="str">
            <v>A/P Credit Memos - VD0304</v>
          </cell>
          <cell r="F209" t="str">
            <v>Reefer Plug In</v>
          </cell>
          <cell r="G209"/>
          <cell r="H209">
            <v>-2604.8885</v>
          </cell>
        </row>
        <row r="210">
          <cell r="A210">
            <v>7360262</v>
          </cell>
          <cell r="B210">
            <v>45904</v>
          </cell>
          <cell r="C210" t="str">
            <v>OB2526M</v>
          </cell>
          <cell r="D210" t="str">
            <v>PC 1005</v>
          </cell>
          <cell r="E210" t="str">
            <v>A/P Credit Memos - VD0304</v>
          </cell>
          <cell r="F210" t="str">
            <v>Reefer Plug In</v>
          </cell>
          <cell r="G210"/>
          <cell r="H210">
            <v>-138252.1</v>
          </cell>
        </row>
        <row r="211">
          <cell r="A211">
            <v>256779417818</v>
          </cell>
          <cell r="B211">
            <v>45924</v>
          </cell>
          <cell r="C211" t="str">
            <v>BOS2526M</v>
          </cell>
          <cell r="D211" t="str">
            <v>PU 7360265</v>
          </cell>
          <cell r="E211" t="str">
            <v>A/P Invoices - VD0304</v>
          </cell>
          <cell r="F211" t="str">
            <v>LCL CHARGES</v>
          </cell>
          <cell r="G211"/>
          <cell r="H211">
            <v>20344.044699999999</v>
          </cell>
        </row>
        <row r="212">
          <cell r="A212">
            <v>256779417526</v>
          </cell>
          <cell r="B212">
            <v>45918</v>
          </cell>
          <cell r="C212" t="str">
            <v>BOS2526M</v>
          </cell>
          <cell r="D212" t="str">
            <v>PU 7360267</v>
          </cell>
          <cell r="E212" t="str">
            <v>A/P Invoices - VD0304</v>
          </cell>
          <cell r="F212" t="str">
            <v>Inbound &amp; Outbound Handling</v>
          </cell>
          <cell r="G212"/>
          <cell r="H212">
            <v>1923.9464</v>
          </cell>
        </row>
        <row r="213">
          <cell r="A213">
            <v>256779417568</v>
          </cell>
          <cell r="B213">
            <v>45918</v>
          </cell>
          <cell r="C213" t="str">
            <v>BOS2526M</v>
          </cell>
          <cell r="D213" t="str">
            <v>PU 7360268</v>
          </cell>
          <cell r="E213" t="str">
            <v>A/P Invoices - VD0304</v>
          </cell>
          <cell r="F213" t="str">
            <v>Transportation (Inbound)</v>
          </cell>
          <cell r="G213"/>
          <cell r="H213">
            <v>25205.5864</v>
          </cell>
        </row>
        <row r="214">
          <cell r="A214">
            <v>1005</v>
          </cell>
          <cell r="B214">
            <v>45940</v>
          </cell>
          <cell r="C214" t="str">
            <v>OB2526M</v>
          </cell>
          <cell r="D214" t="str">
            <v>PC 1006</v>
          </cell>
          <cell r="E214" t="str">
            <v>A/P Credit Memo - Cancellation - VD0304</v>
          </cell>
          <cell r="F214" t="str">
            <v>Reefer Plug In</v>
          </cell>
          <cell r="G214"/>
          <cell r="H214">
            <v>138252.1</v>
          </cell>
        </row>
        <row r="215">
          <cell r="A215">
            <v>1002</v>
          </cell>
          <cell r="B215">
            <v>45940</v>
          </cell>
          <cell r="C215" t="str">
            <v>OB2526M</v>
          </cell>
          <cell r="D215" t="str">
            <v>PC 1010</v>
          </cell>
          <cell r="E215" t="str">
            <v>A/P Credit Memo - Cancellation - VD0304</v>
          </cell>
          <cell r="F215" t="str">
            <v>Reefer Plug In</v>
          </cell>
          <cell r="G215"/>
          <cell r="H215">
            <v>2520.8598000000002</v>
          </cell>
        </row>
        <row r="216">
          <cell r="A216">
            <v>1003</v>
          </cell>
          <cell r="B216">
            <v>45940</v>
          </cell>
          <cell r="C216" t="str">
            <v>OB2526M</v>
          </cell>
          <cell r="D216" t="str">
            <v>PC 1011</v>
          </cell>
          <cell r="E216" t="str">
            <v>A/P Credit Memo - Cancellation - VD0304</v>
          </cell>
          <cell r="F216" t="str">
            <v>Reefer Plug In</v>
          </cell>
          <cell r="G216"/>
          <cell r="H216">
            <v>2520.8598000000002</v>
          </cell>
        </row>
        <row r="217">
          <cell r="A217">
            <v>1004</v>
          </cell>
          <cell r="B217">
            <v>45940</v>
          </cell>
          <cell r="C217" t="str">
            <v>OB2526M</v>
          </cell>
          <cell r="D217" t="str">
            <v>PC 1012</v>
          </cell>
          <cell r="E217" t="str">
            <v>A/P Credit Memo - Cancellation - VD0304</v>
          </cell>
          <cell r="F217" t="str">
            <v>Reefer Plug In</v>
          </cell>
          <cell r="G217"/>
          <cell r="H217">
            <v>2604.8885</v>
          </cell>
        </row>
        <row r="218">
          <cell r="A218">
            <v>256779417434</v>
          </cell>
          <cell r="B218">
            <v>45917</v>
          </cell>
          <cell r="C218" t="str">
            <v>BOS2526M</v>
          </cell>
          <cell r="D218" t="str">
            <v>PU 7360269</v>
          </cell>
          <cell r="E218" t="str">
            <v>A/P Invoices - VD0304</v>
          </cell>
          <cell r="F218" t="str">
            <v>Intra SEZ charges</v>
          </cell>
          <cell r="G218"/>
          <cell r="H218">
            <v>8576.4330000000009</v>
          </cell>
        </row>
        <row r="219">
          <cell r="A219">
            <v>256779417490</v>
          </cell>
          <cell r="B219">
            <v>45918</v>
          </cell>
          <cell r="C219" t="str">
            <v>BOS2526M</v>
          </cell>
          <cell r="D219" t="str">
            <v>PU 7360270</v>
          </cell>
          <cell r="E219" t="str">
            <v>A/P Invoices - VD0304</v>
          </cell>
          <cell r="F219" t="str">
            <v>Ground Rent (Container)</v>
          </cell>
          <cell r="G219"/>
          <cell r="H219">
            <v>7876.433</v>
          </cell>
        </row>
        <row r="220">
          <cell r="A220">
            <v>256779417490</v>
          </cell>
          <cell r="B220">
            <v>45918</v>
          </cell>
          <cell r="C220" t="str">
            <v>BOS2526M</v>
          </cell>
          <cell r="D220" t="str">
            <v>PU 7360271</v>
          </cell>
          <cell r="E220" t="str">
            <v>A/P Invoices - VD0304</v>
          </cell>
          <cell r="F220" t="str">
            <v>Reefer Plug In</v>
          </cell>
          <cell r="G220"/>
          <cell r="H220">
            <v>64322.747499999998</v>
          </cell>
        </row>
        <row r="221">
          <cell r="A221">
            <v>256779417245</v>
          </cell>
          <cell r="B221">
            <v>45904</v>
          </cell>
          <cell r="C221" t="str">
            <v>BOS2526M</v>
          </cell>
          <cell r="D221" t="str">
            <v>PU 7360273</v>
          </cell>
          <cell r="E221" t="str">
            <v>A/P Invoices - VD0304</v>
          </cell>
          <cell r="F221" t="str">
            <v>Vos Miscellaneous Charges</v>
          </cell>
          <cell r="G221"/>
          <cell r="H221">
            <v>7194.5771000000004</v>
          </cell>
        </row>
        <row r="222">
          <cell r="A222">
            <v>256779417206</v>
          </cell>
          <cell r="B222">
            <v>45904</v>
          </cell>
          <cell r="C222" t="str">
            <v>BOS2526M</v>
          </cell>
          <cell r="D222" t="str">
            <v>PU 7360274</v>
          </cell>
          <cell r="E222" t="str">
            <v>A/P Invoices - VD0304</v>
          </cell>
          <cell r="F222" t="str">
            <v>Empty Lolo (Empty Yard)</v>
          </cell>
          <cell r="G222"/>
          <cell r="H222">
            <v>13059.682199999999</v>
          </cell>
        </row>
        <row r="223">
          <cell r="A223">
            <v>256779417420</v>
          </cell>
          <cell r="B223">
            <v>45918</v>
          </cell>
          <cell r="C223" t="str">
            <v>BOS2526M</v>
          </cell>
          <cell r="D223" t="str">
            <v>PU 7360275</v>
          </cell>
          <cell r="E223" t="str">
            <v>A/P Invoices - VD0304</v>
          </cell>
          <cell r="F223" t="str">
            <v>Vos Miscellaneous Charges</v>
          </cell>
          <cell r="G223"/>
          <cell r="H223">
            <v>3002.0016000000001</v>
          </cell>
        </row>
        <row r="224">
          <cell r="A224">
            <v>256779417818</v>
          </cell>
          <cell r="B224">
            <v>45924</v>
          </cell>
          <cell r="C224" t="str">
            <v>BOS2526M</v>
          </cell>
          <cell r="D224" t="str">
            <v>PU 7360276</v>
          </cell>
          <cell r="E224" t="str">
            <v>A/P Invoices - VD0304</v>
          </cell>
          <cell r="F224" t="str">
            <v>Ground Rent (Container)</v>
          </cell>
          <cell r="G224"/>
          <cell r="H224">
            <v>1498.6443999999999</v>
          </cell>
        </row>
        <row r="225">
          <cell r="A225">
            <v>7360262</v>
          </cell>
          <cell r="B225">
            <v>45904</v>
          </cell>
          <cell r="C225" t="str">
            <v>OB2526M</v>
          </cell>
          <cell r="D225" t="str">
            <v>PC 1007</v>
          </cell>
          <cell r="E225" t="str">
            <v>A/P Credit Memos - VD0304</v>
          </cell>
          <cell r="F225" t="str">
            <v>Reefer Plug In</v>
          </cell>
          <cell r="G225"/>
          <cell r="H225">
            <v>-5316.8885</v>
          </cell>
        </row>
        <row r="226">
          <cell r="A226">
            <v>7360258</v>
          </cell>
          <cell r="B226">
            <v>45904</v>
          </cell>
          <cell r="C226" t="str">
            <v>OB2526M</v>
          </cell>
          <cell r="D226" t="str">
            <v>PC 1008</v>
          </cell>
          <cell r="E226" t="str">
            <v>A/P Credit Memos - VD0304</v>
          </cell>
          <cell r="F226" t="str">
            <v>Reefer Plug In</v>
          </cell>
          <cell r="G226"/>
          <cell r="H226">
            <v>-5250.8598000000002</v>
          </cell>
        </row>
        <row r="227">
          <cell r="A227">
            <v>1008</v>
          </cell>
          <cell r="B227">
            <v>45941</v>
          </cell>
          <cell r="C227" t="str">
            <v>OB2526M</v>
          </cell>
          <cell r="D227" t="str">
            <v>PC 1009</v>
          </cell>
          <cell r="E227" t="str">
            <v>A/P Credit Memo - Cancellation - VD0304</v>
          </cell>
          <cell r="F227" t="str">
            <v>Reefer Plug In</v>
          </cell>
          <cell r="G227"/>
          <cell r="H227">
            <v>5250.8598000000002</v>
          </cell>
        </row>
        <row r="228">
          <cell r="A228">
            <v>7360258</v>
          </cell>
          <cell r="B228">
            <v>45904</v>
          </cell>
          <cell r="C228" t="str">
            <v>OB2526M</v>
          </cell>
          <cell r="D228" t="str">
            <v>PC 1013</v>
          </cell>
          <cell r="E228" t="str">
            <v>A/P Credit Memos - VD0304</v>
          </cell>
          <cell r="F228" t="str">
            <v>Reefer Plug In</v>
          </cell>
          <cell r="G228"/>
          <cell r="H228">
            <v>-5145.8598000000002</v>
          </cell>
        </row>
        <row r="229">
          <cell r="A229">
            <v>7360257</v>
          </cell>
          <cell r="B229">
            <v>45904</v>
          </cell>
          <cell r="C229" t="str">
            <v>OB2526M</v>
          </cell>
          <cell r="D229" t="str">
            <v>PC 1014</v>
          </cell>
          <cell r="E229" t="str">
            <v>A/P Credit Memos - VD0304</v>
          </cell>
          <cell r="F229" t="str">
            <v>Reefer Plug In</v>
          </cell>
          <cell r="G229"/>
          <cell r="H229">
            <v>-5145.8598000000002</v>
          </cell>
        </row>
        <row r="230">
          <cell r="A230">
            <v>7360259</v>
          </cell>
          <cell r="B230">
            <v>45904</v>
          </cell>
          <cell r="C230" t="str">
            <v>OB2526M</v>
          </cell>
          <cell r="D230" t="str">
            <v>PC 1015</v>
          </cell>
          <cell r="E230" t="str">
            <v>A/P Credit Memos - VD0304</v>
          </cell>
          <cell r="F230" t="str">
            <v>Reefer Plug In</v>
          </cell>
          <cell r="G230"/>
          <cell r="H230">
            <v>-5316.8885</v>
          </cell>
        </row>
        <row r="231">
          <cell r="A231">
            <v>7360566</v>
          </cell>
          <cell r="B231">
            <v>45959</v>
          </cell>
          <cell r="C231" t="str">
            <v>OPY2526M</v>
          </cell>
          <cell r="D231" t="str">
            <v>PS 7360566</v>
          </cell>
          <cell r="E231" t="str">
            <v>Outgoing Payments - VD0304,Being payment done against USD 1752.77 ASCENDAS PANVEL FTWZ PRIVATE LIMITED, Bank ref no.- 003MISC253020092 dated-29-10-2025.</v>
          </cell>
          <cell r="F231" t="str">
            <v>YES BANK - USD</v>
          </cell>
          <cell r="G231">
            <v>153004.0963</v>
          </cell>
          <cell r="H231"/>
        </row>
        <row r="232">
          <cell r="A232">
            <v>256779417873</v>
          </cell>
          <cell r="B232">
            <v>45935</v>
          </cell>
          <cell r="C232" t="str">
            <v>BOS2526M</v>
          </cell>
          <cell r="D232" t="str">
            <v>PU 7360293</v>
          </cell>
          <cell r="E232" t="str">
            <v>A/P Invoices - VD0304</v>
          </cell>
          <cell r="F232" t="str">
            <v>Rent - Ascendas</v>
          </cell>
          <cell r="G232"/>
          <cell r="H232">
            <v>89999.522899999996</v>
          </cell>
        </row>
        <row r="233">
          <cell r="A233">
            <v>256779417874</v>
          </cell>
          <cell r="B233">
            <v>45935</v>
          </cell>
          <cell r="C233" t="str">
            <v>BOS2526M</v>
          </cell>
          <cell r="D233" t="str">
            <v>PU 7360294</v>
          </cell>
          <cell r="E233" t="str">
            <v>A/P Invoices - VD0304</v>
          </cell>
          <cell r="F233" t="str">
            <v>Management Fees (Ascendas)</v>
          </cell>
          <cell r="G233"/>
          <cell r="H233">
            <v>34299.965300000003</v>
          </cell>
        </row>
        <row r="234">
          <cell r="A234">
            <v>256779418095</v>
          </cell>
          <cell r="B234">
            <v>45935</v>
          </cell>
          <cell r="C234" t="str">
            <v>BOS2526M</v>
          </cell>
          <cell r="D234" t="str">
            <v>PU 7360295</v>
          </cell>
          <cell r="E234" t="str">
            <v>A/P Invoices - VD0304</v>
          </cell>
          <cell r="F234" t="str">
            <v>Ground Rent (Container)</v>
          </cell>
          <cell r="G234"/>
          <cell r="H234">
            <v>7937</v>
          </cell>
        </row>
        <row r="235">
          <cell r="A235">
            <v>256779418095</v>
          </cell>
          <cell r="B235">
            <v>45935</v>
          </cell>
          <cell r="C235" t="str">
            <v>BOS2526M</v>
          </cell>
          <cell r="D235" t="str">
            <v>PU 7360296</v>
          </cell>
          <cell r="E235" t="str">
            <v>A/P Invoices - VD0304</v>
          </cell>
          <cell r="F235" t="str">
            <v>Reefer Plug In</v>
          </cell>
          <cell r="G235"/>
          <cell r="H235">
            <v>64819.5</v>
          </cell>
        </row>
        <row r="236">
          <cell r="A236">
            <v>256779417979</v>
          </cell>
          <cell r="B236">
            <v>45935</v>
          </cell>
          <cell r="C236" t="str">
            <v>BOS2526M</v>
          </cell>
          <cell r="D236" t="str">
            <v>PU 7360297</v>
          </cell>
          <cell r="E236" t="str">
            <v>A/P Invoices - VD0304</v>
          </cell>
          <cell r="F236" t="str">
            <v>Inbound &amp; Outbound Handling</v>
          </cell>
          <cell r="G236"/>
          <cell r="H236">
            <v>11795.171200000001</v>
          </cell>
        </row>
        <row r="237">
          <cell r="A237"/>
          <cell r="B237">
            <v>45961</v>
          </cell>
          <cell r="C237" t="str">
            <v>OPY2526M</v>
          </cell>
          <cell r="D237" t="str">
            <v>PS 7360581</v>
          </cell>
          <cell r="E237" t="str">
            <v>Outgoing Payments - VD0304,Being $1989.94 paid to ASCENDAS PANVEL FTWZ PRIVATE LIMITED  against bank ref. no.-003MISC253040153 dated-31-10-2025.</v>
          </cell>
          <cell r="F237" t="str">
            <v>YES BANK - USD</v>
          </cell>
          <cell r="G237">
            <v>176448.3726</v>
          </cell>
          <cell r="H237"/>
        </row>
        <row r="238">
          <cell r="A238"/>
          <cell r="B238">
            <v>45961</v>
          </cell>
          <cell r="C238" t="str">
            <v>OPY2526M</v>
          </cell>
          <cell r="D238" t="str">
            <v>PS 7360582</v>
          </cell>
          <cell r="E238" t="str">
            <v>Outgoing Payments - VD0304,Being $10502.1628 paid to ASCENDAS PANVEL FTWZ PRIVATE LIMITED  against bank ref. no.-003MISC253040148 dated-31-10-2025.</v>
          </cell>
          <cell r="F238" t="str">
            <v>YES BANK - USD</v>
          </cell>
          <cell r="G238">
            <v>916796.68830000004</v>
          </cell>
          <cell r="H238"/>
        </row>
        <row r="239">
          <cell r="A239">
            <v>256779417902</v>
          </cell>
          <cell r="B239">
            <v>45935</v>
          </cell>
          <cell r="C239" t="str">
            <v>BOS2526M</v>
          </cell>
          <cell r="D239" t="str">
            <v>PU 7360331</v>
          </cell>
          <cell r="E239" t="str">
            <v>A/P Invoices - VD0304</v>
          </cell>
          <cell r="F239" t="str">
            <v>Empty Lolo (Empty Yard)</v>
          </cell>
          <cell r="G239"/>
          <cell r="H239">
            <v>2432.5484999999999</v>
          </cell>
        </row>
        <row r="240">
          <cell r="A240">
            <v>256779417940</v>
          </cell>
          <cell r="B240">
            <v>45935</v>
          </cell>
          <cell r="C240" t="str">
            <v>BOS2526M</v>
          </cell>
          <cell r="D240" t="str">
            <v>PU 7360332</v>
          </cell>
          <cell r="E240" t="str">
            <v>A/P Invoices - VD0304</v>
          </cell>
          <cell r="F240" t="str">
            <v>Transportation (Inbound)</v>
          </cell>
          <cell r="G240"/>
          <cell r="H240">
            <v>28649.985000000001</v>
          </cell>
        </row>
        <row r="241">
          <cell r="A241">
            <v>256779418400</v>
          </cell>
          <cell r="B241">
            <v>45935</v>
          </cell>
          <cell r="C241" t="str">
            <v>BOS2526M</v>
          </cell>
          <cell r="D241" t="str">
            <v>PU 7360335</v>
          </cell>
          <cell r="E241" t="str">
            <v>A/P Invoices - VD0304</v>
          </cell>
          <cell r="F241" t="str">
            <v>Vos Miscellaneous Charges</v>
          </cell>
          <cell r="G241"/>
          <cell r="H241">
            <v>25349.127</v>
          </cell>
        </row>
        <row r="242">
          <cell r="A242">
            <v>256779418621</v>
          </cell>
          <cell r="B242">
            <v>45950</v>
          </cell>
          <cell r="C242" t="str">
            <v>BOS2526M</v>
          </cell>
          <cell r="D242" t="str">
            <v>PU 7360336</v>
          </cell>
          <cell r="E242" t="str">
            <v>A/P Invoices - VD0304</v>
          </cell>
          <cell r="F242" t="str">
            <v>Reefer Plug In</v>
          </cell>
          <cell r="G242"/>
          <cell r="H242">
            <v>64819.5</v>
          </cell>
        </row>
        <row r="243">
          <cell r="A243">
            <v>256779418621</v>
          </cell>
          <cell r="B243">
            <v>45950</v>
          </cell>
          <cell r="C243" t="str">
            <v>BOS2526M</v>
          </cell>
          <cell r="D243" t="str">
            <v>PU 7360337</v>
          </cell>
          <cell r="E243" t="str">
            <v>A/P Invoices - VD0304</v>
          </cell>
          <cell r="F243" t="str">
            <v>Ground Rent (Container)</v>
          </cell>
          <cell r="G243"/>
          <cell r="H243">
            <v>7937</v>
          </cell>
        </row>
        <row r="244">
          <cell r="A244">
            <v>256779418633</v>
          </cell>
          <cell r="B244">
            <v>45950</v>
          </cell>
          <cell r="C244" t="str">
            <v>BOS2526M</v>
          </cell>
          <cell r="D244" t="str">
            <v>PU 7360338</v>
          </cell>
          <cell r="E244" t="str">
            <v>A/P Invoices - VD0304</v>
          </cell>
          <cell r="F244" t="str">
            <v>Vos Miscellaneous Charges</v>
          </cell>
          <cell r="G244"/>
          <cell r="H244">
            <v>3024.65</v>
          </cell>
        </row>
        <row r="245">
          <cell r="A245">
            <v>256779418663</v>
          </cell>
          <cell r="B245">
            <v>45950</v>
          </cell>
          <cell r="C245" t="str">
            <v>BOS2526M</v>
          </cell>
          <cell r="D245" t="str">
            <v>PU 7360339</v>
          </cell>
          <cell r="E245" t="str">
            <v>A/P Invoices - VD0304</v>
          </cell>
          <cell r="F245" t="str">
            <v>Transportation (Inbound)</v>
          </cell>
          <cell r="G245"/>
          <cell r="H245">
            <v>25400.159100000001</v>
          </cell>
        </row>
        <row r="246">
          <cell r="A246">
            <v>256779418180</v>
          </cell>
          <cell r="B246">
            <v>45937</v>
          </cell>
          <cell r="C246" t="str">
            <v>BOS2526M</v>
          </cell>
          <cell r="D246" t="str">
            <v>PU 7360340</v>
          </cell>
          <cell r="E246" t="str">
            <v>A/P Invoices - VD0304</v>
          </cell>
          <cell r="F246" t="str">
            <v>Vos Miscellaneous Charges</v>
          </cell>
          <cell r="G246"/>
          <cell r="H246">
            <v>14970.2718</v>
          </cell>
        </row>
        <row r="247">
          <cell r="A247">
            <v>256779418170</v>
          </cell>
          <cell r="B247">
            <v>45937</v>
          </cell>
          <cell r="C247" t="str">
            <v>BOS2526M</v>
          </cell>
          <cell r="D247" t="str">
            <v>PU 7360341</v>
          </cell>
          <cell r="E247" t="str">
            <v>A/P Invoices - VD0304</v>
          </cell>
          <cell r="F247" t="str">
            <v>Intra SEZ charges</v>
          </cell>
          <cell r="G247"/>
          <cell r="H247">
            <v>8643</v>
          </cell>
        </row>
        <row r="248">
          <cell r="A248">
            <v>256779418820</v>
          </cell>
          <cell r="B248">
            <v>45966</v>
          </cell>
          <cell r="C248" t="str">
            <v>BOS2526M</v>
          </cell>
          <cell r="D248" t="str">
            <v>PU 7360342</v>
          </cell>
          <cell r="E248" t="str">
            <v>A/P Invoices - VD0304</v>
          </cell>
          <cell r="F248" t="str">
            <v>Vos Miscellaneous Charges</v>
          </cell>
          <cell r="G248"/>
          <cell r="H248">
            <v>30281.439999999999</v>
          </cell>
        </row>
        <row r="249">
          <cell r="A249">
            <v>256779418703</v>
          </cell>
          <cell r="B249">
            <v>45950</v>
          </cell>
          <cell r="C249" t="str">
            <v>BOS2526M</v>
          </cell>
          <cell r="D249" t="str">
            <v>PU 7360343</v>
          </cell>
          <cell r="E249" t="str">
            <v>A/P Invoices - VD0304</v>
          </cell>
          <cell r="F249" t="str">
            <v>Inbound &amp; Outbound Handling</v>
          </cell>
          <cell r="G249"/>
          <cell r="H249">
            <v>849.90769999999998</v>
          </cell>
        </row>
        <row r="250">
          <cell r="A250">
            <v>256779419174</v>
          </cell>
          <cell r="B250">
            <v>45966</v>
          </cell>
          <cell r="C250" t="str">
            <v>BOS2526M</v>
          </cell>
          <cell r="D250" t="str">
            <v>PU 7360344</v>
          </cell>
          <cell r="E250" t="str">
            <v>A/P Invoices - VD0304</v>
          </cell>
          <cell r="F250" t="str">
            <v>Inbound &amp; Outbound Handling</v>
          </cell>
          <cell r="G250"/>
          <cell r="H250">
            <v>708.50779999999997</v>
          </cell>
        </row>
        <row r="251">
          <cell r="A251">
            <v>256779419130</v>
          </cell>
          <cell r="B251">
            <v>45964</v>
          </cell>
          <cell r="C251" t="str">
            <v>BOS2526M</v>
          </cell>
          <cell r="D251" t="str">
            <v>PU 7360346</v>
          </cell>
          <cell r="E251" t="str">
            <v>A/P Invoices - VD0304</v>
          </cell>
          <cell r="F251" t="str">
            <v>LCL CHARGES</v>
          </cell>
          <cell r="G251"/>
          <cell r="H251">
            <v>4545.4799999999996</v>
          </cell>
        </row>
        <row r="252">
          <cell r="A252">
            <v>256779419077</v>
          </cell>
          <cell r="B252">
            <v>45966</v>
          </cell>
          <cell r="C252" t="str">
            <v>BOS2526M</v>
          </cell>
          <cell r="D252" t="str">
            <v>PU 7360347</v>
          </cell>
          <cell r="E252" t="str">
            <v>A/P Invoices - VD0304</v>
          </cell>
          <cell r="F252" t="str">
            <v>Ground Rent (Container)</v>
          </cell>
          <cell r="G252"/>
          <cell r="H252">
            <v>7920</v>
          </cell>
        </row>
        <row r="253">
          <cell r="A253">
            <v>256779419077</v>
          </cell>
          <cell r="B253">
            <v>45966</v>
          </cell>
          <cell r="C253" t="str">
            <v>BOS2526M</v>
          </cell>
          <cell r="D253" t="str">
            <v>PU 7360348</v>
          </cell>
          <cell r="E253" t="str">
            <v>A/P Invoices - VD0304</v>
          </cell>
          <cell r="F253" t="str">
            <v>Reefer Plug In</v>
          </cell>
          <cell r="G253"/>
          <cell r="H253">
            <v>68992</v>
          </cell>
        </row>
        <row r="254">
          <cell r="A254">
            <v>256779418775</v>
          </cell>
          <cell r="B254">
            <v>45966</v>
          </cell>
          <cell r="C254" t="str">
            <v>BOS2526M</v>
          </cell>
          <cell r="D254" t="str">
            <v>PU 7360349</v>
          </cell>
          <cell r="E254" t="str">
            <v>A/P Invoices - VD0304</v>
          </cell>
          <cell r="F254" t="str">
            <v>Rent - Ascendas</v>
          </cell>
          <cell r="G254"/>
          <cell r="H254">
            <v>89996.160000000003</v>
          </cell>
        </row>
        <row r="255">
          <cell r="A255">
            <v>256779418776</v>
          </cell>
          <cell r="B255">
            <v>45966</v>
          </cell>
          <cell r="C255" t="str">
            <v>BOS2526M</v>
          </cell>
          <cell r="D255" t="str">
            <v>PU 7360351</v>
          </cell>
          <cell r="E255" t="str">
            <v>A/P Invoices - VD0304</v>
          </cell>
          <cell r="F255" t="str">
            <v>Management Fees (Ascendas)</v>
          </cell>
          <cell r="G255"/>
          <cell r="H255">
            <v>34299.828200000004</v>
          </cell>
        </row>
        <row r="256">
          <cell r="A256">
            <v>256779419630</v>
          </cell>
          <cell r="B256">
            <v>45981</v>
          </cell>
          <cell r="C256" t="str">
            <v>BOS2526M</v>
          </cell>
          <cell r="D256" t="str">
            <v>PU 7360352</v>
          </cell>
          <cell r="E256" t="str">
            <v>A/P Invoices - VD0304</v>
          </cell>
          <cell r="F256" t="str">
            <v>Inbound &amp; Outbound Handling</v>
          </cell>
          <cell r="G256"/>
          <cell r="H256">
            <v>9709.4215999999997</v>
          </cell>
        </row>
        <row r="257">
          <cell r="A257">
            <v>256779419918</v>
          </cell>
          <cell r="B257">
            <v>45996</v>
          </cell>
          <cell r="C257" t="str">
            <v>BOS2526M</v>
          </cell>
          <cell r="D257" t="str">
            <v>PU 7360353</v>
          </cell>
          <cell r="E257" t="str">
            <v>A/P Invoices - VD0304</v>
          </cell>
          <cell r="F257" t="str">
            <v>Inbound &amp; Outbound Handling</v>
          </cell>
          <cell r="G257"/>
          <cell r="H257">
            <v>9607.5776000000005</v>
          </cell>
        </row>
        <row r="258">
          <cell r="A258">
            <v>256779419796</v>
          </cell>
          <cell r="B258">
            <v>45996</v>
          </cell>
          <cell r="C258" t="str">
            <v>BOS2526M</v>
          </cell>
          <cell r="D258" t="str">
            <v>PU 7360354</v>
          </cell>
          <cell r="E258" t="str">
            <v>A/P Invoices - VD0304</v>
          </cell>
          <cell r="F258" t="str">
            <v>Ground Rent (Container)</v>
          </cell>
          <cell r="G258"/>
          <cell r="H258">
            <v>7983</v>
          </cell>
        </row>
        <row r="259">
          <cell r="A259">
            <v>256779419796</v>
          </cell>
          <cell r="B259">
            <v>45996</v>
          </cell>
          <cell r="C259" t="str">
            <v>BOS2526M</v>
          </cell>
          <cell r="D259" t="str">
            <v>PU 7360355</v>
          </cell>
          <cell r="E259" t="str">
            <v>A/P Invoices - VD0304</v>
          </cell>
          <cell r="F259" t="str">
            <v>Reefer Plug In</v>
          </cell>
          <cell r="G259"/>
          <cell r="H259">
            <v>65194</v>
          </cell>
        </row>
        <row r="260">
          <cell r="A260">
            <v>256779419590</v>
          </cell>
          <cell r="B260">
            <v>45981</v>
          </cell>
          <cell r="C260" t="str">
            <v>BOS2526M</v>
          </cell>
          <cell r="D260" t="str">
            <v>PU 7360356</v>
          </cell>
          <cell r="E260" t="str">
            <v>A/P Invoices - VD0304</v>
          </cell>
          <cell r="F260" t="str">
            <v>Inbound &amp; Outbound Handling</v>
          </cell>
          <cell r="G260"/>
          <cell r="H260">
            <v>28590.123800000001</v>
          </cell>
        </row>
        <row r="261">
          <cell r="A261">
            <v>256779419955</v>
          </cell>
          <cell r="B261">
            <v>45997</v>
          </cell>
          <cell r="C261" t="str">
            <v>BOS2526M</v>
          </cell>
          <cell r="D261" t="str">
            <v>PU 7360357</v>
          </cell>
          <cell r="E261" t="str">
            <v>A/P Invoices - VD0304</v>
          </cell>
          <cell r="F261" t="str">
            <v>Empty Lolo (Empty Yard)</v>
          </cell>
          <cell r="G261"/>
          <cell r="H261">
            <v>5388.5217000000002</v>
          </cell>
        </row>
        <row r="262">
          <cell r="A262">
            <v>256779419968</v>
          </cell>
          <cell r="B262">
            <v>45995</v>
          </cell>
          <cell r="C262" t="str">
            <v>BOS2526M</v>
          </cell>
          <cell r="D262" t="str">
            <v>PU 7360358</v>
          </cell>
          <cell r="E262" t="str">
            <v>A/P Invoices - VD0304</v>
          </cell>
          <cell r="F262" t="str">
            <v>Rent - Ascendas</v>
          </cell>
          <cell r="G262"/>
          <cell r="H262">
            <v>89999.493000000002</v>
          </cell>
        </row>
        <row r="263">
          <cell r="A263">
            <v>256779419969</v>
          </cell>
          <cell r="B263">
            <v>45995</v>
          </cell>
          <cell r="C263" t="str">
            <v>BOS2526M</v>
          </cell>
          <cell r="D263" t="str">
            <v>PU 7360360</v>
          </cell>
          <cell r="E263" t="str">
            <v>A/P Invoices - VD0304</v>
          </cell>
          <cell r="F263" t="str">
            <v>Management Fees (Ascendas)</v>
          </cell>
          <cell r="G263"/>
          <cell r="H263">
            <v>34300.133000000002</v>
          </cell>
        </row>
        <row r="264">
          <cell r="A264">
            <v>256779419558</v>
          </cell>
          <cell r="B264">
            <v>45981</v>
          </cell>
          <cell r="C264" t="str">
            <v>BOS2526M</v>
          </cell>
          <cell r="D264" t="str">
            <v>PU 7360361</v>
          </cell>
          <cell r="E264" t="str">
            <v>A/P Invoices - VD0304</v>
          </cell>
          <cell r="F264" t="str">
            <v>Ground Rent (Container)</v>
          </cell>
          <cell r="G264"/>
          <cell r="H264">
            <v>7920.3389999999999</v>
          </cell>
        </row>
        <row r="265">
          <cell r="A265">
            <v>256779419558</v>
          </cell>
          <cell r="B265">
            <v>45981</v>
          </cell>
          <cell r="C265" t="str">
            <v>BOS2526M</v>
          </cell>
          <cell r="D265" t="str">
            <v>PU 7360362</v>
          </cell>
          <cell r="E265" t="str">
            <v>A/P Invoices - VD0304</v>
          </cell>
          <cell r="F265" t="str">
            <v>Reefer Plug In</v>
          </cell>
          <cell r="G265"/>
          <cell r="H265">
            <v>64682.542500000003</v>
          </cell>
        </row>
        <row r="266">
          <cell r="A266">
            <v>256779413897</v>
          </cell>
          <cell r="B266">
            <v>45805</v>
          </cell>
          <cell r="C266" t="str">
            <v>BOS2526M</v>
          </cell>
          <cell r="D266" t="str">
            <v>PU 7360363</v>
          </cell>
          <cell r="E266" t="str">
            <v>A/P Invoices - VD0304</v>
          </cell>
          <cell r="F266" t="str">
            <v>Rent - Ascendas</v>
          </cell>
          <cell r="G266"/>
          <cell r="H266">
            <v>42810.575199999999</v>
          </cell>
        </row>
        <row r="267">
          <cell r="A267">
            <v>256779416078</v>
          </cell>
          <cell r="B267">
            <v>45877</v>
          </cell>
          <cell r="C267" t="str">
            <v>BOS2526M</v>
          </cell>
          <cell r="D267" t="str">
            <v>PU 7360364</v>
          </cell>
          <cell r="E267" t="str">
            <v>A/P Invoices - VD0304</v>
          </cell>
          <cell r="F267" t="str">
            <v>Rent - Ascendas</v>
          </cell>
          <cell r="G267"/>
          <cell r="H267">
            <v>114392.44259999999</v>
          </cell>
        </row>
        <row r="268">
          <cell r="A268">
            <v>256779415196</v>
          </cell>
          <cell r="B268">
            <v>45842</v>
          </cell>
          <cell r="C268" t="str">
            <v>BOS2526M</v>
          </cell>
          <cell r="D268" t="str">
            <v>PU 7360365</v>
          </cell>
          <cell r="E268" t="str">
            <v>A/P Invoices - VD0304</v>
          </cell>
          <cell r="F268" t="str">
            <v>Rent - Ascendas</v>
          </cell>
          <cell r="G268"/>
          <cell r="H268">
            <v>1353.28</v>
          </cell>
        </row>
        <row r="269">
          <cell r="A269">
            <v>256779416086</v>
          </cell>
          <cell r="B269">
            <v>45877</v>
          </cell>
          <cell r="C269" t="str">
            <v>BOS2526M</v>
          </cell>
          <cell r="D269" t="str">
            <v>PU 7360366</v>
          </cell>
          <cell r="E269" t="str">
            <v>A/P Invoices - VD0304</v>
          </cell>
          <cell r="F269" t="str">
            <v>Rent - Ascendas</v>
          </cell>
          <cell r="G269"/>
          <cell r="H269">
            <v>112251.02680000001</v>
          </cell>
        </row>
        <row r="270">
          <cell r="A270">
            <v>256779417082</v>
          </cell>
          <cell r="B270">
            <v>45906</v>
          </cell>
          <cell r="C270" t="str">
            <v>BOS2526M</v>
          </cell>
          <cell r="D270" t="str">
            <v>PU 7360367</v>
          </cell>
          <cell r="E270" t="str">
            <v>A/P Invoices - VD0304</v>
          </cell>
          <cell r="F270" t="str">
            <v>Rent - Ascendas</v>
          </cell>
          <cell r="G270"/>
          <cell r="H270">
            <v>131062.7203</v>
          </cell>
        </row>
        <row r="271">
          <cell r="A271">
            <v>256779418011</v>
          </cell>
          <cell r="B271">
            <v>45936</v>
          </cell>
          <cell r="C271" t="str">
            <v>BOS2526M</v>
          </cell>
          <cell r="D271" t="str">
            <v>PU 7360368</v>
          </cell>
          <cell r="E271" t="str">
            <v>A/P Invoices - VD0304</v>
          </cell>
          <cell r="F271" t="str">
            <v>Rent - Ascendas</v>
          </cell>
          <cell r="G271"/>
          <cell r="H271">
            <v>73826.046600000001</v>
          </cell>
        </row>
        <row r="272">
          <cell r="A272">
            <v>256779418876</v>
          </cell>
          <cell r="B272">
            <v>45966</v>
          </cell>
          <cell r="C272" t="str">
            <v>BOS2526M</v>
          </cell>
          <cell r="D272" t="str">
            <v>PU 7360369</v>
          </cell>
          <cell r="E272" t="str">
            <v>A/P Invoices - VD0304</v>
          </cell>
          <cell r="F272" t="str">
            <v>Rent - Ascendas</v>
          </cell>
          <cell r="G272"/>
          <cell r="H272">
            <v>59082.888800000001</v>
          </cell>
        </row>
        <row r="273">
          <cell r="A273"/>
          <cell r="B273">
            <v>46022</v>
          </cell>
          <cell r="C273" t="str">
            <v>OPY2526M</v>
          </cell>
          <cell r="D273" t="str">
            <v>PS 7360740</v>
          </cell>
          <cell r="E273" t="str">
            <v>Outgoing Payments - VD0304,Being $2328.2000 paid to ASCENDAS PANVEL FTWZ PRIVATE LIMITED  against bank ref. no.-003MISC253650039 dated-31-12-2025.</v>
          </cell>
          <cell r="F273" t="str">
            <v>Yes Bank (Dollar)</v>
          </cell>
          <cell r="G273">
            <v>208851.1594</v>
          </cell>
          <cell r="H273"/>
        </row>
        <row r="274">
          <cell r="A274">
            <v>256779421715</v>
          </cell>
          <cell r="B274">
            <v>45883</v>
          </cell>
          <cell r="C274" t="str">
            <v>JRN2526M</v>
          </cell>
          <cell r="D274" t="str">
            <v>JE 7362166</v>
          </cell>
          <cell r="E274" t="str">
            <v>Being debit note recieved from Ascendas Panvel FTWZ Private Limited against debit note no-256779421715 dated-14-08-2025.</v>
          </cell>
          <cell r="F274" t="str">
            <v>Rent - Ascendas</v>
          </cell>
          <cell r="G274">
            <v>179999.96679999999</v>
          </cell>
          <cell r="H274"/>
        </row>
        <row r="275">
          <cell r="A275">
            <v>256779440052</v>
          </cell>
          <cell r="B275">
            <v>46027</v>
          </cell>
          <cell r="C275" t="str">
            <v>BOS2526M</v>
          </cell>
          <cell r="D275" t="str">
            <v>PU 7360391</v>
          </cell>
          <cell r="E275" t="str">
            <v>A/P Invoices - VD0304</v>
          </cell>
          <cell r="F275" t="str">
            <v>Ground Rent (Container)</v>
          </cell>
          <cell r="G275"/>
          <cell r="H275">
            <v>7902.9098000000004</v>
          </cell>
        </row>
        <row r="276">
          <cell r="A276">
            <v>256779440052</v>
          </cell>
          <cell r="B276">
            <v>46027</v>
          </cell>
          <cell r="C276" t="str">
            <v>BOS2526M</v>
          </cell>
          <cell r="D276" t="str">
            <v>PU 7360392</v>
          </cell>
          <cell r="E276" t="str">
            <v>A/P Invoices - VD0304</v>
          </cell>
          <cell r="F276" t="str">
            <v>Reefer Plug In</v>
          </cell>
          <cell r="G276"/>
          <cell r="H276">
            <v>66694</v>
          </cell>
        </row>
        <row r="277">
          <cell r="A277">
            <v>256779440081</v>
          </cell>
          <cell r="B277">
            <v>46027</v>
          </cell>
          <cell r="C277" t="str">
            <v>BOS2526M</v>
          </cell>
          <cell r="D277" t="str">
            <v>PU 7360393</v>
          </cell>
          <cell r="E277" t="str">
            <v>A/P Invoices - VD0304</v>
          </cell>
          <cell r="F277" t="str">
            <v>Inbound &amp; Outbound Handling</v>
          </cell>
          <cell r="G277"/>
          <cell r="H277">
            <v>307.053</v>
          </cell>
        </row>
        <row r="278">
          <cell r="A278">
            <v>256779419232</v>
          </cell>
          <cell r="B278">
            <v>45966</v>
          </cell>
          <cell r="C278" t="str">
            <v>BOS2526M</v>
          </cell>
          <cell r="D278" t="str">
            <v>PU 7360394</v>
          </cell>
          <cell r="E278" t="str">
            <v>A/P Invoices - VD0304</v>
          </cell>
          <cell r="F278" t="str">
            <v>Vos Miscellaneous Charges</v>
          </cell>
          <cell r="G278"/>
          <cell r="H278">
            <v>2233.4737</v>
          </cell>
        </row>
        <row r="279">
          <cell r="A279">
            <v>256779419200</v>
          </cell>
          <cell r="B279">
            <v>45966</v>
          </cell>
          <cell r="C279" t="str">
            <v>BOS2526M</v>
          </cell>
          <cell r="D279" t="str">
            <v>PU 7360395</v>
          </cell>
          <cell r="E279" t="str">
            <v>A/P Invoices - VD0304</v>
          </cell>
          <cell r="F279" t="str">
            <v>Vos Miscellaneous Charges</v>
          </cell>
          <cell r="G279"/>
          <cell r="H279">
            <v>13131.454</v>
          </cell>
        </row>
        <row r="280">
          <cell r="A280">
            <v>256779419992</v>
          </cell>
          <cell r="B280">
            <v>45997</v>
          </cell>
          <cell r="C280" t="str">
            <v>BOS2526M</v>
          </cell>
          <cell r="D280" t="str">
            <v>PU 7360396</v>
          </cell>
          <cell r="E280" t="str">
            <v>A/P Invoices - VD0304</v>
          </cell>
          <cell r="F280" t="str">
            <v>Vos Miscellaneous Charges</v>
          </cell>
          <cell r="G280"/>
          <cell r="H280">
            <v>10788.5744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al Thakkar" refreshedDate="46060.690791782406" createdVersion="7" refreshedVersion="7" minRefreshableVersion="3" recordCount="319" xr:uid="{0CC085CB-B44B-4345-BA7F-C7B18606C4B9}">
  <cacheSource type="worksheet">
    <worksheetSource ref="A2:AJ321" sheet="Workings"/>
  </cacheSource>
  <cacheFields count="35">
    <cacheField name="Cleared Item" numFmtId="0">
      <sharedItems/>
    </cacheField>
    <cacheField name="Company Code" numFmtId="0">
      <sharedItems/>
    </cacheField>
    <cacheField name="Customer" numFmtId="0">
      <sharedItems/>
    </cacheField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14">
      <sharedItems containsSemiMixedTypes="0" containsNonDate="0" containsDate="1" containsString="0" minDate="2025-02-13T00:00:00" maxDate="2026-02-03T00:00:00"/>
    </cacheField>
    <cacheField name="Document Number" numFmtId="0">
      <sharedItems/>
    </cacheField>
    <cacheField name="Document Type" numFmtId="0">
      <sharedItems count="6">
        <s v="DA"/>
        <s v="DY"/>
        <s v="DZ"/>
        <s v="XC"/>
        <s v="DR"/>
        <s v="DG"/>
      </sharedItems>
    </cacheField>
    <cacheField name="Document Date" numFmtId="14">
      <sharedItems containsSemiMixedTypes="0" containsNonDate="0" containsDate="1" containsString="0" minDate="2025-02-13T00:00:00" maxDate="2026-02-03T00:00:00" count="75">
        <d v="2025-04-11T00:00:00"/>
        <d v="2025-09-02T00:00:00"/>
        <d v="2025-08-18T00:00:00"/>
        <d v="2025-10-01T00:00:00"/>
        <d v="2025-08-21T00:00:00"/>
        <d v="2025-06-24T00:00:00"/>
        <d v="2025-08-19T00:00:00"/>
        <d v="2025-09-24T00:00:00"/>
        <d v="2025-11-03T00:00:00"/>
        <d v="2025-11-11T00:00:00"/>
        <d v="2025-02-13T00:00:00"/>
        <d v="2025-07-04T00:00:00"/>
        <d v="2025-05-10T00:00:00"/>
        <d v="2025-06-10T00:00:00"/>
        <d v="2025-08-01T00:00:00"/>
        <d v="2025-09-04T00:00:00"/>
        <d v="2025-11-05T00:00:00"/>
        <d v="2025-12-04T00:00:00"/>
        <d v="2025-08-14T00:00:00"/>
        <d v="2025-03-17T00:00:00"/>
        <d v="2025-05-20T00:00:00"/>
        <d v="2025-07-25T00:00:00"/>
        <d v="2025-03-14T00:00:00"/>
        <d v="2025-06-19T00:00:00"/>
        <d v="2025-09-17T00:00:00"/>
        <d v="2025-10-07T00:00:00"/>
        <d v="2025-02-28T00:00:00"/>
        <d v="2025-03-06T00:00:00"/>
        <d v="2025-10-13T00:00:00"/>
        <d v="2025-03-03T00:00:00"/>
        <d v="2025-04-15T00:00:00"/>
        <d v="2025-10-17T00:00:00"/>
        <d v="2025-04-16T00:00:00"/>
        <d v="2025-02-25T00:00:00"/>
        <d v="2025-08-08T00:00:00"/>
        <d v="2025-06-04T00:00:00"/>
        <d v="2025-05-14T00:00:00"/>
        <d v="2025-05-16T00:00:00"/>
        <d v="2025-05-28T00:00:00"/>
        <d v="2025-07-18T00:00:00"/>
        <d v="2025-03-13T00:00:00"/>
        <d v="2025-03-20T00:00:00"/>
        <d v="2025-02-20T00:00:00"/>
        <d v="2025-08-20T00:00:00"/>
        <d v="2025-02-19T00:00:00"/>
        <d v="2025-09-23T00:00:00"/>
        <d v="2025-06-13T00:00:00"/>
        <d v="2025-08-04T00:00:00"/>
        <d v="2025-04-03T00:00:00"/>
        <d v="2025-10-20T00:00:00"/>
        <d v="2025-04-21T00:00:00"/>
        <d v="2025-07-24T00:00:00"/>
        <d v="2025-06-18T00:00:00"/>
        <d v="2025-03-19T00:00:00"/>
        <d v="2025-11-20T00:00:00"/>
        <d v="2025-04-22T00:00:00"/>
        <d v="2025-09-18T00:00:00"/>
        <d v="2025-12-05T00:00:00"/>
        <d v="2025-04-23T00:00:00"/>
        <d v="2025-03-21T00:00:00"/>
        <d v="2025-12-06T00:00:00"/>
        <d v="2025-06-07T00:00:00"/>
        <d v="2025-10-06T00:00:00"/>
        <d v="2025-10-05T00:00:00"/>
        <d v="2025-09-06T00:00:00"/>
        <d v="2026-01-02T00:00:00"/>
        <d v="2026-01-05T00:00:00"/>
        <d v="2026-01-07T00:00:00"/>
        <d v="2026-01-12T00:00:00"/>
        <d v="2026-01-06T00:00:00"/>
        <d v="2026-01-13T00:00:00"/>
        <d v="2026-01-22T00:00:00"/>
        <d v="2026-01-23T00:00:00"/>
        <d v="2026-01-27T00:00:00"/>
        <d v="2026-02-02T00:00:00"/>
      </sharedItems>
      <fieldGroup par="34" base="9">
        <rangePr groupBy="months" startDate="2025-02-13T00:00:00" endDate="2026-02-03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2-2026"/>
        </groupItems>
      </fieldGroup>
    </cacheField>
    <cacheField name="Entry Date" numFmtId="14">
      <sharedItems containsSemiMixedTypes="0" containsNonDate="0" containsDate="1" containsString="0" minDate="2025-02-13T00:00:00" maxDate="2026-02-03T00:00:00"/>
    </cacheField>
    <cacheField name="Document Header Text" numFmtId="0">
      <sharedItems/>
    </cacheField>
    <cacheField name="Reference/invoice no" numFmtId="0">
      <sharedItems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603848.88" maxValue="603848.88"/>
    </cacheField>
    <cacheField name="Company Code Currency Key" numFmtId="0">
      <sharedItems count="1">
        <s v="INR"/>
      </sharedItems>
    </cacheField>
    <cacheField name="Company Code Currency Value" numFmtId="4">
      <sharedItems containsSemiMixedTypes="0" containsString="0" containsNumber="1" minValue="-920133.52" maxValue="595243.31000000006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2-13T00:00:00" maxDate="2026-02-03T00:00:00"/>
    </cacheField>
    <cacheField name="Clearing Date" numFmtId="14">
      <sharedItems containsNonDate="0" containsDate="1" containsString="0" containsBlank="1" minDate="2025-04-11T00:00:00" maxDate="2026-01-08T00:00:00"/>
    </cacheField>
    <cacheField name="Clearing Document" numFmtId="0">
      <sharedItems/>
    </cacheField>
    <cacheField name="Quarters" numFmtId="0" databaseField="0">
      <fieldGroup base="9">
        <rangePr groupBy="quarters" startDate="2025-02-13T00:00:00" endDate="2026-02-03T00:00:00"/>
        <groupItems count="6">
          <s v="&lt;13-02-2025"/>
          <s v="Qtr1"/>
          <s v="Qtr2"/>
          <s v="Qtr3"/>
          <s v="Qtr4"/>
          <s v="&gt;03-02-2026"/>
        </groupItems>
      </fieldGroup>
    </cacheField>
    <cacheField name="Years" numFmtId="0" databaseField="0">
      <fieldGroup base="9">
        <rangePr groupBy="years" startDate="2025-02-13T00:00:00" endDate="2026-02-03T00:00:00"/>
        <groupItems count="4">
          <s v="&lt;13-02-2025"/>
          <s v="2025"/>
          <s v="2026"/>
          <s v="&gt;03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08.79937453704" createdVersion="7" refreshedVersion="7" minRefreshableVersion="3" recordCount="23" xr:uid="{D134344B-CCDF-478E-AFE1-6A11A97E485B}">
  <cacheSource type="worksheet">
    <worksheetSource ref="A1:L24" sheet="Sheet2"/>
  </cacheSource>
  <cacheFields count="12">
    <cacheField name="Document Number" numFmtId="0">
      <sharedItems/>
    </cacheField>
    <cacheField name="Document Type" numFmtId="0">
      <sharedItems/>
    </cacheField>
    <cacheField name="Document Date" numFmtId="14">
      <sharedItems containsSemiMixedTypes="0" containsNonDate="0" containsDate="1" containsString="0" minDate="2025-06-24T00:00:00" maxDate="2026-01-08T00:00:00"/>
    </cacheField>
    <cacheField name="Entry Date" numFmtId="14">
      <sharedItems containsSemiMixedTypes="0" containsNonDate="0" containsDate="1" containsString="0" minDate="2025-06-24T00:00:00" maxDate="2026-01-08T00:00:00"/>
    </cacheField>
    <cacheField name="Document Header Text" numFmtId="0">
      <sharedItems count="16">
        <s v=""/>
        <s v="0758767253FS"/>
        <s v="T54SWIC264904"/>
        <s v="T54SWIC268990"/>
        <s v="1810304156FS"/>
        <s v="9422978156FS"/>
        <s v="8113643156FS"/>
        <s v="1171852164FS"/>
        <s v="4989824164FS"/>
        <s v="8681446219FS"/>
        <s v="4568362253FS"/>
        <s v="T54SWIC278972"/>
        <s v="T54SWIC279192"/>
        <s v="5940256259FS"/>
        <s v="T54SWIC279194"/>
        <s v="T54SWIC285279"/>
      </sharedItems>
    </cacheField>
    <cacheField name="Reference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12549.36" maxValue="3663.7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920133.52" maxValue="135000"/>
    </cacheField>
    <cacheField name="Text" numFmtId="0">
      <sharedItems/>
    </cacheField>
    <cacheField name="Clearing Document" numFmtId="0">
      <sharedItems count="6">
        <s v="1400000854"/>
        <s v=""/>
        <s v="1400000149"/>
        <s v="1400000864"/>
        <s v="1400002371"/>
        <s v="140000237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s v="Selected"/>
    <s v="6779"/>
    <s v="100222372"/>
    <s v="SHAH TC GLOBAL EXIM LLP"/>
    <s v="2025"/>
    <s v="4"/>
    <d v="2025-04-11T00:00:00"/>
    <s v="1600000042"/>
    <x v="0"/>
    <x v="0"/>
    <d v="2025-04-11T00:00:00"/>
    <s v=""/>
    <s v=""/>
    <s v="212100"/>
    <s v="Trade Debtors (Ctrl)"/>
    <s v=""/>
    <s v="07"/>
    <s v="INR"/>
    <n v="1"/>
    <x v="0"/>
    <n v="1"/>
    <s v=""/>
    <s v="6779224500"/>
    <s v=""/>
    <s v=""/>
    <s v="1"/>
    <s v="Overpayment"/>
    <s v=""/>
    <s v=""/>
    <s v=""/>
    <d v="2025-04-11T00:00:00"/>
    <d v="2025-04-11T00:00:00"/>
    <s v="1600000042"/>
  </r>
  <r>
    <s v="Selected"/>
    <s v="6779"/>
    <s v="100222372"/>
    <s v="SHAH TC GLOBAL EXIM LLP"/>
    <s v="2025"/>
    <s v="4"/>
    <d v="2025-04-11T00:00:00"/>
    <s v="1600000042"/>
    <x v="0"/>
    <x v="0"/>
    <d v="2025-04-11T00:00:00"/>
    <s v=""/>
    <s v=""/>
    <s v="212100"/>
    <s v="Trade Debtors (Ctrl)"/>
    <s v=""/>
    <s v="17"/>
    <s v="INR"/>
    <n v="-1"/>
    <x v="0"/>
    <n v="-1"/>
    <s v=""/>
    <s v="6779224500"/>
    <s v=""/>
    <s v=""/>
    <s v="2"/>
    <s v="Overpayment"/>
    <s v=""/>
    <s v=""/>
    <s v=""/>
    <d v="2025-04-11T00:00:00"/>
    <d v="2025-04-11T00:00:00"/>
    <s v="1600000042"/>
  </r>
  <r>
    <s v="Selected"/>
    <s v="6779"/>
    <s v="100222372"/>
    <s v="SHAH TC GLOBAL EXIM LLP"/>
    <s v="2025"/>
    <s v="9"/>
    <d v="2025-09-02T00:00:00"/>
    <s v="1400001110"/>
    <x v="1"/>
    <x v="1"/>
    <d v="2025-09-02T00:00:00"/>
    <s v=""/>
    <s v=""/>
    <s v="212100"/>
    <s v="Trade Debtors (Ctrl)"/>
    <s v=""/>
    <s v="08"/>
    <s v="INR"/>
    <n v="603848.88"/>
    <x v="0"/>
    <n v="595243.31000000006"/>
    <s v=""/>
    <s v="6779224500"/>
    <s v=""/>
    <s v=""/>
    <s v="1"/>
    <s v=""/>
    <s v=""/>
    <s v=""/>
    <s v=""/>
    <d v="2025-09-02T00:00:00"/>
    <d v="2025-09-02T00:00:00"/>
    <s v="1400001110"/>
  </r>
  <r>
    <s v="Selected"/>
    <s v="6779"/>
    <s v="100222372"/>
    <s v="SHAH TC GLOBAL EXIM LLP"/>
    <s v="2025"/>
    <s v="9"/>
    <d v="2025-09-02T00:00:00"/>
    <s v="1400001110"/>
    <x v="1"/>
    <x v="1"/>
    <d v="2025-09-02T00:00:00"/>
    <s v=""/>
    <s v=""/>
    <s v="212100"/>
    <s v="Trade Debtors (Ctrl)"/>
    <s v=""/>
    <s v="15"/>
    <s v="INR"/>
    <n v="-603848.88"/>
    <x v="0"/>
    <n v="-599760.56000000006"/>
    <s v=""/>
    <s v="6779224500"/>
    <s v=""/>
    <s v=""/>
    <s v="2"/>
    <s v=""/>
    <s v=""/>
    <s v=""/>
    <s v=""/>
    <d v="2025-09-02T00:00:00"/>
    <d v="2025-09-02T00:00:00"/>
    <s v="1400001110"/>
  </r>
  <r>
    <s v="Selected"/>
    <s v="6779"/>
    <s v="100222372"/>
    <s v="SHAH TC GLOBAL EXIM LLP"/>
    <s v="2025"/>
    <s v="8"/>
    <d v="2025-08-18T00:00:00"/>
    <s v="1400000854"/>
    <x v="2"/>
    <x v="2"/>
    <d v="2025-08-18T00:00:00"/>
    <s v=""/>
    <s v=""/>
    <s v="212100"/>
    <s v="Trade Debtors (Ctrl)"/>
    <s v=""/>
    <s v="15"/>
    <s v="USD"/>
    <n v="-700.45"/>
    <x v="0"/>
    <n v="-60884.42"/>
    <s v=""/>
    <s v=""/>
    <s v=""/>
    <s v=""/>
    <s v="4"/>
    <s v=""/>
    <s v=""/>
    <s v=""/>
    <s v=""/>
    <d v="2025-08-18T00:00:00"/>
    <d v="2025-08-18T00:00:00"/>
    <s v="1400000854"/>
  </r>
  <r>
    <s v="Not Selected"/>
    <s v="6779"/>
    <s v="100222372"/>
    <s v="SHAH TC GLOBAL EXIM LLP"/>
    <s v="2025"/>
    <s v="10"/>
    <d v="2025-10-01T00:00:00"/>
    <s v="1400001231"/>
    <x v="2"/>
    <x v="3"/>
    <d v="2025-09-25T00:00:00"/>
    <s v="0758767253FS"/>
    <s v=""/>
    <s v="212100"/>
    <s v="Trade Debtors (Ctrl)"/>
    <s v=""/>
    <s v="15"/>
    <s v="USD"/>
    <n v="-4719.25"/>
    <x v="0"/>
    <n v="-413002"/>
    <s v=""/>
    <s v="6779220000"/>
    <s v=""/>
    <s v=""/>
    <s v="2"/>
    <s v=""/>
    <s v=""/>
    <s v=""/>
    <s v=""/>
    <d v="2025-10-01T00:00:00"/>
    <m/>
    <s v=""/>
  </r>
  <r>
    <s v="Not Selected"/>
    <s v="6779"/>
    <s v="100222372"/>
    <s v="SHAH TC GLOBAL EXIM LLP"/>
    <s v="2025"/>
    <s v="8"/>
    <d v="2025-08-21T00:00:00"/>
    <s v="1400000977"/>
    <x v="2"/>
    <x v="4"/>
    <d v="2025-08-21T00:00:00"/>
    <s v="T54SWIC264904"/>
    <s v=""/>
    <s v="212100"/>
    <s v="Trade Debtors (Ctrl)"/>
    <s v=""/>
    <s v="15"/>
    <s v="USD"/>
    <n v="-3663.7"/>
    <x v="0"/>
    <n v="-313212.57"/>
    <s v=""/>
    <s v="6779220000"/>
    <s v=""/>
    <s v=""/>
    <s v="2"/>
    <s v=""/>
    <s v=""/>
    <s v=""/>
    <s v=""/>
    <d v="2025-08-21T00:00:00"/>
    <m/>
    <s v=""/>
  </r>
  <r>
    <s v="Not Selected"/>
    <s v="6779"/>
    <s v="100222372"/>
    <s v="SHAH TC GLOBAL EXIM LLP"/>
    <s v="2025"/>
    <s v="8"/>
    <d v="2025-08-21T00:00:00"/>
    <s v="1400000990"/>
    <x v="2"/>
    <x v="4"/>
    <d v="2025-08-21T00:00:00"/>
    <s v="T54SWIC268990"/>
    <s v=""/>
    <s v="212100"/>
    <s v="Trade Debtors (Ctrl)"/>
    <s v=""/>
    <s v="15"/>
    <s v="USD"/>
    <n v="-3777.49"/>
    <x v="0"/>
    <n v="-324866.67"/>
    <s v=""/>
    <s v="6779220000"/>
    <s v=""/>
    <s v=""/>
    <s v="2"/>
    <s v=""/>
    <s v=""/>
    <s v=""/>
    <s v=""/>
    <d v="2025-08-21T00:00:00"/>
    <m/>
    <s v=""/>
  </r>
  <r>
    <s v="Selected"/>
    <s v="6779"/>
    <s v="100222372"/>
    <s v="SHAH TC GLOBAL EXIM LLP"/>
    <s v="2025"/>
    <s v="7"/>
    <d v="2025-07-01T00:00:00"/>
    <s v="1400000126"/>
    <x v="2"/>
    <x v="5"/>
    <d v="2025-06-24T00:00:00"/>
    <s v="1810304156FS"/>
    <s v=""/>
    <s v="212100"/>
    <s v="Trade Debtors (Ctrl)"/>
    <s v=""/>
    <s v="15"/>
    <s v="USD"/>
    <n v="-3663.7"/>
    <x v="0"/>
    <n v="-3663.7"/>
    <s v=""/>
    <s v="6779220000"/>
    <s v=""/>
    <s v=""/>
    <s v="2"/>
    <s v=""/>
    <s v=""/>
    <s v=""/>
    <s v=""/>
    <d v="2025-06-24T00:00:00"/>
    <d v="2025-07-01T00:00:00"/>
    <s v="1400000149"/>
  </r>
  <r>
    <s v="Not Selected"/>
    <s v="6779"/>
    <s v="100222372"/>
    <s v="SHAH TC GLOBAL EXIM LLP"/>
    <s v="2025"/>
    <s v="7"/>
    <d v="2025-07-01T00:00:00"/>
    <s v="1400000127"/>
    <x v="2"/>
    <x v="5"/>
    <d v="2025-06-24T00:00:00"/>
    <s v="9422978156FS"/>
    <s v=""/>
    <s v="212100"/>
    <s v="Trade Debtors (Ctrl)"/>
    <s v=""/>
    <s v="15"/>
    <s v="USD"/>
    <n v="-3508.06"/>
    <x v="0"/>
    <n v="-3508.06"/>
    <s v=""/>
    <s v="6779220000"/>
    <s v=""/>
    <s v=""/>
    <s v="2"/>
    <s v=""/>
    <s v=""/>
    <s v=""/>
    <s v=""/>
    <d v="2025-06-24T00:00:00"/>
    <m/>
    <s v=""/>
  </r>
  <r>
    <s v="Not Selected"/>
    <s v="6779"/>
    <s v="100222372"/>
    <s v="SHAH TC GLOBAL EXIM LLP"/>
    <s v="2025"/>
    <s v="7"/>
    <d v="2025-07-01T00:00:00"/>
    <s v="1400000128"/>
    <x v="2"/>
    <x v="5"/>
    <d v="2025-06-24T00:00:00"/>
    <s v="8113643156FS"/>
    <s v=""/>
    <s v="212100"/>
    <s v="Trade Debtors (Ctrl)"/>
    <s v=""/>
    <s v="15"/>
    <s v="USD"/>
    <n v="-3145.98"/>
    <x v="0"/>
    <n v="-3145.98"/>
    <s v=""/>
    <s v="6779220000"/>
    <s v=""/>
    <s v=""/>
    <s v="2"/>
    <s v=""/>
    <s v=""/>
    <s v=""/>
    <s v=""/>
    <d v="2025-06-24T00:00:00"/>
    <m/>
    <s v=""/>
  </r>
  <r>
    <s v="Not Selected"/>
    <s v="6779"/>
    <s v="100222372"/>
    <s v="SHAH TC GLOBAL EXIM LLP"/>
    <s v="2025"/>
    <s v="7"/>
    <d v="2025-07-01T00:00:00"/>
    <s v="1400000133"/>
    <x v="2"/>
    <x v="5"/>
    <d v="2025-06-24T00:00:00"/>
    <s v="1171852164FS"/>
    <s v=""/>
    <s v="212100"/>
    <s v="Trade Debtors (Ctrl)"/>
    <s v=""/>
    <s v="15"/>
    <s v="USD"/>
    <n v="-12549.36"/>
    <x v="0"/>
    <n v="-12549.36"/>
    <s v=""/>
    <s v="6779220000"/>
    <s v=""/>
    <s v=""/>
    <s v="2"/>
    <s v=""/>
    <s v=""/>
    <s v=""/>
    <s v=""/>
    <d v="2025-06-24T00:00:00"/>
    <m/>
    <s v=""/>
  </r>
  <r>
    <s v="Not Selected"/>
    <s v="6779"/>
    <s v="100222372"/>
    <s v="SHAH TC GLOBAL EXIM LLP"/>
    <s v="2025"/>
    <s v="7"/>
    <d v="2025-07-01T00:00:00"/>
    <s v="1400000134"/>
    <x v="2"/>
    <x v="5"/>
    <d v="2025-06-24T00:00:00"/>
    <s v="4989824164FS"/>
    <s v=""/>
    <s v="212100"/>
    <s v="Trade Debtors (Ctrl)"/>
    <s v=""/>
    <s v="15"/>
    <s v="USD"/>
    <n v="-4228.22"/>
    <x v="0"/>
    <n v="-4228.22"/>
    <s v=""/>
    <s v="6779220000"/>
    <s v=""/>
    <s v=""/>
    <s v="2"/>
    <s v=""/>
    <s v=""/>
    <s v=""/>
    <s v=""/>
    <d v="2025-06-24T00:00:00"/>
    <m/>
    <s v=""/>
  </r>
  <r>
    <s v="Selected"/>
    <s v="6779"/>
    <s v="100222372"/>
    <s v="SHAH TC GLOBAL EXIM LLP"/>
    <s v="2025"/>
    <s v="7"/>
    <d v="2025-07-01T00:00:00"/>
    <s v="1400000149"/>
    <x v="2"/>
    <x v="5"/>
    <d v="2025-06-27T00:00:00"/>
    <s v="1810304156FS"/>
    <s v=""/>
    <s v="212100"/>
    <s v="Trade Debtors (Ctrl)"/>
    <s v=""/>
    <s v="05"/>
    <s v="USD"/>
    <n v="3663.7"/>
    <x v="0"/>
    <n v="3663.7"/>
    <s v=""/>
    <s v="6779220000"/>
    <s v=""/>
    <s v=""/>
    <s v="2"/>
    <s v=""/>
    <s v=""/>
    <s v=""/>
    <s v=""/>
    <d v="2025-06-24T00:00:00"/>
    <d v="2025-07-01T00:00:00"/>
    <s v="1400000149"/>
  </r>
  <r>
    <s v="Selected"/>
    <s v="6779"/>
    <s v="100222372"/>
    <s v="SHAH TC GLOBAL EXIM LLP"/>
    <s v="2025"/>
    <s v="8"/>
    <d v="2025-08-18T00:00:00"/>
    <s v="1400000854"/>
    <x v="2"/>
    <x v="2"/>
    <d v="2025-08-18T00:00:00"/>
    <s v=""/>
    <s v=""/>
    <s v="212100"/>
    <s v="Trade Debtors (Ctrl)"/>
    <s v=""/>
    <s v="15"/>
    <s v="USD"/>
    <n v="-4437.8999999999996"/>
    <x v="0"/>
    <n v="-383425.92"/>
    <s v=""/>
    <s v="6779224500"/>
    <s v=""/>
    <s v=""/>
    <s v="3"/>
    <s v=""/>
    <s v=""/>
    <s v=""/>
    <s v=""/>
    <d v="2025-08-18T00:00:00"/>
    <d v="2025-08-18T00:00:00"/>
    <s v="1400000854"/>
  </r>
  <r>
    <s v="Selected"/>
    <s v="6779"/>
    <s v="100222372"/>
    <s v="SHAH TC GLOBAL EXIM LLP"/>
    <s v="2025"/>
    <s v="8"/>
    <d v="2025-08-19T00:00:00"/>
    <s v="1400000864"/>
    <x v="2"/>
    <x v="6"/>
    <d v="2025-08-19T00:00:00"/>
    <s v="8681446219FS"/>
    <s v=""/>
    <s v="212100"/>
    <s v="Trade Debtors (Ctrl)"/>
    <s v=""/>
    <s v="15"/>
    <s v="USD"/>
    <n v="-1102.02"/>
    <x v="0"/>
    <n v="-94695.18"/>
    <s v=""/>
    <s v="6779224500"/>
    <s v=""/>
    <s v=""/>
    <s v="4"/>
    <s v="8681446219FS"/>
    <s v=""/>
    <s v=""/>
    <s v=""/>
    <d v="2025-08-19T00:00:00"/>
    <d v="2025-08-19T00:00:00"/>
    <s v="1400000864"/>
  </r>
  <r>
    <s v="Not Selected"/>
    <s v="6779"/>
    <s v="100222372"/>
    <s v="SHAH TC GLOBAL EXIM LLP"/>
    <s v="2025"/>
    <s v="9"/>
    <d v="2025-09-24T00:00:00"/>
    <s v="1400001221"/>
    <x v="2"/>
    <x v="7"/>
    <d v="2025-09-24T00:00:00"/>
    <s v="4568362253FS"/>
    <s v=""/>
    <s v="212100"/>
    <s v="Trade Debtors (Ctrl)"/>
    <s v=""/>
    <s v="15"/>
    <s v="USD"/>
    <n v="-2932.84"/>
    <x v="0"/>
    <n v="-256665.53"/>
    <s v=""/>
    <s v="6779220000"/>
    <s v=""/>
    <s v=""/>
    <s v="2"/>
    <s v=""/>
    <s v=""/>
    <s v=""/>
    <s v=""/>
    <d v="2025-09-24T00:00:00"/>
    <m/>
    <s v=""/>
  </r>
  <r>
    <s v="Not Selected"/>
    <s v="6779"/>
    <s v="100222372"/>
    <s v="SHAH TC GLOBAL EXIM LLP"/>
    <s v="2025"/>
    <s v="11"/>
    <d v="2025-11-03T00:00:00"/>
    <s v="1400001598"/>
    <x v="2"/>
    <x v="8"/>
    <d v="2025-11-03T00:00:00"/>
    <s v="T54SWIC278972"/>
    <s v=""/>
    <s v="212100"/>
    <s v="Trade Debtors (Ctrl)"/>
    <s v=""/>
    <s v="15"/>
    <s v="USD"/>
    <n v="-1731.27"/>
    <x v="0"/>
    <n v="-152682.03"/>
    <s v=""/>
    <s v="6779220000"/>
    <s v=""/>
    <s v=""/>
    <s v="2"/>
    <s v=""/>
    <s v=""/>
    <s v=""/>
    <s v=""/>
    <d v="2025-11-03T00:00:00"/>
    <m/>
    <s v=""/>
  </r>
  <r>
    <s v="Not Selected"/>
    <s v="6779"/>
    <s v="100222372"/>
    <s v="SHAH TC GLOBAL EXIM LLP"/>
    <s v="2025"/>
    <s v="11"/>
    <d v="2025-11-11T00:00:00"/>
    <s v="1400001618"/>
    <x v="2"/>
    <x v="9"/>
    <d v="2025-11-11T00:00:00"/>
    <s v="T54SWIC279192"/>
    <s v=""/>
    <s v="212100"/>
    <s v="Trade Debtors (Ctrl)"/>
    <s v=""/>
    <s v="15"/>
    <s v="USD"/>
    <n v="-1968.44"/>
    <x v="0"/>
    <n v="-173229.39"/>
    <s v=""/>
    <s v="6779220000"/>
    <s v=""/>
    <s v=""/>
    <s v="2"/>
    <s v=""/>
    <s v=""/>
    <s v=""/>
    <s v=""/>
    <d v="2025-11-11T00:00:00"/>
    <m/>
    <s v=""/>
  </r>
  <r>
    <s v="Not Selected"/>
    <s v="6779"/>
    <s v="100222372"/>
    <s v="SHAH TC GLOBAL EXIM LLP"/>
    <s v="2025"/>
    <s v="11"/>
    <d v="2025-11-11T00:00:00"/>
    <s v="1400001620"/>
    <x v="2"/>
    <x v="9"/>
    <d v="2025-11-11T00:00:00"/>
    <s v="5940256259FS"/>
    <s v=""/>
    <s v="212100"/>
    <s v="Trade Debtors (Ctrl)"/>
    <s v=""/>
    <s v="15"/>
    <s v="USD"/>
    <n v="-8339.84"/>
    <x v="0"/>
    <n v="-729855.51"/>
    <s v=""/>
    <s v="6779220000"/>
    <s v=""/>
    <s v=""/>
    <s v="2"/>
    <s v=""/>
    <s v=""/>
    <s v=""/>
    <s v=""/>
    <d v="2025-11-11T00:00:00"/>
    <m/>
    <s v=""/>
  </r>
  <r>
    <s v="Not Selected"/>
    <s v="6779"/>
    <s v="100222372"/>
    <s v="SHAH TC GLOBAL EXIM LLP"/>
    <s v="2025"/>
    <s v="11"/>
    <d v="2025-11-11T00:00:00"/>
    <s v="1400001622"/>
    <x v="2"/>
    <x v="9"/>
    <d v="2025-11-11T00:00:00"/>
    <s v="T54SWIC279194"/>
    <s v=""/>
    <s v="212100"/>
    <s v="Trade Debtors (Ctrl)"/>
    <s v=""/>
    <s v="15"/>
    <s v="USD"/>
    <n v="-10455.66"/>
    <x v="0"/>
    <n v="-920133.52"/>
    <s v=""/>
    <s v="6779220000"/>
    <s v=""/>
    <s v=""/>
    <s v="2"/>
    <s v=""/>
    <s v=""/>
    <s v=""/>
    <s v=""/>
    <d v="2025-11-11T00:00:00"/>
    <m/>
    <s v=""/>
  </r>
  <r>
    <s v="Selected"/>
    <s v="6779"/>
    <s v="100222372"/>
    <s v="SHAH TC GLOBAL EXIM LLP"/>
    <s v="2025"/>
    <s v="3"/>
    <d v="2025-03-28T00:00:00"/>
    <s v="7000000196"/>
    <x v="3"/>
    <x v="10"/>
    <d v="2025-03-28T00:00:00"/>
    <s v="6779ZR25000004"/>
    <s v="6779ZR25000004"/>
    <s v="212100"/>
    <s v="Trade Debtors (Ctrl)"/>
    <s v=""/>
    <s v="01"/>
    <s v="INR"/>
    <n v="1"/>
    <x v="0"/>
    <n v="1"/>
    <s v=""/>
    <s v="6779224500"/>
    <s v=""/>
    <s v="6779ZP25000099"/>
    <s v="123"/>
    <s v="Overpayment"/>
    <s v="100222372"/>
    <s v=""/>
    <s v="100222372"/>
    <d v="2025-02-13T00:00:00"/>
    <d v="2025-04-11T00:00:00"/>
    <s v="1600000042"/>
  </r>
  <r>
    <s v="Selected"/>
    <s v="6779"/>
    <s v="100222372"/>
    <s v="SHAH TC GLOBAL EXIM LLP"/>
    <s v="2025"/>
    <s v="2"/>
    <d v="2025-02-13T00:00:00"/>
    <s v="7000000135"/>
    <x v="3"/>
    <x v="10"/>
    <d v="2025-02-13T00:00:00"/>
    <s v="6779ZP25000099"/>
    <s v="6779ZP25000099"/>
    <s v="212100"/>
    <s v="Trade Debtors (Ctrl)"/>
    <s v=""/>
    <s v="11"/>
    <s v="INR"/>
    <n v="-1"/>
    <x v="0"/>
    <n v="-1"/>
    <s v=""/>
    <s v="6779224500"/>
    <s v=""/>
    <s v="6779ZP25000099"/>
    <s v="1"/>
    <s v="Overpayment"/>
    <s v="100222372"/>
    <s v=""/>
    <s v="100222372"/>
    <d v="2025-02-13T00:00:00"/>
    <d v="2025-04-11T00:00:00"/>
    <s v="1600000042"/>
  </r>
  <r>
    <s v="Selected"/>
    <s v="6779"/>
    <s v="100222372"/>
    <s v="SHAH TC GLOBAL EXIM LLP"/>
    <s v="2025"/>
    <s v="7"/>
    <d v="2025-07-04T00:00:00"/>
    <s v="1400000213"/>
    <x v="1"/>
    <x v="11"/>
    <d v="2025-07-04T00:00:00"/>
    <s v="NA"/>
    <s v="KNOCK OFF ENTRY"/>
    <s v="212100"/>
    <s v="Trade Debtors (Ctrl)"/>
    <s v=""/>
    <s v="15"/>
    <s v="USD"/>
    <n v="0"/>
    <x v="0"/>
    <n v="0"/>
    <s v=""/>
    <s v="6779224500"/>
    <s v=""/>
    <s v=""/>
    <s v="1"/>
    <s v=""/>
    <s v=""/>
    <s v=""/>
    <s v=""/>
    <d v="2025-07-04T00:00:00"/>
    <d v="2025-07-04T00:00:00"/>
    <s v="1400000213"/>
  </r>
  <r>
    <s v="Selected"/>
    <s v="6779"/>
    <s v="100222372"/>
    <s v="SHAH TC GLOBAL EXIM LLP"/>
    <s v="2025"/>
    <s v="7"/>
    <d v="2025-07-04T00:00:00"/>
    <s v="1400000214"/>
    <x v="1"/>
    <x v="11"/>
    <d v="2025-07-04T00:00:00"/>
    <s v="NA"/>
    <s v="KNOCK OFF ENTRY"/>
    <s v="212100"/>
    <s v="Trade Debtors (Ctrl)"/>
    <s v=""/>
    <s v="08"/>
    <s v="USD"/>
    <n v="1166.5899999999999"/>
    <x v="0"/>
    <n v="101402.13"/>
    <s v=""/>
    <s v="6779224500"/>
    <s v=""/>
    <s v=""/>
    <s v="1"/>
    <s v=""/>
    <s v=""/>
    <s v=""/>
    <s v=""/>
    <d v="2025-07-04T00:00:00"/>
    <d v="2025-07-04T00:00:00"/>
    <s v="1400000214"/>
  </r>
  <r>
    <s v="Selected"/>
    <s v="6779"/>
    <s v="100222372"/>
    <s v="SHAH TC GLOBAL EXIM LLP"/>
    <s v="2025"/>
    <s v="7"/>
    <d v="2025-07-04T00:00:00"/>
    <s v="1400000214"/>
    <x v="1"/>
    <x v="11"/>
    <d v="2025-07-04T00:00:00"/>
    <s v="NA"/>
    <s v="KNOCK OFF ENTRY"/>
    <s v="212100"/>
    <s v="Trade Debtors (Ctrl)"/>
    <s v=""/>
    <s v="15"/>
    <s v="USD"/>
    <n v="-1166.5899999999999"/>
    <x v="0"/>
    <n v="-101402.13"/>
    <s v=""/>
    <s v="6779224500"/>
    <s v=""/>
    <s v=""/>
    <s v="2"/>
    <s v=""/>
    <s v=""/>
    <s v=""/>
    <s v=""/>
    <d v="2025-07-04T00:00:00"/>
    <d v="2025-07-04T00:00:00"/>
    <s v="1400000214"/>
  </r>
  <r>
    <s v="Selected"/>
    <s v="6779"/>
    <s v="100222372"/>
    <s v="SHAH TC GLOBAL EXIM LLP"/>
    <s v="2025"/>
    <s v="7"/>
    <d v="2025-07-04T00:00:00"/>
    <s v="1400000215"/>
    <x v="1"/>
    <x v="11"/>
    <d v="2025-07-04T00:00:00"/>
    <s v="NA"/>
    <s v="KNOCK OFF ENTRY"/>
    <s v="212100"/>
    <s v="Trade Debtors (Ctrl)"/>
    <s v=""/>
    <s v="08"/>
    <s v="USD"/>
    <n v="1143.1199999999999"/>
    <x v="0"/>
    <n v="99362.07"/>
    <s v=""/>
    <s v="6779224500"/>
    <s v=""/>
    <s v=""/>
    <s v="1"/>
    <s v=""/>
    <s v=""/>
    <s v=""/>
    <s v=""/>
    <d v="2025-07-04T00:00:00"/>
    <d v="2025-07-04T00:00:00"/>
    <s v="1400000215"/>
  </r>
  <r>
    <s v="Selected"/>
    <s v="6779"/>
    <s v="100222372"/>
    <s v="SHAH TC GLOBAL EXIM LLP"/>
    <s v="2025"/>
    <s v="7"/>
    <d v="2025-07-04T00:00:00"/>
    <s v="1400000215"/>
    <x v="1"/>
    <x v="11"/>
    <d v="2025-07-04T00:00:00"/>
    <s v="NA"/>
    <s v="KNOCK OFF ENTRY"/>
    <s v="212100"/>
    <s v="Trade Debtors (Ctrl)"/>
    <s v=""/>
    <s v="15"/>
    <s v="USD"/>
    <n v="-1143.1199999999999"/>
    <x v="0"/>
    <n v="-99362.07"/>
    <s v=""/>
    <s v="6779224500"/>
    <s v=""/>
    <s v=""/>
    <s v="2"/>
    <s v=""/>
    <s v=""/>
    <s v=""/>
    <s v=""/>
    <d v="2025-07-04T00:00:00"/>
    <d v="2025-07-04T00:00:00"/>
    <s v="1400000215"/>
  </r>
  <r>
    <s v="Not Selected"/>
    <s v="6779"/>
    <s v="100222372"/>
    <s v="SHAH TC GLOBAL EXIM LLP"/>
    <s v="2025"/>
    <s v="5"/>
    <d v="2025-05-10T00:00:00"/>
    <s v="1800008260"/>
    <x v="4"/>
    <x v="12"/>
    <d v="2025-05-14T00:00:00"/>
    <s v="NA"/>
    <s v="256779413144"/>
    <s v="212100"/>
    <s v="Trade Debtors (Ctrl)"/>
    <s v=""/>
    <s v="01"/>
    <s v="INR"/>
    <n v="100000"/>
    <x v="0"/>
    <n v="100000"/>
    <s v="O0"/>
    <s v="6779224500"/>
    <s v=""/>
    <s v="NA"/>
    <s v="1"/>
    <s v="Fixed Storage Charges fo MAY 2025"/>
    <s v=""/>
    <s v=""/>
    <s v=""/>
    <d v="2025-05-10T00:00:00"/>
    <m/>
    <s v=""/>
  </r>
  <r>
    <s v="Not Selected"/>
    <s v="6779"/>
    <s v="100222372"/>
    <s v="SHAH TC GLOBAL EXIM LLP"/>
    <s v="2025"/>
    <s v="6"/>
    <d v="2025-06-10T00:00:00"/>
    <s v="1800009592"/>
    <x v="4"/>
    <x v="13"/>
    <d v="2025-06-17T00:00:00"/>
    <s v="NA"/>
    <s v="256779414356"/>
    <s v="212100"/>
    <s v="Trade Debtors (Ctrl)"/>
    <s v=""/>
    <s v="01"/>
    <s v="INR"/>
    <n v="100000"/>
    <x v="0"/>
    <n v="100000"/>
    <s v="O0"/>
    <s v="6779224500"/>
    <s v=""/>
    <s v="NA"/>
    <s v="1"/>
    <s v="Fixed Storage Charges fo JUNE 2025"/>
    <s v=""/>
    <s v=""/>
    <s v=""/>
    <d v="2025-06-10T00:00:00"/>
    <m/>
    <s v=""/>
  </r>
  <r>
    <s v="Not Selected"/>
    <s v="6779"/>
    <s v="100222372"/>
    <s v="SHAH TC GLOBAL EXIM LLP"/>
    <s v="2025"/>
    <s v="7"/>
    <d v="2025-07-04T00:00:00"/>
    <s v="1800010154"/>
    <x v="4"/>
    <x v="11"/>
    <d v="2025-07-09T00:00:00"/>
    <s v="NA"/>
    <s v="256779414914"/>
    <s v="212100"/>
    <s v="Trade Debtors (Ctrl)"/>
    <s v=""/>
    <s v="01"/>
    <s v="INR"/>
    <n v="100000"/>
    <x v="0"/>
    <n v="100000"/>
    <s v="O0"/>
    <s v="6779224500"/>
    <s v=""/>
    <s v="NA"/>
    <s v="1"/>
    <s v="Fixed Storage Charges fo JULY 2025"/>
    <s v=""/>
    <s v=""/>
    <s v=""/>
    <d v="2025-07-04T00:00:00"/>
    <m/>
    <s v=""/>
  </r>
  <r>
    <s v="Not Selected"/>
    <s v="6779"/>
    <s v="100222372"/>
    <s v="SHAH TC GLOBAL EXIM LLP"/>
    <s v="2025"/>
    <s v="8"/>
    <d v="2025-08-01T00:00:00"/>
    <s v="1800011360"/>
    <x v="4"/>
    <x v="14"/>
    <d v="2025-08-04T00:00:00"/>
    <s v="NA"/>
    <s v="256779416026"/>
    <s v="212100"/>
    <s v="Trade Debtors (Ctrl)"/>
    <s v=""/>
    <s v="01"/>
    <s v="INR"/>
    <n v="100000"/>
    <x v="0"/>
    <n v="100000"/>
    <s v="O0"/>
    <s v="6779224500"/>
    <s v=""/>
    <s v="NA"/>
    <s v="1"/>
    <s v="Fixed Storage Charges for August 2025"/>
    <s v=""/>
    <s v=""/>
    <s v=""/>
    <d v="2025-08-01T00:00:00"/>
    <m/>
    <s v=""/>
  </r>
  <r>
    <s v="Not Selected"/>
    <s v="6779"/>
    <s v="100222372"/>
    <s v="SHAH TC GLOBAL EXIM LLP"/>
    <s v="2025"/>
    <s v="9"/>
    <d v="2025-09-04T00:00:00"/>
    <s v="1800012712"/>
    <x v="4"/>
    <x v="15"/>
    <d v="2025-09-09T00:00:00"/>
    <s v="NA"/>
    <s v="256779417346"/>
    <s v="212100"/>
    <s v="Trade Debtors (Ctrl)"/>
    <s v=""/>
    <s v="01"/>
    <s v="INR"/>
    <n v="100000"/>
    <x v="0"/>
    <n v="100000"/>
    <s v="O0"/>
    <s v="6779224500"/>
    <s v=""/>
    <s v="2097261"/>
    <s v="1"/>
    <s v="Fixed Storage Charges for September 2025"/>
    <s v=""/>
    <s v=""/>
    <s v=""/>
    <d v="2025-09-04T00:00:00"/>
    <m/>
    <s v=""/>
  </r>
  <r>
    <s v="Not Selected"/>
    <s v="6779"/>
    <s v="100222372"/>
    <s v="SHAH TC GLOBAL EXIM LLP"/>
    <s v="2025"/>
    <s v="11"/>
    <d v="2025-11-05T00:00:00"/>
    <s v="1800014235"/>
    <x v="4"/>
    <x v="16"/>
    <d v="2025-11-05T00:00:00"/>
    <s v="NA"/>
    <s v="256779418775"/>
    <s v="212100"/>
    <s v="Trade Debtors (Ctrl)"/>
    <s v=""/>
    <s v="01"/>
    <s v="INR"/>
    <n v="100000"/>
    <x v="0"/>
    <n v="100000"/>
    <s v="O0"/>
    <s v="6779224500"/>
    <s v=""/>
    <s v="2123158"/>
    <s v="1"/>
    <s v="Fixed Storage Charges for November 2025"/>
    <s v=""/>
    <s v=""/>
    <s v=""/>
    <d v="2025-11-05T00:00:00"/>
    <m/>
    <s v=""/>
  </r>
  <r>
    <s v="Not Selected"/>
    <s v="6779"/>
    <s v="100222372"/>
    <s v="SHAH TC GLOBAL EXIM LLP"/>
    <s v="2025"/>
    <s v="12"/>
    <d v="2025-12-04T00:00:00"/>
    <s v="1800015484"/>
    <x v="4"/>
    <x v="17"/>
    <d v="2025-12-09T00:00:00"/>
    <s v="NA"/>
    <s v="256779419968"/>
    <s v="212100"/>
    <s v="Trade Debtors (Ctrl)"/>
    <s v=""/>
    <s v="01"/>
    <s v="INR"/>
    <n v="100000"/>
    <x v="0"/>
    <n v="100000"/>
    <s v="O0"/>
    <s v="6779224500"/>
    <s v=""/>
    <s v="2139804"/>
    <s v="1"/>
    <s v="Fixed Storage Charges for December 2025"/>
    <s v=""/>
    <s v=""/>
    <s v=""/>
    <d v="2025-12-04T00:00:00"/>
    <m/>
    <s v=""/>
  </r>
  <r>
    <s v="Not Selected"/>
    <s v="6779"/>
    <s v="100222372"/>
    <s v="SHAH TC GLOBAL EXIM LLP"/>
    <s v="2025"/>
    <s v="5"/>
    <d v="2025-05-10T00:00:00"/>
    <s v="1800008261"/>
    <x v="4"/>
    <x v="12"/>
    <d v="2025-05-14T00:00:00"/>
    <s v="NA"/>
    <s v="256779413145"/>
    <s v="212100"/>
    <s v="Trade Debtors (Ctrl)"/>
    <s v=""/>
    <s v="01"/>
    <s v="INR"/>
    <n v="35000"/>
    <x v="0"/>
    <n v="35000"/>
    <s v="O0"/>
    <s v="6779224500"/>
    <s v=""/>
    <s v="NA"/>
    <s v="1"/>
    <s v="Fixed Storage Charges fo MAY 2025"/>
    <s v=""/>
    <s v=""/>
    <s v=""/>
    <d v="2025-05-10T00:00:00"/>
    <m/>
    <s v=""/>
  </r>
  <r>
    <s v="Not Selected"/>
    <s v="6779"/>
    <s v="100222372"/>
    <s v="SHAH TC GLOBAL EXIM LLP"/>
    <s v="2025"/>
    <s v="6"/>
    <d v="2025-06-10T00:00:00"/>
    <s v="1800009593"/>
    <x v="4"/>
    <x v="13"/>
    <d v="2025-06-17T00:00:00"/>
    <s v="NA"/>
    <s v="256779414357"/>
    <s v="212100"/>
    <s v="Trade Debtors (Ctrl)"/>
    <s v=""/>
    <s v="01"/>
    <s v="INR"/>
    <n v="35000"/>
    <x v="0"/>
    <n v="35000"/>
    <s v="O0"/>
    <s v="6779224500"/>
    <s v=""/>
    <s v="NA"/>
    <s v="1"/>
    <s v="Fixed Storage Charges fo JUNE 2025"/>
    <s v=""/>
    <s v=""/>
    <s v=""/>
    <d v="2025-06-10T00:00:00"/>
    <m/>
    <s v=""/>
  </r>
  <r>
    <s v="Not Selected"/>
    <s v="6779"/>
    <s v="100222372"/>
    <s v="SHAH TC GLOBAL EXIM LLP"/>
    <s v="2025"/>
    <s v="7"/>
    <d v="2025-07-04T00:00:00"/>
    <s v="1800010155"/>
    <x v="4"/>
    <x v="11"/>
    <d v="2025-07-09T00:00:00"/>
    <s v="NA"/>
    <s v="256779414915"/>
    <s v="212100"/>
    <s v="Trade Debtors (Ctrl)"/>
    <s v=""/>
    <s v="01"/>
    <s v="INR"/>
    <n v="35000"/>
    <x v="0"/>
    <n v="35000"/>
    <s v="O0"/>
    <s v="6779224500"/>
    <s v=""/>
    <s v="NA"/>
    <s v="1"/>
    <s v="Fixed Storage Charges fo JULY 2025"/>
    <s v=""/>
    <s v=""/>
    <s v=""/>
    <d v="2025-07-04T00:00:00"/>
    <m/>
    <s v=""/>
  </r>
  <r>
    <s v="Not Selected"/>
    <s v="6779"/>
    <s v="100222372"/>
    <s v="SHAH TC GLOBAL EXIM LLP"/>
    <s v="2025"/>
    <s v="8"/>
    <d v="2025-08-01T00:00:00"/>
    <s v="1800011361"/>
    <x v="4"/>
    <x v="14"/>
    <d v="2025-08-04T00:00:00"/>
    <s v="NA"/>
    <s v="256779416027"/>
    <s v="212100"/>
    <s v="Trade Debtors (Ctrl)"/>
    <s v=""/>
    <s v="01"/>
    <s v="INR"/>
    <n v="35000"/>
    <x v="0"/>
    <n v="35000"/>
    <s v="O0"/>
    <s v="6779224500"/>
    <s v=""/>
    <s v="NA"/>
    <s v="1"/>
    <s v="Fixed Storage Charges for August 2025"/>
    <s v=""/>
    <s v=""/>
    <s v=""/>
    <d v="2025-08-01T00:00:00"/>
    <m/>
    <s v=""/>
  </r>
  <r>
    <s v="Not Selected"/>
    <s v="6779"/>
    <s v="100222372"/>
    <s v="SHAH TC GLOBAL EXIM LLP"/>
    <s v="2025"/>
    <s v="9"/>
    <d v="2025-09-04T00:00:00"/>
    <s v="1800012713"/>
    <x v="4"/>
    <x v="15"/>
    <d v="2025-09-09T00:00:00"/>
    <s v="NA"/>
    <s v="256779417347"/>
    <s v="212100"/>
    <s v="Trade Debtors (Ctrl)"/>
    <s v=""/>
    <s v="01"/>
    <s v="INR"/>
    <n v="35000"/>
    <x v="0"/>
    <n v="35000"/>
    <s v="O0"/>
    <s v="6779224500"/>
    <s v=""/>
    <s v="2097261"/>
    <s v="1"/>
    <s v="Fixed Storage Charges for September 2025"/>
    <s v=""/>
    <s v=""/>
    <s v=""/>
    <d v="2025-09-04T00:00:00"/>
    <m/>
    <s v=""/>
  </r>
  <r>
    <s v="Not Selected"/>
    <s v="6779"/>
    <s v="100222372"/>
    <s v="SHAH TC GLOBAL EXIM LLP"/>
    <s v="2025"/>
    <s v="11"/>
    <d v="2025-11-05T00:00:00"/>
    <s v="1800014236"/>
    <x v="4"/>
    <x v="16"/>
    <d v="2025-11-05T00:00:00"/>
    <s v="NA"/>
    <s v="256779418776"/>
    <s v="212100"/>
    <s v="Trade Debtors (Ctrl)"/>
    <s v=""/>
    <s v="01"/>
    <s v="INR"/>
    <n v="35000"/>
    <x v="0"/>
    <n v="35000"/>
    <s v="O0"/>
    <s v="6779224500"/>
    <s v=""/>
    <s v="2123158"/>
    <s v="1"/>
    <s v="Fixed Storage Charges for November 2025"/>
    <s v=""/>
    <s v=""/>
    <s v=""/>
    <d v="2025-11-05T00:00:00"/>
    <m/>
    <s v=""/>
  </r>
  <r>
    <s v="Not Selected"/>
    <s v="6779"/>
    <s v="100222372"/>
    <s v="SHAH TC GLOBAL EXIM LLP"/>
    <s v="2025"/>
    <s v="12"/>
    <d v="2025-12-04T00:00:00"/>
    <s v="1800015485"/>
    <x v="4"/>
    <x v="17"/>
    <d v="2025-12-09T00:00:00"/>
    <s v="NA"/>
    <s v="256779419969"/>
    <s v="212100"/>
    <s v="Trade Debtors (Ctrl)"/>
    <s v=""/>
    <s v="01"/>
    <s v="INR"/>
    <n v="35000"/>
    <x v="0"/>
    <n v="35000"/>
    <s v="O0"/>
    <s v="6779224500"/>
    <s v=""/>
    <s v="2139804"/>
    <s v="1"/>
    <s v="Fixed Mangement FEE for December 2025"/>
    <s v=""/>
    <s v=""/>
    <s v=""/>
    <d v="2025-12-04T00:00:00"/>
    <m/>
    <s v=""/>
  </r>
  <r>
    <s v="Not Selected"/>
    <s v="6779"/>
    <s v="100222372"/>
    <s v="SHAH TC GLOBAL EXIM LLP"/>
    <s v="2025"/>
    <s v="8"/>
    <d v="2025-08-21T00:00:00"/>
    <s v="1600002145"/>
    <x v="5"/>
    <x v="4"/>
    <d v="2025-08-21T00:00:00"/>
    <s v="NA"/>
    <s v="256779421709"/>
    <s v="212100"/>
    <s v="Trade Debtors (Ctrl)"/>
    <s v=""/>
    <s v="11"/>
    <s v="INR"/>
    <n v="-200000"/>
    <x v="0"/>
    <n v="-200000"/>
    <s v="O0"/>
    <s v="6779224500"/>
    <s v=""/>
    <s v="NA"/>
    <s v="1"/>
    <s v="CN issued towards D &amp; D"/>
    <s v=""/>
    <s v=""/>
    <s v=""/>
    <d v="2025-08-21T00:00:00"/>
    <m/>
    <s v=""/>
  </r>
  <r>
    <s v="Not Selected"/>
    <s v="6779"/>
    <s v="100222372"/>
    <s v="SHAH TC GLOBAL EXIM LLP"/>
    <s v="2025"/>
    <s v="8"/>
    <d v="2025-08-14T00:00:00"/>
    <s v="1800012258"/>
    <x v="4"/>
    <x v="18"/>
    <d v="2025-08-22T00:00:00"/>
    <s v="NA"/>
    <s v="256779416887"/>
    <s v="212100"/>
    <s v="Trade Debtors (Ctrl)"/>
    <s v=""/>
    <s v="01"/>
    <s v="INR"/>
    <n v="200000"/>
    <x v="0"/>
    <n v="200000"/>
    <s v="O0"/>
    <s v="6779224500"/>
    <s v=""/>
    <s v="NA"/>
    <s v="1"/>
    <s v="DN issued towards D &amp; D 256779421709"/>
    <s v=""/>
    <s v=""/>
    <s v=""/>
    <d v="2025-08-14T00:00:00"/>
    <m/>
    <s v=""/>
  </r>
  <r>
    <s v="Not Selected"/>
    <s v="6779"/>
    <s v="100222372"/>
    <s v="SHAH TC GLOBAL EXIM LLP"/>
    <s v="2025"/>
    <s v="3"/>
    <d v="2025-03-17T00:00:00"/>
    <s v="1800002451"/>
    <x v="4"/>
    <x v="19"/>
    <d v="2025-03-18T00:00:00"/>
    <s v="NA"/>
    <s v="246779412116"/>
    <s v="212100"/>
    <s v="Trade Debtors (Ctrl)"/>
    <s v=""/>
    <s v="01"/>
    <s v="USD"/>
    <n v="100"/>
    <x v="0"/>
    <n v="8669.1299999999992"/>
    <s v="O0"/>
    <s v="6779224500"/>
    <s v=""/>
    <s v="NA"/>
    <s v="1"/>
    <s v="Intra Unit Transfer Charges Month Of December,20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454"/>
    <x v="4"/>
    <x v="19"/>
    <d v="2025-03-18T00:00:00"/>
    <s v="NA"/>
    <s v="246779412119"/>
    <s v="212100"/>
    <s v="Trade Debtors (Ctrl)"/>
    <s v=""/>
    <s v="01"/>
    <s v="USD"/>
    <n v="100"/>
    <x v="0"/>
    <n v="8669.1299999999992"/>
    <s v="O0"/>
    <s v="6779224500"/>
    <s v=""/>
    <s v="NA"/>
    <s v="1"/>
    <s v="Intra Unit Transfer Charges Month Of December,20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456"/>
    <x v="4"/>
    <x v="19"/>
    <d v="2025-03-18T00:00:00"/>
    <s v="NA"/>
    <s v="246779412121"/>
    <s v="212100"/>
    <s v="Trade Debtors (Ctrl)"/>
    <s v=""/>
    <s v="01"/>
    <s v="USD"/>
    <n v="100"/>
    <x v="0"/>
    <n v="8669.1299999999992"/>
    <s v="O0"/>
    <s v="6779224500"/>
    <s v=""/>
    <s v="NA"/>
    <s v="1"/>
    <s v="Intra Unit Transfer Charges Month Of December,2024"/>
    <s v=""/>
    <s v=""/>
    <s v=""/>
    <d v="2025-03-17T00:00:00"/>
    <m/>
    <s v=""/>
  </r>
  <r>
    <s v="Not Selected"/>
    <s v="6779"/>
    <s v="100222372"/>
    <s v="SHAH TC GLOBAL EXIM LLP"/>
    <s v="2025"/>
    <s v="5"/>
    <d v="2025-05-10T00:00:00"/>
    <s v="1800008348"/>
    <x v="4"/>
    <x v="12"/>
    <d v="2025-05-15T00:00:00"/>
    <s v="NA"/>
    <s v="256779413231"/>
    <s v="212100"/>
    <s v="Trade Debtors (Ctrl)"/>
    <s v=""/>
    <s v="01"/>
    <s v="USD"/>
    <n v="100"/>
    <x v="0"/>
    <n v="8598.3700000000008"/>
    <s v="O0"/>
    <s v="6779224500"/>
    <s v=""/>
    <s v="NA"/>
    <s v="1"/>
    <s v="Intra Unit Transfer 16-30 April 25"/>
    <s v=""/>
    <s v=""/>
    <s v=""/>
    <d v="2025-05-10T00:00:00"/>
    <m/>
    <s v=""/>
  </r>
  <r>
    <s v="Not Selected"/>
    <s v="6779"/>
    <s v="100222372"/>
    <s v="SHAH TC GLOBAL EXIM LLP"/>
    <s v="2025"/>
    <s v="5"/>
    <d v="2025-05-20T00:00:00"/>
    <s v="1800009077"/>
    <x v="4"/>
    <x v="20"/>
    <d v="2025-05-28T00:00:00"/>
    <s v="NA"/>
    <s v="256779413841"/>
    <s v="212100"/>
    <s v="Trade Debtors (Ctrl)"/>
    <s v=""/>
    <s v="01"/>
    <s v="USD"/>
    <n v="100"/>
    <x v="0"/>
    <n v="8598.3700000000008"/>
    <s v="O0"/>
    <s v="6779224500"/>
    <s v=""/>
    <s v=""/>
    <s v="1"/>
    <s v="Unit to Unit, 1-15 May 25"/>
    <s v=""/>
    <s v=""/>
    <s v=""/>
    <d v="2025-05-20T00:00:00"/>
    <m/>
    <s v=""/>
  </r>
  <r>
    <s v="Not Selected"/>
    <s v="6779"/>
    <s v="100222372"/>
    <s v="SHAH TC GLOBAL EXIM LLP"/>
    <s v="2025"/>
    <s v="5"/>
    <d v="2025-05-20T00:00:00"/>
    <s v="1800009083"/>
    <x v="4"/>
    <x v="20"/>
    <d v="2025-05-28T00:00:00"/>
    <s v="NA"/>
    <s v="256779413847"/>
    <s v="212100"/>
    <s v="Trade Debtors (Ctrl)"/>
    <s v=""/>
    <s v="01"/>
    <s v="USD"/>
    <n v="100"/>
    <x v="0"/>
    <n v="8598.3700000000008"/>
    <s v="O0"/>
    <s v="6779224500"/>
    <s v=""/>
    <s v=""/>
    <s v="1"/>
    <s v="Unit to Unit, 1-15 May 25"/>
    <s v=""/>
    <s v=""/>
    <s v=""/>
    <d v="2025-05-20T00:00:00"/>
    <m/>
    <s v=""/>
  </r>
  <r>
    <s v="Not Selected"/>
    <s v="6779"/>
    <s v="100222372"/>
    <s v="SHAH TC GLOBAL EXIM LLP"/>
    <s v="2025"/>
    <s v="5"/>
    <d v="2025-05-20T00:00:00"/>
    <s v="1800009084"/>
    <x v="4"/>
    <x v="20"/>
    <d v="2025-05-28T00:00:00"/>
    <s v="NA"/>
    <s v="256779413848"/>
    <s v="212100"/>
    <s v="Trade Debtors (Ctrl)"/>
    <s v=""/>
    <s v="01"/>
    <s v="USD"/>
    <n v="100"/>
    <x v="0"/>
    <n v="8598.3700000000008"/>
    <s v="O0"/>
    <s v="6779224500"/>
    <s v=""/>
    <s v=""/>
    <s v="1"/>
    <s v="Unit to Unit, 1-15 May 25"/>
    <s v=""/>
    <s v=""/>
    <s v=""/>
    <d v="2025-05-20T00:00:00"/>
    <m/>
    <s v=""/>
  </r>
  <r>
    <s v="Not Selected"/>
    <s v="6779"/>
    <s v="100222372"/>
    <s v="SHAH TC GLOBAL EXIM LLP"/>
    <s v="2025"/>
    <s v="7"/>
    <d v="2025-07-25T00:00:00"/>
    <s v="1800011280"/>
    <x v="4"/>
    <x v="21"/>
    <d v="2025-07-25T00:00:00"/>
    <s v="NA"/>
    <s v="256779416012"/>
    <s v="212100"/>
    <s v="Trade Debtors (Ctrl)"/>
    <s v=""/>
    <s v="01"/>
    <s v="USD"/>
    <n v="100"/>
    <x v="0"/>
    <n v="8600.07"/>
    <s v="O0"/>
    <s v="6779224500"/>
    <s v=""/>
    <s v=""/>
    <s v="1"/>
    <s v="Unit to Unit 16-31 May 25"/>
    <s v=""/>
    <s v=""/>
    <s v=""/>
    <d v="2025-07-25T00:00:00"/>
    <m/>
    <s v=""/>
  </r>
  <r>
    <s v="Selected"/>
    <s v="6779"/>
    <s v="100222372"/>
    <s v="SHAH TC GLOBAL EXIM LLP"/>
    <s v="2025"/>
    <s v="3"/>
    <d v="2025-03-14T00:00:00"/>
    <s v="1800001850"/>
    <x v="4"/>
    <x v="22"/>
    <d v="2025-03-17T00:00:00"/>
    <s v="NA"/>
    <s v="246779411515"/>
    <s v="212100"/>
    <s v="Trade Debtors (Ctrl)"/>
    <s v=""/>
    <s v="01"/>
    <s v="USD"/>
    <n v="100"/>
    <x v="0"/>
    <n v="8669.1299999999992"/>
    <s v="O0"/>
    <s v="6779224500"/>
    <s v=""/>
    <s v="NA"/>
    <s v="1"/>
    <s v="Intra Unit Transfer Charges Month Of August,2024"/>
    <s v=""/>
    <s v=""/>
    <s v=""/>
    <d v="2025-03-14T00:00:00"/>
    <d v="2025-08-18T00:00:00"/>
    <s v="1400000854"/>
  </r>
  <r>
    <s v="Selected"/>
    <s v="6779"/>
    <s v="100222372"/>
    <s v="SHAH TC GLOBAL EXIM LLP"/>
    <s v="2025"/>
    <s v="6"/>
    <d v="2025-06-19T00:00:00"/>
    <s v="1800009967"/>
    <x v="4"/>
    <x v="23"/>
    <d v="2025-06-21T00:00:00"/>
    <s v="NA"/>
    <s v="256779414731"/>
    <s v="212100"/>
    <s v="Trade Debtors (Ctrl)"/>
    <s v=""/>
    <s v="01"/>
    <s v="USD"/>
    <n v="100"/>
    <x v="0"/>
    <n v="8549.08"/>
    <s v="O0"/>
    <s v="6779224500"/>
    <s v=""/>
    <s v="NA"/>
    <s v="1"/>
    <s v="Unit to Unit 1-15 June 25"/>
    <s v=""/>
    <s v=""/>
    <s v=""/>
    <d v="2025-06-19T00:00:00"/>
    <d v="2025-08-19T00:00:00"/>
    <s v="1400000864"/>
  </r>
  <r>
    <s v="Selected"/>
    <s v="6779"/>
    <s v="100222372"/>
    <s v="SHAH TC GLOBAL EXIM LLP"/>
    <s v="2025"/>
    <s v="6"/>
    <d v="2025-06-19T00:00:00"/>
    <s v="1800009968"/>
    <x v="4"/>
    <x v="23"/>
    <d v="2025-06-21T00:00:00"/>
    <s v="NA"/>
    <s v="256779414732"/>
    <s v="212100"/>
    <s v="Trade Debtors (Ctrl)"/>
    <s v=""/>
    <s v="01"/>
    <s v="USD"/>
    <n v="100"/>
    <x v="0"/>
    <n v="8549.08"/>
    <s v="O0"/>
    <s v="6779224500"/>
    <s v=""/>
    <s v="NA"/>
    <s v="1"/>
    <s v="Unit to Unit 1-15 June 25"/>
    <s v=""/>
    <s v=""/>
    <s v=""/>
    <d v="2025-06-19T00:00:00"/>
    <d v="2025-08-19T00:00:00"/>
    <s v="1400000864"/>
  </r>
  <r>
    <s v="Selected"/>
    <s v="6779"/>
    <s v="100222372"/>
    <s v="SHAH TC GLOBAL EXIM LLP"/>
    <s v="2025"/>
    <s v="6"/>
    <d v="2025-06-19T00:00:00"/>
    <s v="1800009969"/>
    <x v="4"/>
    <x v="23"/>
    <d v="2025-06-21T00:00:00"/>
    <s v="NA"/>
    <s v="256779414733"/>
    <s v="212100"/>
    <s v="Trade Debtors (Ctrl)"/>
    <s v=""/>
    <s v="01"/>
    <s v="USD"/>
    <n v="100"/>
    <x v="0"/>
    <n v="8549.08"/>
    <s v="O0"/>
    <s v="6779224500"/>
    <s v=""/>
    <s v="NA"/>
    <s v="1"/>
    <s v="Unit to Unit 1-15 June 25"/>
    <s v=""/>
    <s v=""/>
    <s v=""/>
    <d v="2025-06-19T00:00:00"/>
    <d v="2025-08-19T00:00:00"/>
    <s v="1400000864"/>
  </r>
  <r>
    <s v="Selected"/>
    <s v="6779"/>
    <s v="100222372"/>
    <s v="SHAH TC GLOBAL EXIM LLP"/>
    <s v="2025"/>
    <s v="6"/>
    <d v="2025-06-19T00:00:00"/>
    <s v="1800009970"/>
    <x v="4"/>
    <x v="23"/>
    <d v="2025-06-21T00:00:00"/>
    <s v="NA"/>
    <s v="256779414734"/>
    <s v="212100"/>
    <s v="Trade Debtors (Ctrl)"/>
    <s v=""/>
    <s v="01"/>
    <s v="USD"/>
    <n v="100"/>
    <x v="0"/>
    <n v="8549.08"/>
    <s v="O0"/>
    <s v="6779224500"/>
    <s v=""/>
    <s v="NA"/>
    <s v="1"/>
    <s v="Unit to Unit 1-15 June 25"/>
    <s v=""/>
    <s v=""/>
    <s v=""/>
    <d v="2025-06-19T00:00:00"/>
    <d v="2025-08-19T00:00:00"/>
    <s v="1400000864"/>
  </r>
  <r>
    <s v="Selected"/>
    <s v="6779"/>
    <s v="100222372"/>
    <s v="SHAH TC GLOBAL EXIM LLP"/>
    <s v="2025"/>
    <s v="6"/>
    <d v="2025-06-19T00:00:00"/>
    <s v="1800009971"/>
    <x v="4"/>
    <x v="23"/>
    <d v="2025-06-21T00:00:00"/>
    <s v="NA"/>
    <s v="256779414735"/>
    <s v="212100"/>
    <s v="Trade Debtors (Ctrl)"/>
    <s v=""/>
    <s v="01"/>
    <s v="USD"/>
    <n v="100"/>
    <x v="0"/>
    <n v="8549.08"/>
    <s v="O0"/>
    <s v="6779224500"/>
    <s v=""/>
    <s v="NA"/>
    <s v="1"/>
    <s v="Unit to Unit 1-15 June 25"/>
    <s v=""/>
    <s v=""/>
    <s v=""/>
    <d v="2025-06-19T00:00:00"/>
    <d v="2025-08-19T00:00:00"/>
    <s v="1400000864"/>
  </r>
  <r>
    <s v="Not Selected"/>
    <s v="6779"/>
    <s v="100222372"/>
    <s v="SHAH TC GLOBAL EXIM LLP"/>
    <s v="2025"/>
    <s v="9"/>
    <d v="2025-09-17T00:00:00"/>
    <s v="1800012780"/>
    <x v="4"/>
    <x v="24"/>
    <d v="2025-09-22T00:00:00"/>
    <s v="NA"/>
    <s v="256779417434"/>
    <s v="212100"/>
    <s v="Trade Debtors (Ctrl)"/>
    <s v=""/>
    <s v="01"/>
    <s v="USD"/>
    <n v="100"/>
    <x v="0"/>
    <n v="8751.43"/>
    <s v="O0"/>
    <s v="6779224500"/>
    <s v=""/>
    <s v="2102531"/>
    <s v="1"/>
    <s v="Intra SEZ -1-15 Sept-25"/>
    <s v=""/>
    <s v=""/>
    <s v=""/>
    <d v="2025-09-17T00:00:00"/>
    <m/>
    <s v=""/>
  </r>
  <r>
    <s v="Not Selected"/>
    <s v="6779"/>
    <s v="100222372"/>
    <s v="SHAH TC GLOBAL EXIM LLP"/>
    <s v="2025"/>
    <s v="10"/>
    <d v="2025-10-07T00:00:00"/>
    <s v="1800013748"/>
    <x v="4"/>
    <x v="25"/>
    <d v="2025-10-09T00:00:00"/>
    <s v="NA"/>
    <s v="256779418169"/>
    <s v="212100"/>
    <s v="Trade Debtors (Ctrl)"/>
    <s v=""/>
    <s v="01"/>
    <s v="USD"/>
    <n v="100"/>
    <x v="0"/>
    <n v="8819.08"/>
    <s v="O0"/>
    <s v="6779224500"/>
    <s v=""/>
    <s v="2110802"/>
    <s v="1"/>
    <s v="Intra - SEZ-16-30 Sept 25"/>
    <s v=""/>
    <s v=""/>
    <s v=""/>
    <d v="2025-10-07T00:00:00"/>
    <m/>
    <s v=""/>
  </r>
  <r>
    <s v="Not Selected"/>
    <s v="6779"/>
    <s v="100222372"/>
    <s v="SHAH TC GLOBAL EXIM LLP"/>
    <s v="2025"/>
    <s v="10"/>
    <d v="2025-10-07T00:00:00"/>
    <s v="1800013749"/>
    <x v="4"/>
    <x v="25"/>
    <d v="2025-10-09T00:00:00"/>
    <s v="NA"/>
    <s v="256779418170"/>
    <s v="212100"/>
    <s v="Trade Debtors (Ctrl)"/>
    <s v=""/>
    <s v="01"/>
    <s v="USD"/>
    <n v="100"/>
    <x v="0"/>
    <n v="8819.08"/>
    <s v="O0"/>
    <s v="6779224500"/>
    <s v=""/>
    <s v="2110802"/>
    <s v="1"/>
    <s v="Intra - SEZ-16-30 Sept 25"/>
    <s v=""/>
    <s v=""/>
    <s v=""/>
    <d v="2025-10-07T00:00:00"/>
    <m/>
    <s v=""/>
  </r>
  <r>
    <s v="Not Selected"/>
    <s v="6779"/>
    <s v="100222372"/>
    <s v="SHAH TC GLOBAL EXIM LLP"/>
    <s v="2025"/>
    <s v="2"/>
    <d v="2025-02-28T00:00:00"/>
    <s v="1800000374"/>
    <x v="4"/>
    <x v="26"/>
    <d v="2025-02-28T00:00:00"/>
    <s v="NA"/>
    <s v="246779410343"/>
    <s v="212100"/>
    <s v="Trade Debtors (Ctrl)"/>
    <s v=""/>
    <s v="01"/>
    <s v="USD"/>
    <n v="1700"/>
    <x v="0"/>
    <n v="146716.22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72"/>
    <s v="SHAH TC GLOBAL EXIM LLP"/>
    <s v="2025"/>
    <s v="2"/>
    <d v="2025-02-28T00:00:00"/>
    <s v="1800000381"/>
    <x v="4"/>
    <x v="26"/>
    <d v="2025-02-28T00:00:00"/>
    <s v="NA"/>
    <s v="246779410350"/>
    <s v="212100"/>
    <s v="Trade Debtors (Ctrl)"/>
    <s v=""/>
    <s v="01"/>
    <s v="USD"/>
    <n v="1750"/>
    <x v="0"/>
    <n v="151031.41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72"/>
    <s v="SHAH TC GLOBAL EXIM LLP"/>
    <s v="2025"/>
    <s v="2"/>
    <d v="2025-02-28T00:00:00"/>
    <s v="1800000387"/>
    <x v="4"/>
    <x v="26"/>
    <d v="2025-02-28T00:00:00"/>
    <s v="NA"/>
    <s v="246779410356"/>
    <s v="212100"/>
    <s v="Trade Debtors (Ctrl)"/>
    <s v=""/>
    <s v="01"/>
    <s v="USD"/>
    <n v="1750"/>
    <x v="0"/>
    <n v="151031.41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72"/>
    <s v="SHAH TC GLOBAL EXIM LLP"/>
    <s v="2025"/>
    <s v="2"/>
    <d v="2025-02-28T00:00:00"/>
    <s v="1800000393"/>
    <x v="4"/>
    <x v="26"/>
    <d v="2025-02-28T00:00:00"/>
    <s v="NA"/>
    <s v="246779410362"/>
    <s v="212100"/>
    <s v="Trade Debtors (Ctrl)"/>
    <s v=""/>
    <s v="01"/>
    <s v="USD"/>
    <n v="1700"/>
    <x v="0"/>
    <n v="146716.22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72"/>
    <s v="SHAH TC GLOBAL EXIM LLP"/>
    <s v="2025"/>
    <s v="3"/>
    <d v="2025-03-06T00:00:00"/>
    <s v="1800000931"/>
    <x v="4"/>
    <x v="27"/>
    <d v="2025-03-06T00:00:00"/>
    <s v="NA"/>
    <s v="246779410871"/>
    <s v="212100"/>
    <s v="Trade Debtors (Ctrl)"/>
    <s v=""/>
    <s v="01"/>
    <s v="USD"/>
    <n v="42.51"/>
    <x v="0"/>
    <n v="3685.25"/>
    <s v="O0"/>
    <s v="6779224500"/>
    <s v=""/>
    <s v="NA"/>
    <s v="1"/>
    <s v="Storage Charges for the month of November, 2024 Ex"/>
    <s v=""/>
    <s v=""/>
    <s v=""/>
    <d v="2025-03-06T00:00:00"/>
    <m/>
    <s v=""/>
  </r>
  <r>
    <s v="Not Selected"/>
    <s v="6779"/>
    <s v="100222372"/>
    <s v="SHAH TC GLOBAL EXIM LLP"/>
    <s v="2025"/>
    <s v="3"/>
    <d v="2025-03-06T00:00:00"/>
    <s v="1800000953"/>
    <x v="4"/>
    <x v="27"/>
    <d v="2025-03-06T00:00:00"/>
    <s v="NA"/>
    <s v="246779410893"/>
    <s v="212100"/>
    <s v="Trade Debtors (Ctrl)"/>
    <s v=""/>
    <s v="01"/>
    <s v="USD"/>
    <n v="177.18"/>
    <x v="0"/>
    <n v="15359.96"/>
    <s v="O0"/>
    <s v="6779224500"/>
    <s v=""/>
    <s v="NA"/>
    <s v="1"/>
    <s v="Storage Charges for the month of December, 2024 Ex"/>
    <s v=""/>
    <s v=""/>
    <s v=""/>
    <d v="2025-03-06T00:00:00"/>
    <m/>
    <s v=""/>
  </r>
  <r>
    <s v="Not Selected"/>
    <s v="6779"/>
    <s v="100222372"/>
    <s v="SHAH TC GLOBAL EXIM LLP"/>
    <s v="2025"/>
    <s v="10"/>
    <d v="2025-10-13T00:00:00"/>
    <s v="1600002439"/>
    <x v="5"/>
    <x v="28"/>
    <d v="2025-10-14T00:00:00"/>
    <s v="NA"/>
    <s v="256779421983"/>
    <s v="212100"/>
    <s v="Trade Debtors (Ctrl)"/>
    <s v=""/>
    <s v="11"/>
    <s v="USD"/>
    <n v="-930.14"/>
    <x v="0"/>
    <n v="-82029.759999999995"/>
    <s v="O0"/>
    <s v="6779224500"/>
    <s v=""/>
    <s v="2112591"/>
    <s v="1"/>
    <s v="CN issued against 256779418011"/>
    <s v=""/>
    <s v=""/>
    <s v=""/>
    <d v="2025-10-13T00:00:00"/>
    <m/>
    <s v=""/>
  </r>
  <r>
    <s v="Not Selected"/>
    <s v="6779"/>
    <s v="100222372"/>
    <s v="SHAH TC GLOBAL EXIM LLP"/>
    <s v="2025"/>
    <s v="3"/>
    <d v="2025-03-03T00:00:00"/>
    <s v="1800000414"/>
    <x v="4"/>
    <x v="29"/>
    <d v="2025-03-03T00:00:00"/>
    <s v="NA"/>
    <s v="246779410376"/>
    <s v="212100"/>
    <s v="Trade Debtors (Ctrl)"/>
    <s v=""/>
    <s v="01"/>
    <s v="USD"/>
    <n v="711.35"/>
    <x v="0"/>
    <n v="61667.83"/>
    <s v="O0"/>
    <s v="6779224500"/>
    <s v=""/>
    <s v="NA"/>
    <s v="1"/>
    <s v="Storage Charges for the month of August, 2024"/>
    <s v=""/>
    <s v=""/>
    <s v=""/>
    <d v="2025-03-03T00:00:00"/>
    <m/>
    <s v=""/>
  </r>
  <r>
    <s v="Not Selected"/>
    <s v="6779"/>
    <s v="100222372"/>
    <s v="SHAH TC GLOBAL EXIM LLP"/>
    <s v="2025"/>
    <s v="3"/>
    <d v="2025-03-03T00:00:00"/>
    <s v="1800000439"/>
    <x v="4"/>
    <x v="29"/>
    <d v="2025-03-03T00:00:00"/>
    <s v="NA"/>
    <s v="246779410401"/>
    <s v="212100"/>
    <s v="Trade Debtors (Ctrl)"/>
    <s v=""/>
    <s v="01"/>
    <s v="USD"/>
    <n v="1298.96"/>
    <x v="0"/>
    <n v="112608.48"/>
    <s v="O0"/>
    <s v="6779224500"/>
    <s v=""/>
    <s v="NA"/>
    <s v="1"/>
    <s v="Storage  for the month of Sept  2024"/>
    <s v=""/>
    <s v=""/>
    <s v=""/>
    <d v="2025-03-03T00:00:00"/>
    <m/>
    <s v=""/>
  </r>
  <r>
    <s v="Not Selected"/>
    <s v="6779"/>
    <s v="100222372"/>
    <s v="SHAH TC GLOBAL EXIM LLP"/>
    <s v="2025"/>
    <s v="3"/>
    <d v="2025-03-03T00:00:00"/>
    <s v="1800000463"/>
    <x v="4"/>
    <x v="29"/>
    <d v="2025-03-03T00:00:00"/>
    <s v="NA"/>
    <s v="246779410425"/>
    <s v="212100"/>
    <s v="Trade Debtors (Ctrl)"/>
    <s v=""/>
    <s v="01"/>
    <s v="USD"/>
    <n v="1687.21"/>
    <x v="0"/>
    <n v="146266.35999999999"/>
    <s v="O0"/>
    <s v="6779224500"/>
    <s v=""/>
    <s v="NA"/>
    <s v="1"/>
    <s v="Storage for the month of Oct 2024"/>
    <s v=""/>
    <s v=""/>
    <s v=""/>
    <d v="2025-03-03T00:00:00"/>
    <m/>
    <s v=""/>
  </r>
  <r>
    <s v="Not Selected"/>
    <s v="6779"/>
    <s v="100222372"/>
    <s v="SHAH TC GLOBAL EXIM LLP"/>
    <s v="2025"/>
    <s v="3"/>
    <d v="2025-03-17T00:00:00"/>
    <s v="1800001956"/>
    <x v="4"/>
    <x v="19"/>
    <d v="2025-03-17T00:00:00"/>
    <s v="NA"/>
    <s v="246779411621"/>
    <s v="212100"/>
    <s v="Trade Debtors (Ctrl)"/>
    <s v=""/>
    <s v="01"/>
    <s v="USD"/>
    <n v="444.04"/>
    <x v="0"/>
    <n v="38494.39"/>
    <s v="O0"/>
    <s v="6779224500"/>
    <s v=""/>
    <s v="NA"/>
    <s v="1"/>
    <s v="VAS Activity Charges for the month of September, 2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095"/>
    <x v="4"/>
    <x v="19"/>
    <d v="2025-03-18T00:00:00"/>
    <s v="NA"/>
    <s v="246779411760"/>
    <s v="212100"/>
    <s v="Trade Debtors (Ctrl)"/>
    <s v=""/>
    <s v="01"/>
    <s v="USD"/>
    <n v="520.16999999999996"/>
    <x v="0"/>
    <n v="45094.19"/>
    <s v="O0"/>
    <s v="6779224500"/>
    <s v=""/>
    <s v="NA"/>
    <s v="1"/>
    <s v="VAS Activity Charges for the month of October, 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401"/>
    <x v="4"/>
    <x v="19"/>
    <d v="2025-03-18T00:00:00"/>
    <s v="NA"/>
    <s v="246779412066"/>
    <s v="212100"/>
    <s v="Trade Debtors (Ctrl)"/>
    <s v=""/>
    <s v="01"/>
    <s v="USD"/>
    <n v="66.5"/>
    <x v="0"/>
    <n v="5764.97"/>
    <s v="O0"/>
    <s v="6779224500"/>
    <s v=""/>
    <s v="NA"/>
    <s v="1"/>
    <s v="VAS Activity Charges for the month of December, 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272"/>
    <x v="4"/>
    <x v="19"/>
    <d v="2025-03-18T00:00:00"/>
    <s v="NA"/>
    <s v="246779411937"/>
    <s v="212100"/>
    <s v="Trade Debtors (Ctrl)"/>
    <s v=""/>
    <s v="01"/>
    <s v="USD"/>
    <n v="7.27"/>
    <x v="0"/>
    <n v="630.25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273"/>
    <x v="4"/>
    <x v="19"/>
    <d v="2025-03-18T00:00:00"/>
    <s v="NA"/>
    <s v="246779411938"/>
    <s v="212100"/>
    <s v="Trade Debtors (Ctrl)"/>
    <s v=""/>
    <s v="01"/>
    <s v="USD"/>
    <n v="53.26"/>
    <x v="0"/>
    <n v="4617.18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274"/>
    <x v="4"/>
    <x v="19"/>
    <d v="2025-03-18T00:00:00"/>
    <s v="NA"/>
    <s v="246779411939"/>
    <s v="212100"/>
    <s v="Trade Debtors (Ctrl)"/>
    <s v=""/>
    <s v="01"/>
    <s v="USD"/>
    <n v="23.08"/>
    <x v="0"/>
    <n v="2000.83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275"/>
    <x v="4"/>
    <x v="19"/>
    <d v="2025-03-18T00:00:00"/>
    <s v="NA"/>
    <s v="246779411940"/>
    <s v="212100"/>
    <s v="Trade Debtors (Ctrl)"/>
    <s v=""/>
    <s v="01"/>
    <s v="USD"/>
    <n v="52.73"/>
    <x v="0"/>
    <n v="4571.2299999999996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72"/>
    <s v="SHAH TC GLOBAL EXIM LLP"/>
    <s v="2025"/>
    <s v="3"/>
    <d v="2025-03-17T00:00:00"/>
    <s v="1800002276"/>
    <x v="4"/>
    <x v="19"/>
    <d v="2025-03-18T00:00:00"/>
    <s v="NA"/>
    <s v="246779411941"/>
    <s v="212100"/>
    <s v="Trade Debtors (Ctrl)"/>
    <s v=""/>
    <s v="01"/>
    <s v="USD"/>
    <n v="76.02"/>
    <x v="0"/>
    <n v="6590.27"/>
    <s v="O0"/>
    <s v="6779224500"/>
    <s v=""/>
    <s v="NA"/>
    <s v="1"/>
    <s v="VAS Activity Charges for the month of November, 24"/>
    <s v=""/>
    <s v=""/>
    <s v=""/>
    <d v="2025-03-17T00:00:00"/>
    <m/>
    <s v=""/>
  </r>
  <r>
    <s v="Selected"/>
    <s v="6779"/>
    <s v="100222372"/>
    <s v="SHAH TC GLOBAL EXIM LLP"/>
    <s v="2025"/>
    <s v="4"/>
    <d v="2025-04-15T00:00:00"/>
    <s v="1800006261"/>
    <x v="4"/>
    <x v="30"/>
    <d v="2025-04-16T00:00:00"/>
    <s v="NA"/>
    <s v="256779411152"/>
    <s v="212100"/>
    <s v="Trade Debtors (Ctrl)"/>
    <s v=""/>
    <s v="01"/>
    <s v="USD"/>
    <n v="164.38"/>
    <x v="0"/>
    <n v="14288.21"/>
    <s v="O0"/>
    <s v=""/>
    <s v=""/>
    <s v="NA"/>
    <s v="1"/>
    <s v="Empty Transportation August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262"/>
    <x v="4"/>
    <x v="30"/>
    <d v="2025-04-16T00:00:00"/>
    <s v="NA"/>
    <s v="256779411153"/>
    <s v="212100"/>
    <s v="Trade Debtors (Ctrl)"/>
    <s v=""/>
    <s v="01"/>
    <s v="USD"/>
    <n v="26.54"/>
    <x v="0"/>
    <n v="2306.91"/>
    <s v="O0"/>
    <s v=""/>
    <s v=""/>
    <s v="NA"/>
    <s v="1"/>
    <s v="LCL Charges August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263"/>
    <x v="4"/>
    <x v="30"/>
    <d v="2025-04-16T00:00:00"/>
    <s v="NA"/>
    <s v="256779411154"/>
    <s v="212100"/>
    <s v="Trade Debtors (Ctrl)"/>
    <s v=""/>
    <s v="01"/>
    <s v="USD"/>
    <n v="84.26"/>
    <x v="0"/>
    <n v="7324.03"/>
    <s v="O0"/>
    <s v=""/>
    <s v=""/>
    <s v="NA"/>
    <s v="1"/>
    <s v="LCL Charges August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264"/>
    <x v="4"/>
    <x v="30"/>
    <d v="2025-04-16T00:00:00"/>
    <s v="NA"/>
    <s v="256779411155"/>
    <s v="212100"/>
    <s v="Trade Debtors (Ctrl)"/>
    <s v=""/>
    <s v="01"/>
    <s v="USD"/>
    <n v="36.9"/>
    <x v="0"/>
    <n v="3207.42"/>
    <s v="O0"/>
    <s v=""/>
    <s v=""/>
    <s v="NA"/>
    <s v="1"/>
    <s v="Inbound Handling for August 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265"/>
    <x v="4"/>
    <x v="30"/>
    <d v="2025-04-16T00:00:00"/>
    <s v="NA"/>
    <s v="256779411156"/>
    <s v="212100"/>
    <s v="Trade Debtors (Ctrl)"/>
    <s v=""/>
    <s v="01"/>
    <s v="USD"/>
    <n v="20.23"/>
    <x v="0"/>
    <n v="1758.43"/>
    <s v="O0"/>
    <s v=""/>
    <s v=""/>
    <s v="NA"/>
    <s v="1"/>
    <s v="Inbound Handling for August 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266"/>
    <x v="4"/>
    <x v="30"/>
    <d v="2025-04-16T00:00:00"/>
    <s v="NA"/>
    <s v="256779411157"/>
    <s v="212100"/>
    <s v="Trade Debtors (Ctrl)"/>
    <s v=""/>
    <s v="01"/>
    <s v="USD"/>
    <n v="116.32"/>
    <x v="0"/>
    <n v="10110.75"/>
    <s v="O0"/>
    <s v=""/>
    <s v=""/>
    <s v="NA"/>
    <s v="1"/>
    <s v="Inbound Handling for August 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74"/>
    <x v="4"/>
    <x v="30"/>
    <d v="2025-04-16T00:00:00"/>
    <s v="NA"/>
    <s v="256779411565"/>
    <s v="212100"/>
    <s v="Trade Debtors (Ctrl)"/>
    <s v=""/>
    <s v="01"/>
    <s v="USD"/>
    <n v="22"/>
    <x v="0"/>
    <n v="1912.28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75"/>
    <x v="4"/>
    <x v="30"/>
    <d v="2025-04-16T00:00:00"/>
    <s v="NA"/>
    <s v="256779411566"/>
    <s v="212100"/>
    <s v="Trade Debtors (Ctrl)"/>
    <s v=""/>
    <s v="01"/>
    <s v="USD"/>
    <n v="4.4000000000000004"/>
    <x v="0"/>
    <n v="382.46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76"/>
    <x v="4"/>
    <x v="30"/>
    <d v="2025-04-16T00:00:00"/>
    <s v="NA"/>
    <s v="256779411567"/>
    <s v="212100"/>
    <s v="Trade Debtors (Ctrl)"/>
    <s v=""/>
    <s v="01"/>
    <s v="USD"/>
    <n v="5.84"/>
    <x v="0"/>
    <n v="507.62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77"/>
    <x v="4"/>
    <x v="30"/>
    <d v="2025-04-16T00:00:00"/>
    <s v="NA"/>
    <s v="256779411568"/>
    <s v="212100"/>
    <s v="Trade Debtors (Ctrl)"/>
    <s v=""/>
    <s v="01"/>
    <s v="USD"/>
    <n v="0.8"/>
    <x v="0"/>
    <n v="69.540000000000006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78"/>
    <x v="4"/>
    <x v="30"/>
    <d v="2025-04-16T00:00:00"/>
    <s v="NA"/>
    <s v="256779411569"/>
    <s v="212100"/>
    <s v="Trade Debtors (Ctrl)"/>
    <s v=""/>
    <s v="01"/>
    <s v="USD"/>
    <n v="13.85"/>
    <x v="0"/>
    <n v="1203.8699999999999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79"/>
    <x v="4"/>
    <x v="30"/>
    <d v="2025-04-16T00:00:00"/>
    <s v="NA"/>
    <s v="256779411570"/>
    <s v="212100"/>
    <s v="Trade Debtors (Ctrl)"/>
    <s v=""/>
    <s v="01"/>
    <s v="USD"/>
    <n v="18.149999999999999"/>
    <x v="0"/>
    <n v="1577.63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0"/>
    <x v="4"/>
    <x v="30"/>
    <d v="2025-04-16T00:00:00"/>
    <s v="NA"/>
    <s v="256779411571"/>
    <s v="212100"/>
    <s v="Trade Debtors (Ctrl)"/>
    <s v=""/>
    <s v="01"/>
    <s v="USD"/>
    <n v="21.36"/>
    <x v="0"/>
    <n v="1856.65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1"/>
    <x v="4"/>
    <x v="30"/>
    <d v="2025-04-16T00:00:00"/>
    <s v="NA"/>
    <s v="256779411572"/>
    <s v="212100"/>
    <s v="Trade Debtors (Ctrl)"/>
    <s v=""/>
    <s v="01"/>
    <s v="USD"/>
    <n v="1.97"/>
    <x v="0"/>
    <n v="171.24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2"/>
    <x v="4"/>
    <x v="30"/>
    <d v="2025-04-16T00:00:00"/>
    <s v="NA"/>
    <s v="256779411573"/>
    <s v="212100"/>
    <s v="Trade Debtors (Ctrl)"/>
    <s v=""/>
    <s v="01"/>
    <s v="USD"/>
    <n v="24.21"/>
    <x v="0"/>
    <n v="2104.38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3"/>
    <x v="4"/>
    <x v="30"/>
    <d v="2025-04-16T00:00:00"/>
    <s v="NA"/>
    <s v="256779411574"/>
    <s v="212100"/>
    <s v="Trade Debtors (Ctrl)"/>
    <s v=""/>
    <s v="01"/>
    <s v="USD"/>
    <n v="14.7"/>
    <x v="0"/>
    <n v="1277.75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4"/>
    <x v="4"/>
    <x v="30"/>
    <d v="2025-04-16T00:00:00"/>
    <s v="NA"/>
    <s v="256779411575"/>
    <s v="212100"/>
    <s v="Trade Debtors (Ctrl)"/>
    <s v=""/>
    <s v="01"/>
    <s v="USD"/>
    <n v="22.35"/>
    <x v="0"/>
    <n v="1942.7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5"/>
    <x v="4"/>
    <x v="30"/>
    <d v="2025-04-16T00:00:00"/>
    <s v="NA"/>
    <s v="256779411576"/>
    <s v="212100"/>
    <s v="Trade Debtors (Ctrl)"/>
    <s v=""/>
    <s v="01"/>
    <s v="USD"/>
    <n v="21.52"/>
    <x v="0"/>
    <n v="1870.56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6"/>
    <x v="4"/>
    <x v="30"/>
    <d v="2025-04-16T00:00:00"/>
    <s v="NA"/>
    <s v="256779411577"/>
    <s v="212100"/>
    <s v="Trade Debtors (Ctrl)"/>
    <s v=""/>
    <s v="01"/>
    <s v="USD"/>
    <n v="1.54"/>
    <x v="0"/>
    <n v="133.86000000000001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7"/>
    <x v="4"/>
    <x v="30"/>
    <d v="2025-04-16T00:00:00"/>
    <s v="NA"/>
    <s v="256779411578"/>
    <s v="212100"/>
    <s v="Trade Debtors (Ctrl)"/>
    <s v=""/>
    <s v="01"/>
    <s v="USD"/>
    <n v="7.19"/>
    <x v="0"/>
    <n v="624.97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8"/>
    <x v="4"/>
    <x v="30"/>
    <d v="2025-04-16T00:00:00"/>
    <s v="NA"/>
    <s v="256779411579"/>
    <s v="212100"/>
    <s v="Trade Debtors (Ctrl)"/>
    <s v=""/>
    <s v="01"/>
    <s v="USD"/>
    <n v="4.8499999999999996"/>
    <x v="0"/>
    <n v="421.57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89"/>
    <x v="4"/>
    <x v="30"/>
    <d v="2025-04-16T00:00:00"/>
    <s v="NA"/>
    <s v="256779411580"/>
    <s v="212100"/>
    <s v="Trade Debtors (Ctrl)"/>
    <s v=""/>
    <s v="01"/>
    <s v="USD"/>
    <n v="21.76"/>
    <x v="0"/>
    <n v="1891.42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90"/>
    <x v="4"/>
    <x v="30"/>
    <d v="2025-04-16T00:00:00"/>
    <s v="NA"/>
    <s v="256779411581"/>
    <s v="212100"/>
    <s v="Trade Debtors (Ctrl)"/>
    <s v=""/>
    <s v="01"/>
    <s v="USD"/>
    <n v="2.2000000000000002"/>
    <x v="0"/>
    <n v="191.23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91"/>
    <x v="4"/>
    <x v="30"/>
    <d v="2025-04-16T00:00:00"/>
    <s v="NA"/>
    <s v="256779411582"/>
    <s v="212100"/>
    <s v="Trade Debtors (Ctrl)"/>
    <s v=""/>
    <s v="01"/>
    <s v="USD"/>
    <n v="1.1100000000000001"/>
    <x v="0"/>
    <n v="96.48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92"/>
    <x v="4"/>
    <x v="30"/>
    <d v="2025-04-16T00:00:00"/>
    <s v="NA"/>
    <s v="256779411583"/>
    <s v="212100"/>
    <s v="Trade Debtors (Ctrl)"/>
    <s v=""/>
    <s v="01"/>
    <s v="USD"/>
    <n v="11"/>
    <x v="0"/>
    <n v="956.14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93"/>
    <x v="4"/>
    <x v="30"/>
    <d v="2025-04-16T00:00:00"/>
    <s v="NA"/>
    <s v="256779411584"/>
    <s v="212100"/>
    <s v="Trade Debtors (Ctrl)"/>
    <s v=""/>
    <s v="01"/>
    <s v="USD"/>
    <n v="23.21"/>
    <x v="0"/>
    <n v="2017.46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Selected"/>
    <s v="6779"/>
    <s v="100222372"/>
    <s v="SHAH TC GLOBAL EXIM LLP"/>
    <s v="2025"/>
    <s v="4"/>
    <d v="2025-04-15T00:00:00"/>
    <s v="1800006694"/>
    <x v="4"/>
    <x v="30"/>
    <d v="2025-04-16T00:00:00"/>
    <s v="NA"/>
    <s v="256779411585"/>
    <s v="212100"/>
    <s v="Trade Debtors (Ctrl)"/>
    <s v=""/>
    <s v="01"/>
    <s v="USD"/>
    <n v="7.81"/>
    <x v="0"/>
    <n v="678.86"/>
    <s v="O0"/>
    <s v=""/>
    <s v=""/>
    <s v="NA"/>
    <s v="1"/>
    <s v="Outbound Handling Charges Aug 2024"/>
    <s v=""/>
    <s v=""/>
    <s v=""/>
    <d v="2025-04-15T00:00:00"/>
    <d v="2025-08-18T00:00:00"/>
    <s v="1400000854"/>
  </r>
  <r>
    <s v="Not Selected"/>
    <s v="6779"/>
    <s v="100222372"/>
    <s v="SHAH TC GLOBAL EXIM LLP"/>
    <s v="2025"/>
    <s v="10"/>
    <d v="2025-10-17T00:00:00"/>
    <s v="1600002472"/>
    <x v="5"/>
    <x v="31"/>
    <d v="2025-10-23T00:00:00"/>
    <s v="NA"/>
    <s v="256779422014"/>
    <s v="212100"/>
    <s v="Trade Debtors (Ctrl)"/>
    <s v=""/>
    <s v="11"/>
    <s v="USD"/>
    <n v="-136.47999999999999"/>
    <x v="0"/>
    <n v="-12036.28"/>
    <s v="O0"/>
    <s v="6779224500"/>
    <s v=""/>
    <s v="2117487"/>
    <s v="1"/>
    <s v="Credit note raised against 256779418076"/>
    <s v=""/>
    <s v=""/>
    <s v=""/>
    <d v="2025-10-17T00:00:00"/>
    <m/>
    <s v=""/>
  </r>
  <r>
    <s v="Not Selected"/>
    <s v="6779"/>
    <s v="100222372"/>
    <s v="SHAH TC GLOBAL EXIM LLP"/>
    <s v="2025"/>
    <s v="4"/>
    <d v="2025-04-16T00:00:00"/>
    <s v="1800006996"/>
    <x v="4"/>
    <x v="32"/>
    <d v="2025-04-17T00:00:00"/>
    <s v="NA"/>
    <s v="256779411887"/>
    <s v="212100"/>
    <s v="Trade Debtors (Ctrl)"/>
    <s v=""/>
    <s v="01"/>
    <s v="USD"/>
    <n v="71.22"/>
    <x v="0"/>
    <n v="6190.57"/>
    <s v="O0"/>
    <s v="6779224500"/>
    <s v=""/>
    <s v="NA"/>
    <s v="1"/>
    <s v="Outbound Handling charges for Dec 2024"/>
    <s v=""/>
    <s v=""/>
    <s v=""/>
    <d v="2025-04-16T00:00:00"/>
    <m/>
    <s v=""/>
  </r>
  <r>
    <s v="Not Selected"/>
    <s v="6779"/>
    <s v="100222372"/>
    <s v="SHAH TC GLOBAL EXIM LLP"/>
    <s v="2025"/>
    <s v="4"/>
    <d v="2025-04-16T00:00:00"/>
    <s v="1800007093"/>
    <x v="4"/>
    <x v="32"/>
    <d v="2025-04-17T00:00:00"/>
    <s v="NA"/>
    <s v="256779411984"/>
    <s v="212100"/>
    <s v="Trade Debtors (Ctrl)"/>
    <s v=""/>
    <s v="01"/>
    <s v="USD"/>
    <n v="39.54"/>
    <x v="0"/>
    <n v="3436.89"/>
    <s v="O0"/>
    <s v="6779224500"/>
    <s v=""/>
    <s v="NA"/>
    <s v="1"/>
    <s v="CAAU5283880-Port SSR Shifting Mar 2025. Exch rate"/>
    <s v=""/>
    <s v=""/>
    <s v=""/>
    <d v="2025-04-16T00:00:00"/>
    <m/>
    <s v=""/>
  </r>
  <r>
    <s v="Not Selected"/>
    <s v="6779"/>
    <s v="100222372"/>
    <s v="SHAH TC GLOBAL EXIM LLP"/>
    <s v="2025"/>
    <s v="4"/>
    <d v="2025-04-16T00:00:00"/>
    <s v="1800007129"/>
    <x v="4"/>
    <x v="32"/>
    <d v="2025-04-17T00:00:00"/>
    <s v="NA"/>
    <s v="256779412020"/>
    <s v="212100"/>
    <s v="Trade Debtors (Ctrl)"/>
    <s v=""/>
    <s v="01"/>
    <s v="USD"/>
    <n v="85.21"/>
    <x v="0"/>
    <n v="7406.61"/>
    <s v="O0"/>
    <s v="6779224500"/>
    <s v=""/>
    <s v="NA"/>
    <s v="1"/>
    <s v="VAS Activity - Jan 25, Ex Rate. 86.64"/>
    <s v=""/>
    <s v=""/>
    <s v=""/>
    <d v="2025-04-16T00:00:00"/>
    <m/>
    <s v=""/>
  </r>
  <r>
    <s v="Not Selected"/>
    <s v="6779"/>
    <s v="100222372"/>
    <s v="SHAH TC GLOBAL EXIM LLP"/>
    <s v="2025"/>
    <s v="4"/>
    <d v="2025-04-16T00:00:00"/>
    <s v="1800007210"/>
    <x v="4"/>
    <x v="32"/>
    <d v="2025-04-17T00:00:00"/>
    <s v="NA"/>
    <s v="256779412101"/>
    <s v="212100"/>
    <s v="Trade Debtors (Ctrl)"/>
    <s v=""/>
    <s v="01"/>
    <s v="USD"/>
    <n v="171.71"/>
    <x v="0"/>
    <n v="14925.35"/>
    <s v="O0"/>
    <s v="6779224500"/>
    <s v=""/>
    <s v="NA"/>
    <s v="1"/>
    <s v="VAS Activity - Mar 25, 16-31, Ex Rate. 85.58"/>
    <s v=""/>
    <s v=""/>
    <s v=""/>
    <d v="2025-04-16T00:00:00"/>
    <m/>
    <s v=""/>
  </r>
  <r>
    <s v="Not Selected"/>
    <s v="6779"/>
    <s v="100222372"/>
    <s v="SHAH TC GLOBAL EXIM LLP"/>
    <s v="2025"/>
    <s v="4"/>
    <d v="2025-04-16T00:00:00"/>
    <s v="1800007235"/>
    <x v="4"/>
    <x v="32"/>
    <d v="2025-04-17T00:00:00"/>
    <s v="NA"/>
    <s v="256779412126"/>
    <s v="212100"/>
    <s v="Trade Debtors (Ctrl)"/>
    <s v=""/>
    <s v="01"/>
    <s v="USD"/>
    <n v="500.58"/>
    <x v="0"/>
    <n v="43511.32"/>
    <s v="O0"/>
    <s v="6779224500"/>
    <s v=""/>
    <s v="NA"/>
    <s v="1"/>
    <s v="Storage Charges Mar, 25 Exch Rate 85.58"/>
    <s v=""/>
    <s v=""/>
    <s v=""/>
    <d v="2025-04-16T00:00:00"/>
    <m/>
    <s v=""/>
  </r>
  <r>
    <s v="Not Selected"/>
    <s v="6779"/>
    <s v="100222372"/>
    <s v="SHAH TC GLOBAL EXIM LLP"/>
    <s v="2025"/>
    <s v="7"/>
    <d v="2025-07-25T00:00:00"/>
    <s v="1800011264"/>
    <x v="4"/>
    <x v="21"/>
    <d v="2025-07-25T00:00:00"/>
    <s v="NA"/>
    <s v="256779415996"/>
    <s v="212100"/>
    <s v="Trade Debtors (Ctrl)"/>
    <s v=""/>
    <s v="01"/>
    <s v="USD"/>
    <n v="755.58"/>
    <x v="0"/>
    <n v="64980.39"/>
    <s v="O0"/>
    <s v="6779224500"/>
    <s v=""/>
    <s v="NA"/>
    <s v="1"/>
    <s v="VAS 16-31 May 25 Ex.85.48"/>
    <s v=""/>
    <s v=""/>
    <s v=""/>
    <d v="2025-07-25T00:00:00"/>
    <m/>
    <s v=""/>
  </r>
  <r>
    <s v="Selected"/>
    <s v="6779"/>
    <s v="100222372"/>
    <s v="SHAH TC GLOBAL EXIM LLP"/>
    <s v="2025"/>
    <s v="3"/>
    <d v="2025-03-14T00:00:00"/>
    <s v="1800001581"/>
    <x v="4"/>
    <x v="22"/>
    <d v="2025-03-19T00:00:00"/>
    <s v="NA"/>
    <s v="246779412238"/>
    <s v="212100"/>
    <s v="Trade Debtors (Ctrl)"/>
    <s v=""/>
    <s v="01"/>
    <s v="USD"/>
    <n v="945.75"/>
    <x v="0"/>
    <n v="81988.259999999995"/>
    <s v="O0"/>
    <s v="6779224500"/>
    <s v=""/>
    <s v="NA"/>
    <s v="1"/>
    <s v="VAS Activity Charges for the month of August, 24"/>
    <s v=""/>
    <s v=""/>
    <s v=""/>
    <d v="2025-03-14T00:00:00"/>
    <d v="2025-07-04T00:00:00"/>
    <s v="1400000213"/>
  </r>
  <r>
    <s v="Selected"/>
    <s v="6779"/>
    <s v="100222372"/>
    <s v="SHAH TC GLOBAL EXIM LLP"/>
    <s v="2025"/>
    <s v="3"/>
    <d v="2025-03-14T00:00:00"/>
    <s v="1800001784"/>
    <x v="4"/>
    <x v="22"/>
    <d v="2025-03-17T00:00:00"/>
    <s v="NA"/>
    <s v="246779411449"/>
    <s v="212100"/>
    <s v="Trade Debtors (Ctrl)"/>
    <s v=""/>
    <s v="01"/>
    <s v="USD"/>
    <n v="945.75"/>
    <x v="0"/>
    <n v="81988.259999999995"/>
    <s v="O0"/>
    <s v="6779224500"/>
    <s v=""/>
    <s v="NA"/>
    <s v="1"/>
    <s v="VAS Activity Charges for the month of August, 24"/>
    <s v=""/>
    <s v=""/>
    <s v=""/>
    <d v="2025-03-14T00:00:00"/>
    <d v="2025-08-18T00:00:00"/>
    <s v="1400000854"/>
  </r>
  <r>
    <s v="Not Selected"/>
    <s v="6779"/>
    <s v="100222372"/>
    <s v="SHAH TC GLOBAL EXIM LLP"/>
    <s v="2025"/>
    <s v="8"/>
    <d v="2025-08-14T00:00:00"/>
    <s v="1600002155"/>
    <x v="5"/>
    <x v="18"/>
    <d v="2025-08-22T00:00:00"/>
    <s v="NA"/>
    <s v="256779421715"/>
    <s v="212100"/>
    <s v="Trade Debtors (Ctrl)"/>
    <s v=""/>
    <s v="11"/>
    <s v="USD"/>
    <n v="-2324.77"/>
    <x v="0"/>
    <n v="-200000.24"/>
    <s v="O0"/>
    <s v="6779224500"/>
    <s v=""/>
    <s v="NA"/>
    <s v="1"/>
    <s v="CN issued towards D &amp; D"/>
    <s v=""/>
    <s v=""/>
    <s v=""/>
    <d v="2025-08-14T00:00:00"/>
    <m/>
    <s v=""/>
  </r>
  <r>
    <s v="Not Selected"/>
    <s v="6779"/>
    <s v="100222372"/>
    <s v="SHAH TC GLOBAL EXIM LLP"/>
    <s v="2025"/>
    <s v="9"/>
    <d v="2025-09-04T00:00:00"/>
    <s v="1800012461"/>
    <x v="4"/>
    <x v="15"/>
    <d v="2025-09-09T00:00:00"/>
    <s v="NA"/>
    <s v="256779417161"/>
    <s v="212100"/>
    <s v="Trade Debtors (Ctrl)"/>
    <s v=""/>
    <s v="01"/>
    <s v="USD"/>
    <n v="787.95"/>
    <x v="0"/>
    <n v="68956.92"/>
    <s v="O0"/>
    <s v="6779224500"/>
    <s v=""/>
    <s v="NA"/>
    <s v="1"/>
    <s v="VAS -16-31 Aug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559"/>
    <x v="4"/>
    <x v="15"/>
    <d v="2025-09-09T00:00:00"/>
    <s v="NA"/>
    <s v="256779417178"/>
    <s v="212100"/>
    <s v="Trade Debtors (Ctrl)"/>
    <s v=""/>
    <s v="01"/>
    <s v="USD"/>
    <n v="1560"/>
    <x v="0"/>
    <n v="136522.35"/>
    <s v="O0"/>
    <s v="6779224500"/>
    <s v=""/>
    <s v="NA"/>
    <s v="1"/>
    <s v="CY Refer Pluging Chgs - 01 - 31 May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560"/>
    <x v="4"/>
    <x v="15"/>
    <d v="2025-09-09T00:00:00"/>
    <s v="NA"/>
    <s v="256779417179"/>
    <s v="212100"/>
    <s v="Trade Debtors (Ctrl)"/>
    <s v=""/>
    <s v="01"/>
    <s v="USD"/>
    <n v="1560"/>
    <x v="0"/>
    <n v="136522.35"/>
    <s v="O0"/>
    <s v="6779224500"/>
    <s v=""/>
    <s v="NA"/>
    <s v="1"/>
    <s v="CY Refer Pluging Chgs - 01 - 30 Jun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561"/>
    <x v="4"/>
    <x v="15"/>
    <d v="2025-09-09T00:00:00"/>
    <s v="NA"/>
    <s v="256779417180"/>
    <s v="212100"/>
    <s v="Trade Debtors (Ctrl)"/>
    <s v=""/>
    <s v="01"/>
    <s v="USD"/>
    <n v="1799.1"/>
    <x v="0"/>
    <n v="157447.03"/>
    <s v="O0"/>
    <s v="6779224500"/>
    <s v=""/>
    <s v="NA"/>
    <s v="1"/>
    <s v="CY Ground rent Chgs - 01 - 31 July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562"/>
    <x v="4"/>
    <x v="15"/>
    <d v="2025-09-09T00:00:00"/>
    <s v="NA"/>
    <s v="256779417181"/>
    <s v="212100"/>
    <s v="Trade Debtors (Ctrl)"/>
    <s v=""/>
    <s v="01"/>
    <s v="USD"/>
    <n v="1812"/>
    <x v="0"/>
    <n v="158575.97"/>
    <s v="O0"/>
    <s v="6779224500"/>
    <s v=""/>
    <s v="NA"/>
    <s v="1"/>
    <s v="CY Ground rent Chgs - 01 - 31 Aug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619"/>
    <x v="4"/>
    <x v="15"/>
    <d v="2025-09-09T00:00:00"/>
    <s v="NA"/>
    <s v="256779417206"/>
    <s v="212100"/>
    <s v="Trade Debtors (Ctrl)"/>
    <s v=""/>
    <s v="01"/>
    <s v="USD"/>
    <n v="152.28"/>
    <x v="0"/>
    <n v="13326.68"/>
    <s v="O0"/>
    <s v="6779224500"/>
    <s v=""/>
    <s v="NA"/>
    <s v="1"/>
    <s v="Empty Lolo Chgs - 01 - 31 AUG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587"/>
    <x v="4"/>
    <x v="15"/>
    <d v="2025-09-09T00:00:00"/>
    <s v="NA"/>
    <s v="256779417245"/>
    <s v="212100"/>
    <s v="Trade Debtors (Ctrl)"/>
    <s v=""/>
    <s v="01"/>
    <s v="USD"/>
    <n v="83.89"/>
    <x v="0"/>
    <n v="7341.58"/>
    <s v="O0"/>
    <s v="6779224500"/>
    <s v=""/>
    <s v="NA"/>
    <s v="1"/>
    <s v="PORT SSR Chgs Aug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647"/>
    <x v="4"/>
    <x v="15"/>
    <d v="2025-09-09T00:00:00"/>
    <s v="NA"/>
    <s v="256779417287"/>
    <s v="212100"/>
    <s v="Trade Debtors (Ctrl)"/>
    <s v=""/>
    <s v="01"/>
    <s v="USD"/>
    <n v="410.58"/>
    <x v="0"/>
    <n v="35931.629999999997"/>
    <s v="O0"/>
    <s v="6779224500"/>
    <s v=""/>
    <s v="NA"/>
    <s v="1"/>
    <s v="Transportation In Chgs - 16 - 31 AUG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800012685"/>
    <x v="4"/>
    <x v="15"/>
    <d v="2025-09-09T00:00:00"/>
    <s v="NA"/>
    <s v="256779417325"/>
    <s v="212100"/>
    <s v="Trade Debtors (Ctrl)"/>
    <s v=""/>
    <s v="01"/>
    <s v="USD"/>
    <n v="97.84"/>
    <x v="0"/>
    <n v="8562.4"/>
    <s v="O0"/>
    <s v="6779224500"/>
    <s v=""/>
    <s v="2096996"/>
    <s v="1"/>
    <s v="Outbound chgs - 16 - 31 Aug 25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600002212"/>
    <x v="5"/>
    <x v="15"/>
    <d v="2025-09-15T00:00:00"/>
    <s v="NA"/>
    <s v="256779421767"/>
    <s v="212100"/>
    <s v="Trade Debtors (Ctrl)"/>
    <s v=""/>
    <s v="11"/>
    <s v="USD"/>
    <n v="-60"/>
    <x v="0"/>
    <n v="-5250.86"/>
    <s v="O0"/>
    <s v="6779224500"/>
    <s v=""/>
    <s v="2100473"/>
    <s v="1"/>
    <s v="CN Issued towards bill no. 256779417178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600002213"/>
    <x v="5"/>
    <x v="15"/>
    <d v="2025-09-15T00:00:00"/>
    <s v="NA"/>
    <s v="256779421768"/>
    <s v="212100"/>
    <s v="Trade Debtors (Ctrl)"/>
    <s v=""/>
    <s v="11"/>
    <s v="USD"/>
    <n v="-60"/>
    <x v="0"/>
    <n v="-5250.86"/>
    <s v="O0"/>
    <s v="6779224500"/>
    <s v=""/>
    <s v="2100473"/>
    <s v="1"/>
    <s v="CN Issued towards bill no. 256779417179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600002214"/>
    <x v="5"/>
    <x v="15"/>
    <d v="2025-09-15T00:00:00"/>
    <s v="NA"/>
    <s v="256779421769"/>
    <s v="212100"/>
    <s v="Trade Debtors (Ctrl)"/>
    <s v=""/>
    <s v="11"/>
    <s v="USD"/>
    <n v="-62"/>
    <x v="0"/>
    <n v="-5425.89"/>
    <s v="O0"/>
    <s v="6779224500"/>
    <s v=""/>
    <s v="2100473"/>
    <s v="1"/>
    <s v="CN Issued towards bill no. 256779417180"/>
    <s v=""/>
    <s v=""/>
    <s v=""/>
    <d v="2025-09-04T00:00:00"/>
    <m/>
    <s v=""/>
  </r>
  <r>
    <s v="Not Selected"/>
    <s v="6779"/>
    <s v="100222372"/>
    <s v="SHAH TC GLOBAL EXIM LLP"/>
    <s v="2025"/>
    <s v="9"/>
    <d v="2025-09-04T00:00:00"/>
    <s v="1600002215"/>
    <x v="5"/>
    <x v="15"/>
    <d v="2025-09-15T00:00:00"/>
    <s v="NA"/>
    <s v="256779421770"/>
    <s v="212100"/>
    <s v="Trade Debtors (Ctrl)"/>
    <s v=""/>
    <s v="11"/>
    <s v="USD"/>
    <n v="-62"/>
    <x v="0"/>
    <n v="-5425.89"/>
    <s v="O0"/>
    <s v="6779224500"/>
    <s v=""/>
    <s v="2100473"/>
    <s v="1"/>
    <s v="CN Issued towards bill no. 256779417181"/>
    <s v=""/>
    <s v=""/>
    <s v=""/>
    <d v="2025-09-04T00:00:00"/>
    <m/>
    <s v=""/>
  </r>
  <r>
    <s v="Not Selected"/>
    <s v="6779"/>
    <s v="100222372"/>
    <s v="SHAH TC GLOBAL EXIM LLP"/>
    <s v="2025"/>
    <s v="7"/>
    <d v="2025-07-04T00:00:00"/>
    <s v="1800010008"/>
    <x v="4"/>
    <x v="11"/>
    <d v="2025-07-07T00:00:00"/>
    <s v="NA"/>
    <s v="256779414772"/>
    <s v="212100"/>
    <s v="Trade Debtors (Ctrl)"/>
    <s v=""/>
    <s v="01"/>
    <s v="USD"/>
    <n v="220"/>
    <x v="0"/>
    <n v="18920.150000000001"/>
    <s v="O0"/>
    <s v="6779224500"/>
    <s v=""/>
    <s v="NA"/>
    <s v="1"/>
    <s v="Transportation In Chgs - 01 - 15 Jun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066"/>
    <x v="4"/>
    <x v="11"/>
    <d v="2025-07-07T00:00:00"/>
    <s v="NA"/>
    <s v="256779414830"/>
    <s v="212100"/>
    <s v="Trade Debtors (Ctrl)"/>
    <s v=""/>
    <s v="01"/>
    <s v="USD"/>
    <n v="142.32"/>
    <x v="0"/>
    <n v="12239.62"/>
    <s v="O0"/>
    <s v="6779224500"/>
    <s v=""/>
    <s v="NA"/>
    <s v="1"/>
    <s v="Outbound chgs - 01 - 15 Jun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119"/>
    <x v="4"/>
    <x v="11"/>
    <d v="2025-07-09T00:00:00"/>
    <s v="NA"/>
    <s v="256779414879"/>
    <s v="212100"/>
    <s v="Trade Debtors (Ctrl)"/>
    <s v=""/>
    <s v="01"/>
    <s v="USD"/>
    <n v="1663.92"/>
    <x v="0"/>
    <n v="143098.23000000001"/>
    <s v="O0"/>
    <s v="6779224500"/>
    <s v=""/>
    <s v="NA"/>
    <s v="1"/>
    <s v="Transportation In Chgs - 16 - 30 JUN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131"/>
    <x v="4"/>
    <x v="11"/>
    <d v="2025-07-09T00:00:00"/>
    <s v="NA"/>
    <s v="256779414891"/>
    <s v="212100"/>
    <s v="Trade Debtors (Ctrl)"/>
    <s v=""/>
    <s v="01"/>
    <s v="USD"/>
    <n v="413.33"/>
    <x v="0"/>
    <n v="35546.660000000003"/>
    <s v="O0"/>
    <s v="6779224500"/>
    <s v=""/>
    <s v="NA"/>
    <s v="1"/>
    <s v="CY Ground rent Chgs - 01 - 30 June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144"/>
    <x v="4"/>
    <x v="11"/>
    <d v="2025-07-09T00:00:00"/>
    <s v="NA"/>
    <s v="256779414904"/>
    <s v="212100"/>
    <s v="Trade Debtors (Ctrl)"/>
    <s v=""/>
    <s v="01"/>
    <s v="USD"/>
    <n v="68.97"/>
    <x v="0"/>
    <n v="5931.47"/>
    <s v="O0"/>
    <s v="6779224500"/>
    <s v=""/>
    <s v="NA"/>
    <s v="1"/>
    <s v="Empty Lolo Chgs - 01 - 30 JUN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196"/>
    <x v="4"/>
    <x v="11"/>
    <d v="2025-07-09T00:00:00"/>
    <s v="NA"/>
    <s v="256779414956"/>
    <s v="212100"/>
    <s v="Trade Debtors (Ctrl)"/>
    <s v=""/>
    <s v="01"/>
    <s v="USD"/>
    <n v="50"/>
    <x v="0"/>
    <n v="4300.03"/>
    <s v="O0"/>
    <s v="6779224500"/>
    <s v=""/>
    <s v="NA"/>
    <s v="1"/>
    <s v="Empty Cont Out Chgs - 01 - 15 May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197"/>
    <x v="4"/>
    <x v="11"/>
    <d v="2025-07-09T00:00:00"/>
    <s v="NA"/>
    <s v="256779414957"/>
    <s v="212100"/>
    <s v="Trade Debtors (Ctrl)"/>
    <s v=""/>
    <s v="01"/>
    <s v="USD"/>
    <n v="50"/>
    <x v="0"/>
    <n v="4300.03"/>
    <s v="O0"/>
    <s v="6779224500"/>
    <s v=""/>
    <s v="NA"/>
    <s v="1"/>
    <s v="Empty Cont Out Chgs - 01 - 15 May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257"/>
    <x v="4"/>
    <x v="11"/>
    <d v="2025-07-09T00:00:00"/>
    <s v="NA"/>
    <s v="256779415017"/>
    <s v="212100"/>
    <s v="Trade Debtors (Ctrl)"/>
    <s v=""/>
    <s v="01"/>
    <s v="USD"/>
    <n v="349.26"/>
    <x v="0"/>
    <n v="30036.59"/>
    <s v="O0"/>
    <s v="6779224500"/>
    <s v=""/>
    <s v="NA"/>
    <s v="1"/>
    <s v="Outbound chgs - 16 - 30 Jun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436"/>
    <x v="4"/>
    <x v="11"/>
    <d v="2025-07-09T00:00:00"/>
    <s v="NA"/>
    <s v="256779415196"/>
    <s v="212100"/>
    <s v="Trade Debtors (Ctrl)"/>
    <s v=""/>
    <s v="01"/>
    <s v="USD"/>
    <n v="17.48"/>
    <x v="0"/>
    <n v="1503.29"/>
    <s v="O0"/>
    <s v="6779224500"/>
    <s v=""/>
    <s v="NA"/>
    <s v="1"/>
    <s v="Unit Storage - 1-30 June 25"/>
    <s v=""/>
    <s v=""/>
    <s v=""/>
    <d v="2025-07-04T00:00:00"/>
    <m/>
    <s v=""/>
  </r>
  <r>
    <s v="Not Selected"/>
    <s v="6779"/>
    <s v="100222372"/>
    <s v="SHAH TC GLOBAL EXIM LLP"/>
    <s v="2025"/>
    <s v="7"/>
    <d v="2025-07-04T00:00:00"/>
    <s v="1800010504"/>
    <x v="4"/>
    <x v="11"/>
    <d v="2025-07-09T00:00:00"/>
    <s v="NA"/>
    <s v="256779415264"/>
    <s v="212100"/>
    <s v="Trade Debtors (Ctrl)"/>
    <s v=""/>
    <s v="01"/>
    <s v="USD"/>
    <n v="926.11"/>
    <x v="0"/>
    <n v="79646.080000000002"/>
    <s v="O0"/>
    <s v="6779224500"/>
    <s v=""/>
    <s v=""/>
    <s v="1"/>
    <s v="VAS - 16-30 June 25"/>
    <s v=""/>
    <s v=""/>
    <s v=""/>
    <d v="2025-07-04T00:00:00"/>
    <m/>
    <s v=""/>
  </r>
  <r>
    <s v="Selected"/>
    <s v="6779"/>
    <s v="100222372"/>
    <s v="SHAH TC GLOBAL EXIM LLP"/>
    <s v="2025"/>
    <s v="7"/>
    <d v="2025-07-04T00:00:00"/>
    <s v="1600001539"/>
    <x v="5"/>
    <x v="11"/>
    <d v="2025-07-08T00:00:00"/>
    <s v="NA"/>
    <s v="256779421172"/>
    <s v="212100"/>
    <s v="Trade Debtors (Ctrl)"/>
    <s v=""/>
    <s v="11"/>
    <s v="USD"/>
    <n v="-1700"/>
    <x v="0"/>
    <n v="-146201.14000000001"/>
    <s v="O0"/>
    <s v="6779224500"/>
    <s v=""/>
    <s v="NA"/>
    <s v="1"/>
    <s v="CN against 256779410006"/>
    <s v=""/>
    <s v=""/>
    <s v=""/>
    <d v="2025-07-04T00:00:00"/>
    <d v="2025-09-02T00:00:00"/>
    <s v="1400001110"/>
  </r>
  <r>
    <s v="Selected"/>
    <s v="6779"/>
    <s v="100222372"/>
    <s v="SHAH TC GLOBAL EXIM LLP"/>
    <s v="2025"/>
    <s v="7"/>
    <d v="2025-07-04T00:00:00"/>
    <s v="1600001540"/>
    <x v="5"/>
    <x v="11"/>
    <d v="2025-07-08T00:00:00"/>
    <s v="NA"/>
    <s v="256779421173"/>
    <s v="212100"/>
    <s v="Trade Debtors (Ctrl)"/>
    <s v=""/>
    <s v="11"/>
    <s v="USD"/>
    <n v="-1750"/>
    <x v="0"/>
    <n v="-150501.17000000001"/>
    <s v="O0"/>
    <s v="6779224500"/>
    <s v=""/>
    <s v="NA"/>
    <s v="1"/>
    <s v="CN against 256779410012"/>
    <s v=""/>
    <s v=""/>
    <s v=""/>
    <d v="2025-07-04T00:00:00"/>
    <d v="2025-09-02T00:00:00"/>
    <s v="1400001110"/>
  </r>
  <r>
    <s v="Selected"/>
    <s v="6779"/>
    <s v="100222372"/>
    <s v="SHAH TC GLOBAL EXIM LLP"/>
    <s v="2025"/>
    <s v="7"/>
    <d v="2025-07-04T00:00:00"/>
    <s v="1600001541"/>
    <x v="5"/>
    <x v="11"/>
    <d v="2025-07-08T00:00:00"/>
    <s v="NA"/>
    <s v="256779421174"/>
    <s v="212100"/>
    <s v="Trade Debtors (Ctrl)"/>
    <s v=""/>
    <s v="11"/>
    <s v="USD"/>
    <n v="-1700"/>
    <x v="0"/>
    <n v="-146201.14000000001"/>
    <s v="O0"/>
    <s v="6779224500"/>
    <s v=""/>
    <s v="NA"/>
    <s v="1"/>
    <s v="CN against 256779410015"/>
    <s v=""/>
    <s v=""/>
    <s v=""/>
    <d v="2025-07-04T00:00:00"/>
    <d v="2025-09-02T00:00:00"/>
    <s v="1400001110"/>
  </r>
  <r>
    <s v="Selected"/>
    <s v="6779"/>
    <s v="100222372"/>
    <s v="SHAH TC GLOBAL EXIM LLP"/>
    <s v="2025"/>
    <s v="7"/>
    <d v="2025-07-04T00:00:00"/>
    <s v="1600001542"/>
    <x v="5"/>
    <x v="11"/>
    <d v="2025-07-08T00:00:00"/>
    <s v="NA"/>
    <s v="256779421175"/>
    <s v="212100"/>
    <s v="Trade Debtors (Ctrl)"/>
    <s v=""/>
    <s v="11"/>
    <s v="USD"/>
    <n v="-1750"/>
    <x v="0"/>
    <n v="-150501.17000000001"/>
    <s v="O0"/>
    <s v="6779224500"/>
    <s v=""/>
    <s v="NA"/>
    <s v="1"/>
    <s v="CN against 256779410224"/>
    <s v=""/>
    <s v=""/>
    <s v=""/>
    <d v="2025-07-04T00:00:00"/>
    <d v="2025-09-02T00:00:00"/>
    <s v="1400001110"/>
  </r>
  <r>
    <s v="Not Selected"/>
    <s v="6779"/>
    <s v="100222372"/>
    <s v="SHAH TC GLOBAL EXIM LLP"/>
    <s v="2025"/>
    <s v="11"/>
    <d v="2025-11-05T00:00:00"/>
    <s v="1800014283"/>
    <x v="4"/>
    <x v="16"/>
    <d v="2025-11-06T00:00:00"/>
    <s v="NA"/>
    <s v="256779418820"/>
    <s v="212100"/>
    <s v="Trade Debtors (Ctrl)"/>
    <s v=""/>
    <s v="01"/>
    <s v="USD"/>
    <n v="351.13"/>
    <x v="0"/>
    <n v="30900.63"/>
    <s v="O0"/>
    <s v="6779224500"/>
    <s v=""/>
    <s v="2123387"/>
    <s v="1"/>
    <s v="VAS-16 -31 Oct 25"/>
    <s v=""/>
    <s v=""/>
    <s v=""/>
    <d v="2025-11-05T00:00:00"/>
    <m/>
    <s v=""/>
  </r>
  <r>
    <s v="Not Selected"/>
    <s v="6779"/>
    <s v="100222372"/>
    <s v="SHAH TC GLOBAL EXIM LLP"/>
    <s v="2025"/>
    <s v="11"/>
    <d v="2025-11-05T00:00:00"/>
    <s v="1800014544"/>
    <x v="4"/>
    <x v="16"/>
    <d v="2025-11-06T00:00:00"/>
    <s v="NA"/>
    <s v="256779418876"/>
    <s v="212100"/>
    <s v="Trade Debtors (Ctrl)"/>
    <s v=""/>
    <s v="01"/>
    <s v="USD"/>
    <n v="745.97"/>
    <x v="0"/>
    <n v="65647.89"/>
    <s v="O0"/>
    <s v="6779224500"/>
    <s v=""/>
    <s v="2123390"/>
    <s v="1"/>
    <s v="Unit Storage - 1-31 Oct 2025"/>
    <s v=""/>
    <s v=""/>
    <s v=""/>
    <d v="2025-11-05T00:00:00"/>
    <m/>
    <s v=""/>
  </r>
  <r>
    <s v="Not Selected"/>
    <s v="6779"/>
    <s v="100222372"/>
    <s v="SHAH TC GLOBAL EXIM LLP"/>
    <s v="2025"/>
    <s v="11"/>
    <d v="2025-11-05T00:00:00"/>
    <s v="1800014634"/>
    <x v="4"/>
    <x v="16"/>
    <d v="2025-11-06T00:00:00"/>
    <s v="NA"/>
    <s v="256779419077"/>
    <s v="212100"/>
    <s v="Trade Debtors (Ctrl)"/>
    <s v=""/>
    <s v="01"/>
    <s v="USD"/>
    <n v="900"/>
    <x v="0"/>
    <n v="79203.05"/>
    <s v="O0"/>
    <s v="6779224500"/>
    <s v=""/>
    <s v="2123404"/>
    <s v="1"/>
    <s v="CY Ground rent Chgs - 16 - 31 Oct 25"/>
    <s v=""/>
    <s v=""/>
    <s v=""/>
    <d v="2025-11-05T00:00:00"/>
    <m/>
    <s v=""/>
  </r>
  <r>
    <s v="Not Selected"/>
    <s v="6779"/>
    <s v="100222372"/>
    <s v="SHAH TC GLOBAL EXIM LLP"/>
    <s v="2025"/>
    <s v="11"/>
    <d v="2025-11-05T00:00:00"/>
    <s v="1800014525"/>
    <x v="4"/>
    <x v="16"/>
    <d v="2025-11-06T00:00:00"/>
    <s v="NA"/>
    <s v="256779419174"/>
    <s v="212100"/>
    <s v="Trade Debtors (Ctrl)"/>
    <s v=""/>
    <s v="01"/>
    <s v="USD"/>
    <n v="8.2100000000000009"/>
    <x v="0"/>
    <n v="722.51"/>
    <s v="O0"/>
    <s v="6779224500"/>
    <s v=""/>
    <s v="2123410"/>
    <s v="1"/>
    <s v="Outbound chgs - 16 - 31 Oct 25"/>
    <s v=""/>
    <s v=""/>
    <s v=""/>
    <d v="2025-11-05T00:00:00"/>
    <m/>
    <s v=""/>
  </r>
  <r>
    <s v="Not Selected"/>
    <s v="6779"/>
    <s v="100222372"/>
    <s v="SHAH TC GLOBAL EXIM LLP"/>
    <s v="2025"/>
    <s v="11"/>
    <d v="2025-11-05T00:00:00"/>
    <s v="1800014618"/>
    <x v="4"/>
    <x v="16"/>
    <d v="2025-11-06T00:00:00"/>
    <s v="NA"/>
    <s v="256779419200"/>
    <s v="212100"/>
    <s v="Trade Debtors (Ctrl)"/>
    <s v=""/>
    <s v="01"/>
    <s v="USD"/>
    <n v="152.26"/>
    <x v="0"/>
    <n v="13399.4"/>
    <s v="O0"/>
    <s v="6779224500"/>
    <s v=""/>
    <s v="2123415"/>
    <s v="1"/>
    <s v="Empty Lolo Chgs - 01 - 31 OCT 25"/>
    <s v=""/>
    <s v=""/>
    <s v=""/>
    <d v="2025-11-05T00:00:00"/>
    <m/>
    <s v=""/>
  </r>
  <r>
    <s v="Not Selected"/>
    <s v="6779"/>
    <s v="100222372"/>
    <s v="SHAH TC GLOBAL EXIM LLP"/>
    <s v="2025"/>
    <s v="11"/>
    <d v="2025-11-05T00:00:00"/>
    <s v="1800014731"/>
    <x v="4"/>
    <x v="16"/>
    <d v="2025-11-07T00:00:00"/>
    <s v="2123630"/>
    <s v="256779419232"/>
    <s v="212100"/>
    <s v="Trade Debtors (Ctrl)"/>
    <s v=""/>
    <s v="01"/>
    <s v="USD"/>
    <n v="25.69"/>
    <x v="0"/>
    <n v="2260.81"/>
    <s v="O0"/>
    <s v="6779224500"/>
    <s v=""/>
    <s v="NA"/>
    <s v="1"/>
    <s v="PORT SSR Chgs Oct 25"/>
    <s v=""/>
    <s v=""/>
    <s v=""/>
    <d v="2025-11-05T00:00:00"/>
    <m/>
    <s v=""/>
  </r>
  <r>
    <s v="Selected"/>
    <s v="6779"/>
    <s v="100222372"/>
    <s v="SHAH TC GLOBAL EXIM LLP"/>
    <s v="2025"/>
    <s v="2"/>
    <d v="2025-02-25T00:00:00"/>
    <s v="1800000350"/>
    <x v="4"/>
    <x v="33"/>
    <d v="2025-02-25T00:00:00"/>
    <s v="NA"/>
    <s v="246779410324"/>
    <s v="212100"/>
    <s v="Trade Debtors (Ctrl)"/>
    <s v=""/>
    <s v="01"/>
    <s v="USD"/>
    <n v="1750"/>
    <x v="0"/>
    <n v="151031.41"/>
    <s v="O0"/>
    <s v="6779224500"/>
    <s v=""/>
    <s v="NA"/>
    <s v="1"/>
    <s v="CY Longstanding container Ground Rent charges for"/>
    <s v=""/>
    <s v=""/>
    <s v=""/>
    <d v="2025-02-25T00:00:00"/>
    <d v="2025-08-18T00:00:00"/>
    <s v="1400000854"/>
  </r>
  <r>
    <s v="Not Selected"/>
    <s v="6779"/>
    <s v="100222372"/>
    <s v="SHAH TC GLOBAL EXIM LLP"/>
    <s v="2025"/>
    <s v="11"/>
    <d v="2025-11-03T00:00:00"/>
    <s v="1800014408"/>
    <x v="4"/>
    <x v="8"/>
    <d v="2025-11-06T00:00:00"/>
    <s v="NA"/>
    <s v="256779419130"/>
    <s v="212100"/>
    <s v="Trade Debtors (Ctrl)"/>
    <s v=""/>
    <s v="01"/>
    <s v="USD"/>
    <n v="52.71"/>
    <x v="0"/>
    <n v="4638.66"/>
    <s v="O0"/>
    <s v="6779224500"/>
    <s v=""/>
    <s v="2123409"/>
    <s v="1"/>
    <s v="LCL Chgs - 16 - 31 OCT 25"/>
    <s v=""/>
    <s v=""/>
    <s v=""/>
    <d v="2025-11-03T00:00:00"/>
    <m/>
    <s v=""/>
  </r>
  <r>
    <s v="Not Selected"/>
    <s v="6779"/>
    <s v="100222372"/>
    <s v="SHAH TC GLOBAL EXIM LLP"/>
    <s v="2025"/>
    <s v="8"/>
    <d v="2025-08-08T00:00:00"/>
    <s v="1800011648"/>
    <x v="4"/>
    <x v="34"/>
    <d v="2025-08-08T00:00:00"/>
    <s v="NA"/>
    <s v="256779416078"/>
    <s v="212100"/>
    <s v="Trade Debtors (Ctrl)"/>
    <s v=""/>
    <s v="01"/>
    <s v="USD"/>
    <n v="1477.42"/>
    <x v="0"/>
    <n v="127102.62"/>
    <s v="O0"/>
    <s v="6779224500"/>
    <s v=""/>
    <s v="NA"/>
    <s v="1"/>
    <s v="Unit Storage - 1-30 June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656"/>
    <x v="4"/>
    <x v="34"/>
    <d v="2025-08-08T00:00:00"/>
    <s v="NA"/>
    <s v="256779416086"/>
    <s v="212100"/>
    <s v="Trade Debtors (Ctrl)"/>
    <s v=""/>
    <s v="01"/>
    <s v="USD"/>
    <n v="1449.76"/>
    <x v="0"/>
    <n v="124723.03"/>
    <s v="O0"/>
    <s v="6779224500"/>
    <s v=""/>
    <s v="NA"/>
    <s v="1"/>
    <s v="Unit Storage - 1-31 July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800"/>
    <x v="4"/>
    <x v="34"/>
    <d v="2025-08-08T00:00:00"/>
    <s v="NA"/>
    <s v="256779416103"/>
    <s v="212100"/>
    <s v="Trade Debtors (Ctrl)"/>
    <s v=""/>
    <s v="01"/>
    <s v="USD"/>
    <n v="50"/>
    <x v="0"/>
    <n v="4301.51"/>
    <s v="O0"/>
    <s v="6779224500"/>
    <s v=""/>
    <s v="NA"/>
    <s v="1"/>
    <s v="Scanning  Chgs - 16 - 31 Jul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832"/>
    <x v="4"/>
    <x v="34"/>
    <d v="2025-08-08T00:00:00"/>
    <s v="NA"/>
    <s v="256779416141"/>
    <s v="212100"/>
    <s v="Trade Debtors (Ctrl)"/>
    <s v=""/>
    <s v="01"/>
    <s v="USD"/>
    <n v="299.12"/>
    <x v="0"/>
    <n v="25733.33"/>
    <s v="O0"/>
    <s v="6779224500"/>
    <s v=""/>
    <s v="NA"/>
    <s v="1"/>
    <s v="Empty Lolo Chgs - 01 - 31 JUL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788"/>
    <x v="4"/>
    <x v="34"/>
    <d v="2025-08-08T00:00:00"/>
    <s v="NA"/>
    <s v="256779416179"/>
    <s v="212100"/>
    <s v="Trade Debtors (Ctrl)"/>
    <s v=""/>
    <s v="01"/>
    <s v="USD"/>
    <n v="2787.24"/>
    <x v="0"/>
    <n v="239786.59"/>
    <s v="O0"/>
    <s v="6779224500"/>
    <s v=""/>
    <s v="NA"/>
    <s v="1"/>
    <s v="Transportation In Chgs - 16 - 31 JUL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706"/>
    <x v="4"/>
    <x v="34"/>
    <d v="2025-08-08T00:00:00"/>
    <s v="NA"/>
    <s v="256779416224"/>
    <s v="212100"/>
    <s v="Trade Debtors (Ctrl)"/>
    <s v=""/>
    <s v="01"/>
    <s v="USD"/>
    <n v="304.52999999999997"/>
    <x v="0"/>
    <n v="26198.75"/>
    <s v="O0"/>
    <s v="6779224500"/>
    <s v=""/>
    <s v="NA"/>
    <s v="1"/>
    <s v="Outbound chgs - 16 - 31 Jul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595"/>
    <x v="4"/>
    <x v="34"/>
    <d v="2025-08-08T00:00:00"/>
    <s v="NA"/>
    <s v="256779416445"/>
    <s v="212100"/>
    <s v="Trade Debtors (Ctrl)"/>
    <s v=""/>
    <s v="01"/>
    <s v="USD"/>
    <n v="586.79"/>
    <x v="0"/>
    <n v="50481.61"/>
    <s v="O0"/>
    <s v="6779224500"/>
    <s v=""/>
    <s v="NA"/>
    <s v="1"/>
    <s v="VAS 16-31 July 25"/>
    <s v=""/>
    <s v=""/>
    <s v=""/>
    <d v="2025-08-08T00:00:00"/>
    <m/>
    <s v=""/>
  </r>
  <r>
    <s v="Not Selected"/>
    <s v="6779"/>
    <s v="100222372"/>
    <s v="SHAH TC GLOBAL EXIM LLP"/>
    <s v="2025"/>
    <s v="8"/>
    <d v="2025-08-08T00:00:00"/>
    <s v="1800011864"/>
    <x v="4"/>
    <x v="34"/>
    <d v="2025-08-08T00:00:00"/>
    <s v="NA"/>
    <s v="256779416515"/>
    <s v="212100"/>
    <s v="Trade Debtors (Ctrl)"/>
    <s v=""/>
    <s v="01"/>
    <s v="USD"/>
    <n v="396.98"/>
    <x v="0"/>
    <n v="34152.239999999998"/>
    <s v="O0"/>
    <s v="6779224500"/>
    <s v=""/>
    <s v="NA"/>
    <s v="1"/>
    <s v="PORT SSR Chgs July 25"/>
    <s v=""/>
    <s v=""/>
    <s v=""/>
    <d v="2025-08-08T00:00:00"/>
    <m/>
    <s v=""/>
  </r>
  <r>
    <s v="Not Selected"/>
    <s v="6779"/>
    <s v="100222372"/>
    <s v="SHAH TC GLOBAL EXIM LLP"/>
    <s v="2025"/>
    <s v="6"/>
    <d v="2025-06-04T00:00:00"/>
    <s v="1800009453"/>
    <x v="4"/>
    <x v="35"/>
    <d v="2025-06-09T00:00:00"/>
    <s v="NA"/>
    <s v="256779414217"/>
    <s v="212100"/>
    <s v="Trade Debtors (Ctrl)"/>
    <s v=""/>
    <s v="01"/>
    <s v="USD"/>
    <n v="71.760000000000005"/>
    <x v="0"/>
    <n v="6134.82"/>
    <s v="O0"/>
    <s v="6779224500"/>
    <s v=""/>
    <s v="NA"/>
    <s v="1"/>
    <s v="Outbound chgs - 16 - 31 MAY 25"/>
    <s v=""/>
    <s v=""/>
    <s v=""/>
    <d v="2025-06-04T00:00:00"/>
    <m/>
    <s v=""/>
  </r>
  <r>
    <s v="Not Selected"/>
    <s v="6779"/>
    <s v="100222372"/>
    <s v="SHAH TC GLOBAL EXIM LLP"/>
    <s v="2025"/>
    <s v="6"/>
    <d v="2025-06-04T00:00:00"/>
    <s v="1800009511"/>
    <x v="4"/>
    <x v="35"/>
    <d v="2025-06-09T00:00:00"/>
    <s v="NA"/>
    <s v="256779414275"/>
    <s v="212100"/>
    <s v="Trade Debtors (Ctrl)"/>
    <s v=""/>
    <s v="01"/>
    <s v="USD"/>
    <n v="136.08000000000001"/>
    <x v="0"/>
    <n v="11633.59"/>
    <s v="O0"/>
    <s v="6779224500"/>
    <s v=""/>
    <s v="NA"/>
    <s v="1"/>
    <s v="Empty Lolo Chgs - 01 - 31 MAY 25"/>
    <s v=""/>
    <s v=""/>
    <s v=""/>
    <d v="2025-06-04T00:00:00"/>
    <m/>
    <s v=""/>
  </r>
  <r>
    <s v="Not Selected"/>
    <s v="6779"/>
    <s v="100222372"/>
    <s v="SHAH TC GLOBAL EXIM LLP"/>
    <s v="2025"/>
    <s v="6"/>
    <d v="2025-06-04T00:00:00"/>
    <s v="1800009553"/>
    <x v="4"/>
    <x v="35"/>
    <d v="2025-06-09T00:00:00"/>
    <s v="NA"/>
    <s v="256779414317"/>
    <s v="212100"/>
    <s v="Trade Debtors (Ctrl)"/>
    <s v=""/>
    <s v="01"/>
    <s v="USD"/>
    <n v="697.43"/>
    <x v="0"/>
    <n v="59623.83"/>
    <s v="O0"/>
    <s v="6779224500"/>
    <s v=""/>
    <s v="NA"/>
    <s v="1"/>
    <s v="LCL Chgs - 16-31 MAY 25"/>
    <s v=""/>
    <s v=""/>
    <s v=""/>
    <d v="2025-06-04T00:00:00"/>
    <m/>
    <s v=""/>
  </r>
  <r>
    <s v="Selected"/>
    <s v="6779"/>
    <s v="100222372"/>
    <s v="SHAH TC GLOBAL EXIM LLP"/>
    <s v="2025"/>
    <s v="5"/>
    <d v="2025-05-14T00:00:00"/>
    <s v="1600000596"/>
    <x v="5"/>
    <x v="36"/>
    <d v="2025-05-16T00:00:00"/>
    <s v="NA"/>
    <s v="256779420305"/>
    <s v="212100"/>
    <s v="Trade Debtors (Ctrl)"/>
    <s v=""/>
    <s v="11"/>
    <s v="USD"/>
    <n v="-945.75"/>
    <x v="0"/>
    <n v="-81988.259999999995"/>
    <s v="O0"/>
    <s v="6779224500"/>
    <s v=""/>
    <s v="NA"/>
    <s v="1"/>
    <s v="Credit note against 246779412238"/>
    <s v=""/>
    <s v=""/>
    <s v=""/>
    <d v="2025-05-14T00:00:00"/>
    <d v="2025-07-04T00:00:00"/>
    <s v="1400000213"/>
  </r>
  <r>
    <s v="Selected"/>
    <s v="6779"/>
    <s v="100222372"/>
    <s v="SHAH TC GLOBAL EXIM LLP"/>
    <s v="2025"/>
    <s v="5"/>
    <d v="2025-05-14T00:00:00"/>
    <s v="1600000782"/>
    <x v="5"/>
    <x v="36"/>
    <d v="2025-05-16T00:00:00"/>
    <s v="NA"/>
    <s v="256779420491"/>
    <s v="212100"/>
    <s v="Trade Debtors (Ctrl)"/>
    <s v=""/>
    <s v="11"/>
    <s v="USD"/>
    <n v="-1166.5899999999999"/>
    <x v="0"/>
    <n v="-101402.13"/>
    <s v="O0"/>
    <s v="6779224500"/>
    <s v=""/>
    <s v="NA"/>
    <s v="1"/>
    <s v="Credit note against 256779410230"/>
    <s v=""/>
    <s v=""/>
    <s v=""/>
    <d v="2025-05-14T00:00:00"/>
    <d v="2025-07-04T00:00:00"/>
    <s v="1400000214"/>
  </r>
  <r>
    <s v="Selected"/>
    <s v="6779"/>
    <s v="100222372"/>
    <s v="SHAH TC GLOBAL EXIM LLP"/>
    <s v="2025"/>
    <s v="5"/>
    <d v="2025-05-14T00:00:00"/>
    <s v="1600000816"/>
    <x v="5"/>
    <x v="36"/>
    <d v="2025-05-16T00:00:00"/>
    <s v="NA"/>
    <s v="256779420525"/>
    <s v="212100"/>
    <s v="Trade Debtors (Ctrl)"/>
    <s v=""/>
    <s v="11"/>
    <s v="USD"/>
    <n v="-1143.1199999999999"/>
    <x v="0"/>
    <n v="-99362.07"/>
    <s v="O0"/>
    <s v="6779224500"/>
    <s v=""/>
    <s v="NA"/>
    <s v="1"/>
    <s v="Credit note against 256779410271"/>
    <s v=""/>
    <s v=""/>
    <s v=""/>
    <d v="2025-05-14T00:00:00"/>
    <d v="2025-07-04T00:00:00"/>
    <s v="1400000215"/>
  </r>
  <r>
    <s v="Not Selected"/>
    <s v="6779"/>
    <s v="100222372"/>
    <s v="SHAH TC GLOBAL EXIM LLP"/>
    <s v="2025"/>
    <s v="5"/>
    <d v="2025-05-16T00:00:00"/>
    <s v="1800008488"/>
    <x v="4"/>
    <x v="37"/>
    <d v="2025-05-23T00:00:00"/>
    <s v="NA"/>
    <s v="256779413256"/>
    <s v="212100"/>
    <s v="Trade Debtors (Ctrl)"/>
    <s v=""/>
    <s v="01"/>
    <s v="USD"/>
    <n v="270"/>
    <x v="0"/>
    <n v="23215.599999999999"/>
    <s v="O0"/>
    <s v="6779224500"/>
    <s v=""/>
    <s v="NA"/>
    <s v="1"/>
    <s v="Transportation In Chgs - 16 - 30 Apr 25"/>
    <s v=""/>
    <s v=""/>
    <s v=""/>
    <d v="2025-05-16T00:00:00"/>
    <m/>
    <s v=""/>
  </r>
  <r>
    <s v="Not Selected"/>
    <s v="6779"/>
    <s v="100222372"/>
    <s v="SHAH TC GLOBAL EXIM LLP"/>
    <s v="2025"/>
    <s v="5"/>
    <d v="2025-05-16T00:00:00"/>
    <s v="1800008520"/>
    <x v="4"/>
    <x v="37"/>
    <d v="2025-05-23T00:00:00"/>
    <s v="NA"/>
    <s v="256779413284"/>
    <s v="212100"/>
    <s v="Trade Debtors (Ctrl)"/>
    <s v=""/>
    <s v="01"/>
    <s v="USD"/>
    <n v="35"/>
    <x v="0"/>
    <n v="3009.43"/>
    <s v="O0"/>
    <s v="6779224500"/>
    <s v=""/>
    <s v="NA"/>
    <s v="1"/>
    <s v="Scanning  Chgs - 16 - 31 Apr 25"/>
    <s v=""/>
    <s v=""/>
    <s v=""/>
    <d v="2025-05-16T00:00:00"/>
    <m/>
    <s v=""/>
  </r>
  <r>
    <s v="Not Selected"/>
    <s v="6779"/>
    <s v="100222372"/>
    <s v="SHAH TC GLOBAL EXIM LLP"/>
    <s v="2025"/>
    <s v="5"/>
    <d v="2025-05-16T00:00:00"/>
    <s v="1800008549"/>
    <x v="4"/>
    <x v="37"/>
    <d v="2025-05-23T00:00:00"/>
    <s v="NA"/>
    <s v="256779413313"/>
    <s v="212100"/>
    <s v="Trade Debtors (Ctrl)"/>
    <s v=""/>
    <s v="01"/>
    <s v="USD"/>
    <n v="86"/>
    <x v="0"/>
    <n v="7394.6"/>
    <s v="O0"/>
    <s v="6779224500"/>
    <s v=""/>
    <s v="NA"/>
    <s v="1"/>
    <s v="LCL Chgs - 16 - 30 Apr 25"/>
    <s v=""/>
    <s v=""/>
    <s v=""/>
    <d v="2025-05-16T00:00:00"/>
    <m/>
    <s v=""/>
  </r>
  <r>
    <s v="Not Selected"/>
    <s v="6779"/>
    <s v="100222372"/>
    <s v="SHAH TC GLOBAL EXIM LLP"/>
    <s v="2025"/>
    <s v="5"/>
    <d v="2025-05-16T00:00:00"/>
    <s v="1800008594"/>
    <x v="4"/>
    <x v="37"/>
    <d v="2025-05-23T00:00:00"/>
    <s v="NA"/>
    <s v="256779413358"/>
    <s v="212100"/>
    <s v="Trade Debtors (Ctrl)"/>
    <s v=""/>
    <s v="01"/>
    <s v="USD"/>
    <n v="20.11"/>
    <x v="0"/>
    <n v="1729.13"/>
    <s v="O0"/>
    <s v="6779224500"/>
    <s v=""/>
    <s v="NA"/>
    <s v="1"/>
    <s v="Outbound chgs - 16 - 30 Apr 25"/>
    <s v=""/>
    <s v=""/>
    <s v=""/>
    <d v="2025-05-16T00:00:00"/>
    <m/>
    <s v=""/>
  </r>
  <r>
    <s v="Not Selected"/>
    <s v="6779"/>
    <s v="100222372"/>
    <s v="SHAH TC GLOBAL EXIM LLP"/>
    <s v="2025"/>
    <s v="5"/>
    <d v="2025-05-28T00:00:00"/>
    <s v="1800009133"/>
    <x v="4"/>
    <x v="38"/>
    <d v="2025-05-28T00:00:00"/>
    <s v="NA"/>
    <s v="256779413897"/>
    <s v="212100"/>
    <s v="Trade Debtors (Ctrl)"/>
    <s v=""/>
    <s v="01"/>
    <s v="USD"/>
    <n v="553.24"/>
    <x v="0"/>
    <n v="47569.62"/>
    <s v="O0"/>
    <s v="6779224500"/>
    <s v=""/>
    <s v="NA"/>
    <s v="1"/>
    <s v="Storage Chgs - 01 - 31 Apr 25"/>
    <s v=""/>
    <s v=""/>
    <s v=""/>
    <d v="2025-05-28T00:00:00"/>
    <m/>
    <s v=""/>
  </r>
  <r>
    <s v="Not Selected"/>
    <s v="6779"/>
    <s v="100222372"/>
    <s v="SHAH TC GLOBAL EXIM LLP"/>
    <s v="2025"/>
    <s v="7"/>
    <d v="2025-07-18T00:00:00"/>
    <s v="1800010770"/>
    <x v="4"/>
    <x v="39"/>
    <d v="2025-07-21T00:00:00"/>
    <s v="NA"/>
    <s v="256779415432"/>
    <s v="212100"/>
    <s v="Trade Debtors (Ctrl)"/>
    <s v=""/>
    <s v="01"/>
    <s v="USD"/>
    <n v="296.64"/>
    <x v="0"/>
    <n v="25511.24"/>
    <s v="O0"/>
    <s v="6779224500"/>
    <s v=""/>
    <s v="NA"/>
    <s v="1"/>
    <s v="PORT SSR Chgs Apr to June 25"/>
    <s v=""/>
    <s v=""/>
    <s v=""/>
    <d v="2025-07-18T00:00:00"/>
    <m/>
    <s v=""/>
  </r>
  <r>
    <s v="Not Selected"/>
    <s v="6779"/>
    <s v="100222372"/>
    <s v="SHAH TC GLOBAL EXIM LLP"/>
    <s v="2025"/>
    <s v="7"/>
    <d v="2025-07-18T00:00:00"/>
    <s v="1800010698"/>
    <x v="4"/>
    <x v="39"/>
    <d v="2025-07-21T00:00:00"/>
    <s v="NA"/>
    <s v="256779415482"/>
    <s v="212100"/>
    <s v="Trade Debtors (Ctrl)"/>
    <s v=""/>
    <s v="01"/>
    <s v="USD"/>
    <n v="860.97"/>
    <x v="0"/>
    <n v="74044"/>
    <s v="O0"/>
    <s v="6779224500"/>
    <s v=""/>
    <s v="NA"/>
    <s v="1"/>
    <s v="Transportation In Chgs - 01 - 15 JUL 25"/>
    <s v=""/>
    <s v=""/>
    <s v=""/>
    <d v="2025-07-18T00:00:00"/>
    <m/>
    <s v=""/>
  </r>
  <r>
    <s v="Not Selected"/>
    <s v="6779"/>
    <s v="100222372"/>
    <s v="SHAH TC GLOBAL EXIM LLP"/>
    <s v="2025"/>
    <s v="7"/>
    <d v="2025-07-18T00:00:00"/>
    <s v="1800010740"/>
    <x v="4"/>
    <x v="39"/>
    <d v="2025-07-21T00:00:00"/>
    <s v="NA"/>
    <s v="256779415524"/>
    <s v="212100"/>
    <s v="Trade Debtors (Ctrl)"/>
    <s v=""/>
    <s v="01"/>
    <s v="USD"/>
    <n v="73.12"/>
    <x v="0"/>
    <n v="6288.37"/>
    <s v="O0"/>
    <s v="6779224500"/>
    <s v=""/>
    <s v="NA"/>
    <s v="1"/>
    <s v="Outbound chgs - 01 - 15 Jul 25"/>
    <s v=""/>
    <s v=""/>
    <s v=""/>
    <d v="2025-07-18T00:00:00"/>
    <m/>
    <s v=""/>
  </r>
  <r>
    <s v="Not Selected"/>
    <s v="6779"/>
    <s v="100222372"/>
    <s v="SHAH TC GLOBAL EXIM LLP"/>
    <s v="2025"/>
    <s v="7"/>
    <d v="2025-07-18T00:00:00"/>
    <s v="1800010941"/>
    <x v="4"/>
    <x v="39"/>
    <d v="2025-07-21T00:00:00"/>
    <s v="NA"/>
    <s v="256779415701"/>
    <s v="212100"/>
    <s v="Trade Debtors (Ctrl)"/>
    <s v=""/>
    <s v="01"/>
    <s v="USD"/>
    <n v="660"/>
    <x v="0"/>
    <n v="56760.44"/>
    <s v="O0"/>
    <s v="6779224500"/>
    <s v=""/>
    <s v="NA"/>
    <s v="1"/>
    <s v="Transportation In Chgs - 01 - 15 Jul 25"/>
    <s v=""/>
    <s v=""/>
    <s v=""/>
    <d v="2025-07-18T00:00:00"/>
    <m/>
    <s v=""/>
  </r>
  <r>
    <s v="Not Selected"/>
    <s v="6779"/>
    <s v="100222372"/>
    <s v="SHAH TC GLOBAL EXIM LLP"/>
    <s v="2025"/>
    <s v="7"/>
    <d v="2025-07-18T00:00:00"/>
    <s v="1800011042"/>
    <x v="4"/>
    <x v="39"/>
    <d v="2025-07-21T00:00:00"/>
    <s v="NA"/>
    <s v="256779415802"/>
    <s v="212100"/>
    <s v="Trade Debtors (Ctrl)"/>
    <s v=""/>
    <s v="01"/>
    <s v="USD"/>
    <n v="860.97"/>
    <x v="0"/>
    <n v="74044"/>
    <s v="O0"/>
    <s v="6779224500"/>
    <s v=""/>
    <s v="NA"/>
    <s v="1"/>
    <s v="Transportation In Chgs - 01 - 15 JUL 25"/>
    <s v=""/>
    <s v=""/>
    <s v=""/>
    <d v="2025-07-18T00:00:00"/>
    <m/>
    <s v=""/>
  </r>
  <r>
    <s v="Not Selected"/>
    <s v="6779"/>
    <s v="100222372"/>
    <s v="SHAH TC GLOBAL EXIM LLP"/>
    <s v="2025"/>
    <s v="3"/>
    <d v="2025-03-13T00:00:00"/>
    <s v="1800001469"/>
    <x v="4"/>
    <x v="40"/>
    <d v="2025-03-17T00:00:00"/>
    <s v="NA"/>
    <s v="246779411301"/>
    <s v="212100"/>
    <s v="Trade Debtors (Ctrl)"/>
    <s v=""/>
    <s v="01"/>
    <s v="USD"/>
    <n v="85"/>
    <x v="0"/>
    <n v="7368.76"/>
    <s v="O0"/>
    <s v="6779224500"/>
    <s v=""/>
    <s v="NA"/>
    <s v="1"/>
    <s v="Scanning Charges for the month of September, 2024"/>
    <s v=""/>
    <s v=""/>
    <s v=""/>
    <d v="2025-03-13T00:00:00"/>
    <m/>
    <s v=""/>
  </r>
  <r>
    <s v="Not Selected"/>
    <s v="6779"/>
    <s v="100222372"/>
    <s v="SHAH TC GLOBAL EXIM LLP"/>
    <s v="2025"/>
    <s v="3"/>
    <d v="2025-03-13T00:00:00"/>
    <s v="1800001451"/>
    <x v="4"/>
    <x v="40"/>
    <d v="2025-03-17T00:00:00"/>
    <s v="NA"/>
    <s v="246779411315"/>
    <s v="212100"/>
    <s v="Trade Debtors (Ctrl)"/>
    <s v=""/>
    <s v="01"/>
    <s v="USD"/>
    <n v="35"/>
    <x v="0"/>
    <n v="3034.19"/>
    <s v="O0"/>
    <s v="6779224500"/>
    <s v=""/>
    <s v="NA"/>
    <s v="1"/>
    <s v="Scanning Charges for the month of October, 2024"/>
    <s v=""/>
    <s v=""/>
    <s v=""/>
    <d v="2025-03-13T00:00:00"/>
    <m/>
    <s v=""/>
  </r>
  <r>
    <s v="Selected"/>
    <s v="6779"/>
    <s v="100222372"/>
    <s v="SHAH TC GLOBAL EXIM LLP"/>
    <s v="2025"/>
    <s v="3"/>
    <d v="2025-03-13T00:00:00"/>
    <s v="1800001411"/>
    <x v="4"/>
    <x v="40"/>
    <d v="2025-03-15T00:00:00"/>
    <s v="NA"/>
    <s v="246779411279"/>
    <s v="212100"/>
    <s v="Trade Debtors (Ctrl)"/>
    <s v=""/>
    <s v="01"/>
    <s v="USD"/>
    <n v="35"/>
    <x v="0"/>
    <n v="3034.19"/>
    <s v="O0"/>
    <s v="6779224500"/>
    <s v=""/>
    <s v="NA"/>
    <s v="1"/>
    <s v="Scanning Charges for the month of August, 2024"/>
    <s v=""/>
    <s v=""/>
    <s v=""/>
    <d v="2025-03-13T00:00:00"/>
    <d v="2025-08-18T00:00:00"/>
    <s v="1400000854"/>
  </r>
  <r>
    <s v="Not Selected"/>
    <s v="6779"/>
    <s v="100222372"/>
    <s v="SHAH TC GLOBAL EXIM LLP"/>
    <s v="2025"/>
    <s v="3"/>
    <d v="2025-03-20T00:00:00"/>
    <s v="1800003929"/>
    <x v="4"/>
    <x v="41"/>
    <d v="2025-03-20T00:00:00"/>
    <s v="NA"/>
    <s v="246779413797"/>
    <s v="212100"/>
    <s v="Trade Debtors (Ctrl)"/>
    <s v=""/>
    <s v="01"/>
    <s v="USD"/>
    <n v="1750"/>
    <x v="0"/>
    <n v="151709.71"/>
    <s v="O0"/>
    <s v="6779224500"/>
    <s v=""/>
    <s v="NA"/>
    <s v="1"/>
    <s v="Ground Rent Jan 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3940"/>
    <x v="4"/>
    <x v="41"/>
    <d v="2025-03-20T00:00:00"/>
    <s v="NA"/>
    <s v="246779413808"/>
    <s v="212100"/>
    <s v="Trade Debtors (Ctrl)"/>
    <s v=""/>
    <s v="01"/>
    <s v="USD"/>
    <n v="1600"/>
    <x v="0"/>
    <n v="138706.01999999999"/>
    <s v="O0"/>
    <s v="6779224500"/>
    <s v=""/>
    <s v="NA"/>
    <s v="1"/>
    <s v="Ground Rent Feb 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3961"/>
    <x v="4"/>
    <x v="41"/>
    <d v="2025-03-21T00:00:00"/>
    <s v="NA"/>
    <s v="246779413817"/>
    <s v="212100"/>
    <s v="Trade Debtors (Ctrl)"/>
    <s v=""/>
    <s v="01"/>
    <s v="USD"/>
    <n v="50"/>
    <x v="0"/>
    <n v="4334.5600000000004"/>
    <s v="O0"/>
    <s v="6779224500"/>
    <s v=""/>
    <s v="NA"/>
    <s v="1"/>
    <s v="Scanning Charges for the month of Feb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3972"/>
    <x v="4"/>
    <x v="41"/>
    <d v="2025-03-21T00:00:00"/>
    <s v="NA"/>
    <s v="246779413828"/>
    <s v="212100"/>
    <s v="Trade Debtors (Ctrl)"/>
    <s v=""/>
    <s v="01"/>
    <s v="USD"/>
    <n v="50"/>
    <x v="0"/>
    <n v="4334.5600000000004"/>
    <s v="O0"/>
    <s v="6779224500"/>
    <s v=""/>
    <s v="NA"/>
    <s v="1"/>
    <s v="Scanning Charges for the month of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049"/>
    <x v="4"/>
    <x v="41"/>
    <d v="2025-03-21T00:00:00"/>
    <s v="NA"/>
    <s v="246779413905"/>
    <s v="212100"/>
    <s v="Trade Debtors (Ctrl)"/>
    <s v=""/>
    <s v="01"/>
    <s v="USD"/>
    <n v="4.4000000000000004"/>
    <x v="0"/>
    <n v="381.44"/>
    <s v="O0"/>
    <s v="6779224500"/>
    <s v=""/>
    <s v="NA"/>
    <s v="1"/>
    <s v="Outbound Handling charges for Feb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275"/>
    <x v="4"/>
    <x v="41"/>
    <d v="2025-03-21T00:00:00"/>
    <s v="NA"/>
    <s v="246779414143"/>
    <s v="212100"/>
    <s v="Trade Debtors (Ctrl)"/>
    <s v=""/>
    <s v="01"/>
    <s v="USD"/>
    <n v="566.11"/>
    <x v="0"/>
    <n v="49076.79"/>
    <s v="O0"/>
    <s v="6779224500"/>
    <s v=""/>
    <s v="NA"/>
    <s v="1"/>
    <s v="Inbound Handling charges for  Sep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276"/>
    <x v="4"/>
    <x v="41"/>
    <d v="2025-03-21T00:00:00"/>
    <s v="NA"/>
    <s v="246779414144"/>
    <s v="212100"/>
    <s v="Trade Debtors (Ctrl)"/>
    <s v=""/>
    <s v="01"/>
    <s v="USD"/>
    <n v="126"/>
    <x v="0"/>
    <n v="10923.1"/>
    <s v="O0"/>
    <s v="6779224500"/>
    <s v=""/>
    <s v="NA"/>
    <s v="1"/>
    <s v="LCL charges for Sep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277"/>
    <x v="4"/>
    <x v="41"/>
    <d v="2025-03-21T00:00:00"/>
    <s v="NA"/>
    <s v="246779414145"/>
    <s v="212100"/>
    <s v="Trade Debtors (Ctrl)"/>
    <s v=""/>
    <s v="01"/>
    <s v="USD"/>
    <n v="150"/>
    <x v="0"/>
    <n v="13003.69"/>
    <s v="O0"/>
    <s v="6779224500"/>
    <s v=""/>
    <s v="NA"/>
    <s v="1"/>
    <s v="Reefer Plugin charges for Sep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278"/>
    <x v="4"/>
    <x v="41"/>
    <d v="2025-03-21T00:00:00"/>
    <s v="NA"/>
    <s v="246779414146"/>
    <s v="212100"/>
    <s v="Trade Debtors (Ctrl)"/>
    <s v=""/>
    <s v="01"/>
    <s v="USD"/>
    <n v="19.350000000000001"/>
    <x v="0"/>
    <n v="1677.48"/>
    <s v="O0"/>
    <s v="6779224500"/>
    <s v=""/>
    <s v="NA"/>
    <s v="1"/>
    <s v="Ground Rent charges for Sep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354"/>
    <x v="4"/>
    <x v="41"/>
    <d v="2025-03-21T00:00:00"/>
    <s v="NA"/>
    <s v="246779414222"/>
    <s v="212100"/>
    <s v="Trade Debtors (Ctrl)"/>
    <s v=""/>
    <s v="01"/>
    <s v="USD"/>
    <n v="196.78"/>
    <x v="0"/>
    <n v="17059.11"/>
    <s v="O0"/>
    <s v="6779224500"/>
    <s v=""/>
    <s v="NA"/>
    <s v="1"/>
    <s v="Outbound Handling charges for Sep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529"/>
    <x v="4"/>
    <x v="41"/>
    <d v="2025-03-21T00:00:00"/>
    <s v="NA"/>
    <s v="246779414397"/>
    <s v="212100"/>
    <s v="Trade Debtors (Ctrl)"/>
    <s v=""/>
    <s v="01"/>
    <s v="USD"/>
    <n v="7.03"/>
    <x v="0"/>
    <n v="609.44000000000005"/>
    <s v="O0"/>
    <s v="6779224500"/>
    <s v=""/>
    <s v="NA"/>
    <s v="1"/>
    <s v="Loose handling Charges for Nov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530"/>
    <x v="4"/>
    <x v="41"/>
    <d v="2025-03-21T00:00:00"/>
    <s v="NA"/>
    <s v="246779414398"/>
    <s v="212100"/>
    <s v="Trade Debtors (Ctrl)"/>
    <s v=""/>
    <s v="01"/>
    <s v="USD"/>
    <n v="32.380000000000003"/>
    <x v="0"/>
    <n v="2807.06"/>
    <s v="O0"/>
    <s v="6779224500"/>
    <s v=""/>
    <s v="NA"/>
    <s v="1"/>
    <s v="Inbound Handling charges for Nov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531"/>
    <x v="4"/>
    <x v="41"/>
    <d v="2025-03-21T00:00:00"/>
    <s v="NA"/>
    <s v="246779414399"/>
    <s v="212100"/>
    <s v="Trade Debtors (Ctrl)"/>
    <s v=""/>
    <s v="01"/>
    <s v="USD"/>
    <n v="77.040000000000006"/>
    <x v="0"/>
    <n v="6678.69"/>
    <s v="O0"/>
    <s v="6779224500"/>
    <s v=""/>
    <s v="NA"/>
    <s v="1"/>
    <s v="LCL Movement Charges for Nov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867"/>
    <x v="4"/>
    <x v="41"/>
    <d v="2025-03-21T00:00:00"/>
    <s v="NA"/>
    <s v="246779414735"/>
    <s v="212100"/>
    <s v="Trade Debtors (Ctrl)"/>
    <s v=""/>
    <s v="01"/>
    <s v="USD"/>
    <n v="97.4"/>
    <x v="0"/>
    <n v="8443.73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5018"/>
    <x v="4"/>
    <x v="41"/>
    <d v="2025-03-21T00:00:00"/>
    <s v="NA"/>
    <s v="246779414886"/>
    <s v="212100"/>
    <s v="Trade Debtors (Ctrl)"/>
    <s v=""/>
    <s v="01"/>
    <s v="USD"/>
    <n v="30.8"/>
    <x v="0"/>
    <n v="2670.09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5019"/>
    <x v="4"/>
    <x v="41"/>
    <d v="2025-03-21T00:00:00"/>
    <s v="NA"/>
    <s v="246779414887"/>
    <s v="212100"/>
    <s v="Trade Debtors (Ctrl)"/>
    <s v=""/>
    <s v="01"/>
    <s v="USD"/>
    <n v="7.27"/>
    <x v="0"/>
    <n v="630.25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5020"/>
    <x v="4"/>
    <x v="41"/>
    <d v="2025-03-21T00:00:00"/>
    <s v="NA"/>
    <s v="246779414888"/>
    <s v="212100"/>
    <s v="Trade Debtors (Ctrl)"/>
    <s v=""/>
    <s v="01"/>
    <s v="USD"/>
    <n v="10.91"/>
    <x v="0"/>
    <n v="945.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5021"/>
    <x v="4"/>
    <x v="41"/>
    <d v="2025-03-21T00:00:00"/>
    <s v="NA"/>
    <s v="246779414889"/>
    <s v="212100"/>
    <s v="Trade Debtors (Ctrl)"/>
    <s v=""/>
    <s v="01"/>
    <s v="USD"/>
    <n v="2.52"/>
    <x v="0"/>
    <n v="218.46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5022"/>
    <x v="4"/>
    <x v="41"/>
    <d v="2025-03-21T00:00:00"/>
    <s v="NA"/>
    <s v="246779414890"/>
    <s v="212100"/>
    <s v="Trade Debtors (Ctrl)"/>
    <s v=""/>
    <s v="01"/>
    <s v="USD"/>
    <n v="44"/>
    <x v="0"/>
    <n v="3814.4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600"/>
    <x v="4"/>
    <x v="41"/>
    <d v="2025-03-21T00:00:00"/>
    <s v="NA"/>
    <s v="246779414468"/>
    <s v="212100"/>
    <s v="Trade Debtors (Ctrl)"/>
    <s v=""/>
    <s v="01"/>
    <s v="USD"/>
    <n v="92.22"/>
    <x v="0"/>
    <n v="7994.67"/>
    <s v="O0"/>
    <s v="6779224500"/>
    <s v=""/>
    <s v="NA"/>
    <s v="1"/>
    <s v="Inbound Handling charges for Jan 2025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736"/>
    <x v="4"/>
    <x v="41"/>
    <d v="2025-03-21T00:00:00"/>
    <s v="NA"/>
    <s v="246779414604"/>
    <s v="212100"/>
    <s v="Trade Debtors (Ctrl)"/>
    <s v=""/>
    <s v="01"/>
    <s v="USD"/>
    <n v="458.06"/>
    <x v="0"/>
    <n v="39709.800000000003"/>
    <s v="O0"/>
    <s v="6779224500"/>
    <s v=""/>
    <s v="NA"/>
    <s v="1"/>
    <s v="Outbound Handling charges for Oct 2024"/>
    <s v=""/>
    <s v=""/>
    <s v=""/>
    <d v="2025-03-20T00:00:00"/>
    <m/>
    <s v=""/>
  </r>
  <r>
    <s v="Not Selected"/>
    <s v="6779"/>
    <s v="100222372"/>
    <s v="SHAH TC GLOBAL EXIM LLP"/>
    <s v="2025"/>
    <s v="3"/>
    <d v="2025-03-20T00:00:00"/>
    <s v="1800004814"/>
    <x v="4"/>
    <x v="41"/>
    <d v="2025-03-21T00:00:00"/>
    <s v="NA"/>
    <s v="246779414682"/>
    <s v="212100"/>
    <s v="Trade Debtors (Ctrl)"/>
    <s v=""/>
    <s v="01"/>
    <s v="USD"/>
    <n v="90.86"/>
    <x v="0"/>
    <n v="7876.77"/>
    <s v="O0"/>
    <s v="6779224500"/>
    <s v=""/>
    <s v="NA"/>
    <s v="1"/>
    <s v="Outbound Handling charges for Nov 2024"/>
    <s v=""/>
    <s v=""/>
    <s v=""/>
    <d v="2025-03-20T00:00:00"/>
    <m/>
    <s v=""/>
  </r>
  <r>
    <s v="Not Selected"/>
    <s v="6779"/>
    <s v="100222372"/>
    <s v="SHAH TC GLOBAL EXIM LLP"/>
    <s v="2025"/>
    <s v="2"/>
    <d v="2025-02-20T00:00:00"/>
    <s v="1800000101"/>
    <x v="4"/>
    <x v="42"/>
    <d v="2025-02-20T00:00:00"/>
    <s v="NA"/>
    <s v="246779410029"/>
    <s v="212100"/>
    <s v="Trade Debtors (Ctrl)"/>
    <s v=""/>
    <s v="01"/>
    <s v="USD"/>
    <n v="1190.48"/>
    <x v="0"/>
    <n v="102742.78"/>
    <s v="O0"/>
    <s v="6779224500"/>
    <s v=""/>
    <s v="NA"/>
    <s v="1"/>
    <s v="Fixed Rental charges for Sept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127"/>
    <x v="4"/>
    <x v="42"/>
    <d v="2025-02-20T00:00:00"/>
    <s v="NA"/>
    <s v="246779410055"/>
    <s v="212100"/>
    <s v="Trade Debtors (Ctrl)"/>
    <s v=""/>
    <s v="01"/>
    <s v="USD"/>
    <n v="416.67"/>
    <x v="0"/>
    <n v="35960.15"/>
    <s v="O0"/>
    <s v="6779224500"/>
    <s v=""/>
    <s v="NA"/>
    <s v="1"/>
    <s v="Management Fees for Sept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170"/>
    <x v="4"/>
    <x v="42"/>
    <d v="2025-02-20T00:00:00"/>
    <s v="NA"/>
    <s v="246779410097"/>
    <s v="212100"/>
    <s v="Trade Debtors (Ctrl)"/>
    <s v=""/>
    <s v="01"/>
    <s v="USD"/>
    <n v="1190.48"/>
    <x v="0"/>
    <n v="102742.78"/>
    <s v="O0"/>
    <s v="6779224500"/>
    <s v=""/>
    <s v="NA"/>
    <s v="1"/>
    <s v="Fixed Rental charges for Nov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196"/>
    <x v="4"/>
    <x v="42"/>
    <d v="2025-02-20T00:00:00"/>
    <s v="NA"/>
    <s v="246779410123"/>
    <s v="212100"/>
    <s v="Trade Debtors (Ctrl)"/>
    <s v=""/>
    <s v="01"/>
    <s v="USD"/>
    <n v="416.67"/>
    <x v="0"/>
    <n v="35960.15"/>
    <s v="O0"/>
    <s v="6779224500"/>
    <s v=""/>
    <s v="NA"/>
    <s v="1"/>
    <s v="Management Fees for Nov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213"/>
    <x v="4"/>
    <x v="42"/>
    <d v="2025-02-20T00:00:00"/>
    <s v="NA"/>
    <s v="246779410140"/>
    <s v="212100"/>
    <s v="Trade Debtors (Ctrl)"/>
    <s v=""/>
    <s v="01"/>
    <s v="USD"/>
    <n v="1190.48"/>
    <x v="0"/>
    <n v="102742.78"/>
    <s v="O0"/>
    <s v="6779224500"/>
    <s v=""/>
    <s v="NA"/>
    <s v="1"/>
    <s v="Fixed Rental charges for Dec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239"/>
    <x v="4"/>
    <x v="42"/>
    <d v="2025-02-20T00:00:00"/>
    <s v="NA"/>
    <s v="246779410166"/>
    <s v="212100"/>
    <s v="Trade Debtors (Ctrl)"/>
    <s v=""/>
    <s v="01"/>
    <s v="USD"/>
    <n v="416.67"/>
    <x v="0"/>
    <n v="35960.15"/>
    <s v="O0"/>
    <s v="6779224500"/>
    <s v=""/>
    <s v="NA"/>
    <s v="1"/>
    <s v="Management Fees for Dec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256"/>
    <x v="4"/>
    <x v="42"/>
    <d v="2025-02-20T00:00:00"/>
    <s v="NA"/>
    <s v="246779410183"/>
    <s v="212100"/>
    <s v="Trade Debtors (Ctrl)"/>
    <s v=""/>
    <s v="01"/>
    <s v="USD"/>
    <n v="1166.5899999999999"/>
    <x v="0"/>
    <n v="100680.99"/>
    <s v="O0"/>
    <s v="6779224500"/>
    <s v=""/>
    <s v="NA"/>
    <s v="1"/>
    <s v="Fixed Rental charges for Jan 2025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282"/>
    <x v="4"/>
    <x v="42"/>
    <d v="2025-02-20T00:00:00"/>
    <s v="NA"/>
    <s v="246779410209"/>
    <s v="212100"/>
    <s v="Trade Debtors (Ctrl)"/>
    <s v=""/>
    <s v="01"/>
    <s v="USD"/>
    <n v="408.31"/>
    <x v="0"/>
    <n v="35238.65"/>
    <s v="O0"/>
    <s v="6779224500"/>
    <s v=""/>
    <s v="NA"/>
    <s v="1"/>
    <s v="Management Fees for Jan 2025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299"/>
    <x v="4"/>
    <x v="42"/>
    <d v="2025-02-20T00:00:00"/>
    <s v="NA"/>
    <s v="246779410226"/>
    <s v="212100"/>
    <s v="Trade Debtors (Ctrl)"/>
    <s v=""/>
    <s v="01"/>
    <s v="USD"/>
    <n v="1143.1199999999999"/>
    <x v="0"/>
    <n v="98655.44"/>
    <s v="O0"/>
    <s v="6779224500"/>
    <s v=""/>
    <s v="NA"/>
    <s v="1"/>
    <s v="Fixed Rental charges for Feb 2025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325"/>
    <x v="4"/>
    <x v="42"/>
    <d v="2025-02-20T00:00:00"/>
    <s v="NA"/>
    <s v="246779410252"/>
    <s v="212100"/>
    <s v="Trade Debtors (Ctrl)"/>
    <s v=""/>
    <s v="01"/>
    <s v="USD"/>
    <n v="400.09"/>
    <x v="0"/>
    <n v="34529.230000000003"/>
    <s v="O0"/>
    <s v="6779224500"/>
    <s v=""/>
    <s v="NA"/>
    <s v="1"/>
    <s v="Management Fees for Feb 2025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070"/>
    <x v="4"/>
    <x v="42"/>
    <d v="2025-02-21T00:00:00"/>
    <s v="NA"/>
    <s v="246779410276"/>
    <s v="212100"/>
    <s v="Trade Debtors (Ctrl)"/>
    <s v=""/>
    <s v="01"/>
    <s v="USD"/>
    <n v="1190.48"/>
    <x v="0"/>
    <n v="102742.78"/>
    <s v="O0"/>
    <s v="6779224500"/>
    <s v=""/>
    <s v="NA"/>
    <s v="1"/>
    <s v="Fixed Rental charges for Oct 2024"/>
    <s v=""/>
    <s v=""/>
    <s v=""/>
    <d v="2025-02-20T00:00:00"/>
    <m/>
    <s v=""/>
  </r>
  <r>
    <s v="Not Selected"/>
    <s v="6779"/>
    <s v="100222372"/>
    <s v="SHAH TC GLOBAL EXIM LLP"/>
    <s v="2025"/>
    <s v="2"/>
    <d v="2025-02-20T00:00:00"/>
    <s v="1800000141"/>
    <x v="4"/>
    <x v="42"/>
    <d v="2025-02-21T00:00:00"/>
    <s v="NA"/>
    <s v="246779410308"/>
    <s v="212100"/>
    <s v="Trade Debtors (Ctrl)"/>
    <s v=""/>
    <s v="01"/>
    <s v="USD"/>
    <n v="416.67"/>
    <x v="0"/>
    <n v="35960.15"/>
    <s v="O0"/>
    <s v="6779224500"/>
    <s v=""/>
    <s v="NA"/>
    <s v="1"/>
    <s v="Management Fees for Oct 2024"/>
    <s v=""/>
    <s v=""/>
    <s v=""/>
    <d v="2025-02-20T00:00:00"/>
    <m/>
    <s v=""/>
  </r>
  <r>
    <s v="Selected"/>
    <s v="6779"/>
    <s v="100222372"/>
    <s v="SHAH TC GLOBAL EXIM LLP"/>
    <s v="2025"/>
    <s v="2"/>
    <d v="2025-02-20T00:00:00"/>
    <s v="1800000040"/>
    <x v="4"/>
    <x v="42"/>
    <d v="2025-02-20T00:00:00"/>
    <s v="NA"/>
    <s v="246779410077"/>
    <s v="212100"/>
    <s v="Trade Debtors (Ctrl)"/>
    <s v=""/>
    <s v="01"/>
    <s v="USD"/>
    <n v="416.67"/>
    <x v="0"/>
    <n v="35960.15"/>
    <s v="O0"/>
    <s v="6779224500"/>
    <s v=""/>
    <s v="NA"/>
    <s v="1"/>
    <s v="Management Fees - Aug 2024"/>
    <s v=""/>
    <s v=""/>
    <s v=""/>
    <d v="2025-02-20T00:00:00"/>
    <d v="2025-08-18T00:00:00"/>
    <s v="1400000854"/>
  </r>
  <r>
    <s v="Not Selected"/>
    <s v="6779"/>
    <s v="100222372"/>
    <s v="SHAH TC GLOBAL EXIM LLP"/>
    <s v="2025"/>
    <s v="8"/>
    <d v="2025-08-20T00:00:00"/>
    <s v="1800012185"/>
    <x v="4"/>
    <x v="43"/>
    <d v="2025-08-22T00:00:00"/>
    <s v="NA"/>
    <s v="256779416817"/>
    <s v="212100"/>
    <s v="Trade Debtors (Ctrl)"/>
    <s v=""/>
    <s v="01"/>
    <s v="USD"/>
    <n v="180"/>
    <x v="0"/>
    <n v="15485.42"/>
    <s v="O0"/>
    <s v="6779224500"/>
    <s v=""/>
    <s v="NA"/>
    <s v="1"/>
    <s v="Transportation In Chgs - 01 - 15 Aug 25"/>
    <s v=""/>
    <s v=""/>
    <s v=""/>
    <d v="2025-08-20T00:00:00"/>
    <m/>
    <s v=""/>
  </r>
  <r>
    <s v="Not Selected"/>
    <s v="6779"/>
    <s v="100222372"/>
    <s v="SHAH TC GLOBAL EXIM LLP"/>
    <s v="2025"/>
    <s v="8"/>
    <d v="2025-08-20T00:00:00"/>
    <s v="1800012249"/>
    <x v="4"/>
    <x v="43"/>
    <d v="2025-08-22T00:00:00"/>
    <s v="NA"/>
    <s v="256779416845"/>
    <s v="212100"/>
    <s v="Trade Debtors (Ctrl)"/>
    <s v=""/>
    <s v="01"/>
    <s v="USD"/>
    <n v="492.48"/>
    <x v="0"/>
    <n v="42368.11"/>
    <s v="O0"/>
    <s v="6779224500"/>
    <s v=""/>
    <s v="NA"/>
    <s v="1"/>
    <s v="Transportation In Chgs - 01 - 15 AUG 25"/>
    <s v=""/>
    <s v=""/>
    <s v=""/>
    <d v="2025-08-20T00:00:00"/>
    <m/>
    <s v=""/>
  </r>
  <r>
    <s v="Not Selected"/>
    <s v="6779"/>
    <s v="100222372"/>
    <s v="SHAH TC GLOBAL EXIM LLP"/>
    <s v="2025"/>
    <s v="8"/>
    <d v="2025-08-20T00:00:00"/>
    <s v="1800012217"/>
    <x v="4"/>
    <x v="43"/>
    <d v="2025-08-22T00:00:00"/>
    <s v="NA"/>
    <s v="256779416879"/>
    <s v="212100"/>
    <s v="Trade Debtors (Ctrl)"/>
    <s v=""/>
    <s v="01"/>
    <s v="USD"/>
    <n v="84.14"/>
    <x v="0"/>
    <n v="7238.57"/>
    <s v="O0"/>
    <s v="6779224500"/>
    <s v=""/>
    <s v="NA"/>
    <s v="1"/>
    <s v="Outbound chgs - 01 - 15 Aug 25"/>
    <s v=""/>
    <s v=""/>
    <s v=""/>
    <d v="2025-08-20T00:00:00"/>
    <m/>
    <s v=""/>
  </r>
  <r>
    <s v="Selected"/>
    <s v="6779"/>
    <s v="100222372"/>
    <s v="SHAH TC GLOBAL EXIM LLP"/>
    <s v="2025"/>
    <s v="2"/>
    <d v="2025-02-19T00:00:00"/>
    <s v="1800000016"/>
    <x v="4"/>
    <x v="44"/>
    <d v="2025-02-20T00:00:00"/>
    <s v="NA"/>
    <s v="246779410009"/>
    <s v="212100"/>
    <s v="Trade Debtors (Ctrl)"/>
    <s v=""/>
    <s v="01"/>
    <s v="USD"/>
    <n v="1190.48"/>
    <x v="0"/>
    <n v="102742.78"/>
    <s v="O0"/>
    <s v="6779224500"/>
    <s v=""/>
    <s v="NA"/>
    <s v="1"/>
    <s v="Fixed Rental charges for Aug 2024"/>
    <s v=""/>
    <s v=""/>
    <s v=""/>
    <d v="2025-02-19T00:00:00"/>
    <d v="2025-08-18T00:00:00"/>
    <s v="1400000854"/>
  </r>
  <r>
    <s v="Not Selected"/>
    <s v="6779"/>
    <s v="100222372"/>
    <s v="SHAH TC GLOBAL EXIM LLP"/>
    <s v="2025"/>
    <s v="9"/>
    <d v="2025-09-23T00:00:00"/>
    <s v="1600002318"/>
    <x v="5"/>
    <x v="45"/>
    <d v="2025-09-23T00:00:00"/>
    <s v="NA"/>
    <s v="256779421873"/>
    <s v="212100"/>
    <s v="Trade Debtors (Ctrl)"/>
    <s v=""/>
    <s v="11"/>
    <s v="USD"/>
    <n v="-260.79000000000002"/>
    <x v="0"/>
    <n v="-22423.69"/>
    <s v="O0"/>
    <s v="6779224500"/>
    <s v=""/>
    <s v="2104190"/>
    <s v="1"/>
    <s v="Credit Note Raised against INV_256779413886"/>
    <s v=""/>
    <s v=""/>
    <s v=""/>
    <d v="2025-09-23T00:00:00"/>
    <m/>
    <s v=""/>
  </r>
  <r>
    <s v="Selected"/>
    <s v="6779"/>
    <s v="100222372"/>
    <s v="SHAH TC GLOBAL EXIM LLP"/>
    <s v="2025"/>
    <s v="6"/>
    <d v="2025-06-13T00:00:00"/>
    <s v="1800009577"/>
    <x v="4"/>
    <x v="46"/>
    <d v="2025-06-17T00:00:00"/>
    <s v="NA"/>
    <s v="256779414341"/>
    <s v="212100"/>
    <s v="Trade Debtors (Ctrl)"/>
    <s v=""/>
    <s v="01"/>
    <s v="USD"/>
    <n v="200"/>
    <x v="0"/>
    <n v="17098.16"/>
    <s v="O0"/>
    <s v="6779224500"/>
    <s v=""/>
    <s v="NA"/>
    <s v="1"/>
    <s v="CY Longstanding - March 25,16-31"/>
    <s v=""/>
    <s v=""/>
    <s v=""/>
    <d v="2025-06-13T00:00:00"/>
    <d v="2025-08-19T00:00:00"/>
    <s v="1400000864"/>
  </r>
  <r>
    <s v="Not Selected"/>
    <s v="6779"/>
    <s v="100222372"/>
    <s v="SHAH TC GLOBAL EXIM LLP"/>
    <s v="2025"/>
    <s v="5"/>
    <d v="2025-05-20T00:00:00"/>
    <s v="1800008723"/>
    <x v="4"/>
    <x v="20"/>
    <d v="2025-05-28T00:00:00"/>
    <s v="NA"/>
    <s v="256779413487"/>
    <s v="212100"/>
    <s v="Trade Debtors (Ctrl)"/>
    <s v=""/>
    <s v="01"/>
    <s v="USD"/>
    <n v="97.9"/>
    <x v="0"/>
    <n v="8417.7999999999993"/>
    <s v="O0"/>
    <s v="6779224500"/>
    <s v=""/>
    <s v="NA"/>
    <s v="1"/>
    <s v="Outbound chgs - 01 - 15 MAY 25"/>
    <s v=""/>
    <s v=""/>
    <s v=""/>
    <d v="2025-05-20T00:00:00"/>
    <m/>
    <s v=""/>
  </r>
  <r>
    <s v="Not Selected"/>
    <s v="6779"/>
    <s v="100222372"/>
    <s v="SHAH TC GLOBAL EXIM LLP"/>
    <s v="2025"/>
    <s v="5"/>
    <d v="2025-05-20T00:00:00"/>
    <s v="1800009122"/>
    <x v="4"/>
    <x v="20"/>
    <d v="2025-05-28T00:00:00"/>
    <s v="NA"/>
    <s v="256779413886"/>
    <s v="212100"/>
    <s v="Trade Debtors (Ctrl)"/>
    <s v=""/>
    <s v="01"/>
    <s v="USD"/>
    <n v="260.79000000000002"/>
    <x v="0"/>
    <n v="22423.69"/>
    <s v="O0"/>
    <s v="6779224500"/>
    <s v=""/>
    <s v="NA"/>
    <s v="1"/>
    <s v="LCL Chgs - 01-15 MAY 25"/>
    <s v=""/>
    <s v=""/>
    <s v=""/>
    <d v="2025-05-20T00:00:00"/>
    <m/>
    <s v=""/>
  </r>
  <r>
    <s v="Not Selected"/>
    <s v="6779"/>
    <s v="100222372"/>
    <s v="SHAH TC GLOBAL EXIM LLP"/>
    <s v="2025"/>
    <s v="8"/>
    <d v="2025-08-04T00:00:00"/>
    <s v="1800011380"/>
    <x v="4"/>
    <x v="47"/>
    <d v="2025-08-04T00:00:00"/>
    <s v="NA"/>
    <s v="256779416064"/>
    <s v="212100"/>
    <s v="Trade Debtors (Ctrl)"/>
    <s v=""/>
    <s v="01"/>
    <s v="USD"/>
    <n v="2006"/>
    <x v="0"/>
    <n v="172517.34"/>
    <s v="O2"/>
    <s v="6779224500"/>
    <s v=""/>
    <s v="NA"/>
    <s v="1"/>
    <s v="Debit note raised against 256779421172"/>
    <s v=""/>
    <s v=""/>
    <s v=""/>
    <d v="2025-08-04T00:00:00"/>
    <m/>
    <s v=""/>
  </r>
  <r>
    <s v="Not Selected"/>
    <s v="6779"/>
    <s v="100222372"/>
    <s v="SHAH TC GLOBAL EXIM LLP"/>
    <s v="2025"/>
    <s v="8"/>
    <d v="2025-08-04T00:00:00"/>
    <s v="1800011381"/>
    <x v="4"/>
    <x v="47"/>
    <d v="2025-08-04T00:00:00"/>
    <s v="NA"/>
    <s v="256779416065"/>
    <s v="212100"/>
    <s v="Trade Debtors (Ctrl)"/>
    <s v=""/>
    <s v="01"/>
    <s v="USD"/>
    <n v="2065"/>
    <x v="0"/>
    <n v="177591.38"/>
    <s v="O2"/>
    <s v="6779224500"/>
    <s v=""/>
    <s v="NA"/>
    <s v="1"/>
    <s v="Debit note raised against 256779421173"/>
    <s v=""/>
    <s v=""/>
    <s v=""/>
    <d v="2025-08-04T00:00:00"/>
    <m/>
    <s v=""/>
  </r>
  <r>
    <s v="Not Selected"/>
    <s v="6779"/>
    <s v="100222372"/>
    <s v="SHAH TC GLOBAL EXIM LLP"/>
    <s v="2025"/>
    <s v="8"/>
    <d v="2025-08-04T00:00:00"/>
    <s v="1800011382"/>
    <x v="4"/>
    <x v="47"/>
    <d v="2025-08-04T00:00:00"/>
    <s v="NA"/>
    <s v="256779416066"/>
    <s v="212100"/>
    <s v="Trade Debtors (Ctrl)"/>
    <s v=""/>
    <s v="01"/>
    <s v="USD"/>
    <n v="2006"/>
    <x v="0"/>
    <n v="172517.34"/>
    <s v="O2"/>
    <s v="6779224500"/>
    <s v=""/>
    <s v="NA"/>
    <s v="1"/>
    <s v="Debit note raised against 256779421174"/>
    <s v=""/>
    <s v=""/>
    <s v=""/>
    <d v="2025-08-04T00:00:00"/>
    <m/>
    <s v=""/>
  </r>
  <r>
    <s v="Not Selected"/>
    <s v="6779"/>
    <s v="100222372"/>
    <s v="SHAH TC GLOBAL EXIM LLP"/>
    <s v="2025"/>
    <s v="8"/>
    <d v="2025-08-04T00:00:00"/>
    <s v="1800011383"/>
    <x v="4"/>
    <x v="47"/>
    <d v="2025-08-04T00:00:00"/>
    <s v="NA"/>
    <s v="256779416067"/>
    <s v="212100"/>
    <s v="Trade Debtors (Ctrl)"/>
    <s v=""/>
    <s v="01"/>
    <s v="USD"/>
    <n v="2065"/>
    <x v="0"/>
    <n v="177591.38"/>
    <s v="O2"/>
    <s v="6779224500"/>
    <s v=""/>
    <s v="NA"/>
    <s v="1"/>
    <s v="Debit note raised against 256779421175"/>
    <s v=""/>
    <s v=""/>
    <s v=""/>
    <d v="2025-08-04T00:00:00"/>
    <m/>
    <s v=""/>
  </r>
  <r>
    <s v="Not Selected"/>
    <s v="6779"/>
    <s v="100222372"/>
    <s v="SHAH TC GLOBAL EXIM LLP"/>
    <s v="2025"/>
    <s v="4"/>
    <d v="2025-04-03T00:00:00"/>
    <s v="1800005190"/>
    <x v="4"/>
    <x v="48"/>
    <d v="2025-04-05T00:00:00"/>
    <s v="NA"/>
    <s v="256779410136"/>
    <s v="212100"/>
    <s v="Trade Debtors (Ctrl)"/>
    <s v=""/>
    <s v="01"/>
    <s v="USD"/>
    <n v="9.85"/>
    <x v="0"/>
    <n v="856.18"/>
    <s v="O0"/>
    <s v=""/>
    <s v=""/>
    <s v="NA"/>
    <s v="1"/>
    <s v="Outbound Handling charges for Mar 25"/>
    <s v=""/>
    <s v=""/>
    <s v=""/>
    <d v="2025-04-03T00:00:00"/>
    <m/>
    <s v=""/>
  </r>
  <r>
    <s v="Not Selected"/>
    <s v="6779"/>
    <s v="100222372"/>
    <s v="SHAH TC GLOBAL EXIM LLP"/>
    <s v="2025"/>
    <s v="4"/>
    <d v="2025-04-03T00:00:00"/>
    <s v="1800005364"/>
    <x v="4"/>
    <x v="48"/>
    <d v="2025-04-05T00:00:00"/>
    <s v="NA"/>
    <s v="256779410256"/>
    <s v="212100"/>
    <s v="Trade Debtors (Ctrl)"/>
    <s v=""/>
    <s v="01"/>
    <s v="USD"/>
    <n v="408.31"/>
    <x v="0"/>
    <n v="35491.050000000003"/>
    <s v="O0"/>
    <s v=""/>
    <s v=""/>
    <s v="NA"/>
    <s v="1"/>
    <s v="Management Fees for Jan 2025"/>
    <s v=""/>
    <s v=""/>
    <s v=""/>
    <d v="2025-04-03T00:00:00"/>
    <m/>
    <s v=""/>
  </r>
  <r>
    <s v="Not Selected"/>
    <s v="6779"/>
    <s v="100222372"/>
    <s v="SHAH TC GLOBAL EXIM LLP"/>
    <s v="2025"/>
    <s v="4"/>
    <d v="2025-04-03T00:00:00"/>
    <s v="1800005405"/>
    <x v="4"/>
    <x v="48"/>
    <d v="2025-04-05T00:00:00"/>
    <s v="NA"/>
    <s v="256779410297"/>
    <s v="212100"/>
    <s v="Trade Debtors (Ctrl)"/>
    <s v=""/>
    <s v="01"/>
    <s v="USD"/>
    <n v="400.09"/>
    <x v="0"/>
    <n v="34776.550000000003"/>
    <s v="O0"/>
    <s v=""/>
    <s v=""/>
    <s v="NA"/>
    <s v="1"/>
    <s v="Management Fees for Feb 2025"/>
    <s v=""/>
    <s v=""/>
    <s v=""/>
    <d v="2025-04-03T00:00:00"/>
    <m/>
    <s v=""/>
  </r>
  <r>
    <s v="Selected"/>
    <s v="6779"/>
    <s v="100222372"/>
    <s v="SHAH TC GLOBAL EXIM LLP"/>
    <s v="2025"/>
    <s v="4"/>
    <d v="2025-04-03T00:00:00"/>
    <s v="1800005338"/>
    <x v="4"/>
    <x v="48"/>
    <d v="2025-04-05T00:00:00"/>
    <s v="NA"/>
    <s v="256779410230"/>
    <s v="212100"/>
    <s v="Trade Debtors (Ctrl)"/>
    <s v=""/>
    <s v="01"/>
    <s v="USD"/>
    <n v="1166.5899999999999"/>
    <x v="0"/>
    <n v="101402.13"/>
    <s v="O0"/>
    <s v=""/>
    <s v=""/>
    <s v="NA"/>
    <s v="1"/>
    <s v="Fixed Rental charges for Jan 2025"/>
    <s v=""/>
    <s v=""/>
    <s v=""/>
    <d v="2025-04-03T00:00:00"/>
    <d v="2025-07-04T00:00:00"/>
    <s v="1400000214"/>
  </r>
  <r>
    <s v="Selected"/>
    <s v="6779"/>
    <s v="100222372"/>
    <s v="SHAH TC GLOBAL EXIM LLP"/>
    <s v="2025"/>
    <s v="4"/>
    <d v="2025-04-03T00:00:00"/>
    <s v="1800005379"/>
    <x v="4"/>
    <x v="48"/>
    <d v="2025-04-05T00:00:00"/>
    <s v="NA"/>
    <s v="256779410271"/>
    <s v="212100"/>
    <s v="Trade Debtors (Ctrl)"/>
    <s v=""/>
    <s v="01"/>
    <s v="USD"/>
    <n v="1143.1199999999999"/>
    <x v="0"/>
    <n v="99362.07"/>
    <s v="O0"/>
    <s v=""/>
    <s v=""/>
    <s v="NA"/>
    <s v="1"/>
    <s v="Fixed Rental charges for Feb 2025"/>
    <s v=""/>
    <s v=""/>
    <s v=""/>
    <d v="2025-04-03T00:00:00"/>
    <d v="2025-07-04T00:00:00"/>
    <s v="1400000215"/>
  </r>
  <r>
    <s v="Selected"/>
    <s v="6779"/>
    <s v="100222372"/>
    <s v="SHAH TC GLOBAL EXIM LLP"/>
    <s v="2025"/>
    <s v="4"/>
    <d v="2025-04-03T00:00:00"/>
    <s v="1800005060"/>
    <x v="4"/>
    <x v="48"/>
    <d v="2025-04-05T00:00:00"/>
    <s v="NA"/>
    <s v="256779410006"/>
    <s v="212100"/>
    <s v="Trade Debtors (Ctrl)"/>
    <s v=""/>
    <s v="01"/>
    <s v="USD"/>
    <n v="1700"/>
    <x v="0"/>
    <n v="147767.09"/>
    <s v="O0"/>
    <s v=""/>
    <s v=""/>
    <s v="NA"/>
    <s v="1"/>
    <s v="CY Longstanding container Ground Rent charges for"/>
    <s v=""/>
    <s v=""/>
    <s v=""/>
    <d v="2025-04-03T00:00:00"/>
    <d v="2025-09-02T00:00:00"/>
    <s v="1400001110"/>
  </r>
  <r>
    <s v="Selected"/>
    <s v="6779"/>
    <s v="100222372"/>
    <s v="SHAH TC GLOBAL EXIM LLP"/>
    <s v="2025"/>
    <s v="4"/>
    <d v="2025-04-03T00:00:00"/>
    <s v="1800005066"/>
    <x v="4"/>
    <x v="48"/>
    <d v="2025-04-05T00:00:00"/>
    <s v="NA"/>
    <s v="256779410012"/>
    <s v="212100"/>
    <s v="Trade Debtors (Ctrl)"/>
    <s v=""/>
    <s v="01"/>
    <s v="USD"/>
    <n v="1750"/>
    <x v="0"/>
    <n v="152113.19"/>
    <s v="O0"/>
    <s v=""/>
    <s v=""/>
    <s v="NA"/>
    <s v="1"/>
    <s v="CY Longstanding container Ground Rent charges for"/>
    <s v=""/>
    <s v=""/>
    <s v=""/>
    <d v="2025-04-03T00:00:00"/>
    <d v="2025-09-02T00:00:00"/>
    <s v="1400001110"/>
  </r>
  <r>
    <s v="Selected"/>
    <s v="6779"/>
    <s v="100222372"/>
    <s v="SHAH TC GLOBAL EXIM LLP"/>
    <s v="2025"/>
    <s v="4"/>
    <d v="2025-04-03T00:00:00"/>
    <s v="1800005069"/>
    <x v="4"/>
    <x v="48"/>
    <d v="2025-04-05T00:00:00"/>
    <s v="NA"/>
    <s v="256779410015"/>
    <s v="212100"/>
    <s v="Trade Debtors (Ctrl)"/>
    <s v=""/>
    <s v="01"/>
    <s v="USD"/>
    <n v="1700"/>
    <x v="0"/>
    <n v="147767.09"/>
    <s v="O0"/>
    <s v=""/>
    <s v=""/>
    <s v="NA"/>
    <s v="1"/>
    <s v="CY Longstanding container Ground Rent charges for"/>
    <s v=""/>
    <s v=""/>
    <s v=""/>
    <d v="2025-04-03T00:00:00"/>
    <d v="2025-09-02T00:00:00"/>
    <s v="1400001110"/>
  </r>
  <r>
    <s v="Selected"/>
    <s v="6779"/>
    <s v="100222372"/>
    <s v="SHAH TC GLOBAL EXIM LLP"/>
    <s v="2025"/>
    <s v="4"/>
    <d v="2025-04-03T00:00:00"/>
    <s v="1800005332"/>
    <x v="4"/>
    <x v="48"/>
    <d v="2025-04-05T00:00:00"/>
    <s v="NA"/>
    <s v="256779410224"/>
    <s v="212100"/>
    <s v="Trade Debtors (Ctrl)"/>
    <s v=""/>
    <s v="01"/>
    <s v="USD"/>
    <n v="1750"/>
    <x v="0"/>
    <n v="152113.19"/>
    <s v="O0"/>
    <s v=""/>
    <s v=""/>
    <s v="NA"/>
    <s v="1"/>
    <s v="CY Longstanding container Ground Rent charges for"/>
    <s v=""/>
    <s v=""/>
    <s v=""/>
    <d v="2025-04-03T00:00:00"/>
    <d v="2025-09-02T00:00:00"/>
    <s v="1400001110"/>
  </r>
  <r>
    <s v="Not Selected"/>
    <s v="6779"/>
    <s v="100222372"/>
    <s v="SHAH TC GLOBAL EXIM LLP"/>
    <s v="2025"/>
    <s v="10"/>
    <d v="2025-10-20T00:00:00"/>
    <s v="1800014014"/>
    <x v="4"/>
    <x v="49"/>
    <d v="2025-10-21T00:00:00"/>
    <s v="NA"/>
    <s v="256779418621"/>
    <s v="212100"/>
    <s v="Trade Debtors (Ctrl)"/>
    <s v=""/>
    <s v="01"/>
    <s v="USD"/>
    <n v="850"/>
    <x v="0"/>
    <n v="74962.149999999994"/>
    <s v="O0"/>
    <s v="6779224500"/>
    <s v=""/>
    <s v="2114877"/>
    <s v="1"/>
    <s v="CY Ground rent Chgs - 01 - 15 Oct 25"/>
    <s v=""/>
    <s v=""/>
    <s v=""/>
    <d v="2025-10-20T00:00:00"/>
    <m/>
    <s v=""/>
  </r>
  <r>
    <s v="Not Selected"/>
    <s v="6779"/>
    <s v="100222372"/>
    <s v="SHAH TC GLOBAL EXIM LLP"/>
    <s v="2025"/>
    <s v="10"/>
    <d v="2025-10-20T00:00:00"/>
    <s v="1800013815"/>
    <x v="4"/>
    <x v="49"/>
    <d v="2025-10-21T00:00:00"/>
    <s v="NA"/>
    <s v="256779418633"/>
    <s v="212100"/>
    <s v="Trade Debtors (Ctrl)"/>
    <s v=""/>
    <s v="01"/>
    <s v="USD"/>
    <n v="35"/>
    <x v="0"/>
    <n v="3086.68"/>
    <s v="O0"/>
    <s v="6779224500"/>
    <s v=""/>
    <s v="2114880"/>
    <s v="1"/>
    <s v="Scanning  Chgs - 01 - 15 Oct 25"/>
    <s v=""/>
    <s v=""/>
    <s v=""/>
    <d v="2025-10-20T00:00:00"/>
    <m/>
    <s v=""/>
  </r>
  <r>
    <s v="Not Selected"/>
    <s v="6779"/>
    <s v="100222372"/>
    <s v="SHAH TC GLOBAL EXIM LLP"/>
    <s v="2025"/>
    <s v="10"/>
    <d v="2025-10-20T00:00:00"/>
    <s v="1800013845"/>
    <x v="4"/>
    <x v="49"/>
    <d v="2025-10-21T00:00:00"/>
    <s v="NA"/>
    <s v="256779418663"/>
    <s v="212100"/>
    <s v="Trade Debtors (Ctrl)"/>
    <s v=""/>
    <s v="01"/>
    <s v="USD"/>
    <n v="293.89"/>
    <x v="0"/>
    <n v="25918.39"/>
    <s v="O0"/>
    <s v="6779224500"/>
    <s v=""/>
    <s v="2114881"/>
    <s v="1"/>
    <s v="Transportation In Chgs - 01 - 15 OCT 25"/>
    <s v=""/>
    <s v=""/>
    <s v=""/>
    <d v="2025-10-20T00:00:00"/>
    <m/>
    <s v=""/>
  </r>
  <r>
    <s v="Not Selected"/>
    <s v="6779"/>
    <s v="100222372"/>
    <s v="SHAH TC GLOBAL EXIM LLP"/>
    <s v="2025"/>
    <s v="10"/>
    <d v="2025-10-20T00:00:00"/>
    <s v="1800013926"/>
    <x v="4"/>
    <x v="49"/>
    <d v="2025-10-21T00:00:00"/>
    <s v="NA"/>
    <s v="256779418703"/>
    <s v="212100"/>
    <s v="Trade Debtors (Ctrl)"/>
    <s v=""/>
    <s v="01"/>
    <s v="USD"/>
    <n v="9.83"/>
    <x v="0"/>
    <n v="866.92"/>
    <s v="O0"/>
    <s v="6779224500"/>
    <s v=""/>
    <s v="2114883"/>
    <s v="1"/>
    <s v="Outbound chgs - 01 - 15 Oct 25"/>
    <s v=""/>
    <s v=""/>
    <s v=""/>
    <d v="2025-10-20T00:00:00"/>
    <m/>
    <s v=""/>
  </r>
  <r>
    <s v="Not Selected"/>
    <s v="6779"/>
    <s v="100222372"/>
    <s v="SHAH TC GLOBAL EXIM LLP"/>
    <s v="2025"/>
    <s v="4"/>
    <d v="2025-04-21T00:00:00"/>
    <s v="1800007251"/>
    <x v="4"/>
    <x v="50"/>
    <d v="2025-04-22T00:00:00"/>
    <s v="NA"/>
    <s v="256779412142"/>
    <s v="212100"/>
    <s v="Trade Debtors (Ctrl)"/>
    <s v=""/>
    <s v="01"/>
    <s v="USD"/>
    <n v="1165.3699999999999"/>
    <x v="0"/>
    <n v="100000.4"/>
    <s v="O0"/>
    <s v="6779224500"/>
    <s v=""/>
    <s v="NA"/>
    <s v="1"/>
    <s v="Fixed Storage Charges for April 2025"/>
    <s v=""/>
    <s v=""/>
    <s v=""/>
    <d v="2025-04-21T00:00:00"/>
    <m/>
    <s v=""/>
  </r>
  <r>
    <s v="Not Selected"/>
    <s v="6779"/>
    <s v="100222372"/>
    <s v="SHAH TC GLOBAL EXIM LLP"/>
    <s v="2025"/>
    <s v="4"/>
    <d v="2025-04-21T00:00:00"/>
    <s v="1800007286"/>
    <x v="4"/>
    <x v="50"/>
    <d v="2025-04-22T00:00:00"/>
    <s v="NA"/>
    <s v="256779412177"/>
    <s v="212100"/>
    <s v="Trade Debtors (Ctrl)"/>
    <s v=""/>
    <s v="01"/>
    <s v="USD"/>
    <n v="407.88"/>
    <x v="0"/>
    <n v="35000.18"/>
    <s v="O0"/>
    <s v="6779224500"/>
    <s v=""/>
    <s v="NA"/>
    <s v="1"/>
    <s v="Fixed Storage Charges for April 2025"/>
    <s v=""/>
    <s v=""/>
    <s v=""/>
    <d v="2025-04-21T00:00:00"/>
    <m/>
    <s v=""/>
  </r>
  <r>
    <s v="Not Selected"/>
    <s v="6779"/>
    <s v="100222372"/>
    <s v="SHAH TC GLOBAL EXIM LLP"/>
    <s v="2025"/>
    <s v="7"/>
    <d v="2025-07-24T00:00:00"/>
    <s v="1600001839"/>
    <x v="5"/>
    <x v="51"/>
    <d v="2025-07-24T00:00:00"/>
    <s v="NA"/>
    <s v="256779421459"/>
    <s v="212100"/>
    <s v="Trade Debtors (Ctrl)"/>
    <s v=""/>
    <s v="11"/>
    <s v="USD"/>
    <n v="-1700"/>
    <x v="0"/>
    <n v="-146201.14000000001"/>
    <s v="O0"/>
    <s v="6779224500"/>
    <s v=""/>
    <s v="NA"/>
    <s v="1"/>
    <s v="Credit note raised against 256779410006"/>
    <s v=""/>
    <s v=""/>
    <s v=""/>
    <d v="2025-07-24T00:00:00"/>
    <m/>
    <s v=""/>
  </r>
  <r>
    <s v="Not Selected"/>
    <s v="6779"/>
    <s v="100222372"/>
    <s v="SHAH TC GLOBAL EXIM LLP"/>
    <s v="2025"/>
    <s v="7"/>
    <d v="2025-07-24T00:00:00"/>
    <s v="1600001840"/>
    <x v="5"/>
    <x v="51"/>
    <d v="2025-07-24T00:00:00"/>
    <s v="NA"/>
    <s v="256779421460"/>
    <s v="212100"/>
    <s v="Trade Debtors (Ctrl)"/>
    <s v=""/>
    <s v="11"/>
    <s v="USD"/>
    <n v="-1750"/>
    <x v="0"/>
    <n v="-150501.17000000001"/>
    <s v="O0"/>
    <s v="6779224500"/>
    <s v=""/>
    <s v="NA"/>
    <s v="1"/>
    <s v="Credit note raised against 256779410012"/>
    <s v=""/>
    <s v=""/>
    <s v=""/>
    <d v="2025-07-24T00:00:00"/>
    <m/>
    <s v=""/>
  </r>
  <r>
    <s v="Not Selected"/>
    <s v="6779"/>
    <s v="100222372"/>
    <s v="SHAH TC GLOBAL EXIM LLP"/>
    <s v="2025"/>
    <s v="7"/>
    <d v="2025-07-24T00:00:00"/>
    <s v="1600001841"/>
    <x v="5"/>
    <x v="51"/>
    <d v="2025-07-24T00:00:00"/>
    <s v="NA"/>
    <s v="256779421461"/>
    <s v="212100"/>
    <s v="Trade Debtors (Ctrl)"/>
    <s v=""/>
    <s v="11"/>
    <s v="USD"/>
    <n v="-1700"/>
    <x v="0"/>
    <n v="-146201.14000000001"/>
    <s v="O0"/>
    <s v="6779224500"/>
    <s v=""/>
    <s v="NA"/>
    <s v="1"/>
    <s v="Credit note raised against 256779410015"/>
    <s v=""/>
    <s v=""/>
    <s v=""/>
    <d v="2025-07-24T00:00:00"/>
    <m/>
    <s v=""/>
  </r>
  <r>
    <s v="Not Selected"/>
    <s v="6779"/>
    <s v="100222372"/>
    <s v="SHAH TC GLOBAL EXIM LLP"/>
    <s v="2025"/>
    <s v="7"/>
    <d v="2025-07-24T00:00:00"/>
    <s v="1600001842"/>
    <x v="5"/>
    <x v="51"/>
    <d v="2025-07-24T00:00:00"/>
    <s v="NA"/>
    <s v="256779421462"/>
    <s v="212100"/>
    <s v="Trade Debtors (Ctrl)"/>
    <s v=""/>
    <s v="11"/>
    <s v="USD"/>
    <n v="-1750"/>
    <x v="0"/>
    <n v="-150501.17000000001"/>
    <s v="O0"/>
    <s v="6779224500"/>
    <s v=""/>
    <s v="NA"/>
    <s v="1"/>
    <s v="Credit note raised against 256779410224"/>
    <s v=""/>
    <s v=""/>
    <s v=""/>
    <d v="2025-07-24T00:00:00"/>
    <m/>
    <s v=""/>
  </r>
  <r>
    <s v="Selected"/>
    <s v="6779"/>
    <s v="100222372"/>
    <s v="SHAH TC GLOBAL EXIM LLP"/>
    <s v="2025"/>
    <s v="7"/>
    <d v="2025-07-24T00:00:00"/>
    <s v="1600001862"/>
    <x v="5"/>
    <x v="51"/>
    <d v="2025-07-24T00:00:00"/>
    <s v="NA"/>
    <s v="256779421482"/>
    <s v="212100"/>
    <s v="Trade Debtors (Ctrl)"/>
    <s v=""/>
    <s v="11"/>
    <s v="USD"/>
    <n v="-1190.48"/>
    <x v="0"/>
    <n v="-102382.08"/>
    <s v="O0"/>
    <s v="6779224500"/>
    <s v=""/>
    <s v="NA"/>
    <s v="1"/>
    <s v="Credit note raised against 256779414414"/>
    <s v=""/>
    <s v=""/>
    <s v=""/>
    <d v="2025-07-24T00:00:00"/>
    <d v="2025-09-02T00:00:00"/>
    <s v="1400001110"/>
  </r>
  <r>
    <s v="Selected"/>
    <s v="6779"/>
    <s v="100222372"/>
    <s v="SHAH TC GLOBAL EXIM LLP"/>
    <s v="2025"/>
    <s v="7"/>
    <d v="2025-07-24T00:00:00"/>
    <s v="1600001884"/>
    <x v="5"/>
    <x v="51"/>
    <d v="2025-07-24T00:00:00"/>
    <s v="NA"/>
    <s v="256779421504"/>
    <s v="212100"/>
    <s v="Trade Debtors (Ctrl)"/>
    <s v=""/>
    <s v="11"/>
    <s v="USD"/>
    <n v="-1190.48"/>
    <x v="0"/>
    <n v="-102382.08"/>
    <s v="O0"/>
    <s v="6779224500"/>
    <s v=""/>
    <s v="NA"/>
    <s v="1"/>
    <s v="Credit note raised against 256779414437"/>
    <s v=""/>
    <s v=""/>
    <s v=""/>
    <d v="2025-07-24T00:00:00"/>
    <d v="2025-09-02T00:00:00"/>
    <s v="1400001110"/>
  </r>
  <r>
    <s v="Selected"/>
    <s v="6779"/>
    <s v="100222372"/>
    <s v="SHAH TC GLOBAL EXIM LLP"/>
    <s v="2025"/>
    <s v="7"/>
    <d v="2025-07-24T00:00:00"/>
    <s v="1600001885"/>
    <x v="5"/>
    <x v="51"/>
    <d v="2025-07-24T00:00:00"/>
    <s v="NA"/>
    <s v="256779421505"/>
    <s v="212100"/>
    <s v="Trade Debtors (Ctrl)"/>
    <s v=""/>
    <s v="11"/>
    <s v="USD"/>
    <n v="-416.67"/>
    <x v="0"/>
    <n v="-35833.9"/>
    <s v="O0"/>
    <s v="6779224500"/>
    <s v=""/>
    <s v="NA"/>
    <s v="1"/>
    <s v="Credit note raised against 256779414438"/>
    <s v=""/>
    <s v=""/>
    <s v=""/>
    <d v="2025-07-24T00:00:00"/>
    <d v="2025-09-02T00:00:00"/>
    <s v="1400001110"/>
  </r>
  <r>
    <s v="Selected"/>
    <s v="6779"/>
    <s v="100222372"/>
    <s v="SHAH TC GLOBAL EXIM LLP"/>
    <s v="2025"/>
    <s v="7"/>
    <d v="2025-07-24T00:00:00"/>
    <s v="1600001912"/>
    <x v="5"/>
    <x v="51"/>
    <d v="2025-07-24T00:00:00"/>
    <s v="NA"/>
    <s v="256779421532"/>
    <s v="212100"/>
    <s v="Trade Debtors (Ctrl)"/>
    <s v=""/>
    <s v="11"/>
    <s v="USD"/>
    <n v="-408.31"/>
    <x v="0"/>
    <n v="-35114.93"/>
    <s v="O0"/>
    <s v="6779224500"/>
    <s v=""/>
    <s v="NA"/>
    <s v="1"/>
    <s v="Credit note raised against 256779414465"/>
    <s v=""/>
    <s v=""/>
    <s v=""/>
    <d v="2025-07-24T00:00:00"/>
    <d v="2025-09-02T00:00:00"/>
    <s v="1400001110"/>
  </r>
  <r>
    <s v="Selected"/>
    <s v="6779"/>
    <s v="100222372"/>
    <s v="SHAH TC GLOBAL EXIM LLP"/>
    <s v="2025"/>
    <s v="7"/>
    <d v="2025-07-24T00:00:00"/>
    <s v="1600001928"/>
    <x v="5"/>
    <x v="51"/>
    <d v="2025-07-24T00:00:00"/>
    <s v="NA"/>
    <s v="256779421548"/>
    <s v="212100"/>
    <s v="Trade Debtors (Ctrl)"/>
    <s v=""/>
    <s v="11"/>
    <s v="USD"/>
    <n v="-400.09"/>
    <x v="0"/>
    <n v="-34408.01"/>
    <s v="O0"/>
    <s v="6779224500"/>
    <s v=""/>
    <s v="NA"/>
    <s v="1"/>
    <s v="Credit note raised against 256779414481"/>
    <s v=""/>
    <s v=""/>
    <s v=""/>
    <d v="2025-07-24T00:00:00"/>
    <d v="2025-09-02T00:00:00"/>
    <s v="1400001110"/>
  </r>
  <r>
    <s v="Selected"/>
    <s v="6779"/>
    <s v="100222372"/>
    <s v="SHAH TC GLOBAL EXIM LLP"/>
    <s v="2025"/>
    <s v="6"/>
    <d v="2025-06-18T00:00:00"/>
    <s v="1800009650"/>
    <x v="4"/>
    <x v="52"/>
    <d v="2025-06-19T00:00:00"/>
    <s v="NA"/>
    <s v="256779414414"/>
    <s v="212100"/>
    <s v="Trade Debtors (Ctrl)"/>
    <s v=""/>
    <s v="01"/>
    <s v="USD"/>
    <n v="1190.48"/>
    <x v="0"/>
    <n v="101775.06"/>
    <s v="O0"/>
    <s v="6779224500"/>
    <s v=""/>
    <s v="NA"/>
    <s v="1"/>
    <s v="Fixed Rental charges for Nov 2024"/>
    <s v=""/>
    <s v=""/>
    <s v=""/>
    <d v="2025-06-18T00:00:00"/>
    <d v="2025-09-02T00:00:00"/>
    <s v="1400001110"/>
  </r>
  <r>
    <s v="Selected"/>
    <s v="6779"/>
    <s v="100222372"/>
    <s v="SHAH TC GLOBAL EXIM LLP"/>
    <s v="2025"/>
    <s v="6"/>
    <d v="2025-06-18T00:00:00"/>
    <s v="1800009673"/>
    <x v="4"/>
    <x v="52"/>
    <d v="2025-06-19T00:00:00"/>
    <s v="NA"/>
    <s v="256779414437"/>
    <s v="212100"/>
    <s v="Trade Debtors (Ctrl)"/>
    <s v=""/>
    <s v="01"/>
    <s v="USD"/>
    <n v="1190.48"/>
    <x v="0"/>
    <n v="101775.06"/>
    <s v="O0"/>
    <s v="6779224500"/>
    <s v=""/>
    <s v="NA"/>
    <s v="1"/>
    <s v="Fixed Rental charges for Dec 2024"/>
    <s v=""/>
    <s v=""/>
    <s v=""/>
    <d v="2025-06-18T00:00:00"/>
    <d v="2025-09-02T00:00:00"/>
    <s v="1400001110"/>
  </r>
  <r>
    <s v="Selected"/>
    <s v="6779"/>
    <s v="100222372"/>
    <s v="SHAH TC GLOBAL EXIM LLP"/>
    <s v="2025"/>
    <s v="6"/>
    <d v="2025-06-18T00:00:00"/>
    <s v="1800009674"/>
    <x v="4"/>
    <x v="52"/>
    <d v="2025-06-19T00:00:00"/>
    <s v="NA"/>
    <s v="256779414438"/>
    <s v="212100"/>
    <s v="Trade Debtors (Ctrl)"/>
    <s v=""/>
    <s v="01"/>
    <s v="USD"/>
    <n v="416.67"/>
    <x v="0"/>
    <n v="35621.440000000002"/>
    <s v="O0"/>
    <s v="6779224500"/>
    <s v=""/>
    <s v="NA"/>
    <s v="1"/>
    <s v="Management Fees for Dec 2024"/>
    <s v=""/>
    <s v=""/>
    <s v=""/>
    <d v="2025-06-18T00:00:00"/>
    <d v="2025-09-02T00:00:00"/>
    <s v="1400001110"/>
  </r>
  <r>
    <s v="Selected"/>
    <s v="6779"/>
    <s v="100222372"/>
    <s v="SHAH TC GLOBAL EXIM LLP"/>
    <s v="2025"/>
    <s v="6"/>
    <d v="2025-06-18T00:00:00"/>
    <s v="1800009701"/>
    <x v="4"/>
    <x v="52"/>
    <d v="2025-06-19T00:00:00"/>
    <s v="NA"/>
    <s v="256779414465"/>
    <s v="212100"/>
    <s v="Trade Debtors (Ctrl)"/>
    <s v=""/>
    <s v="01"/>
    <s v="USD"/>
    <n v="408.31"/>
    <x v="0"/>
    <n v="34906.74"/>
    <s v="O0"/>
    <s v="6779224500"/>
    <s v=""/>
    <s v="NA"/>
    <s v="1"/>
    <s v="Management Fees for Jan 2025"/>
    <s v=""/>
    <s v=""/>
    <s v=""/>
    <d v="2025-06-18T00:00:00"/>
    <d v="2025-09-02T00:00:00"/>
    <s v="1400001110"/>
  </r>
  <r>
    <s v="Selected"/>
    <s v="6779"/>
    <s v="100222372"/>
    <s v="SHAH TC GLOBAL EXIM LLP"/>
    <s v="2025"/>
    <s v="6"/>
    <d v="2025-06-18T00:00:00"/>
    <s v="1800009717"/>
    <x v="4"/>
    <x v="52"/>
    <d v="2025-06-19T00:00:00"/>
    <s v="NA"/>
    <s v="256779414481"/>
    <s v="212100"/>
    <s v="Trade Debtors (Ctrl)"/>
    <s v=""/>
    <s v="01"/>
    <s v="USD"/>
    <n v="400.09"/>
    <x v="0"/>
    <n v="34204.01"/>
    <s v="O0"/>
    <s v="6779224500"/>
    <s v=""/>
    <s v="NA"/>
    <s v="1"/>
    <s v="Management Fees for Feb 2025"/>
    <s v=""/>
    <s v=""/>
    <s v=""/>
    <d v="2025-06-18T00:00:00"/>
    <d v="2025-09-02T00:00:00"/>
    <s v="1400001110"/>
  </r>
  <r>
    <s v="Not Selected"/>
    <s v="6779"/>
    <s v="100222372"/>
    <s v="SHAH TC GLOBAL EXIM LLP"/>
    <s v="2025"/>
    <s v="3"/>
    <d v="2025-03-19T00:00:00"/>
    <s v="1800003114"/>
    <x v="4"/>
    <x v="53"/>
    <d v="2025-03-20T00:00:00"/>
    <s v="NA"/>
    <s v="246779412981"/>
    <s v="212100"/>
    <s v="Trade Debtors (Ctrl)"/>
    <s v=""/>
    <s v="01"/>
    <s v="USD"/>
    <n v="1148.6300000000001"/>
    <x v="0"/>
    <n v="99576.18"/>
    <s v="O0"/>
    <s v="6779224500"/>
    <s v=""/>
    <s v="NA"/>
    <s v="1"/>
    <s v="Fixed Storage Charges for Mar 2025"/>
    <s v=""/>
    <s v=""/>
    <s v=""/>
    <d v="2025-03-19T00:00:00"/>
    <m/>
    <s v=""/>
  </r>
  <r>
    <s v="Not Selected"/>
    <s v="6779"/>
    <s v="100222372"/>
    <s v="SHAH TC GLOBAL EXIM LLP"/>
    <s v="2025"/>
    <s v="3"/>
    <d v="2025-03-19T00:00:00"/>
    <s v="1800003222"/>
    <x v="4"/>
    <x v="53"/>
    <d v="2025-03-20T00:00:00"/>
    <s v="NA"/>
    <s v="246779413089"/>
    <s v="212100"/>
    <s v="Trade Debtors (Ctrl)"/>
    <s v=""/>
    <s v="01"/>
    <s v="USD"/>
    <n v="79.05"/>
    <x v="0"/>
    <n v="6852.94"/>
    <s v="O0"/>
    <s v="6779224500"/>
    <s v=""/>
    <s v="NA"/>
    <s v="1"/>
    <s v="Port SSR Charges - Shifting for Aug to Dec,24."/>
    <s v=""/>
    <s v=""/>
    <s v=""/>
    <d v="2025-03-19T00:00:00"/>
    <m/>
    <s v=""/>
  </r>
  <r>
    <s v="Not Selected"/>
    <s v="6779"/>
    <s v="100222372"/>
    <s v="SHAH TC GLOBAL EXIM LLP"/>
    <s v="2025"/>
    <s v="3"/>
    <d v="2025-03-19T00:00:00"/>
    <s v="1800003347"/>
    <x v="4"/>
    <x v="53"/>
    <d v="2025-03-20T00:00:00"/>
    <s v="NA"/>
    <s v="246779413214"/>
    <s v="212100"/>
    <s v="Trade Debtors (Ctrl)"/>
    <s v=""/>
    <s v="01"/>
    <s v="USD"/>
    <n v="78.12"/>
    <x v="0"/>
    <n v="6772.32"/>
    <s v="O0"/>
    <s v="6779224500"/>
    <s v=""/>
    <s v="NA"/>
    <s v="1"/>
    <s v="TIIU6358742-Port SSR Shifting Jan 2025. Exch rate"/>
    <s v=""/>
    <s v=""/>
    <s v=""/>
    <d v="2025-03-19T00:00:00"/>
    <m/>
    <s v=""/>
  </r>
  <r>
    <s v="Selected"/>
    <s v="6779"/>
    <s v="100222372"/>
    <s v="SHAH TC GLOBAL EXIM LLP"/>
    <s v="2025"/>
    <s v="3"/>
    <d v="2025-03-19T00:00:00"/>
    <s v="1800003149"/>
    <x v="4"/>
    <x v="53"/>
    <d v="2025-03-20T00:00:00"/>
    <s v="NA"/>
    <s v="246779413016"/>
    <s v="212100"/>
    <s v="Trade Debtors (Ctrl)"/>
    <s v=""/>
    <s v="01"/>
    <s v="USD"/>
    <n v="402.02"/>
    <x v="0"/>
    <n v="34851.620000000003"/>
    <s v="O0"/>
    <s v="6779224500"/>
    <s v=""/>
    <s v="NA"/>
    <s v="1"/>
    <s v="Fixed Storage Charges for Mar 2025"/>
    <s v=""/>
    <s v=""/>
    <s v=""/>
    <d v="2025-03-19T00:00:00"/>
    <d v="2025-08-19T00:00:00"/>
    <s v="1400000864"/>
  </r>
  <r>
    <s v="Not Selected"/>
    <s v="6779"/>
    <s v="100222372"/>
    <s v="SHAH TC GLOBAL EXIM LLP"/>
    <s v="2025"/>
    <s v="9"/>
    <d v="2025-09-24T00:00:00"/>
    <s v="1800013202"/>
    <x v="4"/>
    <x v="7"/>
    <d v="2025-09-24T00:00:00"/>
    <s v="NA"/>
    <s v="256779417818"/>
    <s v="212100"/>
    <s v="Trade Debtors (Ctrl)"/>
    <s v=""/>
    <s v="01"/>
    <s v="USD"/>
    <n v="260.79000000000002"/>
    <x v="0"/>
    <n v="22423.69"/>
    <s v="O0"/>
    <s v="6779224500"/>
    <s v=""/>
    <s v="2104588"/>
    <s v="1"/>
    <s v="LCL Chgs - 01-15 MAY 25 ( BOE9705814 / 9824060 / 9"/>
    <s v=""/>
    <s v=""/>
    <s v=""/>
    <d v="2025-09-24T00:00:00"/>
    <m/>
    <s v=""/>
  </r>
  <r>
    <s v="Not Selected"/>
    <s v="6779"/>
    <s v="100222372"/>
    <s v="SHAH TC GLOBAL EXIM LLP"/>
    <s v="2025"/>
    <s v="11"/>
    <d v="2025-11-20T00:00:00"/>
    <s v="1800015045"/>
    <x v="4"/>
    <x v="54"/>
    <d v="2025-11-24T00:00:00"/>
    <s v="NA"/>
    <s v="256779419558"/>
    <s v="212100"/>
    <s v="Trade Debtors (Ctrl)"/>
    <s v=""/>
    <s v="01"/>
    <s v="USD"/>
    <n v="850"/>
    <x v="0"/>
    <n v="74802.880000000005"/>
    <s v="O0"/>
    <s v="6779224500"/>
    <s v=""/>
    <s v="2130610"/>
    <s v="1"/>
    <s v="CY Ground rent Chgs - 01 - 15 Nov 25"/>
    <s v=""/>
    <s v=""/>
    <s v=""/>
    <d v="2025-11-20T00:00:00"/>
    <m/>
    <s v=""/>
  </r>
  <r>
    <s v="Not Selected"/>
    <s v="6779"/>
    <s v="100222372"/>
    <s v="SHAH TC GLOBAL EXIM LLP"/>
    <s v="2025"/>
    <s v="11"/>
    <d v="2025-11-20T00:00:00"/>
    <s v="1800015077"/>
    <x v="4"/>
    <x v="54"/>
    <d v="2025-11-24T00:00:00"/>
    <s v="NA"/>
    <s v="256779419590"/>
    <s v="212100"/>
    <s v="Trade Debtors (Ctrl)"/>
    <s v=""/>
    <s v="01"/>
    <s v="USD"/>
    <n v="331.5"/>
    <x v="0"/>
    <n v="29173.119999999999"/>
    <s v="O0"/>
    <s v="6779224500"/>
    <s v=""/>
    <s v="2130611"/>
    <s v="1"/>
    <s v="Inbound chgs - 01 - 15 NOV 25"/>
    <s v=""/>
    <s v=""/>
    <s v=""/>
    <d v="2025-11-20T00:00:00"/>
    <m/>
    <s v=""/>
  </r>
  <r>
    <s v="Not Selected"/>
    <s v="6779"/>
    <s v="100222372"/>
    <s v="SHAH TC GLOBAL EXIM LLP"/>
    <s v="2025"/>
    <s v="11"/>
    <d v="2025-11-20T00:00:00"/>
    <s v="1800015131"/>
    <x v="4"/>
    <x v="54"/>
    <d v="2025-11-24T00:00:00"/>
    <s v="NA"/>
    <s v="256779419630"/>
    <s v="212100"/>
    <s v="Trade Debtors (Ctrl)"/>
    <s v=""/>
    <s v="01"/>
    <s v="USD"/>
    <n v="112.58"/>
    <x v="0"/>
    <n v="9907.42"/>
    <s v="O0"/>
    <s v="6779224500"/>
    <s v=""/>
    <s v="2130612"/>
    <s v="1"/>
    <s v="Outbound chgs - 01 - 15 Nov 25"/>
    <s v=""/>
    <s v=""/>
    <s v=""/>
    <d v="2025-11-20T00:00:00"/>
    <m/>
    <s v=""/>
  </r>
  <r>
    <s v="Not Selected"/>
    <s v="6779"/>
    <s v="100222372"/>
    <s v="SHAH TC GLOBAL EXIM LLP"/>
    <s v="2025"/>
    <s v="4"/>
    <d v="2025-04-22T00:00:00"/>
    <s v="1800007659"/>
    <x v="4"/>
    <x v="55"/>
    <d v="2025-04-23T00:00:00"/>
    <s v="NA"/>
    <s v="256779412550"/>
    <s v="212100"/>
    <s v="Trade Debtors (Ctrl)"/>
    <s v=""/>
    <s v="01"/>
    <s v="USD"/>
    <n v="87.2"/>
    <x v="0"/>
    <n v="7579.58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s v="6779"/>
    <s v="100222372"/>
    <s v="SHAH TC GLOBAL EXIM LLP"/>
    <s v="2025"/>
    <s v="4"/>
    <d v="2025-04-22T00:00:00"/>
    <s v="1800007691"/>
    <x v="4"/>
    <x v="55"/>
    <d v="2025-04-23T00:00:00"/>
    <s v="NA"/>
    <s v="256779412582"/>
    <s v="212100"/>
    <s v="Trade Debtors (Ctrl)"/>
    <s v=""/>
    <s v="01"/>
    <s v="USD"/>
    <n v="56.95"/>
    <x v="0"/>
    <n v="4950.2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s v="6779"/>
    <s v="100222372"/>
    <s v="SHAH TC GLOBAL EXIM LLP"/>
    <s v="2025"/>
    <s v="4"/>
    <d v="2025-04-22T00:00:00"/>
    <s v="1800007724"/>
    <x v="4"/>
    <x v="55"/>
    <d v="2025-04-23T00:00:00"/>
    <s v="NA"/>
    <s v="256779412615"/>
    <s v="212100"/>
    <s v="Trade Debtors (Ctrl)"/>
    <s v=""/>
    <s v="01"/>
    <s v="USD"/>
    <n v="87.2"/>
    <x v="0"/>
    <n v="7579.58"/>
    <s v="O0"/>
    <s v="6779224500"/>
    <s v=""/>
    <s v="NA"/>
    <s v="1"/>
    <s v="Inbound Handling charges for 31 Mar 2025"/>
    <s v=""/>
    <s v=""/>
    <s v=""/>
    <d v="2025-04-22T00:00:00"/>
    <m/>
    <s v=""/>
  </r>
  <r>
    <s v="Not Selected"/>
    <s v="6779"/>
    <s v="100222372"/>
    <s v="SHAH TC GLOBAL EXIM LLP"/>
    <s v="2025"/>
    <s v="4"/>
    <d v="2025-04-22T00:00:00"/>
    <s v="1800007766"/>
    <x v="4"/>
    <x v="55"/>
    <d v="2025-04-23T00:00:00"/>
    <s v="NA"/>
    <s v="256779412657"/>
    <s v="212100"/>
    <s v="Trade Debtors (Ctrl)"/>
    <s v=""/>
    <s v="01"/>
    <s v="USD"/>
    <n v="4.93"/>
    <x v="0"/>
    <n v="428.52"/>
    <s v="O0"/>
    <s v="6779224500"/>
    <s v=""/>
    <s v="NA"/>
    <s v="1"/>
    <s v="Outbound Handling charges for 31 Mar 25"/>
    <s v=""/>
    <s v=""/>
    <s v=""/>
    <d v="2025-04-22T00:00:00"/>
    <m/>
    <s v=""/>
  </r>
  <r>
    <s v="Not Selected"/>
    <s v="6779"/>
    <s v="100222372"/>
    <s v="SHAH TC GLOBAL EXIM LLP"/>
    <s v="2025"/>
    <s v="9"/>
    <d v="2025-09-18T00:00:00"/>
    <s v="1800012815"/>
    <x v="4"/>
    <x v="56"/>
    <d v="2025-09-22T00:00:00"/>
    <s v="NA"/>
    <s v="256779417420"/>
    <s v="212100"/>
    <s v="Trade Debtors (Ctrl)"/>
    <s v=""/>
    <s v="01"/>
    <s v="USD"/>
    <n v="35"/>
    <x v="0"/>
    <n v="3063"/>
    <s v="O0"/>
    <s v="6779224500"/>
    <s v=""/>
    <s v="2102479"/>
    <s v="1"/>
    <s v="Scanning  Chgs - 01 - 15 Sep 25"/>
    <s v=""/>
    <s v=""/>
    <s v=""/>
    <d v="2025-09-18T00:00:00"/>
    <m/>
    <s v=""/>
  </r>
  <r>
    <s v="Not Selected"/>
    <s v="6779"/>
    <s v="100222372"/>
    <s v="SHAH TC GLOBAL EXIM LLP"/>
    <s v="2025"/>
    <s v="9"/>
    <d v="2025-09-18T00:00:00"/>
    <s v="1800012872"/>
    <x v="4"/>
    <x v="56"/>
    <d v="2025-09-22T00:00:00"/>
    <s v="NA"/>
    <s v="256779417490"/>
    <s v="212100"/>
    <s v="Trade Debtors (Ctrl)"/>
    <s v=""/>
    <s v="01"/>
    <s v="USD"/>
    <n v="850"/>
    <x v="0"/>
    <n v="74387.179999999993"/>
    <s v="O0"/>
    <s v="6779224500"/>
    <s v=""/>
    <s v="2102476"/>
    <s v="1"/>
    <s v="CY Ground rent Chgs - 01 - 15 Sep 25"/>
    <s v=""/>
    <s v=""/>
    <s v=""/>
    <d v="2025-09-18T00:00:00"/>
    <m/>
    <s v=""/>
  </r>
  <r>
    <s v="Not Selected"/>
    <s v="6779"/>
    <s v="100222372"/>
    <s v="SHAH TC GLOBAL EXIM LLP"/>
    <s v="2025"/>
    <s v="9"/>
    <d v="2025-09-18T00:00:00"/>
    <s v="1800012991"/>
    <x v="4"/>
    <x v="56"/>
    <d v="2025-09-22T00:00:00"/>
    <s v="NA"/>
    <s v="256779417526"/>
    <s v="212100"/>
    <s v="Trade Debtors (Ctrl)"/>
    <s v=""/>
    <s v="01"/>
    <s v="USD"/>
    <n v="22.43"/>
    <x v="0"/>
    <n v="1962.95"/>
    <s v="O0"/>
    <s v="6779224500"/>
    <s v=""/>
    <s v="2102483"/>
    <s v="1"/>
    <s v="Outbound chgs - 01 - 15 Sep 25"/>
    <s v=""/>
    <s v=""/>
    <s v=""/>
    <d v="2025-09-18T00:00:00"/>
    <m/>
    <s v=""/>
  </r>
  <r>
    <s v="Not Selected"/>
    <s v="6779"/>
    <s v="100222372"/>
    <s v="SHAH TC GLOBAL EXIM LLP"/>
    <s v="2025"/>
    <s v="9"/>
    <d v="2025-09-18T00:00:00"/>
    <s v="1800012929"/>
    <x v="4"/>
    <x v="56"/>
    <d v="2025-09-22T00:00:00"/>
    <s v="NA"/>
    <s v="256779417568"/>
    <s v="212100"/>
    <s v="Trade Debtors (Ctrl)"/>
    <s v=""/>
    <s v="01"/>
    <s v="USD"/>
    <n v="293.89"/>
    <x v="0"/>
    <n v="25719.59"/>
    <s v="O0"/>
    <s v="6779224500"/>
    <s v=""/>
    <s v="2102480"/>
    <s v="1"/>
    <s v="Transportation In Chgs - 01 - 15 SEP 25"/>
    <s v=""/>
    <s v=""/>
    <s v=""/>
    <d v="2025-09-18T00:00:00"/>
    <m/>
    <s v=""/>
  </r>
  <r>
    <s v="Not Selected"/>
    <s v="6779"/>
    <s v="100222372"/>
    <s v="SHAH TC GLOBAL EXIM LLP"/>
    <s v="2025"/>
    <s v="12"/>
    <d v="2025-12-05T00:00:00"/>
    <s v="1800015347"/>
    <x v="4"/>
    <x v="57"/>
    <d v="2025-12-09T00:00:00"/>
    <s v="NA"/>
    <s v="256779419796"/>
    <s v="212100"/>
    <s v="Trade Debtors (Ctrl)"/>
    <s v=""/>
    <s v="01"/>
    <s v="USD"/>
    <n v="850"/>
    <x v="0"/>
    <n v="75395.12"/>
    <s v="O0"/>
    <s v="6779224500"/>
    <s v=""/>
    <s v="2140068"/>
    <s v="1"/>
    <s v="CY Ground rent Chgs - 16 - 30 Nov 25"/>
    <s v=""/>
    <s v=""/>
    <s v=""/>
    <d v="2025-12-05T00:00:00"/>
    <m/>
    <s v=""/>
  </r>
  <r>
    <s v="Not Selected"/>
    <s v="6779"/>
    <s v="100222372"/>
    <s v="SHAH TC GLOBAL EXIM LLP"/>
    <s v="2025"/>
    <s v="12"/>
    <d v="2025-12-05T00:00:00"/>
    <s v="1800015289"/>
    <x v="4"/>
    <x v="57"/>
    <d v="2025-12-09T00:00:00"/>
    <s v="NA"/>
    <s v="256779419918"/>
    <s v="212100"/>
    <s v="Trade Debtors (Ctrl)"/>
    <s v=""/>
    <s v="01"/>
    <s v="USD"/>
    <n v="111.4"/>
    <x v="0"/>
    <n v="9881.2000000000007"/>
    <s v="O0"/>
    <s v="6779224500"/>
    <s v=""/>
    <s v="2140088"/>
    <s v="1"/>
    <s v="Outbound chgs - 16 - 30 Nov 25"/>
    <s v=""/>
    <s v=""/>
    <s v=""/>
    <d v="2025-12-05T00:00:00"/>
    <m/>
    <s v=""/>
  </r>
  <r>
    <s v="Not Selected"/>
    <s v="6779"/>
    <s v="100222372"/>
    <s v="SHAH TC GLOBAL EXIM LLP"/>
    <s v="2025"/>
    <s v="4"/>
    <d v="2025-04-23T00:00:00"/>
    <s v="1800008037"/>
    <x v="4"/>
    <x v="58"/>
    <d v="2025-04-29T00:00:00"/>
    <s v="NA"/>
    <s v="256779412928"/>
    <s v="212100"/>
    <s v="Trade Debtors (Ctrl)"/>
    <s v=""/>
    <s v="01"/>
    <s v="USD"/>
    <n v="12.12"/>
    <x v="0"/>
    <n v="1053.49"/>
    <s v="O0"/>
    <s v="6779224500"/>
    <s v=""/>
    <s v="NA"/>
    <s v="1"/>
    <s v="Outbound chgs - 01 - 15 Apr 25"/>
    <s v=""/>
    <s v=""/>
    <s v=""/>
    <d v="2025-04-23T00:00:00"/>
    <m/>
    <s v=""/>
  </r>
  <r>
    <s v="Not Selected"/>
    <s v="6779"/>
    <s v="100222372"/>
    <s v="SHAH TC GLOBAL EXIM LLP"/>
    <s v="2025"/>
    <s v="3"/>
    <d v="2025-03-21T00:00:00"/>
    <s v="1800004450"/>
    <x v="4"/>
    <x v="59"/>
    <d v="2025-03-21T00:00:00"/>
    <s v="NA"/>
    <s v="246779414318"/>
    <s v="212100"/>
    <s v="Trade Debtors (Ctrl)"/>
    <s v=""/>
    <s v="01"/>
    <s v="USD"/>
    <n v="45.74"/>
    <x v="0"/>
    <n v="3965.26"/>
    <s v="O0"/>
    <s v="6779224500"/>
    <s v=""/>
    <s v="NA"/>
    <s v="1"/>
    <s v="Inbound Handling charges for Oct 2024"/>
    <s v=""/>
    <s v=""/>
    <s v=""/>
    <d v="2025-03-21T00:00:00"/>
    <m/>
    <s v=""/>
  </r>
  <r>
    <s v="Not Selected"/>
    <s v="6779"/>
    <s v="100222372"/>
    <s v="SHAH TC GLOBAL EXIM LLP"/>
    <s v="2025"/>
    <s v="10"/>
    <d v="2025-10-07T00:00:00"/>
    <s v="1800013759"/>
    <x v="4"/>
    <x v="25"/>
    <d v="2025-10-09T00:00:00"/>
    <s v="NA"/>
    <s v="256779418180"/>
    <s v="212100"/>
    <s v="Trade Debtors (Ctrl)"/>
    <s v=""/>
    <s v="01"/>
    <s v="USD"/>
    <n v="173.22"/>
    <x v="0"/>
    <n v="15276.41"/>
    <s v="O0"/>
    <s v="6779224500"/>
    <s v=""/>
    <s v="2110802"/>
    <s v="1"/>
    <s v="VAS-16-30 Sept 25"/>
    <s v=""/>
    <s v=""/>
    <s v=""/>
    <d v="2025-10-07T00:00:00"/>
    <m/>
    <s v=""/>
  </r>
  <r>
    <s v="Not Selected"/>
    <s v="6779"/>
    <s v="100222372"/>
    <s v="SHAH TC GLOBAL EXIM LLP"/>
    <s v="2025"/>
    <s v="5"/>
    <d v="2025-05-10T00:00:00"/>
    <s v="1800008302"/>
    <x v="4"/>
    <x v="12"/>
    <d v="2025-05-15T00:00:00"/>
    <s v="NA"/>
    <s v="256779413185"/>
    <s v="212100"/>
    <s v="Trade Debtors (Ctrl)"/>
    <s v=""/>
    <s v="01"/>
    <s v="USD"/>
    <n v="200"/>
    <x v="0"/>
    <n v="17196.740000000002"/>
    <s v="O0"/>
    <s v="6779224500"/>
    <s v=""/>
    <s v="NA"/>
    <s v="1"/>
    <s v="CY Ground rent Chgs - 01 - 30 Apr 25"/>
    <s v=""/>
    <s v=""/>
    <s v=""/>
    <d v="2025-05-10T00:00:00"/>
    <m/>
    <s v=""/>
  </r>
  <r>
    <s v="Not Selected"/>
    <s v="6779"/>
    <s v="100222372"/>
    <s v="SHAH TC GLOBAL EXIM LLP"/>
    <s v="2025"/>
    <s v="5"/>
    <d v="2025-05-10T00:00:00"/>
    <s v="1800008361"/>
    <x v="4"/>
    <x v="12"/>
    <d v="2025-05-15T00:00:00"/>
    <s v="NA"/>
    <s v="256779413244"/>
    <s v="212100"/>
    <s v="Trade Debtors (Ctrl)"/>
    <s v=""/>
    <s v="01"/>
    <s v="USD"/>
    <n v="401.24"/>
    <x v="0"/>
    <n v="34500.1"/>
    <s v="O0"/>
    <s v="6779224500"/>
    <s v=""/>
    <s v="NA"/>
    <s v="1"/>
    <s v="VAS - 16-30 April 25, Ex.Rate-85.05"/>
    <s v=""/>
    <s v=""/>
    <s v=""/>
    <d v="2025-05-10T00:00:00"/>
    <m/>
    <s v=""/>
  </r>
  <r>
    <s v="Not Selected"/>
    <s v="6779"/>
    <s v="100222372"/>
    <s v="SHAH TC GLOBAL EXIM LLP"/>
    <s v="2025"/>
    <s v="12"/>
    <d v="2025-12-06T00:00:00"/>
    <s v="1800015454"/>
    <x v="4"/>
    <x v="60"/>
    <d v="2025-12-09T00:00:00"/>
    <s v="NA"/>
    <s v="256779419955"/>
    <s v="212100"/>
    <s v="Trade Debtors (Ctrl)"/>
    <s v=""/>
    <s v="01"/>
    <s v="USD"/>
    <n v="61.99"/>
    <x v="0"/>
    <n v="5498.52"/>
    <s v="O0"/>
    <s v="6779224500"/>
    <s v=""/>
    <s v="2140456"/>
    <s v="1"/>
    <s v="Empty Lolo Chgs - 01 - 31 NOV 25"/>
    <s v=""/>
    <s v=""/>
    <s v=""/>
    <d v="2025-12-06T00:00:00"/>
    <m/>
    <s v=""/>
  </r>
  <r>
    <s v="Not Selected"/>
    <s v="6779"/>
    <s v="100222372"/>
    <s v="SHAH TC GLOBAL EXIM LLP"/>
    <s v="2025"/>
    <s v="12"/>
    <d v="2025-12-06T00:00:00"/>
    <s v="1800015475"/>
    <x v="4"/>
    <x v="60"/>
    <d v="2025-12-09T00:00:00"/>
    <s v="NA"/>
    <s v="256779419992"/>
    <s v="212100"/>
    <s v="Trade Debtors (Ctrl)"/>
    <s v=""/>
    <s v="01"/>
    <s v="USD"/>
    <n v="124.11"/>
    <x v="0"/>
    <n v="11008.57"/>
    <s v="O0"/>
    <s v="6779224500"/>
    <s v=""/>
    <s v="2140458"/>
    <s v="1"/>
    <s v="PORT SSR Chgs Nov 25"/>
    <s v=""/>
    <s v=""/>
    <s v=""/>
    <d v="2025-12-06T00:00:00"/>
    <m/>
    <s v=""/>
  </r>
  <r>
    <s v="Not Selected"/>
    <s v="6779"/>
    <s v="100222372"/>
    <s v="SHAH TC GLOBAL EXIM LLP"/>
    <s v="2025"/>
    <s v="6"/>
    <d v="2025-06-07T00:00:00"/>
    <s v="1800009476"/>
    <x v="4"/>
    <x v="61"/>
    <d v="2025-06-09T00:00:00"/>
    <s v="NA"/>
    <s v="256779414240"/>
    <s v="212100"/>
    <s v="Trade Debtors (Ctrl)"/>
    <s v=""/>
    <s v="01"/>
    <s v="USD"/>
    <n v="1339"/>
    <x v="0"/>
    <n v="114472.15"/>
    <s v="O0"/>
    <s v="6779224500"/>
    <s v=""/>
    <s v="NA"/>
    <s v="1"/>
    <s v="Unit storage -1-31 May 25"/>
    <s v=""/>
    <s v=""/>
    <s v=""/>
    <d v="2025-06-07T00:00:00"/>
    <m/>
    <s v=""/>
  </r>
  <r>
    <s v="Not Selected"/>
    <s v="6779"/>
    <s v="100222372"/>
    <s v="SHAH TC GLOBAL EXIM LLP"/>
    <s v="2025"/>
    <s v="10"/>
    <d v="2025-10-06T00:00:00"/>
    <s v="1800013275"/>
    <x v="4"/>
    <x v="62"/>
    <d v="2025-10-07T00:00:00"/>
    <s v="NA"/>
    <s v="256779418011"/>
    <s v="212100"/>
    <s v="Trade Debtors (Ctrl)"/>
    <s v=""/>
    <s v="01"/>
    <s v="USD"/>
    <n v="930.14"/>
    <x v="0"/>
    <n v="82029.759999999995"/>
    <s v="O0"/>
    <s v="6779224500"/>
    <s v=""/>
    <s v="2110511"/>
    <s v="1"/>
    <s v="Unit Storage - 1-30 Sept 2025"/>
    <s v=""/>
    <s v=""/>
    <s v=""/>
    <d v="2025-10-06T00:00:00"/>
    <m/>
    <s v=""/>
  </r>
  <r>
    <s v="Not Selected"/>
    <s v="6779"/>
    <s v="100222372"/>
    <s v="SHAH TC GLOBAL EXIM LLP"/>
    <s v="2025"/>
    <s v="10"/>
    <d v="2025-10-05T00:00:00"/>
    <s v="1800013306"/>
    <x v="4"/>
    <x v="63"/>
    <d v="2025-10-07T00:00:00"/>
    <s v="NA"/>
    <s v="256779417902"/>
    <s v="212100"/>
    <s v="Trade Debtors (Ctrl)"/>
    <s v=""/>
    <s v="01"/>
    <s v="USD"/>
    <n v="28.15"/>
    <x v="0"/>
    <n v="2482.5700000000002"/>
    <s v="O0"/>
    <s v="6779224500"/>
    <s v=""/>
    <s v="2110493"/>
    <s v="1"/>
    <s v="Empty Lolo Chgs - 01 - 30 SEP 25"/>
    <s v=""/>
    <s v=""/>
    <s v=""/>
    <d v="2025-10-05T00:00:00"/>
    <m/>
    <s v=""/>
  </r>
  <r>
    <s v="Not Selected"/>
    <s v="6779"/>
    <s v="100222372"/>
    <s v="SHAH TC GLOBAL EXIM LLP"/>
    <s v="2025"/>
    <s v="10"/>
    <d v="2025-10-05T00:00:00"/>
    <s v="1800013344"/>
    <x v="4"/>
    <x v="63"/>
    <d v="2025-10-07T00:00:00"/>
    <s v="NA"/>
    <s v="256779417940"/>
    <s v="212100"/>
    <s v="Trade Debtors (Ctrl)"/>
    <s v=""/>
    <s v="01"/>
    <s v="USD"/>
    <n v="331.5"/>
    <x v="0"/>
    <n v="29235.24"/>
    <s v="O0"/>
    <s v="6779224500"/>
    <s v=""/>
    <s v="NA"/>
    <s v="1"/>
    <s v="Transportation In Chgs - 16 - 30 SEP 25"/>
    <s v=""/>
    <s v=""/>
    <s v=""/>
    <d v="2025-10-05T00:00:00"/>
    <m/>
    <s v=""/>
  </r>
  <r>
    <s v="Not Selected"/>
    <s v="6779"/>
    <s v="100222372"/>
    <s v="SHAH TC GLOBAL EXIM LLP"/>
    <s v="2025"/>
    <s v="10"/>
    <d v="2025-10-05T00:00:00"/>
    <s v="1800013429"/>
    <x v="4"/>
    <x v="63"/>
    <d v="2025-10-07T00:00:00"/>
    <s v="NA"/>
    <s v="256779418076"/>
    <s v="212100"/>
    <s v="Trade Debtors (Ctrl)"/>
    <s v=""/>
    <s v="01"/>
    <s v="USD"/>
    <n v="136.47999999999999"/>
    <x v="0"/>
    <n v="12036.28"/>
    <s v="O0"/>
    <s v="6779224500"/>
    <s v=""/>
    <s v="2110503"/>
    <s v="1"/>
    <s v="Outbound chgs - 16 - 30 Sep 25"/>
    <s v=""/>
    <s v=""/>
    <s v=""/>
    <d v="2025-10-05T00:00:00"/>
    <m/>
    <s v=""/>
  </r>
  <r>
    <s v="Not Selected"/>
    <s v="6779"/>
    <s v="100222372"/>
    <s v="SHAH TC GLOBAL EXIM LLP"/>
    <s v="2025"/>
    <s v="10"/>
    <d v="2025-10-05T00:00:00"/>
    <s v="1800013510"/>
    <x v="4"/>
    <x v="63"/>
    <d v="2025-10-10T00:00:00"/>
    <s v="NA"/>
    <s v="256779418400"/>
    <s v="212100"/>
    <s v="Trade Debtors (Ctrl)"/>
    <s v=""/>
    <s v="01"/>
    <s v="USD"/>
    <n v="293.3"/>
    <x v="0"/>
    <n v="25866.35"/>
    <s v="O0"/>
    <s v="6779224500"/>
    <s v=""/>
    <s v="2110981"/>
    <s v="1"/>
    <s v="PORT SSR Chgs Sep 25"/>
    <s v=""/>
    <s v=""/>
    <s v=""/>
    <d v="2025-10-05T00:00:00"/>
    <m/>
    <s v=""/>
  </r>
  <r>
    <s v="Not Selected"/>
    <s v="6779"/>
    <s v="100222372"/>
    <s v="SHAH TC GLOBAL EXIM LLP"/>
    <s v="2025"/>
    <s v="9"/>
    <d v="2025-09-06T00:00:00"/>
    <s v="1800012474"/>
    <x v="4"/>
    <x v="64"/>
    <d v="2025-09-09T00:00:00"/>
    <s v="NA"/>
    <s v="256779417082"/>
    <s v="212100"/>
    <s v="Trade Debtors (Ctrl)"/>
    <s v=""/>
    <s v="01"/>
    <s v="USD"/>
    <n v="1664.01"/>
    <x v="0"/>
    <n v="145624.72"/>
    <s v="O0"/>
    <s v="6779224500"/>
    <s v=""/>
    <s v="NA"/>
    <s v="1"/>
    <s v="Unit-Storage-1-31 Aug 25"/>
    <s v=""/>
    <s v=""/>
    <s v=""/>
    <d v="2025-09-06T00:00:00"/>
    <m/>
    <s v=""/>
  </r>
  <r>
    <s v="Not Selected"/>
    <s v="6779"/>
    <s v="100222372"/>
    <s v="SHAH TC GLOBAL EXIM LLP"/>
    <s v="2026"/>
    <s v="1"/>
    <d v="2026-01-02T00:00:00"/>
    <s v="1800015678"/>
    <x v="4"/>
    <x v="65"/>
    <d v="2026-01-02T00:00:00"/>
    <s v="NA"/>
    <s v="256779440011"/>
    <s v="212100"/>
    <s v="Trade Debtors (Ctrl)"/>
    <s v=""/>
    <s v="01"/>
    <s v="USD"/>
    <n v="464.42"/>
    <x v="0"/>
    <n v="42142.93"/>
    <s v="O0"/>
    <s v="6779224500"/>
    <s v=""/>
    <s v="2139799"/>
    <s v="1"/>
    <s v="Unit Storage - 1-30 Nov 2025"/>
    <s v=""/>
    <s v=""/>
    <s v=""/>
    <d v="2026-01-02T00:00:00"/>
    <m/>
    <s v=""/>
  </r>
  <r>
    <s v="Not Selected"/>
    <s v="6779"/>
    <s v="100222372"/>
    <s v="SHAH TC GLOBAL EXIM LLP"/>
    <s v="2026"/>
    <s v="1"/>
    <d v="2026-01-05T00:00:00"/>
    <s v="1800015802"/>
    <x v="4"/>
    <x v="66"/>
    <d v="2026-01-05T00:00:00"/>
    <s v="NA"/>
    <s v="256779440052"/>
    <s v="212100"/>
    <s v="Trade Debtors (Ctrl)"/>
    <s v=""/>
    <s v="01"/>
    <s v="USD"/>
    <n v="846.77"/>
    <x v="0"/>
    <n v="76838.570000000007"/>
    <s v="O0"/>
    <s v="6779224500"/>
    <s v=""/>
    <s v="2156176"/>
    <s v="1"/>
    <s v="CY Ground rent Chgs - 01 - 15 Dec 25"/>
    <s v=""/>
    <s v=""/>
    <s v=""/>
    <d v="2026-01-05T00:00:00"/>
    <m/>
    <s v=""/>
  </r>
  <r>
    <s v="Not Selected"/>
    <s v="6779"/>
    <s v="100222372"/>
    <s v="SHAH TC GLOBAL EXIM LLP"/>
    <s v="2026"/>
    <s v="1"/>
    <d v="2026-01-05T00:00:00"/>
    <s v="1800015965"/>
    <x v="4"/>
    <x v="66"/>
    <d v="2026-01-05T00:00:00"/>
    <s v="2156419"/>
    <s v="256779440081"/>
    <s v="212100"/>
    <s v="Trade Debtors (Ctrl)"/>
    <s v=""/>
    <s v="01"/>
    <s v="USD"/>
    <n v="3.45"/>
    <x v="0"/>
    <n v="313.06"/>
    <s v="O0"/>
    <s v="6779224500"/>
    <s v=""/>
    <s v="NA"/>
    <s v="1"/>
    <s v="Outbound chgs - 01 - 15 Dec 25"/>
    <s v=""/>
    <s v=""/>
    <s v=""/>
    <d v="2026-01-05T00:00:00"/>
    <m/>
    <s v=""/>
  </r>
  <r>
    <s v="Selected"/>
    <s v="6779"/>
    <s v="100222372"/>
    <s v="SHAH TC GLOBAL EXIM LLP"/>
    <s v="2026"/>
    <s v="1"/>
    <d v="2026-01-07T00:00:00"/>
    <s v="1400002371"/>
    <x v="2"/>
    <x v="67"/>
    <d v="2026-01-07T00:00:00"/>
    <s v="T54SWIC285279"/>
    <s v=""/>
    <s v="212100"/>
    <s v="Trade Debtors (Ctrl)"/>
    <s v=""/>
    <s v="05"/>
    <s v="USD"/>
    <n v="1530.78"/>
    <x v="0"/>
    <n v="135000"/>
    <s v=""/>
    <s v="6779224500"/>
    <s v=""/>
    <s v=""/>
    <s v="5"/>
    <s v="T54SWIC285279"/>
    <s v=""/>
    <s v=""/>
    <s v=""/>
    <d v="2026-01-07T00:00:00"/>
    <d v="2026-01-07T00:00:00"/>
    <s v="1400002371"/>
  </r>
  <r>
    <s v="Selected"/>
    <s v="6779"/>
    <s v="100222372"/>
    <s v="SHAH TC GLOBAL EXIM LLP"/>
    <s v="2026"/>
    <s v="1"/>
    <d v="2026-01-07T00:00:00"/>
    <s v="1400002371"/>
    <x v="2"/>
    <x v="67"/>
    <d v="2026-01-07T00:00:00"/>
    <s v="T54SWIC285279"/>
    <s v=""/>
    <s v="212100"/>
    <s v="Trade Debtors (Ctrl)"/>
    <s v=""/>
    <s v="05"/>
    <s v="USD"/>
    <n v="986.48"/>
    <x v="0"/>
    <n v="86998.43"/>
    <s v=""/>
    <s v="6779224500"/>
    <s v=""/>
    <s v=""/>
    <s v="6"/>
    <s v="T54SWIC285279"/>
    <s v=""/>
    <s v=""/>
    <s v=""/>
    <d v="2026-01-07T00:00:00"/>
    <d v="2026-01-07T00:00:00"/>
    <s v="1400002371"/>
  </r>
  <r>
    <s v="Selected"/>
    <s v="6779"/>
    <s v="100222372"/>
    <s v="SHAH TC GLOBAL EXIM LLP"/>
    <s v="2026"/>
    <s v="1"/>
    <d v="2026-01-07T00:00:00"/>
    <s v="1400002370"/>
    <x v="2"/>
    <x v="67"/>
    <d v="2026-01-07T00:00:00"/>
    <s v="T54SWIC285279"/>
    <s v=""/>
    <s v="212100"/>
    <s v="Trade Debtors (Ctrl)"/>
    <s v=""/>
    <s v="15"/>
    <s v="USD"/>
    <n v="-1530.78"/>
    <x v="0"/>
    <n v="-135000"/>
    <s v=""/>
    <s v="6779224500"/>
    <s v=""/>
    <s v=""/>
    <s v="5"/>
    <s v="T54SWIC285279"/>
    <s v=""/>
    <s v=""/>
    <s v=""/>
    <d v="2026-01-07T00:00:00"/>
    <d v="2026-01-07T00:00:00"/>
    <s v="1400002371"/>
  </r>
  <r>
    <s v="Selected"/>
    <s v="6779"/>
    <s v="100222372"/>
    <s v="SHAH TC GLOBAL EXIM LLP"/>
    <s v="2026"/>
    <s v="1"/>
    <d v="2026-01-07T00:00:00"/>
    <s v="1400002370"/>
    <x v="2"/>
    <x v="67"/>
    <d v="2026-01-07T00:00:00"/>
    <s v="T54SWIC285279"/>
    <s v=""/>
    <s v="212100"/>
    <s v="Trade Debtors (Ctrl)"/>
    <s v=""/>
    <s v="15"/>
    <s v="USD"/>
    <n v="-986.48"/>
    <x v="0"/>
    <n v="-86998.43"/>
    <s v=""/>
    <s v="6779224500"/>
    <s v=""/>
    <s v=""/>
    <s v="6"/>
    <s v="T54SWIC285279"/>
    <s v=""/>
    <s v=""/>
    <s v=""/>
    <d v="2026-01-07T00:00:00"/>
    <d v="2026-01-07T00:00:00"/>
    <s v="1400002371"/>
  </r>
  <r>
    <s v="Selected"/>
    <s v="6779"/>
    <s v="100222372"/>
    <s v="SHAH TC GLOBAL EXIM LLP"/>
    <s v="2026"/>
    <s v="1"/>
    <d v="2026-01-07T00:00:00"/>
    <s v="1400002372"/>
    <x v="2"/>
    <x v="67"/>
    <d v="2026-01-07T00:00:00"/>
    <s v="T54SWIC285279"/>
    <s v=""/>
    <s v="212100"/>
    <s v="Trade Debtors (Ctrl)"/>
    <s v=""/>
    <s v="15"/>
    <s v="USD"/>
    <n v="-1530.78"/>
    <x v="0"/>
    <n v="-135000"/>
    <s v=""/>
    <s v="6779224500"/>
    <s v=""/>
    <s v=""/>
    <s v="4"/>
    <s v="T54SWIC285279"/>
    <s v=""/>
    <s v=""/>
    <s v=""/>
    <d v="2026-01-07T00:00:00"/>
    <d v="2026-01-07T00:00:00"/>
    <s v="1400002372"/>
  </r>
  <r>
    <s v="Selected"/>
    <s v="6779"/>
    <s v="100222372"/>
    <s v="SHAH TC GLOBAL EXIM LLP"/>
    <s v="2026"/>
    <s v="1"/>
    <d v="2026-01-07T00:00:00"/>
    <s v="1400002372"/>
    <x v="2"/>
    <x v="67"/>
    <d v="2026-01-07T00:00:00"/>
    <s v="T54SWIC285279"/>
    <s v=""/>
    <s v="212100"/>
    <s v="Trade Debtors (Ctrl)"/>
    <s v=""/>
    <s v="15"/>
    <s v="USD"/>
    <n v="-986.48"/>
    <x v="0"/>
    <n v="-86998.43"/>
    <s v=""/>
    <s v="6779224500"/>
    <s v=""/>
    <s v=""/>
    <s v="5"/>
    <s v="T54SWIC285279"/>
    <s v=""/>
    <s v=""/>
    <s v=""/>
    <d v="2026-01-07T00:00:00"/>
    <d v="2026-01-07T00:00:00"/>
    <s v="1400002372"/>
  </r>
  <r>
    <s v="Selected"/>
    <s v="6779"/>
    <s v="100222372"/>
    <s v="SHAH TC GLOBAL EXIM LLP"/>
    <s v="2025"/>
    <s v="10"/>
    <d v="2025-10-05T00:00:00"/>
    <s v="1800013253"/>
    <x v="4"/>
    <x v="63"/>
    <d v="2025-10-07T00:00:00"/>
    <s v="NA"/>
    <s v="256779417873"/>
    <s v="212100"/>
    <s v="Trade Debtors (Ctrl)"/>
    <s v=""/>
    <s v="01"/>
    <s v="INR"/>
    <n v="100000"/>
    <x v="0"/>
    <n v="100000"/>
    <s v="O0"/>
    <s v="6779224500"/>
    <s v=""/>
    <s v="2110507"/>
    <s v="1"/>
    <s v="Fixed Storage Charges for October 2025"/>
    <s v=""/>
    <s v=""/>
    <s v=""/>
    <d v="2025-10-05T00:00:00"/>
    <d v="2026-01-07T00:00:00"/>
    <s v="1400002372"/>
  </r>
  <r>
    <s v="Selected"/>
    <s v="6779"/>
    <s v="100222372"/>
    <s v="SHAH TC GLOBAL EXIM LLP"/>
    <s v="2025"/>
    <s v="10"/>
    <d v="2025-10-05T00:00:00"/>
    <s v="1800013254"/>
    <x v="4"/>
    <x v="63"/>
    <d v="2025-10-07T00:00:00"/>
    <s v="NA"/>
    <s v="256779417874"/>
    <s v="212100"/>
    <s v="Trade Debtors (Ctrl)"/>
    <s v=""/>
    <s v="01"/>
    <s v="INR"/>
    <n v="35000"/>
    <x v="0"/>
    <n v="35000"/>
    <s v="O0"/>
    <s v="6779224500"/>
    <s v=""/>
    <s v="2110507"/>
    <s v="1"/>
    <s v="Fixed Storage Charges for October 2025"/>
    <s v=""/>
    <s v=""/>
    <s v=""/>
    <d v="2025-10-05T00:00:00"/>
    <d v="2026-01-07T00:00:00"/>
    <s v="1400002372"/>
  </r>
  <r>
    <s v="Selected"/>
    <s v="6779"/>
    <s v="100222372"/>
    <s v="SHAH TC GLOBAL EXIM LLP"/>
    <s v="2025"/>
    <s v="10"/>
    <d v="2025-10-05T00:00:00"/>
    <s v="1800013383"/>
    <x v="4"/>
    <x v="63"/>
    <d v="2025-10-07T00:00:00"/>
    <s v="NA"/>
    <s v="256779417979"/>
    <s v="212100"/>
    <s v="Trade Debtors (Ctrl)"/>
    <s v=""/>
    <s v="01"/>
    <s v="USD"/>
    <n v="136.47999999999999"/>
    <x v="0"/>
    <n v="12036.28"/>
    <s v="O0"/>
    <s v="6779224500"/>
    <s v=""/>
    <s v="2110504"/>
    <s v="1"/>
    <s v="Outbound chgs - 16 - 30 Sep 25"/>
    <s v=""/>
    <s v=""/>
    <s v=""/>
    <d v="2025-10-05T00:00:00"/>
    <d v="2026-01-07T00:00:00"/>
    <s v="1400002372"/>
  </r>
  <r>
    <s v="Selected"/>
    <s v="6779"/>
    <s v="100222372"/>
    <s v="SHAH TC GLOBAL EXIM LLP"/>
    <s v="2025"/>
    <s v="10"/>
    <d v="2025-10-05T00:00:00"/>
    <s v="1800013479"/>
    <x v="4"/>
    <x v="63"/>
    <d v="2025-10-07T00:00:00"/>
    <s v="NA"/>
    <s v="256779418095"/>
    <s v="212100"/>
    <s v="Trade Debtors (Ctrl)"/>
    <s v=""/>
    <s v="01"/>
    <s v="USD"/>
    <n v="850"/>
    <x v="0"/>
    <n v="74962.149999999994"/>
    <s v="O0"/>
    <s v="6779224500"/>
    <s v=""/>
    <s v="2110489"/>
    <s v="1"/>
    <s v="CY Ground rent Chgs - 16 - 30 Sep 25"/>
    <s v=""/>
    <s v=""/>
    <s v=""/>
    <d v="2025-10-05T00:00:00"/>
    <d v="2026-01-07T00:00:00"/>
    <s v="1400002372"/>
  </r>
  <r>
    <s v="Not Selected"/>
    <s v="6779"/>
    <s v="100222372"/>
    <s v="SHAH TC GLOBAL EXIM LLP"/>
    <s v="2026"/>
    <s v="1"/>
    <d v="2026-01-12T00:00:00"/>
    <s v="1800016315"/>
    <x v="4"/>
    <x v="68"/>
    <d v="2026-01-12T00:00:00"/>
    <s v="2158392"/>
    <s v="256779440168"/>
    <s v="212100"/>
    <s v="Trade Debtors (Ctrl)"/>
    <s v=""/>
    <s v="01"/>
    <s v="USD"/>
    <n v="903.23"/>
    <x v="0"/>
    <n v="81961.929999999993"/>
    <s v="O0"/>
    <s v="6779224500"/>
    <s v=""/>
    <s v="NA"/>
    <s v="1"/>
    <s v="CY Ground rent Chgs - 16 - 31 Dec 25"/>
    <s v=""/>
    <s v=""/>
    <s v=""/>
    <d v="2026-01-12T00:00:00"/>
    <m/>
    <s v=""/>
  </r>
  <r>
    <s v="Not Selected"/>
    <s v="6779"/>
    <s v="100222372"/>
    <s v="SHAH TC GLOBAL EXIM LLP"/>
    <s v="2026"/>
    <s v="1"/>
    <d v="2026-01-06T00:00:00"/>
    <s v="1800016504"/>
    <x v="4"/>
    <x v="69"/>
    <d v="2026-01-12T00:00:00"/>
    <s v="2158404"/>
    <s v="256779440211"/>
    <s v="212100"/>
    <s v="Trade Debtors (Ctrl)"/>
    <s v=""/>
    <s v="01"/>
    <s v="USD"/>
    <n v="26.97"/>
    <x v="0"/>
    <n v="2447.34"/>
    <s v="O0"/>
    <s v="6779224500"/>
    <s v=""/>
    <s v="NA"/>
    <s v="1"/>
    <s v="LCL Chgs - 16 - 31 DEC 25"/>
    <s v=""/>
    <s v=""/>
    <s v=""/>
    <d v="2026-01-06T00:00:00"/>
    <m/>
    <s v=""/>
  </r>
  <r>
    <s v="Not Selected"/>
    <s v="6779"/>
    <s v="100222372"/>
    <s v="SHAH TC GLOBAL EXIM LLP"/>
    <s v="2026"/>
    <s v="1"/>
    <d v="2026-01-12T00:00:00"/>
    <s v="1800016419"/>
    <x v="4"/>
    <x v="68"/>
    <d v="2026-01-12T00:00:00"/>
    <s v="2158406"/>
    <s v="256779440230"/>
    <s v="212100"/>
    <s v="Trade Debtors (Ctrl)"/>
    <s v=""/>
    <s v="01"/>
    <s v="USD"/>
    <n v="40.56"/>
    <x v="0"/>
    <n v="3680.54"/>
    <s v="O0"/>
    <s v="6779224500"/>
    <s v=""/>
    <s v="NA"/>
    <s v="1"/>
    <s v="Outbound chgs - 16 - 31 Dec 25"/>
    <s v=""/>
    <s v=""/>
    <s v=""/>
    <d v="2026-01-12T00:00:00"/>
    <m/>
    <s v=""/>
  </r>
  <r>
    <s v="Not Selected"/>
    <s v="6779"/>
    <s v="100222372"/>
    <s v="SHAH TC GLOBAL EXIM LLP"/>
    <s v="2026"/>
    <s v="1"/>
    <d v="2026-01-06T00:00:00"/>
    <s v="1800016509"/>
    <x v="4"/>
    <x v="69"/>
    <d v="2026-01-13T00:00:00"/>
    <s v="2158636"/>
    <s v="256779440262"/>
    <s v="212100"/>
    <s v="Trade Debtors (Ctrl)"/>
    <s v=""/>
    <s v="01"/>
    <s v="USD"/>
    <n v="100"/>
    <x v="0"/>
    <n v="9074.31"/>
    <s v="O0"/>
    <s v="6779224500"/>
    <s v=""/>
    <s v="NA"/>
    <s v="1"/>
    <s v="Intra-Dec 25 - 16-31"/>
    <s v=""/>
    <s v=""/>
    <s v=""/>
    <d v="2026-01-06T00:00:00"/>
    <m/>
    <s v=""/>
  </r>
  <r>
    <s v="Not Selected"/>
    <s v="6779"/>
    <s v="100222372"/>
    <s v="SHAH TC GLOBAL EXIM LLP"/>
    <s v="2026"/>
    <s v="1"/>
    <d v="2026-01-06T00:00:00"/>
    <s v="1800016510"/>
    <x v="4"/>
    <x v="69"/>
    <d v="2026-01-13T00:00:00"/>
    <s v="2158636"/>
    <s v="256779440263"/>
    <s v="212100"/>
    <s v="Trade Debtors (Ctrl)"/>
    <s v=""/>
    <s v="01"/>
    <s v="USD"/>
    <n v="100"/>
    <x v="0"/>
    <n v="9074.31"/>
    <s v="O0"/>
    <s v="6779224500"/>
    <s v=""/>
    <s v="NA"/>
    <s v="1"/>
    <s v="Intra-Dec 25 - 16-31"/>
    <s v=""/>
    <s v=""/>
    <s v=""/>
    <d v="2026-01-06T00:00:00"/>
    <m/>
    <s v=""/>
  </r>
  <r>
    <s v="Not Selected"/>
    <s v="6779"/>
    <s v="100222372"/>
    <s v="SHAH TC GLOBAL EXIM LLP"/>
    <s v="2026"/>
    <s v="1"/>
    <d v="2026-01-06T00:00:00"/>
    <s v="1800016511"/>
    <x v="4"/>
    <x v="69"/>
    <d v="2026-01-13T00:00:00"/>
    <s v="2158636"/>
    <s v="256779440264"/>
    <s v="212100"/>
    <s v="Trade Debtors (Ctrl)"/>
    <s v=""/>
    <s v="01"/>
    <s v="USD"/>
    <n v="100"/>
    <x v="0"/>
    <n v="9074.31"/>
    <s v="O0"/>
    <s v="6779224500"/>
    <s v=""/>
    <s v="NA"/>
    <s v="1"/>
    <s v="Intra-Dec 25 - 16-31"/>
    <s v=""/>
    <s v=""/>
    <s v=""/>
    <d v="2026-01-06T00:00:00"/>
    <m/>
    <s v=""/>
  </r>
  <r>
    <s v="Not Selected"/>
    <s v="6779"/>
    <s v="100222372"/>
    <s v="SHAH TC GLOBAL EXIM LLP"/>
    <s v="2026"/>
    <s v="1"/>
    <d v="2026-01-06T00:00:00"/>
    <s v="1800016512"/>
    <x v="4"/>
    <x v="69"/>
    <d v="2026-01-13T00:00:00"/>
    <s v="2158636"/>
    <s v="256779440265"/>
    <s v="212100"/>
    <s v="Trade Debtors (Ctrl)"/>
    <s v=""/>
    <s v="01"/>
    <s v="USD"/>
    <n v="100"/>
    <x v="0"/>
    <n v="9074.31"/>
    <s v="O0"/>
    <s v="6779224500"/>
    <s v=""/>
    <s v="NA"/>
    <s v="1"/>
    <s v="Intra-Dec 25 - 16-31"/>
    <s v=""/>
    <s v=""/>
    <s v=""/>
    <d v="2026-01-06T00:00:00"/>
    <m/>
    <s v=""/>
  </r>
  <r>
    <s v="Not Selected"/>
    <s v="6779"/>
    <s v="100222372"/>
    <s v="SHAH TC GLOBAL EXIM LLP"/>
    <s v="2026"/>
    <s v="1"/>
    <d v="2026-01-06T00:00:00"/>
    <s v="1800016545"/>
    <x v="4"/>
    <x v="69"/>
    <d v="2026-01-13T00:00:00"/>
    <s v="2158669"/>
    <s v="256779440307"/>
    <s v="212100"/>
    <s v="Trade Debtors (Ctrl)"/>
    <s v=""/>
    <s v="01"/>
    <s v="INR"/>
    <n v="100000"/>
    <x v="0"/>
    <n v="100000"/>
    <s v="O0"/>
    <s v="6779224500"/>
    <s v=""/>
    <s v="NA"/>
    <s v="1"/>
    <s v="Fixed Storage Charges for January 2026"/>
    <s v=""/>
    <s v=""/>
    <s v=""/>
    <d v="2026-01-06T00:00:00"/>
    <m/>
    <s v=""/>
  </r>
  <r>
    <s v="Not Selected"/>
    <s v="6779"/>
    <s v="100222372"/>
    <s v="SHAH TC GLOBAL EXIM LLP"/>
    <s v="2026"/>
    <s v="1"/>
    <d v="2026-01-06T00:00:00"/>
    <s v="1800016546"/>
    <x v="4"/>
    <x v="69"/>
    <d v="2026-01-13T00:00:00"/>
    <s v="2158669"/>
    <s v="256779440308"/>
    <s v="212100"/>
    <s v="Trade Debtors (Ctrl)"/>
    <s v=""/>
    <s v="01"/>
    <s v="INR"/>
    <n v="35000"/>
    <x v="0"/>
    <n v="35000"/>
    <s v="O0"/>
    <s v="6779224500"/>
    <s v=""/>
    <s v="NA"/>
    <s v="1"/>
    <s v="Fixed Mangement FEE for January 2026"/>
    <s v=""/>
    <s v=""/>
    <s v=""/>
    <d v="2026-01-06T00:00:00"/>
    <m/>
    <s v=""/>
  </r>
  <r>
    <s v="Not Selected"/>
    <s v="6779"/>
    <s v="100222372"/>
    <s v="SHAH TC GLOBAL EXIM LLP"/>
    <s v="2026"/>
    <s v="1"/>
    <d v="2026-01-13T00:00:00"/>
    <s v="1800016771"/>
    <x v="4"/>
    <x v="70"/>
    <d v="2026-01-13T00:00:00"/>
    <s v="NA"/>
    <s v="256779440358"/>
    <s v="212100"/>
    <s v="Trade Debtors (Ctrl)"/>
    <s v=""/>
    <s v="01"/>
    <s v="USD"/>
    <n v="100"/>
    <x v="0"/>
    <n v="9074.31"/>
    <s v="O0"/>
    <s v="6779224500"/>
    <s v=""/>
    <s v="2159214"/>
    <s v="1"/>
    <s v="INTRA  -NOV 25,16-30"/>
    <s v=""/>
    <s v=""/>
    <s v=""/>
    <d v="2026-01-13T00:00:00"/>
    <m/>
    <s v=""/>
  </r>
  <r>
    <s v="Not Selected"/>
    <s v="6779"/>
    <s v="100222372"/>
    <s v="SHAH TC GLOBAL EXIM LLP"/>
    <s v="2026"/>
    <s v="1"/>
    <d v="2026-01-13T00:00:00"/>
    <s v="1800016778"/>
    <x v="4"/>
    <x v="70"/>
    <d v="2026-01-13T00:00:00"/>
    <s v="NA"/>
    <s v="256779440365"/>
    <s v="212100"/>
    <s v="Trade Debtors (Ctrl)"/>
    <s v=""/>
    <s v="01"/>
    <s v="USD"/>
    <n v="38.229999999999997"/>
    <x v="0"/>
    <n v="3469.11"/>
    <s v="O0"/>
    <s v="6779224500"/>
    <s v=""/>
    <s v="2159214"/>
    <s v="1"/>
    <s v="VAS - NOV 25,16-30"/>
    <s v=""/>
    <s v=""/>
    <s v=""/>
    <d v="2026-01-13T00:00:00"/>
    <m/>
    <s v=""/>
  </r>
  <r>
    <s v="Not Selected"/>
    <s v="6779"/>
    <s v="100222372"/>
    <s v="SHAH TC GLOBAL EXIM LLP"/>
    <s v="2026"/>
    <s v="1"/>
    <d v="2026-01-22T00:00:00"/>
    <s v="1800017005"/>
    <x v="4"/>
    <x v="71"/>
    <d v="2026-01-27T00:00:00"/>
    <s v="2163135"/>
    <s v="256779440395"/>
    <s v="212100"/>
    <s v="Trade Debtors (Ctrl)"/>
    <s v=""/>
    <s v="01"/>
    <s v="USD"/>
    <n v="846.77"/>
    <x v="0"/>
    <n v="76838.570000000007"/>
    <s v="O0"/>
    <s v="6779224500"/>
    <s v=""/>
    <s v="NA"/>
    <s v="1"/>
    <s v="CY Ground rent Chgs - 01 - 15 Jan 26"/>
    <s v=""/>
    <s v=""/>
    <s v=""/>
    <d v="2026-01-22T00:00:00"/>
    <m/>
    <s v=""/>
  </r>
  <r>
    <s v="Not Selected"/>
    <s v="6779"/>
    <s v="100222372"/>
    <s v="SHAH TC GLOBAL EXIM LLP"/>
    <s v="2026"/>
    <s v="1"/>
    <d v="2026-01-23T00:00:00"/>
    <s v="1800017065"/>
    <x v="4"/>
    <x v="72"/>
    <d v="2026-01-27T00:00:00"/>
    <s v="2163146"/>
    <s v="256779440414"/>
    <s v="212100"/>
    <s v="Trade Debtors (Ctrl)"/>
    <s v=""/>
    <s v="01"/>
    <s v="USD"/>
    <n v="82.3"/>
    <x v="0"/>
    <n v="7468.16"/>
    <s v="O0"/>
    <s v="6779224500"/>
    <s v=""/>
    <s v="NA"/>
    <s v="1"/>
    <s v="LCL Chgs - 01 - 15 JAN 26"/>
    <s v=""/>
    <s v=""/>
    <s v=""/>
    <d v="2026-01-23T00:00:00"/>
    <m/>
    <s v=""/>
  </r>
  <r>
    <s v="Not Selected"/>
    <s v="6779"/>
    <s v="100222372"/>
    <s v="SHAH TC GLOBAL EXIM LLP"/>
    <s v="2026"/>
    <s v="1"/>
    <d v="2026-01-23T00:00:00"/>
    <s v="1800017110"/>
    <x v="4"/>
    <x v="72"/>
    <d v="2026-01-27T00:00:00"/>
    <s v="2163152"/>
    <s v="256779440430"/>
    <s v="212100"/>
    <s v="Trade Debtors (Ctrl)"/>
    <s v=""/>
    <s v="01"/>
    <s v="USD"/>
    <n v="23.82"/>
    <x v="0"/>
    <n v="2161.5"/>
    <s v="O0"/>
    <s v="6779224500"/>
    <s v=""/>
    <s v="NA"/>
    <s v="1"/>
    <s v="Outbound chgs - 01 - 15 JAN 26"/>
    <s v=""/>
    <s v=""/>
    <s v=""/>
    <d v="2026-01-23T00:00:00"/>
    <m/>
    <s v=""/>
  </r>
  <r>
    <s v="Not Selected"/>
    <s v="6779"/>
    <s v="100222372"/>
    <s v="SHAH TC GLOBAL EXIM LLP"/>
    <s v="2026"/>
    <s v="1"/>
    <d v="2026-01-27T00:00:00"/>
    <s v="1800017153"/>
    <x v="4"/>
    <x v="73"/>
    <d v="2026-01-27T00:00:00"/>
    <s v="2163426"/>
    <s v="256779440446"/>
    <s v="212100"/>
    <s v="Trade Debtors (Ctrl)"/>
    <s v=""/>
    <s v="01"/>
    <s v="USD"/>
    <n v="96.71"/>
    <x v="0"/>
    <n v="8775.77"/>
    <s v="O0"/>
    <s v="6779224500"/>
    <s v=""/>
    <s v="NA"/>
    <s v="1"/>
    <s v="VAS-1-15 Jan 2026"/>
    <s v=""/>
    <s v=""/>
    <s v=""/>
    <d v="2026-01-27T00:00:00"/>
    <m/>
    <s v=""/>
  </r>
  <r>
    <s v="Not Selected"/>
    <s v="6779"/>
    <s v="100222372"/>
    <s v="SHAH TC GLOBAL EXIM LLP"/>
    <s v="2026"/>
    <s v="2"/>
    <d v="2026-02-02T00:00:00"/>
    <s v="1600002768"/>
    <x v="5"/>
    <x v="74"/>
    <d v="2026-02-02T00:00:00"/>
    <s v="2168972"/>
    <s v="256779422238"/>
    <s v="212100"/>
    <s v="Trade Debtors (Ctrl)"/>
    <s v=""/>
    <s v="11"/>
    <s v="USD"/>
    <n v="-17.48"/>
    <x v="0"/>
    <n v="-1579.06"/>
    <s v="O0"/>
    <s v="6779224500"/>
    <s v=""/>
    <s v="NA"/>
    <s v="1"/>
    <s v="CN issued against - 256779415196"/>
    <s v=""/>
    <s v=""/>
    <s v=""/>
    <d v="2026-02-02T00:00:00"/>
    <m/>
    <s v=""/>
  </r>
  <r>
    <s v="Not Selected"/>
    <s v="6779"/>
    <s v="100222372"/>
    <s v="SHAH TC GLOBAL EXIM LLP"/>
    <s v="2026"/>
    <s v="2"/>
    <d v="2026-02-02T00:00:00"/>
    <s v="1600002769"/>
    <x v="5"/>
    <x v="74"/>
    <d v="2026-02-02T00:00:00"/>
    <s v="2168972"/>
    <s v="256779422239"/>
    <s v="212100"/>
    <s v="Trade Debtors (Ctrl)"/>
    <s v=""/>
    <s v="11"/>
    <s v="USD"/>
    <n v="-101.23"/>
    <x v="0"/>
    <n v="-9144.6299999999992"/>
    <s v="O0"/>
    <s v="6779224500"/>
    <s v=""/>
    <s v="NA"/>
    <s v="1"/>
    <s v="CN issued against - 256779416078"/>
    <s v=""/>
    <s v=""/>
    <s v=""/>
    <d v="2026-02-02T00:00:00"/>
    <m/>
    <s v=""/>
  </r>
  <r>
    <s v="Not Selected"/>
    <s v="6779"/>
    <s v="100222372"/>
    <s v="SHAH TC GLOBAL EXIM LLP"/>
    <s v="2026"/>
    <s v="2"/>
    <d v="2026-02-02T00:00:00"/>
    <s v="1600002770"/>
    <x v="5"/>
    <x v="74"/>
    <d v="2026-02-02T00:00:00"/>
    <s v="2168972"/>
    <s v="256779422240"/>
    <s v="212100"/>
    <s v="Trade Debtors (Ctrl)"/>
    <s v=""/>
    <s v="11"/>
    <s v="USD"/>
    <n v="-303.16000000000003"/>
    <x v="0"/>
    <n v="-27386.02"/>
    <s v="O0"/>
    <s v="6779224500"/>
    <s v=""/>
    <s v="NA"/>
    <s v="1"/>
    <s v="CN issued against - 256779414240"/>
    <s v=""/>
    <s v=""/>
    <s v=""/>
    <d v="2026-02-02T00:00:00"/>
    <m/>
    <s v=""/>
  </r>
  <r>
    <s v="Not Selected"/>
    <s v="6779"/>
    <s v="100222372"/>
    <s v="SHAH TC GLOBAL EXIM LLP"/>
    <s v="2026"/>
    <s v="2"/>
    <d v="2026-02-02T00:00:00"/>
    <s v="1600002771"/>
    <x v="5"/>
    <x v="74"/>
    <d v="2026-02-02T00:00:00"/>
    <s v="2168972"/>
    <s v="256779422241"/>
    <s v="212100"/>
    <s v="Trade Debtors (Ctrl)"/>
    <s v=""/>
    <s v="11"/>
    <s v="USD"/>
    <n v="-87.28"/>
    <x v="0"/>
    <n v="-7884.46"/>
    <s v="O0"/>
    <s v="6779224500"/>
    <s v=""/>
    <s v="NA"/>
    <s v="1"/>
    <s v="CN issued against - 256779417082"/>
    <s v=""/>
    <s v=""/>
    <s v=""/>
    <d v="2026-02-02T00:00:00"/>
    <m/>
    <s v=""/>
  </r>
  <r>
    <s v="Not Selected"/>
    <s v="6779"/>
    <s v="100222372"/>
    <s v="SHAH TC GLOBAL EXIM LLP"/>
    <s v="2026"/>
    <s v="2"/>
    <d v="2026-02-02T00:00:00"/>
    <s v="1800017178"/>
    <x v="4"/>
    <x v="74"/>
    <d v="2026-02-02T00:00:00"/>
    <s v="2168973"/>
    <s v="256779440457"/>
    <s v="212100"/>
    <s v="Trade Debtors (Ctrl)"/>
    <s v=""/>
    <s v="01"/>
    <s v="USD"/>
    <n v="938.8"/>
    <x v="0"/>
    <n v="84806.69"/>
    <s v="O0"/>
    <s v="6779224500"/>
    <s v=""/>
    <s v="NA"/>
    <s v="1"/>
    <s v="Unit Storage - 1-30 Sept 2025"/>
    <s v=""/>
    <s v=""/>
    <s v=""/>
    <d v="2026-02-02T00:00:00"/>
    <m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1400000854"/>
    <s v="DZ"/>
    <d v="2025-08-18T00:00:00"/>
    <d v="2025-08-18T00:00:00"/>
    <x v="0"/>
    <s v=""/>
    <s v="USD"/>
    <n v="-700.45"/>
    <s v="INR"/>
    <n v="-60884.42"/>
    <s v=""/>
    <x v="0"/>
  </r>
  <r>
    <s v="1400001231"/>
    <s v="DZ"/>
    <d v="2025-10-01T00:00:00"/>
    <d v="2025-09-25T00:00:00"/>
    <x v="1"/>
    <s v=""/>
    <s v="USD"/>
    <n v="-4719.25"/>
    <s v="INR"/>
    <n v="-413002"/>
    <s v=""/>
    <x v="1"/>
  </r>
  <r>
    <s v="1400000977"/>
    <s v="DZ"/>
    <d v="2025-08-21T00:00:00"/>
    <d v="2025-08-21T00:00:00"/>
    <x v="2"/>
    <s v=""/>
    <s v="USD"/>
    <n v="-3663.7"/>
    <s v="INR"/>
    <n v="-313212.57"/>
    <s v=""/>
    <x v="1"/>
  </r>
  <r>
    <s v="1400000990"/>
    <s v="DZ"/>
    <d v="2025-08-21T00:00:00"/>
    <d v="2025-08-21T00:00:00"/>
    <x v="3"/>
    <s v=""/>
    <s v="USD"/>
    <n v="-3777.49"/>
    <s v="INR"/>
    <n v="-324866.67"/>
    <s v=""/>
    <x v="1"/>
  </r>
  <r>
    <s v="1400000126"/>
    <s v="DZ"/>
    <d v="2025-06-24T00:00:00"/>
    <d v="2025-06-24T00:00:00"/>
    <x v="4"/>
    <s v=""/>
    <s v="USD"/>
    <n v="-3663.7"/>
    <s v="INR"/>
    <n v="-3663.7"/>
    <s v=""/>
    <x v="2"/>
  </r>
  <r>
    <s v="1400000127"/>
    <s v="DZ"/>
    <d v="2025-06-24T00:00:00"/>
    <d v="2025-06-24T00:00:00"/>
    <x v="5"/>
    <s v=""/>
    <s v="USD"/>
    <n v="-3508.06"/>
    <s v="INR"/>
    <n v="-3508.06"/>
    <s v=""/>
    <x v="1"/>
  </r>
  <r>
    <s v="1400000128"/>
    <s v="DZ"/>
    <d v="2025-06-24T00:00:00"/>
    <d v="2025-06-24T00:00:00"/>
    <x v="6"/>
    <s v=""/>
    <s v="USD"/>
    <n v="-3145.98"/>
    <s v="INR"/>
    <n v="-3145.98"/>
    <s v=""/>
    <x v="1"/>
  </r>
  <r>
    <s v="1400000133"/>
    <s v="DZ"/>
    <d v="2025-06-24T00:00:00"/>
    <d v="2025-06-24T00:00:00"/>
    <x v="7"/>
    <s v=""/>
    <s v="USD"/>
    <n v="-12549.36"/>
    <s v="INR"/>
    <n v="-12549.36"/>
    <s v=""/>
    <x v="1"/>
  </r>
  <r>
    <s v="1400000134"/>
    <s v="DZ"/>
    <d v="2025-06-24T00:00:00"/>
    <d v="2025-06-24T00:00:00"/>
    <x v="8"/>
    <s v=""/>
    <s v="USD"/>
    <n v="-4228.22"/>
    <s v="INR"/>
    <n v="-4228.22"/>
    <s v=""/>
    <x v="1"/>
  </r>
  <r>
    <s v="1400000149"/>
    <s v="DZ"/>
    <d v="2025-06-24T00:00:00"/>
    <d v="2025-06-27T00:00:00"/>
    <x v="4"/>
    <s v=""/>
    <s v="USD"/>
    <n v="3663.7"/>
    <s v="INR"/>
    <n v="3663.7"/>
    <s v=""/>
    <x v="2"/>
  </r>
  <r>
    <s v="1400000854"/>
    <s v="DZ"/>
    <d v="2025-08-18T00:00:00"/>
    <d v="2025-08-18T00:00:00"/>
    <x v="0"/>
    <s v=""/>
    <s v="USD"/>
    <n v="-4437.8999999999996"/>
    <s v="INR"/>
    <n v="-383425.92"/>
    <s v=""/>
    <x v="0"/>
  </r>
  <r>
    <s v="1400000864"/>
    <s v="DZ"/>
    <d v="2025-08-19T00:00:00"/>
    <d v="2025-08-19T00:00:00"/>
    <x v="9"/>
    <s v=""/>
    <s v="USD"/>
    <n v="-1102.02"/>
    <s v="INR"/>
    <n v="-94695.18"/>
    <s v="8681446219FS"/>
    <x v="3"/>
  </r>
  <r>
    <s v="1400001221"/>
    <s v="DZ"/>
    <d v="2025-09-24T00:00:00"/>
    <d v="2025-09-24T00:00:00"/>
    <x v="10"/>
    <s v=""/>
    <s v="USD"/>
    <n v="-2932.84"/>
    <s v="INR"/>
    <n v="-256665.53"/>
    <s v=""/>
    <x v="1"/>
  </r>
  <r>
    <s v="1400001598"/>
    <s v="DZ"/>
    <d v="2025-11-03T00:00:00"/>
    <d v="2025-11-03T00:00:00"/>
    <x v="11"/>
    <s v=""/>
    <s v="USD"/>
    <n v="-1731.27"/>
    <s v="INR"/>
    <n v="-152682.03"/>
    <s v=""/>
    <x v="1"/>
  </r>
  <r>
    <s v="1400001618"/>
    <s v="DZ"/>
    <d v="2025-11-11T00:00:00"/>
    <d v="2025-11-11T00:00:00"/>
    <x v="12"/>
    <s v=""/>
    <s v="USD"/>
    <n v="-1968.44"/>
    <s v="INR"/>
    <n v="-173229.39"/>
    <s v=""/>
    <x v="1"/>
  </r>
  <r>
    <s v="1400001620"/>
    <s v="DZ"/>
    <d v="2025-11-11T00:00:00"/>
    <d v="2025-11-11T00:00:00"/>
    <x v="13"/>
    <s v=""/>
    <s v="USD"/>
    <n v="-8339.84"/>
    <s v="INR"/>
    <n v="-729855.51"/>
    <s v=""/>
    <x v="1"/>
  </r>
  <r>
    <s v="1400001622"/>
    <s v="DZ"/>
    <d v="2025-11-11T00:00:00"/>
    <d v="2025-11-11T00:00:00"/>
    <x v="14"/>
    <s v=""/>
    <s v="USD"/>
    <n v="-10455.66"/>
    <s v="INR"/>
    <n v="-920133.52"/>
    <s v=""/>
    <x v="1"/>
  </r>
  <r>
    <s v="1400002371"/>
    <s v="DZ"/>
    <d v="2026-01-07T00:00:00"/>
    <d v="2026-01-07T00:00:00"/>
    <x v="15"/>
    <s v=""/>
    <s v="USD"/>
    <n v="1530.78"/>
    <s v="INR"/>
    <n v="135000"/>
    <s v="T54SWIC285279"/>
    <x v="4"/>
  </r>
  <r>
    <s v="1400002371"/>
    <s v="DZ"/>
    <d v="2026-01-07T00:00:00"/>
    <d v="2026-01-07T00:00:00"/>
    <x v="15"/>
    <s v=""/>
    <s v="USD"/>
    <n v="986.48"/>
    <s v="INR"/>
    <n v="86998.43"/>
    <s v="T54SWIC285279"/>
    <x v="4"/>
  </r>
  <r>
    <s v="1400002370"/>
    <s v="DZ"/>
    <d v="2026-01-07T00:00:00"/>
    <d v="2026-01-07T00:00:00"/>
    <x v="15"/>
    <s v=""/>
    <s v="USD"/>
    <n v="-1530.78"/>
    <s v="INR"/>
    <n v="-135000"/>
    <s v="T54SWIC285279"/>
    <x v="4"/>
  </r>
  <r>
    <s v="1400002370"/>
    <s v="DZ"/>
    <d v="2026-01-07T00:00:00"/>
    <d v="2026-01-07T00:00:00"/>
    <x v="15"/>
    <s v=""/>
    <s v="USD"/>
    <n v="-986.48"/>
    <s v="INR"/>
    <n v="-86998.43"/>
    <s v="T54SWIC285279"/>
    <x v="4"/>
  </r>
  <r>
    <s v="1400002372"/>
    <s v="DZ"/>
    <d v="2026-01-07T00:00:00"/>
    <d v="2026-01-07T00:00:00"/>
    <x v="15"/>
    <s v=""/>
    <s v="USD"/>
    <n v="-1530.78"/>
    <s v="INR"/>
    <n v="-135000"/>
    <s v="T54SWIC285279"/>
    <x v="5"/>
  </r>
  <r>
    <s v="1400002372"/>
    <s v="DZ"/>
    <d v="2026-01-07T00:00:00"/>
    <d v="2026-01-07T00:00:00"/>
    <x v="15"/>
    <s v=""/>
    <s v="USD"/>
    <n v="-986.48"/>
    <s v="INR"/>
    <n v="-86998.43"/>
    <s v="T54SWIC28527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3EF93-E47D-44EA-BD0D-AE989AF38360}" name="PivotTable1" cacheId="1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O1:Q18" firstHeaderRow="1" firstDataRow="1" firstDataCol="2"/>
  <pivotFields count="12"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axis="axisRow" compact="0" outline="0" showAll="0" defaultSubtotal="0">
      <items count="16">
        <item x="0"/>
        <item x="1"/>
        <item x="7"/>
        <item x="4"/>
        <item x="10"/>
        <item x="8"/>
        <item x="13"/>
        <item x="6"/>
        <item x="9"/>
        <item x="5"/>
        <item x="2"/>
        <item x="3"/>
        <item x="11"/>
        <item x="12"/>
        <item x="14"/>
        <item x="15"/>
      </items>
    </pivotField>
    <pivotField compact="0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axis="axisRow" compact="0" outline="0" showAll="0" defaultSubtotal="0">
      <items count="6">
        <item x="1"/>
        <item x="2"/>
        <item x="0"/>
        <item x="3"/>
        <item x="4"/>
        <item x="5"/>
      </items>
    </pivotField>
  </pivotFields>
  <rowFields count="2">
    <field x="11"/>
    <field x="4"/>
  </rowFields>
  <rowItems count="17">
    <i>
      <x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  <x v="3"/>
    </i>
    <i>
      <x v="2"/>
      <x/>
    </i>
    <i>
      <x v="3"/>
      <x v="8"/>
    </i>
    <i>
      <x v="4"/>
      <x v="15"/>
    </i>
    <i>
      <x v="5"/>
      <x v="15"/>
    </i>
  </rowItems>
  <colItems count="1">
    <i/>
  </colItems>
  <dataFields count="1">
    <dataField name="Sum of Document Currency Val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A4300-1324-450C-A0B8-AA2BABC051E4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J18" firstHeaderRow="1" firstDataRow="2" firstDataCol="3"/>
  <pivotFields count="3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axis="axisCol" compact="0" outline="0" showAll="0" defaultSubtotal="0">
      <items count="6">
        <item x="0"/>
        <item x="5"/>
        <item x="4"/>
        <item x="1"/>
        <item x="2"/>
        <item x="3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>
      <items count="1">
        <item x="0"/>
      </items>
    </pivotField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34"/>
    <field x="33"/>
    <field x="9"/>
  </rowFields>
  <rowItems count="14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mpany Code Currency Val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BDAA-2DDA-45FF-8D10-5C49DD73BF8E}">
  <dimension ref="A1:U24"/>
  <sheetViews>
    <sheetView topLeftCell="K1" workbookViewId="0">
      <selection activeCell="S1" sqref="S1:U18"/>
    </sheetView>
  </sheetViews>
  <sheetFormatPr defaultRowHeight="12.5" x14ac:dyDescent="0.25"/>
  <cols>
    <col min="3" max="3" width="13.26953125" bestFit="1" customWidth="1"/>
    <col min="4" max="4" width="10.08984375" bestFit="1" customWidth="1"/>
    <col min="5" max="5" width="19.36328125" bestFit="1" customWidth="1"/>
    <col min="8" max="8" width="9.54296875" bestFit="1" customWidth="1"/>
    <col min="10" max="10" width="11.08984375" bestFit="1" customWidth="1"/>
    <col min="15" max="15" width="18.54296875" bestFit="1" customWidth="1"/>
    <col min="16" max="16" width="23" bestFit="1" customWidth="1"/>
    <col min="17" max="17" width="30.36328125" bestFit="1" customWidth="1"/>
    <col min="19" max="19" width="16" bestFit="1" customWidth="1"/>
    <col min="20" max="20" width="19.36328125" bestFit="1" customWidth="1"/>
    <col min="21" max="21" width="28.08984375" bestFit="1" customWidth="1"/>
  </cols>
  <sheetData>
    <row r="1" spans="1:21" ht="50" x14ac:dyDescent="0.25">
      <c r="A1" s="1" t="s">
        <v>924</v>
      </c>
      <c r="B1" s="12" t="s">
        <v>925</v>
      </c>
      <c r="C1" s="1" t="s">
        <v>926</v>
      </c>
      <c r="D1" s="1" t="s">
        <v>927</v>
      </c>
      <c r="E1" s="1" t="s">
        <v>928</v>
      </c>
      <c r="F1" s="1" t="s">
        <v>929</v>
      </c>
      <c r="G1" s="12" t="s">
        <v>934</v>
      </c>
      <c r="H1" s="12" t="s">
        <v>935</v>
      </c>
      <c r="I1" s="12" t="s">
        <v>936</v>
      </c>
      <c r="J1" s="12" t="s">
        <v>937</v>
      </c>
      <c r="K1" s="1" t="s">
        <v>943</v>
      </c>
      <c r="L1" s="1" t="s">
        <v>949</v>
      </c>
      <c r="O1" s="14" t="s">
        <v>949</v>
      </c>
      <c r="P1" s="14" t="s">
        <v>928</v>
      </c>
      <c r="Q1" t="s">
        <v>975</v>
      </c>
      <c r="S1" s="27" t="s">
        <v>949</v>
      </c>
      <c r="T1" s="27" t="s">
        <v>928</v>
      </c>
      <c r="U1" s="27" t="s">
        <v>975</v>
      </c>
    </row>
    <row r="2" spans="1:21" x14ac:dyDescent="0.25">
      <c r="A2" t="s">
        <v>24</v>
      </c>
      <c r="B2" t="s">
        <v>25</v>
      </c>
      <c r="C2" s="2">
        <v>45887</v>
      </c>
      <c r="D2" s="2">
        <v>45887</v>
      </c>
      <c r="E2" t="s">
        <v>8</v>
      </c>
      <c r="F2" t="s">
        <v>8</v>
      </c>
      <c r="G2" t="s">
        <v>26</v>
      </c>
      <c r="H2" s="3">
        <v>-700.45</v>
      </c>
      <c r="I2" t="s">
        <v>12</v>
      </c>
      <c r="J2" s="3">
        <v>-60884.42</v>
      </c>
      <c r="K2" t="s">
        <v>8</v>
      </c>
      <c r="L2" t="s">
        <v>24</v>
      </c>
      <c r="O2" t="s">
        <v>8</v>
      </c>
      <c r="P2" t="s">
        <v>30</v>
      </c>
      <c r="Q2" s="15">
        <v>-4719.25</v>
      </c>
      <c r="S2" s="27" t="s">
        <v>8</v>
      </c>
      <c r="T2" s="27" t="s">
        <v>30</v>
      </c>
      <c r="U2" s="27">
        <v>-4719.25</v>
      </c>
    </row>
    <row r="3" spans="1:21" x14ac:dyDescent="0.25">
      <c r="A3" t="s">
        <v>29</v>
      </c>
      <c r="B3" t="s">
        <v>25</v>
      </c>
      <c r="C3" s="2">
        <v>45931</v>
      </c>
      <c r="D3" s="2">
        <v>45925</v>
      </c>
      <c r="E3" t="s">
        <v>30</v>
      </c>
      <c r="F3" t="s">
        <v>8</v>
      </c>
      <c r="G3" t="s">
        <v>26</v>
      </c>
      <c r="H3" s="3">
        <v>-4719.25</v>
      </c>
      <c r="I3" t="s">
        <v>12</v>
      </c>
      <c r="J3" s="3">
        <v>-413002</v>
      </c>
      <c r="K3" t="s">
        <v>8</v>
      </c>
      <c r="L3" t="s">
        <v>8</v>
      </c>
      <c r="P3" t="s">
        <v>45</v>
      </c>
      <c r="Q3" s="15">
        <v>-12549.36</v>
      </c>
      <c r="S3" s="27"/>
      <c r="T3" s="27" t="s">
        <v>45</v>
      </c>
      <c r="U3" s="27">
        <v>-12549.36</v>
      </c>
    </row>
    <row r="4" spans="1:21" x14ac:dyDescent="0.25">
      <c r="A4" t="s">
        <v>32</v>
      </c>
      <c r="B4" t="s">
        <v>25</v>
      </c>
      <c r="C4" s="2">
        <v>45890</v>
      </c>
      <c r="D4" s="2">
        <v>45890</v>
      </c>
      <c r="E4" t="s">
        <v>33</v>
      </c>
      <c r="F4" t="s">
        <v>8</v>
      </c>
      <c r="G4" t="s">
        <v>26</v>
      </c>
      <c r="H4" s="3">
        <v>-3663.7</v>
      </c>
      <c r="I4" t="s">
        <v>12</v>
      </c>
      <c r="J4" s="3">
        <v>-313212.57</v>
      </c>
      <c r="K4" t="s">
        <v>8</v>
      </c>
      <c r="L4" t="s">
        <v>8</v>
      </c>
      <c r="P4" t="s">
        <v>53</v>
      </c>
      <c r="Q4" s="15">
        <v>-2932.84</v>
      </c>
      <c r="S4" s="27"/>
      <c r="T4" s="27" t="s">
        <v>53</v>
      </c>
      <c r="U4" s="27">
        <v>-2932.84</v>
      </c>
    </row>
    <row r="5" spans="1:21" x14ac:dyDescent="0.25">
      <c r="A5" t="s">
        <v>34</v>
      </c>
      <c r="B5" t="s">
        <v>25</v>
      </c>
      <c r="C5" s="2">
        <v>45890</v>
      </c>
      <c r="D5" s="2">
        <v>45890</v>
      </c>
      <c r="E5" t="s">
        <v>35</v>
      </c>
      <c r="F5" t="s">
        <v>8</v>
      </c>
      <c r="G5" t="s">
        <v>26</v>
      </c>
      <c r="H5" s="3">
        <v>-3777.49</v>
      </c>
      <c r="I5" t="s">
        <v>12</v>
      </c>
      <c r="J5" s="3">
        <v>-324866.67</v>
      </c>
      <c r="K5" t="s">
        <v>8</v>
      </c>
      <c r="L5" t="s">
        <v>8</v>
      </c>
      <c r="P5" t="s">
        <v>47</v>
      </c>
      <c r="Q5" s="15">
        <v>-4228.22</v>
      </c>
      <c r="S5" s="27"/>
      <c r="T5" s="27" t="s">
        <v>47</v>
      </c>
      <c r="U5" s="27">
        <v>-4228.22</v>
      </c>
    </row>
    <row r="6" spans="1:21" x14ac:dyDescent="0.25">
      <c r="A6" t="s">
        <v>37</v>
      </c>
      <c r="B6" t="s">
        <v>25</v>
      </c>
      <c r="C6" s="2">
        <v>45832</v>
      </c>
      <c r="D6" s="2">
        <v>45832</v>
      </c>
      <c r="E6" t="s">
        <v>38</v>
      </c>
      <c r="F6" t="s">
        <v>8</v>
      </c>
      <c r="G6" t="s">
        <v>26</v>
      </c>
      <c r="H6" s="3">
        <v>-3663.7</v>
      </c>
      <c r="I6" t="s">
        <v>12</v>
      </c>
      <c r="J6" s="3">
        <v>-3663.7</v>
      </c>
      <c r="K6" t="s">
        <v>8</v>
      </c>
      <c r="L6" t="s">
        <v>39</v>
      </c>
      <c r="P6" t="s">
        <v>60</v>
      </c>
      <c r="Q6" s="15">
        <v>-8339.84</v>
      </c>
      <c r="S6" s="27"/>
      <c r="T6" s="27" t="s">
        <v>60</v>
      </c>
      <c r="U6" s="27">
        <v>-8339.84</v>
      </c>
    </row>
    <row r="7" spans="1:21" x14ac:dyDescent="0.25">
      <c r="A7" t="s">
        <v>40</v>
      </c>
      <c r="B7" t="s">
        <v>25</v>
      </c>
      <c r="C7" s="2">
        <v>45832</v>
      </c>
      <c r="D7" s="2">
        <v>45832</v>
      </c>
      <c r="E7" t="s">
        <v>41</v>
      </c>
      <c r="F7" t="s">
        <v>8</v>
      </c>
      <c r="G7" t="s">
        <v>26</v>
      </c>
      <c r="H7" s="3">
        <v>-3508.06</v>
      </c>
      <c r="I7" t="s">
        <v>12</v>
      </c>
      <c r="J7" s="3">
        <v>-3508.06</v>
      </c>
      <c r="K7" t="s">
        <v>8</v>
      </c>
      <c r="L7" t="s">
        <v>8</v>
      </c>
      <c r="P7" t="s">
        <v>43</v>
      </c>
      <c r="Q7" s="15">
        <v>-3145.98</v>
      </c>
      <c r="S7" s="27"/>
      <c r="T7" s="27" t="s">
        <v>43</v>
      </c>
      <c r="U7" s="27">
        <v>-3145.98</v>
      </c>
    </row>
    <row r="8" spans="1:21" x14ac:dyDescent="0.25">
      <c r="A8" t="s">
        <v>42</v>
      </c>
      <c r="B8" t="s">
        <v>25</v>
      </c>
      <c r="C8" s="2">
        <v>45832</v>
      </c>
      <c r="D8" s="2">
        <v>45832</v>
      </c>
      <c r="E8" t="s">
        <v>43</v>
      </c>
      <c r="F8" t="s">
        <v>8</v>
      </c>
      <c r="G8" t="s">
        <v>26</v>
      </c>
      <c r="H8" s="3">
        <v>-3145.98</v>
      </c>
      <c r="I8" t="s">
        <v>12</v>
      </c>
      <c r="J8" s="3">
        <v>-3145.98</v>
      </c>
      <c r="K8" t="s">
        <v>8</v>
      </c>
      <c r="L8" t="s">
        <v>8</v>
      </c>
      <c r="P8" t="s">
        <v>41</v>
      </c>
      <c r="Q8" s="15">
        <v>-3508.06</v>
      </c>
      <c r="S8" s="27"/>
      <c r="T8" s="27" t="s">
        <v>41</v>
      </c>
      <c r="U8" s="27">
        <v>-3508.06</v>
      </c>
    </row>
    <row r="9" spans="1:21" x14ac:dyDescent="0.25">
      <c r="A9" t="s">
        <v>44</v>
      </c>
      <c r="B9" t="s">
        <v>25</v>
      </c>
      <c r="C9" s="2">
        <v>45832</v>
      </c>
      <c r="D9" s="2">
        <v>45832</v>
      </c>
      <c r="E9" t="s">
        <v>45</v>
      </c>
      <c r="F9" t="s">
        <v>8</v>
      </c>
      <c r="G9" t="s">
        <v>26</v>
      </c>
      <c r="H9" s="3">
        <v>-12549.36</v>
      </c>
      <c r="I9" t="s">
        <v>12</v>
      </c>
      <c r="J9" s="3">
        <v>-12549.36</v>
      </c>
      <c r="K9" t="s">
        <v>8</v>
      </c>
      <c r="L9" t="s">
        <v>8</v>
      </c>
      <c r="P9" t="s">
        <v>33</v>
      </c>
      <c r="Q9" s="15">
        <v>-3663.7</v>
      </c>
      <c r="S9" s="27"/>
      <c r="T9" s="27" t="s">
        <v>33</v>
      </c>
      <c r="U9" s="27">
        <v>-3663.7</v>
      </c>
    </row>
    <row r="10" spans="1:21" x14ac:dyDescent="0.25">
      <c r="A10" t="s">
        <v>46</v>
      </c>
      <c r="B10" t="s">
        <v>25</v>
      </c>
      <c r="C10" s="2">
        <v>45832</v>
      </c>
      <c r="D10" s="2">
        <v>45832</v>
      </c>
      <c r="E10" t="s">
        <v>47</v>
      </c>
      <c r="F10" t="s">
        <v>8</v>
      </c>
      <c r="G10" t="s">
        <v>26</v>
      </c>
      <c r="H10" s="3">
        <v>-4228.22</v>
      </c>
      <c r="I10" t="s">
        <v>12</v>
      </c>
      <c r="J10" s="3">
        <v>-4228.22</v>
      </c>
      <c r="K10" t="s">
        <v>8</v>
      </c>
      <c r="L10" t="s">
        <v>8</v>
      </c>
      <c r="P10" t="s">
        <v>35</v>
      </c>
      <c r="Q10" s="15">
        <v>-3777.49</v>
      </c>
      <c r="S10" s="27"/>
      <c r="T10" s="27" t="s">
        <v>35</v>
      </c>
      <c r="U10" s="27">
        <v>-3777.49</v>
      </c>
    </row>
    <row r="11" spans="1:21" x14ac:dyDescent="0.25">
      <c r="A11" t="s">
        <v>39</v>
      </c>
      <c r="B11" t="s">
        <v>25</v>
      </c>
      <c r="C11" s="2">
        <v>45832</v>
      </c>
      <c r="D11" s="2">
        <v>45835</v>
      </c>
      <c r="E11" t="s">
        <v>38</v>
      </c>
      <c r="F11" t="s">
        <v>8</v>
      </c>
      <c r="G11" t="s">
        <v>26</v>
      </c>
      <c r="H11" s="3">
        <v>3663.7</v>
      </c>
      <c r="I11" t="s">
        <v>12</v>
      </c>
      <c r="J11" s="3">
        <v>3663.7</v>
      </c>
      <c r="K11" t="s">
        <v>8</v>
      </c>
      <c r="L11" t="s">
        <v>39</v>
      </c>
      <c r="P11" t="s">
        <v>56</v>
      </c>
      <c r="Q11" s="15">
        <v>-1731.27</v>
      </c>
      <c r="S11" s="27"/>
      <c r="T11" s="27" t="s">
        <v>56</v>
      </c>
      <c r="U11" s="27">
        <v>-1731.27</v>
      </c>
    </row>
    <row r="12" spans="1:21" x14ac:dyDescent="0.25">
      <c r="A12" t="s">
        <v>24</v>
      </c>
      <c r="B12" t="s">
        <v>25</v>
      </c>
      <c r="C12" s="2">
        <v>45887</v>
      </c>
      <c r="D12" s="2">
        <v>45887</v>
      </c>
      <c r="E12" t="s">
        <v>8</v>
      </c>
      <c r="F12" t="s">
        <v>8</v>
      </c>
      <c r="G12" t="s">
        <v>26</v>
      </c>
      <c r="H12" s="3">
        <v>-4437.8999999999996</v>
      </c>
      <c r="I12" t="s">
        <v>12</v>
      </c>
      <c r="J12" s="3">
        <v>-383425.92</v>
      </c>
      <c r="K12" t="s">
        <v>8</v>
      </c>
      <c r="L12" t="s">
        <v>24</v>
      </c>
      <c r="P12" t="s">
        <v>58</v>
      </c>
      <c r="Q12" s="15">
        <v>-1968.44</v>
      </c>
      <c r="S12" s="27"/>
      <c r="T12" s="27" t="s">
        <v>58</v>
      </c>
      <c r="U12" s="27">
        <v>-1968.44</v>
      </c>
    </row>
    <row r="13" spans="1:21" x14ac:dyDescent="0.25">
      <c r="A13" t="s">
        <v>50</v>
      </c>
      <c r="B13" t="s">
        <v>25</v>
      </c>
      <c r="C13" s="2">
        <v>45888</v>
      </c>
      <c r="D13" s="2">
        <v>45888</v>
      </c>
      <c r="E13" t="s">
        <v>51</v>
      </c>
      <c r="F13" t="s">
        <v>8</v>
      </c>
      <c r="G13" t="s">
        <v>26</v>
      </c>
      <c r="H13" s="3">
        <v>-1102.02</v>
      </c>
      <c r="I13" t="s">
        <v>12</v>
      </c>
      <c r="J13" s="3">
        <v>-94695.18</v>
      </c>
      <c r="K13" t="s">
        <v>51</v>
      </c>
      <c r="L13" t="s">
        <v>50</v>
      </c>
      <c r="P13" t="s">
        <v>62</v>
      </c>
      <c r="Q13" s="15">
        <v>-10455.66</v>
      </c>
      <c r="S13" s="27"/>
      <c r="T13" s="27" t="s">
        <v>62</v>
      </c>
      <c r="U13" s="27">
        <v>-10455.66</v>
      </c>
    </row>
    <row r="14" spans="1:21" x14ac:dyDescent="0.25">
      <c r="A14" t="s">
        <v>52</v>
      </c>
      <c r="B14" t="s">
        <v>25</v>
      </c>
      <c r="C14" s="2">
        <v>45924</v>
      </c>
      <c r="D14" s="2">
        <v>45924</v>
      </c>
      <c r="E14" t="s">
        <v>53</v>
      </c>
      <c r="F14" t="s">
        <v>8</v>
      </c>
      <c r="G14" t="s">
        <v>26</v>
      </c>
      <c r="H14" s="3">
        <v>-2932.84</v>
      </c>
      <c r="I14" t="s">
        <v>12</v>
      </c>
      <c r="J14" s="3">
        <v>-256665.53</v>
      </c>
      <c r="K14" t="s">
        <v>8</v>
      </c>
      <c r="L14" t="s">
        <v>8</v>
      </c>
      <c r="O14" t="s">
        <v>39</v>
      </c>
      <c r="P14" t="s">
        <v>38</v>
      </c>
      <c r="Q14" s="15">
        <v>0</v>
      </c>
      <c r="S14" s="27" t="s">
        <v>39</v>
      </c>
      <c r="T14" s="27" t="s">
        <v>38</v>
      </c>
      <c r="U14" s="27">
        <v>0</v>
      </c>
    </row>
    <row r="15" spans="1:21" x14ac:dyDescent="0.25">
      <c r="A15" t="s">
        <v>55</v>
      </c>
      <c r="B15" t="s">
        <v>25</v>
      </c>
      <c r="C15" s="2">
        <v>45964</v>
      </c>
      <c r="D15" s="2">
        <v>45964</v>
      </c>
      <c r="E15" t="s">
        <v>56</v>
      </c>
      <c r="F15" t="s">
        <v>8</v>
      </c>
      <c r="G15" t="s">
        <v>26</v>
      </c>
      <c r="H15" s="3">
        <v>-1731.27</v>
      </c>
      <c r="I15" t="s">
        <v>12</v>
      </c>
      <c r="J15" s="3">
        <v>-152682.03</v>
      </c>
      <c r="K15" t="s">
        <v>8</v>
      </c>
      <c r="L15" t="s">
        <v>8</v>
      </c>
      <c r="O15" t="s">
        <v>24</v>
      </c>
      <c r="Q15" s="15">
        <v>-5138.3499999999995</v>
      </c>
      <c r="S15" s="27" t="s">
        <v>24</v>
      </c>
      <c r="T15" s="27"/>
      <c r="U15" s="27">
        <v>-5138.3499999999995</v>
      </c>
    </row>
    <row r="16" spans="1:21" x14ac:dyDescent="0.25">
      <c r="A16" t="s">
        <v>57</v>
      </c>
      <c r="B16" t="s">
        <v>25</v>
      </c>
      <c r="C16" s="2">
        <v>45972</v>
      </c>
      <c r="D16" s="2">
        <v>45972</v>
      </c>
      <c r="E16" t="s">
        <v>58</v>
      </c>
      <c r="F16" t="s">
        <v>8</v>
      </c>
      <c r="G16" t="s">
        <v>26</v>
      </c>
      <c r="H16" s="3">
        <v>-1968.44</v>
      </c>
      <c r="I16" t="s">
        <v>12</v>
      </c>
      <c r="J16" s="3">
        <v>-173229.39</v>
      </c>
      <c r="K16" t="s">
        <v>8</v>
      </c>
      <c r="L16" t="s">
        <v>8</v>
      </c>
      <c r="O16" t="s">
        <v>50</v>
      </c>
      <c r="P16" t="s">
        <v>51</v>
      </c>
      <c r="Q16" s="15">
        <v>-1102.02</v>
      </c>
      <c r="S16" s="27" t="s">
        <v>50</v>
      </c>
      <c r="T16" s="27" t="s">
        <v>51</v>
      </c>
      <c r="U16" s="27">
        <v>-1102.02</v>
      </c>
    </row>
    <row r="17" spans="1:21" x14ac:dyDescent="0.25">
      <c r="A17" t="s">
        <v>59</v>
      </c>
      <c r="B17" t="s">
        <v>25</v>
      </c>
      <c r="C17" s="2">
        <v>45972</v>
      </c>
      <c r="D17" s="2">
        <v>45972</v>
      </c>
      <c r="E17" t="s">
        <v>60</v>
      </c>
      <c r="F17" t="s">
        <v>8</v>
      </c>
      <c r="G17" t="s">
        <v>26</v>
      </c>
      <c r="H17" s="3">
        <v>-8339.84</v>
      </c>
      <c r="I17" t="s">
        <v>12</v>
      </c>
      <c r="J17" s="3">
        <v>-729855.51</v>
      </c>
      <c r="K17" t="s">
        <v>8</v>
      </c>
      <c r="L17" t="s">
        <v>8</v>
      </c>
      <c r="O17" t="s">
        <v>832</v>
      </c>
      <c r="P17" t="s">
        <v>833</v>
      </c>
      <c r="Q17" s="15">
        <v>2.2737367544323206E-13</v>
      </c>
      <c r="S17" s="27" t="s">
        <v>832</v>
      </c>
      <c r="T17" s="27" t="s">
        <v>833</v>
      </c>
      <c r="U17" s="27">
        <v>2.2737367544323206E-13</v>
      </c>
    </row>
    <row r="18" spans="1:21" x14ac:dyDescent="0.25">
      <c r="A18" t="s">
        <v>61</v>
      </c>
      <c r="B18" t="s">
        <v>25</v>
      </c>
      <c r="C18" s="2">
        <v>45972</v>
      </c>
      <c r="D18" s="2">
        <v>45972</v>
      </c>
      <c r="E18" t="s">
        <v>62</v>
      </c>
      <c r="F18" t="s">
        <v>8</v>
      </c>
      <c r="G18" t="s">
        <v>26</v>
      </c>
      <c r="H18" s="3">
        <v>-10455.66</v>
      </c>
      <c r="I18" t="s">
        <v>12</v>
      </c>
      <c r="J18" s="3">
        <v>-920133.52</v>
      </c>
      <c r="K18" t="s">
        <v>8</v>
      </c>
      <c r="L18" t="s">
        <v>8</v>
      </c>
      <c r="O18" t="s">
        <v>835</v>
      </c>
      <c r="P18" t="s">
        <v>833</v>
      </c>
      <c r="Q18" s="15">
        <v>-2517.2600000000002</v>
      </c>
      <c r="S18" s="27" t="s">
        <v>835</v>
      </c>
      <c r="T18" s="27" t="s">
        <v>833</v>
      </c>
      <c r="U18" s="27">
        <v>-2517.2600000000002</v>
      </c>
    </row>
    <row r="19" spans="1:21" x14ac:dyDescent="0.25">
      <c r="A19" t="s">
        <v>832</v>
      </c>
      <c r="B19" t="s">
        <v>25</v>
      </c>
      <c r="C19" s="2">
        <v>46029</v>
      </c>
      <c r="D19" s="2">
        <v>46029</v>
      </c>
      <c r="E19" t="s">
        <v>833</v>
      </c>
      <c r="F19" t="s">
        <v>8</v>
      </c>
      <c r="G19" t="s">
        <v>26</v>
      </c>
      <c r="H19" s="3">
        <v>1530.78</v>
      </c>
      <c r="I19" t="s">
        <v>12</v>
      </c>
      <c r="J19" s="3">
        <v>135000</v>
      </c>
      <c r="K19" t="s">
        <v>833</v>
      </c>
      <c r="L19" t="s">
        <v>832</v>
      </c>
    </row>
    <row r="20" spans="1:21" x14ac:dyDescent="0.25">
      <c r="A20" t="s">
        <v>832</v>
      </c>
      <c r="B20" t="s">
        <v>25</v>
      </c>
      <c r="C20" s="2">
        <v>46029</v>
      </c>
      <c r="D20" s="2">
        <v>46029</v>
      </c>
      <c r="E20" t="s">
        <v>833</v>
      </c>
      <c r="F20" t="s">
        <v>8</v>
      </c>
      <c r="G20" t="s">
        <v>26</v>
      </c>
      <c r="H20" s="3">
        <v>986.48</v>
      </c>
      <c r="I20" t="s">
        <v>12</v>
      </c>
      <c r="J20" s="3">
        <v>86998.43</v>
      </c>
      <c r="K20" t="s">
        <v>833</v>
      </c>
      <c r="L20" t="s">
        <v>832</v>
      </c>
    </row>
    <row r="21" spans="1:21" x14ac:dyDescent="0.25">
      <c r="A21" t="s">
        <v>834</v>
      </c>
      <c r="B21" t="s">
        <v>25</v>
      </c>
      <c r="C21" s="2">
        <v>46029</v>
      </c>
      <c r="D21" s="2">
        <v>46029</v>
      </c>
      <c r="E21" t="s">
        <v>833</v>
      </c>
      <c r="F21" t="s">
        <v>8</v>
      </c>
      <c r="G21" t="s">
        <v>26</v>
      </c>
      <c r="H21" s="3">
        <v>-1530.78</v>
      </c>
      <c r="I21" t="s">
        <v>12</v>
      </c>
      <c r="J21" s="3">
        <v>-135000</v>
      </c>
      <c r="K21" t="s">
        <v>833</v>
      </c>
      <c r="L21" t="s">
        <v>832</v>
      </c>
    </row>
    <row r="22" spans="1:21" x14ac:dyDescent="0.25">
      <c r="A22" t="s">
        <v>834</v>
      </c>
      <c r="B22" t="s">
        <v>25</v>
      </c>
      <c r="C22" s="2">
        <v>46029</v>
      </c>
      <c r="D22" s="2">
        <v>46029</v>
      </c>
      <c r="E22" t="s">
        <v>833</v>
      </c>
      <c r="F22" t="s">
        <v>8</v>
      </c>
      <c r="G22" t="s">
        <v>26</v>
      </c>
      <c r="H22" s="3">
        <v>-986.48</v>
      </c>
      <c r="I22" t="s">
        <v>12</v>
      </c>
      <c r="J22" s="3">
        <v>-86998.43</v>
      </c>
      <c r="K22" t="s">
        <v>833</v>
      </c>
      <c r="L22" t="s">
        <v>832</v>
      </c>
    </row>
    <row r="23" spans="1:21" x14ac:dyDescent="0.25">
      <c r="A23" t="s">
        <v>835</v>
      </c>
      <c r="B23" t="s">
        <v>25</v>
      </c>
      <c r="C23" s="2">
        <v>46029</v>
      </c>
      <c r="D23" s="2">
        <v>46029</v>
      </c>
      <c r="E23" t="s">
        <v>833</v>
      </c>
      <c r="F23" t="s">
        <v>8</v>
      </c>
      <c r="G23" t="s">
        <v>26</v>
      </c>
      <c r="H23" s="3">
        <v>-1530.78</v>
      </c>
      <c r="I23" t="s">
        <v>12</v>
      </c>
      <c r="J23" s="3">
        <v>-135000</v>
      </c>
      <c r="K23" t="s">
        <v>833</v>
      </c>
      <c r="L23" t="s">
        <v>835</v>
      </c>
    </row>
    <row r="24" spans="1:21" x14ac:dyDescent="0.25">
      <c r="A24" t="s">
        <v>835</v>
      </c>
      <c r="B24" t="s">
        <v>25</v>
      </c>
      <c r="C24" s="2">
        <v>46029</v>
      </c>
      <c r="D24" s="2">
        <v>46029</v>
      </c>
      <c r="E24" t="s">
        <v>833</v>
      </c>
      <c r="F24" t="s">
        <v>8</v>
      </c>
      <c r="G24" t="s">
        <v>26</v>
      </c>
      <c r="H24" s="3">
        <v>-986.48</v>
      </c>
      <c r="I24" t="s">
        <v>12</v>
      </c>
      <c r="J24" s="3">
        <v>-86998.43</v>
      </c>
      <c r="K24" t="s">
        <v>833</v>
      </c>
      <c r="L24" t="s">
        <v>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2"/>
  <sheetViews>
    <sheetView topLeftCell="H1" workbookViewId="0">
      <selection activeCell="J17" sqref="J17"/>
    </sheetView>
  </sheetViews>
  <sheetFormatPr defaultRowHeight="12.5" outlineLevelRow="2" x14ac:dyDescent="0.25"/>
  <cols>
    <col min="1" max="2" width="14" hidden="1" customWidth="1"/>
    <col min="3" max="3" width="11" hidden="1" customWidth="1"/>
    <col min="4" max="4" width="26" hidden="1" customWidth="1"/>
    <col min="5" max="5" width="13" hidden="1" customWidth="1"/>
    <col min="6" max="6" width="10" hidden="1" customWidth="1"/>
    <col min="7" max="7" width="14" hidden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2" bestFit="1" customWidth="1"/>
    <col min="13" max="13" width="17" bestFit="1" customWidth="1"/>
    <col min="14" max="14" width="13" hidden="1" customWidth="1"/>
    <col min="15" max="15" width="25" hidden="1" customWidth="1"/>
    <col min="16" max="16" width="18" hidden="1" customWidth="1"/>
    <col min="17" max="17" width="13" hidden="1" customWidth="1"/>
    <col min="18" max="18" width="14" bestFit="1" customWidth="1"/>
    <col min="19" max="19" width="12" bestFit="1" customWidth="1"/>
    <col min="20" max="20" width="16" bestFit="1" customWidth="1"/>
    <col min="21" max="21" width="12" bestFit="1" customWidth="1"/>
    <col min="22" max="22" width="10" hidden="1" customWidth="1"/>
    <col min="23" max="23" width="15" hidden="1" customWidth="1"/>
    <col min="24" max="24" width="21" hidden="1" customWidth="1"/>
    <col min="25" max="25" width="16" hidden="1" customWidth="1"/>
    <col min="26" max="26" width="6" hidden="1" customWidth="1"/>
    <col min="27" max="27" width="52" bestFit="1" customWidth="1"/>
    <col min="28" max="30" width="17" hidden="1" customWidth="1"/>
    <col min="31" max="31" width="22" hidden="1" customWidth="1"/>
    <col min="32" max="32" width="15" hidden="1" customWidth="1"/>
    <col min="33" max="33" width="19" bestFit="1" customWidth="1"/>
  </cols>
  <sheetData>
    <row r="1" spans="1:33" ht="50" x14ac:dyDescent="0.25">
      <c r="A1" s="1" t="s">
        <v>917</v>
      </c>
      <c r="B1" s="1" t="s">
        <v>918</v>
      </c>
      <c r="C1" s="1" t="s">
        <v>919</v>
      </c>
      <c r="D1" s="1" t="s">
        <v>920</v>
      </c>
      <c r="E1" s="1" t="s">
        <v>921</v>
      </c>
      <c r="F1" s="12" t="s">
        <v>922</v>
      </c>
      <c r="G1" s="1" t="s">
        <v>923</v>
      </c>
      <c r="H1" s="1" t="s">
        <v>924</v>
      </c>
      <c r="I1" s="12" t="s">
        <v>925</v>
      </c>
      <c r="J1" s="1" t="s">
        <v>926</v>
      </c>
      <c r="K1" s="1" t="s">
        <v>927</v>
      </c>
      <c r="L1" s="1" t="s">
        <v>928</v>
      </c>
      <c r="M1" s="1" t="s">
        <v>929</v>
      </c>
      <c r="N1" s="1" t="s">
        <v>930</v>
      </c>
      <c r="O1" s="1" t="s">
        <v>931</v>
      </c>
      <c r="P1" s="1" t="s">
        <v>932</v>
      </c>
      <c r="Q1" s="1" t="s">
        <v>933</v>
      </c>
      <c r="R1" s="12" t="s">
        <v>934</v>
      </c>
      <c r="S1" s="12" t="s">
        <v>935</v>
      </c>
      <c r="T1" s="12" t="s">
        <v>936</v>
      </c>
      <c r="U1" s="12" t="s">
        <v>937</v>
      </c>
      <c r="V1" s="1" t="s">
        <v>938</v>
      </c>
      <c r="W1" s="1" t="s">
        <v>939</v>
      </c>
      <c r="X1" s="1" t="s">
        <v>940</v>
      </c>
      <c r="Y1" s="1" t="s">
        <v>941</v>
      </c>
      <c r="Z1" s="1" t="s">
        <v>942</v>
      </c>
      <c r="AA1" s="1" t="s">
        <v>943</v>
      </c>
      <c r="AB1" s="1" t="s">
        <v>944</v>
      </c>
      <c r="AC1" s="1" t="s">
        <v>945</v>
      </c>
      <c r="AD1" s="1" t="s">
        <v>946</v>
      </c>
      <c r="AE1" s="1" t="s">
        <v>947</v>
      </c>
      <c r="AF1" s="1" t="s">
        <v>948</v>
      </c>
      <c r="AG1" s="1" t="s">
        <v>949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</v>
      </c>
      <c r="T2" t="s">
        <v>12</v>
      </c>
      <c r="U2" s="3">
        <v>1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</v>
      </c>
      <c r="T3" t="s">
        <v>12</v>
      </c>
      <c r="U3" s="3">
        <v>-1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45902</v>
      </c>
      <c r="H4" t="s">
        <v>19</v>
      </c>
      <c r="I4" t="s">
        <v>20</v>
      </c>
      <c r="J4" s="2">
        <v>45902</v>
      </c>
      <c r="K4" s="2">
        <v>45902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603848.88</v>
      </c>
      <c r="T4" t="s">
        <v>12</v>
      </c>
      <c r="U4" s="3">
        <v>595243.31000000006</v>
      </c>
      <c r="V4" t="s">
        <v>8</v>
      </c>
      <c r="W4" t="s">
        <v>13</v>
      </c>
      <c r="X4" t="s">
        <v>8</v>
      </c>
      <c r="Y4" t="s">
        <v>8</v>
      </c>
      <c r="Z4" t="s">
        <v>14</v>
      </c>
      <c r="AA4" t="s">
        <v>8</v>
      </c>
      <c r="AB4" t="s">
        <v>8</v>
      </c>
      <c r="AC4" t="s">
        <v>8</v>
      </c>
      <c r="AD4" t="s">
        <v>8</v>
      </c>
      <c r="AE4" s="2">
        <v>45902</v>
      </c>
      <c r="AF4" s="2">
        <v>45902</v>
      </c>
      <c r="AG4" t="s">
        <v>19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t="s">
        <v>19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12</v>
      </c>
      <c r="S5" s="3">
        <v>-603848.88</v>
      </c>
      <c r="T5" t="s">
        <v>12</v>
      </c>
      <c r="U5" s="3">
        <v>-599760.56000000006</v>
      </c>
      <c r="V5" t="s">
        <v>8</v>
      </c>
      <c r="W5" t="s">
        <v>13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45902</v>
      </c>
      <c r="AF5" s="2">
        <v>45902</v>
      </c>
      <c r="AG5" t="s">
        <v>19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45887</v>
      </c>
      <c r="H6" t="s">
        <v>24</v>
      </c>
      <c r="I6" t="s">
        <v>25</v>
      </c>
      <c r="J6" s="2">
        <v>45887</v>
      </c>
      <c r="K6" s="2">
        <v>45887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22</v>
      </c>
      <c r="R6" t="s">
        <v>26</v>
      </c>
      <c r="S6" s="3">
        <v>-700.45</v>
      </c>
      <c r="T6" t="s">
        <v>12</v>
      </c>
      <c r="U6" s="3">
        <v>-60884.42</v>
      </c>
      <c r="V6" t="s">
        <v>8</v>
      </c>
      <c r="W6" t="s">
        <v>8</v>
      </c>
      <c r="X6" t="s">
        <v>8</v>
      </c>
      <c r="Y6" t="s">
        <v>8</v>
      </c>
      <c r="Z6" t="s">
        <v>5</v>
      </c>
      <c r="AA6" t="s">
        <v>8</v>
      </c>
      <c r="AB6" t="s">
        <v>8</v>
      </c>
      <c r="AC6" t="s">
        <v>8</v>
      </c>
      <c r="AD6" t="s">
        <v>8</v>
      </c>
      <c r="AE6" s="2">
        <v>45887</v>
      </c>
      <c r="AF6" s="2">
        <v>45887</v>
      </c>
      <c r="AG6" t="s">
        <v>24</v>
      </c>
    </row>
    <row r="7" spans="1:33" outlineLevel="2" x14ac:dyDescent="0.25">
      <c r="A7" t="s">
        <v>27</v>
      </c>
      <c r="B7" t="s">
        <v>1</v>
      </c>
      <c r="C7" t="s">
        <v>2</v>
      </c>
      <c r="D7" t="s">
        <v>3</v>
      </c>
      <c r="E7" t="s">
        <v>4</v>
      </c>
      <c r="F7" t="s">
        <v>28</v>
      </c>
      <c r="G7" s="2">
        <v>45931</v>
      </c>
      <c r="H7" t="s">
        <v>29</v>
      </c>
      <c r="I7" t="s">
        <v>25</v>
      </c>
      <c r="J7" s="2">
        <v>45931</v>
      </c>
      <c r="K7" s="2">
        <v>45925</v>
      </c>
      <c r="L7" t="s">
        <v>30</v>
      </c>
      <c r="M7" t="s">
        <v>8</v>
      </c>
      <c r="N7" t="s">
        <v>9</v>
      </c>
      <c r="O7" t="s">
        <v>10</v>
      </c>
      <c r="P7" t="s">
        <v>8</v>
      </c>
      <c r="Q7" t="s">
        <v>22</v>
      </c>
      <c r="R7" t="s">
        <v>26</v>
      </c>
      <c r="S7" s="3">
        <v>-4719.25</v>
      </c>
      <c r="T7" t="s">
        <v>12</v>
      </c>
      <c r="U7" s="3">
        <v>-413002</v>
      </c>
      <c r="V7" t="s">
        <v>8</v>
      </c>
      <c r="W7" t="s">
        <v>31</v>
      </c>
      <c r="X7" t="s">
        <v>8</v>
      </c>
      <c r="Y7" t="s">
        <v>8</v>
      </c>
      <c r="Z7" t="s">
        <v>17</v>
      </c>
      <c r="AA7" t="s">
        <v>8</v>
      </c>
      <c r="AB7" t="s">
        <v>8</v>
      </c>
      <c r="AC7" t="s">
        <v>8</v>
      </c>
      <c r="AD7" t="s">
        <v>8</v>
      </c>
      <c r="AE7" s="2">
        <v>45931</v>
      </c>
      <c r="AF7" s="2"/>
      <c r="AG7" t="s">
        <v>8</v>
      </c>
    </row>
    <row r="8" spans="1:33" outlineLevel="2" x14ac:dyDescent="0.25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23</v>
      </c>
      <c r="G8" s="2">
        <v>45890</v>
      </c>
      <c r="H8" t="s">
        <v>32</v>
      </c>
      <c r="I8" t="s">
        <v>25</v>
      </c>
      <c r="J8" s="2">
        <v>45890</v>
      </c>
      <c r="K8" s="2">
        <v>45890</v>
      </c>
      <c r="L8" t="s">
        <v>33</v>
      </c>
      <c r="M8" t="s">
        <v>8</v>
      </c>
      <c r="N8" t="s">
        <v>9</v>
      </c>
      <c r="O8" t="s">
        <v>10</v>
      </c>
      <c r="P8" t="s">
        <v>8</v>
      </c>
      <c r="Q8" t="s">
        <v>22</v>
      </c>
      <c r="R8" t="s">
        <v>26</v>
      </c>
      <c r="S8" s="3">
        <v>-3663.7</v>
      </c>
      <c r="T8" t="s">
        <v>12</v>
      </c>
      <c r="U8" s="3">
        <v>-313212.57</v>
      </c>
      <c r="V8" t="s">
        <v>8</v>
      </c>
      <c r="W8" t="s">
        <v>31</v>
      </c>
      <c r="X8" t="s">
        <v>8</v>
      </c>
      <c r="Y8" t="s">
        <v>8</v>
      </c>
      <c r="Z8" t="s">
        <v>17</v>
      </c>
      <c r="AA8" t="s">
        <v>8</v>
      </c>
      <c r="AB8" t="s">
        <v>8</v>
      </c>
      <c r="AC8" t="s">
        <v>8</v>
      </c>
      <c r="AD8" t="s">
        <v>8</v>
      </c>
      <c r="AE8" s="2">
        <v>45890</v>
      </c>
      <c r="AF8" s="2"/>
      <c r="AG8" t="s">
        <v>8</v>
      </c>
    </row>
    <row r="9" spans="1:33" outlineLevel="2" x14ac:dyDescent="0.25">
      <c r="A9" t="s">
        <v>27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45890</v>
      </c>
      <c r="H9" t="s">
        <v>34</v>
      </c>
      <c r="I9" t="s">
        <v>25</v>
      </c>
      <c r="J9" s="2">
        <v>45890</v>
      </c>
      <c r="K9" s="2">
        <v>45890</v>
      </c>
      <c r="L9" t="s">
        <v>35</v>
      </c>
      <c r="M9" t="s">
        <v>8</v>
      </c>
      <c r="N9" t="s">
        <v>9</v>
      </c>
      <c r="O9" t="s">
        <v>10</v>
      </c>
      <c r="P9" t="s">
        <v>8</v>
      </c>
      <c r="Q9" t="s">
        <v>22</v>
      </c>
      <c r="R9" t="s">
        <v>26</v>
      </c>
      <c r="S9" s="3">
        <v>-3777.49</v>
      </c>
      <c r="T9" t="s">
        <v>12</v>
      </c>
      <c r="U9" s="3">
        <v>-324866.67</v>
      </c>
      <c r="V9" t="s">
        <v>8</v>
      </c>
      <c r="W9" t="s">
        <v>31</v>
      </c>
      <c r="X9" t="s">
        <v>8</v>
      </c>
      <c r="Y9" t="s">
        <v>8</v>
      </c>
      <c r="Z9" t="s">
        <v>17</v>
      </c>
      <c r="AA9" t="s">
        <v>8</v>
      </c>
      <c r="AB9" t="s">
        <v>8</v>
      </c>
      <c r="AC9" t="s">
        <v>8</v>
      </c>
      <c r="AD9" t="s">
        <v>8</v>
      </c>
      <c r="AE9" s="2">
        <v>45890</v>
      </c>
      <c r="AF9" s="2"/>
      <c r="AG9" t="s">
        <v>8</v>
      </c>
    </row>
    <row r="10" spans="1:33" outlineLevel="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36</v>
      </c>
      <c r="G10" s="2">
        <v>45839</v>
      </c>
      <c r="H10" t="s">
        <v>37</v>
      </c>
      <c r="I10" t="s">
        <v>25</v>
      </c>
      <c r="J10" s="2">
        <v>45832</v>
      </c>
      <c r="K10" s="2">
        <v>45832</v>
      </c>
      <c r="L10" t="s">
        <v>38</v>
      </c>
      <c r="M10" t="s">
        <v>8</v>
      </c>
      <c r="N10" t="s">
        <v>9</v>
      </c>
      <c r="O10" t="s">
        <v>10</v>
      </c>
      <c r="P10" t="s">
        <v>8</v>
      </c>
      <c r="Q10" t="s">
        <v>22</v>
      </c>
      <c r="R10" t="s">
        <v>26</v>
      </c>
      <c r="S10" s="3">
        <v>-3663.7</v>
      </c>
      <c r="T10" t="s">
        <v>12</v>
      </c>
      <c r="U10" s="3">
        <v>-3663.7</v>
      </c>
      <c r="V10" t="s">
        <v>8</v>
      </c>
      <c r="W10" t="s">
        <v>31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45832</v>
      </c>
      <c r="AF10" s="2">
        <v>45839</v>
      </c>
      <c r="AG10" t="s">
        <v>39</v>
      </c>
    </row>
    <row r="11" spans="1:33" outlineLevel="2" x14ac:dyDescent="0.25">
      <c r="A11" t="s">
        <v>27</v>
      </c>
      <c r="B11" t="s">
        <v>1</v>
      </c>
      <c r="C11" t="s">
        <v>2</v>
      </c>
      <c r="D11" t="s">
        <v>3</v>
      </c>
      <c r="E11" t="s">
        <v>4</v>
      </c>
      <c r="F11" t="s">
        <v>36</v>
      </c>
      <c r="G11" s="2">
        <v>45839</v>
      </c>
      <c r="H11" t="s">
        <v>40</v>
      </c>
      <c r="I11" t="s">
        <v>25</v>
      </c>
      <c r="J11" s="2">
        <v>45832</v>
      </c>
      <c r="K11" s="2">
        <v>45832</v>
      </c>
      <c r="L11" t="s">
        <v>41</v>
      </c>
      <c r="M11" t="s">
        <v>8</v>
      </c>
      <c r="N11" t="s">
        <v>9</v>
      </c>
      <c r="O11" t="s">
        <v>10</v>
      </c>
      <c r="P11" t="s">
        <v>8</v>
      </c>
      <c r="Q11" t="s">
        <v>22</v>
      </c>
      <c r="R11" t="s">
        <v>26</v>
      </c>
      <c r="S11" s="3">
        <v>-3508.06</v>
      </c>
      <c r="T11" t="s">
        <v>12</v>
      </c>
      <c r="U11" s="3">
        <v>-3508.06</v>
      </c>
      <c r="V11" t="s">
        <v>8</v>
      </c>
      <c r="W11" t="s">
        <v>31</v>
      </c>
      <c r="X11" t="s">
        <v>8</v>
      </c>
      <c r="Y11" t="s">
        <v>8</v>
      </c>
      <c r="Z11" t="s">
        <v>17</v>
      </c>
      <c r="AA11" t="s">
        <v>8</v>
      </c>
      <c r="AB11" t="s">
        <v>8</v>
      </c>
      <c r="AC11" t="s">
        <v>8</v>
      </c>
      <c r="AD11" t="s">
        <v>8</v>
      </c>
      <c r="AE11" s="2">
        <v>45832</v>
      </c>
      <c r="AF11" s="2"/>
      <c r="AG11" t="s">
        <v>8</v>
      </c>
    </row>
    <row r="12" spans="1:33" outlineLevel="2" x14ac:dyDescent="0.25">
      <c r="A12" t="s">
        <v>27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45839</v>
      </c>
      <c r="H12" t="s">
        <v>42</v>
      </c>
      <c r="I12" t="s">
        <v>25</v>
      </c>
      <c r="J12" s="2">
        <v>45832</v>
      </c>
      <c r="K12" s="2">
        <v>45832</v>
      </c>
      <c r="L12" t="s">
        <v>43</v>
      </c>
      <c r="M12" t="s">
        <v>8</v>
      </c>
      <c r="N12" t="s">
        <v>9</v>
      </c>
      <c r="O12" t="s">
        <v>10</v>
      </c>
      <c r="P12" t="s">
        <v>8</v>
      </c>
      <c r="Q12" t="s">
        <v>22</v>
      </c>
      <c r="R12" t="s">
        <v>26</v>
      </c>
      <c r="S12" s="3">
        <v>-3145.98</v>
      </c>
      <c r="T12" t="s">
        <v>12</v>
      </c>
      <c r="U12" s="3">
        <v>-3145.98</v>
      </c>
      <c r="V12" t="s">
        <v>8</v>
      </c>
      <c r="W12" t="s">
        <v>31</v>
      </c>
      <c r="X12" t="s">
        <v>8</v>
      </c>
      <c r="Y12" t="s">
        <v>8</v>
      </c>
      <c r="Z12" t="s">
        <v>17</v>
      </c>
      <c r="AA12" t="s">
        <v>8</v>
      </c>
      <c r="AB12" t="s">
        <v>8</v>
      </c>
      <c r="AC12" t="s">
        <v>8</v>
      </c>
      <c r="AD12" t="s">
        <v>8</v>
      </c>
      <c r="AE12" s="2">
        <v>45832</v>
      </c>
      <c r="AF12" s="2"/>
      <c r="AG12" t="s">
        <v>8</v>
      </c>
    </row>
    <row r="13" spans="1:33" outlineLevel="2" x14ac:dyDescent="0.25">
      <c r="A13" t="s">
        <v>27</v>
      </c>
      <c r="B13" t="s">
        <v>1</v>
      </c>
      <c r="C13" t="s">
        <v>2</v>
      </c>
      <c r="D13" t="s">
        <v>3</v>
      </c>
      <c r="E13" t="s">
        <v>4</v>
      </c>
      <c r="F13" t="s">
        <v>36</v>
      </c>
      <c r="G13" s="2">
        <v>45839</v>
      </c>
      <c r="H13" t="s">
        <v>44</v>
      </c>
      <c r="I13" t="s">
        <v>25</v>
      </c>
      <c r="J13" s="2">
        <v>45832</v>
      </c>
      <c r="K13" s="2">
        <v>45832</v>
      </c>
      <c r="L13" t="s">
        <v>45</v>
      </c>
      <c r="M13" t="s">
        <v>8</v>
      </c>
      <c r="N13" t="s">
        <v>9</v>
      </c>
      <c r="O13" t="s">
        <v>10</v>
      </c>
      <c r="P13" t="s">
        <v>8</v>
      </c>
      <c r="Q13" t="s">
        <v>22</v>
      </c>
      <c r="R13" t="s">
        <v>26</v>
      </c>
      <c r="S13" s="3">
        <v>-12549.36</v>
      </c>
      <c r="T13" t="s">
        <v>12</v>
      </c>
      <c r="U13" s="3">
        <v>-12549.36</v>
      </c>
      <c r="V13" t="s">
        <v>8</v>
      </c>
      <c r="W13" t="s">
        <v>31</v>
      </c>
      <c r="X13" t="s">
        <v>8</v>
      </c>
      <c r="Y13" t="s">
        <v>8</v>
      </c>
      <c r="Z13" t="s">
        <v>17</v>
      </c>
      <c r="AA13" t="s">
        <v>8</v>
      </c>
      <c r="AB13" t="s">
        <v>8</v>
      </c>
      <c r="AC13" t="s">
        <v>8</v>
      </c>
      <c r="AD13" t="s">
        <v>8</v>
      </c>
      <c r="AE13" s="2">
        <v>45832</v>
      </c>
      <c r="AF13" s="2"/>
      <c r="AG13" t="s">
        <v>8</v>
      </c>
    </row>
    <row r="14" spans="1:33" outlineLevel="2" x14ac:dyDescent="0.25">
      <c r="A14" t="s">
        <v>27</v>
      </c>
      <c r="B14" t="s">
        <v>1</v>
      </c>
      <c r="C14" t="s">
        <v>2</v>
      </c>
      <c r="D14" t="s">
        <v>3</v>
      </c>
      <c r="E14" t="s">
        <v>4</v>
      </c>
      <c r="F14" t="s">
        <v>36</v>
      </c>
      <c r="G14" s="2">
        <v>45839</v>
      </c>
      <c r="H14" t="s">
        <v>46</v>
      </c>
      <c r="I14" t="s">
        <v>25</v>
      </c>
      <c r="J14" s="2">
        <v>45832</v>
      </c>
      <c r="K14" s="2">
        <v>45832</v>
      </c>
      <c r="L14" t="s">
        <v>47</v>
      </c>
      <c r="M14" t="s">
        <v>8</v>
      </c>
      <c r="N14" t="s">
        <v>9</v>
      </c>
      <c r="O14" t="s">
        <v>10</v>
      </c>
      <c r="P14" t="s">
        <v>8</v>
      </c>
      <c r="Q14" t="s">
        <v>22</v>
      </c>
      <c r="R14" t="s">
        <v>26</v>
      </c>
      <c r="S14" s="3">
        <v>-4228.22</v>
      </c>
      <c r="T14" t="s">
        <v>12</v>
      </c>
      <c r="U14" s="3">
        <v>-4228.22</v>
      </c>
      <c r="V14" t="s">
        <v>8</v>
      </c>
      <c r="W14" t="s">
        <v>31</v>
      </c>
      <c r="X14" t="s">
        <v>8</v>
      </c>
      <c r="Y14" t="s">
        <v>8</v>
      </c>
      <c r="Z14" t="s">
        <v>17</v>
      </c>
      <c r="AA14" t="s">
        <v>8</v>
      </c>
      <c r="AB14" t="s">
        <v>8</v>
      </c>
      <c r="AC14" t="s">
        <v>8</v>
      </c>
      <c r="AD14" t="s">
        <v>8</v>
      </c>
      <c r="AE14" s="2">
        <v>45832</v>
      </c>
      <c r="AF14" s="2"/>
      <c r="AG14" t="s">
        <v>8</v>
      </c>
    </row>
    <row r="15" spans="1:33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45839</v>
      </c>
      <c r="H15" t="s">
        <v>39</v>
      </c>
      <c r="I15" t="s">
        <v>25</v>
      </c>
      <c r="J15" s="2">
        <v>45832</v>
      </c>
      <c r="K15" s="2">
        <v>45835</v>
      </c>
      <c r="L15" t="s">
        <v>38</v>
      </c>
      <c r="M15" t="s">
        <v>8</v>
      </c>
      <c r="N15" t="s">
        <v>9</v>
      </c>
      <c r="O15" t="s">
        <v>10</v>
      </c>
      <c r="P15" t="s">
        <v>8</v>
      </c>
      <c r="Q15" t="s">
        <v>48</v>
      </c>
      <c r="R15" t="s">
        <v>26</v>
      </c>
      <c r="S15" s="3">
        <v>3663.7</v>
      </c>
      <c r="T15" t="s">
        <v>12</v>
      </c>
      <c r="U15" s="3">
        <v>3663.7</v>
      </c>
      <c r="V15" t="s">
        <v>8</v>
      </c>
      <c r="W15" t="s">
        <v>31</v>
      </c>
      <c r="X15" t="s">
        <v>8</v>
      </c>
      <c r="Y15" t="s">
        <v>8</v>
      </c>
      <c r="Z15" t="s">
        <v>17</v>
      </c>
      <c r="AA15" t="s">
        <v>8</v>
      </c>
      <c r="AB15" t="s">
        <v>8</v>
      </c>
      <c r="AC15" t="s">
        <v>8</v>
      </c>
      <c r="AD15" t="s">
        <v>8</v>
      </c>
      <c r="AE15" s="2">
        <v>45832</v>
      </c>
      <c r="AF15" s="2">
        <v>45839</v>
      </c>
      <c r="AG15" t="s">
        <v>39</v>
      </c>
    </row>
    <row r="16" spans="1:33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23</v>
      </c>
      <c r="G16" s="2">
        <v>45887</v>
      </c>
      <c r="H16" t="s">
        <v>24</v>
      </c>
      <c r="I16" t="s">
        <v>25</v>
      </c>
      <c r="J16" s="2">
        <v>45887</v>
      </c>
      <c r="K16" s="2">
        <v>45887</v>
      </c>
      <c r="L16" t="s">
        <v>8</v>
      </c>
      <c r="M16" t="s">
        <v>8</v>
      </c>
      <c r="N16" t="s">
        <v>9</v>
      </c>
      <c r="O16" t="s">
        <v>10</v>
      </c>
      <c r="P16" t="s">
        <v>8</v>
      </c>
      <c r="Q16" t="s">
        <v>22</v>
      </c>
      <c r="R16" t="s">
        <v>26</v>
      </c>
      <c r="S16" s="3">
        <v>-4437.8999999999996</v>
      </c>
      <c r="T16" t="s">
        <v>12</v>
      </c>
      <c r="U16" s="3">
        <v>-383425.92</v>
      </c>
      <c r="V16" t="s">
        <v>8</v>
      </c>
      <c r="W16" t="s">
        <v>13</v>
      </c>
      <c r="X16" t="s">
        <v>8</v>
      </c>
      <c r="Y16" t="s">
        <v>8</v>
      </c>
      <c r="Z16" t="s">
        <v>49</v>
      </c>
      <c r="AA16" t="s">
        <v>8</v>
      </c>
      <c r="AB16" t="s">
        <v>8</v>
      </c>
      <c r="AC16" t="s">
        <v>8</v>
      </c>
      <c r="AD16" t="s">
        <v>8</v>
      </c>
      <c r="AE16" s="2">
        <v>45887</v>
      </c>
      <c r="AF16" s="2">
        <v>45887</v>
      </c>
      <c r="AG16" t="s">
        <v>24</v>
      </c>
    </row>
    <row r="17" spans="1:33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23</v>
      </c>
      <c r="G17" s="2">
        <v>45888</v>
      </c>
      <c r="H17" t="s">
        <v>50</v>
      </c>
      <c r="I17" t="s">
        <v>25</v>
      </c>
      <c r="J17" s="2">
        <v>45888</v>
      </c>
      <c r="K17" s="2">
        <v>45888</v>
      </c>
      <c r="L17" t="s">
        <v>51</v>
      </c>
      <c r="M17" t="s">
        <v>8</v>
      </c>
      <c r="N17" t="s">
        <v>9</v>
      </c>
      <c r="O17" t="s">
        <v>10</v>
      </c>
      <c r="P17" t="s">
        <v>8</v>
      </c>
      <c r="Q17" t="s">
        <v>22</v>
      </c>
      <c r="R17" t="s">
        <v>26</v>
      </c>
      <c r="S17" s="3">
        <v>-1102.02</v>
      </c>
      <c r="T17" t="s">
        <v>12</v>
      </c>
      <c r="U17" s="3">
        <v>-94695.18</v>
      </c>
      <c r="V17" t="s">
        <v>8</v>
      </c>
      <c r="W17" t="s">
        <v>13</v>
      </c>
      <c r="X17" t="s">
        <v>8</v>
      </c>
      <c r="Y17" t="s">
        <v>8</v>
      </c>
      <c r="Z17" t="s">
        <v>5</v>
      </c>
      <c r="AA17" t="s">
        <v>51</v>
      </c>
      <c r="AB17" t="s">
        <v>8</v>
      </c>
      <c r="AC17" t="s">
        <v>8</v>
      </c>
      <c r="AD17" t="s">
        <v>8</v>
      </c>
      <c r="AE17" s="2">
        <v>45888</v>
      </c>
      <c r="AF17" s="2">
        <v>45888</v>
      </c>
      <c r="AG17" t="s">
        <v>50</v>
      </c>
    </row>
    <row r="18" spans="1:33" outlineLevel="2" x14ac:dyDescent="0.25">
      <c r="A18" t="s">
        <v>27</v>
      </c>
      <c r="B18" t="s">
        <v>1</v>
      </c>
      <c r="C18" t="s">
        <v>2</v>
      </c>
      <c r="D18" t="s">
        <v>3</v>
      </c>
      <c r="E18" t="s">
        <v>4</v>
      </c>
      <c r="F18" t="s">
        <v>18</v>
      </c>
      <c r="G18" s="2">
        <v>45924</v>
      </c>
      <c r="H18" t="s">
        <v>52</v>
      </c>
      <c r="I18" t="s">
        <v>25</v>
      </c>
      <c r="J18" s="2">
        <v>45924</v>
      </c>
      <c r="K18" s="2">
        <v>45924</v>
      </c>
      <c r="L18" t="s">
        <v>53</v>
      </c>
      <c r="M18" t="s">
        <v>8</v>
      </c>
      <c r="N18" t="s">
        <v>9</v>
      </c>
      <c r="O18" t="s">
        <v>10</v>
      </c>
      <c r="P18" t="s">
        <v>8</v>
      </c>
      <c r="Q18" t="s">
        <v>22</v>
      </c>
      <c r="R18" t="s">
        <v>26</v>
      </c>
      <c r="S18" s="3">
        <v>-2932.84</v>
      </c>
      <c r="T18" t="s">
        <v>12</v>
      </c>
      <c r="U18" s="3">
        <v>-256665.53</v>
      </c>
      <c r="V18" t="s">
        <v>8</v>
      </c>
      <c r="W18" t="s">
        <v>31</v>
      </c>
      <c r="X18" t="s">
        <v>8</v>
      </c>
      <c r="Y18" t="s">
        <v>8</v>
      </c>
      <c r="Z18" t="s">
        <v>17</v>
      </c>
      <c r="AA18" t="s">
        <v>8</v>
      </c>
      <c r="AB18" t="s">
        <v>8</v>
      </c>
      <c r="AC18" t="s">
        <v>8</v>
      </c>
      <c r="AD18" t="s">
        <v>8</v>
      </c>
      <c r="AE18" s="2">
        <v>45924</v>
      </c>
      <c r="AF18" s="2"/>
      <c r="AG18" t="s">
        <v>8</v>
      </c>
    </row>
    <row r="19" spans="1:33" outlineLevel="2" x14ac:dyDescent="0.25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 t="s">
        <v>54</v>
      </c>
      <c r="G19" s="2">
        <v>45964</v>
      </c>
      <c r="H19" t="s">
        <v>55</v>
      </c>
      <c r="I19" t="s">
        <v>25</v>
      </c>
      <c r="J19" s="2">
        <v>45964</v>
      </c>
      <c r="K19" s="2">
        <v>45964</v>
      </c>
      <c r="L19" t="s">
        <v>56</v>
      </c>
      <c r="M19" t="s">
        <v>8</v>
      </c>
      <c r="N19" t="s">
        <v>9</v>
      </c>
      <c r="O19" t="s">
        <v>10</v>
      </c>
      <c r="P19" t="s">
        <v>8</v>
      </c>
      <c r="Q19" t="s">
        <v>22</v>
      </c>
      <c r="R19" t="s">
        <v>26</v>
      </c>
      <c r="S19" s="3">
        <v>-1731.27</v>
      </c>
      <c r="T19" t="s">
        <v>12</v>
      </c>
      <c r="U19" s="3">
        <v>-152682.03</v>
      </c>
      <c r="V19" t="s">
        <v>8</v>
      </c>
      <c r="W19" t="s">
        <v>31</v>
      </c>
      <c r="X19" t="s">
        <v>8</v>
      </c>
      <c r="Y19" t="s">
        <v>8</v>
      </c>
      <c r="Z19" t="s">
        <v>17</v>
      </c>
      <c r="AA19" t="s">
        <v>8</v>
      </c>
      <c r="AB19" t="s">
        <v>8</v>
      </c>
      <c r="AC19" t="s">
        <v>8</v>
      </c>
      <c r="AD19" t="s">
        <v>8</v>
      </c>
      <c r="AE19" s="2">
        <v>45964</v>
      </c>
      <c r="AF19" s="2"/>
      <c r="AG19" t="s">
        <v>8</v>
      </c>
    </row>
    <row r="20" spans="1:33" outlineLevel="2" x14ac:dyDescent="0.25">
      <c r="A20" t="s">
        <v>27</v>
      </c>
      <c r="B20" t="s">
        <v>1</v>
      </c>
      <c r="C20" t="s">
        <v>2</v>
      </c>
      <c r="D20" t="s">
        <v>3</v>
      </c>
      <c r="E20" t="s">
        <v>4</v>
      </c>
      <c r="F20" t="s">
        <v>54</v>
      </c>
      <c r="G20" s="2">
        <v>45972</v>
      </c>
      <c r="H20" t="s">
        <v>57</v>
      </c>
      <c r="I20" t="s">
        <v>25</v>
      </c>
      <c r="J20" s="2">
        <v>45972</v>
      </c>
      <c r="K20" s="2">
        <v>45972</v>
      </c>
      <c r="L20" t="s">
        <v>58</v>
      </c>
      <c r="M20" t="s">
        <v>8</v>
      </c>
      <c r="N20" t="s">
        <v>9</v>
      </c>
      <c r="O20" t="s">
        <v>10</v>
      </c>
      <c r="P20" t="s">
        <v>8</v>
      </c>
      <c r="Q20" t="s">
        <v>22</v>
      </c>
      <c r="R20" t="s">
        <v>26</v>
      </c>
      <c r="S20" s="3">
        <v>-1968.44</v>
      </c>
      <c r="T20" t="s">
        <v>12</v>
      </c>
      <c r="U20" s="3">
        <v>-173229.39</v>
      </c>
      <c r="V20" t="s">
        <v>8</v>
      </c>
      <c r="W20" t="s">
        <v>31</v>
      </c>
      <c r="X20" t="s">
        <v>8</v>
      </c>
      <c r="Y20" t="s">
        <v>8</v>
      </c>
      <c r="Z20" t="s">
        <v>17</v>
      </c>
      <c r="AA20" t="s">
        <v>8</v>
      </c>
      <c r="AB20" t="s">
        <v>8</v>
      </c>
      <c r="AC20" t="s">
        <v>8</v>
      </c>
      <c r="AD20" t="s">
        <v>8</v>
      </c>
      <c r="AE20" s="2">
        <v>45972</v>
      </c>
      <c r="AF20" s="2"/>
      <c r="AG20" t="s">
        <v>8</v>
      </c>
    </row>
    <row r="21" spans="1:33" outlineLevel="2" x14ac:dyDescent="0.25">
      <c r="A21" t="s">
        <v>27</v>
      </c>
      <c r="B21" t="s">
        <v>1</v>
      </c>
      <c r="C21" t="s">
        <v>2</v>
      </c>
      <c r="D21" t="s">
        <v>3</v>
      </c>
      <c r="E21" t="s">
        <v>4</v>
      </c>
      <c r="F21" t="s">
        <v>54</v>
      </c>
      <c r="G21" s="2">
        <v>45972</v>
      </c>
      <c r="H21" t="s">
        <v>59</v>
      </c>
      <c r="I21" t="s">
        <v>25</v>
      </c>
      <c r="J21" s="2">
        <v>45972</v>
      </c>
      <c r="K21" s="2">
        <v>45972</v>
      </c>
      <c r="L21" t="s">
        <v>60</v>
      </c>
      <c r="M21" t="s">
        <v>8</v>
      </c>
      <c r="N21" t="s">
        <v>9</v>
      </c>
      <c r="O21" t="s">
        <v>10</v>
      </c>
      <c r="P21" t="s">
        <v>8</v>
      </c>
      <c r="Q21" t="s">
        <v>22</v>
      </c>
      <c r="R21" t="s">
        <v>26</v>
      </c>
      <c r="S21" s="3">
        <v>-8339.84</v>
      </c>
      <c r="T21" t="s">
        <v>12</v>
      </c>
      <c r="U21" s="3">
        <v>-729855.51</v>
      </c>
      <c r="V21" t="s">
        <v>8</v>
      </c>
      <c r="W21" t="s">
        <v>31</v>
      </c>
      <c r="X21" t="s">
        <v>8</v>
      </c>
      <c r="Y21" t="s">
        <v>8</v>
      </c>
      <c r="Z21" t="s">
        <v>17</v>
      </c>
      <c r="AA21" t="s">
        <v>8</v>
      </c>
      <c r="AB21" t="s">
        <v>8</v>
      </c>
      <c r="AC21" t="s">
        <v>8</v>
      </c>
      <c r="AD21" t="s">
        <v>8</v>
      </c>
      <c r="AE21" s="2">
        <v>45972</v>
      </c>
      <c r="AF21" s="2"/>
      <c r="AG21" t="s">
        <v>8</v>
      </c>
    </row>
    <row r="22" spans="1:33" outlineLevel="2" x14ac:dyDescent="0.25">
      <c r="A22" t="s">
        <v>27</v>
      </c>
      <c r="B22" t="s">
        <v>1</v>
      </c>
      <c r="C22" t="s">
        <v>2</v>
      </c>
      <c r="D22" t="s">
        <v>3</v>
      </c>
      <c r="E22" t="s">
        <v>4</v>
      </c>
      <c r="F22" t="s">
        <v>54</v>
      </c>
      <c r="G22" s="2">
        <v>45972</v>
      </c>
      <c r="H22" t="s">
        <v>61</v>
      </c>
      <c r="I22" t="s">
        <v>25</v>
      </c>
      <c r="J22" s="2">
        <v>45972</v>
      </c>
      <c r="K22" s="2">
        <v>45972</v>
      </c>
      <c r="L22" t="s">
        <v>62</v>
      </c>
      <c r="M22" t="s">
        <v>8</v>
      </c>
      <c r="N22" t="s">
        <v>9</v>
      </c>
      <c r="O22" t="s">
        <v>10</v>
      </c>
      <c r="P22" t="s">
        <v>8</v>
      </c>
      <c r="Q22" t="s">
        <v>22</v>
      </c>
      <c r="R22" t="s">
        <v>26</v>
      </c>
      <c r="S22" s="3">
        <v>-10455.66</v>
      </c>
      <c r="T22" t="s">
        <v>12</v>
      </c>
      <c r="U22" s="3">
        <v>-920133.52</v>
      </c>
      <c r="V22" t="s">
        <v>8</v>
      </c>
      <c r="W22" t="s">
        <v>31</v>
      </c>
      <c r="X22" t="s">
        <v>8</v>
      </c>
      <c r="Y22" t="s">
        <v>8</v>
      </c>
      <c r="Z22" t="s">
        <v>17</v>
      </c>
      <c r="AA22" t="s">
        <v>8</v>
      </c>
      <c r="AB22" t="s">
        <v>8</v>
      </c>
      <c r="AC22" t="s">
        <v>8</v>
      </c>
      <c r="AD22" t="s">
        <v>8</v>
      </c>
      <c r="AE22" s="2">
        <v>45972</v>
      </c>
      <c r="AF22" s="2"/>
      <c r="AG22" t="s">
        <v>8</v>
      </c>
    </row>
    <row r="23" spans="1:33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36</v>
      </c>
      <c r="G23" s="2">
        <v>45842</v>
      </c>
      <c r="H23" t="s">
        <v>68</v>
      </c>
      <c r="I23" t="s">
        <v>20</v>
      </c>
      <c r="J23" s="2">
        <v>45842</v>
      </c>
      <c r="K23" s="2">
        <v>45842</v>
      </c>
      <c r="L23" t="s">
        <v>69</v>
      </c>
      <c r="M23" t="s">
        <v>70</v>
      </c>
      <c r="N23" t="s">
        <v>9</v>
      </c>
      <c r="O23" t="s">
        <v>10</v>
      </c>
      <c r="P23" t="s">
        <v>8</v>
      </c>
      <c r="Q23" t="s">
        <v>22</v>
      </c>
      <c r="R23" t="s">
        <v>26</v>
      </c>
      <c r="S23" s="3">
        <v>0</v>
      </c>
      <c r="T23" t="s">
        <v>12</v>
      </c>
      <c r="U23" s="3">
        <v>0</v>
      </c>
      <c r="V23" t="s">
        <v>8</v>
      </c>
      <c r="W23" t="s">
        <v>13</v>
      </c>
      <c r="X23" t="s">
        <v>8</v>
      </c>
      <c r="Y23" t="s">
        <v>8</v>
      </c>
      <c r="Z23" t="s">
        <v>14</v>
      </c>
      <c r="AA23" t="s">
        <v>8</v>
      </c>
      <c r="AB23" t="s">
        <v>8</v>
      </c>
      <c r="AC23" t="s">
        <v>8</v>
      </c>
      <c r="AD23" t="s">
        <v>8</v>
      </c>
      <c r="AE23" s="2">
        <v>45842</v>
      </c>
      <c r="AF23" s="2">
        <v>45842</v>
      </c>
      <c r="AG23" t="s">
        <v>68</v>
      </c>
    </row>
    <row r="24" spans="1:33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36</v>
      </c>
      <c r="G24" s="2">
        <v>45842</v>
      </c>
      <c r="H24" t="s">
        <v>71</v>
      </c>
      <c r="I24" t="s">
        <v>20</v>
      </c>
      <c r="J24" s="2">
        <v>45842</v>
      </c>
      <c r="K24" s="2">
        <v>45842</v>
      </c>
      <c r="L24" t="s">
        <v>69</v>
      </c>
      <c r="M24" t="s">
        <v>70</v>
      </c>
      <c r="N24" t="s">
        <v>9</v>
      </c>
      <c r="O24" t="s">
        <v>10</v>
      </c>
      <c r="P24" t="s">
        <v>8</v>
      </c>
      <c r="Q24" t="s">
        <v>21</v>
      </c>
      <c r="R24" t="s">
        <v>26</v>
      </c>
      <c r="S24" s="3">
        <v>1166.5899999999999</v>
      </c>
      <c r="T24" t="s">
        <v>12</v>
      </c>
      <c r="U24" s="3">
        <v>101402.13</v>
      </c>
      <c r="V24" t="s">
        <v>8</v>
      </c>
      <c r="W24" t="s">
        <v>13</v>
      </c>
      <c r="X24" t="s">
        <v>8</v>
      </c>
      <c r="Y24" t="s">
        <v>8</v>
      </c>
      <c r="Z24" t="s">
        <v>14</v>
      </c>
      <c r="AA24" t="s">
        <v>8</v>
      </c>
      <c r="AB24" t="s">
        <v>8</v>
      </c>
      <c r="AC24" t="s">
        <v>8</v>
      </c>
      <c r="AD24" t="s">
        <v>8</v>
      </c>
      <c r="AE24" s="2">
        <v>45842</v>
      </c>
      <c r="AF24" s="2">
        <v>45842</v>
      </c>
      <c r="AG24" t="s">
        <v>71</v>
      </c>
    </row>
    <row r="25" spans="1:33" outlineLevel="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36</v>
      </c>
      <c r="G25" s="2">
        <v>45842</v>
      </c>
      <c r="H25" t="s">
        <v>71</v>
      </c>
      <c r="I25" t="s">
        <v>20</v>
      </c>
      <c r="J25" s="2">
        <v>45842</v>
      </c>
      <c r="K25" s="2">
        <v>45842</v>
      </c>
      <c r="L25" t="s">
        <v>69</v>
      </c>
      <c r="M25" t="s">
        <v>70</v>
      </c>
      <c r="N25" t="s">
        <v>9</v>
      </c>
      <c r="O25" t="s">
        <v>10</v>
      </c>
      <c r="P25" t="s">
        <v>8</v>
      </c>
      <c r="Q25" t="s">
        <v>22</v>
      </c>
      <c r="R25" t="s">
        <v>26</v>
      </c>
      <c r="S25" s="3">
        <v>-1166.5899999999999</v>
      </c>
      <c r="T25" t="s">
        <v>12</v>
      </c>
      <c r="U25" s="3">
        <v>-101402.13</v>
      </c>
      <c r="V25" t="s">
        <v>8</v>
      </c>
      <c r="W25" t="s">
        <v>13</v>
      </c>
      <c r="X25" t="s">
        <v>8</v>
      </c>
      <c r="Y25" t="s">
        <v>8</v>
      </c>
      <c r="Z25" t="s">
        <v>17</v>
      </c>
      <c r="AA25" t="s">
        <v>8</v>
      </c>
      <c r="AB25" t="s">
        <v>8</v>
      </c>
      <c r="AC25" t="s">
        <v>8</v>
      </c>
      <c r="AD25" t="s">
        <v>8</v>
      </c>
      <c r="AE25" s="2">
        <v>45842</v>
      </c>
      <c r="AF25" s="2">
        <v>45842</v>
      </c>
      <c r="AG25" t="s">
        <v>71</v>
      </c>
    </row>
    <row r="26" spans="1:33" outlineLevel="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36</v>
      </c>
      <c r="G26" s="2">
        <v>45842</v>
      </c>
      <c r="H26" t="s">
        <v>72</v>
      </c>
      <c r="I26" t="s">
        <v>20</v>
      </c>
      <c r="J26" s="2">
        <v>45842</v>
      </c>
      <c r="K26" s="2">
        <v>45842</v>
      </c>
      <c r="L26" t="s">
        <v>69</v>
      </c>
      <c r="M26" t="s">
        <v>70</v>
      </c>
      <c r="N26" t="s">
        <v>9</v>
      </c>
      <c r="O26" t="s">
        <v>10</v>
      </c>
      <c r="P26" t="s">
        <v>8</v>
      </c>
      <c r="Q26" t="s">
        <v>21</v>
      </c>
      <c r="R26" t="s">
        <v>26</v>
      </c>
      <c r="S26" s="3">
        <v>1143.1199999999999</v>
      </c>
      <c r="T26" t="s">
        <v>12</v>
      </c>
      <c r="U26" s="3">
        <v>99362.07</v>
      </c>
      <c r="V26" t="s">
        <v>8</v>
      </c>
      <c r="W26" t="s">
        <v>13</v>
      </c>
      <c r="X26" t="s">
        <v>8</v>
      </c>
      <c r="Y26" t="s">
        <v>8</v>
      </c>
      <c r="Z26" t="s">
        <v>14</v>
      </c>
      <c r="AA26" t="s">
        <v>8</v>
      </c>
      <c r="AB26" t="s">
        <v>8</v>
      </c>
      <c r="AC26" t="s">
        <v>8</v>
      </c>
      <c r="AD26" t="s">
        <v>8</v>
      </c>
      <c r="AE26" s="2">
        <v>45842</v>
      </c>
      <c r="AF26" s="2">
        <v>45842</v>
      </c>
      <c r="AG26" t="s">
        <v>72</v>
      </c>
    </row>
    <row r="27" spans="1:33" outlineLevel="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36</v>
      </c>
      <c r="G27" s="2">
        <v>45842</v>
      </c>
      <c r="H27" t="s">
        <v>72</v>
      </c>
      <c r="I27" t="s">
        <v>20</v>
      </c>
      <c r="J27" s="2">
        <v>45842</v>
      </c>
      <c r="K27" s="2">
        <v>45842</v>
      </c>
      <c r="L27" t="s">
        <v>69</v>
      </c>
      <c r="M27" t="s">
        <v>70</v>
      </c>
      <c r="N27" t="s">
        <v>9</v>
      </c>
      <c r="O27" t="s">
        <v>10</v>
      </c>
      <c r="P27" t="s">
        <v>8</v>
      </c>
      <c r="Q27" t="s">
        <v>22</v>
      </c>
      <c r="R27" t="s">
        <v>26</v>
      </c>
      <c r="S27" s="3">
        <v>-1143.1199999999999</v>
      </c>
      <c r="T27" t="s">
        <v>12</v>
      </c>
      <c r="U27" s="3">
        <v>-99362.07</v>
      </c>
      <c r="V27" t="s">
        <v>8</v>
      </c>
      <c r="W27" t="s">
        <v>13</v>
      </c>
      <c r="X27" t="s">
        <v>8</v>
      </c>
      <c r="Y27" t="s">
        <v>8</v>
      </c>
      <c r="Z27" t="s">
        <v>17</v>
      </c>
      <c r="AA27" t="s">
        <v>8</v>
      </c>
      <c r="AB27" t="s">
        <v>8</v>
      </c>
      <c r="AC27" t="s">
        <v>8</v>
      </c>
      <c r="AD27" t="s">
        <v>8</v>
      </c>
      <c r="AE27" s="2">
        <v>45842</v>
      </c>
      <c r="AF27" s="2">
        <v>45842</v>
      </c>
      <c r="AG27" t="s">
        <v>72</v>
      </c>
    </row>
    <row r="28" spans="1:33" outlineLevel="2" x14ac:dyDescent="0.25">
      <c r="A28" t="s">
        <v>27</v>
      </c>
      <c r="B28" t="s">
        <v>1</v>
      </c>
      <c r="C28" t="s">
        <v>2</v>
      </c>
      <c r="D28" t="s">
        <v>3</v>
      </c>
      <c r="E28" t="s">
        <v>4</v>
      </c>
      <c r="F28" t="s">
        <v>73</v>
      </c>
      <c r="G28" s="2">
        <v>45787</v>
      </c>
      <c r="H28" t="s">
        <v>74</v>
      </c>
      <c r="I28" t="s">
        <v>75</v>
      </c>
      <c r="J28" s="2">
        <v>45787</v>
      </c>
      <c r="K28" s="2">
        <v>45791</v>
      </c>
      <c r="L28" t="s">
        <v>69</v>
      </c>
      <c r="M28" t="s">
        <v>76</v>
      </c>
      <c r="N28" t="s">
        <v>9</v>
      </c>
      <c r="O28" t="s">
        <v>10</v>
      </c>
      <c r="P28" t="s">
        <v>8</v>
      </c>
      <c r="Q28" t="s">
        <v>65</v>
      </c>
      <c r="R28" t="s">
        <v>12</v>
      </c>
      <c r="S28" s="3">
        <v>100000</v>
      </c>
      <c r="T28" t="s">
        <v>12</v>
      </c>
      <c r="U28" s="3">
        <v>100000</v>
      </c>
      <c r="V28" t="s">
        <v>77</v>
      </c>
      <c r="W28" t="s">
        <v>13</v>
      </c>
      <c r="X28" t="s">
        <v>8</v>
      </c>
      <c r="Y28" t="s">
        <v>69</v>
      </c>
      <c r="Z28" t="s">
        <v>14</v>
      </c>
      <c r="AA28" t="s">
        <v>78</v>
      </c>
      <c r="AB28" t="s">
        <v>8</v>
      </c>
      <c r="AC28" t="s">
        <v>8</v>
      </c>
      <c r="AD28" t="s">
        <v>8</v>
      </c>
      <c r="AE28" s="2">
        <v>45787</v>
      </c>
      <c r="AF28" s="2"/>
      <c r="AG28" t="s">
        <v>8</v>
      </c>
    </row>
    <row r="29" spans="1:33" outlineLevel="2" x14ac:dyDescent="0.25">
      <c r="A29" t="s">
        <v>27</v>
      </c>
      <c r="B29" t="s">
        <v>1</v>
      </c>
      <c r="C29" t="s">
        <v>2</v>
      </c>
      <c r="D29" t="s">
        <v>3</v>
      </c>
      <c r="E29" t="s">
        <v>4</v>
      </c>
      <c r="F29" t="s">
        <v>79</v>
      </c>
      <c r="G29" s="2">
        <v>45818</v>
      </c>
      <c r="H29" t="s">
        <v>80</v>
      </c>
      <c r="I29" t="s">
        <v>75</v>
      </c>
      <c r="J29" s="2">
        <v>45818</v>
      </c>
      <c r="K29" s="2">
        <v>45825</v>
      </c>
      <c r="L29" t="s">
        <v>69</v>
      </c>
      <c r="M29" t="s">
        <v>81</v>
      </c>
      <c r="N29" t="s">
        <v>9</v>
      </c>
      <c r="O29" t="s">
        <v>10</v>
      </c>
      <c r="P29" t="s">
        <v>8</v>
      </c>
      <c r="Q29" t="s">
        <v>65</v>
      </c>
      <c r="R29" t="s">
        <v>12</v>
      </c>
      <c r="S29" s="3">
        <v>100000</v>
      </c>
      <c r="T29" t="s">
        <v>12</v>
      </c>
      <c r="U29" s="3">
        <v>100000</v>
      </c>
      <c r="V29" t="s">
        <v>77</v>
      </c>
      <c r="W29" t="s">
        <v>13</v>
      </c>
      <c r="X29" t="s">
        <v>8</v>
      </c>
      <c r="Y29" t="s">
        <v>69</v>
      </c>
      <c r="Z29" t="s">
        <v>14</v>
      </c>
      <c r="AA29" t="s">
        <v>82</v>
      </c>
      <c r="AB29" t="s">
        <v>8</v>
      </c>
      <c r="AC29" t="s">
        <v>8</v>
      </c>
      <c r="AD29" t="s">
        <v>8</v>
      </c>
      <c r="AE29" s="2">
        <v>45818</v>
      </c>
      <c r="AF29" s="2"/>
      <c r="AG29" t="s">
        <v>8</v>
      </c>
    </row>
    <row r="30" spans="1:33" outlineLevel="2" x14ac:dyDescent="0.25">
      <c r="A30" t="s">
        <v>27</v>
      </c>
      <c r="B30" t="s">
        <v>1</v>
      </c>
      <c r="C30" t="s">
        <v>2</v>
      </c>
      <c r="D30" t="s">
        <v>3</v>
      </c>
      <c r="E30" t="s">
        <v>4</v>
      </c>
      <c r="F30" t="s">
        <v>36</v>
      </c>
      <c r="G30" s="2">
        <v>45842</v>
      </c>
      <c r="H30" t="s">
        <v>83</v>
      </c>
      <c r="I30" t="s">
        <v>75</v>
      </c>
      <c r="J30" s="2">
        <v>45842</v>
      </c>
      <c r="K30" s="2">
        <v>45847</v>
      </c>
      <c r="L30" t="s">
        <v>69</v>
      </c>
      <c r="M30" t="s">
        <v>84</v>
      </c>
      <c r="N30" t="s">
        <v>9</v>
      </c>
      <c r="O30" t="s">
        <v>10</v>
      </c>
      <c r="P30" t="s">
        <v>8</v>
      </c>
      <c r="Q30" t="s">
        <v>65</v>
      </c>
      <c r="R30" t="s">
        <v>12</v>
      </c>
      <c r="S30" s="3">
        <v>100000</v>
      </c>
      <c r="T30" t="s">
        <v>12</v>
      </c>
      <c r="U30" s="3">
        <v>100000</v>
      </c>
      <c r="V30" t="s">
        <v>77</v>
      </c>
      <c r="W30" t="s">
        <v>13</v>
      </c>
      <c r="X30" t="s">
        <v>8</v>
      </c>
      <c r="Y30" t="s">
        <v>69</v>
      </c>
      <c r="Z30" t="s">
        <v>14</v>
      </c>
      <c r="AA30" t="s">
        <v>85</v>
      </c>
      <c r="AB30" t="s">
        <v>8</v>
      </c>
      <c r="AC30" t="s">
        <v>8</v>
      </c>
      <c r="AD30" t="s">
        <v>8</v>
      </c>
      <c r="AE30" s="2">
        <v>45842</v>
      </c>
      <c r="AF30" s="2"/>
      <c r="AG30" t="s">
        <v>8</v>
      </c>
    </row>
    <row r="31" spans="1:33" outlineLevel="2" x14ac:dyDescent="0.25">
      <c r="A31" t="s">
        <v>27</v>
      </c>
      <c r="B31" t="s">
        <v>1</v>
      </c>
      <c r="C31" t="s">
        <v>2</v>
      </c>
      <c r="D31" t="s">
        <v>3</v>
      </c>
      <c r="E31" t="s">
        <v>4</v>
      </c>
      <c r="F31" t="s">
        <v>23</v>
      </c>
      <c r="G31" s="2">
        <v>45870</v>
      </c>
      <c r="H31" t="s">
        <v>86</v>
      </c>
      <c r="I31" t="s">
        <v>75</v>
      </c>
      <c r="J31" s="2">
        <v>45870</v>
      </c>
      <c r="K31" s="2">
        <v>45873</v>
      </c>
      <c r="L31" t="s">
        <v>69</v>
      </c>
      <c r="M31" t="s">
        <v>87</v>
      </c>
      <c r="N31" t="s">
        <v>9</v>
      </c>
      <c r="O31" t="s">
        <v>10</v>
      </c>
      <c r="P31" t="s">
        <v>8</v>
      </c>
      <c r="Q31" t="s">
        <v>65</v>
      </c>
      <c r="R31" t="s">
        <v>12</v>
      </c>
      <c r="S31" s="3">
        <v>100000</v>
      </c>
      <c r="T31" t="s">
        <v>12</v>
      </c>
      <c r="U31" s="3">
        <v>100000</v>
      </c>
      <c r="V31" t="s">
        <v>77</v>
      </c>
      <c r="W31" t="s">
        <v>13</v>
      </c>
      <c r="X31" t="s">
        <v>8</v>
      </c>
      <c r="Y31" t="s">
        <v>69</v>
      </c>
      <c r="Z31" t="s">
        <v>14</v>
      </c>
      <c r="AA31" t="s">
        <v>88</v>
      </c>
      <c r="AB31" t="s">
        <v>8</v>
      </c>
      <c r="AC31" t="s">
        <v>8</v>
      </c>
      <c r="AD31" t="s">
        <v>8</v>
      </c>
      <c r="AE31" s="2">
        <v>45870</v>
      </c>
      <c r="AF31" s="2"/>
      <c r="AG31" t="s">
        <v>8</v>
      </c>
    </row>
    <row r="32" spans="1:33" outlineLevel="2" x14ac:dyDescent="0.25">
      <c r="A32" t="s">
        <v>27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45904</v>
      </c>
      <c r="H32" t="s">
        <v>89</v>
      </c>
      <c r="I32" t="s">
        <v>75</v>
      </c>
      <c r="J32" s="2">
        <v>45904</v>
      </c>
      <c r="K32" s="2">
        <v>45909</v>
      </c>
      <c r="L32" t="s">
        <v>69</v>
      </c>
      <c r="M32" t="s">
        <v>90</v>
      </c>
      <c r="N32" t="s">
        <v>9</v>
      </c>
      <c r="O32" t="s">
        <v>10</v>
      </c>
      <c r="P32" t="s">
        <v>8</v>
      </c>
      <c r="Q32" t="s">
        <v>65</v>
      </c>
      <c r="R32" t="s">
        <v>12</v>
      </c>
      <c r="S32" s="3">
        <v>100000</v>
      </c>
      <c r="T32" t="s">
        <v>12</v>
      </c>
      <c r="U32" s="3">
        <v>100000</v>
      </c>
      <c r="V32" t="s">
        <v>77</v>
      </c>
      <c r="W32" t="s">
        <v>13</v>
      </c>
      <c r="X32" t="s">
        <v>8</v>
      </c>
      <c r="Y32" t="s">
        <v>91</v>
      </c>
      <c r="Z32" t="s">
        <v>14</v>
      </c>
      <c r="AA32" t="s">
        <v>92</v>
      </c>
      <c r="AB32" t="s">
        <v>8</v>
      </c>
      <c r="AC32" t="s">
        <v>8</v>
      </c>
      <c r="AD32" t="s">
        <v>8</v>
      </c>
      <c r="AE32" s="2">
        <v>45904</v>
      </c>
      <c r="AF32" s="2"/>
      <c r="AG32" t="s">
        <v>8</v>
      </c>
    </row>
    <row r="33" spans="1:33" outlineLevel="2" x14ac:dyDescent="0.25">
      <c r="A33" t="s">
        <v>27</v>
      </c>
      <c r="B33" t="s">
        <v>1</v>
      </c>
      <c r="C33" t="s">
        <v>2</v>
      </c>
      <c r="D33" t="s">
        <v>3</v>
      </c>
      <c r="E33" t="s">
        <v>4</v>
      </c>
      <c r="F33" t="s">
        <v>54</v>
      </c>
      <c r="G33" s="2">
        <v>45966</v>
      </c>
      <c r="H33" t="s">
        <v>93</v>
      </c>
      <c r="I33" t="s">
        <v>75</v>
      </c>
      <c r="J33" s="2">
        <v>45966</v>
      </c>
      <c r="K33" s="2">
        <v>45966</v>
      </c>
      <c r="L33" t="s">
        <v>69</v>
      </c>
      <c r="M33" t="s">
        <v>94</v>
      </c>
      <c r="N33" t="s">
        <v>9</v>
      </c>
      <c r="O33" t="s">
        <v>10</v>
      </c>
      <c r="P33" t="s">
        <v>8</v>
      </c>
      <c r="Q33" t="s">
        <v>65</v>
      </c>
      <c r="R33" t="s">
        <v>12</v>
      </c>
      <c r="S33" s="3">
        <v>100000</v>
      </c>
      <c r="T33" t="s">
        <v>12</v>
      </c>
      <c r="U33" s="3">
        <v>100000</v>
      </c>
      <c r="V33" t="s">
        <v>77</v>
      </c>
      <c r="W33" t="s">
        <v>13</v>
      </c>
      <c r="X33" t="s">
        <v>8</v>
      </c>
      <c r="Y33" t="s">
        <v>95</v>
      </c>
      <c r="Z33" t="s">
        <v>14</v>
      </c>
      <c r="AA33" t="s">
        <v>96</v>
      </c>
      <c r="AB33" t="s">
        <v>8</v>
      </c>
      <c r="AC33" t="s">
        <v>8</v>
      </c>
      <c r="AD33" t="s">
        <v>8</v>
      </c>
      <c r="AE33" s="2">
        <v>45966</v>
      </c>
      <c r="AF33" s="2"/>
      <c r="AG33" t="s">
        <v>8</v>
      </c>
    </row>
    <row r="34" spans="1:33" outlineLevel="2" x14ac:dyDescent="0.25">
      <c r="A34" t="s">
        <v>27</v>
      </c>
      <c r="B34" t="s">
        <v>1</v>
      </c>
      <c r="C34" t="s">
        <v>2</v>
      </c>
      <c r="D34" t="s">
        <v>3</v>
      </c>
      <c r="E34" t="s">
        <v>4</v>
      </c>
      <c r="F34" t="s">
        <v>97</v>
      </c>
      <c r="G34" s="2">
        <v>45995</v>
      </c>
      <c r="H34" t="s">
        <v>98</v>
      </c>
      <c r="I34" t="s">
        <v>75</v>
      </c>
      <c r="J34" s="2">
        <v>45995</v>
      </c>
      <c r="K34" s="2">
        <v>46000</v>
      </c>
      <c r="L34" t="s">
        <v>69</v>
      </c>
      <c r="M34" t="s">
        <v>99</v>
      </c>
      <c r="N34" t="s">
        <v>9</v>
      </c>
      <c r="O34" t="s">
        <v>10</v>
      </c>
      <c r="P34" t="s">
        <v>8</v>
      </c>
      <c r="Q34" t="s">
        <v>65</v>
      </c>
      <c r="R34" t="s">
        <v>12</v>
      </c>
      <c r="S34" s="3">
        <v>100000</v>
      </c>
      <c r="T34" t="s">
        <v>12</v>
      </c>
      <c r="U34" s="3">
        <v>100000</v>
      </c>
      <c r="V34" t="s">
        <v>77</v>
      </c>
      <c r="W34" t="s">
        <v>13</v>
      </c>
      <c r="X34" t="s">
        <v>8</v>
      </c>
      <c r="Y34" t="s">
        <v>100</v>
      </c>
      <c r="Z34" t="s">
        <v>14</v>
      </c>
      <c r="AA34" t="s">
        <v>101</v>
      </c>
      <c r="AB34" t="s">
        <v>8</v>
      </c>
      <c r="AC34" t="s">
        <v>8</v>
      </c>
      <c r="AD34" t="s">
        <v>8</v>
      </c>
      <c r="AE34" s="2">
        <v>45995</v>
      </c>
      <c r="AF34" s="2"/>
      <c r="AG34" t="s">
        <v>8</v>
      </c>
    </row>
    <row r="35" spans="1:33" outlineLevel="2" x14ac:dyDescent="0.25">
      <c r="A35" t="s">
        <v>27</v>
      </c>
      <c r="B35" t="s">
        <v>1</v>
      </c>
      <c r="C35" t="s">
        <v>2</v>
      </c>
      <c r="D35" t="s">
        <v>3</v>
      </c>
      <c r="E35" t="s">
        <v>4</v>
      </c>
      <c r="F35" t="s">
        <v>73</v>
      </c>
      <c r="G35" s="2">
        <v>45787</v>
      </c>
      <c r="H35" t="s">
        <v>102</v>
      </c>
      <c r="I35" t="s">
        <v>75</v>
      </c>
      <c r="J35" s="2">
        <v>45787</v>
      </c>
      <c r="K35" s="2">
        <v>45791</v>
      </c>
      <c r="L35" t="s">
        <v>69</v>
      </c>
      <c r="M35" t="s">
        <v>103</v>
      </c>
      <c r="N35" t="s">
        <v>9</v>
      </c>
      <c r="O35" t="s">
        <v>10</v>
      </c>
      <c r="P35" t="s">
        <v>8</v>
      </c>
      <c r="Q35" t="s">
        <v>65</v>
      </c>
      <c r="R35" t="s">
        <v>12</v>
      </c>
      <c r="S35" s="3">
        <v>35000</v>
      </c>
      <c r="T35" t="s">
        <v>12</v>
      </c>
      <c r="U35" s="3">
        <v>35000</v>
      </c>
      <c r="V35" t="s">
        <v>77</v>
      </c>
      <c r="W35" t="s">
        <v>13</v>
      </c>
      <c r="X35" t="s">
        <v>8</v>
      </c>
      <c r="Y35" t="s">
        <v>69</v>
      </c>
      <c r="Z35" t="s">
        <v>14</v>
      </c>
      <c r="AA35" t="s">
        <v>78</v>
      </c>
      <c r="AB35" t="s">
        <v>8</v>
      </c>
      <c r="AC35" t="s">
        <v>8</v>
      </c>
      <c r="AD35" t="s">
        <v>8</v>
      </c>
      <c r="AE35" s="2">
        <v>45787</v>
      </c>
      <c r="AF35" s="2"/>
      <c r="AG35" t="s">
        <v>8</v>
      </c>
    </row>
    <row r="36" spans="1:33" outlineLevel="2" x14ac:dyDescent="0.25">
      <c r="A36" t="s">
        <v>27</v>
      </c>
      <c r="B36" t="s">
        <v>1</v>
      </c>
      <c r="C36" t="s">
        <v>2</v>
      </c>
      <c r="D36" t="s">
        <v>3</v>
      </c>
      <c r="E36" t="s">
        <v>4</v>
      </c>
      <c r="F36" t="s">
        <v>79</v>
      </c>
      <c r="G36" s="2">
        <v>45818</v>
      </c>
      <c r="H36" t="s">
        <v>104</v>
      </c>
      <c r="I36" t="s">
        <v>75</v>
      </c>
      <c r="J36" s="2">
        <v>45818</v>
      </c>
      <c r="K36" s="2">
        <v>45825</v>
      </c>
      <c r="L36" t="s">
        <v>69</v>
      </c>
      <c r="M36" t="s">
        <v>105</v>
      </c>
      <c r="N36" t="s">
        <v>9</v>
      </c>
      <c r="O36" t="s">
        <v>10</v>
      </c>
      <c r="P36" t="s">
        <v>8</v>
      </c>
      <c r="Q36" t="s">
        <v>65</v>
      </c>
      <c r="R36" t="s">
        <v>12</v>
      </c>
      <c r="S36" s="3">
        <v>35000</v>
      </c>
      <c r="T36" t="s">
        <v>12</v>
      </c>
      <c r="U36" s="3">
        <v>35000</v>
      </c>
      <c r="V36" t="s">
        <v>77</v>
      </c>
      <c r="W36" t="s">
        <v>13</v>
      </c>
      <c r="X36" t="s">
        <v>8</v>
      </c>
      <c r="Y36" t="s">
        <v>69</v>
      </c>
      <c r="Z36" t="s">
        <v>14</v>
      </c>
      <c r="AA36" t="s">
        <v>82</v>
      </c>
      <c r="AB36" t="s">
        <v>8</v>
      </c>
      <c r="AC36" t="s">
        <v>8</v>
      </c>
      <c r="AD36" t="s">
        <v>8</v>
      </c>
      <c r="AE36" s="2">
        <v>45818</v>
      </c>
      <c r="AF36" s="2"/>
      <c r="AG36" t="s">
        <v>8</v>
      </c>
    </row>
    <row r="37" spans="1:33" outlineLevel="2" x14ac:dyDescent="0.25">
      <c r="A37" t="s">
        <v>27</v>
      </c>
      <c r="B37" t="s">
        <v>1</v>
      </c>
      <c r="C37" t="s">
        <v>2</v>
      </c>
      <c r="D37" t="s">
        <v>3</v>
      </c>
      <c r="E37" t="s">
        <v>4</v>
      </c>
      <c r="F37" t="s">
        <v>36</v>
      </c>
      <c r="G37" s="2">
        <v>45842</v>
      </c>
      <c r="H37" t="s">
        <v>106</v>
      </c>
      <c r="I37" t="s">
        <v>75</v>
      </c>
      <c r="J37" s="2">
        <v>45842</v>
      </c>
      <c r="K37" s="2">
        <v>45847</v>
      </c>
      <c r="L37" t="s">
        <v>69</v>
      </c>
      <c r="M37" t="s">
        <v>107</v>
      </c>
      <c r="N37" t="s">
        <v>9</v>
      </c>
      <c r="O37" t="s">
        <v>10</v>
      </c>
      <c r="P37" t="s">
        <v>8</v>
      </c>
      <c r="Q37" t="s">
        <v>65</v>
      </c>
      <c r="R37" t="s">
        <v>12</v>
      </c>
      <c r="S37" s="3">
        <v>35000</v>
      </c>
      <c r="T37" t="s">
        <v>12</v>
      </c>
      <c r="U37" s="3">
        <v>35000</v>
      </c>
      <c r="V37" t="s">
        <v>77</v>
      </c>
      <c r="W37" t="s">
        <v>13</v>
      </c>
      <c r="X37" t="s">
        <v>8</v>
      </c>
      <c r="Y37" t="s">
        <v>69</v>
      </c>
      <c r="Z37" t="s">
        <v>14</v>
      </c>
      <c r="AA37" t="s">
        <v>85</v>
      </c>
      <c r="AB37" t="s">
        <v>8</v>
      </c>
      <c r="AC37" t="s">
        <v>8</v>
      </c>
      <c r="AD37" t="s">
        <v>8</v>
      </c>
      <c r="AE37" s="2">
        <v>45842</v>
      </c>
      <c r="AF37" s="2"/>
      <c r="AG37" t="s">
        <v>8</v>
      </c>
    </row>
    <row r="38" spans="1:33" outlineLevel="2" x14ac:dyDescent="0.25">
      <c r="A38" t="s">
        <v>27</v>
      </c>
      <c r="B38" t="s">
        <v>1</v>
      </c>
      <c r="C38" t="s">
        <v>2</v>
      </c>
      <c r="D38" t="s">
        <v>3</v>
      </c>
      <c r="E38" t="s">
        <v>4</v>
      </c>
      <c r="F38" t="s">
        <v>23</v>
      </c>
      <c r="G38" s="2">
        <v>45870</v>
      </c>
      <c r="H38" t="s">
        <v>108</v>
      </c>
      <c r="I38" t="s">
        <v>75</v>
      </c>
      <c r="J38" s="2">
        <v>45870</v>
      </c>
      <c r="K38" s="2">
        <v>45873</v>
      </c>
      <c r="L38" t="s">
        <v>69</v>
      </c>
      <c r="M38" t="s">
        <v>109</v>
      </c>
      <c r="N38" t="s">
        <v>9</v>
      </c>
      <c r="O38" t="s">
        <v>10</v>
      </c>
      <c r="P38" t="s">
        <v>8</v>
      </c>
      <c r="Q38" t="s">
        <v>65</v>
      </c>
      <c r="R38" t="s">
        <v>12</v>
      </c>
      <c r="S38" s="3">
        <v>35000</v>
      </c>
      <c r="T38" t="s">
        <v>12</v>
      </c>
      <c r="U38" s="3">
        <v>35000</v>
      </c>
      <c r="V38" t="s">
        <v>77</v>
      </c>
      <c r="W38" t="s">
        <v>13</v>
      </c>
      <c r="X38" t="s">
        <v>8</v>
      </c>
      <c r="Y38" t="s">
        <v>69</v>
      </c>
      <c r="Z38" t="s">
        <v>14</v>
      </c>
      <c r="AA38" t="s">
        <v>88</v>
      </c>
      <c r="AB38" t="s">
        <v>8</v>
      </c>
      <c r="AC38" t="s">
        <v>8</v>
      </c>
      <c r="AD38" t="s">
        <v>8</v>
      </c>
      <c r="AE38" s="2">
        <v>45870</v>
      </c>
      <c r="AF38" s="2"/>
      <c r="AG38" t="s">
        <v>8</v>
      </c>
    </row>
    <row r="39" spans="1:33" outlineLevel="2" x14ac:dyDescent="0.25">
      <c r="A39" t="s">
        <v>27</v>
      </c>
      <c r="B39" t="s">
        <v>1</v>
      </c>
      <c r="C39" t="s">
        <v>2</v>
      </c>
      <c r="D39" t="s">
        <v>3</v>
      </c>
      <c r="E39" t="s">
        <v>4</v>
      </c>
      <c r="F39" t="s">
        <v>18</v>
      </c>
      <c r="G39" s="2">
        <v>45904</v>
      </c>
      <c r="H39" t="s">
        <v>110</v>
      </c>
      <c r="I39" t="s">
        <v>75</v>
      </c>
      <c r="J39" s="2">
        <v>45904</v>
      </c>
      <c r="K39" s="2">
        <v>45909</v>
      </c>
      <c r="L39" t="s">
        <v>69</v>
      </c>
      <c r="M39" t="s">
        <v>111</v>
      </c>
      <c r="N39" t="s">
        <v>9</v>
      </c>
      <c r="O39" t="s">
        <v>10</v>
      </c>
      <c r="P39" t="s">
        <v>8</v>
      </c>
      <c r="Q39" t="s">
        <v>65</v>
      </c>
      <c r="R39" t="s">
        <v>12</v>
      </c>
      <c r="S39" s="3">
        <v>35000</v>
      </c>
      <c r="T39" t="s">
        <v>12</v>
      </c>
      <c r="U39" s="3">
        <v>35000</v>
      </c>
      <c r="V39" t="s">
        <v>77</v>
      </c>
      <c r="W39" t="s">
        <v>13</v>
      </c>
      <c r="X39" t="s">
        <v>8</v>
      </c>
      <c r="Y39" t="s">
        <v>91</v>
      </c>
      <c r="Z39" t="s">
        <v>14</v>
      </c>
      <c r="AA39" t="s">
        <v>92</v>
      </c>
      <c r="AB39" t="s">
        <v>8</v>
      </c>
      <c r="AC39" t="s">
        <v>8</v>
      </c>
      <c r="AD39" t="s">
        <v>8</v>
      </c>
      <c r="AE39" s="2">
        <v>45904</v>
      </c>
      <c r="AF39" s="2"/>
      <c r="AG39" t="s">
        <v>8</v>
      </c>
    </row>
    <row r="40" spans="1:33" outlineLevel="2" x14ac:dyDescent="0.25">
      <c r="A40" t="s">
        <v>27</v>
      </c>
      <c r="B40" t="s">
        <v>1</v>
      </c>
      <c r="C40" t="s">
        <v>2</v>
      </c>
      <c r="D40" t="s">
        <v>3</v>
      </c>
      <c r="E40" t="s">
        <v>4</v>
      </c>
      <c r="F40" t="s">
        <v>54</v>
      </c>
      <c r="G40" s="2">
        <v>45966</v>
      </c>
      <c r="H40" t="s">
        <v>112</v>
      </c>
      <c r="I40" t="s">
        <v>75</v>
      </c>
      <c r="J40" s="2">
        <v>45966</v>
      </c>
      <c r="K40" s="2">
        <v>45966</v>
      </c>
      <c r="L40" t="s">
        <v>69</v>
      </c>
      <c r="M40" t="s">
        <v>113</v>
      </c>
      <c r="N40" t="s">
        <v>9</v>
      </c>
      <c r="O40" t="s">
        <v>10</v>
      </c>
      <c r="P40" t="s">
        <v>8</v>
      </c>
      <c r="Q40" t="s">
        <v>65</v>
      </c>
      <c r="R40" t="s">
        <v>12</v>
      </c>
      <c r="S40" s="3">
        <v>35000</v>
      </c>
      <c r="T40" t="s">
        <v>12</v>
      </c>
      <c r="U40" s="3">
        <v>35000</v>
      </c>
      <c r="V40" t="s">
        <v>77</v>
      </c>
      <c r="W40" t="s">
        <v>13</v>
      </c>
      <c r="X40" t="s">
        <v>8</v>
      </c>
      <c r="Y40" t="s">
        <v>95</v>
      </c>
      <c r="Z40" t="s">
        <v>14</v>
      </c>
      <c r="AA40" t="s">
        <v>96</v>
      </c>
      <c r="AB40" t="s">
        <v>8</v>
      </c>
      <c r="AC40" t="s">
        <v>8</v>
      </c>
      <c r="AD40" t="s">
        <v>8</v>
      </c>
      <c r="AE40" s="2">
        <v>45966</v>
      </c>
      <c r="AF40" s="2"/>
      <c r="AG40" t="s">
        <v>8</v>
      </c>
    </row>
    <row r="41" spans="1:33" outlineLevel="2" x14ac:dyDescent="0.25">
      <c r="A41" t="s">
        <v>27</v>
      </c>
      <c r="B41" t="s">
        <v>1</v>
      </c>
      <c r="C41" t="s">
        <v>2</v>
      </c>
      <c r="D41" t="s">
        <v>3</v>
      </c>
      <c r="E41" t="s">
        <v>4</v>
      </c>
      <c r="F41" t="s">
        <v>97</v>
      </c>
      <c r="G41" s="2">
        <v>45995</v>
      </c>
      <c r="H41" t="s">
        <v>114</v>
      </c>
      <c r="I41" t="s">
        <v>75</v>
      </c>
      <c r="J41" s="2">
        <v>45995</v>
      </c>
      <c r="K41" s="2">
        <v>46000</v>
      </c>
      <c r="L41" t="s">
        <v>69</v>
      </c>
      <c r="M41" t="s">
        <v>115</v>
      </c>
      <c r="N41" t="s">
        <v>9</v>
      </c>
      <c r="O41" t="s">
        <v>10</v>
      </c>
      <c r="P41" t="s">
        <v>8</v>
      </c>
      <c r="Q41" t="s">
        <v>65</v>
      </c>
      <c r="R41" t="s">
        <v>12</v>
      </c>
      <c r="S41" s="3">
        <v>35000</v>
      </c>
      <c r="T41" t="s">
        <v>12</v>
      </c>
      <c r="U41" s="3">
        <v>35000</v>
      </c>
      <c r="V41" t="s">
        <v>77</v>
      </c>
      <c r="W41" t="s">
        <v>13</v>
      </c>
      <c r="X41" t="s">
        <v>8</v>
      </c>
      <c r="Y41" t="s">
        <v>100</v>
      </c>
      <c r="Z41" t="s">
        <v>14</v>
      </c>
      <c r="AA41" t="s">
        <v>116</v>
      </c>
      <c r="AB41" t="s">
        <v>8</v>
      </c>
      <c r="AC41" t="s">
        <v>8</v>
      </c>
      <c r="AD41" t="s">
        <v>8</v>
      </c>
      <c r="AE41" s="2">
        <v>45995</v>
      </c>
      <c r="AF41" s="2"/>
      <c r="AG41" t="s">
        <v>8</v>
      </c>
    </row>
    <row r="42" spans="1:33" outlineLevel="2" x14ac:dyDescent="0.25">
      <c r="A42" t="s">
        <v>27</v>
      </c>
      <c r="B42" t="s">
        <v>1</v>
      </c>
      <c r="C42" t="s">
        <v>2</v>
      </c>
      <c r="D42" t="s">
        <v>3</v>
      </c>
      <c r="E42" t="s">
        <v>4</v>
      </c>
      <c r="F42" t="s">
        <v>23</v>
      </c>
      <c r="G42" s="2">
        <v>45890</v>
      </c>
      <c r="H42" t="s">
        <v>117</v>
      </c>
      <c r="I42" t="s">
        <v>118</v>
      </c>
      <c r="J42" s="2">
        <v>45890</v>
      </c>
      <c r="K42" s="2">
        <v>45890</v>
      </c>
      <c r="L42" t="s">
        <v>69</v>
      </c>
      <c r="M42" t="s">
        <v>119</v>
      </c>
      <c r="N42" t="s">
        <v>9</v>
      </c>
      <c r="O42" t="s">
        <v>10</v>
      </c>
      <c r="P42" t="s">
        <v>8</v>
      </c>
      <c r="Q42" t="s">
        <v>54</v>
      </c>
      <c r="R42" t="s">
        <v>12</v>
      </c>
      <c r="S42" s="3">
        <v>-200000</v>
      </c>
      <c r="T42" t="s">
        <v>12</v>
      </c>
      <c r="U42" s="3">
        <v>-200000</v>
      </c>
      <c r="V42" t="s">
        <v>77</v>
      </c>
      <c r="W42" t="s">
        <v>13</v>
      </c>
      <c r="X42" t="s">
        <v>8</v>
      </c>
      <c r="Y42" t="s">
        <v>69</v>
      </c>
      <c r="Z42" t="s">
        <v>14</v>
      </c>
      <c r="AA42" t="s">
        <v>120</v>
      </c>
      <c r="AB42" t="s">
        <v>8</v>
      </c>
      <c r="AC42" t="s">
        <v>8</v>
      </c>
      <c r="AD42" t="s">
        <v>8</v>
      </c>
      <c r="AE42" s="2">
        <v>45890</v>
      </c>
      <c r="AF42" s="2"/>
      <c r="AG42" t="s">
        <v>8</v>
      </c>
    </row>
    <row r="43" spans="1:33" outlineLevel="2" x14ac:dyDescent="0.25">
      <c r="A43" t="s">
        <v>27</v>
      </c>
      <c r="B43" t="s">
        <v>1</v>
      </c>
      <c r="C43" t="s">
        <v>2</v>
      </c>
      <c r="D43" t="s">
        <v>3</v>
      </c>
      <c r="E43" t="s">
        <v>4</v>
      </c>
      <c r="F43" t="s">
        <v>23</v>
      </c>
      <c r="G43" s="2">
        <v>45883</v>
      </c>
      <c r="H43" t="s">
        <v>121</v>
      </c>
      <c r="I43" t="s">
        <v>75</v>
      </c>
      <c r="J43" s="2">
        <v>45883</v>
      </c>
      <c r="K43" s="2">
        <v>45891</v>
      </c>
      <c r="L43" t="s">
        <v>69</v>
      </c>
      <c r="M43" t="s">
        <v>122</v>
      </c>
      <c r="N43" t="s">
        <v>9</v>
      </c>
      <c r="O43" t="s">
        <v>10</v>
      </c>
      <c r="P43" t="s">
        <v>8</v>
      </c>
      <c r="Q43" t="s">
        <v>65</v>
      </c>
      <c r="R43" t="s">
        <v>12</v>
      </c>
      <c r="S43" s="3">
        <v>200000</v>
      </c>
      <c r="T43" t="s">
        <v>12</v>
      </c>
      <c r="U43" s="3">
        <v>200000</v>
      </c>
      <c r="V43" t="s">
        <v>77</v>
      </c>
      <c r="W43" t="s">
        <v>13</v>
      </c>
      <c r="X43" t="s">
        <v>8</v>
      </c>
      <c r="Y43" t="s">
        <v>69</v>
      </c>
      <c r="Z43" t="s">
        <v>14</v>
      </c>
      <c r="AA43" t="s">
        <v>123</v>
      </c>
      <c r="AB43" t="s">
        <v>8</v>
      </c>
      <c r="AC43" t="s">
        <v>8</v>
      </c>
      <c r="AD43" t="s">
        <v>8</v>
      </c>
      <c r="AE43" s="2">
        <v>45883</v>
      </c>
      <c r="AF43" s="2"/>
      <c r="AG43" t="s">
        <v>8</v>
      </c>
    </row>
    <row r="44" spans="1:33" outlineLevel="2" x14ac:dyDescent="0.25">
      <c r="A44" t="s">
        <v>27</v>
      </c>
      <c r="B44" t="s">
        <v>1</v>
      </c>
      <c r="C44" t="s">
        <v>2</v>
      </c>
      <c r="D44" t="s">
        <v>3</v>
      </c>
      <c r="E44" t="s">
        <v>4</v>
      </c>
      <c r="F44" t="s">
        <v>49</v>
      </c>
      <c r="G44" s="2">
        <v>45733</v>
      </c>
      <c r="H44" t="s">
        <v>124</v>
      </c>
      <c r="I44" t="s">
        <v>75</v>
      </c>
      <c r="J44" s="2">
        <v>45733</v>
      </c>
      <c r="K44" s="2">
        <v>45734</v>
      </c>
      <c r="L44" t="s">
        <v>69</v>
      </c>
      <c r="M44" t="s">
        <v>125</v>
      </c>
      <c r="N44" t="s">
        <v>9</v>
      </c>
      <c r="O44" t="s">
        <v>10</v>
      </c>
      <c r="P44" t="s">
        <v>8</v>
      </c>
      <c r="Q44" t="s">
        <v>65</v>
      </c>
      <c r="R44" t="s">
        <v>26</v>
      </c>
      <c r="S44" s="3">
        <v>100</v>
      </c>
      <c r="T44" t="s">
        <v>12</v>
      </c>
      <c r="U44" s="3">
        <v>8669.1299999999992</v>
      </c>
      <c r="V44" t="s">
        <v>77</v>
      </c>
      <c r="W44" t="s">
        <v>13</v>
      </c>
      <c r="X44" t="s">
        <v>8</v>
      </c>
      <c r="Y44" t="s">
        <v>69</v>
      </c>
      <c r="Z44" t="s">
        <v>14</v>
      </c>
      <c r="AA44" t="s">
        <v>126</v>
      </c>
      <c r="AB44" t="s">
        <v>8</v>
      </c>
      <c r="AC44" t="s">
        <v>8</v>
      </c>
      <c r="AD44" t="s">
        <v>8</v>
      </c>
      <c r="AE44" s="2">
        <v>45733</v>
      </c>
      <c r="AF44" s="2"/>
      <c r="AG44" t="s">
        <v>8</v>
      </c>
    </row>
    <row r="45" spans="1:33" outlineLevel="2" x14ac:dyDescent="0.25">
      <c r="A45" t="s">
        <v>27</v>
      </c>
      <c r="B45" t="s">
        <v>1</v>
      </c>
      <c r="C45" t="s">
        <v>2</v>
      </c>
      <c r="D45" t="s">
        <v>3</v>
      </c>
      <c r="E45" t="s">
        <v>4</v>
      </c>
      <c r="F45" t="s">
        <v>49</v>
      </c>
      <c r="G45" s="2">
        <v>45733</v>
      </c>
      <c r="H45" t="s">
        <v>127</v>
      </c>
      <c r="I45" t="s">
        <v>75</v>
      </c>
      <c r="J45" s="2">
        <v>45733</v>
      </c>
      <c r="K45" s="2">
        <v>45734</v>
      </c>
      <c r="L45" t="s">
        <v>69</v>
      </c>
      <c r="M45" t="s">
        <v>128</v>
      </c>
      <c r="N45" t="s">
        <v>9</v>
      </c>
      <c r="O45" t="s">
        <v>10</v>
      </c>
      <c r="P45" t="s">
        <v>8</v>
      </c>
      <c r="Q45" t="s">
        <v>65</v>
      </c>
      <c r="R45" t="s">
        <v>26</v>
      </c>
      <c r="S45" s="3">
        <v>100</v>
      </c>
      <c r="T45" t="s">
        <v>12</v>
      </c>
      <c r="U45" s="3">
        <v>8669.1299999999992</v>
      </c>
      <c r="V45" t="s">
        <v>77</v>
      </c>
      <c r="W45" t="s">
        <v>13</v>
      </c>
      <c r="X45" t="s">
        <v>8</v>
      </c>
      <c r="Y45" t="s">
        <v>69</v>
      </c>
      <c r="Z45" t="s">
        <v>14</v>
      </c>
      <c r="AA45" t="s">
        <v>126</v>
      </c>
      <c r="AB45" t="s">
        <v>8</v>
      </c>
      <c r="AC45" t="s">
        <v>8</v>
      </c>
      <c r="AD45" t="s">
        <v>8</v>
      </c>
      <c r="AE45" s="2">
        <v>45733</v>
      </c>
      <c r="AF45" s="2"/>
      <c r="AG45" t="s">
        <v>8</v>
      </c>
    </row>
    <row r="46" spans="1:33" outlineLevel="2" x14ac:dyDescent="0.25">
      <c r="A46" t="s">
        <v>27</v>
      </c>
      <c r="B46" t="s">
        <v>1</v>
      </c>
      <c r="C46" t="s">
        <v>2</v>
      </c>
      <c r="D46" t="s">
        <v>3</v>
      </c>
      <c r="E46" t="s">
        <v>4</v>
      </c>
      <c r="F46" t="s">
        <v>49</v>
      </c>
      <c r="G46" s="2">
        <v>45733</v>
      </c>
      <c r="H46" t="s">
        <v>129</v>
      </c>
      <c r="I46" t="s">
        <v>75</v>
      </c>
      <c r="J46" s="2">
        <v>45733</v>
      </c>
      <c r="K46" s="2">
        <v>45734</v>
      </c>
      <c r="L46" t="s">
        <v>69</v>
      </c>
      <c r="M46" t="s">
        <v>130</v>
      </c>
      <c r="N46" t="s">
        <v>9</v>
      </c>
      <c r="O46" t="s">
        <v>10</v>
      </c>
      <c r="P46" t="s">
        <v>8</v>
      </c>
      <c r="Q46" t="s">
        <v>65</v>
      </c>
      <c r="R46" t="s">
        <v>26</v>
      </c>
      <c r="S46" s="3">
        <v>100</v>
      </c>
      <c r="T46" t="s">
        <v>12</v>
      </c>
      <c r="U46" s="3">
        <v>8669.1299999999992</v>
      </c>
      <c r="V46" t="s">
        <v>77</v>
      </c>
      <c r="W46" t="s">
        <v>13</v>
      </c>
      <c r="X46" t="s">
        <v>8</v>
      </c>
      <c r="Y46" t="s">
        <v>69</v>
      </c>
      <c r="Z46" t="s">
        <v>14</v>
      </c>
      <c r="AA46" t="s">
        <v>126</v>
      </c>
      <c r="AB46" t="s">
        <v>8</v>
      </c>
      <c r="AC46" t="s">
        <v>8</v>
      </c>
      <c r="AD46" t="s">
        <v>8</v>
      </c>
      <c r="AE46" s="2">
        <v>45733</v>
      </c>
      <c r="AF46" s="2"/>
      <c r="AG46" t="s">
        <v>8</v>
      </c>
    </row>
    <row r="47" spans="1:33" outlineLevel="2" x14ac:dyDescent="0.25">
      <c r="A47" t="s">
        <v>27</v>
      </c>
      <c r="B47" t="s">
        <v>1</v>
      </c>
      <c r="C47" t="s">
        <v>2</v>
      </c>
      <c r="D47" t="s">
        <v>3</v>
      </c>
      <c r="E47" t="s">
        <v>4</v>
      </c>
      <c r="F47" t="s">
        <v>73</v>
      </c>
      <c r="G47" s="2">
        <v>45787</v>
      </c>
      <c r="H47" t="s">
        <v>131</v>
      </c>
      <c r="I47" t="s">
        <v>75</v>
      </c>
      <c r="J47" s="2">
        <v>45787</v>
      </c>
      <c r="K47" s="2">
        <v>45792</v>
      </c>
      <c r="L47" t="s">
        <v>69</v>
      </c>
      <c r="M47" t="s">
        <v>132</v>
      </c>
      <c r="N47" t="s">
        <v>9</v>
      </c>
      <c r="O47" t="s">
        <v>10</v>
      </c>
      <c r="P47" t="s">
        <v>8</v>
      </c>
      <c r="Q47" t="s">
        <v>65</v>
      </c>
      <c r="R47" t="s">
        <v>26</v>
      </c>
      <c r="S47" s="3">
        <v>100</v>
      </c>
      <c r="T47" t="s">
        <v>12</v>
      </c>
      <c r="U47" s="3">
        <v>8598.3700000000008</v>
      </c>
      <c r="V47" t="s">
        <v>77</v>
      </c>
      <c r="W47" t="s">
        <v>13</v>
      </c>
      <c r="X47" t="s">
        <v>8</v>
      </c>
      <c r="Y47" t="s">
        <v>69</v>
      </c>
      <c r="Z47" t="s">
        <v>14</v>
      </c>
      <c r="AA47" t="s">
        <v>133</v>
      </c>
      <c r="AB47" t="s">
        <v>8</v>
      </c>
      <c r="AC47" t="s">
        <v>8</v>
      </c>
      <c r="AD47" t="s">
        <v>8</v>
      </c>
      <c r="AE47" s="2">
        <v>45787</v>
      </c>
      <c r="AF47" s="2"/>
      <c r="AG47" t="s">
        <v>8</v>
      </c>
    </row>
    <row r="48" spans="1:33" outlineLevel="2" x14ac:dyDescent="0.25">
      <c r="A48" t="s">
        <v>27</v>
      </c>
      <c r="B48" t="s">
        <v>1</v>
      </c>
      <c r="C48" t="s">
        <v>2</v>
      </c>
      <c r="D48" t="s">
        <v>3</v>
      </c>
      <c r="E48" t="s">
        <v>4</v>
      </c>
      <c r="F48" t="s">
        <v>73</v>
      </c>
      <c r="G48" s="2">
        <v>45797</v>
      </c>
      <c r="H48" t="s">
        <v>134</v>
      </c>
      <c r="I48" t="s">
        <v>75</v>
      </c>
      <c r="J48" s="2">
        <v>45797</v>
      </c>
      <c r="K48" s="2">
        <v>45805</v>
      </c>
      <c r="L48" t="s">
        <v>69</v>
      </c>
      <c r="M48" t="s">
        <v>135</v>
      </c>
      <c r="N48" t="s">
        <v>9</v>
      </c>
      <c r="O48" t="s">
        <v>10</v>
      </c>
      <c r="P48" t="s">
        <v>8</v>
      </c>
      <c r="Q48" t="s">
        <v>65</v>
      </c>
      <c r="R48" t="s">
        <v>26</v>
      </c>
      <c r="S48" s="3">
        <v>100</v>
      </c>
      <c r="T48" t="s">
        <v>12</v>
      </c>
      <c r="U48" s="3">
        <v>8598.3700000000008</v>
      </c>
      <c r="V48" t="s">
        <v>77</v>
      </c>
      <c r="W48" t="s">
        <v>13</v>
      </c>
      <c r="X48" t="s">
        <v>8</v>
      </c>
      <c r="Y48" t="s">
        <v>8</v>
      </c>
      <c r="Z48" t="s">
        <v>14</v>
      </c>
      <c r="AA48" t="s">
        <v>136</v>
      </c>
      <c r="AB48" t="s">
        <v>8</v>
      </c>
      <c r="AC48" t="s">
        <v>8</v>
      </c>
      <c r="AD48" t="s">
        <v>8</v>
      </c>
      <c r="AE48" s="2">
        <v>45797</v>
      </c>
      <c r="AF48" s="2"/>
      <c r="AG48" t="s">
        <v>8</v>
      </c>
    </row>
    <row r="49" spans="1:33" outlineLevel="2" x14ac:dyDescent="0.25">
      <c r="A49" t="s">
        <v>27</v>
      </c>
      <c r="B49" t="s">
        <v>1</v>
      </c>
      <c r="C49" t="s">
        <v>2</v>
      </c>
      <c r="D49" t="s">
        <v>3</v>
      </c>
      <c r="E49" t="s">
        <v>4</v>
      </c>
      <c r="F49" t="s">
        <v>73</v>
      </c>
      <c r="G49" s="2">
        <v>45797</v>
      </c>
      <c r="H49" t="s">
        <v>137</v>
      </c>
      <c r="I49" t="s">
        <v>75</v>
      </c>
      <c r="J49" s="2">
        <v>45797</v>
      </c>
      <c r="K49" s="2">
        <v>45805</v>
      </c>
      <c r="L49" t="s">
        <v>69</v>
      </c>
      <c r="M49" t="s">
        <v>138</v>
      </c>
      <c r="N49" t="s">
        <v>9</v>
      </c>
      <c r="O49" t="s">
        <v>10</v>
      </c>
      <c r="P49" t="s">
        <v>8</v>
      </c>
      <c r="Q49" t="s">
        <v>65</v>
      </c>
      <c r="R49" t="s">
        <v>26</v>
      </c>
      <c r="S49" s="3">
        <v>100</v>
      </c>
      <c r="T49" t="s">
        <v>12</v>
      </c>
      <c r="U49" s="3">
        <v>8598.3700000000008</v>
      </c>
      <c r="V49" t="s">
        <v>77</v>
      </c>
      <c r="W49" t="s">
        <v>13</v>
      </c>
      <c r="X49" t="s">
        <v>8</v>
      </c>
      <c r="Y49" t="s">
        <v>8</v>
      </c>
      <c r="Z49" t="s">
        <v>14</v>
      </c>
      <c r="AA49" t="s">
        <v>136</v>
      </c>
      <c r="AB49" t="s">
        <v>8</v>
      </c>
      <c r="AC49" t="s">
        <v>8</v>
      </c>
      <c r="AD49" t="s">
        <v>8</v>
      </c>
      <c r="AE49" s="2">
        <v>45797</v>
      </c>
      <c r="AF49" s="2"/>
      <c r="AG49" t="s">
        <v>8</v>
      </c>
    </row>
    <row r="50" spans="1:33" outlineLevel="2" x14ac:dyDescent="0.25">
      <c r="A50" t="s">
        <v>27</v>
      </c>
      <c r="B50" t="s">
        <v>1</v>
      </c>
      <c r="C50" t="s">
        <v>2</v>
      </c>
      <c r="D50" t="s">
        <v>3</v>
      </c>
      <c r="E50" t="s">
        <v>4</v>
      </c>
      <c r="F50" t="s">
        <v>73</v>
      </c>
      <c r="G50" s="2">
        <v>45797</v>
      </c>
      <c r="H50" t="s">
        <v>139</v>
      </c>
      <c r="I50" t="s">
        <v>75</v>
      </c>
      <c r="J50" s="2">
        <v>45797</v>
      </c>
      <c r="K50" s="2">
        <v>45805</v>
      </c>
      <c r="L50" t="s">
        <v>69</v>
      </c>
      <c r="M50" t="s">
        <v>140</v>
      </c>
      <c r="N50" t="s">
        <v>9</v>
      </c>
      <c r="O50" t="s">
        <v>10</v>
      </c>
      <c r="P50" t="s">
        <v>8</v>
      </c>
      <c r="Q50" t="s">
        <v>65</v>
      </c>
      <c r="R50" t="s">
        <v>26</v>
      </c>
      <c r="S50" s="3">
        <v>100</v>
      </c>
      <c r="T50" t="s">
        <v>12</v>
      </c>
      <c r="U50" s="3">
        <v>8598.3700000000008</v>
      </c>
      <c r="V50" t="s">
        <v>77</v>
      </c>
      <c r="W50" t="s">
        <v>13</v>
      </c>
      <c r="X50" t="s">
        <v>8</v>
      </c>
      <c r="Y50" t="s">
        <v>8</v>
      </c>
      <c r="Z50" t="s">
        <v>14</v>
      </c>
      <c r="AA50" t="s">
        <v>136</v>
      </c>
      <c r="AB50" t="s">
        <v>8</v>
      </c>
      <c r="AC50" t="s">
        <v>8</v>
      </c>
      <c r="AD50" t="s">
        <v>8</v>
      </c>
      <c r="AE50" s="2">
        <v>45797</v>
      </c>
      <c r="AF50" s="2"/>
      <c r="AG50" t="s">
        <v>8</v>
      </c>
    </row>
    <row r="51" spans="1:33" outlineLevel="2" x14ac:dyDescent="0.25">
      <c r="A51" t="s">
        <v>27</v>
      </c>
      <c r="B51" t="s">
        <v>1</v>
      </c>
      <c r="C51" t="s">
        <v>2</v>
      </c>
      <c r="D51" t="s">
        <v>3</v>
      </c>
      <c r="E51" t="s">
        <v>4</v>
      </c>
      <c r="F51" t="s">
        <v>36</v>
      </c>
      <c r="G51" s="2">
        <v>45863</v>
      </c>
      <c r="H51" t="s">
        <v>141</v>
      </c>
      <c r="I51" t="s">
        <v>75</v>
      </c>
      <c r="J51" s="2">
        <v>45863</v>
      </c>
      <c r="K51" s="2">
        <v>45863</v>
      </c>
      <c r="L51" t="s">
        <v>69</v>
      </c>
      <c r="M51" t="s">
        <v>142</v>
      </c>
      <c r="N51" t="s">
        <v>9</v>
      </c>
      <c r="O51" t="s">
        <v>10</v>
      </c>
      <c r="P51" t="s">
        <v>8</v>
      </c>
      <c r="Q51" t="s">
        <v>65</v>
      </c>
      <c r="R51" t="s">
        <v>26</v>
      </c>
      <c r="S51" s="3">
        <v>100</v>
      </c>
      <c r="T51" t="s">
        <v>12</v>
      </c>
      <c r="U51" s="3">
        <v>8600.07</v>
      </c>
      <c r="V51" t="s">
        <v>77</v>
      </c>
      <c r="W51" t="s">
        <v>13</v>
      </c>
      <c r="X51" t="s">
        <v>8</v>
      </c>
      <c r="Y51" t="s">
        <v>8</v>
      </c>
      <c r="Z51" t="s">
        <v>14</v>
      </c>
      <c r="AA51" t="s">
        <v>143</v>
      </c>
      <c r="AB51" t="s">
        <v>8</v>
      </c>
      <c r="AC51" t="s">
        <v>8</v>
      </c>
      <c r="AD51" t="s">
        <v>8</v>
      </c>
      <c r="AE51" s="2">
        <v>45863</v>
      </c>
      <c r="AF51" s="2"/>
      <c r="AG51" t="s">
        <v>8</v>
      </c>
    </row>
    <row r="52" spans="1:33" outlineLevel="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49</v>
      </c>
      <c r="G52" s="2">
        <v>45730</v>
      </c>
      <c r="H52" t="s">
        <v>144</v>
      </c>
      <c r="I52" t="s">
        <v>75</v>
      </c>
      <c r="J52" s="2">
        <v>45730</v>
      </c>
      <c r="K52" s="2">
        <v>45733</v>
      </c>
      <c r="L52" t="s">
        <v>69</v>
      </c>
      <c r="M52" t="s">
        <v>145</v>
      </c>
      <c r="N52" t="s">
        <v>9</v>
      </c>
      <c r="O52" t="s">
        <v>10</v>
      </c>
      <c r="P52" t="s">
        <v>8</v>
      </c>
      <c r="Q52" t="s">
        <v>65</v>
      </c>
      <c r="R52" t="s">
        <v>26</v>
      </c>
      <c r="S52" s="3">
        <v>100</v>
      </c>
      <c r="T52" t="s">
        <v>12</v>
      </c>
      <c r="U52" s="3">
        <v>8669.1299999999992</v>
      </c>
      <c r="V52" t="s">
        <v>77</v>
      </c>
      <c r="W52" t="s">
        <v>13</v>
      </c>
      <c r="X52" t="s">
        <v>8</v>
      </c>
      <c r="Y52" t="s">
        <v>69</v>
      </c>
      <c r="Z52" t="s">
        <v>14</v>
      </c>
      <c r="AA52" t="s">
        <v>146</v>
      </c>
      <c r="AB52" t="s">
        <v>8</v>
      </c>
      <c r="AC52" t="s">
        <v>8</v>
      </c>
      <c r="AD52" t="s">
        <v>8</v>
      </c>
      <c r="AE52" s="2">
        <v>45730</v>
      </c>
      <c r="AF52" s="2">
        <v>45887</v>
      </c>
      <c r="AG52" t="s">
        <v>24</v>
      </c>
    </row>
    <row r="53" spans="1:33" outlineLevel="2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79</v>
      </c>
      <c r="G53" s="2">
        <v>45827</v>
      </c>
      <c r="H53" t="s">
        <v>147</v>
      </c>
      <c r="I53" t="s">
        <v>75</v>
      </c>
      <c r="J53" s="2">
        <v>45827</v>
      </c>
      <c r="K53" s="2">
        <v>45829</v>
      </c>
      <c r="L53" t="s">
        <v>69</v>
      </c>
      <c r="M53" t="s">
        <v>148</v>
      </c>
      <c r="N53" t="s">
        <v>9</v>
      </c>
      <c r="O53" t="s">
        <v>10</v>
      </c>
      <c r="P53" t="s">
        <v>8</v>
      </c>
      <c r="Q53" t="s">
        <v>65</v>
      </c>
      <c r="R53" t="s">
        <v>26</v>
      </c>
      <c r="S53" s="3">
        <v>100</v>
      </c>
      <c r="T53" t="s">
        <v>12</v>
      </c>
      <c r="U53" s="3">
        <v>8549.08</v>
      </c>
      <c r="V53" t="s">
        <v>77</v>
      </c>
      <c r="W53" t="s">
        <v>13</v>
      </c>
      <c r="X53" t="s">
        <v>8</v>
      </c>
      <c r="Y53" t="s">
        <v>69</v>
      </c>
      <c r="Z53" t="s">
        <v>14</v>
      </c>
      <c r="AA53" t="s">
        <v>149</v>
      </c>
      <c r="AB53" t="s">
        <v>8</v>
      </c>
      <c r="AC53" t="s">
        <v>8</v>
      </c>
      <c r="AD53" t="s">
        <v>8</v>
      </c>
      <c r="AE53" s="2">
        <v>45827</v>
      </c>
      <c r="AF53" s="2">
        <v>45888</v>
      </c>
      <c r="AG53" t="s">
        <v>50</v>
      </c>
    </row>
    <row r="54" spans="1:33" outlineLevel="2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79</v>
      </c>
      <c r="G54" s="2">
        <v>45827</v>
      </c>
      <c r="H54" t="s">
        <v>150</v>
      </c>
      <c r="I54" t="s">
        <v>75</v>
      </c>
      <c r="J54" s="2">
        <v>45827</v>
      </c>
      <c r="K54" s="2">
        <v>45829</v>
      </c>
      <c r="L54" t="s">
        <v>69</v>
      </c>
      <c r="M54" t="s">
        <v>151</v>
      </c>
      <c r="N54" t="s">
        <v>9</v>
      </c>
      <c r="O54" t="s">
        <v>10</v>
      </c>
      <c r="P54" t="s">
        <v>8</v>
      </c>
      <c r="Q54" t="s">
        <v>65</v>
      </c>
      <c r="R54" t="s">
        <v>26</v>
      </c>
      <c r="S54" s="3">
        <v>100</v>
      </c>
      <c r="T54" t="s">
        <v>12</v>
      </c>
      <c r="U54" s="3">
        <v>8549.08</v>
      </c>
      <c r="V54" t="s">
        <v>77</v>
      </c>
      <c r="W54" t="s">
        <v>13</v>
      </c>
      <c r="X54" t="s">
        <v>8</v>
      </c>
      <c r="Y54" t="s">
        <v>69</v>
      </c>
      <c r="Z54" t="s">
        <v>14</v>
      </c>
      <c r="AA54" t="s">
        <v>149</v>
      </c>
      <c r="AB54" t="s">
        <v>8</v>
      </c>
      <c r="AC54" t="s">
        <v>8</v>
      </c>
      <c r="AD54" t="s">
        <v>8</v>
      </c>
      <c r="AE54" s="2">
        <v>45827</v>
      </c>
      <c r="AF54" s="2">
        <v>45888</v>
      </c>
      <c r="AG54" t="s">
        <v>50</v>
      </c>
    </row>
    <row r="55" spans="1:33" outlineLevel="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79</v>
      </c>
      <c r="G55" s="2">
        <v>45827</v>
      </c>
      <c r="H55" t="s">
        <v>152</v>
      </c>
      <c r="I55" t="s">
        <v>75</v>
      </c>
      <c r="J55" s="2">
        <v>45827</v>
      </c>
      <c r="K55" s="2">
        <v>45829</v>
      </c>
      <c r="L55" t="s">
        <v>69</v>
      </c>
      <c r="M55" t="s">
        <v>153</v>
      </c>
      <c r="N55" t="s">
        <v>9</v>
      </c>
      <c r="O55" t="s">
        <v>10</v>
      </c>
      <c r="P55" t="s">
        <v>8</v>
      </c>
      <c r="Q55" t="s">
        <v>65</v>
      </c>
      <c r="R55" t="s">
        <v>26</v>
      </c>
      <c r="S55" s="3">
        <v>100</v>
      </c>
      <c r="T55" t="s">
        <v>12</v>
      </c>
      <c r="U55" s="3">
        <v>8549.08</v>
      </c>
      <c r="V55" t="s">
        <v>77</v>
      </c>
      <c r="W55" t="s">
        <v>13</v>
      </c>
      <c r="X55" t="s">
        <v>8</v>
      </c>
      <c r="Y55" t="s">
        <v>69</v>
      </c>
      <c r="Z55" t="s">
        <v>14</v>
      </c>
      <c r="AA55" t="s">
        <v>149</v>
      </c>
      <c r="AB55" t="s">
        <v>8</v>
      </c>
      <c r="AC55" t="s">
        <v>8</v>
      </c>
      <c r="AD55" t="s">
        <v>8</v>
      </c>
      <c r="AE55" s="2">
        <v>45827</v>
      </c>
      <c r="AF55" s="2">
        <v>45888</v>
      </c>
      <c r="AG55" t="s">
        <v>50</v>
      </c>
    </row>
    <row r="56" spans="1:33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79</v>
      </c>
      <c r="G56" s="2">
        <v>45827</v>
      </c>
      <c r="H56" t="s">
        <v>154</v>
      </c>
      <c r="I56" t="s">
        <v>75</v>
      </c>
      <c r="J56" s="2">
        <v>45827</v>
      </c>
      <c r="K56" s="2">
        <v>45829</v>
      </c>
      <c r="L56" t="s">
        <v>69</v>
      </c>
      <c r="M56" t="s">
        <v>155</v>
      </c>
      <c r="N56" t="s">
        <v>9</v>
      </c>
      <c r="O56" t="s">
        <v>10</v>
      </c>
      <c r="P56" t="s">
        <v>8</v>
      </c>
      <c r="Q56" t="s">
        <v>65</v>
      </c>
      <c r="R56" t="s">
        <v>26</v>
      </c>
      <c r="S56" s="3">
        <v>100</v>
      </c>
      <c r="T56" t="s">
        <v>12</v>
      </c>
      <c r="U56" s="3">
        <v>8549.08</v>
      </c>
      <c r="V56" t="s">
        <v>77</v>
      </c>
      <c r="W56" t="s">
        <v>13</v>
      </c>
      <c r="X56" t="s">
        <v>8</v>
      </c>
      <c r="Y56" t="s">
        <v>69</v>
      </c>
      <c r="Z56" t="s">
        <v>14</v>
      </c>
      <c r="AA56" t="s">
        <v>149</v>
      </c>
      <c r="AB56" t="s">
        <v>8</v>
      </c>
      <c r="AC56" t="s">
        <v>8</v>
      </c>
      <c r="AD56" t="s">
        <v>8</v>
      </c>
      <c r="AE56" s="2">
        <v>45827</v>
      </c>
      <c r="AF56" s="2">
        <v>45888</v>
      </c>
      <c r="AG56" t="s">
        <v>50</v>
      </c>
    </row>
    <row r="57" spans="1:33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79</v>
      </c>
      <c r="G57" s="2">
        <v>45827</v>
      </c>
      <c r="H57" t="s">
        <v>156</v>
      </c>
      <c r="I57" t="s">
        <v>75</v>
      </c>
      <c r="J57" s="2">
        <v>45827</v>
      </c>
      <c r="K57" s="2">
        <v>45829</v>
      </c>
      <c r="L57" t="s">
        <v>69</v>
      </c>
      <c r="M57" t="s">
        <v>157</v>
      </c>
      <c r="N57" t="s">
        <v>9</v>
      </c>
      <c r="O57" t="s">
        <v>10</v>
      </c>
      <c r="P57" t="s">
        <v>8</v>
      </c>
      <c r="Q57" t="s">
        <v>65</v>
      </c>
      <c r="R57" t="s">
        <v>26</v>
      </c>
      <c r="S57" s="3">
        <v>100</v>
      </c>
      <c r="T57" t="s">
        <v>12</v>
      </c>
      <c r="U57" s="3">
        <v>8549.08</v>
      </c>
      <c r="V57" t="s">
        <v>77</v>
      </c>
      <c r="W57" t="s">
        <v>13</v>
      </c>
      <c r="X57" t="s">
        <v>8</v>
      </c>
      <c r="Y57" t="s">
        <v>69</v>
      </c>
      <c r="Z57" t="s">
        <v>14</v>
      </c>
      <c r="AA57" t="s">
        <v>149</v>
      </c>
      <c r="AB57" t="s">
        <v>8</v>
      </c>
      <c r="AC57" t="s">
        <v>8</v>
      </c>
      <c r="AD57" t="s">
        <v>8</v>
      </c>
      <c r="AE57" s="2">
        <v>45827</v>
      </c>
      <c r="AF57" s="2">
        <v>45888</v>
      </c>
      <c r="AG57" t="s">
        <v>50</v>
      </c>
    </row>
    <row r="58" spans="1:33" outlineLevel="2" x14ac:dyDescent="0.25">
      <c r="A58" t="s">
        <v>27</v>
      </c>
      <c r="B58" t="s">
        <v>1</v>
      </c>
      <c r="C58" t="s">
        <v>2</v>
      </c>
      <c r="D58" t="s">
        <v>3</v>
      </c>
      <c r="E58" t="s">
        <v>4</v>
      </c>
      <c r="F58" t="s">
        <v>18</v>
      </c>
      <c r="G58" s="2">
        <v>45917</v>
      </c>
      <c r="H58" t="s">
        <v>158</v>
      </c>
      <c r="I58" t="s">
        <v>75</v>
      </c>
      <c r="J58" s="2">
        <v>45917</v>
      </c>
      <c r="K58" s="2">
        <v>45922</v>
      </c>
      <c r="L58" t="s">
        <v>69</v>
      </c>
      <c r="M58" t="s">
        <v>159</v>
      </c>
      <c r="N58" t="s">
        <v>9</v>
      </c>
      <c r="O58" t="s">
        <v>10</v>
      </c>
      <c r="P58" t="s">
        <v>8</v>
      </c>
      <c r="Q58" t="s">
        <v>65</v>
      </c>
      <c r="R58" t="s">
        <v>26</v>
      </c>
      <c r="S58" s="3">
        <v>100</v>
      </c>
      <c r="T58" t="s">
        <v>12</v>
      </c>
      <c r="U58" s="3">
        <v>8751.43</v>
      </c>
      <c r="V58" t="s">
        <v>77</v>
      </c>
      <c r="W58" t="s">
        <v>13</v>
      </c>
      <c r="X58" t="s">
        <v>8</v>
      </c>
      <c r="Y58" t="s">
        <v>160</v>
      </c>
      <c r="Z58" t="s">
        <v>14</v>
      </c>
      <c r="AA58" t="s">
        <v>161</v>
      </c>
      <c r="AB58" t="s">
        <v>8</v>
      </c>
      <c r="AC58" t="s">
        <v>8</v>
      </c>
      <c r="AD58" t="s">
        <v>8</v>
      </c>
      <c r="AE58" s="2">
        <v>45917</v>
      </c>
      <c r="AF58" s="2"/>
      <c r="AG58" t="s">
        <v>8</v>
      </c>
    </row>
    <row r="59" spans="1:33" outlineLevel="2" x14ac:dyDescent="0.25">
      <c r="A59" t="s">
        <v>27</v>
      </c>
      <c r="B59" t="s">
        <v>1</v>
      </c>
      <c r="C59" t="s">
        <v>2</v>
      </c>
      <c r="D59" t="s">
        <v>3</v>
      </c>
      <c r="E59" t="s">
        <v>4</v>
      </c>
      <c r="F59" t="s">
        <v>28</v>
      </c>
      <c r="G59" s="2">
        <v>45937</v>
      </c>
      <c r="H59" t="s">
        <v>162</v>
      </c>
      <c r="I59" t="s">
        <v>75</v>
      </c>
      <c r="J59" s="2">
        <v>45937</v>
      </c>
      <c r="K59" s="2">
        <v>45939</v>
      </c>
      <c r="L59" t="s">
        <v>69</v>
      </c>
      <c r="M59" t="s">
        <v>163</v>
      </c>
      <c r="N59" t="s">
        <v>9</v>
      </c>
      <c r="O59" t="s">
        <v>10</v>
      </c>
      <c r="P59" t="s">
        <v>8</v>
      </c>
      <c r="Q59" t="s">
        <v>65</v>
      </c>
      <c r="R59" t="s">
        <v>26</v>
      </c>
      <c r="S59" s="3">
        <v>100</v>
      </c>
      <c r="T59" t="s">
        <v>12</v>
      </c>
      <c r="U59" s="3">
        <v>8819.08</v>
      </c>
      <c r="V59" t="s">
        <v>77</v>
      </c>
      <c r="W59" t="s">
        <v>13</v>
      </c>
      <c r="X59" t="s">
        <v>8</v>
      </c>
      <c r="Y59" t="s">
        <v>164</v>
      </c>
      <c r="Z59" t="s">
        <v>14</v>
      </c>
      <c r="AA59" t="s">
        <v>165</v>
      </c>
      <c r="AB59" t="s">
        <v>8</v>
      </c>
      <c r="AC59" t="s">
        <v>8</v>
      </c>
      <c r="AD59" t="s">
        <v>8</v>
      </c>
      <c r="AE59" s="2">
        <v>45937</v>
      </c>
      <c r="AF59" s="2"/>
      <c r="AG59" t="s">
        <v>8</v>
      </c>
    </row>
    <row r="60" spans="1:33" outlineLevel="2" x14ac:dyDescent="0.25">
      <c r="A60" t="s">
        <v>27</v>
      </c>
      <c r="B60" t="s">
        <v>1</v>
      </c>
      <c r="C60" t="s">
        <v>2</v>
      </c>
      <c r="D60" t="s">
        <v>3</v>
      </c>
      <c r="E60" t="s">
        <v>4</v>
      </c>
      <c r="F60" t="s">
        <v>28</v>
      </c>
      <c r="G60" s="2">
        <v>45937</v>
      </c>
      <c r="H60" t="s">
        <v>166</v>
      </c>
      <c r="I60" t="s">
        <v>75</v>
      </c>
      <c r="J60" s="2">
        <v>45937</v>
      </c>
      <c r="K60" s="2">
        <v>45939</v>
      </c>
      <c r="L60" t="s">
        <v>69</v>
      </c>
      <c r="M60" t="s">
        <v>167</v>
      </c>
      <c r="N60" t="s">
        <v>9</v>
      </c>
      <c r="O60" t="s">
        <v>10</v>
      </c>
      <c r="P60" t="s">
        <v>8</v>
      </c>
      <c r="Q60" t="s">
        <v>65</v>
      </c>
      <c r="R60" t="s">
        <v>26</v>
      </c>
      <c r="S60" s="3">
        <v>100</v>
      </c>
      <c r="T60" t="s">
        <v>12</v>
      </c>
      <c r="U60" s="3">
        <v>8819.08</v>
      </c>
      <c r="V60" t="s">
        <v>77</v>
      </c>
      <c r="W60" t="s">
        <v>13</v>
      </c>
      <c r="X60" t="s">
        <v>8</v>
      </c>
      <c r="Y60" t="s">
        <v>164</v>
      </c>
      <c r="Z60" t="s">
        <v>14</v>
      </c>
      <c r="AA60" t="s">
        <v>165</v>
      </c>
      <c r="AB60" t="s">
        <v>8</v>
      </c>
      <c r="AC60" t="s">
        <v>8</v>
      </c>
      <c r="AD60" t="s">
        <v>8</v>
      </c>
      <c r="AE60" s="2">
        <v>45937</v>
      </c>
      <c r="AF60" s="2"/>
      <c r="AG60" t="s">
        <v>8</v>
      </c>
    </row>
    <row r="61" spans="1:33" outlineLevel="2" x14ac:dyDescent="0.25">
      <c r="A61" t="s">
        <v>27</v>
      </c>
      <c r="B61" t="s">
        <v>1</v>
      </c>
      <c r="C61" t="s">
        <v>2</v>
      </c>
      <c r="D61" t="s">
        <v>3</v>
      </c>
      <c r="E61" t="s">
        <v>4</v>
      </c>
      <c r="F61" t="s">
        <v>17</v>
      </c>
      <c r="G61" s="2">
        <v>45716</v>
      </c>
      <c r="H61" t="s">
        <v>168</v>
      </c>
      <c r="I61" t="s">
        <v>75</v>
      </c>
      <c r="J61" s="2">
        <v>45716</v>
      </c>
      <c r="K61" s="2">
        <v>45716</v>
      </c>
      <c r="L61" t="s">
        <v>69</v>
      </c>
      <c r="M61" t="s">
        <v>169</v>
      </c>
      <c r="N61" t="s">
        <v>9</v>
      </c>
      <c r="O61" t="s">
        <v>10</v>
      </c>
      <c r="P61" t="s">
        <v>8</v>
      </c>
      <c r="Q61" t="s">
        <v>65</v>
      </c>
      <c r="R61" t="s">
        <v>26</v>
      </c>
      <c r="S61" s="3">
        <v>1700</v>
      </c>
      <c r="T61" t="s">
        <v>12</v>
      </c>
      <c r="U61" s="3">
        <v>146716.22</v>
      </c>
      <c r="V61" t="s">
        <v>77</v>
      </c>
      <c r="W61" t="s">
        <v>13</v>
      </c>
      <c r="X61" t="s">
        <v>8</v>
      </c>
      <c r="Y61" t="s">
        <v>69</v>
      </c>
      <c r="Z61" t="s">
        <v>14</v>
      </c>
      <c r="AA61" t="s">
        <v>170</v>
      </c>
      <c r="AB61" t="s">
        <v>8</v>
      </c>
      <c r="AC61" t="s">
        <v>8</v>
      </c>
      <c r="AD61" t="s">
        <v>8</v>
      </c>
      <c r="AE61" s="2">
        <v>45716</v>
      </c>
      <c r="AF61" s="2"/>
      <c r="AG61" t="s">
        <v>8</v>
      </c>
    </row>
    <row r="62" spans="1:33" outlineLevel="2" x14ac:dyDescent="0.25">
      <c r="A62" t="s">
        <v>27</v>
      </c>
      <c r="B62" t="s">
        <v>1</v>
      </c>
      <c r="C62" t="s">
        <v>2</v>
      </c>
      <c r="D62" t="s">
        <v>3</v>
      </c>
      <c r="E62" t="s">
        <v>4</v>
      </c>
      <c r="F62" t="s">
        <v>17</v>
      </c>
      <c r="G62" s="2">
        <v>45716</v>
      </c>
      <c r="H62" t="s">
        <v>171</v>
      </c>
      <c r="I62" t="s">
        <v>75</v>
      </c>
      <c r="J62" s="2">
        <v>45716</v>
      </c>
      <c r="K62" s="2">
        <v>45716</v>
      </c>
      <c r="L62" t="s">
        <v>69</v>
      </c>
      <c r="M62" t="s">
        <v>172</v>
      </c>
      <c r="N62" t="s">
        <v>9</v>
      </c>
      <c r="O62" t="s">
        <v>10</v>
      </c>
      <c r="P62" t="s">
        <v>8</v>
      </c>
      <c r="Q62" t="s">
        <v>65</v>
      </c>
      <c r="R62" t="s">
        <v>26</v>
      </c>
      <c r="S62" s="3">
        <v>1750</v>
      </c>
      <c r="T62" t="s">
        <v>12</v>
      </c>
      <c r="U62" s="3">
        <v>151031.41</v>
      </c>
      <c r="V62" t="s">
        <v>77</v>
      </c>
      <c r="W62" t="s">
        <v>13</v>
      </c>
      <c r="X62" t="s">
        <v>8</v>
      </c>
      <c r="Y62" t="s">
        <v>69</v>
      </c>
      <c r="Z62" t="s">
        <v>14</v>
      </c>
      <c r="AA62" t="s">
        <v>170</v>
      </c>
      <c r="AB62" t="s">
        <v>8</v>
      </c>
      <c r="AC62" t="s">
        <v>8</v>
      </c>
      <c r="AD62" t="s">
        <v>8</v>
      </c>
      <c r="AE62" s="2">
        <v>45716</v>
      </c>
      <c r="AF62" s="2"/>
      <c r="AG62" t="s">
        <v>8</v>
      </c>
    </row>
    <row r="63" spans="1:33" outlineLevel="2" x14ac:dyDescent="0.25">
      <c r="A63" t="s">
        <v>27</v>
      </c>
      <c r="B63" t="s">
        <v>1</v>
      </c>
      <c r="C63" t="s">
        <v>2</v>
      </c>
      <c r="D63" t="s">
        <v>3</v>
      </c>
      <c r="E63" t="s">
        <v>4</v>
      </c>
      <c r="F63" t="s">
        <v>17</v>
      </c>
      <c r="G63" s="2">
        <v>45716</v>
      </c>
      <c r="H63" t="s">
        <v>173</v>
      </c>
      <c r="I63" t="s">
        <v>75</v>
      </c>
      <c r="J63" s="2">
        <v>45716</v>
      </c>
      <c r="K63" s="2">
        <v>45716</v>
      </c>
      <c r="L63" t="s">
        <v>69</v>
      </c>
      <c r="M63" t="s">
        <v>174</v>
      </c>
      <c r="N63" t="s">
        <v>9</v>
      </c>
      <c r="O63" t="s">
        <v>10</v>
      </c>
      <c r="P63" t="s">
        <v>8</v>
      </c>
      <c r="Q63" t="s">
        <v>65</v>
      </c>
      <c r="R63" t="s">
        <v>26</v>
      </c>
      <c r="S63" s="3">
        <v>1750</v>
      </c>
      <c r="T63" t="s">
        <v>12</v>
      </c>
      <c r="U63" s="3">
        <v>151031.41</v>
      </c>
      <c r="V63" t="s">
        <v>77</v>
      </c>
      <c r="W63" t="s">
        <v>13</v>
      </c>
      <c r="X63" t="s">
        <v>8</v>
      </c>
      <c r="Y63" t="s">
        <v>69</v>
      </c>
      <c r="Z63" t="s">
        <v>14</v>
      </c>
      <c r="AA63" t="s">
        <v>170</v>
      </c>
      <c r="AB63" t="s">
        <v>8</v>
      </c>
      <c r="AC63" t="s">
        <v>8</v>
      </c>
      <c r="AD63" t="s">
        <v>8</v>
      </c>
      <c r="AE63" s="2">
        <v>45716</v>
      </c>
      <c r="AF63" s="2"/>
      <c r="AG63" t="s">
        <v>8</v>
      </c>
    </row>
    <row r="64" spans="1:33" outlineLevel="2" x14ac:dyDescent="0.25">
      <c r="A64" t="s">
        <v>27</v>
      </c>
      <c r="B64" t="s">
        <v>1</v>
      </c>
      <c r="C64" t="s">
        <v>2</v>
      </c>
      <c r="D64" t="s">
        <v>3</v>
      </c>
      <c r="E64" t="s">
        <v>4</v>
      </c>
      <c r="F64" t="s">
        <v>17</v>
      </c>
      <c r="G64" s="2">
        <v>45716</v>
      </c>
      <c r="H64" t="s">
        <v>175</v>
      </c>
      <c r="I64" t="s">
        <v>75</v>
      </c>
      <c r="J64" s="2">
        <v>45716</v>
      </c>
      <c r="K64" s="2">
        <v>45716</v>
      </c>
      <c r="L64" t="s">
        <v>69</v>
      </c>
      <c r="M64" t="s">
        <v>176</v>
      </c>
      <c r="N64" t="s">
        <v>9</v>
      </c>
      <c r="O64" t="s">
        <v>10</v>
      </c>
      <c r="P64" t="s">
        <v>8</v>
      </c>
      <c r="Q64" t="s">
        <v>65</v>
      </c>
      <c r="R64" t="s">
        <v>26</v>
      </c>
      <c r="S64" s="3">
        <v>1700</v>
      </c>
      <c r="T64" t="s">
        <v>12</v>
      </c>
      <c r="U64" s="3">
        <v>146716.22</v>
      </c>
      <c r="V64" t="s">
        <v>77</v>
      </c>
      <c r="W64" t="s">
        <v>13</v>
      </c>
      <c r="X64" t="s">
        <v>8</v>
      </c>
      <c r="Y64" t="s">
        <v>69</v>
      </c>
      <c r="Z64" t="s">
        <v>14</v>
      </c>
      <c r="AA64" t="s">
        <v>170</v>
      </c>
      <c r="AB64" t="s">
        <v>8</v>
      </c>
      <c r="AC64" t="s">
        <v>8</v>
      </c>
      <c r="AD64" t="s">
        <v>8</v>
      </c>
      <c r="AE64" s="2">
        <v>45716</v>
      </c>
      <c r="AF64" s="2"/>
      <c r="AG64" t="s">
        <v>8</v>
      </c>
    </row>
    <row r="65" spans="1:33" outlineLevel="2" x14ac:dyDescent="0.25">
      <c r="A65" t="s">
        <v>27</v>
      </c>
      <c r="B65" t="s">
        <v>1</v>
      </c>
      <c r="C65" t="s">
        <v>2</v>
      </c>
      <c r="D65" t="s">
        <v>3</v>
      </c>
      <c r="E65" t="s">
        <v>4</v>
      </c>
      <c r="F65" t="s">
        <v>49</v>
      </c>
      <c r="G65" s="2">
        <v>45722</v>
      </c>
      <c r="H65" t="s">
        <v>177</v>
      </c>
      <c r="I65" t="s">
        <v>75</v>
      </c>
      <c r="J65" s="2">
        <v>45722</v>
      </c>
      <c r="K65" s="2">
        <v>45722</v>
      </c>
      <c r="L65" t="s">
        <v>69</v>
      </c>
      <c r="M65" t="s">
        <v>178</v>
      </c>
      <c r="N65" t="s">
        <v>9</v>
      </c>
      <c r="O65" t="s">
        <v>10</v>
      </c>
      <c r="P65" t="s">
        <v>8</v>
      </c>
      <c r="Q65" t="s">
        <v>65</v>
      </c>
      <c r="R65" t="s">
        <v>26</v>
      </c>
      <c r="S65" s="3">
        <v>42.51</v>
      </c>
      <c r="T65" t="s">
        <v>12</v>
      </c>
      <c r="U65" s="3">
        <v>3685.25</v>
      </c>
      <c r="V65" t="s">
        <v>77</v>
      </c>
      <c r="W65" t="s">
        <v>13</v>
      </c>
      <c r="X65" t="s">
        <v>8</v>
      </c>
      <c r="Y65" t="s">
        <v>69</v>
      </c>
      <c r="Z65" t="s">
        <v>14</v>
      </c>
      <c r="AA65" t="s">
        <v>179</v>
      </c>
      <c r="AB65" t="s">
        <v>8</v>
      </c>
      <c r="AC65" t="s">
        <v>8</v>
      </c>
      <c r="AD65" t="s">
        <v>8</v>
      </c>
      <c r="AE65" s="2">
        <v>45722</v>
      </c>
      <c r="AF65" s="2"/>
      <c r="AG65" t="s">
        <v>8</v>
      </c>
    </row>
    <row r="66" spans="1:33" outlineLevel="2" x14ac:dyDescent="0.25">
      <c r="A66" t="s">
        <v>27</v>
      </c>
      <c r="B66" t="s">
        <v>1</v>
      </c>
      <c r="C66" t="s">
        <v>2</v>
      </c>
      <c r="D66" t="s">
        <v>3</v>
      </c>
      <c r="E66" t="s">
        <v>4</v>
      </c>
      <c r="F66" t="s">
        <v>49</v>
      </c>
      <c r="G66" s="2">
        <v>45722</v>
      </c>
      <c r="H66" t="s">
        <v>180</v>
      </c>
      <c r="I66" t="s">
        <v>75</v>
      </c>
      <c r="J66" s="2">
        <v>45722</v>
      </c>
      <c r="K66" s="2">
        <v>45722</v>
      </c>
      <c r="L66" t="s">
        <v>69</v>
      </c>
      <c r="M66" t="s">
        <v>181</v>
      </c>
      <c r="N66" t="s">
        <v>9</v>
      </c>
      <c r="O66" t="s">
        <v>10</v>
      </c>
      <c r="P66" t="s">
        <v>8</v>
      </c>
      <c r="Q66" t="s">
        <v>65</v>
      </c>
      <c r="R66" t="s">
        <v>26</v>
      </c>
      <c r="S66" s="3">
        <v>177.18</v>
      </c>
      <c r="T66" t="s">
        <v>12</v>
      </c>
      <c r="U66" s="3">
        <v>15359.96</v>
      </c>
      <c r="V66" t="s">
        <v>77</v>
      </c>
      <c r="W66" t="s">
        <v>13</v>
      </c>
      <c r="X66" t="s">
        <v>8</v>
      </c>
      <c r="Y66" t="s">
        <v>69</v>
      </c>
      <c r="Z66" t="s">
        <v>14</v>
      </c>
      <c r="AA66" t="s">
        <v>182</v>
      </c>
      <c r="AB66" t="s">
        <v>8</v>
      </c>
      <c r="AC66" t="s">
        <v>8</v>
      </c>
      <c r="AD66" t="s">
        <v>8</v>
      </c>
      <c r="AE66" s="2">
        <v>45722</v>
      </c>
      <c r="AF66" s="2"/>
      <c r="AG66" t="s">
        <v>8</v>
      </c>
    </row>
    <row r="67" spans="1:33" outlineLevel="2" x14ac:dyDescent="0.25">
      <c r="A67" t="s">
        <v>27</v>
      </c>
      <c r="B67" t="s">
        <v>1</v>
      </c>
      <c r="C67" t="s">
        <v>2</v>
      </c>
      <c r="D67" t="s">
        <v>3</v>
      </c>
      <c r="E67" t="s">
        <v>4</v>
      </c>
      <c r="F67" t="s">
        <v>28</v>
      </c>
      <c r="G67" s="2">
        <v>45943</v>
      </c>
      <c r="H67" t="s">
        <v>183</v>
      </c>
      <c r="I67" t="s">
        <v>118</v>
      </c>
      <c r="J67" s="2">
        <v>45943</v>
      </c>
      <c r="K67" s="2">
        <v>45944</v>
      </c>
      <c r="L67" t="s">
        <v>69</v>
      </c>
      <c r="M67" t="s">
        <v>184</v>
      </c>
      <c r="N67" t="s">
        <v>9</v>
      </c>
      <c r="O67" t="s">
        <v>10</v>
      </c>
      <c r="P67" t="s">
        <v>8</v>
      </c>
      <c r="Q67" t="s">
        <v>54</v>
      </c>
      <c r="R67" t="s">
        <v>26</v>
      </c>
      <c r="S67" s="3">
        <v>-930.14</v>
      </c>
      <c r="T67" t="s">
        <v>12</v>
      </c>
      <c r="U67" s="3">
        <v>-82029.759999999995</v>
      </c>
      <c r="V67" t="s">
        <v>77</v>
      </c>
      <c r="W67" t="s">
        <v>13</v>
      </c>
      <c r="X67" t="s">
        <v>8</v>
      </c>
      <c r="Y67" t="s">
        <v>185</v>
      </c>
      <c r="Z67" t="s">
        <v>14</v>
      </c>
      <c r="AA67" t="s">
        <v>186</v>
      </c>
      <c r="AB67" t="s">
        <v>8</v>
      </c>
      <c r="AC67" t="s">
        <v>8</v>
      </c>
      <c r="AD67" t="s">
        <v>8</v>
      </c>
      <c r="AE67" s="2">
        <v>45943</v>
      </c>
      <c r="AF67" s="2"/>
      <c r="AG67" t="s">
        <v>8</v>
      </c>
    </row>
    <row r="68" spans="1:33" outlineLevel="2" x14ac:dyDescent="0.25">
      <c r="A68" t="s">
        <v>27</v>
      </c>
      <c r="B68" t="s">
        <v>1</v>
      </c>
      <c r="C68" t="s">
        <v>2</v>
      </c>
      <c r="D68" t="s">
        <v>3</v>
      </c>
      <c r="E68" t="s">
        <v>4</v>
      </c>
      <c r="F68" t="s">
        <v>49</v>
      </c>
      <c r="G68" s="2">
        <v>45719</v>
      </c>
      <c r="H68" t="s">
        <v>187</v>
      </c>
      <c r="I68" t="s">
        <v>75</v>
      </c>
      <c r="J68" s="2">
        <v>45719</v>
      </c>
      <c r="K68" s="2">
        <v>45719</v>
      </c>
      <c r="L68" t="s">
        <v>69</v>
      </c>
      <c r="M68" t="s">
        <v>188</v>
      </c>
      <c r="N68" t="s">
        <v>9</v>
      </c>
      <c r="O68" t="s">
        <v>10</v>
      </c>
      <c r="P68" t="s">
        <v>8</v>
      </c>
      <c r="Q68" t="s">
        <v>65</v>
      </c>
      <c r="R68" t="s">
        <v>26</v>
      </c>
      <c r="S68" s="3">
        <v>711.35</v>
      </c>
      <c r="T68" t="s">
        <v>12</v>
      </c>
      <c r="U68" s="3">
        <v>61667.83</v>
      </c>
      <c r="V68" t="s">
        <v>77</v>
      </c>
      <c r="W68" t="s">
        <v>13</v>
      </c>
      <c r="X68" t="s">
        <v>8</v>
      </c>
      <c r="Y68" t="s">
        <v>69</v>
      </c>
      <c r="Z68" t="s">
        <v>14</v>
      </c>
      <c r="AA68" t="s">
        <v>189</v>
      </c>
      <c r="AB68" t="s">
        <v>8</v>
      </c>
      <c r="AC68" t="s">
        <v>8</v>
      </c>
      <c r="AD68" t="s">
        <v>8</v>
      </c>
      <c r="AE68" s="2">
        <v>45719</v>
      </c>
      <c r="AF68" s="2"/>
      <c r="AG68" t="s">
        <v>8</v>
      </c>
    </row>
    <row r="69" spans="1:33" outlineLevel="2" x14ac:dyDescent="0.25">
      <c r="A69" t="s">
        <v>27</v>
      </c>
      <c r="B69" t="s">
        <v>1</v>
      </c>
      <c r="C69" t="s">
        <v>2</v>
      </c>
      <c r="D69" t="s">
        <v>3</v>
      </c>
      <c r="E69" t="s">
        <v>4</v>
      </c>
      <c r="F69" t="s">
        <v>49</v>
      </c>
      <c r="G69" s="2">
        <v>45719</v>
      </c>
      <c r="H69" t="s">
        <v>190</v>
      </c>
      <c r="I69" t="s">
        <v>75</v>
      </c>
      <c r="J69" s="2">
        <v>45719</v>
      </c>
      <c r="K69" s="2">
        <v>45719</v>
      </c>
      <c r="L69" t="s">
        <v>69</v>
      </c>
      <c r="M69" t="s">
        <v>191</v>
      </c>
      <c r="N69" t="s">
        <v>9</v>
      </c>
      <c r="O69" t="s">
        <v>10</v>
      </c>
      <c r="P69" t="s">
        <v>8</v>
      </c>
      <c r="Q69" t="s">
        <v>65</v>
      </c>
      <c r="R69" t="s">
        <v>26</v>
      </c>
      <c r="S69" s="3">
        <v>1298.96</v>
      </c>
      <c r="T69" t="s">
        <v>12</v>
      </c>
      <c r="U69" s="3">
        <v>112608.48</v>
      </c>
      <c r="V69" t="s">
        <v>77</v>
      </c>
      <c r="W69" t="s">
        <v>13</v>
      </c>
      <c r="X69" t="s">
        <v>8</v>
      </c>
      <c r="Y69" t="s">
        <v>69</v>
      </c>
      <c r="Z69" t="s">
        <v>14</v>
      </c>
      <c r="AA69" t="s">
        <v>192</v>
      </c>
      <c r="AB69" t="s">
        <v>8</v>
      </c>
      <c r="AC69" t="s">
        <v>8</v>
      </c>
      <c r="AD69" t="s">
        <v>8</v>
      </c>
      <c r="AE69" s="2">
        <v>45719</v>
      </c>
      <c r="AF69" s="2"/>
      <c r="AG69" t="s">
        <v>8</v>
      </c>
    </row>
    <row r="70" spans="1:33" outlineLevel="2" x14ac:dyDescent="0.25">
      <c r="A70" t="s">
        <v>27</v>
      </c>
      <c r="B70" t="s">
        <v>1</v>
      </c>
      <c r="C70" t="s">
        <v>2</v>
      </c>
      <c r="D70" t="s">
        <v>3</v>
      </c>
      <c r="E70" t="s">
        <v>4</v>
      </c>
      <c r="F70" t="s">
        <v>49</v>
      </c>
      <c r="G70" s="2">
        <v>45719</v>
      </c>
      <c r="H70" t="s">
        <v>193</v>
      </c>
      <c r="I70" t="s">
        <v>75</v>
      </c>
      <c r="J70" s="2">
        <v>45719</v>
      </c>
      <c r="K70" s="2">
        <v>45719</v>
      </c>
      <c r="L70" t="s">
        <v>69</v>
      </c>
      <c r="M70" t="s">
        <v>194</v>
      </c>
      <c r="N70" t="s">
        <v>9</v>
      </c>
      <c r="O70" t="s">
        <v>10</v>
      </c>
      <c r="P70" t="s">
        <v>8</v>
      </c>
      <c r="Q70" t="s">
        <v>65</v>
      </c>
      <c r="R70" t="s">
        <v>26</v>
      </c>
      <c r="S70" s="3">
        <v>1687.21</v>
      </c>
      <c r="T70" t="s">
        <v>12</v>
      </c>
      <c r="U70" s="3">
        <v>146266.35999999999</v>
      </c>
      <c r="V70" t="s">
        <v>77</v>
      </c>
      <c r="W70" t="s">
        <v>13</v>
      </c>
      <c r="X70" t="s">
        <v>8</v>
      </c>
      <c r="Y70" t="s">
        <v>69</v>
      </c>
      <c r="Z70" t="s">
        <v>14</v>
      </c>
      <c r="AA70" t="s">
        <v>195</v>
      </c>
      <c r="AB70" t="s">
        <v>8</v>
      </c>
      <c r="AC70" t="s">
        <v>8</v>
      </c>
      <c r="AD70" t="s">
        <v>8</v>
      </c>
      <c r="AE70" s="2">
        <v>45719</v>
      </c>
      <c r="AF70" s="2"/>
      <c r="AG70" t="s">
        <v>8</v>
      </c>
    </row>
    <row r="71" spans="1:33" outlineLevel="2" x14ac:dyDescent="0.25">
      <c r="A71" t="s">
        <v>27</v>
      </c>
      <c r="B71" t="s">
        <v>1</v>
      </c>
      <c r="C71" t="s">
        <v>2</v>
      </c>
      <c r="D71" t="s">
        <v>3</v>
      </c>
      <c r="E71" t="s">
        <v>4</v>
      </c>
      <c r="F71" t="s">
        <v>49</v>
      </c>
      <c r="G71" s="2">
        <v>45733</v>
      </c>
      <c r="H71" t="s">
        <v>196</v>
      </c>
      <c r="I71" t="s">
        <v>75</v>
      </c>
      <c r="J71" s="2">
        <v>45733</v>
      </c>
      <c r="K71" s="2">
        <v>45733</v>
      </c>
      <c r="L71" t="s">
        <v>69</v>
      </c>
      <c r="M71" t="s">
        <v>197</v>
      </c>
      <c r="N71" t="s">
        <v>9</v>
      </c>
      <c r="O71" t="s">
        <v>10</v>
      </c>
      <c r="P71" t="s">
        <v>8</v>
      </c>
      <c r="Q71" t="s">
        <v>65</v>
      </c>
      <c r="R71" t="s">
        <v>26</v>
      </c>
      <c r="S71" s="3">
        <v>444.04</v>
      </c>
      <c r="T71" t="s">
        <v>12</v>
      </c>
      <c r="U71" s="3">
        <v>38494.39</v>
      </c>
      <c r="V71" t="s">
        <v>77</v>
      </c>
      <c r="W71" t="s">
        <v>13</v>
      </c>
      <c r="X71" t="s">
        <v>8</v>
      </c>
      <c r="Y71" t="s">
        <v>69</v>
      </c>
      <c r="Z71" t="s">
        <v>14</v>
      </c>
      <c r="AA71" t="s">
        <v>198</v>
      </c>
      <c r="AB71" t="s">
        <v>8</v>
      </c>
      <c r="AC71" t="s">
        <v>8</v>
      </c>
      <c r="AD71" t="s">
        <v>8</v>
      </c>
      <c r="AE71" s="2">
        <v>45733</v>
      </c>
      <c r="AF71" s="2"/>
      <c r="AG71" t="s">
        <v>8</v>
      </c>
    </row>
    <row r="72" spans="1:33" outlineLevel="2" x14ac:dyDescent="0.25">
      <c r="A72" t="s">
        <v>27</v>
      </c>
      <c r="B72" t="s">
        <v>1</v>
      </c>
      <c r="C72" t="s">
        <v>2</v>
      </c>
      <c r="D72" t="s">
        <v>3</v>
      </c>
      <c r="E72" t="s">
        <v>4</v>
      </c>
      <c r="F72" t="s">
        <v>49</v>
      </c>
      <c r="G72" s="2">
        <v>45733</v>
      </c>
      <c r="H72" t="s">
        <v>199</v>
      </c>
      <c r="I72" t="s">
        <v>75</v>
      </c>
      <c r="J72" s="2">
        <v>45733</v>
      </c>
      <c r="K72" s="2">
        <v>45734</v>
      </c>
      <c r="L72" t="s">
        <v>69</v>
      </c>
      <c r="M72" t="s">
        <v>200</v>
      </c>
      <c r="N72" t="s">
        <v>9</v>
      </c>
      <c r="O72" t="s">
        <v>10</v>
      </c>
      <c r="P72" t="s">
        <v>8</v>
      </c>
      <c r="Q72" t="s">
        <v>65</v>
      </c>
      <c r="R72" t="s">
        <v>26</v>
      </c>
      <c r="S72" s="3">
        <v>520.16999999999996</v>
      </c>
      <c r="T72" t="s">
        <v>12</v>
      </c>
      <c r="U72" s="3">
        <v>45094.19</v>
      </c>
      <c r="V72" t="s">
        <v>77</v>
      </c>
      <c r="W72" t="s">
        <v>13</v>
      </c>
      <c r="X72" t="s">
        <v>8</v>
      </c>
      <c r="Y72" t="s">
        <v>69</v>
      </c>
      <c r="Z72" t="s">
        <v>14</v>
      </c>
      <c r="AA72" t="s">
        <v>201</v>
      </c>
      <c r="AB72" t="s">
        <v>8</v>
      </c>
      <c r="AC72" t="s">
        <v>8</v>
      </c>
      <c r="AD72" t="s">
        <v>8</v>
      </c>
      <c r="AE72" s="2">
        <v>45733</v>
      </c>
      <c r="AF72" s="2"/>
      <c r="AG72" t="s">
        <v>8</v>
      </c>
    </row>
    <row r="73" spans="1:33" outlineLevel="2" x14ac:dyDescent="0.25">
      <c r="A73" t="s">
        <v>27</v>
      </c>
      <c r="B73" t="s">
        <v>1</v>
      </c>
      <c r="C73" t="s">
        <v>2</v>
      </c>
      <c r="D73" t="s">
        <v>3</v>
      </c>
      <c r="E73" t="s">
        <v>4</v>
      </c>
      <c r="F73" t="s">
        <v>49</v>
      </c>
      <c r="G73" s="2">
        <v>45733</v>
      </c>
      <c r="H73" t="s">
        <v>202</v>
      </c>
      <c r="I73" t="s">
        <v>75</v>
      </c>
      <c r="J73" s="2">
        <v>45733</v>
      </c>
      <c r="K73" s="2">
        <v>45734</v>
      </c>
      <c r="L73" t="s">
        <v>69</v>
      </c>
      <c r="M73" t="s">
        <v>203</v>
      </c>
      <c r="N73" t="s">
        <v>9</v>
      </c>
      <c r="O73" t="s">
        <v>10</v>
      </c>
      <c r="P73" t="s">
        <v>8</v>
      </c>
      <c r="Q73" t="s">
        <v>65</v>
      </c>
      <c r="R73" t="s">
        <v>26</v>
      </c>
      <c r="S73" s="3">
        <v>66.5</v>
      </c>
      <c r="T73" t="s">
        <v>12</v>
      </c>
      <c r="U73" s="3">
        <v>5764.97</v>
      </c>
      <c r="V73" t="s">
        <v>77</v>
      </c>
      <c r="W73" t="s">
        <v>13</v>
      </c>
      <c r="X73" t="s">
        <v>8</v>
      </c>
      <c r="Y73" t="s">
        <v>69</v>
      </c>
      <c r="Z73" t="s">
        <v>14</v>
      </c>
      <c r="AA73" t="s">
        <v>204</v>
      </c>
      <c r="AB73" t="s">
        <v>8</v>
      </c>
      <c r="AC73" t="s">
        <v>8</v>
      </c>
      <c r="AD73" t="s">
        <v>8</v>
      </c>
      <c r="AE73" s="2">
        <v>45733</v>
      </c>
      <c r="AF73" s="2"/>
      <c r="AG73" t="s">
        <v>8</v>
      </c>
    </row>
    <row r="74" spans="1:33" outlineLevel="2" x14ac:dyDescent="0.25">
      <c r="A74" t="s">
        <v>27</v>
      </c>
      <c r="B74" t="s">
        <v>1</v>
      </c>
      <c r="C74" t="s">
        <v>2</v>
      </c>
      <c r="D74" t="s">
        <v>3</v>
      </c>
      <c r="E74" t="s">
        <v>4</v>
      </c>
      <c r="F74" t="s">
        <v>49</v>
      </c>
      <c r="G74" s="2">
        <v>45733</v>
      </c>
      <c r="H74" t="s">
        <v>205</v>
      </c>
      <c r="I74" t="s">
        <v>75</v>
      </c>
      <c r="J74" s="2">
        <v>45733</v>
      </c>
      <c r="K74" s="2">
        <v>45734</v>
      </c>
      <c r="L74" t="s">
        <v>69</v>
      </c>
      <c r="M74" t="s">
        <v>206</v>
      </c>
      <c r="N74" t="s">
        <v>9</v>
      </c>
      <c r="O74" t="s">
        <v>10</v>
      </c>
      <c r="P74" t="s">
        <v>8</v>
      </c>
      <c r="Q74" t="s">
        <v>65</v>
      </c>
      <c r="R74" t="s">
        <v>26</v>
      </c>
      <c r="S74" s="3">
        <v>7.27</v>
      </c>
      <c r="T74" t="s">
        <v>12</v>
      </c>
      <c r="U74" s="3">
        <v>630.25</v>
      </c>
      <c r="V74" t="s">
        <v>77</v>
      </c>
      <c r="W74" t="s">
        <v>13</v>
      </c>
      <c r="X74" t="s">
        <v>8</v>
      </c>
      <c r="Y74" t="s">
        <v>69</v>
      </c>
      <c r="Z74" t="s">
        <v>14</v>
      </c>
      <c r="AA74" t="s">
        <v>207</v>
      </c>
      <c r="AB74" t="s">
        <v>8</v>
      </c>
      <c r="AC74" t="s">
        <v>8</v>
      </c>
      <c r="AD74" t="s">
        <v>8</v>
      </c>
      <c r="AE74" s="2">
        <v>45733</v>
      </c>
      <c r="AF74" s="2"/>
      <c r="AG74" t="s">
        <v>8</v>
      </c>
    </row>
    <row r="75" spans="1:33" outlineLevel="2" x14ac:dyDescent="0.25">
      <c r="A75" t="s">
        <v>27</v>
      </c>
      <c r="B75" t="s">
        <v>1</v>
      </c>
      <c r="C75" t="s">
        <v>2</v>
      </c>
      <c r="D75" t="s">
        <v>3</v>
      </c>
      <c r="E75" t="s">
        <v>4</v>
      </c>
      <c r="F75" t="s">
        <v>49</v>
      </c>
      <c r="G75" s="2">
        <v>45733</v>
      </c>
      <c r="H75" t="s">
        <v>208</v>
      </c>
      <c r="I75" t="s">
        <v>75</v>
      </c>
      <c r="J75" s="2">
        <v>45733</v>
      </c>
      <c r="K75" s="2">
        <v>45734</v>
      </c>
      <c r="L75" t="s">
        <v>69</v>
      </c>
      <c r="M75" t="s">
        <v>209</v>
      </c>
      <c r="N75" t="s">
        <v>9</v>
      </c>
      <c r="O75" t="s">
        <v>10</v>
      </c>
      <c r="P75" t="s">
        <v>8</v>
      </c>
      <c r="Q75" t="s">
        <v>65</v>
      </c>
      <c r="R75" t="s">
        <v>26</v>
      </c>
      <c r="S75" s="3">
        <v>53.26</v>
      </c>
      <c r="T75" t="s">
        <v>12</v>
      </c>
      <c r="U75" s="3">
        <v>4617.18</v>
      </c>
      <c r="V75" t="s">
        <v>77</v>
      </c>
      <c r="W75" t="s">
        <v>13</v>
      </c>
      <c r="X75" t="s">
        <v>8</v>
      </c>
      <c r="Y75" t="s">
        <v>69</v>
      </c>
      <c r="Z75" t="s">
        <v>14</v>
      </c>
      <c r="AA75" t="s">
        <v>207</v>
      </c>
      <c r="AB75" t="s">
        <v>8</v>
      </c>
      <c r="AC75" t="s">
        <v>8</v>
      </c>
      <c r="AD75" t="s">
        <v>8</v>
      </c>
      <c r="AE75" s="2">
        <v>45733</v>
      </c>
      <c r="AF75" s="2"/>
      <c r="AG75" t="s">
        <v>8</v>
      </c>
    </row>
    <row r="76" spans="1:33" outlineLevel="2" x14ac:dyDescent="0.25">
      <c r="A76" t="s">
        <v>27</v>
      </c>
      <c r="B76" t="s">
        <v>1</v>
      </c>
      <c r="C76" t="s">
        <v>2</v>
      </c>
      <c r="D76" t="s">
        <v>3</v>
      </c>
      <c r="E76" t="s">
        <v>4</v>
      </c>
      <c r="F76" t="s">
        <v>49</v>
      </c>
      <c r="G76" s="2">
        <v>45733</v>
      </c>
      <c r="H76" t="s">
        <v>210</v>
      </c>
      <c r="I76" t="s">
        <v>75</v>
      </c>
      <c r="J76" s="2">
        <v>45733</v>
      </c>
      <c r="K76" s="2">
        <v>45734</v>
      </c>
      <c r="L76" t="s">
        <v>69</v>
      </c>
      <c r="M76" t="s">
        <v>211</v>
      </c>
      <c r="N76" t="s">
        <v>9</v>
      </c>
      <c r="O76" t="s">
        <v>10</v>
      </c>
      <c r="P76" t="s">
        <v>8</v>
      </c>
      <c r="Q76" t="s">
        <v>65</v>
      </c>
      <c r="R76" t="s">
        <v>26</v>
      </c>
      <c r="S76" s="3">
        <v>23.08</v>
      </c>
      <c r="T76" t="s">
        <v>12</v>
      </c>
      <c r="U76" s="3">
        <v>2000.83</v>
      </c>
      <c r="V76" t="s">
        <v>77</v>
      </c>
      <c r="W76" t="s">
        <v>13</v>
      </c>
      <c r="X76" t="s">
        <v>8</v>
      </c>
      <c r="Y76" t="s">
        <v>69</v>
      </c>
      <c r="Z76" t="s">
        <v>14</v>
      </c>
      <c r="AA76" t="s">
        <v>207</v>
      </c>
      <c r="AB76" t="s">
        <v>8</v>
      </c>
      <c r="AC76" t="s">
        <v>8</v>
      </c>
      <c r="AD76" t="s">
        <v>8</v>
      </c>
      <c r="AE76" s="2">
        <v>45733</v>
      </c>
      <c r="AF76" s="2"/>
      <c r="AG76" t="s">
        <v>8</v>
      </c>
    </row>
    <row r="77" spans="1:33" outlineLevel="2" x14ac:dyDescent="0.25">
      <c r="A77" t="s">
        <v>27</v>
      </c>
      <c r="B77" t="s">
        <v>1</v>
      </c>
      <c r="C77" t="s">
        <v>2</v>
      </c>
      <c r="D77" t="s">
        <v>3</v>
      </c>
      <c r="E77" t="s">
        <v>4</v>
      </c>
      <c r="F77" t="s">
        <v>49</v>
      </c>
      <c r="G77" s="2">
        <v>45733</v>
      </c>
      <c r="H77" t="s">
        <v>212</v>
      </c>
      <c r="I77" t="s">
        <v>75</v>
      </c>
      <c r="J77" s="2">
        <v>45733</v>
      </c>
      <c r="K77" s="2">
        <v>45734</v>
      </c>
      <c r="L77" t="s">
        <v>69</v>
      </c>
      <c r="M77" t="s">
        <v>213</v>
      </c>
      <c r="N77" t="s">
        <v>9</v>
      </c>
      <c r="O77" t="s">
        <v>10</v>
      </c>
      <c r="P77" t="s">
        <v>8</v>
      </c>
      <c r="Q77" t="s">
        <v>65</v>
      </c>
      <c r="R77" t="s">
        <v>26</v>
      </c>
      <c r="S77" s="3">
        <v>52.73</v>
      </c>
      <c r="T77" t="s">
        <v>12</v>
      </c>
      <c r="U77" s="3">
        <v>4571.2299999999996</v>
      </c>
      <c r="V77" t="s">
        <v>77</v>
      </c>
      <c r="W77" t="s">
        <v>13</v>
      </c>
      <c r="X77" t="s">
        <v>8</v>
      </c>
      <c r="Y77" t="s">
        <v>69</v>
      </c>
      <c r="Z77" t="s">
        <v>14</v>
      </c>
      <c r="AA77" t="s">
        <v>207</v>
      </c>
      <c r="AB77" t="s">
        <v>8</v>
      </c>
      <c r="AC77" t="s">
        <v>8</v>
      </c>
      <c r="AD77" t="s">
        <v>8</v>
      </c>
      <c r="AE77" s="2">
        <v>45733</v>
      </c>
      <c r="AF77" s="2"/>
      <c r="AG77" t="s">
        <v>8</v>
      </c>
    </row>
    <row r="78" spans="1:33" outlineLevel="2" x14ac:dyDescent="0.25">
      <c r="A78" t="s">
        <v>27</v>
      </c>
      <c r="B78" t="s">
        <v>1</v>
      </c>
      <c r="C78" t="s">
        <v>2</v>
      </c>
      <c r="D78" t="s">
        <v>3</v>
      </c>
      <c r="E78" t="s">
        <v>4</v>
      </c>
      <c r="F78" t="s">
        <v>49</v>
      </c>
      <c r="G78" s="2">
        <v>45733</v>
      </c>
      <c r="H78" t="s">
        <v>214</v>
      </c>
      <c r="I78" t="s">
        <v>75</v>
      </c>
      <c r="J78" s="2">
        <v>45733</v>
      </c>
      <c r="K78" s="2">
        <v>45734</v>
      </c>
      <c r="L78" t="s">
        <v>69</v>
      </c>
      <c r="M78" t="s">
        <v>215</v>
      </c>
      <c r="N78" t="s">
        <v>9</v>
      </c>
      <c r="O78" t="s">
        <v>10</v>
      </c>
      <c r="P78" t="s">
        <v>8</v>
      </c>
      <c r="Q78" t="s">
        <v>65</v>
      </c>
      <c r="R78" t="s">
        <v>26</v>
      </c>
      <c r="S78" s="3">
        <v>76.02</v>
      </c>
      <c r="T78" t="s">
        <v>12</v>
      </c>
      <c r="U78" s="3">
        <v>6590.27</v>
      </c>
      <c r="V78" t="s">
        <v>77</v>
      </c>
      <c r="W78" t="s">
        <v>13</v>
      </c>
      <c r="X78" t="s">
        <v>8</v>
      </c>
      <c r="Y78" t="s">
        <v>69</v>
      </c>
      <c r="Z78" t="s">
        <v>14</v>
      </c>
      <c r="AA78" t="s">
        <v>207</v>
      </c>
      <c r="AB78" t="s">
        <v>8</v>
      </c>
      <c r="AC78" t="s">
        <v>8</v>
      </c>
      <c r="AD78" t="s">
        <v>8</v>
      </c>
      <c r="AE78" s="2">
        <v>45733</v>
      </c>
      <c r="AF78" s="2"/>
      <c r="AG78" t="s">
        <v>8</v>
      </c>
    </row>
    <row r="79" spans="1:33" outlineLevel="2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45762</v>
      </c>
      <c r="H79" t="s">
        <v>216</v>
      </c>
      <c r="I79" t="s">
        <v>75</v>
      </c>
      <c r="J79" s="2">
        <v>45762</v>
      </c>
      <c r="K79" s="2">
        <v>45763</v>
      </c>
      <c r="L79" t="s">
        <v>69</v>
      </c>
      <c r="M79" t="s">
        <v>217</v>
      </c>
      <c r="N79" t="s">
        <v>9</v>
      </c>
      <c r="O79" t="s">
        <v>10</v>
      </c>
      <c r="P79" t="s">
        <v>8</v>
      </c>
      <c r="Q79" t="s">
        <v>65</v>
      </c>
      <c r="R79" t="s">
        <v>26</v>
      </c>
      <c r="S79" s="3">
        <v>164.38</v>
      </c>
      <c r="T79" t="s">
        <v>12</v>
      </c>
      <c r="U79" s="3">
        <v>14288.21</v>
      </c>
      <c r="V79" t="s">
        <v>77</v>
      </c>
      <c r="W79" t="s">
        <v>8</v>
      </c>
      <c r="X79" t="s">
        <v>8</v>
      </c>
      <c r="Y79" t="s">
        <v>69</v>
      </c>
      <c r="Z79" t="s">
        <v>14</v>
      </c>
      <c r="AA79" t="s">
        <v>218</v>
      </c>
      <c r="AB79" t="s">
        <v>8</v>
      </c>
      <c r="AC79" t="s">
        <v>8</v>
      </c>
      <c r="AD79" t="s">
        <v>8</v>
      </c>
      <c r="AE79" s="2">
        <v>45762</v>
      </c>
      <c r="AF79" s="2">
        <v>45887</v>
      </c>
      <c r="AG79" t="s">
        <v>24</v>
      </c>
    </row>
    <row r="80" spans="1:33" outlineLevel="2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45762</v>
      </c>
      <c r="H80" t="s">
        <v>219</v>
      </c>
      <c r="I80" t="s">
        <v>75</v>
      </c>
      <c r="J80" s="2">
        <v>45762</v>
      </c>
      <c r="K80" s="2">
        <v>45763</v>
      </c>
      <c r="L80" t="s">
        <v>69</v>
      </c>
      <c r="M80" t="s">
        <v>220</v>
      </c>
      <c r="N80" t="s">
        <v>9</v>
      </c>
      <c r="O80" t="s">
        <v>10</v>
      </c>
      <c r="P80" t="s">
        <v>8</v>
      </c>
      <c r="Q80" t="s">
        <v>65</v>
      </c>
      <c r="R80" t="s">
        <v>26</v>
      </c>
      <c r="S80" s="3">
        <v>26.54</v>
      </c>
      <c r="T80" t="s">
        <v>12</v>
      </c>
      <c r="U80" s="3">
        <v>2306.91</v>
      </c>
      <c r="V80" t="s">
        <v>77</v>
      </c>
      <c r="W80" t="s">
        <v>8</v>
      </c>
      <c r="X80" t="s">
        <v>8</v>
      </c>
      <c r="Y80" t="s">
        <v>69</v>
      </c>
      <c r="Z80" t="s">
        <v>14</v>
      </c>
      <c r="AA80" t="s">
        <v>221</v>
      </c>
      <c r="AB80" t="s">
        <v>8</v>
      </c>
      <c r="AC80" t="s">
        <v>8</v>
      </c>
      <c r="AD80" t="s">
        <v>8</v>
      </c>
      <c r="AE80" s="2">
        <v>45762</v>
      </c>
      <c r="AF80" s="2">
        <v>45887</v>
      </c>
      <c r="AG80" t="s">
        <v>24</v>
      </c>
    </row>
    <row r="81" spans="1:33" outlineLevel="2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45762</v>
      </c>
      <c r="H81" t="s">
        <v>222</v>
      </c>
      <c r="I81" t="s">
        <v>75</v>
      </c>
      <c r="J81" s="2">
        <v>45762</v>
      </c>
      <c r="K81" s="2">
        <v>45763</v>
      </c>
      <c r="L81" t="s">
        <v>69</v>
      </c>
      <c r="M81" t="s">
        <v>223</v>
      </c>
      <c r="N81" t="s">
        <v>9</v>
      </c>
      <c r="O81" t="s">
        <v>10</v>
      </c>
      <c r="P81" t="s">
        <v>8</v>
      </c>
      <c r="Q81" t="s">
        <v>65</v>
      </c>
      <c r="R81" t="s">
        <v>26</v>
      </c>
      <c r="S81" s="3">
        <v>84.26</v>
      </c>
      <c r="T81" t="s">
        <v>12</v>
      </c>
      <c r="U81" s="3">
        <v>7324.03</v>
      </c>
      <c r="V81" t="s">
        <v>77</v>
      </c>
      <c r="W81" t="s">
        <v>8</v>
      </c>
      <c r="X81" t="s">
        <v>8</v>
      </c>
      <c r="Y81" t="s">
        <v>69</v>
      </c>
      <c r="Z81" t="s">
        <v>14</v>
      </c>
      <c r="AA81" t="s">
        <v>221</v>
      </c>
      <c r="AB81" t="s">
        <v>8</v>
      </c>
      <c r="AC81" t="s">
        <v>8</v>
      </c>
      <c r="AD81" t="s">
        <v>8</v>
      </c>
      <c r="AE81" s="2">
        <v>45762</v>
      </c>
      <c r="AF81" s="2">
        <v>45887</v>
      </c>
      <c r="AG81" t="s">
        <v>24</v>
      </c>
    </row>
    <row r="82" spans="1:33" outlineLevel="2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45762</v>
      </c>
      <c r="H82" t="s">
        <v>224</v>
      </c>
      <c r="I82" t="s">
        <v>75</v>
      </c>
      <c r="J82" s="2">
        <v>45762</v>
      </c>
      <c r="K82" s="2">
        <v>45763</v>
      </c>
      <c r="L82" t="s">
        <v>69</v>
      </c>
      <c r="M82" t="s">
        <v>225</v>
      </c>
      <c r="N82" t="s">
        <v>9</v>
      </c>
      <c r="O82" t="s">
        <v>10</v>
      </c>
      <c r="P82" t="s">
        <v>8</v>
      </c>
      <c r="Q82" t="s">
        <v>65</v>
      </c>
      <c r="R82" t="s">
        <v>26</v>
      </c>
      <c r="S82" s="3">
        <v>36.9</v>
      </c>
      <c r="T82" t="s">
        <v>12</v>
      </c>
      <c r="U82" s="3">
        <v>3207.42</v>
      </c>
      <c r="V82" t="s">
        <v>77</v>
      </c>
      <c r="W82" t="s">
        <v>8</v>
      </c>
      <c r="X82" t="s">
        <v>8</v>
      </c>
      <c r="Y82" t="s">
        <v>69</v>
      </c>
      <c r="Z82" t="s">
        <v>14</v>
      </c>
      <c r="AA82" t="s">
        <v>226</v>
      </c>
      <c r="AB82" t="s">
        <v>8</v>
      </c>
      <c r="AC82" t="s">
        <v>8</v>
      </c>
      <c r="AD82" t="s">
        <v>8</v>
      </c>
      <c r="AE82" s="2">
        <v>45762</v>
      </c>
      <c r="AF82" s="2">
        <v>45887</v>
      </c>
      <c r="AG82" t="s">
        <v>24</v>
      </c>
    </row>
    <row r="83" spans="1:33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45762</v>
      </c>
      <c r="H83" t="s">
        <v>227</v>
      </c>
      <c r="I83" t="s">
        <v>75</v>
      </c>
      <c r="J83" s="2">
        <v>45762</v>
      </c>
      <c r="K83" s="2">
        <v>45763</v>
      </c>
      <c r="L83" t="s">
        <v>69</v>
      </c>
      <c r="M83" t="s">
        <v>228</v>
      </c>
      <c r="N83" t="s">
        <v>9</v>
      </c>
      <c r="O83" t="s">
        <v>10</v>
      </c>
      <c r="P83" t="s">
        <v>8</v>
      </c>
      <c r="Q83" t="s">
        <v>65</v>
      </c>
      <c r="R83" t="s">
        <v>26</v>
      </c>
      <c r="S83" s="3">
        <v>20.23</v>
      </c>
      <c r="T83" t="s">
        <v>12</v>
      </c>
      <c r="U83" s="3">
        <v>1758.43</v>
      </c>
      <c r="V83" t="s">
        <v>77</v>
      </c>
      <c r="W83" t="s">
        <v>8</v>
      </c>
      <c r="X83" t="s">
        <v>8</v>
      </c>
      <c r="Y83" t="s">
        <v>69</v>
      </c>
      <c r="Z83" t="s">
        <v>14</v>
      </c>
      <c r="AA83" t="s">
        <v>226</v>
      </c>
      <c r="AB83" t="s">
        <v>8</v>
      </c>
      <c r="AC83" t="s">
        <v>8</v>
      </c>
      <c r="AD83" t="s">
        <v>8</v>
      </c>
      <c r="AE83" s="2">
        <v>45762</v>
      </c>
      <c r="AF83" s="2">
        <v>45887</v>
      </c>
      <c r="AG83" t="s">
        <v>24</v>
      </c>
    </row>
    <row r="84" spans="1:33" outlineLevel="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45762</v>
      </c>
      <c r="H84" t="s">
        <v>229</v>
      </c>
      <c r="I84" t="s">
        <v>75</v>
      </c>
      <c r="J84" s="2">
        <v>45762</v>
      </c>
      <c r="K84" s="2">
        <v>45763</v>
      </c>
      <c r="L84" t="s">
        <v>69</v>
      </c>
      <c r="M84" t="s">
        <v>230</v>
      </c>
      <c r="N84" t="s">
        <v>9</v>
      </c>
      <c r="O84" t="s">
        <v>10</v>
      </c>
      <c r="P84" t="s">
        <v>8</v>
      </c>
      <c r="Q84" t="s">
        <v>65</v>
      </c>
      <c r="R84" t="s">
        <v>26</v>
      </c>
      <c r="S84" s="3">
        <v>116.32</v>
      </c>
      <c r="T84" t="s">
        <v>12</v>
      </c>
      <c r="U84" s="3">
        <v>10110.75</v>
      </c>
      <c r="V84" t="s">
        <v>77</v>
      </c>
      <c r="W84" t="s">
        <v>8</v>
      </c>
      <c r="X84" t="s">
        <v>8</v>
      </c>
      <c r="Y84" t="s">
        <v>69</v>
      </c>
      <c r="Z84" t="s">
        <v>14</v>
      </c>
      <c r="AA84" t="s">
        <v>226</v>
      </c>
      <c r="AB84" t="s">
        <v>8</v>
      </c>
      <c r="AC84" t="s">
        <v>8</v>
      </c>
      <c r="AD84" t="s">
        <v>8</v>
      </c>
      <c r="AE84" s="2">
        <v>45762</v>
      </c>
      <c r="AF84" s="2">
        <v>45887</v>
      </c>
      <c r="AG84" t="s">
        <v>24</v>
      </c>
    </row>
    <row r="85" spans="1:33" outlineLevel="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2">
        <v>45762</v>
      </c>
      <c r="H85" t="s">
        <v>231</v>
      </c>
      <c r="I85" t="s">
        <v>75</v>
      </c>
      <c r="J85" s="2">
        <v>45762</v>
      </c>
      <c r="K85" s="2">
        <v>45763</v>
      </c>
      <c r="L85" t="s">
        <v>69</v>
      </c>
      <c r="M85" t="s">
        <v>232</v>
      </c>
      <c r="N85" t="s">
        <v>9</v>
      </c>
      <c r="O85" t="s">
        <v>10</v>
      </c>
      <c r="P85" t="s">
        <v>8</v>
      </c>
      <c r="Q85" t="s">
        <v>65</v>
      </c>
      <c r="R85" t="s">
        <v>26</v>
      </c>
      <c r="S85" s="3">
        <v>22</v>
      </c>
      <c r="T85" t="s">
        <v>12</v>
      </c>
      <c r="U85" s="3">
        <v>1912.28</v>
      </c>
      <c r="V85" t="s">
        <v>77</v>
      </c>
      <c r="W85" t="s">
        <v>8</v>
      </c>
      <c r="X85" t="s">
        <v>8</v>
      </c>
      <c r="Y85" t="s">
        <v>69</v>
      </c>
      <c r="Z85" t="s">
        <v>14</v>
      </c>
      <c r="AA85" t="s">
        <v>233</v>
      </c>
      <c r="AB85" t="s">
        <v>8</v>
      </c>
      <c r="AC85" t="s">
        <v>8</v>
      </c>
      <c r="AD85" t="s">
        <v>8</v>
      </c>
      <c r="AE85" s="2">
        <v>45762</v>
      </c>
      <c r="AF85" s="2">
        <v>45887</v>
      </c>
      <c r="AG85" t="s">
        <v>24</v>
      </c>
    </row>
    <row r="86" spans="1:33" outlineLevel="2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45762</v>
      </c>
      <c r="H86" t="s">
        <v>234</v>
      </c>
      <c r="I86" t="s">
        <v>75</v>
      </c>
      <c r="J86" s="2">
        <v>45762</v>
      </c>
      <c r="K86" s="2">
        <v>45763</v>
      </c>
      <c r="L86" t="s">
        <v>69</v>
      </c>
      <c r="M86" t="s">
        <v>235</v>
      </c>
      <c r="N86" t="s">
        <v>9</v>
      </c>
      <c r="O86" t="s">
        <v>10</v>
      </c>
      <c r="P86" t="s">
        <v>8</v>
      </c>
      <c r="Q86" t="s">
        <v>65</v>
      </c>
      <c r="R86" t="s">
        <v>26</v>
      </c>
      <c r="S86" s="3">
        <v>4.4000000000000004</v>
      </c>
      <c r="T86" t="s">
        <v>12</v>
      </c>
      <c r="U86" s="3">
        <v>382.46</v>
      </c>
      <c r="V86" t="s">
        <v>77</v>
      </c>
      <c r="W86" t="s">
        <v>8</v>
      </c>
      <c r="X86" t="s">
        <v>8</v>
      </c>
      <c r="Y86" t="s">
        <v>69</v>
      </c>
      <c r="Z86" t="s">
        <v>14</v>
      </c>
      <c r="AA86" t="s">
        <v>233</v>
      </c>
      <c r="AB86" t="s">
        <v>8</v>
      </c>
      <c r="AC86" t="s">
        <v>8</v>
      </c>
      <c r="AD86" t="s">
        <v>8</v>
      </c>
      <c r="AE86" s="2">
        <v>45762</v>
      </c>
      <c r="AF86" s="2">
        <v>45887</v>
      </c>
      <c r="AG86" t="s">
        <v>24</v>
      </c>
    </row>
    <row r="87" spans="1:33" outlineLevel="2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2">
        <v>45762</v>
      </c>
      <c r="H87" t="s">
        <v>236</v>
      </c>
      <c r="I87" t="s">
        <v>75</v>
      </c>
      <c r="J87" s="2">
        <v>45762</v>
      </c>
      <c r="K87" s="2">
        <v>45763</v>
      </c>
      <c r="L87" t="s">
        <v>69</v>
      </c>
      <c r="M87" t="s">
        <v>237</v>
      </c>
      <c r="N87" t="s">
        <v>9</v>
      </c>
      <c r="O87" t="s">
        <v>10</v>
      </c>
      <c r="P87" t="s">
        <v>8</v>
      </c>
      <c r="Q87" t="s">
        <v>65</v>
      </c>
      <c r="R87" t="s">
        <v>26</v>
      </c>
      <c r="S87" s="3">
        <v>5.84</v>
      </c>
      <c r="T87" t="s">
        <v>12</v>
      </c>
      <c r="U87" s="3">
        <v>507.62</v>
      </c>
      <c r="V87" t="s">
        <v>77</v>
      </c>
      <c r="W87" t="s">
        <v>8</v>
      </c>
      <c r="X87" t="s">
        <v>8</v>
      </c>
      <c r="Y87" t="s">
        <v>69</v>
      </c>
      <c r="Z87" t="s">
        <v>14</v>
      </c>
      <c r="AA87" t="s">
        <v>233</v>
      </c>
      <c r="AB87" t="s">
        <v>8</v>
      </c>
      <c r="AC87" t="s">
        <v>8</v>
      </c>
      <c r="AD87" t="s">
        <v>8</v>
      </c>
      <c r="AE87" s="2">
        <v>45762</v>
      </c>
      <c r="AF87" s="2">
        <v>45887</v>
      </c>
      <c r="AG87" t="s">
        <v>24</v>
      </c>
    </row>
    <row r="88" spans="1:33" outlineLevel="2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45762</v>
      </c>
      <c r="H88" t="s">
        <v>238</v>
      </c>
      <c r="I88" t="s">
        <v>75</v>
      </c>
      <c r="J88" s="2">
        <v>45762</v>
      </c>
      <c r="K88" s="2">
        <v>45763</v>
      </c>
      <c r="L88" t="s">
        <v>69</v>
      </c>
      <c r="M88" t="s">
        <v>239</v>
      </c>
      <c r="N88" t="s">
        <v>9</v>
      </c>
      <c r="O88" t="s">
        <v>10</v>
      </c>
      <c r="P88" t="s">
        <v>8</v>
      </c>
      <c r="Q88" t="s">
        <v>65</v>
      </c>
      <c r="R88" t="s">
        <v>26</v>
      </c>
      <c r="S88" s="3">
        <v>0.8</v>
      </c>
      <c r="T88" t="s">
        <v>12</v>
      </c>
      <c r="U88" s="3">
        <v>69.540000000000006</v>
      </c>
      <c r="V88" t="s">
        <v>77</v>
      </c>
      <c r="W88" t="s">
        <v>8</v>
      </c>
      <c r="X88" t="s">
        <v>8</v>
      </c>
      <c r="Y88" t="s">
        <v>69</v>
      </c>
      <c r="Z88" t="s">
        <v>14</v>
      </c>
      <c r="AA88" t="s">
        <v>233</v>
      </c>
      <c r="AB88" t="s">
        <v>8</v>
      </c>
      <c r="AC88" t="s">
        <v>8</v>
      </c>
      <c r="AD88" t="s">
        <v>8</v>
      </c>
      <c r="AE88" s="2">
        <v>45762</v>
      </c>
      <c r="AF88" s="2">
        <v>45887</v>
      </c>
      <c r="AG88" t="s">
        <v>24</v>
      </c>
    </row>
    <row r="89" spans="1:33" outlineLevel="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2">
        <v>45762</v>
      </c>
      <c r="H89" t="s">
        <v>240</v>
      </c>
      <c r="I89" t="s">
        <v>75</v>
      </c>
      <c r="J89" s="2">
        <v>45762</v>
      </c>
      <c r="K89" s="2">
        <v>45763</v>
      </c>
      <c r="L89" t="s">
        <v>69</v>
      </c>
      <c r="M89" t="s">
        <v>241</v>
      </c>
      <c r="N89" t="s">
        <v>9</v>
      </c>
      <c r="O89" t="s">
        <v>10</v>
      </c>
      <c r="P89" t="s">
        <v>8</v>
      </c>
      <c r="Q89" t="s">
        <v>65</v>
      </c>
      <c r="R89" t="s">
        <v>26</v>
      </c>
      <c r="S89" s="3">
        <v>13.85</v>
      </c>
      <c r="T89" t="s">
        <v>12</v>
      </c>
      <c r="U89" s="3">
        <v>1203.8699999999999</v>
      </c>
      <c r="V89" t="s">
        <v>77</v>
      </c>
      <c r="W89" t="s">
        <v>8</v>
      </c>
      <c r="X89" t="s">
        <v>8</v>
      </c>
      <c r="Y89" t="s">
        <v>69</v>
      </c>
      <c r="Z89" t="s">
        <v>14</v>
      </c>
      <c r="AA89" t="s">
        <v>233</v>
      </c>
      <c r="AB89" t="s">
        <v>8</v>
      </c>
      <c r="AC89" t="s">
        <v>8</v>
      </c>
      <c r="AD89" t="s">
        <v>8</v>
      </c>
      <c r="AE89" s="2">
        <v>45762</v>
      </c>
      <c r="AF89" s="2">
        <v>45887</v>
      </c>
      <c r="AG89" t="s">
        <v>24</v>
      </c>
    </row>
    <row r="90" spans="1:33" outlineLevel="2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45762</v>
      </c>
      <c r="H90" t="s">
        <v>242</v>
      </c>
      <c r="I90" t="s">
        <v>75</v>
      </c>
      <c r="J90" s="2">
        <v>45762</v>
      </c>
      <c r="K90" s="2">
        <v>45763</v>
      </c>
      <c r="L90" t="s">
        <v>69</v>
      </c>
      <c r="M90" t="s">
        <v>243</v>
      </c>
      <c r="N90" t="s">
        <v>9</v>
      </c>
      <c r="O90" t="s">
        <v>10</v>
      </c>
      <c r="P90" t="s">
        <v>8</v>
      </c>
      <c r="Q90" t="s">
        <v>65</v>
      </c>
      <c r="R90" t="s">
        <v>26</v>
      </c>
      <c r="S90" s="3">
        <v>18.149999999999999</v>
      </c>
      <c r="T90" t="s">
        <v>12</v>
      </c>
      <c r="U90" s="3">
        <v>1577.63</v>
      </c>
      <c r="V90" t="s">
        <v>77</v>
      </c>
      <c r="W90" t="s">
        <v>8</v>
      </c>
      <c r="X90" t="s">
        <v>8</v>
      </c>
      <c r="Y90" t="s">
        <v>69</v>
      </c>
      <c r="Z90" t="s">
        <v>14</v>
      </c>
      <c r="AA90" t="s">
        <v>233</v>
      </c>
      <c r="AB90" t="s">
        <v>8</v>
      </c>
      <c r="AC90" t="s">
        <v>8</v>
      </c>
      <c r="AD90" t="s">
        <v>8</v>
      </c>
      <c r="AE90" s="2">
        <v>45762</v>
      </c>
      <c r="AF90" s="2">
        <v>45887</v>
      </c>
      <c r="AG90" t="s">
        <v>24</v>
      </c>
    </row>
    <row r="91" spans="1:33" outlineLevel="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45762</v>
      </c>
      <c r="H91" t="s">
        <v>244</v>
      </c>
      <c r="I91" t="s">
        <v>75</v>
      </c>
      <c r="J91" s="2">
        <v>45762</v>
      </c>
      <c r="K91" s="2">
        <v>45763</v>
      </c>
      <c r="L91" t="s">
        <v>69</v>
      </c>
      <c r="M91" t="s">
        <v>245</v>
      </c>
      <c r="N91" t="s">
        <v>9</v>
      </c>
      <c r="O91" t="s">
        <v>10</v>
      </c>
      <c r="P91" t="s">
        <v>8</v>
      </c>
      <c r="Q91" t="s">
        <v>65</v>
      </c>
      <c r="R91" t="s">
        <v>26</v>
      </c>
      <c r="S91" s="3">
        <v>21.36</v>
      </c>
      <c r="T91" t="s">
        <v>12</v>
      </c>
      <c r="U91" s="3">
        <v>1856.65</v>
      </c>
      <c r="V91" t="s">
        <v>77</v>
      </c>
      <c r="W91" t="s">
        <v>8</v>
      </c>
      <c r="X91" t="s">
        <v>8</v>
      </c>
      <c r="Y91" t="s">
        <v>69</v>
      </c>
      <c r="Z91" t="s">
        <v>14</v>
      </c>
      <c r="AA91" t="s">
        <v>233</v>
      </c>
      <c r="AB91" t="s">
        <v>8</v>
      </c>
      <c r="AC91" t="s">
        <v>8</v>
      </c>
      <c r="AD91" t="s">
        <v>8</v>
      </c>
      <c r="AE91" s="2">
        <v>45762</v>
      </c>
      <c r="AF91" s="2">
        <v>45887</v>
      </c>
      <c r="AG91" t="s">
        <v>24</v>
      </c>
    </row>
    <row r="92" spans="1:33" outlineLevel="2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45762</v>
      </c>
      <c r="H92" t="s">
        <v>246</v>
      </c>
      <c r="I92" t="s">
        <v>75</v>
      </c>
      <c r="J92" s="2">
        <v>45762</v>
      </c>
      <c r="K92" s="2">
        <v>45763</v>
      </c>
      <c r="L92" t="s">
        <v>69</v>
      </c>
      <c r="M92" t="s">
        <v>247</v>
      </c>
      <c r="N92" t="s">
        <v>9</v>
      </c>
      <c r="O92" t="s">
        <v>10</v>
      </c>
      <c r="P92" t="s">
        <v>8</v>
      </c>
      <c r="Q92" t="s">
        <v>65</v>
      </c>
      <c r="R92" t="s">
        <v>26</v>
      </c>
      <c r="S92" s="3">
        <v>1.97</v>
      </c>
      <c r="T92" t="s">
        <v>12</v>
      </c>
      <c r="U92" s="3">
        <v>171.24</v>
      </c>
      <c r="V92" t="s">
        <v>77</v>
      </c>
      <c r="W92" t="s">
        <v>8</v>
      </c>
      <c r="X92" t="s">
        <v>8</v>
      </c>
      <c r="Y92" t="s">
        <v>69</v>
      </c>
      <c r="Z92" t="s">
        <v>14</v>
      </c>
      <c r="AA92" t="s">
        <v>233</v>
      </c>
      <c r="AB92" t="s">
        <v>8</v>
      </c>
      <c r="AC92" t="s">
        <v>8</v>
      </c>
      <c r="AD92" t="s">
        <v>8</v>
      </c>
      <c r="AE92" s="2">
        <v>45762</v>
      </c>
      <c r="AF92" s="2">
        <v>45887</v>
      </c>
      <c r="AG92" t="s">
        <v>24</v>
      </c>
    </row>
    <row r="93" spans="1:33" outlineLevel="2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45762</v>
      </c>
      <c r="H93" t="s">
        <v>248</v>
      </c>
      <c r="I93" t="s">
        <v>75</v>
      </c>
      <c r="J93" s="2">
        <v>45762</v>
      </c>
      <c r="K93" s="2">
        <v>45763</v>
      </c>
      <c r="L93" t="s">
        <v>69</v>
      </c>
      <c r="M93" t="s">
        <v>249</v>
      </c>
      <c r="N93" t="s">
        <v>9</v>
      </c>
      <c r="O93" t="s">
        <v>10</v>
      </c>
      <c r="P93" t="s">
        <v>8</v>
      </c>
      <c r="Q93" t="s">
        <v>65</v>
      </c>
      <c r="R93" t="s">
        <v>26</v>
      </c>
      <c r="S93" s="3">
        <v>24.21</v>
      </c>
      <c r="T93" t="s">
        <v>12</v>
      </c>
      <c r="U93" s="3">
        <v>2104.38</v>
      </c>
      <c r="V93" t="s">
        <v>77</v>
      </c>
      <c r="W93" t="s">
        <v>8</v>
      </c>
      <c r="X93" t="s">
        <v>8</v>
      </c>
      <c r="Y93" t="s">
        <v>69</v>
      </c>
      <c r="Z93" t="s">
        <v>14</v>
      </c>
      <c r="AA93" t="s">
        <v>233</v>
      </c>
      <c r="AB93" t="s">
        <v>8</v>
      </c>
      <c r="AC93" t="s">
        <v>8</v>
      </c>
      <c r="AD93" t="s">
        <v>8</v>
      </c>
      <c r="AE93" s="2">
        <v>45762</v>
      </c>
      <c r="AF93" s="2">
        <v>45887</v>
      </c>
      <c r="AG93" t="s">
        <v>24</v>
      </c>
    </row>
    <row r="94" spans="1:33" outlineLevel="2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45762</v>
      </c>
      <c r="H94" t="s">
        <v>250</v>
      </c>
      <c r="I94" t="s">
        <v>75</v>
      </c>
      <c r="J94" s="2">
        <v>45762</v>
      </c>
      <c r="K94" s="2">
        <v>45763</v>
      </c>
      <c r="L94" t="s">
        <v>69</v>
      </c>
      <c r="M94" t="s">
        <v>251</v>
      </c>
      <c r="N94" t="s">
        <v>9</v>
      </c>
      <c r="O94" t="s">
        <v>10</v>
      </c>
      <c r="P94" t="s">
        <v>8</v>
      </c>
      <c r="Q94" t="s">
        <v>65</v>
      </c>
      <c r="R94" t="s">
        <v>26</v>
      </c>
      <c r="S94" s="3">
        <v>14.7</v>
      </c>
      <c r="T94" t="s">
        <v>12</v>
      </c>
      <c r="U94" s="3">
        <v>1277.75</v>
      </c>
      <c r="V94" t="s">
        <v>77</v>
      </c>
      <c r="W94" t="s">
        <v>8</v>
      </c>
      <c r="X94" t="s">
        <v>8</v>
      </c>
      <c r="Y94" t="s">
        <v>69</v>
      </c>
      <c r="Z94" t="s">
        <v>14</v>
      </c>
      <c r="AA94" t="s">
        <v>233</v>
      </c>
      <c r="AB94" t="s">
        <v>8</v>
      </c>
      <c r="AC94" t="s">
        <v>8</v>
      </c>
      <c r="AD94" t="s">
        <v>8</v>
      </c>
      <c r="AE94" s="2">
        <v>45762</v>
      </c>
      <c r="AF94" s="2">
        <v>45887</v>
      </c>
      <c r="AG94" t="s">
        <v>24</v>
      </c>
    </row>
    <row r="95" spans="1:33" outlineLevel="2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45762</v>
      </c>
      <c r="H95" t="s">
        <v>252</v>
      </c>
      <c r="I95" t="s">
        <v>75</v>
      </c>
      <c r="J95" s="2">
        <v>45762</v>
      </c>
      <c r="K95" s="2">
        <v>45763</v>
      </c>
      <c r="L95" t="s">
        <v>69</v>
      </c>
      <c r="M95" t="s">
        <v>253</v>
      </c>
      <c r="N95" t="s">
        <v>9</v>
      </c>
      <c r="O95" t="s">
        <v>10</v>
      </c>
      <c r="P95" t="s">
        <v>8</v>
      </c>
      <c r="Q95" t="s">
        <v>65</v>
      </c>
      <c r="R95" t="s">
        <v>26</v>
      </c>
      <c r="S95" s="3">
        <v>22.35</v>
      </c>
      <c r="T95" t="s">
        <v>12</v>
      </c>
      <c r="U95" s="3">
        <v>1942.7</v>
      </c>
      <c r="V95" t="s">
        <v>77</v>
      </c>
      <c r="W95" t="s">
        <v>8</v>
      </c>
      <c r="X95" t="s">
        <v>8</v>
      </c>
      <c r="Y95" t="s">
        <v>69</v>
      </c>
      <c r="Z95" t="s">
        <v>14</v>
      </c>
      <c r="AA95" t="s">
        <v>233</v>
      </c>
      <c r="AB95" t="s">
        <v>8</v>
      </c>
      <c r="AC95" t="s">
        <v>8</v>
      </c>
      <c r="AD95" t="s">
        <v>8</v>
      </c>
      <c r="AE95" s="2">
        <v>45762</v>
      </c>
      <c r="AF95" s="2">
        <v>45887</v>
      </c>
      <c r="AG95" t="s">
        <v>24</v>
      </c>
    </row>
    <row r="96" spans="1:33" outlineLevel="2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45762</v>
      </c>
      <c r="H96" t="s">
        <v>254</v>
      </c>
      <c r="I96" t="s">
        <v>75</v>
      </c>
      <c r="J96" s="2">
        <v>45762</v>
      </c>
      <c r="K96" s="2">
        <v>45763</v>
      </c>
      <c r="L96" t="s">
        <v>69</v>
      </c>
      <c r="M96" t="s">
        <v>255</v>
      </c>
      <c r="N96" t="s">
        <v>9</v>
      </c>
      <c r="O96" t="s">
        <v>10</v>
      </c>
      <c r="P96" t="s">
        <v>8</v>
      </c>
      <c r="Q96" t="s">
        <v>65</v>
      </c>
      <c r="R96" t="s">
        <v>26</v>
      </c>
      <c r="S96" s="3">
        <v>21.52</v>
      </c>
      <c r="T96" t="s">
        <v>12</v>
      </c>
      <c r="U96" s="3">
        <v>1870.56</v>
      </c>
      <c r="V96" t="s">
        <v>77</v>
      </c>
      <c r="W96" t="s">
        <v>8</v>
      </c>
      <c r="X96" t="s">
        <v>8</v>
      </c>
      <c r="Y96" t="s">
        <v>69</v>
      </c>
      <c r="Z96" t="s">
        <v>14</v>
      </c>
      <c r="AA96" t="s">
        <v>233</v>
      </c>
      <c r="AB96" t="s">
        <v>8</v>
      </c>
      <c r="AC96" t="s">
        <v>8</v>
      </c>
      <c r="AD96" t="s">
        <v>8</v>
      </c>
      <c r="AE96" s="2">
        <v>45762</v>
      </c>
      <c r="AF96" s="2">
        <v>45887</v>
      </c>
      <c r="AG96" t="s">
        <v>24</v>
      </c>
    </row>
    <row r="97" spans="1:33" outlineLevel="2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45762</v>
      </c>
      <c r="H97" t="s">
        <v>256</v>
      </c>
      <c r="I97" t="s">
        <v>75</v>
      </c>
      <c r="J97" s="2">
        <v>45762</v>
      </c>
      <c r="K97" s="2">
        <v>45763</v>
      </c>
      <c r="L97" t="s">
        <v>69</v>
      </c>
      <c r="M97" t="s">
        <v>257</v>
      </c>
      <c r="N97" t="s">
        <v>9</v>
      </c>
      <c r="O97" t="s">
        <v>10</v>
      </c>
      <c r="P97" t="s">
        <v>8</v>
      </c>
      <c r="Q97" t="s">
        <v>65</v>
      </c>
      <c r="R97" t="s">
        <v>26</v>
      </c>
      <c r="S97" s="3">
        <v>1.54</v>
      </c>
      <c r="T97" t="s">
        <v>12</v>
      </c>
      <c r="U97" s="3">
        <v>133.86000000000001</v>
      </c>
      <c r="V97" t="s">
        <v>77</v>
      </c>
      <c r="W97" t="s">
        <v>8</v>
      </c>
      <c r="X97" t="s">
        <v>8</v>
      </c>
      <c r="Y97" t="s">
        <v>69</v>
      </c>
      <c r="Z97" t="s">
        <v>14</v>
      </c>
      <c r="AA97" t="s">
        <v>233</v>
      </c>
      <c r="AB97" t="s">
        <v>8</v>
      </c>
      <c r="AC97" t="s">
        <v>8</v>
      </c>
      <c r="AD97" t="s">
        <v>8</v>
      </c>
      <c r="AE97" s="2">
        <v>45762</v>
      </c>
      <c r="AF97" s="2">
        <v>45887</v>
      </c>
      <c r="AG97" t="s">
        <v>24</v>
      </c>
    </row>
    <row r="98" spans="1:33" outlineLevel="2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45762</v>
      </c>
      <c r="H98" t="s">
        <v>258</v>
      </c>
      <c r="I98" t="s">
        <v>75</v>
      </c>
      <c r="J98" s="2">
        <v>45762</v>
      </c>
      <c r="K98" s="2">
        <v>45763</v>
      </c>
      <c r="L98" t="s">
        <v>69</v>
      </c>
      <c r="M98" t="s">
        <v>259</v>
      </c>
      <c r="N98" t="s">
        <v>9</v>
      </c>
      <c r="O98" t="s">
        <v>10</v>
      </c>
      <c r="P98" t="s">
        <v>8</v>
      </c>
      <c r="Q98" t="s">
        <v>65</v>
      </c>
      <c r="R98" t="s">
        <v>26</v>
      </c>
      <c r="S98" s="3">
        <v>7.19</v>
      </c>
      <c r="T98" t="s">
        <v>12</v>
      </c>
      <c r="U98" s="3">
        <v>624.97</v>
      </c>
      <c r="V98" t="s">
        <v>77</v>
      </c>
      <c r="W98" t="s">
        <v>8</v>
      </c>
      <c r="X98" t="s">
        <v>8</v>
      </c>
      <c r="Y98" t="s">
        <v>69</v>
      </c>
      <c r="Z98" t="s">
        <v>14</v>
      </c>
      <c r="AA98" t="s">
        <v>233</v>
      </c>
      <c r="AB98" t="s">
        <v>8</v>
      </c>
      <c r="AC98" t="s">
        <v>8</v>
      </c>
      <c r="AD98" t="s">
        <v>8</v>
      </c>
      <c r="AE98" s="2">
        <v>45762</v>
      </c>
      <c r="AF98" s="2">
        <v>45887</v>
      </c>
      <c r="AG98" t="s">
        <v>24</v>
      </c>
    </row>
    <row r="99" spans="1:33" outlineLevel="2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45762</v>
      </c>
      <c r="H99" t="s">
        <v>260</v>
      </c>
      <c r="I99" t="s">
        <v>75</v>
      </c>
      <c r="J99" s="2">
        <v>45762</v>
      </c>
      <c r="K99" s="2">
        <v>45763</v>
      </c>
      <c r="L99" t="s">
        <v>69</v>
      </c>
      <c r="M99" t="s">
        <v>261</v>
      </c>
      <c r="N99" t="s">
        <v>9</v>
      </c>
      <c r="O99" t="s">
        <v>10</v>
      </c>
      <c r="P99" t="s">
        <v>8</v>
      </c>
      <c r="Q99" t="s">
        <v>65</v>
      </c>
      <c r="R99" t="s">
        <v>26</v>
      </c>
      <c r="S99" s="3">
        <v>4.8499999999999996</v>
      </c>
      <c r="T99" t="s">
        <v>12</v>
      </c>
      <c r="U99" s="3">
        <v>421.57</v>
      </c>
      <c r="V99" t="s">
        <v>77</v>
      </c>
      <c r="W99" t="s">
        <v>8</v>
      </c>
      <c r="X99" t="s">
        <v>8</v>
      </c>
      <c r="Y99" t="s">
        <v>69</v>
      </c>
      <c r="Z99" t="s">
        <v>14</v>
      </c>
      <c r="AA99" t="s">
        <v>233</v>
      </c>
      <c r="AB99" t="s">
        <v>8</v>
      </c>
      <c r="AC99" t="s">
        <v>8</v>
      </c>
      <c r="AD99" t="s">
        <v>8</v>
      </c>
      <c r="AE99" s="2">
        <v>45762</v>
      </c>
      <c r="AF99" s="2">
        <v>45887</v>
      </c>
      <c r="AG99" t="s">
        <v>24</v>
      </c>
    </row>
    <row r="100" spans="1:33" outlineLevel="2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s="2">
        <v>45762</v>
      </c>
      <c r="H100" t="s">
        <v>262</v>
      </c>
      <c r="I100" t="s">
        <v>75</v>
      </c>
      <c r="J100" s="2">
        <v>45762</v>
      </c>
      <c r="K100" s="2">
        <v>45763</v>
      </c>
      <c r="L100" t="s">
        <v>69</v>
      </c>
      <c r="M100" t="s">
        <v>263</v>
      </c>
      <c r="N100" t="s">
        <v>9</v>
      </c>
      <c r="O100" t="s">
        <v>10</v>
      </c>
      <c r="P100" t="s">
        <v>8</v>
      </c>
      <c r="Q100" t="s">
        <v>65</v>
      </c>
      <c r="R100" t="s">
        <v>26</v>
      </c>
      <c r="S100" s="3">
        <v>21.76</v>
      </c>
      <c r="T100" t="s">
        <v>12</v>
      </c>
      <c r="U100" s="3">
        <v>1891.42</v>
      </c>
      <c r="V100" t="s">
        <v>77</v>
      </c>
      <c r="W100" t="s">
        <v>8</v>
      </c>
      <c r="X100" t="s">
        <v>8</v>
      </c>
      <c r="Y100" t="s">
        <v>69</v>
      </c>
      <c r="Z100" t="s">
        <v>14</v>
      </c>
      <c r="AA100" t="s">
        <v>233</v>
      </c>
      <c r="AB100" t="s">
        <v>8</v>
      </c>
      <c r="AC100" t="s">
        <v>8</v>
      </c>
      <c r="AD100" t="s">
        <v>8</v>
      </c>
      <c r="AE100" s="2">
        <v>45762</v>
      </c>
      <c r="AF100" s="2">
        <v>45887</v>
      </c>
      <c r="AG100" t="s">
        <v>24</v>
      </c>
    </row>
    <row r="101" spans="1:33" outlineLevel="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45762</v>
      </c>
      <c r="H101" t="s">
        <v>264</v>
      </c>
      <c r="I101" t="s">
        <v>75</v>
      </c>
      <c r="J101" s="2">
        <v>45762</v>
      </c>
      <c r="K101" s="2">
        <v>45763</v>
      </c>
      <c r="L101" t="s">
        <v>69</v>
      </c>
      <c r="M101" t="s">
        <v>265</v>
      </c>
      <c r="N101" t="s">
        <v>9</v>
      </c>
      <c r="O101" t="s">
        <v>10</v>
      </c>
      <c r="P101" t="s">
        <v>8</v>
      </c>
      <c r="Q101" t="s">
        <v>65</v>
      </c>
      <c r="R101" t="s">
        <v>26</v>
      </c>
      <c r="S101" s="3">
        <v>2.2000000000000002</v>
      </c>
      <c r="T101" t="s">
        <v>12</v>
      </c>
      <c r="U101" s="3">
        <v>191.23</v>
      </c>
      <c r="V101" t="s">
        <v>77</v>
      </c>
      <c r="W101" t="s">
        <v>8</v>
      </c>
      <c r="X101" t="s">
        <v>8</v>
      </c>
      <c r="Y101" t="s">
        <v>69</v>
      </c>
      <c r="Z101" t="s">
        <v>14</v>
      </c>
      <c r="AA101" t="s">
        <v>233</v>
      </c>
      <c r="AB101" t="s">
        <v>8</v>
      </c>
      <c r="AC101" t="s">
        <v>8</v>
      </c>
      <c r="AD101" t="s">
        <v>8</v>
      </c>
      <c r="AE101" s="2">
        <v>45762</v>
      </c>
      <c r="AF101" s="2">
        <v>45887</v>
      </c>
      <c r="AG101" t="s">
        <v>24</v>
      </c>
    </row>
    <row r="102" spans="1:33" outlineLevel="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45762</v>
      </c>
      <c r="H102" t="s">
        <v>266</v>
      </c>
      <c r="I102" t="s">
        <v>75</v>
      </c>
      <c r="J102" s="2">
        <v>45762</v>
      </c>
      <c r="K102" s="2">
        <v>45763</v>
      </c>
      <c r="L102" t="s">
        <v>69</v>
      </c>
      <c r="M102" t="s">
        <v>267</v>
      </c>
      <c r="N102" t="s">
        <v>9</v>
      </c>
      <c r="O102" t="s">
        <v>10</v>
      </c>
      <c r="P102" t="s">
        <v>8</v>
      </c>
      <c r="Q102" t="s">
        <v>65</v>
      </c>
      <c r="R102" t="s">
        <v>26</v>
      </c>
      <c r="S102" s="3">
        <v>1.1100000000000001</v>
      </c>
      <c r="T102" t="s">
        <v>12</v>
      </c>
      <c r="U102" s="3">
        <v>96.48</v>
      </c>
      <c r="V102" t="s">
        <v>77</v>
      </c>
      <c r="W102" t="s">
        <v>8</v>
      </c>
      <c r="X102" t="s">
        <v>8</v>
      </c>
      <c r="Y102" t="s">
        <v>69</v>
      </c>
      <c r="Z102" t="s">
        <v>14</v>
      </c>
      <c r="AA102" t="s">
        <v>233</v>
      </c>
      <c r="AB102" t="s">
        <v>8</v>
      </c>
      <c r="AC102" t="s">
        <v>8</v>
      </c>
      <c r="AD102" t="s">
        <v>8</v>
      </c>
      <c r="AE102" s="2">
        <v>45762</v>
      </c>
      <c r="AF102" s="2">
        <v>45887</v>
      </c>
      <c r="AG102" t="s">
        <v>24</v>
      </c>
    </row>
    <row r="103" spans="1:33" outlineLevel="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45762</v>
      </c>
      <c r="H103" t="s">
        <v>268</v>
      </c>
      <c r="I103" t="s">
        <v>75</v>
      </c>
      <c r="J103" s="2">
        <v>45762</v>
      </c>
      <c r="K103" s="2">
        <v>45763</v>
      </c>
      <c r="L103" t="s">
        <v>69</v>
      </c>
      <c r="M103" t="s">
        <v>269</v>
      </c>
      <c r="N103" t="s">
        <v>9</v>
      </c>
      <c r="O103" t="s">
        <v>10</v>
      </c>
      <c r="P103" t="s">
        <v>8</v>
      </c>
      <c r="Q103" t="s">
        <v>65</v>
      </c>
      <c r="R103" t="s">
        <v>26</v>
      </c>
      <c r="S103" s="3">
        <v>11</v>
      </c>
      <c r="T103" t="s">
        <v>12</v>
      </c>
      <c r="U103" s="3">
        <v>956.14</v>
      </c>
      <c r="V103" t="s">
        <v>77</v>
      </c>
      <c r="W103" t="s">
        <v>8</v>
      </c>
      <c r="X103" t="s">
        <v>8</v>
      </c>
      <c r="Y103" t="s">
        <v>69</v>
      </c>
      <c r="Z103" t="s">
        <v>14</v>
      </c>
      <c r="AA103" t="s">
        <v>233</v>
      </c>
      <c r="AB103" t="s">
        <v>8</v>
      </c>
      <c r="AC103" t="s">
        <v>8</v>
      </c>
      <c r="AD103" t="s">
        <v>8</v>
      </c>
      <c r="AE103" s="2">
        <v>45762</v>
      </c>
      <c r="AF103" s="2">
        <v>45887</v>
      </c>
      <c r="AG103" t="s">
        <v>24</v>
      </c>
    </row>
    <row r="104" spans="1:33" outlineLevel="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45762</v>
      </c>
      <c r="H104" t="s">
        <v>270</v>
      </c>
      <c r="I104" t="s">
        <v>75</v>
      </c>
      <c r="J104" s="2">
        <v>45762</v>
      </c>
      <c r="K104" s="2">
        <v>45763</v>
      </c>
      <c r="L104" t="s">
        <v>69</v>
      </c>
      <c r="M104" t="s">
        <v>271</v>
      </c>
      <c r="N104" t="s">
        <v>9</v>
      </c>
      <c r="O104" t="s">
        <v>10</v>
      </c>
      <c r="P104" t="s">
        <v>8</v>
      </c>
      <c r="Q104" t="s">
        <v>65</v>
      </c>
      <c r="R104" t="s">
        <v>26</v>
      </c>
      <c r="S104" s="3">
        <v>23.21</v>
      </c>
      <c r="T104" t="s">
        <v>12</v>
      </c>
      <c r="U104" s="3">
        <v>2017.46</v>
      </c>
      <c r="V104" t="s">
        <v>77</v>
      </c>
      <c r="W104" t="s">
        <v>8</v>
      </c>
      <c r="X104" t="s">
        <v>8</v>
      </c>
      <c r="Y104" t="s">
        <v>69</v>
      </c>
      <c r="Z104" t="s">
        <v>14</v>
      </c>
      <c r="AA104" t="s">
        <v>233</v>
      </c>
      <c r="AB104" t="s">
        <v>8</v>
      </c>
      <c r="AC104" t="s">
        <v>8</v>
      </c>
      <c r="AD104" t="s">
        <v>8</v>
      </c>
      <c r="AE104" s="2">
        <v>45762</v>
      </c>
      <c r="AF104" s="2">
        <v>45887</v>
      </c>
      <c r="AG104" t="s">
        <v>24</v>
      </c>
    </row>
    <row r="105" spans="1:33" outlineLevel="2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45762</v>
      </c>
      <c r="H105" t="s">
        <v>272</v>
      </c>
      <c r="I105" t="s">
        <v>75</v>
      </c>
      <c r="J105" s="2">
        <v>45762</v>
      </c>
      <c r="K105" s="2">
        <v>45763</v>
      </c>
      <c r="L105" t="s">
        <v>69</v>
      </c>
      <c r="M105" t="s">
        <v>273</v>
      </c>
      <c r="N105" t="s">
        <v>9</v>
      </c>
      <c r="O105" t="s">
        <v>10</v>
      </c>
      <c r="P105" t="s">
        <v>8</v>
      </c>
      <c r="Q105" t="s">
        <v>65</v>
      </c>
      <c r="R105" t="s">
        <v>26</v>
      </c>
      <c r="S105" s="3">
        <v>7.81</v>
      </c>
      <c r="T105" t="s">
        <v>12</v>
      </c>
      <c r="U105" s="3">
        <v>678.86</v>
      </c>
      <c r="V105" t="s">
        <v>77</v>
      </c>
      <c r="W105" t="s">
        <v>8</v>
      </c>
      <c r="X105" t="s">
        <v>8</v>
      </c>
      <c r="Y105" t="s">
        <v>69</v>
      </c>
      <c r="Z105" t="s">
        <v>14</v>
      </c>
      <c r="AA105" t="s">
        <v>233</v>
      </c>
      <c r="AB105" t="s">
        <v>8</v>
      </c>
      <c r="AC105" t="s">
        <v>8</v>
      </c>
      <c r="AD105" t="s">
        <v>8</v>
      </c>
      <c r="AE105" s="2">
        <v>45762</v>
      </c>
      <c r="AF105" s="2">
        <v>45887</v>
      </c>
      <c r="AG105" t="s">
        <v>24</v>
      </c>
    </row>
    <row r="106" spans="1:33" outlineLevel="2" x14ac:dyDescent="0.25">
      <c r="A106" t="s">
        <v>27</v>
      </c>
      <c r="B106" t="s">
        <v>1</v>
      </c>
      <c r="C106" t="s">
        <v>2</v>
      </c>
      <c r="D106" t="s">
        <v>3</v>
      </c>
      <c r="E106" t="s">
        <v>4</v>
      </c>
      <c r="F106" t="s">
        <v>28</v>
      </c>
      <c r="G106" s="2">
        <v>45947</v>
      </c>
      <c r="H106" t="s">
        <v>274</v>
      </c>
      <c r="I106" t="s">
        <v>118</v>
      </c>
      <c r="J106" s="2">
        <v>45947</v>
      </c>
      <c r="K106" s="2">
        <v>45953</v>
      </c>
      <c r="L106" t="s">
        <v>69</v>
      </c>
      <c r="M106" t="s">
        <v>275</v>
      </c>
      <c r="N106" t="s">
        <v>9</v>
      </c>
      <c r="O106" t="s">
        <v>10</v>
      </c>
      <c r="P106" t="s">
        <v>8</v>
      </c>
      <c r="Q106" t="s">
        <v>54</v>
      </c>
      <c r="R106" t="s">
        <v>26</v>
      </c>
      <c r="S106" s="3">
        <v>-136.47999999999999</v>
      </c>
      <c r="T106" t="s">
        <v>12</v>
      </c>
      <c r="U106" s="3">
        <v>-12036.28</v>
      </c>
      <c r="V106" t="s">
        <v>77</v>
      </c>
      <c r="W106" t="s">
        <v>13</v>
      </c>
      <c r="X106" t="s">
        <v>8</v>
      </c>
      <c r="Y106" t="s">
        <v>276</v>
      </c>
      <c r="Z106" t="s">
        <v>14</v>
      </c>
      <c r="AA106" t="s">
        <v>277</v>
      </c>
      <c r="AB106" t="s">
        <v>8</v>
      </c>
      <c r="AC106" t="s">
        <v>8</v>
      </c>
      <c r="AD106" t="s">
        <v>8</v>
      </c>
      <c r="AE106" s="2">
        <v>45947</v>
      </c>
      <c r="AF106" s="2"/>
      <c r="AG106" t="s">
        <v>8</v>
      </c>
    </row>
    <row r="107" spans="1:33" outlineLevel="2" x14ac:dyDescent="0.25">
      <c r="A107" t="s">
        <v>27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s="2">
        <v>45763</v>
      </c>
      <c r="H107" t="s">
        <v>278</v>
      </c>
      <c r="I107" t="s">
        <v>75</v>
      </c>
      <c r="J107" s="2">
        <v>45763</v>
      </c>
      <c r="K107" s="2">
        <v>45764</v>
      </c>
      <c r="L107" t="s">
        <v>69</v>
      </c>
      <c r="M107" t="s">
        <v>279</v>
      </c>
      <c r="N107" t="s">
        <v>9</v>
      </c>
      <c r="O107" t="s">
        <v>10</v>
      </c>
      <c r="P107" t="s">
        <v>8</v>
      </c>
      <c r="Q107" t="s">
        <v>65</v>
      </c>
      <c r="R107" t="s">
        <v>26</v>
      </c>
      <c r="S107" s="3">
        <v>71.22</v>
      </c>
      <c r="T107" t="s">
        <v>12</v>
      </c>
      <c r="U107" s="3">
        <v>6190.57</v>
      </c>
      <c r="V107" t="s">
        <v>77</v>
      </c>
      <c r="W107" t="s">
        <v>13</v>
      </c>
      <c r="X107" t="s">
        <v>8</v>
      </c>
      <c r="Y107" t="s">
        <v>69</v>
      </c>
      <c r="Z107" t="s">
        <v>14</v>
      </c>
      <c r="AA107" t="s">
        <v>280</v>
      </c>
      <c r="AB107" t="s">
        <v>8</v>
      </c>
      <c r="AC107" t="s">
        <v>8</v>
      </c>
      <c r="AD107" t="s">
        <v>8</v>
      </c>
      <c r="AE107" s="2">
        <v>45763</v>
      </c>
      <c r="AF107" s="2"/>
      <c r="AG107" t="s">
        <v>8</v>
      </c>
    </row>
    <row r="108" spans="1:33" outlineLevel="2" x14ac:dyDescent="0.25">
      <c r="A108" t="s">
        <v>27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s="2">
        <v>45763</v>
      </c>
      <c r="H108" t="s">
        <v>281</v>
      </c>
      <c r="I108" t="s">
        <v>75</v>
      </c>
      <c r="J108" s="2">
        <v>45763</v>
      </c>
      <c r="K108" s="2">
        <v>45764</v>
      </c>
      <c r="L108" t="s">
        <v>69</v>
      </c>
      <c r="M108" t="s">
        <v>282</v>
      </c>
      <c r="N108" t="s">
        <v>9</v>
      </c>
      <c r="O108" t="s">
        <v>10</v>
      </c>
      <c r="P108" t="s">
        <v>8</v>
      </c>
      <c r="Q108" t="s">
        <v>65</v>
      </c>
      <c r="R108" t="s">
        <v>26</v>
      </c>
      <c r="S108" s="3">
        <v>39.54</v>
      </c>
      <c r="T108" t="s">
        <v>12</v>
      </c>
      <c r="U108" s="3">
        <v>3436.89</v>
      </c>
      <c r="V108" t="s">
        <v>77</v>
      </c>
      <c r="W108" t="s">
        <v>13</v>
      </c>
      <c r="X108" t="s">
        <v>8</v>
      </c>
      <c r="Y108" t="s">
        <v>69</v>
      </c>
      <c r="Z108" t="s">
        <v>14</v>
      </c>
      <c r="AA108" t="s">
        <v>283</v>
      </c>
      <c r="AB108" t="s">
        <v>8</v>
      </c>
      <c r="AC108" t="s">
        <v>8</v>
      </c>
      <c r="AD108" t="s">
        <v>8</v>
      </c>
      <c r="AE108" s="2">
        <v>45763</v>
      </c>
      <c r="AF108" s="2"/>
      <c r="AG108" t="s">
        <v>8</v>
      </c>
    </row>
    <row r="109" spans="1:33" outlineLevel="2" x14ac:dyDescent="0.25">
      <c r="A109" t="s">
        <v>27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s="2">
        <v>45763</v>
      </c>
      <c r="H109" t="s">
        <v>284</v>
      </c>
      <c r="I109" t="s">
        <v>75</v>
      </c>
      <c r="J109" s="2">
        <v>45763</v>
      </c>
      <c r="K109" s="2">
        <v>45764</v>
      </c>
      <c r="L109" t="s">
        <v>69</v>
      </c>
      <c r="M109" t="s">
        <v>285</v>
      </c>
      <c r="N109" t="s">
        <v>9</v>
      </c>
      <c r="O109" t="s">
        <v>10</v>
      </c>
      <c r="P109" t="s">
        <v>8</v>
      </c>
      <c r="Q109" t="s">
        <v>65</v>
      </c>
      <c r="R109" t="s">
        <v>26</v>
      </c>
      <c r="S109" s="3">
        <v>85.21</v>
      </c>
      <c r="T109" t="s">
        <v>12</v>
      </c>
      <c r="U109" s="3">
        <v>7406.61</v>
      </c>
      <c r="V109" t="s">
        <v>77</v>
      </c>
      <c r="W109" t="s">
        <v>13</v>
      </c>
      <c r="X109" t="s">
        <v>8</v>
      </c>
      <c r="Y109" t="s">
        <v>69</v>
      </c>
      <c r="Z109" t="s">
        <v>14</v>
      </c>
      <c r="AA109" t="s">
        <v>286</v>
      </c>
      <c r="AB109" t="s">
        <v>8</v>
      </c>
      <c r="AC109" t="s">
        <v>8</v>
      </c>
      <c r="AD109" t="s">
        <v>8</v>
      </c>
      <c r="AE109" s="2">
        <v>45763</v>
      </c>
      <c r="AF109" s="2"/>
      <c r="AG109" t="s">
        <v>8</v>
      </c>
    </row>
    <row r="110" spans="1:33" outlineLevel="2" x14ac:dyDescent="0.25">
      <c r="A110" t="s">
        <v>27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s="2">
        <v>45763</v>
      </c>
      <c r="H110" t="s">
        <v>287</v>
      </c>
      <c r="I110" t="s">
        <v>75</v>
      </c>
      <c r="J110" s="2">
        <v>45763</v>
      </c>
      <c r="K110" s="2">
        <v>45764</v>
      </c>
      <c r="L110" t="s">
        <v>69</v>
      </c>
      <c r="M110" t="s">
        <v>288</v>
      </c>
      <c r="N110" t="s">
        <v>9</v>
      </c>
      <c r="O110" t="s">
        <v>10</v>
      </c>
      <c r="P110" t="s">
        <v>8</v>
      </c>
      <c r="Q110" t="s">
        <v>65</v>
      </c>
      <c r="R110" t="s">
        <v>26</v>
      </c>
      <c r="S110" s="3">
        <v>171.71</v>
      </c>
      <c r="T110" t="s">
        <v>12</v>
      </c>
      <c r="U110" s="3">
        <v>14925.35</v>
      </c>
      <c r="V110" t="s">
        <v>77</v>
      </c>
      <c r="W110" t="s">
        <v>13</v>
      </c>
      <c r="X110" t="s">
        <v>8</v>
      </c>
      <c r="Y110" t="s">
        <v>69</v>
      </c>
      <c r="Z110" t="s">
        <v>14</v>
      </c>
      <c r="AA110" t="s">
        <v>289</v>
      </c>
      <c r="AB110" t="s">
        <v>8</v>
      </c>
      <c r="AC110" t="s">
        <v>8</v>
      </c>
      <c r="AD110" t="s">
        <v>8</v>
      </c>
      <c r="AE110" s="2">
        <v>45763</v>
      </c>
      <c r="AF110" s="2"/>
      <c r="AG110" t="s">
        <v>8</v>
      </c>
    </row>
    <row r="111" spans="1:33" outlineLevel="2" x14ac:dyDescent="0.25">
      <c r="A111" t="s">
        <v>27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s="2">
        <v>45763</v>
      </c>
      <c r="H111" t="s">
        <v>290</v>
      </c>
      <c r="I111" t="s">
        <v>75</v>
      </c>
      <c r="J111" s="2">
        <v>45763</v>
      </c>
      <c r="K111" s="2">
        <v>45764</v>
      </c>
      <c r="L111" t="s">
        <v>69</v>
      </c>
      <c r="M111" t="s">
        <v>291</v>
      </c>
      <c r="N111" t="s">
        <v>9</v>
      </c>
      <c r="O111" t="s">
        <v>10</v>
      </c>
      <c r="P111" t="s">
        <v>8</v>
      </c>
      <c r="Q111" t="s">
        <v>65</v>
      </c>
      <c r="R111" t="s">
        <v>26</v>
      </c>
      <c r="S111" s="3">
        <v>500.58</v>
      </c>
      <c r="T111" t="s">
        <v>12</v>
      </c>
      <c r="U111" s="3">
        <v>43511.32</v>
      </c>
      <c r="V111" t="s">
        <v>77</v>
      </c>
      <c r="W111" t="s">
        <v>13</v>
      </c>
      <c r="X111" t="s">
        <v>8</v>
      </c>
      <c r="Y111" t="s">
        <v>69</v>
      </c>
      <c r="Z111" t="s">
        <v>14</v>
      </c>
      <c r="AA111" t="s">
        <v>292</v>
      </c>
      <c r="AB111" t="s">
        <v>8</v>
      </c>
      <c r="AC111" t="s">
        <v>8</v>
      </c>
      <c r="AD111" t="s">
        <v>8</v>
      </c>
      <c r="AE111" s="2">
        <v>45763</v>
      </c>
      <c r="AF111" s="2"/>
      <c r="AG111" t="s">
        <v>8</v>
      </c>
    </row>
    <row r="112" spans="1:33" outlineLevel="2" x14ac:dyDescent="0.25">
      <c r="A112" t="s">
        <v>27</v>
      </c>
      <c r="B112" t="s">
        <v>1</v>
      </c>
      <c r="C112" t="s">
        <v>2</v>
      </c>
      <c r="D112" t="s">
        <v>3</v>
      </c>
      <c r="E112" t="s">
        <v>4</v>
      </c>
      <c r="F112" t="s">
        <v>36</v>
      </c>
      <c r="G112" s="2">
        <v>45863</v>
      </c>
      <c r="H112" t="s">
        <v>293</v>
      </c>
      <c r="I112" t="s">
        <v>75</v>
      </c>
      <c r="J112" s="2">
        <v>45863</v>
      </c>
      <c r="K112" s="2">
        <v>45863</v>
      </c>
      <c r="L112" t="s">
        <v>69</v>
      </c>
      <c r="M112" t="s">
        <v>294</v>
      </c>
      <c r="N112" t="s">
        <v>9</v>
      </c>
      <c r="O112" t="s">
        <v>10</v>
      </c>
      <c r="P112" t="s">
        <v>8</v>
      </c>
      <c r="Q112" t="s">
        <v>65</v>
      </c>
      <c r="R112" t="s">
        <v>26</v>
      </c>
      <c r="S112" s="3">
        <v>755.58</v>
      </c>
      <c r="T112" t="s">
        <v>12</v>
      </c>
      <c r="U112" s="3">
        <v>64980.39</v>
      </c>
      <c r="V112" t="s">
        <v>77</v>
      </c>
      <c r="W112" t="s">
        <v>13</v>
      </c>
      <c r="X112" t="s">
        <v>8</v>
      </c>
      <c r="Y112" t="s">
        <v>69</v>
      </c>
      <c r="Z112" t="s">
        <v>14</v>
      </c>
      <c r="AA112" t="s">
        <v>295</v>
      </c>
      <c r="AB112" t="s">
        <v>8</v>
      </c>
      <c r="AC112" t="s">
        <v>8</v>
      </c>
      <c r="AD112" t="s">
        <v>8</v>
      </c>
      <c r="AE112" s="2">
        <v>45863</v>
      </c>
      <c r="AF112" s="2"/>
      <c r="AG112" t="s">
        <v>8</v>
      </c>
    </row>
    <row r="113" spans="1:33" outlineLevel="2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49</v>
      </c>
      <c r="G113" s="2">
        <v>45730</v>
      </c>
      <c r="H113" t="s">
        <v>296</v>
      </c>
      <c r="I113" t="s">
        <v>75</v>
      </c>
      <c r="J113" s="2">
        <v>45730</v>
      </c>
      <c r="K113" s="2">
        <v>45735</v>
      </c>
      <c r="L113" t="s">
        <v>69</v>
      </c>
      <c r="M113" t="s">
        <v>297</v>
      </c>
      <c r="N113" t="s">
        <v>9</v>
      </c>
      <c r="O113" t="s">
        <v>10</v>
      </c>
      <c r="P113" t="s">
        <v>8</v>
      </c>
      <c r="Q113" t="s">
        <v>65</v>
      </c>
      <c r="R113" t="s">
        <v>26</v>
      </c>
      <c r="S113" s="3">
        <v>945.75</v>
      </c>
      <c r="T113" t="s">
        <v>12</v>
      </c>
      <c r="U113" s="3">
        <v>81988.259999999995</v>
      </c>
      <c r="V113" t="s">
        <v>77</v>
      </c>
      <c r="W113" t="s">
        <v>13</v>
      </c>
      <c r="X113" t="s">
        <v>8</v>
      </c>
      <c r="Y113" t="s">
        <v>69</v>
      </c>
      <c r="Z113" t="s">
        <v>14</v>
      </c>
      <c r="AA113" t="s">
        <v>298</v>
      </c>
      <c r="AB113" t="s">
        <v>8</v>
      </c>
      <c r="AC113" t="s">
        <v>8</v>
      </c>
      <c r="AD113" t="s">
        <v>8</v>
      </c>
      <c r="AE113" s="2">
        <v>45730</v>
      </c>
      <c r="AF113" s="2">
        <v>45842</v>
      </c>
      <c r="AG113" t="s">
        <v>68</v>
      </c>
    </row>
    <row r="114" spans="1:33" outlineLevel="2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49</v>
      </c>
      <c r="G114" s="2">
        <v>45730</v>
      </c>
      <c r="H114" t="s">
        <v>299</v>
      </c>
      <c r="I114" t="s">
        <v>75</v>
      </c>
      <c r="J114" s="2">
        <v>45730</v>
      </c>
      <c r="K114" s="2">
        <v>45733</v>
      </c>
      <c r="L114" t="s">
        <v>69</v>
      </c>
      <c r="M114" t="s">
        <v>300</v>
      </c>
      <c r="N114" t="s">
        <v>9</v>
      </c>
      <c r="O114" t="s">
        <v>10</v>
      </c>
      <c r="P114" t="s">
        <v>8</v>
      </c>
      <c r="Q114" t="s">
        <v>65</v>
      </c>
      <c r="R114" t="s">
        <v>26</v>
      </c>
      <c r="S114" s="3">
        <v>945.75</v>
      </c>
      <c r="T114" t="s">
        <v>12</v>
      </c>
      <c r="U114" s="3">
        <v>81988.259999999995</v>
      </c>
      <c r="V114" t="s">
        <v>77</v>
      </c>
      <c r="W114" t="s">
        <v>13</v>
      </c>
      <c r="X114" t="s">
        <v>8</v>
      </c>
      <c r="Y114" t="s">
        <v>69</v>
      </c>
      <c r="Z114" t="s">
        <v>14</v>
      </c>
      <c r="AA114" t="s">
        <v>298</v>
      </c>
      <c r="AB114" t="s">
        <v>8</v>
      </c>
      <c r="AC114" t="s">
        <v>8</v>
      </c>
      <c r="AD114" t="s">
        <v>8</v>
      </c>
      <c r="AE114" s="2">
        <v>45730</v>
      </c>
      <c r="AF114" s="2">
        <v>45887</v>
      </c>
      <c r="AG114" t="s">
        <v>24</v>
      </c>
    </row>
    <row r="115" spans="1:33" outlineLevel="2" x14ac:dyDescent="0.25">
      <c r="A115" t="s">
        <v>27</v>
      </c>
      <c r="B115" t="s">
        <v>1</v>
      </c>
      <c r="C115" t="s">
        <v>2</v>
      </c>
      <c r="D115" t="s">
        <v>3</v>
      </c>
      <c r="E115" t="s">
        <v>4</v>
      </c>
      <c r="F115" t="s">
        <v>23</v>
      </c>
      <c r="G115" s="2">
        <v>45883</v>
      </c>
      <c r="H115" t="s">
        <v>301</v>
      </c>
      <c r="I115" t="s">
        <v>118</v>
      </c>
      <c r="J115" s="2">
        <v>45883</v>
      </c>
      <c r="K115" s="2">
        <v>45891</v>
      </c>
      <c r="L115" t="s">
        <v>69</v>
      </c>
      <c r="M115" t="s">
        <v>302</v>
      </c>
      <c r="N115" t="s">
        <v>9</v>
      </c>
      <c r="O115" t="s">
        <v>10</v>
      </c>
      <c r="P115" t="s">
        <v>8</v>
      </c>
      <c r="Q115" t="s">
        <v>54</v>
      </c>
      <c r="R115" t="s">
        <v>26</v>
      </c>
      <c r="S115" s="3">
        <v>-2324.77</v>
      </c>
      <c r="T115" t="s">
        <v>12</v>
      </c>
      <c r="U115" s="3">
        <v>-200000.24</v>
      </c>
      <c r="V115" t="s">
        <v>77</v>
      </c>
      <c r="W115" t="s">
        <v>13</v>
      </c>
      <c r="X115" t="s">
        <v>8</v>
      </c>
      <c r="Y115" t="s">
        <v>69</v>
      </c>
      <c r="Z115" t="s">
        <v>14</v>
      </c>
      <c r="AA115" t="s">
        <v>120</v>
      </c>
      <c r="AB115" t="s">
        <v>8</v>
      </c>
      <c r="AC115" t="s">
        <v>8</v>
      </c>
      <c r="AD115" t="s">
        <v>8</v>
      </c>
      <c r="AE115" s="2">
        <v>45883</v>
      </c>
      <c r="AF115" s="2"/>
      <c r="AG115" t="s">
        <v>8</v>
      </c>
    </row>
    <row r="116" spans="1:33" outlineLevel="2" x14ac:dyDescent="0.25">
      <c r="A116" t="s">
        <v>27</v>
      </c>
      <c r="B116" t="s">
        <v>1</v>
      </c>
      <c r="C116" t="s">
        <v>2</v>
      </c>
      <c r="D116" t="s">
        <v>3</v>
      </c>
      <c r="E116" t="s">
        <v>4</v>
      </c>
      <c r="F116" t="s">
        <v>18</v>
      </c>
      <c r="G116" s="2">
        <v>45904</v>
      </c>
      <c r="H116" t="s">
        <v>303</v>
      </c>
      <c r="I116" t="s">
        <v>75</v>
      </c>
      <c r="J116" s="2">
        <v>45904</v>
      </c>
      <c r="K116" s="2">
        <v>45909</v>
      </c>
      <c r="L116" t="s">
        <v>69</v>
      </c>
      <c r="M116" t="s">
        <v>304</v>
      </c>
      <c r="N116" t="s">
        <v>9</v>
      </c>
      <c r="O116" t="s">
        <v>10</v>
      </c>
      <c r="P116" t="s">
        <v>8</v>
      </c>
      <c r="Q116" t="s">
        <v>65</v>
      </c>
      <c r="R116" t="s">
        <v>26</v>
      </c>
      <c r="S116" s="3">
        <v>787.95</v>
      </c>
      <c r="T116" t="s">
        <v>12</v>
      </c>
      <c r="U116" s="3">
        <v>68956.92</v>
      </c>
      <c r="V116" t="s">
        <v>77</v>
      </c>
      <c r="W116" t="s">
        <v>13</v>
      </c>
      <c r="X116" t="s">
        <v>8</v>
      </c>
      <c r="Y116" t="s">
        <v>69</v>
      </c>
      <c r="Z116" t="s">
        <v>14</v>
      </c>
      <c r="AA116" t="s">
        <v>305</v>
      </c>
      <c r="AB116" t="s">
        <v>8</v>
      </c>
      <c r="AC116" t="s">
        <v>8</v>
      </c>
      <c r="AD116" t="s">
        <v>8</v>
      </c>
      <c r="AE116" s="2">
        <v>45904</v>
      </c>
      <c r="AF116" s="2"/>
      <c r="AG116" t="s">
        <v>8</v>
      </c>
    </row>
    <row r="117" spans="1:33" outlineLevel="2" x14ac:dyDescent="0.25">
      <c r="A117" t="s">
        <v>27</v>
      </c>
      <c r="B117" t="s">
        <v>1</v>
      </c>
      <c r="C117" t="s">
        <v>2</v>
      </c>
      <c r="D117" t="s">
        <v>3</v>
      </c>
      <c r="E117" t="s">
        <v>4</v>
      </c>
      <c r="F117" t="s">
        <v>18</v>
      </c>
      <c r="G117" s="2">
        <v>45904</v>
      </c>
      <c r="H117" t="s">
        <v>306</v>
      </c>
      <c r="I117" t="s">
        <v>75</v>
      </c>
      <c r="J117" s="2">
        <v>45904</v>
      </c>
      <c r="K117" s="2">
        <v>45909</v>
      </c>
      <c r="L117" t="s">
        <v>69</v>
      </c>
      <c r="M117" t="s">
        <v>307</v>
      </c>
      <c r="N117" t="s">
        <v>9</v>
      </c>
      <c r="O117" t="s">
        <v>10</v>
      </c>
      <c r="P117" t="s">
        <v>8</v>
      </c>
      <c r="Q117" t="s">
        <v>65</v>
      </c>
      <c r="R117" t="s">
        <v>26</v>
      </c>
      <c r="S117" s="3">
        <v>1560</v>
      </c>
      <c r="T117" t="s">
        <v>12</v>
      </c>
      <c r="U117" s="3">
        <v>136522.35</v>
      </c>
      <c r="V117" t="s">
        <v>77</v>
      </c>
      <c r="W117" t="s">
        <v>13</v>
      </c>
      <c r="X117" t="s">
        <v>8</v>
      </c>
      <c r="Y117" t="s">
        <v>69</v>
      </c>
      <c r="Z117" t="s">
        <v>14</v>
      </c>
      <c r="AA117" t="s">
        <v>308</v>
      </c>
      <c r="AB117" t="s">
        <v>8</v>
      </c>
      <c r="AC117" t="s">
        <v>8</v>
      </c>
      <c r="AD117" t="s">
        <v>8</v>
      </c>
      <c r="AE117" s="2">
        <v>45904</v>
      </c>
      <c r="AF117" s="2"/>
      <c r="AG117" t="s">
        <v>8</v>
      </c>
    </row>
    <row r="118" spans="1:33" outlineLevel="2" x14ac:dyDescent="0.25">
      <c r="A118" t="s">
        <v>27</v>
      </c>
      <c r="B118" t="s">
        <v>1</v>
      </c>
      <c r="C118" t="s">
        <v>2</v>
      </c>
      <c r="D118" t="s">
        <v>3</v>
      </c>
      <c r="E118" t="s">
        <v>4</v>
      </c>
      <c r="F118" t="s">
        <v>18</v>
      </c>
      <c r="G118" s="2">
        <v>45904</v>
      </c>
      <c r="H118" t="s">
        <v>309</v>
      </c>
      <c r="I118" t="s">
        <v>75</v>
      </c>
      <c r="J118" s="2">
        <v>45904</v>
      </c>
      <c r="K118" s="2">
        <v>45909</v>
      </c>
      <c r="L118" t="s">
        <v>69</v>
      </c>
      <c r="M118" t="s">
        <v>310</v>
      </c>
      <c r="N118" t="s">
        <v>9</v>
      </c>
      <c r="O118" t="s">
        <v>10</v>
      </c>
      <c r="P118" t="s">
        <v>8</v>
      </c>
      <c r="Q118" t="s">
        <v>65</v>
      </c>
      <c r="R118" t="s">
        <v>26</v>
      </c>
      <c r="S118" s="3">
        <v>1560</v>
      </c>
      <c r="T118" t="s">
        <v>12</v>
      </c>
      <c r="U118" s="3">
        <v>136522.35</v>
      </c>
      <c r="V118" t="s">
        <v>77</v>
      </c>
      <c r="W118" t="s">
        <v>13</v>
      </c>
      <c r="X118" t="s">
        <v>8</v>
      </c>
      <c r="Y118" t="s">
        <v>69</v>
      </c>
      <c r="Z118" t="s">
        <v>14</v>
      </c>
      <c r="AA118" t="s">
        <v>311</v>
      </c>
      <c r="AB118" t="s">
        <v>8</v>
      </c>
      <c r="AC118" t="s">
        <v>8</v>
      </c>
      <c r="AD118" t="s">
        <v>8</v>
      </c>
      <c r="AE118" s="2">
        <v>45904</v>
      </c>
      <c r="AF118" s="2"/>
      <c r="AG118" t="s">
        <v>8</v>
      </c>
    </row>
    <row r="119" spans="1:33" outlineLevel="2" x14ac:dyDescent="0.25">
      <c r="A119" t="s">
        <v>27</v>
      </c>
      <c r="B119" t="s">
        <v>1</v>
      </c>
      <c r="C119" t="s">
        <v>2</v>
      </c>
      <c r="D119" t="s">
        <v>3</v>
      </c>
      <c r="E119" t="s">
        <v>4</v>
      </c>
      <c r="F119" t="s">
        <v>18</v>
      </c>
      <c r="G119" s="2">
        <v>45904</v>
      </c>
      <c r="H119" t="s">
        <v>312</v>
      </c>
      <c r="I119" t="s">
        <v>75</v>
      </c>
      <c r="J119" s="2">
        <v>45904</v>
      </c>
      <c r="K119" s="2">
        <v>45909</v>
      </c>
      <c r="L119" t="s">
        <v>69</v>
      </c>
      <c r="M119" t="s">
        <v>313</v>
      </c>
      <c r="N119" t="s">
        <v>9</v>
      </c>
      <c r="O119" t="s">
        <v>10</v>
      </c>
      <c r="P119" t="s">
        <v>8</v>
      </c>
      <c r="Q119" t="s">
        <v>65</v>
      </c>
      <c r="R119" t="s">
        <v>26</v>
      </c>
      <c r="S119" s="3">
        <v>1799.1</v>
      </c>
      <c r="T119" t="s">
        <v>12</v>
      </c>
      <c r="U119" s="3">
        <v>157447.03</v>
      </c>
      <c r="V119" t="s">
        <v>77</v>
      </c>
      <c r="W119" t="s">
        <v>13</v>
      </c>
      <c r="X119" t="s">
        <v>8</v>
      </c>
      <c r="Y119" t="s">
        <v>69</v>
      </c>
      <c r="Z119" t="s">
        <v>14</v>
      </c>
      <c r="AA119" t="s">
        <v>314</v>
      </c>
      <c r="AB119" t="s">
        <v>8</v>
      </c>
      <c r="AC119" t="s">
        <v>8</v>
      </c>
      <c r="AD119" t="s">
        <v>8</v>
      </c>
      <c r="AE119" s="2">
        <v>45904</v>
      </c>
      <c r="AF119" s="2"/>
      <c r="AG119" t="s">
        <v>8</v>
      </c>
    </row>
    <row r="120" spans="1:33" outlineLevel="2" x14ac:dyDescent="0.25">
      <c r="A120" t="s">
        <v>27</v>
      </c>
      <c r="B120" t="s">
        <v>1</v>
      </c>
      <c r="C120" t="s">
        <v>2</v>
      </c>
      <c r="D120" t="s">
        <v>3</v>
      </c>
      <c r="E120" t="s">
        <v>4</v>
      </c>
      <c r="F120" t="s">
        <v>18</v>
      </c>
      <c r="G120" s="2">
        <v>45904</v>
      </c>
      <c r="H120" t="s">
        <v>315</v>
      </c>
      <c r="I120" t="s">
        <v>75</v>
      </c>
      <c r="J120" s="2">
        <v>45904</v>
      </c>
      <c r="K120" s="2">
        <v>45909</v>
      </c>
      <c r="L120" t="s">
        <v>69</v>
      </c>
      <c r="M120" t="s">
        <v>316</v>
      </c>
      <c r="N120" t="s">
        <v>9</v>
      </c>
      <c r="O120" t="s">
        <v>10</v>
      </c>
      <c r="P120" t="s">
        <v>8</v>
      </c>
      <c r="Q120" t="s">
        <v>65</v>
      </c>
      <c r="R120" t="s">
        <v>26</v>
      </c>
      <c r="S120" s="3">
        <v>1812</v>
      </c>
      <c r="T120" t="s">
        <v>12</v>
      </c>
      <c r="U120" s="3">
        <v>158575.97</v>
      </c>
      <c r="V120" t="s">
        <v>77</v>
      </c>
      <c r="W120" t="s">
        <v>13</v>
      </c>
      <c r="X120" t="s">
        <v>8</v>
      </c>
      <c r="Y120" t="s">
        <v>69</v>
      </c>
      <c r="Z120" t="s">
        <v>14</v>
      </c>
      <c r="AA120" t="s">
        <v>317</v>
      </c>
      <c r="AB120" t="s">
        <v>8</v>
      </c>
      <c r="AC120" t="s">
        <v>8</v>
      </c>
      <c r="AD120" t="s">
        <v>8</v>
      </c>
      <c r="AE120" s="2">
        <v>45904</v>
      </c>
      <c r="AF120" s="2"/>
      <c r="AG120" t="s">
        <v>8</v>
      </c>
    </row>
    <row r="121" spans="1:33" outlineLevel="2" x14ac:dyDescent="0.25">
      <c r="A121" t="s">
        <v>27</v>
      </c>
      <c r="B121" t="s">
        <v>1</v>
      </c>
      <c r="C121" t="s">
        <v>2</v>
      </c>
      <c r="D121" t="s">
        <v>3</v>
      </c>
      <c r="E121" t="s">
        <v>4</v>
      </c>
      <c r="F121" t="s">
        <v>18</v>
      </c>
      <c r="G121" s="2">
        <v>45904</v>
      </c>
      <c r="H121" t="s">
        <v>318</v>
      </c>
      <c r="I121" t="s">
        <v>75</v>
      </c>
      <c r="J121" s="2">
        <v>45904</v>
      </c>
      <c r="K121" s="2">
        <v>45909</v>
      </c>
      <c r="L121" t="s">
        <v>69</v>
      </c>
      <c r="M121" t="s">
        <v>319</v>
      </c>
      <c r="N121" t="s">
        <v>9</v>
      </c>
      <c r="O121" t="s">
        <v>10</v>
      </c>
      <c r="P121" t="s">
        <v>8</v>
      </c>
      <c r="Q121" t="s">
        <v>65</v>
      </c>
      <c r="R121" t="s">
        <v>26</v>
      </c>
      <c r="S121" s="3">
        <v>152.28</v>
      </c>
      <c r="T121" t="s">
        <v>12</v>
      </c>
      <c r="U121" s="3">
        <v>13326.68</v>
      </c>
      <c r="V121" t="s">
        <v>77</v>
      </c>
      <c r="W121" t="s">
        <v>13</v>
      </c>
      <c r="X121" t="s">
        <v>8</v>
      </c>
      <c r="Y121" t="s">
        <v>69</v>
      </c>
      <c r="Z121" t="s">
        <v>14</v>
      </c>
      <c r="AA121" t="s">
        <v>320</v>
      </c>
      <c r="AB121" t="s">
        <v>8</v>
      </c>
      <c r="AC121" t="s">
        <v>8</v>
      </c>
      <c r="AD121" t="s">
        <v>8</v>
      </c>
      <c r="AE121" s="2">
        <v>45904</v>
      </c>
      <c r="AF121" s="2"/>
      <c r="AG121" t="s">
        <v>8</v>
      </c>
    </row>
    <row r="122" spans="1:33" outlineLevel="2" x14ac:dyDescent="0.25">
      <c r="A122" t="s">
        <v>27</v>
      </c>
      <c r="B122" t="s">
        <v>1</v>
      </c>
      <c r="C122" t="s">
        <v>2</v>
      </c>
      <c r="D122" t="s">
        <v>3</v>
      </c>
      <c r="E122" t="s">
        <v>4</v>
      </c>
      <c r="F122" t="s">
        <v>18</v>
      </c>
      <c r="G122" s="2">
        <v>45904</v>
      </c>
      <c r="H122" t="s">
        <v>321</v>
      </c>
      <c r="I122" t="s">
        <v>75</v>
      </c>
      <c r="J122" s="2">
        <v>45904</v>
      </c>
      <c r="K122" s="2">
        <v>45909</v>
      </c>
      <c r="L122" t="s">
        <v>69</v>
      </c>
      <c r="M122" t="s">
        <v>322</v>
      </c>
      <c r="N122" t="s">
        <v>9</v>
      </c>
      <c r="O122" t="s">
        <v>10</v>
      </c>
      <c r="P122" t="s">
        <v>8</v>
      </c>
      <c r="Q122" t="s">
        <v>65</v>
      </c>
      <c r="R122" t="s">
        <v>26</v>
      </c>
      <c r="S122" s="3">
        <v>83.89</v>
      </c>
      <c r="T122" t="s">
        <v>12</v>
      </c>
      <c r="U122" s="3">
        <v>7341.58</v>
      </c>
      <c r="V122" t="s">
        <v>77</v>
      </c>
      <c r="W122" t="s">
        <v>13</v>
      </c>
      <c r="X122" t="s">
        <v>8</v>
      </c>
      <c r="Y122" t="s">
        <v>69</v>
      </c>
      <c r="Z122" t="s">
        <v>14</v>
      </c>
      <c r="AA122" t="s">
        <v>323</v>
      </c>
      <c r="AB122" t="s">
        <v>8</v>
      </c>
      <c r="AC122" t="s">
        <v>8</v>
      </c>
      <c r="AD122" t="s">
        <v>8</v>
      </c>
      <c r="AE122" s="2">
        <v>45904</v>
      </c>
      <c r="AF122" s="2"/>
      <c r="AG122" t="s">
        <v>8</v>
      </c>
    </row>
    <row r="123" spans="1:33" outlineLevel="2" x14ac:dyDescent="0.25">
      <c r="A123" t="s">
        <v>27</v>
      </c>
      <c r="B123" t="s">
        <v>1</v>
      </c>
      <c r="C123" t="s">
        <v>2</v>
      </c>
      <c r="D123" t="s">
        <v>3</v>
      </c>
      <c r="E123" t="s">
        <v>4</v>
      </c>
      <c r="F123" t="s">
        <v>18</v>
      </c>
      <c r="G123" s="2">
        <v>45904</v>
      </c>
      <c r="H123" t="s">
        <v>324</v>
      </c>
      <c r="I123" t="s">
        <v>75</v>
      </c>
      <c r="J123" s="2">
        <v>45904</v>
      </c>
      <c r="K123" s="2">
        <v>45909</v>
      </c>
      <c r="L123" t="s">
        <v>69</v>
      </c>
      <c r="M123" t="s">
        <v>325</v>
      </c>
      <c r="N123" t="s">
        <v>9</v>
      </c>
      <c r="O123" t="s">
        <v>10</v>
      </c>
      <c r="P123" t="s">
        <v>8</v>
      </c>
      <c r="Q123" t="s">
        <v>65</v>
      </c>
      <c r="R123" t="s">
        <v>26</v>
      </c>
      <c r="S123" s="3">
        <v>410.58</v>
      </c>
      <c r="T123" t="s">
        <v>12</v>
      </c>
      <c r="U123" s="3">
        <v>35931.629999999997</v>
      </c>
      <c r="V123" t="s">
        <v>77</v>
      </c>
      <c r="W123" t="s">
        <v>13</v>
      </c>
      <c r="X123" t="s">
        <v>8</v>
      </c>
      <c r="Y123" t="s">
        <v>69</v>
      </c>
      <c r="Z123" t="s">
        <v>14</v>
      </c>
      <c r="AA123" t="s">
        <v>326</v>
      </c>
      <c r="AB123" t="s">
        <v>8</v>
      </c>
      <c r="AC123" t="s">
        <v>8</v>
      </c>
      <c r="AD123" t="s">
        <v>8</v>
      </c>
      <c r="AE123" s="2">
        <v>45904</v>
      </c>
      <c r="AF123" s="2"/>
      <c r="AG123" t="s">
        <v>8</v>
      </c>
    </row>
    <row r="124" spans="1:33" outlineLevel="2" x14ac:dyDescent="0.25">
      <c r="A124" t="s">
        <v>27</v>
      </c>
      <c r="B124" t="s">
        <v>1</v>
      </c>
      <c r="C124" t="s">
        <v>2</v>
      </c>
      <c r="D124" t="s">
        <v>3</v>
      </c>
      <c r="E124" t="s">
        <v>4</v>
      </c>
      <c r="F124" t="s">
        <v>18</v>
      </c>
      <c r="G124" s="2">
        <v>45904</v>
      </c>
      <c r="H124" t="s">
        <v>327</v>
      </c>
      <c r="I124" t="s">
        <v>75</v>
      </c>
      <c r="J124" s="2">
        <v>45904</v>
      </c>
      <c r="K124" s="2">
        <v>45909</v>
      </c>
      <c r="L124" t="s">
        <v>69</v>
      </c>
      <c r="M124" t="s">
        <v>328</v>
      </c>
      <c r="N124" t="s">
        <v>9</v>
      </c>
      <c r="O124" t="s">
        <v>10</v>
      </c>
      <c r="P124" t="s">
        <v>8</v>
      </c>
      <c r="Q124" t="s">
        <v>65</v>
      </c>
      <c r="R124" t="s">
        <v>26</v>
      </c>
      <c r="S124" s="3">
        <v>97.84</v>
      </c>
      <c r="T124" t="s">
        <v>12</v>
      </c>
      <c r="U124" s="3">
        <v>8562.4</v>
      </c>
      <c r="V124" t="s">
        <v>77</v>
      </c>
      <c r="W124" t="s">
        <v>13</v>
      </c>
      <c r="X124" t="s">
        <v>8</v>
      </c>
      <c r="Y124" t="s">
        <v>329</v>
      </c>
      <c r="Z124" t="s">
        <v>14</v>
      </c>
      <c r="AA124" t="s">
        <v>330</v>
      </c>
      <c r="AB124" t="s">
        <v>8</v>
      </c>
      <c r="AC124" t="s">
        <v>8</v>
      </c>
      <c r="AD124" t="s">
        <v>8</v>
      </c>
      <c r="AE124" s="2">
        <v>45904</v>
      </c>
      <c r="AF124" s="2"/>
      <c r="AG124" t="s">
        <v>8</v>
      </c>
    </row>
    <row r="125" spans="1:33" outlineLevel="2" x14ac:dyDescent="0.25">
      <c r="A125" t="s">
        <v>27</v>
      </c>
      <c r="B125" t="s">
        <v>1</v>
      </c>
      <c r="C125" t="s">
        <v>2</v>
      </c>
      <c r="D125" t="s">
        <v>3</v>
      </c>
      <c r="E125" t="s">
        <v>4</v>
      </c>
      <c r="F125" t="s">
        <v>18</v>
      </c>
      <c r="G125" s="2">
        <v>45904</v>
      </c>
      <c r="H125" t="s">
        <v>331</v>
      </c>
      <c r="I125" t="s">
        <v>118</v>
      </c>
      <c r="J125" s="2">
        <v>45904</v>
      </c>
      <c r="K125" s="2">
        <v>45915</v>
      </c>
      <c r="L125" t="s">
        <v>69</v>
      </c>
      <c r="M125" t="s">
        <v>332</v>
      </c>
      <c r="N125" t="s">
        <v>9</v>
      </c>
      <c r="O125" t="s">
        <v>10</v>
      </c>
      <c r="P125" t="s">
        <v>8</v>
      </c>
      <c r="Q125" t="s">
        <v>54</v>
      </c>
      <c r="R125" t="s">
        <v>26</v>
      </c>
      <c r="S125" s="3">
        <v>-60</v>
      </c>
      <c r="T125" t="s">
        <v>12</v>
      </c>
      <c r="U125" s="3">
        <v>-5250.86</v>
      </c>
      <c r="V125" t="s">
        <v>77</v>
      </c>
      <c r="W125" t="s">
        <v>13</v>
      </c>
      <c r="X125" t="s">
        <v>8</v>
      </c>
      <c r="Y125" t="s">
        <v>333</v>
      </c>
      <c r="Z125" t="s">
        <v>14</v>
      </c>
      <c r="AA125" t="s">
        <v>334</v>
      </c>
      <c r="AB125" t="s">
        <v>8</v>
      </c>
      <c r="AC125" t="s">
        <v>8</v>
      </c>
      <c r="AD125" t="s">
        <v>8</v>
      </c>
      <c r="AE125" s="2">
        <v>45904</v>
      </c>
      <c r="AF125" s="2"/>
      <c r="AG125" t="s">
        <v>8</v>
      </c>
    </row>
    <row r="126" spans="1:33" outlineLevel="2" x14ac:dyDescent="0.25">
      <c r="A126" t="s">
        <v>27</v>
      </c>
      <c r="B126" t="s">
        <v>1</v>
      </c>
      <c r="C126" t="s">
        <v>2</v>
      </c>
      <c r="D126" t="s">
        <v>3</v>
      </c>
      <c r="E126" t="s">
        <v>4</v>
      </c>
      <c r="F126" t="s">
        <v>18</v>
      </c>
      <c r="G126" s="2">
        <v>45904</v>
      </c>
      <c r="H126" t="s">
        <v>335</v>
      </c>
      <c r="I126" t="s">
        <v>118</v>
      </c>
      <c r="J126" s="2">
        <v>45904</v>
      </c>
      <c r="K126" s="2">
        <v>45915</v>
      </c>
      <c r="L126" t="s">
        <v>69</v>
      </c>
      <c r="M126" t="s">
        <v>336</v>
      </c>
      <c r="N126" t="s">
        <v>9</v>
      </c>
      <c r="O126" t="s">
        <v>10</v>
      </c>
      <c r="P126" t="s">
        <v>8</v>
      </c>
      <c r="Q126" t="s">
        <v>54</v>
      </c>
      <c r="R126" t="s">
        <v>26</v>
      </c>
      <c r="S126" s="3">
        <v>-60</v>
      </c>
      <c r="T126" t="s">
        <v>12</v>
      </c>
      <c r="U126" s="3">
        <v>-5250.86</v>
      </c>
      <c r="V126" t="s">
        <v>77</v>
      </c>
      <c r="W126" t="s">
        <v>13</v>
      </c>
      <c r="X126" t="s">
        <v>8</v>
      </c>
      <c r="Y126" t="s">
        <v>333</v>
      </c>
      <c r="Z126" t="s">
        <v>14</v>
      </c>
      <c r="AA126" t="s">
        <v>337</v>
      </c>
      <c r="AB126" t="s">
        <v>8</v>
      </c>
      <c r="AC126" t="s">
        <v>8</v>
      </c>
      <c r="AD126" t="s">
        <v>8</v>
      </c>
      <c r="AE126" s="2">
        <v>45904</v>
      </c>
      <c r="AF126" s="2"/>
      <c r="AG126" t="s">
        <v>8</v>
      </c>
    </row>
    <row r="127" spans="1:33" outlineLevel="2" x14ac:dyDescent="0.25">
      <c r="A127" t="s">
        <v>27</v>
      </c>
      <c r="B127" t="s">
        <v>1</v>
      </c>
      <c r="C127" t="s">
        <v>2</v>
      </c>
      <c r="D127" t="s">
        <v>3</v>
      </c>
      <c r="E127" t="s">
        <v>4</v>
      </c>
      <c r="F127" t="s">
        <v>18</v>
      </c>
      <c r="G127" s="2">
        <v>45904</v>
      </c>
      <c r="H127" t="s">
        <v>338</v>
      </c>
      <c r="I127" t="s">
        <v>118</v>
      </c>
      <c r="J127" s="2">
        <v>45904</v>
      </c>
      <c r="K127" s="2">
        <v>45915</v>
      </c>
      <c r="L127" t="s">
        <v>69</v>
      </c>
      <c r="M127" t="s">
        <v>339</v>
      </c>
      <c r="N127" t="s">
        <v>9</v>
      </c>
      <c r="O127" t="s">
        <v>10</v>
      </c>
      <c r="P127" t="s">
        <v>8</v>
      </c>
      <c r="Q127" t="s">
        <v>54</v>
      </c>
      <c r="R127" t="s">
        <v>26</v>
      </c>
      <c r="S127" s="3">
        <v>-62</v>
      </c>
      <c r="T127" t="s">
        <v>12</v>
      </c>
      <c r="U127" s="3">
        <v>-5425.89</v>
      </c>
      <c r="V127" t="s">
        <v>77</v>
      </c>
      <c r="W127" t="s">
        <v>13</v>
      </c>
      <c r="X127" t="s">
        <v>8</v>
      </c>
      <c r="Y127" t="s">
        <v>333</v>
      </c>
      <c r="Z127" t="s">
        <v>14</v>
      </c>
      <c r="AA127" t="s">
        <v>340</v>
      </c>
      <c r="AB127" t="s">
        <v>8</v>
      </c>
      <c r="AC127" t="s">
        <v>8</v>
      </c>
      <c r="AD127" t="s">
        <v>8</v>
      </c>
      <c r="AE127" s="2">
        <v>45904</v>
      </c>
      <c r="AF127" s="2"/>
      <c r="AG127" t="s">
        <v>8</v>
      </c>
    </row>
    <row r="128" spans="1:33" outlineLevel="2" x14ac:dyDescent="0.25">
      <c r="A128" t="s">
        <v>27</v>
      </c>
      <c r="B128" t="s">
        <v>1</v>
      </c>
      <c r="C128" t="s">
        <v>2</v>
      </c>
      <c r="D128" t="s">
        <v>3</v>
      </c>
      <c r="E128" t="s">
        <v>4</v>
      </c>
      <c r="F128" t="s">
        <v>18</v>
      </c>
      <c r="G128" s="2">
        <v>45904</v>
      </c>
      <c r="H128" t="s">
        <v>341</v>
      </c>
      <c r="I128" t="s">
        <v>118</v>
      </c>
      <c r="J128" s="2">
        <v>45904</v>
      </c>
      <c r="K128" s="2">
        <v>45915</v>
      </c>
      <c r="L128" t="s">
        <v>69</v>
      </c>
      <c r="M128" t="s">
        <v>342</v>
      </c>
      <c r="N128" t="s">
        <v>9</v>
      </c>
      <c r="O128" t="s">
        <v>10</v>
      </c>
      <c r="P128" t="s">
        <v>8</v>
      </c>
      <c r="Q128" t="s">
        <v>54</v>
      </c>
      <c r="R128" t="s">
        <v>26</v>
      </c>
      <c r="S128" s="3">
        <v>-62</v>
      </c>
      <c r="T128" t="s">
        <v>12</v>
      </c>
      <c r="U128" s="3">
        <v>-5425.89</v>
      </c>
      <c r="V128" t="s">
        <v>77</v>
      </c>
      <c r="W128" t="s">
        <v>13</v>
      </c>
      <c r="X128" t="s">
        <v>8</v>
      </c>
      <c r="Y128" t="s">
        <v>333</v>
      </c>
      <c r="Z128" t="s">
        <v>14</v>
      </c>
      <c r="AA128" t="s">
        <v>343</v>
      </c>
      <c r="AB128" t="s">
        <v>8</v>
      </c>
      <c r="AC128" t="s">
        <v>8</v>
      </c>
      <c r="AD128" t="s">
        <v>8</v>
      </c>
      <c r="AE128" s="2">
        <v>45904</v>
      </c>
      <c r="AF128" s="2"/>
      <c r="AG128" t="s">
        <v>8</v>
      </c>
    </row>
    <row r="129" spans="1:33" outlineLevel="2" x14ac:dyDescent="0.25">
      <c r="A129" t="s">
        <v>27</v>
      </c>
      <c r="B129" t="s">
        <v>1</v>
      </c>
      <c r="C129" t="s">
        <v>2</v>
      </c>
      <c r="D129" t="s">
        <v>3</v>
      </c>
      <c r="E129" t="s">
        <v>4</v>
      </c>
      <c r="F129" t="s">
        <v>36</v>
      </c>
      <c r="G129" s="2">
        <v>45842</v>
      </c>
      <c r="H129" t="s">
        <v>344</v>
      </c>
      <c r="I129" t="s">
        <v>75</v>
      </c>
      <c r="J129" s="2">
        <v>45842</v>
      </c>
      <c r="K129" s="2">
        <v>45845</v>
      </c>
      <c r="L129" t="s">
        <v>69</v>
      </c>
      <c r="M129" t="s">
        <v>345</v>
      </c>
      <c r="N129" t="s">
        <v>9</v>
      </c>
      <c r="O129" t="s">
        <v>10</v>
      </c>
      <c r="P129" t="s">
        <v>8</v>
      </c>
      <c r="Q129" t="s">
        <v>65</v>
      </c>
      <c r="R129" t="s">
        <v>26</v>
      </c>
      <c r="S129" s="3">
        <v>220</v>
      </c>
      <c r="T129" t="s">
        <v>12</v>
      </c>
      <c r="U129" s="3">
        <v>18920.150000000001</v>
      </c>
      <c r="V129" t="s">
        <v>77</v>
      </c>
      <c r="W129" t="s">
        <v>13</v>
      </c>
      <c r="X129" t="s">
        <v>8</v>
      </c>
      <c r="Y129" t="s">
        <v>69</v>
      </c>
      <c r="Z129" t="s">
        <v>14</v>
      </c>
      <c r="AA129" t="s">
        <v>346</v>
      </c>
      <c r="AB129" t="s">
        <v>8</v>
      </c>
      <c r="AC129" t="s">
        <v>8</v>
      </c>
      <c r="AD129" t="s">
        <v>8</v>
      </c>
      <c r="AE129" s="2">
        <v>45842</v>
      </c>
      <c r="AF129" s="2"/>
      <c r="AG129" t="s">
        <v>8</v>
      </c>
    </row>
    <row r="130" spans="1:33" outlineLevel="2" x14ac:dyDescent="0.25">
      <c r="A130" t="s">
        <v>27</v>
      </c>
      <c r="B130" t="s">
        <v>1</v>
      </c>
      <c r="C130" t="s">
        <v>2</v>
      </c>
      <c r="D130" t="s">
        <v>3</v>
      </c>
      <c r="E130" t="s">
        <v>4</v>
      </c>
      <c r="F130" t="s">
        <v>36</v>
      </c>
      <c r="G130" s="2">
        <v>45842</v>
      </c>
      <c r="H130" t="s">
        <v>347</v>
      </c>
      <c r="I130" t="s">
        <v>75</v>
      </c>
      <c r="J130" s="2">
        <v>45842</v>
      </c>
      <c r="K130" s="2">
        <v>45845</v>
      </c>
      <c r="L130" t="s">
        <v>69</v>
      </c>
      <c r="M130" t="s">
        <v>348</v>
      </c>
      <c r="N130" t="s">
        <v>9</v>
      </c>
      <c r="O130" t="s">
        <v>10</v>
      </c>
      <c r="P130" t="s">
        <v>8</v>
      </c>
      <c r="Q130" t="s">
        <v>65</v>
      </c>
      <c r="R130" t="s">
        <v>26</v>
      </c>
      <c r="S130" s="3">
        <v>142.32</v>
      </c>
      <c r="T130" t="s">
        <v>12</v>
      </c>
      <c r="U130" s="3">
        <v>12239.62</v>
      </c>
      <c r="V130" t="s">
        <v>77</v>
      </c>
      <c r="W130" t="s">
        <v>13</v>
      </c>
      <c r="X130" t="s">
        <v>8</v>
      </c>
      <c r="Y130" t="s">
        <v>69</v>
      </c>
      <c r="Z130" t="s">
        <v>14</v>
      </c>
      <c r="AA130" t="s">
        <v>349</v>
      </c>
      <c r="AB130" t="s">
        <v>8</v>
      </c>
      <c r="AC130" t="s">
        <v>8</v>
      </c>
      <c r="AD130" t="s">
        <v>8</v>
      </c>
      <c r="AE130" s="2">
        <v>45842</v>
      </c>
      <c r="AF130" s="2"/>
      <c r="AG130" t="s">
        <v>8</v>
      </c>
    </row>
    <row r="131" spans="1:33" outlineLevel="2" x14ac:dyDescent="0.25">
      <c r="A131" t="s">
        <v>27</v>
      </c>
      <c r="B131" t="s">
        <v>1</v>
      </c>
      <c r="C131" t="s">
        <v>2</v>
      </c>
      <c r="D131" t="s">
        <v>3</v>
      </c>
      <c r="E131" t="s">
        <v>4</v>
      </c>
      <c r="F131" t="s">
        <v>36</v>
      </c>
      <c r="G131" s="2">
        <v>45842</v>
      </c>
      <c r="H131" t="s">
        <v>350</v>
      </c>
      <c r="I131" t="s">
        <v>75</v>
      </c>
      <c r="J131" s="2">
        <v>45842</v>
      </c>
      <c r="K131" s="2">
        <v>45847</v>
      </c>
      <c r="L131" t="s">
        <v>69</v>
      </c>
      <c r="M131" t="s">
        <v>351</v>
      </c>
      <c r="N131" t="s">
        <v>9</v>
      </c>
      <c r="O131" t="s">
        <v>10</v>
      </c>
      <c r="P131" t="s">
        <v>8</v>
      </c>
      <c r="Q131" t="s">
        <v>65</v>
      </c>
      <c r="R131" t="s">
        <v>26</v>
      </c>
      <c r="S131" s="3">
        <v>1663.92</v>
      </c>
      <c r="T131" t="s">
        <v>12</v>
      </c>
      <c r="U131" s="3">
        <v>143098.23000000001</v>
      </c>
      <c r="V131" t="s">
        <v>77</v>
      </c>
      <c r="W131" t="s">
        <v>13</v>
      </c>
      <c r="X131" t="s">
        <v>8</v>
      </c>
      <c r="Y131" t="s">
        <v>69</v>
      </c>
      <c r="Z131" t="s">
        <v>14</v>
      </c>
      <c r="AA131" t="s">
        <v>352</v>
      </c>
      <c r="AB131" t="s">
        <v>8</v>
      </c>
      <c r="AC131" t="s">
        <v>8</v>
      </c>
      <c r="AD131" t="s">
        <v>8</v>
      </c>
      <c r="AE131" s="2">
        <v>45842</v>
      </c>
      <c r="AF131" s="2"/>
      <c r="AG131" t="s">
        <v>8</v>
      </c>
    </row>
    <row r="132" spans="1:33" outlineLevel="2" x14ac:dyDescent="0.25">
      <c r="A132" t="s">
        <v>27</v>
      </c>
      <c r="B132" t="s">
        <v>1</v>
      </c>
      <c r="C132" t="s">
        <v>2</v>
      </c>
      <c r="D132" t="s">
        <v>3</v>
      </c>
      <c r="E132" t="s">
        <v>4</v>
      </c>
      <c r="F132" t="s">
        <v>36</v>
      </c>
      <c r="G132" s="2">
        <v>45842</v>
      </c>
      <c r="H132" t="s">
        <v>353</v>
      </c>
      <c r="I132" t="s">
        <v>75</v>
      </c>
      <c r="J132" s="2">
        <v>45842</v>
      </c>
      <c r="K132" s="2">
        <v>45847</v>
      </c>
      <c r="L132" t="s">
        <v>69</v>
      </c>
      <c r="M132" t="s">
        <v>354</v>
      </c>
      <c r="N132" t="s">
        <v>9</v>
      </c>
      <c r="O132" t="s">
        <v>10</v>
      </c>
      <c r="P132" t="s">
        <v>8</v>
      </c>
      <c r="Q132" t="s">
        <v>65</v>
      </c>
      <c r="R132" t="s">
        <v>26</v>
      </c>
      <c r="S132" s="3">
        <v>413.33</v>
      </c>
      <c r="T132" t="s">
        <v>12</v>
      </c>
      <c r="U132" s="3">
        <v>35546.660000000003</v>
      </c>
      <c r="V132" t="s">
        <v>77</v>
      </c>
      <c r="W132" t="s">
        <v>13</v>
      </c>
      <c r="X132" t="s">
        <v>8</v>
      </c>
      <c r="Y132" t="s">
        <v>69</v>
      </c>
      <c r="Z132" t="s">
        <v>14</v>
      </c>
      <c r="AA132" t="s">
        <v>355</v>
      </c>
      <c r="AB132" t="s">
        <v>8</v>
      </c>
      <c r="AC132" t="s">
        <v>8</v>
      </c>
      <c r="AD132" t="s">
        <v>8</v>
      </c>
      <c r="AE132" s="2">
        <v>45842</v>
      </c>
      <c r="AF132" s="2"/>
      <c r="AG132" t="s">
        <v>8</v>
      </c>
    </row>
    <row r="133" spans="1:33" outlineLevel="2" x14ac:dyDescent="0.25">
      <c r="A133" t="s">
        <v>27</v>
      </c>
      <c r="B133" t="s">
        <v>1</v>
      </c>
      <c r="C133" t="s">
        <v>2</v>
      </c>
      <c r="D133" t="s">
        <v>3</v>
      </c>
      <c r="E133" t="s">
        <v>4</v>
      </c>
      <c r="F133" t="s">
        <v>36</v>
      </c>
      <c r="G133" s="2">
        <v>45842</v>
      </c>
      <c r="H133" t="s">
        <v>356</v>
      </c>
      <c r="I133" t="s">
        <v>75</v>
      </c>
      <c r="J133" s="2">
        <v>45842</v>
      </c>
      <c r="K133" s="2">
        <v>45847</v>
      </c>
      <c r="L133" t="s">
        <v>69</v>
      </c>
      <c r="M133" t="s">
        <v>357</v>
      </c>
      <c r="N133" t="s">
        <v>9</v>
      </c>
      <c r="O133" t="s">
        <v>10</v>
      </c>
      <c r="P133" t="s">
        <v>8</v>
      </c>
      <c r="Q133" t="s">
        <v>65</v>
      </c>
      <c r="R133" t="s">
        <v>26</v>
      </c>
      <c r="S133" s="3">
        <v>68.97</v>
      </c>
      <c r="T133" t="s">
        <v>12</v>
      </c>
      <c r="U133" s="3">
        <v>5931.47</v>
      </c>
      <c r="V133" t="s">
        <v>77</v>
      </c>
      <c r="W133" t="s">
        <v>13</v>
      </c>
      <c r="X133" t="s">
        <v>8</v>
      </c>
      <c r="Y133" t="s">
        <v>69</v>
      </c>
      <c r="Z133" t="s">
        <v>14</v>
      </c>
      <c r="AA133" t="s">
        <v>358</v>
      </c>
      <c r="AB133" t="s">
        <v>8</v>
      </c>
      <c r="AC133" t="s">
        <v>8</v>
      </c>
      <c r="AD133" t="s">
        <v>8</v>
      </c>
      <c r="AE133" s="2">
        <v>45842</v>
      </c>
      <c r="AF133" s="2"/>
      <c r="AG133" t="s">
        <v>8</v>
      </c>
    </row>
    <row r="134" spans="1:33" outlineLevel="2" x14ac:dyDescent="0.25">
      <c r="A134" t="s">
        <v>27</v>
      </c>
      <c r="B134" t="s">
        <v>1</v>
      </c>
      <c r="C134" t="s">
        <v>2</v>
      </c>
      <c r="D134" t="s">
        <v>3</v>
      </c>
      <c r="E134" t="s">
        <v>4</v>
      </c>
      <c r="F134" t="s">
        <v>36</v>
      </c>
      <c r="G134" s="2">
        <v>45842</v>
      </c>
      <c r="H134" t="s">
        <v>359</v>
      </c>
      <c r="I134" t="s">
        <v>75</v>
      </c>
      <c r="J134" s="2">
        <v>45842</v>
      </c>
      <c r="K134" s="2">
        <v>45847</v>
      </c>
      <c r="L134" t="s">
        <v>69</v>
      </c>
      <c r="M134" t="s">
        <v>360</v>
      </c>
      <c r="N134" t="s">
        <v>9</v>
      </c>
      <c r="O134" t="s">
        <v>10</v>
      </c>
      <c r="P134" t="s">
        <v>8</v>
      </c>
      <c r="Q134" t="s">
        <v>65</v>
      </c>
      <c r="R134" t="s">
        <v>26</v>
      </c>
      <c r="S134" s="3">
        <v>50</v>
      </c>
      <c r="T134" t="s">
        <v>12</v>
      </c>
      <c r="U134" s="3">
        <v>4300.03</v>
      </c>
      <c r="V134" t="s">
        <v>77</v>
      </c>
      <c r="W134" t="s">
        <v>13</v>
      </c>
      <c r="X134" t="s">
        <v>8</v>
      </c>
      <c r="Y134" t="s">
        <v>69</v>
      </c>
      <c r="Z134" t="s">
        <v>14</v>
      </c>
      <c r="AA134" t="s">
        <v>361</v>
      </c>
      <c r="AB134" t="s">
        <v>8</v>
      </c>
      <c r="AC134" t="s">
        <v>8</v>
      </c>
      <c r="AD134" t="s">
        <v>8</v>
      </c>
      <c r="AE134" s="2">
        <v>45842</v>
      </c>
      <c r="AF134" s="2"/>
      <c r="AG134" t="s">
        <v>8</v>
      </c>
    </row>
    <row r="135" spans="1:33" outlineLevel="2" x14ac:dyDescent="0.25">
      <c r="A135" t="s">
        <v>27</v>
      </c>
      <c r="B135" t="s">
        <v>1</v>
      </c>
      <c r="C135" t="s">
        <v>2</v>
      </c>
      <c r="D135" t="s">
        <v>3</v>
      </c>
      <c r="E135" t="s">
        <v>4</v>
      </c>
      <c r="F135" t="s">
        <v>36</v>
      </c>
      <c r="G135" s="2">
        <v>45842</v>
      </c>
      <c r="H135" t="s">
        <v>362</v>
      </c>
      <c r="I135" t="s">
        <v>75</v>
      </c>
      <c r="J135" s="2">
        <v>45842</v>
      </c>
      <c r="K135" s="2">
        <v>45847</v>
      </c>
      <c r="L135" t="s">
        <v>69</v>
      </c>
      <c r="M135" t="s">
        <v>363</v>
      </c>
      <c r="N135" t="s">
        <v>9</v>
      </c>
      <c r="O135" t="s">
        <v>10</v>
      </c>
      <c r="P135" t="s">
        <v>8</v>
      </c>
      <c r="Q135" t="s">
        <v>65</v>
      </c>
      <c r="R135" t="s">
        <v>26</v>
      </c>
      <c r="S135" s="3">
        <v>50</v>
      </c>
      <c r="T135" t="s">
        <v>12</v>
      </c>
      <c r="U135" s="3">
        <v>4300.03</v>
      </c>
      <c r="V135" t="s">
        <v>77</v>
      </c>
      <c r="W135" t="s">
        <v>13</v>
      </c>
      <c r="X135" t="s">
        <v>8</v>
      </c>
      <c r="Y135" t="s">
        <v>69</v>
      </c>
      <c r="Z135" t="s">
        <v>14</v>
      </c>
      <c r="AA135" t="s">
        <v>361</v>
      </c>
      <c r="AB135" t="s">
        <v>8</v>
      </c>
      <c r="AC135" t="s">
        <v>8</v>
      </c>
      <c r="AD135" t="s">
        <v>8</v>
      </c>
      <c r="AE135" s="2">
        <v>45842</v>
      </c>
      <c r="AF135" s="2"/>
      <c r="AG135" t="s">
        <v>8</v>
      </c>
    </row>
    <row r="136" spans="1:33" outlineLevel="2" x14ac:dyDescent="0.25">
      <c r="A136" t="s">
        <v>27</v>
      </c>
      <c r="B136" t="s">
        <v>1</v>
      </c>
      <c r="C136" t="s">
        <v>2</v>
      </c>
      <c r="D136" t="s">
        <v>3</v>
      </c>
      <c r="E136" t="s">
        <v>4</v>
      </c>
      <c r="F136" t="s">
        <v>36</v>
      </c>
      <c r="G136" s="2">
        <v>45842</v>
      </c>
      <c r="H136" t="s">
        <v>364</v>
      </c>
      <c r="I136" t="s">
        <v>75</v>
      </c>
      <c r="J136" s="2">
        <v>45842</v>
      </c>
      <c r="K136" s="2">
        <v>45847</v>
      </c>
      <c r="L136" t="s">
        <v>69</v>
      </c>
      <c r="M136" t="s">
        <v>365</v>
      </c>
      <c r="N136" t="s">
        <v>9</v>
      </c>
      <c r="O136" t="s">
        <v>10</v>
      </c>
      <c r="P136" t="s">
        <v>8</v>
      </c>
      <c r="Q136" t="s">
        <v>65</v>
      </c>
      <c r="R136" t="s">
        <v>26</v>
      </c>
      <c r="S136" s="3">
        <v>349.26</v>
      </c>
      <c r="T136" t="s">
        <v>12</v>
      </c>
      <c r="U136" s="3">
        <v>30036.59</v>
      </c>
      <c r="V136" t="s">
        <v>77</v>
      </c>
      <c r="W136" t="s">
        <v>13</v>
      </c>
      <c r="X136" t="s">
        <v>8</v>
      </c>
      <c r="Y136" t="s">
        <v>69</v>
      </c>
      <c r="Z136" t="s">
        <v>14</v>
      </c>
      <c r="AA136" t="s">
        <v>366</v>
      </c>
      <c r="AB136" t="s">
        <v>8</v>
      </c>
      <c r="AC136" t="s">
        <v>8</v>
      </c>
      <c r="AD136" t="s">
        <v>8</v>
      </c>
      <c r="AE136" s="2">
        <v>45842</v>
      </c>
      <c r="AF136" s="2"/>
      <c r="AG136" t="s">
        <v>8</v>
      </c>
    </row>
    <row r="137" spans="1:33" outlineLevel="2" x14ac:dyDescent="0.25">
      <c r="A137" t="s">
        <v>27</v>
      </c>
      <c r="B137" t="s">
        <v>1</v>
      </c>
      <c r="C137" t="s">
        <v>2</v>
      </c>
      <c r="D137" t="s">
        <v>3</v>
      </c>
      <c r="E137" t="s">
        <v>4</v>
      </c>
      <c r="F137" t="s">
        <v>36</v>
      </c>
      <c r="G137" s="2">
        <v>45842</v>
      </c>
      <c r="H137" t="s">
        <v>367</v>
      </c>
      <c r="I137" t="s">
        <v>75</v>
      </c>
      <c r="J137" s="2">
        <v>45842</v>
      </c>
      <c r="K137" s="2">
        <v>45847</v>
      </c>
      <c r="L137" t="s">
        <v>69</v>
      </c>
      <c r="M137" t="s">
        <v>368</v>
      </c>
      <c r="N137" t="s">
        <v>9</v>
      </c>
      <c r="O137" t="s">
        <v>10</v>
      </c>
      <c r="P137" t="s">
        <v>8</v>
      </c>
      <c r="Q137" t="s">
        <v>65</v>
      </c>
      <c r="R137" t="s">
        <v>26</v>
      </c>
      <c r="S137" s="3">
        <v>17.48</v>
      </c>
      <c r="T137" t="s">
        <v>12</v>
      </c>
      <c r="U137" s="3">
        <v>1503.29</v>
      </c>
      <c r="V137" t="s">
        <v>77</v>
      </c>
      <c r="W137" t="s">
        <v>13</v>
      </c>
      <c r="X137" t="s">
        <v>8</v>
      </c>
      <c r="Y137" t="s">
        <v>69</v>
      </c>
      <c r="Z137" t="s">
        <v>14</v>
      </c>
      <c r="AA137" t="s">
        <v>369</v>
      </c>
      <c r="AB137" t="s">
        <v>8</v>
      </c>
      <c r="AC137" t="s">
        <v>8</v>
      </c>
      <c r="AD137" t="s">
        <v>8</v>
      </c>
      <c r="AE137" s="2">
        <v>45842</v>
      </c>
      <c r="AF137" s="2"/>
      <c r="AG137" t="s">
        <v>8</v>
      </c>
    </row>
    <row r="138" spans="1:33" outlineLevel="2" x14ac:dyDescent="0.25">
      <c r="A138" t="s">
        <v>27</v>
      </c>
      <c r="B138" t="s">
        <v>1</v>
      </c>
      <c r="C138" t="s">
        <v>2</v>
      </c>
      <c r="D138" t="s">
        <v>3</v>
      </c>
      <c r="E138" t="s">
        <v>4</v>
      </c>
      <c r="F138" t="s">
        <v>36</v>
      </c>
      <c r="G138" s="2">
        <v>45842</v>
      </c>
      <c r="H138" t="s">
        <v>370</v>
      </c>
      <c r="I138" t="s">
        <v>75</v>
      </c>
      <c r="J138" s="2">
        <v>45842</v>
      </c>
      <c r="K138" s="2">
        <v>45847</v>
      </c>
      <c r="L138" t="s">
        <v>69</v>
      </c>
      <c r="M138" t="s">
        <v>371</v>
      </c>
      <c r="N138" t="s">
        <v>9</v>
      </c>
      <c r="O138" t="s">
        <v>10</v>
      </c>
      <c r="P138" t="s">
        <v>8</v>
      </c>
      <c r="Q138" t="s">
        <v>65</v>
      </c>
      <c r="R138" t="s">
        <v>26</v>
      </c>
      <c r="S138" s="3">
        <v>926.11</v>
      </c>
      <c r="T138" t="s">
        <v>12</v>
      </c>
      <c r="U138" s="3">
        <v>79646.080000000002</v>
      </c>
      <c r="V138" t="s">
        <v>77</v>
      </c>
      <c r="W138" t="s">
        <v>13</v>
      </c>
      <c r="X138" t="s">
        <v>8</v>
      </c>
      <c r="Y138" t="s">
        <v>8</v>
      </c>
      <c r="Z138" t="s">
        <v>14</v>
      </c>
      <c r="AA138" t="s">
        <v>372</v>
      </c>
      <c r="AB138" t="s">
        <v>8</v>
      </c>
      <c r="AC138" t="s">
        <v>8</v>
      </c>
      <c r="AD138" t="s">
        <v>8</v>
      </c>
      <c r="AE138" s="2">
        <v>45842</v>
      </c>
      <c r="AF138" s="2"/>
      <c r="AG138" t="s">
        <v>8</v>
      </c>
    </row>
    <row r="139" spans="1:33" outlineLevel="2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36</v>
      </c>
      <c r="G139" s="2">
        <v>45842</v>
      </c>
      <c r="H139" t="s">
        <v>373</v>
      </c>
      <c r="I139" t="s">
        <v>118</v>
      </c>
      <c r="J139" s="2">
        <v>45842</v>
      </c>
      <c r="K139" s="2">
        <v>45846</v>
      </c>
      <c r="L139" t="s">
        <v>69</v>
      </c>
      <c r="M139" t="s">
        <v>374</v>
      </c>
      <c r="N139" t="s">
        <v>9</v>
      </c>
      <c r="O139" t="s">
        <v>10</v>
      </c>
      <c r="P139" t="s">
        <v>8</v>
      </c>
      <c r="Q139" t="s">
        <v>54</v>
      </c>
      <c r="R139" t="s">
        <v>26</v>
      </c>
      <c r="S139" s="3">
        <v>-1700</v>
      </c>
      <c r="T139" t="s">
        <v>12</v>
      </c>
      <c r="U139" s="3">
        <v>-146201.14000000001</v>
      </c>
      <c r="V139" t="s">
        <v>77</v>
      </c>
      <c r="W139" t="s">
        <v>13</v>
      </c>
      <c r="X139" t="s">
        <v>8</v>
      </c>
      <c r="Y139" t="s">
        <v>69</v>
      </c>
      <c r="Z139" t="s">
        <v>14</v>
      </c>
      <c r="AA139" t="s">
        <v>375</v>
      </c>
      <c r="AB139" t="s">
        <v>8</v>
      </c>
      <c r="AC139" t="s">
        <v>8</v>
      </c>
      <c r="AD139" t="s">
        <v>8</v>
      </c>
      <c r="AE139" s="2">
        <v>45842</v>
      </c>
      <c r="AF139" s="2">
        <v>45902</v>
      </c>
      <c r="AG139" t="s">
        <v>19</v>
      </c>
    </row>
    <row r="140" spans="1:33" outlineLevel="2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36</v>
      </c>
      <c r="G140" s="2">
        <v>45842</v>
      </c>
      <c r="H140" t="s">
        <v>376</v>
      </c>
      <c r="I140" t="s">
        <v>118</v>
      </c>
      <c r="J140" s="2">
        <v>45842</v>
      </c>
      <c r="K140" s="2">
        <v>45846</v>
      </c>
      <c r="L140" t="s">
        <v>69</v>
      </c>
      <c r="M140" t="s">
        <v>377</v>
      </c>
      <c r="N140" t="s">
        <v>9</v>
      </c>
      <c r="O140" t="s">
        <v>10</v>
      </c>
      <c r="P140" t="s">
        <v>8</v>
      </c>
      <c r="Q140" t="s">
        <v>54</v>
      </c>
      <c r="R140" t="s">
        <v>26</v>
      </c>
      <c r="S140" s="3">
        <v>-1750</v>
      </c>
      <c r="T140" t="s">
        <v>12</v>
      </c>
      <c r="U140" s="3">
        <v>-150501.17000000001</v>
      </c>
      <c r="V140" t="s">
        <v>77</v>
      </c>
      <c r="W140" t="s">
        <v>13</v>
      </c>
      <c r="X140" t="s">
        <v>8</v>
      </c>
      <c r="Y140" t="s">
        <v>69</v>
      </c>
      <c r="Z140" t="s">
        <v>14</v>
      </c>
      <c r="AA140" t="s">
        <v>378</v>
      </c>
      <c r="AB140" t="s">
        <v>8</v>
      </c>
      <c r="AC140" t="s">
        <v>8</v>
      </c>
      <c r="AD140" t="s">
        <v>8</v>
      </c>
      <c r="AE140" s="2">
        <v>45842</v>
      </c>
      <c r="AF140" s="2">
        <v>45902</v>
      </c>
      <c r="AG140" t="s">
        <v>19</v>
      </c>
    </row>
    <row r="141" spans="1:33" outlineLevel="2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36</v>
      </c>
      <c r="G141" s="2">
        <v>45842</v>
      </c>
      <c r="H141" t="s">
        <v>379</v>
      </c>
      <c r="I141" t="s">
        <v>118</v>
      </c>
      <c r="J141" s="2">
        <v>45842</v>
      </c>
      <c r="K141" s="2">
        <v>45846</v>
      </c>
      <c r="L141" t="s">
        <v>69</v>
      </c>
      <c r="M141" t="s">
        <v>380</v>
      </c>
      <c r="N141" t="s">
        <v>9</v>
      </c>
      <c r="O141" t="s">
        <v>10</v>
      </c>
      <c r="P141" t="s">
        <v>8</v>
      </c>
      <c r="Q141" t="s">
        <v>54</v>
      </c>
      <c r="R141" t="s">
        <v>26</v>
      </c>
      <c r="S141" s="3">
        <v>-1700</v>
      </c>
      <c r="T141" t="s">
        <v>12</v>
      </c>
      <c r="U141" s="3">
        <v>-146201.14000000001</v>
      </c>
      <c r="V141" t="s">
        <v>77</v>
      </c>
      <c r="W141" t="s">
        <v>13</v>
      </c>
      <c r="X141" t="s">
        <v>8</v>
      </c>
      <c r="Y141" t="s">
        <v>69</v>
      </c>
      <c r="Z141" t="s">
        <v>14</v>
      </c>
      <c r="AA141" t="s">
        <v>381</v>
      </c>
      <c r="AB141" t="s">
        <v>8</v>
      </c>
      <c r="AC141" t="s">
        <v>8</v>
      </c>
      <c r="AD141" t="s">
        <v>8</v>
      </c>
      <c r="AE141" s="2">
        <v>45842</v>
      </c>
      <c r="AF141" s="2">
        <v>45902</v>
      </c>
      <c r="AG141" t="s">
        <v>19</v>
      </c>
    </row>
    <row r="142" spans="1:33" outlineLevel="2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36</v>
      </c>
      <c r="G142" s="2">
        <v>45842</v>
      </c>
      <c r="H142" t="s">
        <v>382</v>
      </c>
      <c r="I142" t="s">
        <v>118</v>
      </c>
      <c r="J142" s="2">
        <v>45842</v>
      </c>
      <c r="K142" s="2">
        <v>45846</v>
      </c>
      <c r="L142" t="s">
        <v>69</v>
      </c>
      <c r="M142" t="s">
        <v>383</v>
      </c>
      <c r="N142" t="s">
        <v>9</v>
      </c>
      <c r="O142" t="s">
        <v>10</v>
      </c>
      <c r="P142" t="s">
        <v>8</v>
      </c>
      <c r="Q142" t="s">
        <v>54</v>
      </c>
      <c r="R142" t="s">
        <v>26</v>
      </c>
      <c r="S142" s="3">
        <v>-1750</v>
      </c>
      <c r="T142" t="s">
        <v>12</v>
      </c>
      <c r="U142" s="3">
        <v>-150501.17000000001</v>
      </c>
      <c r="V142" t="s">
        <v>77</v>
      </c>
      <c r="W142" t="s">
        <v>13</v>
      </c>
      <c r="X142" t="s">
        <v>8</v>
      </c>
      <c r="Y142" t="s">
        <v>69</v>
      </c>
      <c r="Z142" t="s">
        <v>14</v>
      </c>
      <c r="AA142" t="s">
        <v>384</v>
      </c>
      <c r="AB142" t="s">
        <v>8</v>
      </c>
      <c r="AC142" t="s">
        <v>8</v>
      </c>
      <c r="AD142" t="s">
        <v>8</v>
      </c>
      <c r="AE142" s="2">
        <v>45842</v>
      </c>
      <c r="AF142" s="2">
        <v>45902</v>
      </c>
      <c r="AG142" t="s">
        <v>19</v>
      </c>
    </row>
    <row r="143" spans="1:33" outlineLevel="2" x14ac:dyDescent="0.25">
      <c r="A143" t="s">
        <v>27</v>
      </c>
      <c r="B143" t="s">
        <v>1</v>
      </c>
      <c r="C143" t="s">
        <v>2</v>
      </c>
      <c r="D143" t="s">
        <v>3</v>
      </c>
      <c r="E143" t="s">
        <v>4</v>
      </c>
      <c r="F143" t="s">
        <v>54</v>
      </c>
      <c r="G143" s="2">
        <v>45966</v>
      </c>
      <c r="H143" t="s">
        <v>385</v>
      </c>
      <c r="I143" t="s">
        <v>75</v>
      </c>
      <c r="J143" s="2">
        <v>45966</v>
      </c>
      <c r="K143" s="2">
        <v>45967</v>
      </c>
      <c r="L143" t="s">
        <v>69</v>
      </c>
      <c r="M143" t="s">
        <v>386</v>
      </c>
      <c r="N143" t="s">
        <v>9</v>
      </c>
      <c r="O143" t="s">
        <v>10</v>
      </c>
      <c r="P143" t="s">
        <v>8</v>
      </c>
      <c r="Q143" t="s">
        <v>65</v>
      </c>
      <c r="R143" t="s">
        <v>26</v>
      </c>
      <c r="S143" s="3">
        <v>351.13</v>
      </c>
      <c r="T143" t="s">
        <v>12</v>
      </c>
      <c r="U143" s="3">
        <v>30900.63</v>
      </c>
      <c r="V143" t="s">
        <v>77</v>
      </c>
      <c r="W143" t="s">
        <v>13</v>
      </c>
      <c r="X143" t="s">
        <v>8</v>
      </c>
      <c r="Y143" t="s">
        <v>387</v>
      </c>
      <c r="Z143" t="s">
        <v>14</v>
      </c>
      <c r="AA143" t="s">
        <v>388</v>
      </c>
      <c r="AB143" t="s">
        <v>8</v>
      </c>
      <c r="AC143" t="s">
        <v>8</v>
      </c>
      <c r="AD143" t="s">
        <v>8</v>
      </c>
      <c r="AE143" s="2">
        <v>45966</v>
      </c>
      <c r="AF143" s="2"/>
      <c r="AG143" t="s">
        <v>8</v>
      </c>
    </row>
    <row r="144" spans="1:33" outlineLevel="2" x14ac:dyDescent="0.25">
      <c r="A144" t="s">
        <v>27</v>
      </c>
      <c r="B144" t="s">
        <v>1</v>
      </c>
      <c r="C144" t="s">
        <v>2</v>
      </c>
      <c r="D144" t="s">
        <v>3</v>
      </c>
      <c r="E144" t="s">
        <v>4</v>
      </c>
      <c r="F144" t="s">
        <v>54</v>
      </c>
      <c r="G144" s="2">
        <v>45966</v>
      </c>
      <c r="H144" t="s">
        <v>389</v>
      </c>
      <c r="I144" t="s">
        <v>75</v>
      </c>
      <c r="J144" s="2">
        <v>45966</v>
      </c>
      <c r="K144" s="2">
        <v>45967</v>
      </c>
      <c r="L144" t="s">
        <v>69</v>
      </c>
      <c r="M144" t="s">
        <v>390</v>
      </c>
      <c r="N144" t="s">
        <v>9</v>
      </c>
      <c r="O144" t="s">
        <v>10</v>
      </c>
      <c r="P144" t="s">
        <v>8</v>
      </c>
      <c r="Q144" t="s">
        <v>65</v>
      </c>
      <c r="R144" t="s">
        <v>26</v>
      </c>
      <c r="S144" s="3">
        <v>745.97</v>
      </c>
      <c r="T144" t="s">
        <v>12</v>
      </c>
      <c r="U144" s="3">
        <v>65647.89</v>
      </c>
      <c r="V144" t="s">
        <v>77</v>
      </c>
      <c r="W144" t="s">
        <v>13</v>
      </c>
      <c r="X144" t="s">
        <v>8</v>
      </c>
      <c r="Y144" t="s">
        <v>391</v>
      </c>
      <c r="Z144" t="s">
        <v>14</v>
      </c>
      <c r="AA144" t="s">
        <v>392</v>
      </c>
      <c r="AB144" t="s">
        <v>8</v>
      </c>
      <c r="AC144" t="s">
        <v>8</v>
      </c>
      <c r="AD144" t="s">
        <v>8</v>
      </c>
      <c r="AE144" s="2">
        <v>45966</v>
      </c>
      <c r="AF144" s="2"/>
      <c r="AG144" t="s">
        <v>8</v>
      </c>
    </row>
    <row r="145" spans="1:33" outlineLevel="2" x14ac:dyDescent="0.25">
      <c r="A145" t="s">
        <v>27</v>
      </c>
      <c r="B145" t="s">
        <v>1</v>
      </c>
      <c r="C145" t="s">
        <v>2</v>
      </c>
      <c r="D145" t="s">
        <v>3</v>
      </c>
      <c r="E145" t="s">
        <v>4</v>
      </c>
      <c r="F145" t="s">
        <v>54</v>
      </c>
      <c r="G145" s="2">
        <v>45966</v>
      </c>
      <c r="H145" t="s">
        <v>393</v>
      </c>
      <c r="I145" t="s">
        <v>75</v>
      </c>
      <c r="J145" s="2">
        <v>45966</v>
      </c>
      <c r="K145" s="2">
        <v>45967</v>
      </c>
      <c r="L145" t="s">
        <v>69</v>
      </c>
      <c r="M145" t="s">
        <v>394</v>
      </c>
      <c r="N145" t="s">
        <v>9</v>
      </c>
      <c r="O145" t="s">
        <v>10</v>
      </c>
      <c r="P145" t="s">
        <v>8</v>
      </c>
      <c r="Q145" t="s">
        <v>65</v>
      </c>
      <c r="R145" t="s">
        <v>26</v>
      </c>
      <c r="S145" s="3">
        <v>900</v>
      </c>
      <c r="T145" t="s">
        <v>12</v>
      </c>
      <c r="U145" s="3">
        <v>79203.05</v>
      </c>
      <c r="V145" t="s">
        <v>77</v>
      </c>
      <c r="W145" t="s">
        <v>13</v>
      </c>
      <c r="X145" t="s">
        <v>8</v>
      </c>
      <c r="Y145" t="s">
        <v>395</v>
      </c>
      <c r="Z145" t="s">
        <v>14</v>
      </c>
      <c r="AA145" t="s">
        <v>396</v>
      </c>
      <c r="AB145" t="s">
        <v>8</v>
      </c>
      <c r="AC145" t="s">
        <v>8</v>
      </c>
      <c r="AD145" t="s">
        <v>8</v>
      </c>
      <c r="AE145" s="2">
        <v>45966</v>
      </c>
      <c r="AF145" s="2"/>
      <c r="AG145" t="s">
        <v>8</v>
      </c>
    </row>
    <row r="146" spans="1:33" outlineLevel="2" x14ac:dyDescent="0.25">
      <c r="A146" t="s">
        <v>27</v>
      </c>
      <c r="B146" t="s">
        <v>1</v>
      </c>
      <c r="C146" t="s">
        <v>2</v>
      </c>
      <c r="D146" t="s">
        <v>3</v>
      </c>
      <c r="E146" t="s">
        <v>4</v>
      </c>
      <c r="F146" t="s">
        <v>54</v>
      </c>
      <c r="G146" s="2">
        <v>45966</v>
      </c>
      <c r="H146" t="s">
        <v>397</v>
      </c>
      <c r="I146" t="s">
        <v>75</v>
      </c>
      <c r="J146" s="2">
        <v>45966</v>
      </c>
      <c r="K146" s="2">
        <v>45967</v>
      </c>
      <c r="L146" t="s">
        <v>69</v>
      </c>
      <c r="M146" t="s">
        <v>398</v>
      </c>
      <c r="N146" t="s">
        <v>9</v>
      </c>
      <c r="O146" t="s">
        <v>10</v>
      </c>
      <c r="P146" t="s">
        <v>8</v>
      </c>
      <c r="Q146" t="s">
        <v>65</v>
      </c>
      <c r="R146" t="s">
        <v>26</v>
      </c>
      <c r="S146" s="3">
        <v>8.2100000000000009</v>
      </c>
      <c r="T146" t="s">
        <v>12</v>
      </c>
      <c r="U146" s="3">
        <v>722.51</v>
      </c>
      <c r="V146" t="s">
        <v>77</v>
      </c>
      <c r="W146" t="s">
        <v>13</v>
      </c>
      <c r="X146" t="s">
        <v>8</v>
      </c>
      <c r="Y146" t="s">
        <v>399</v>
      </c>
      <c r="Z146" t="s">
        <v>14</v>
      </c>
      <c r="AA146" t="s">
        <v>400</v>
      </c>
      <c r="AB146" t="s">
        <v>8</v>
      </c>
      <c r="AC146" t="s">
        <v>8</v>
      </c>
      <c r="AD146" t="s">
        <v>8</v>
      </c>
      <c r="AE146" s="2">
        <v>45966</v>
      </c>
      <c r="AF146" s="2"/>
      <c r="AG146" t="s">
        <v>8</v>
      </c>
    </row>
    <row r="147" spans="1:33" outlineLevel="2" x14ac:dyDescent="0.25">
      <c r="A147" t="s">
        <v>27</v>
      </c>
      <c r="B147" t="s">
        <v>1</v>
      </c>
      <c r="C147" t="s">
        <v>2</v>
      </c>
      <c r="D147" t="s">
        <v>3</v>
      </c>
      <c r="E147" t="s">
        <v>4</v>
      </c>
      <c r="F147" t="s">
        <v>54</v>
      </c>
      <c r="G147" s="2">
        <v>45966</v>
      </c>
      <c r="H147" t="s">
        <v>401</v>
      </c>
      <c r="I147" t="s">
        <v>75</v>
      </c>
      <c r="J147" s="2">
        <v>45966</v>
      </c>
      <c r="K147" s="2">
        <v>45967</v>
      </c>
      <c r="L147" t="s">
        <v>69</v>
      </c>
      <c r="M147" t="s">
        <v>402</v>
      </c>
      <c r="N147" t="s">
        <v>9</v>
      </c>
      <c r="O147" t="s">
        <v>10</v>
      </c>
      <c r="P147" t="s">
        <v>8</v>
      </c>
      <c r="Q147" t="s">
        <v>65</v>
      </c>
      <c r="R147" t="s">
        <v>26</v>
      </c>
      <c r="S147" s="3">
        <v>152.26</v>
      </c>
      <c r="T147" t="s">
        <v>12</v>
      </c>
      <c r="U147" s="3">
        <v>13399.4</v>
      </c>
      <c r="V147" t="s">
        <v>77</v>
      </c>
      <c r="W147" t="s">
        <v>13</v>
      </c>
      <c r="X147" t="s">
        <v>8</v>
      </c>
      <c r="Y147" t="s">
        <v>403</v>
      </c>
      <c r="Z147" t="s">
        <v>14</v>
      </c>
      <c r="AA147" t="s">
        <v>404</v>
      </c>
      <c r="AB147" t="s">
        <v>8</v>
      </c>
      <c r="AC147" t="s">
        <v>8</v>
      </c>
      <c r="AD147" t="s">
        <v>8</v>
      </c>
      <c r="AE147" s="2">
        <v>45966</v>
      </c>
      <c r="AF147" s="2"/>
      <c r="AG147" t="s">
        <v>8</v>
      </c>
    </row>
    <row r="148" spans="1:33" outlineLevel="2" x14ac:dyDescent="0.25">
      <c r="A148" t="s">
        <v>27</v>
      </c>
      <c r="B148" t="s">
        <v>1</v>
      </c>
      <c r="C148" t="s">
        <v>2</v>
      </c>
      <c r="D148" t="s">
        <v>3</v>
      </c>
      <c r="E148" t="s">
        <v>4</v>
      </c>
      <c r="F148" t="s">
        <v>54</v>
      </c>
      <c r="G148" s="2">
        <v>45966</v>
      </c>
      <c r="H148" t="s">
        <v>405</v>
      </c>
      <c r="I148" t="s">
        <v>75</v>
      </c>
      <c r="J148" s="2">
        <v>45966</v>
      </c>
      <c r="K148" s="2">
        <v>45968</v>
      </c>
      <c r="L148" t="s">
        <v>406</v>
      </c>
      <c r="M148" t="s">
        <v>407</v>
      </c>
      <c r="N148" t="s">
        <v>9</v>
      </c>
      <c r="O148" t="s">
        <v>10</v>
      </c>
      <c r="P148" t="s">
        <v>8</v>
      </c>
      <c r="Q148" t="s">
        <v>65</v>
      </c>
      <c r="R148" t="s">
        <v>26</v>
      </c>
      <c r="S148" s="3">
        <v>25.69</v>
      </c>
      <c r="T148" t="s">
        <v>12</v>
      </c>
      <c r="U148" s="3">
        <v>2260.81</v>
      </c>
      <c r="V148" t="s">
        <v>77</v>
      </c>
      <c r="W148" t="s">
        <v>13</v>
      </c>
      <c r="X148" t="s">
        <v>8</v>
      </c>
      <c r="Y148" t="s">
        <v>69</v>
      </c>
      <c r="Z148" t="s">
        <v>14</v>
      </c>
      <c r="AA148" t="s">
        <v>408</v>
      </c>
      <c r="AB148" t="s">
        <v>8</v>
      </c>
      <c r="AC148" t="s">
        <v>8</v>
      </c>
      <c r="AD148" t="s">
        <v>8</v>
      </c>
      <c r="AE148" s="2">
        <v>45966</v>
      </c>
      <c r="AF148" s="2"/>
      <c r="AG148" t="s">
        <v>8</v>
      </c>
    </row>
    <row r="149" spans="1:33" outlineLevel="2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17</v>
      </c>
      <c r="G149" s="2">
        <v>45713</v>
      </c>
      <c r="H149" t="s">
        <v>409</v>
      </c>
      <c r="I149" t="s">
        <v>75</v>
      </c>
      <c r="J149" s="2">
        <v>45713</v>
      </c>
      <c r="K149" s="2">
        <v>45713</v>
      </c>
      <c r="L149" t="s">
        <v>69</v>
      </c>
      <c r="M149" t="s">
        <v>410</v>
      </c>
      <c r="N149" t="s">
        <v>9</v>
      </c>
      <c r="O149" t="s">
        <v>10</v>
      </c>
      <c r="P149" t="s">
        <v>8</v>
      </c>
      <c r="Q149" t="s">
        <v>65</v>
      </c>
      <c r="R149" t="s">
        <v>26</v>
      </c>
      <c r="S149" s="3">
        <v>1750</v>
      </c>
      <c r="T149" t="s">
        <v>12</v>
      </c>
      <c r="U149" s="3">
        <v>151031.41</v>
      </c>
      <c r="V149" t="s">
        <v>77</v>
      </c>
      <c r="W149" t="s">
        <v>13</v>
      </c>
      <c r="X149" t="s">
        <v>8</v>
      </c>
      <c r="Y149" t="s">
        <v>69</v>
      </c>
      <c r="Z149" t="s">
        <v>14</v>
      </c>
      <c r="AA149" t="s">
        <v>170</v>
      </c>
      <c r="AB149" t="s">
        <v>8</v>
      </c>
      <c r="AC149" t="s">
        <v>8</v>
      </c>
      <c r="AD149" t="s">
        <v>8</v>
      </c>
      <c r="AE149" s="2">
        <v>45713</v>
      </c>
      <c r="AF149" s="2">
        <v>45887</v>
      </c>
      <c r="AG149" t="s">
        <v>24</v>
      </c>
    </row>
    <row r="150" spans="1:33" outlineLevel="2" x14ac:dyDescent="0.25">
      <c r="A150" t="s">
        <v>27</v>
      </c>
      <c r="B150" t="s">
        <v>1</v>
      </c>
      <c r="C150" t="s">
        <v>2</v>
      </c>
      <c r="D150" t="s">
        <v>3</v>
      </c>
      <c r="E150" t="s">
        <v>4</v>
      </c>
      <c r="F150" t="s">
        <v>54</v>
      </c>
      <c r="G150" s="2">
        <v>45964</v>
      </c>
      <c r="H150" t="s">
        <v>411</v>
      </c>
      <c r="I150" t="s">
        <v>75</v>
      </c>
      <c r="J150" s="2">
        <v>45964</v>
      </c>
      <c r="K150" s="2">
        <v>45967</v>
      </c>
      <c r="L150" t="s">
        <v>69</v>
      </c>
      <c r="M150" t="s">
        <v>412</v>
      </c>
      <c r="N150" t="s">
        <v>9</v>
      </c>
      <c r="O150" t="s">
        <v>10</v>
      </c>
      <c r="P150" t="s">
        <v>8</v>
      </c>
      <c r="Q150" t="s">
        <v>65</v>
      </c>
      <c r="R150" t="s">
        <v>26</v>
      </c>
      <c r="S150" s="3">
        <v>52.71</v>
      </c>
      <c r="T150" t="s">
        <v>12</v>
      </c>
      <c r="U150" s="3">
        <v>4638.66</v>
      </c>
      <c r="V150" t="s">
        <v>77</v>
      </c>
      <c r="W150" t="s">
        <v>13</v>
      </c>
      <c r="X150" t="s">
        <v>8</v>
      </c>
      <c r="Y150" t="s">
        <v>413</v>
      </c>
      <c r="Z150" t="s">
        <v>14</v>
      </c>
      <c r="AA150" t="s">
        <v>414</v>
      </c>
      <c r="AB150" t="s">
        <v>8</v>
      </c>
      <c r="AC150" t="s">
        <v>8</v>
      </c>
      <c r="AD150" t="s">
        <v>8</v>
      </c>
      <c r="AE150" s="2">
        <v>45964</v>
      </c>
      <c r="AF150" s="2"/>
      <c r="AG150" t="s">
        <v>8</v>
      </c>
    </row>
    <row r="151" spans="1:33" outlineLevel="2" x14ac:dyDescent="0.25">
      <c r="A151" t="s">
        <v>27</v>
      </c>
      <c r="B151" t="s">
        <v>1</v>
      </c>
      <c r="C151" t="s">
        <v>2</v>
      </c>
      <c r="D151" t="s">
        <v>3</v>
      </c>
      <c r="E151" t="s">
        <v>4</v>
      </c>
      <c r="F151" t="s">
        <v>23</v>
      </c>
      <c r="G151" s="2">
        <v>45877</v>
      </c>
      <c r="H151" t="s">
        <v>415</v>
      </c>
      <c r="I151" t="s">
        <v>75</v>
      </c>
      <c r="J151" s="2">
        <v>45877</v>
      </c>
      <c r="K151" s="2">
        <v>45877</v>
      </c>
      <c r="L151" t="s">
        <v>69</v>
      </c>
      <c r="M151" t="s">
        <v>416</v>
      </c>
      <c r="N151" t="s">
        <v>9</v>
      </c>
      <c r="O151" t="s">
        <v>10</v>
      </c>
      <c r="P151" t="s">
        <v>8</v>
      </c>
      <c r="Q151" t="s">
        <v>65</v>
      </c>
      <c r="R151" t="s">
        <v>26</v>
      </c>
      <c r="S151" s="3">
        <v>1477.42</v>
      </c>
      <c r="T151" t="s">
        <v>12</v>
      </c>
      <c r="U151" s="3">
        <v>127102.62</v>
      </c>
      <c r="V151" t="s">
        <v>77</v>
      </c>
      <c r="W151" t="s">
        <v>13</v>
      </c>
      <c r="X151" t="s">
        <v>8</v>
      </c>
      <c r="Y151" t="s">
        <v>69</v>
      </c>
      <c r="Z151" t="s">
        <v>14</v>
      </c>
      <c r="AA151" t="s">
        <v>369</v>
      </c>
      <c r="AB151" t="s">
        <v>8</v>
      </c>
      <c r="AC151" t="s">
        <v>8</v>
      </c>
      <c r="AD151" t="s">
        <v>8</v>
      </c>
      <c r="AE151" s="2">
        <v>45877</v>
      </c>
      <c r="AF151" s="2"/>
      <c r="AG151" t="s">
        <v>8</v>
      </c>
    </row>
    <row r="152" spans="1:33" outlineLevel="2" x14ac:dyDescent="0.25">
      <c r="A152" t="s">
        <v>27</v>
      </c>
      <c r="B152" t="s">
        <v>1</v>
      </c>
      <c r="C152" t="s">
        <v>2</v>
      </c>
      <c r="D152" t="s">
        <v>3</v>
      </c>
      <c r="E152" t="s">
        <v>4</v>
      </c>
      <c r="F152" t="s">
        <v>23</v>
      </c>
      <c r="G152" s="2">
        <v>45877</v>
      </c>
      <c r="H152" t="s">
        <v>417</v>
      </c>
      <c r="I152" t="s">
        <v>75</v>
      </c>
      <c r="J152" s="2">
        <v>45877</v>
      </c>
      <c r="K152" s="2">
        <v>45877</v>
      </c>
      <c r="L152" t="s">
        <v>69</v>
      </c>
      <c r="M152" t="s">
        <v>418</v>
      </c>
      <c r="N152" t="s">
        <v>9</v>
      </c>
      <c r="O152" t="s">
        <v>10</v>
      </c>
      <c r="P152" t="s">
        <v>8</v>
      </c>
      <c r="Q152" t="s">
        <v>65</v>
      </c>
      <c r="R152" t="s">
        <v>26</v>
      </c>
      <c r="S152" s="3">
        <v>1449.76</v>
      </c>
      <c r="T152" t="s">
        <v>12</v>
      </c>
      <c r="U152" s="3">
        <v>124723.03</v>
      </c>
      <c r="V152" t="s">
        <v>77</v>
      </c>
      <c r="W152" t="s">
        <v>13</v>
      </c>
      <c r="X152" t="s">
        <v>8</v>
      </c>
      <c r="Y152" t="s">
        <v>69</v>
      </c>
      <c r="Z152" t="s">
        <v>14</v>
      </c>
      <c r="AA152" t="s">
        <v>419</v>
      </c>
      <c r="AB152" t="s">
        <v>8</v>
      </c>
      <c r="AC152" t="s">
        <v>8</v>
      </c>
      <c r="AD152" t="s">
        <v>8</v>
      </c>
      <c r="AE152" s="2">
        <v>45877</v>
      </c>
      <c r="AF152" s="2"/>
      <c r="AG152" t="s">
        <v>8</v>
      </c>
    </row>
    <row r="153" spans="1:33" outlineLevel="2" x14ac:dyDescent="0.25">
      <c r="A153" t="s">
        <v>27</v>
      </c>
      <c r="B153" t="s">
        <v>1</v>
      </c>
      <c r="C153" t="s">
        <v>2</v>
      </c>
      <c r="D153" t="s">
        <v>3</v>
      </c>
      <c r="E153" t="s">
        <v>4</v>
      </c>
      <c r="F153" t="s">
        <v>23</v>
      </c>
      <c r="G153" s="2">
        <v>45877</v>
      </c>
      <c r="H153" t="s">
        <v>420</v>
      </c>
      <c r="I153" t="s">
        <v>75</v>
      </c>
      <c r="J153" s="2">
        <v>45877</v>
      </c>
      <c r="K153" s="2">
        <v>45877</v>
      </c>
      <c r="L153" t="s">
        <v>69</v>
      </c>
      <c r="M153" t="s">
        <v>421</v>
      </c>
      <c r="N153" t="s">
        <v>9</v>
      </c>
      <c r="O153" t="s">
        <v>10</v>
      </c>
      <c r="P153" t="s">
        <v>8</v>
      </c>
      <c r="Q153" t="s">
        <v>65</v>
      </c>
      <c r="R153" t="s">
        <v>26</v>
      </c>
      <c r="S153" s="3">
        <v>50</v>
      </c>
      <c r="T153" t="s">
        <v>12</v>
      </c>
      <c r="U153" s="3">
        <v>4301.51</v>
      </c>
      <c r="V153" t="s">
        <v>77</v>
      </c>
      <c r="W153" t="s">
        <v>13</v>
      </c>
      <c r="X153" t="s">
        <v>8</v>
      </c>
      <c r="Y153" t="s">
        <v>69</v>
      </c>
      <c r="Z153" t="s">
        <v>14</v>
      </c>
      <c r="AA153" t="s">
        <v>422</v>
      </c>
      <c r="AB153" t="s">
        <v>8</v>
      </c>
      <c r="AC153" t="s">
        <v>8</v>
      </c>
      <c r="AD153" t="s">
        <v>8</v>
      </c>
      <c r="AE153" s="2">
        <v>45877</v>
      </c>
      <c r="AF153" s="2"/>
      <c r="AG153" t="s">
        <v>8</v>
      </c>
    </row>
    <row r="154" spans="1:33" outlineLevel="2" x14ac:dyDescent="0.25">
      <c r="A154" t="s">
        <v>27</v>
      </c>
      <c r="B154" t="s">
        <v>1</v>
      </c>
      <c r="C154" t="s">
        <v>2</v>
      </c>
      <c r="D154" t="s">
        <v>3</v>
      </c>
      <c r="E154" t="s">
        <v>4</v>
      </c>
      <c r="F154" t="s">
        <v>23</v>
      </c>
      <c r="G154" s="2">
        <v>45877</v>
      </c>
      <c r="H154" t="s">
        <v>423</v>
      </c>
      <c r="I154" t="s">
        <v>75</v>
      </c>
      <c r="J154" s="2">
        <v>45877</v>
      </c>
      <c r="K154" s="2">
        <v>45877</v>
      </c>
      <c r="L154" t="s">
        <v>69</v>
      </c>
      <c r="M154" t="s">
        <v>424</v>
      </c>
      <c r="N154" t="s">
        <v>9</v>
      </c>
      <c r="O154" t="s">
        <v>10</v>
      </c>
      <c r="P154" t="s">
        <v>8</v>
      </c>
      <c r="Q154" t="s">
        <v>65</v>
      </c>
      <c r="R154" t="s">
        <v>26</v>
      </c>
      <c r="S154" s="3">
        <v>299.12</v>
      </c>
      <c r="T154" t="s">
        <v>12</v>
      </c>
      <c r="U154" s="3">
        <v>25733.33</v>
      </c>
      <c r="V154" t="s">
        <v>77</v>
      </c>
      <c r="W154" t="s">
        <v>13</v>
      </c>
      <c r="X154" t="s">
        <v>8</v>
      </c>
      <c r="Y154" t="s">
        <v>69</v>
      </c>
      <c r="Z154" t="s">
        <v>14</v>
      </c>
      <c r="AA154" t="s">
        <v>425</v>
      </c>
      <c r="AB154" t="s">
        <v>8</v>
      </c>
      <c r="AC154" t="s">
        <v>8</v>
      </c>
      <c r="AD154" t="s">
        <v>8</v>
      </c>
      <c r="AE154" s="2">
        <v>45877</v>
      </c>
      <c r="AF154" s="2"/>
      <c r="AG154" t="s">
        <v>8</v>
      </c>
    </row>
    <row r="155" spans="1:33" outlineLevel="2" x14ac:dyDescent="0.25">
      <c r="A155" t="s">
        <v>27</v>
      </c>
      <c r="B155" t="s">
        <v>1</v>
      </c>
      <c r="C155" t="s">
        <v>2</v>
      </c>
      <c r="D155" t="s">
        <v>3</v>
      </c>
      <c r="E155" t="s">
        <v>4</v>
      </c>
      <c r="F155" t="s">
        <v>23</v>
      </c>
      <c r="G155" s="2">
        <v>45877</v>
      </c>
      <c r="H155" t="s">
        <v>426</v>
      </c>
      <c r="I155" t="s">
        <v>75</v>
      </c>
      <c r="J155" s="2">
        <v>45877</v>
      </c>
      <c r="K155" s="2">
        <v>45877</v>
      </c>
      <c r="L155" t="s">
        <v>69</v>
      </c>
      <c r="M155" t="s">
        <v>427</v>
      </c>
      <c r="N155" t="s">
        <v>9</v>
      </c>
      <c r="O155" t="s">
        <v>10</v>
      </c>
      <c r="P155" t="s">
        <v>8</v>
      </c>
      <c r="Q155" t="s">
        <v>65</v>
      </c>
      <c r="R155" t="s">
        <v>26</v>
      </c>
      <c r="S155" s="3">
        <v>2787.24</v>
      </c>
      <c r="T155" t="s">
        <v>12</v>
      </c>
      <c r="U155" s="3">
        <v>239786.59</v>
      </c>
      <c r="V155" t="s">
        <v>77</v>
      </c>
      <c r="W155" t="s">
        <v>13</v>
      </c>
      <c r="X155" t="s">
        <v>8</v>
      </c>
      <c r="Y155" t="s">
        <v>69</v>
      </c>
      <c r="Z155" t="s">
        <v>14</v>
      </c>
      <c r="AA155" t="s">
        <v>428</v>
      </c>
      <c r="AB155" t="s">
        <v>8</v>
      </c>
      <c r="AC155" t="s">
        <v>8</v>
      </c>
      <c r="AD155" t="s">
        <v>8</v>
      </c>
      <c r="AE155" s="2">
        <v>45877</v>
      </c>
      <c r="AF155" s="2"/>
      <c r="AG155" t="s">
        <v>8</v>
      </c>
    </row>
    <row r="156" spans="1:33" outlineLevel="2" x14ac:dyDescent="0.25">
      <c r="A156" t="s">
        <v>27</v>
      </c>
      <c r="B156" t="s">
        <v>1</v>
      </c>
      <c r="C156" t="s">
        <v>2</v>
      </c>
      <c r="D156" t="s">
        <v>3</v>
      </c>
      <c r="E156" t="s">
        <v>4</v>
      </c>
      <c r="F156" t="s">
        <v>23</v>
      </c>
      <c r="G156" s="2">
        <v>45877</v>
      </c>
      <c r="H156" t="s">
        <v>429</v>
      </c>
      <c r="I156" t="s">
        <v>75</v>
      </c>
      <c r="J156" s="2">
        <v>45877</v>
      </c>
      <c r="K156" s="2">
        <v>45877</v>
      </c>
      <c r="L156" t="s">
        <v>69</v>
      </c>
      <c r="M156" t="s">
        <v>430</v>
      </c>
      <c r="N156" t="s">
        <v>9</v>
      </c>
      <c r="O156" t="s">
        <v>10</v>
      </c>
      <c r="P156" t="s">
        <v>8</v>
      </c>
      <c r="Q156" t="s">
        <v>65</v>
      </c>
      <c r="R156" t="s">
        <v>26</v>
      </c>
      <c r="S156" s="3">
        <v>304.52999999999997</v>
      </c>
      <c r="T156" t="s">
        <v>12</v>
      </c>
      <c r="U156" s="3">
        <v>26198.75</v>
      </c>
      <c r="V156" t="s">
        <v>77</v>
      </c>
      <c r="W156" t="s">
        <v>13</v>
      </c>
      <c r="X156" t="s">
        <v>8</v>
      </c>
      <c r="Y156" t="s">
        <v>69</v>
      </c>
      <c r="Z156" t="s">
        <v>14</v>
      </c>
      <c r="AA156" t="s">
        <v>431</v>
      </c>
      <c r="AB156" t="s">
        <v>8</v>
      </c>
      <c r="AC156" t="s">
        <v>8</v>
      </c>
      <c r="AD156" t="s">
        <v>8</v>
      </c>
      <c r="AE156" s="2">
        <v>45877</v>
      </c>
      <c r="AF156" s="2"/>
      <c r="AG156" t="s">
        <v>8</v>
      </c>
    </row>
    <row r="157" spans="1:33" outlineLevel="2" x14ac:dyDescent="0.25">
      <c r="A157" t="s">
        <v>27</v>
      </c>
      <c r="B157" t="s">
        <v>1</v>
      </c>
      <c r="C157" t="s">
        <v>2</v>
      </c>
      <c r="D157" t="s">
        <v>3</v>
      </c>
      <c r="E157" t="s">
        <v>4</v>
      </c>
      <c r="F157" t="s">
        <v>23</v>
      </c>
      <c r="G157" s="2">
        <v>45877</v>
      </c>
      <c r="H157" t="s">
        <v>432</v>
      </c>
      <c r="I157" t="s">
        <v>75</v>
      </c>
      <c r="J157" s="2">
        <v>45877</v>
      </c>
      <c r="K157" s="2">
        <v>45877</v>
      </c>
      <c r="L157" t="s">
        <v>69</v>
      </c>
      <c r="M157" t="s">
        <v>433</v>
      </c>
      <c r="N157" t="s">
        <v>9</v>
      </c>
      <c r="O157" t="s">
        <v>10</v>
      </c>
      <c r="P157" t="s">
        <v>8</v>
      </c>
      <c r="Q157" t="s">
        <v>65</v>
      </c>
      <c r="R157" t="s">
        <v>26</v>
      </c>
      <c r="S157" s="3">
        <v>586.79</v>
      </c>
      <c r="T157" t="s">
        <v>12</v>
      </c>
      <c r="U157" s="3">
        <v>50481.61</v>
      </c>
      <c r="V157" t="s">
        <v>77</v>
      </c>
      <c r="W157" t="s">
        <v>13</v>
      </c>
      <c r="X157" t="s">
        <v>8</v>
      </c>
      <c r="Y157" t="s">
        <v>69</v>
      </c>
      <c r="Z157" t="s">
        <v>14</v>
      </c>
      <c r="AA157" t="s">
        <v>434</v>
      </c>
      <c r="AB157" t="s">
        <v>8</v>
      </c>
      <c r="AC157" t="s">
        <v>8</v>
      </c>
      <c r="AD157" t="s">
        <v>8</v>
      </c>
      <c r="AE157" s="2">
        <v>45877</v>
      </c>
      <c r="AF157" s="2"/>
      <c r="AG157" t="s">
        <v>8</v>
      </c>
    </row>
    <row r="158" spans="1:33" outlineLevel="2" x14ac:dyDescent="0.25">
      <c r="A158" t="s">
        <v>27</v>
      </c>
      <c r="B158" t="s">
        <v>1</v>
      </c>
      <c r="C158" t="s">
        <v>2</v>
      </c>
      <c r="D158" t="s">
        <v>3</v>
      </c>
      <c r="E158" t="s">
        <v>4</v>
      </c>
      <c r="F158" t="s">
        <v>23</v>
      </c>
      <c r="G158" s="2">
        <v>45877</v>
      </c>
      <c r="H158" t="s">
        <v>435</v>
      </c>
      <c r="I158" t="s">
        <v>75</v>
      </c>
      <c r="J158" s="2">
        <v>45877</v>
      </c>
      <c r="K158" s="2">
        <v>45877</v>
      </c>
      <c r="L158" t="s">
        <v>69</v>
      </c>
      <c r="M158" t="s">
        <v>436</v>
      </c>
      <c r="N158" t="s">
        <v>9</v>
      </c>
      <c r="O158" t="s">
        <v>10</v>
      </c>
      <c r="P158" t="s">
        <v>8</v>
      </c>
      <c r="Q158" t="s">
        <v>65</v>
      </c>
      <c r="R158" t="s">
        <v>26</v>
      </c>
      <c r="S158" s="3">
        <v>396.98</v>
      </c>
      <c r="T158" t="s">
        <v>12</v>
      </c>
      <c r="U158" s="3">
        <v>34152.239999999998</v>
      </c>
      <c r="V158" t="s">
        <v>77</v>
      </c>
      <c r="W158" t="s">
        <v>13</v>
      </c>
      <c r="X158" t="s">
        <v>8</v>
      </c>
      <c r="Y158" t="s">
        <v>69</v>
      </c>
      <c r="Z158" t="s">
        <v>14</v>
      </c>
      <c r="AA158" t="s">
        <v>437</v>
      </c>
      <c r="AB158" t="s">
        <v>8</v>
      </c>
      <c r="AC158" t="s">
        <v>8</v>
      </c>
      <c r="AD158" t="s">
        <v>8</v>
      </c>
      <c r="AE158" s="2">
        <v>45877</v>
      </c>
      <c r="AF158" s="2"/>
      <c r="AG158" t="s">
        <v>8</v>
      </c>
    </row>
    <row r="159" spans="1:33" outlineLevel="2" x14ac:dyDescent="0.25">
      <c r="A159" t="s">
        <v>27</v>
      </c>
      <c r="B159" t="s">
        <v>1</v>
      </c>
      <c r="C159" t="s">
        <v>2</v>
      </c>
      <c r="D159" t="s">
        <v>3</v>
      </c>
      <c r="E159" t="s">
        <v>4</v>
      </c>
      <c r="F159" t="s">
        <v>79</v>
      </c>
      <c r="G159" s="2">
        <v>45812</v>
      </c>
      <c r="H159" t="s">
        <v>438</v>
      </c>
      <c r="I159" t="s">
        <v>75</v>
      </c>
      <c r="J159" s="2">
        <v>45812</v>
      </c>
      <c r="K159" s="2">
        <v>45817</v>
      </c>
      <c r="L159" t="s">
        <v>69</v>
      </c>
      <c r="M159" t="s">
        <v>439</v>
      </c>
      <c r="N159" t="s">
        <v>9</v>
      </c>
      <c r="O159" t="s">
        <v>10</v>
      </c>
      <c r="P159" t="s">
        <v>8</v>
      </c>
      <c r="Q159" t="s">
        <v>65</v>
      </c>
      <c r="R159" t="s">
        <v>26</v>
      </c>
      <c r="S159" s="3">
        <v>71.760000000000005</v>
      </c>
      <c r="T159" t="s">
        <v>12</v>
      </c>
      <c r="U159" s="3">
        <v>6134.82</v>
      </c>
      <c r="V159" t="s">
        <v>77</v>
      </c>
      <c r="W159" t="s">
        <v>13</v>
      </c>
      <c r="X159" t="s">
        <v>8</v>
      </c>
      <c r="Y159" t="s">
        <v>69</v>
      </c>
      <c r="Z159" t="s">
        <v>14</v>
      </c>
      <c r="AA159" t="s">
        <v>440</v>
      </c>
      <c r="AB159" t="s">
        <v>8</v>
      </c>
      <c r="AC159" t="s">
        <v>8</v>
      </c>
      <c r="AD159" t="s">
        <v>8</v>
      </c>
      <c r="AE159" s="2">
        <v>45812</v>
      </c>
      <c r="AF159" s="2"/>
      <c r="AG159" t="s">
        <v>8</v>
      </c>
    </row>
    <row r="160" spans="1:33" outlineLevel="2" x14ac:dyDescent="0.25">
      <c r="A160" t="s">
        <v>27</v>
      </c>
      <c r="B160" t="s">
        <v>1</v>
      </c>
      <c r="C160" t="s">
        <v>2</v>
      </c>
      <c r="D160" t="s">
        <v>3</v>
      </c>
      <c r="E160" t="s">
        <v>4</v>
      </c>
      <c r="F160" t="s">
        <v>79</v>
      </c>
      <c r="G160" s="2">
        <v>45812</v>
      </c>
      <c r="H160" t="s">
        <v>441</v>
      </c>
      <c r="I160" t="s">
        <v>75</v>
      </c>
      <c r="J160" s="2">
        <v>45812</v>
      </c>
      <c r="K160" s="2">
        <v>45817</v>
      </c>
      <c r="L160" t="s">
        <v>69</v>
      </c>
      <c r="M160" t="s">
        <v>442</v>
      </c>
      <c r="N160" t="s">
        <v>9</v>
      </c>
      <c r="O160" t="s">
        <v>10</v>
      </c>
      <c r="P160" t="s">
        <v>8</v>
      </c>
      <c r="Q160" t="s">
        <v>65</v>
      </c>
      <c r="R160" t="s">
        <v>26</v>
      </c>
      <c r="S160" s="3">
        <v>136.08000000000001</v>
      </c>
      <c r="T160" t="s">
        <v>12</v>
      </c>
      <c r="U160" s="3">
        <v>11633.59</v>
      </c>
      <c r="V160" t="s">
        <v>77</v>
      </c>
      <c r="W160" t="s">
        <v>13</v>
      </c>
      <c r="X160" t="s">
        <v>8</v>
      </c>
      <c r="Y160" t="s">
        <v>69</v>
      </c>
      <c r="Z160" t="s">
        <v>14</v>
      </c>
      <c r="AA160" t="s">
        <v>443</v>
      </c>
      <c r="AB160" t="s">
        <v>8</v>
      </c>
      <c r="AC160" t="s">
        <v>8</v>
      </c>
      <c r="AD160" t="s">
        <v>8</v>
      </c>
      <c r="AE160" s="2">
        <v>45812</v>
      </c>
      <c r="AF160" s="2"/>
      <c r="AG160" t="s">
        <v>8</v>
      </c>
    </row>
    <row r="161" spans="1:33" outlineLevel="2" x14ac:dyDescent="0.25">
      <c r="A161" t="s">
        <v>27</v>
      </c>
      <c r="B161" t="s">
        <v>1</v>
      </c>
      <c r="C161" t="s">
        <v>2</v>
      </c>
      <c r="D161" t="s">
        <v>3</v>
      </c>
      <c r="E161" t="s">
        <v>4</v>
      </c>
      <c r="F161" t="s">
        <v>79</v>
      </c>
      <c r="G161" s="2">
        <v>45812</v>
      </c>
      <c r="H161" t="s">
        <v>444</v>
      </c>
      <c r="I161" t="s">
        <v>75</v>
      </c>
      <c r="J161" s="2">
        <v>45812</v>
      </c>
      <c r="K161" s="2">
        <v>45817</v>
      </c>
      <c r="L161" t="s">
        <v>69</v>
      </c>
      <c r="M161" t="s">
        <v>445</v>
      </c>
      <c r="N161" t="s">
        <v>9</v>
      </c>
      <c r="O161" t="s">
        <v>10</v>
      </c>
      <c r="P161" t="s">
        <v>8</v>
      </c>
      <c r="Q161" t="s">
        <v>65</v>
      </c>
      <c r="R161" t="s">
        <v>26</v>
      </c>
      <c r="S161" s="3">
        <v>697.43</v>
      </c>
      <c r="T161" t="s">
        <v>12</v>
      </c>
      <c r="U161" s="3">
        <v>59623.83</v>
      </c>
      <c r="V161" t="s">
        <v>77</v>
      </c>
      <c r="W161" t="s">
        <v>13</v>
      </c>
      <c r="X161" t="s">
        <v>8</v>
      </c>
      <c r="Y161" t="s">
        <v>69</v>
      </c>
      <c r="Z161" t="s">
        <v>14</v>
      </c>
      <c r="AA161" t="s">
        <v>446</v>
      </c>
      <c r="AB161" t="s">
        <v>8</v>
      </c>
      <c r="AC161" t="s">
        <v>8</v>
      </c>
      <c r="AD161" t="s">
        <v>8</v>
      </c>
      <c r="AE161" s="2">
        <v>45812</v>
      </c>
      <c r="AF161" s="2"/>
      <c r="AG161" t="s">
        <v>8</v>
      </c>
    </row>
    <row r="162" spans="1:33" outlineLevel="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73</v>
      </c>
      <c r="G162" s="2">
        <v>45791</v>
      </c>
      <c r="H162" t="s">
        <v>447</v>
      </c>
      <c r="I162" t="s">
        <v>118</v>
      </c>
      <c r="J162" s="2">
        <v>45791</v>
      </c>
      <c r="K162" s="2">
        <v>45793</v>
      </c>
      <c r="L162" t="s">
        <v>69</v>
      </c>
      <c r="M162" t="s">
        <v>448</v>
      </c>
      <c r="N162" t="s">
        <v>9</v>
      </c>
      <c r="O162" t="s">
        <v>10</v>
      </c>
      <c r="P162" t="s">
        <v>8</v>
      </c>
      <c r="Q162" t="s">
        <v>54</v>
      </c>
      <c r="R162" t="s">
        <v>26</v>
      </c>
      <c r="S162" s="3">
        <v>-945.75</v>
      </c>
      <c r="T162" t="s">
        <v>12</v>
      </c>
      <c r="U162" s="3">
        <v>-81988.259999999995</v>
      </c>
      <c r="V162" t="s">
        <v>77</v>
      </c>
      <c r="W162" t="s">
        <v>13</v>
      </c>
      <c r="X162" t="s">
        <v>8</v>
      </c>
      <c r="Y162" t="s">
        <v>69</v>
      </c>
      <c r="Z162" t="s">
        <v>14</v>
      </c>
      <c r="AA162" t="s">
        <v>449</v>
      </c>
      <c r="AB162" t="s">
        <v>8</v>
      </c>
      <c r="AC162" t="s">
        <v>8</v>
      </c>
      <c r="AD162" t="s">
        <v>8</v>
      </c>
      <c r="AE162" s="2">
        <v>45791</v>
      </c>
      <c r="AF162" s="2">
        <v>45842</v>
      </c>
      <c r="AG162" t="s">
        <v>68</v>
      </c>
    </row>
    <row r="163" spans="1:33" outlineLevel="2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73</v>
      </c>
      <c r="G163" s="2">
        <v>45791</v>
      </c>
      <c r="H163" t="s">
        <v>450</v>
      </c>
      <c r="I163" t="s">
        <v>118</v>
      </c>
      <c r="J163" s="2">
        <v>45791</v>
      </c>
      <c r="K163" s="2">
        <v>45793</v>
      </c>
      <c r="L163" t="s">
        <v>69</v>
      </c>
      <c r="M163" t="s">
        <v>451</v>
      </c>
      <c r="N163" t="s">
        <v>9</v>
      </c>
      <c r="O163" t="s">
        <v>10</v>
      </c>
      <c r="P163" t="s">
        <v>8</v>
      </c>
      <c r="Q163" t="s">
        <v>54</v>
      </c>
      <c r="R163" t="s">
        <v>26</v>
      </c>
      <c r="S163" s="3">
        <v>-1166.5899999999999</v>
      </c>
      <c r="T163" t="s">
        <v>12</v>
      </c>
      <c r="U163" s="3">
        <v>-101402.13</v>
      </c>
      <c r="V163" t="s">
        <v>77</v>
      </c>
      <c r="W163" t="s">
        <v>13</v>
      </c>
      <c r="X163" t="s">
        <v>8</v>
      </c>
      <c r="Y163" t="s">
        <v>69</v>
      </c>
      <c r="Z163" t="s">
        <v>14</v>
      </c>
      <c r="AA163" t="s">
        <v>452</v>
      </c>
      <c r="AB163" t="s">
        <v>8</v>
      </c>
      <c r="AC163" t="s">
        <v>8</v>
      </c>
      <c r="AD163" t="s">
        <v>8</v>
      </c>
      <c r="AE163" s="2">
        <v>45791</v>
      </c>
      <c r="AF163" s="2">
        <v>45842</v>
      </c>
      <c r="AG163" t="s">
        <v>71</v>
      </c>
    </row>
    <row r="164" spans="1:33" outlineLevel="2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73</v>
      </c>
      <c r="G164" s="2">
        <v>45791</v>
      </c>
      <c r="H164" t="s">
        <v>453</v>
      </c>
      <c r="I164" t="s">
        <v>118</v>
      </c>
      <c r="J164" s="2">
        <v>45791</v>
      </c>
      <c r="K164" s="2">
        <v>45793</v>
      </c>
      <c r="L164" t="s">
        <v>69</v>
      </c>
      <c r="M164" t="s">
        <v>454</v>
      </c>
      <c r="N164" t="s">
        <v>9</v>
      </c>
      <c r="O164" t="s">
        <v>10</v>
      </c>
      <c r="P164" t="s">
        <v>8</v>
      </c>
      <c r="Q164" t="s">
        <v>54</v>
      </c>
      <c r="R164" t="s">
        <v>26</v>
      </c>
      <c r="S164" s="3">
        <v>-1143.1199999999999</v>
      </c>
      <c r="T164" t="s">
        <v>12</v>
      </c>
      <c r="U164" s="3">
        <v>-99362.07</v>
      </c>
      <c r="V164" t="s">
        <v>77</v>
      </c>
      <c r="W164" t="s">
        <v>13</v>
      </c>
      <c r="X164" t="s">
        <v>8</v>
      </c>
      <c r="Y164" t="s">
        <v>69</v>
      </c>
      <c r="Z164" t="s">
        <v>14</v>
      </c>
      <c r="AA164" t="s">
        <v>455</v>
      </c>
      <c r="AB164" t="s">
        <v>8</v>
      </c>
      <c r="AC164" t="s">
        <v>8</v>
      </c>
      <c r="AD164" t="s">
        <v>8</v>
      </c>
      <c r="AE164" s="2">
        <v>45791</v>
      </c>
      <c r="AF164" s="2">
        <v>45842</v>
      </c>
      <c r="AG164" t="s">
        <v>72</v>
      </c>
    </row>
    <row r="165" spans="1:33" outlineLevel="2" x14ac:dyDescent="0.25">
      <c r="A165" t="s">
        <v>27</v>
      </c>
      <c r="B165" t="s">
        <v>1</v>
      </c>
      <c r="C165" t="s">
        <v>2</v>
      </c>
      <c r="D165" t="s">
        <v>3</v>
      </c>
      <c r="E165" t="s">
        <v>4</v>
      </c>
      <c r="F165" t="s">
        <v>73</v>
      </c>
      <c r="G165" s="2">
        <v>45793</v>
      </c>
      <c r="H165" t="s">
        <v>456</v>
      </c>
      <c r="I165" t="s">
        <v>75</v>
      </c>
      <c r="J165" s="2">
        <v>45793</v>
      </c>
      <c r="K165" s="2">
        <v>45800</v>
      </c>
      <c r="L165" t="s">
        <v>69</v>
      </c>
      <c r="M165" t="s">
        <v>457</v>
      </c>
      <c r="N165" t="s">
        <v>9</v>
      </c>
      <c r="O165" t="s">
        <v>10</v>
      </c>
      <c r="P165" t="s">
        <v>8</v>
      </c>
      <c r="Q165" t="s">
        <v>65</v>
      </c>
      <c r="R165" t="s">
        <v>26</v>
      </c>
      <c r="S165" s="3">
        <v>270</v>
      </c>
      <c r="T165" t="s">
        <v>12</v>
      </c>
      <c r="U165" s="3">
        <v>23215.599999999999</v>
      </c>
      <c r="V165" t="s">
        <v>77</v>
      </c>
      <c r="W165" t="s">
        <v>13</v>
      </c>
      <c r="X165" t="s">
        <v>8</v>
      </c>
      <c r="Y165" t="s">
        <v>69</v>
      </c>
      <c r="Z165" t="s">
        <v>14</v>
      </c>
      <c r="AA165" t="s">
        <v>458</v>
      </c>
      <c r="AB165" t="s">
        <v>8</v>
      </c>
      <c r="AC165" t="s">
        <v>8</v>
      </c>
      <c r="AD165" t="s">
        <v>8</v>
      </c>
      <c r="AE165" s="2">
        <v>45793</v>
      </c>
      <c r="AF165" s="2"/>
      <c r="AG165" t="s">
        <v>8</v>
      </c>
    </row>
    <row r="166" spans="1:33" outlineLevel="2" x14ac:dyDescent="0.25">
      <c r="A166" t="s">
        <v>27</v>
      </c>
      <c r="B166" t="s">
        <v>1</v>
      </c>
      <c r="C166" t="s">
        <v>2</v>
      </c>
      <c r="D166" t="s">
        <v>3</v>
      </c>
      <c r="E166" t="s">
        <v>4</v>
      </c>
      <c r="F166" t="s">
        <v>73</v>
      </c>
      <c r="G166" s="2">
        <v>45793</v>
      </c>
      <c r="H166" t="s">
        <v>459</v>
      </c>
      <c r="I166" t="s">
        <v>75</v>
      </c>
      <c r="J166" s="2">
        <v>45793</v>
      </c>
      <c r="K166" s="2">
        <v>45800</v>
      </c>
      <c r="L166" t="s">
        <v>69</v>
      </c>
      <c r="M166" t="s">
        <v>460</v>
      </c>
      <c r="N166" t="s">
        <v>9</v>
      </c>
      <c r="O166" t="s">
        <v>10</v>
      </c>
      <c r="P166" t="s">
        <v>8</v>
      </c>
      <c r="Q166" t="s">
        <v>65</v>
      </c>
      <c r="R166" t="s">
        <v>26</v>
      </c>
      <c r="S166" s="3">
        <v>35</v>
      </c>
      <c r="T166" t="s">
        <v>12</v>
      </c>
      <c r="U166" s="3">
        <v>3009.43</v>
      </c>
      <c r="V166" t="s">
        <v>77</v>
      </c>
      <c r="W166" t="s">
        <v>13</v>
      </c>
      <c r="X166" t="s">
        <v>8</v>
      </c>
      <c r="Y166" t="s">
        <v>69</v>
      </c>
      <c r="Z166" t="s">
        <v>14</v>
      </c>
      <c r="AA166" t="s">
        <v>461</v>
      </c>
      <c r="AB166" t="s">
        <v>8</v>
      </c>
      <c r="AC166" t="s">
        <v>8</v>
      </c>
      <c r="AD166" t="s">
        <v>8</v>
      </c>
      <c r="AE166" s="2">
        <v>45793</v>
      </c>
      <c r="AF166" s="2"/>
      <c r="AG166" t="s">
        <v>8</v>
      </c>
    </row>
    <row r="167" spans="1:33" outlineLevel="2" x14ac:dyDescent="0.25">
      <c r="A167" t="s">
        <v>27</v>
      </c>
      <c r="B167" t="s">
        <v>1</v>
      </c>
      <c r="C167" t="s">
        <v>2</v>
      </c>
      <c r="D167" t="s">
        <v>3</v>
      </c>
      <c r="E167" t="s">
        <v>4</v>
      </c>
      <c r="F167" t="s">
        <v>73</v>
      </c>
      <c r="G167" s="2">
        <v>45793</v>
      </c>
      <c r="H167" t="s">
        <v>462</v>
      </c>
      <c r="I167" t="s">
        <v>75</v>
      </c>
      <c r="J167" s="2">
        <v>45793</v>
      </c>
      <c r="K167" s="2">
        <v>45800</v>
      </c>
      <c r="L167" t="s">
        <v>69</v>
      </c>
      <c r="M167" t="s">
        <v>463</v>
      </c>
      <c r="N167" t="s">
        <v>9</v>
      </c>
      <c r="O167" t="s">
        <v>10</v>
      </c>
      <c r="P167" t="s">
        <v>8</v>
      </c>
      <c r="Q167" t="s">
        <v>65</v>
      </c>
      <c r="R167" t="s">
        <v>26</v>
      </c>
      <c r="S167" s="3">
        <v>86</v>
      </c>
      <c r="T167" t="s">
        <v>12</v>
      </c>
      <c r="U167" s="3">
        <v>7394.6</v>
      </c>
      <c r="V167" t="s">
        <v>77</v>
      </c>
      <c r="W167" t="s">
        <v>13</v>
      </c>
      <c r="X167" t="s">
        <v>8</v>
      </c>
      <c r="Y167" t="s">
        <v>69</v>
      </c>
      <c r="Z167" t="s">
        <v>14</v>
      </c>
      <c r="AA167" t="s">
        <v>464</v>
      </c>
      <c r="AB167" t="s">
        <v>8</v>
      </c>
      <c r="AC167" t="s">
        <v>8</v>
      </c>
      <c r="AD167" t="s">
        <v>8</v>
      </c>
      <c r="AE167" s="2">
        <v>45793</v>
      </c>
      <c r="AF167" s="2"/>
      <c r="AG167" t="s">
        <v>8</v>
      </c>
    </row>
    <row r="168" spans="1:33" outlineLevel="2" x14ac:dyDescent="0.25">
      <c r="A168" t="s">
        <v>27</v>
      </c>
      <c r="B168" t="s">
        <v>1</v>
      </c>
      <c r="C168" t="s">
        <v>2</v>
      </c>
      <c r="D168" t="s">
        <v>3</v>
      </c>
      <c r="E168" t="s">
        <v>4</v>
      </c>
      <c r="F168" t="s">
        <v>73</v>
      </c>
      <c r="G168" s="2">
        <v>45793</v>
      </c>
      <c r="H168" t="s">
        <v>465</v>
      </c>
      <c r="I168" t="s">
        <v>75</v>
      </c>
      <c r="J168" s="2">
        <v>45793</v>
      </c>
      <c r="K168" s="2">
        <v>45800</v>
      </c>
      <c r="L168" t="s">
        <v>69</v>
      </c>
      <c r="M168" t="s">
        <v>466</v>
      </c>
      <c r="N168" t="s">
        <v>9</v>
      </c>
      <c r="O168" t="s">
        <v>10</v>
      </c>
      <c r="P168" t="s">
        <v>8</v>
      </c>
      <c r="Q168" t="s">
        <v>65</v>
      </c>
      <c r="R168" t="s">
        <v>26</v>
      </c>
      <c r="S168" s="3">
        <v>20.11</v>
      </c>
      <c r="T168" t="s">
        <v>12</v>
      </c>
      <c r="U168" s="3">
        <v>1729.13</v>
      </c>
      <c r="V168" t="s">
        <v>77</v>
      </c>
      <c r="W168" t="s">
        <v>13</v>
      </c>
      <c r="X168" t="s">
        <v>8</v>
      </c>
      <c r="Y168" t="s">
        <v>69</v>
      </c>
      <c r="Z168" t="s">
        <v>14</v>
      </c>
      <c r="AA168" t="s">
        <v>467</v>
      </c>
      <c r="AB168" t="s">
        <v>8</v>
      </c>
      <c r="AC168" t="s">
        <v>8</v>
      </c>
      <c r="AD168" t="s">
        <v>8</v>
      </c>
      <c r="AE168" s="2">
        <v>45793</v>
      </c>
      <c r="AF168" s="2"/>
      <c r="AG168" t="s">
        <v>8</v>
      </c>
    </row>
    <row r="169" spans="1:33" outlineLevel="2" x14ac:dyDescent="0.25">
      <c r="A169" t="s">
        <v>27</v>
      </c>
      <c r="B169" t="s">
        <v>1</v>
      </c>
      <c r="C169" t="s">
        <v>2</v>
      </c>
      <c r="D169" t="s">
        <v>3</v>
      </c>
      <c r="E169" t="s">
        <v>4</v>
      </c>
      <c r="F169" t="s">
        <v>73</v>
      </c>
      <c r="G169" s="2">
        <v>45805</v>
      </c>
      <c r="H169" t="s">
        <v>468</v>
      </c>
      <c r="I169" t="s">
        <v>75</v>
      </c>
      <c r="J169" s="2">
        <v>45805</v>
      </c>
      <c r="K169" s="2">
        <v>45805</v>
      </c>
      <c r="L169" t="s">
        <v>69</v>
      </c>
      <c r="M169" t="s">
        <v>469</v>
      </c>
      <c r="N169" t="s">
        <v>9</v>
      </c>
      <c r="O169" t="s">
        <v>10</v>
      </c>
      <c r="P169" t="s">
        <v>8</v>
      </c>
      <c r="Q169" t="s">
        <v>65</v>
      </c>
      <c r="R169" t="s">
        <v>26</v>
      </c>
      <c r="S169" s="3">
        <v>553.24</v>
      </c>
      <c r="T169" t="s">
        <v>12</v>
      </c>
      <c r="U169" s="3">
        <v>47569.62</v>
      </c>
      <c r="V169" t="s">
        <v>77</v>
      </c>
      <c r="W169" t="s">
        <v>13</v>
      </c>
      <c r="X169" t="s">
        <v>8</v>
      </c>
      <c r="Y169" t="s">
        <v>69</v>
      </c>
      <c r="Z169" t="s">
        <v>14</v>
      </c>
      <c r="AA169" t="s">
        <v>470</v>
      </c>
      <c r="AB169" t="s">
        <v>8</v>
      </c>
      <c r="AC169" t="s">
        <v>8</v>
      </c>
      <c r="AD169" t="s">
        <v>8</v>
      </c>
      <c r="AE169" s="2">
        <v>45805</v>
      </c>
      <c r="AF169" s="2"/>
      <c r="AG169" t="s">
        <v>8</v>
      </c>
    </row>
    <row r="170" spans="1:33" outlineLevel="2" x14ac:dyDescent="0.25">
      <c r="A170" t="s">
        <v>27</v>
      </c>
      <c r="B170" t="s">
        <v>1</v>
      </c>
      <c r="C170" t="s">
        <v>2</v>
      </c>
      <c r="D170" t="s">
        <v>3</v>
      </c>
      <c r="E170" t="s">
        <v>4</v>
      </c>
      <c r="F170" t="s">
        <v>36</v>
      </c>
      <c r="G170" s="2">
        <v>45856</v>
      </c>
      <c r="H170" t="s">
        <v>471</v>
      </c>
      <c r="I170" t="s">
        <v>75</v>
      </c>
      <c r="J170" s="2">
        <v>45856</v>
      </c>
      <c r="K170" s="2">
        <v>45859</v>
      </c>
      <c r="L170" t="s">
        <v>69</v>
      </c>
      <c r="M170" t="s">
        <v>472</v>
      </c>
      <c r="N170" t="s">
        <v>9</v>
      </c>
      <c r="O170" t="s">
        <v>10</v>
      </c>
      <c r="P170" t="s">
        <v>8</v>
      </c>
      <c r="Q170" t="s">
        <v>65</v>
      </c>
      <c r="R170" t="s">
        <v>26</v>
      </c>
      <c r="S170" s="3">
        <v>296.64</v>
      </c>
      <c r="T170" t="s">
        <v>12</v>
      </c>
      <c r="U170" s="3">
        <v>25511.24</v>
      </c>
      <c r="V170" t="s">
        <v>77</v>
      </c>
      <c r="W170" t="s">
        <v>13</v>
      </c>
      <c r="X170" t="s">
        <v>8</v>
      </c>
      <c r="Y170" t="s">
        <v>69</v>
      </c>
      <c r="Z170" t="s">
        <v>14</v>
      </c>
      <c r="AA170" t="s">
        <v>473</v>
      </c>
      <c r="AB170" t="s">
        <v>8</v>
      </c>
      <c r="AC170" t="s">
        <v>8</v>
      </c>
      <c r="AD170" t="s">
        <v>8</v>
      </c>
      <c r="AE170" s="2">
        <v>45856</v>
      </c>
      <c r="AF170" s="2"/>
      <c r="AG170" t="s">
        <v>8</v>
      </c>
    </row>
    <row r="171" spans="1:33" outlineLevel="2" x14ac:dyDescent="0.25">
      <c r="A171" t="s">
        <v>27</v>
      </c>
      <c r="B171" t="s">
        <v>1</v>
      </c>
      <c r="C171" t="s">
        <v>2</v>
      </c>
      <c r="D171" t="s">
        <v>3</v>
      </c>
      <c r="E171" t="s">
        <v>4</v>
      </c>
      <c r="F171" t="s">
        <v>36</v>
      </c>
      <c r="G171" s="2">
        <v>45856</v>
      </c>
      <c r="H171" t="s">
        <v>474</v>
      </c>
      <c r="I171" t="s">
        <v>75</v>
      </c>
      <c r="J171" s="2">
        <v>45856</v>
      </c>
      <c r="K171" s="2">
        <v>45859</v>
      </c>
      <c r="L171" t="s">
        <v>69</v>
      </c>
      <c r="M171" t="s">
        <v>475</v>
      </c>
      <c r="N171" t="s">
        <v>9</v>
      </c>
      <c r="O171" t="s">
        <v>10</v>
      </c>
      <c r="P171" t="s">
        <v>8</v>
      </c>
      <c r="Q171" t="s">
        <v>65</v>
      </c>
      <c r="R171" t="s">
        <v>26</v>
      </c>
      <c r="S171" s="3">
        <v>860.97</v>
      </c>
      <c r="T171" t="s">
        <v>12</v>
      </c>
      <c r="U171" s="3">
        <v>74044</v>
      </c>
      <c r="V171" t="s">
        <v>77</v>
      </c>
      <c r="W171" t="s">
        <v>13</v>
      </c>
      <c r="X171" t="s">
        <v>8</v>
      </c>
      <c r="Y171" t="s">
        <v>69</v>
      </c>
      <c r="Z171" t="s">
        <v>14</v>
      </c>
      <c r="AA171" t="s">
        <v>476</v>
      </c>
      <c r="AB171" t="s">
        <v>8</v>
      </c>
      <c r="AC171" t="s">
        <v>8</v>
      </c>
      <c r="AD171" t="s">
        <v>8</v>
      </c>
      <c r="AE171" s="2">
        <v>45856</v>
      </c>
      <c r="AF171" s="2"/>
      <c r="AG171" t="s">
        <v>8</v>
      </c>
    </row>
    <row r="172" spans="1:33" outlineLevel="2" x14ac:dyDescent="0.25">
      <c r="A172" t="s">
        <v>27</v>
      </c>
      <c r="B172" t="s">
        <v>1</v>
      </c>
      <c r="C172" t="s">
        <v>2</v>
      </c>
      <c r="D172" t="s">
        <v>3</v>
      </c>
      <c r="E172" t="s">
        <v>4</v>
      </c>
      <c r="F172" t="s">
        <v>36</v>
      </c>
      <c r="G172" s="2">
        <v>45856</v>
      </c>
      <c r="H172" t="s">
        <v>477</v>
      </c>
      <c r="I172" t="s">
        <v>75</v>
      </c>
      <c r="J172" s="2">
        <v>45856</v>
      </c>
      <c r="K172" s="2">
        <v>45859</v>
      </c>
      <c r="L172" t="s">
        <v>69</v>
      </c>
      <c r="M172" t="s">
        <v>478</v>
      </c>
      <c r="N172" t="s">
        <v>9</v>
      </c>
      <c r="O172" t="s">
        <v>10</v>
      </c>
      <c r="P172" t="s">
        <v>8</v>
      </c>
      <c r="Q172" t="s">
        <v>65</v>
      </c>
      <c r="R172" t="s">
        <v>26</v>
      </c>
      <c r="S172" s="3">
        <v>73.12</v>
      </c>
      <c r="T172" t="s">
        <v>12</v>
      </c>
      <c r="U172" s="3">
        <v>6288.37</v>
      </c>
      <c r="V172" t="s">
        <v>77</v>
      </c>
      <c r="W172" t="s">
        <v>13</v>
      </c>
      <c r="X172" t="s">
        <v>8</v>
      </c>
      <c r="Y172" t="s">
        <v>69</v>
      </c>
      <c r="Z172" t="s">
        <v>14</v>
      </c>
      <c r="AA172" t="s">
        <v>479</v>
      </c>
      <c r="AB172" t="s">
        <v>8</v>
      </c>
      <c r="AC172" t="s">
        <v>8</v>
      </c>
      <c r="AD172" t="s">
        <v>8</v>
      </c>
      <c r="AE172" s="2">
        <v>45856</v>
      </c>
      <c r="AF172" s="2"/>
      <c r="AG172" t="s">
        <v>8</v>
      </c>
    </row>
    <row r="173" spans="1:33" outlineLevel="2" x14ac:dyDescent="0.25">
      <c r="A173" t="s">
        <v>27</v>
      </c>
      <c r="B173" t="s">
        <v>1</v>
      </c>
      <c r="C173" t="s">
        <v>2</v>
      </c>
      <c r="D173" t="s">
        <v>3</v>
      </c>
      <c r="E173" t="s">
        <v>4</v>
      </c>
      <c r="F173" t="s">
        <v>36</v>
      </c>
      <c r="G173" s="2">
        <v>45856</v>
      </c>
      <c r="H173" t="s">
        <v>480</v>
      </c>
      <c r="I173" t="s">
        <v>75</v>
      </c>
      <c r="J173" s="2">
        <v>45856</v>
      </c>
      <c r="K173" s="2">
        <v>45859</v>
      </c>
      <c r="L173" t="s">
        <v>69</v>
      </c>
      <c r="M173" t="s">
        <v>481</v>
      </c>
      <c r="N173" t="s">
        <v>9</v>
      </c>
      <c r="O173" t="s">
        <v>10</v>
      </c>
      <c r="P173" t="s">
        <v>8</v>
      </c>
      <c r="Q173" t="s">
        <v>65</v>
      </c>
      <c r="R173" t="s">
        <v>26</v>
      </c>
      <c r="S173" s="3">
        <v>660</v>
      </c>
      <c r="T173" t="s">
        <v>12</v>
      </c>
      <c r="U173" s="3">
        <v>56760.44</v>
      </c>
      <c r="V173" t="s">
        <v>77</v>
      </c>
      <c r="W173" t="s">
        <v>13</v>
      </c>
      <c r="X173" t="s">
        <v>8</v>
      </c>
      <c r="Y173" t="s">
        <v>69</v>
      </c>
      <c r="Z173" t="s">
        <v>14</v>
      </c>
      <c r="AA173" t="s">
        <v>482</v>
      </c>
      <c r="AB173" t="s">
        <v>8</v>
      </c>
      <c r="AC173" t="s">
        <v>8</v>
      </c>
      <c r="AD173" t="s">
        <v>8</v>
      </c>
      <c r="AE173" s="2">
        <v>45856</v>
      </c>
      <c r="AF173" s="2"/>
      <c r="AG173" t="s">
        <v>8</v>
      </c>
    </row>
    <row r="174" spans="1:33" outlineLevel="2" x14ac:dyDescent="0.25">
      <c r="A174" t="s">
        <v>27</v>
      </c>
      <c r="B174" t="s">
        <v>1</v>
      </c>
      <c r="C174" t="s">
        <v>2</v>
      </c>
      <c r="D174" t="s">
        <v>3</v>
      </c>
      <c r="E174" t="s">
        <v>4</v>
      </c>
      <c r="F174" t="s">
        <v>36</v>
      </c>
      <c r="G174" s="2">
        <v>45856</v>
      </c>
      <c r="H174" t="s">
        <v>483</v>
      </c>
      <c r="I174" t="s">
        <v>75</v>
      </c>
      <c r="J174" s="2">
        <v>45856</v>
      </c>
      <c r="K174" s="2">
        <v>45859</v>
      </c>
      <c r="L174" t="s">
        <v>69</v>
      </c>
      <c r="M174" t="s">
        <v>484</v>
      </c>
      <c r="N174" t="s">
        <v>9</v>
      </c>
      <c r="O174" t="s">
        <v>10</v>
      </c>
      <c r="P174" t="s">
        <v>8</v>
      </c>
      <c r="Q174" t="s">
        <v>65</v>
      </c>
      <c r="R174" t="s">
        <v>26</v>
      </c>
      <c r="S174" s="3">
        <v>860.97</v>
      </c>
      <c r="T174" t="s">
        <v>12</v>
      </c>
      <c r="U174" s="3">
        <v>74044</v>
      </c>
      <c r="V174" t="s">
        <v>77</v>
      </c>
      <c r="W174" t="s">
        <v>13</v>
      </c>
      <c r="X174" t="s">
        <v>8</v>
      </c>
      <c r="Y174" t="s">
        <v>69</v>
      </c>
      <c r="Z174" t="s">
        <v>14</v>
      </c>
      <c r="AA174" t="s">
        <v>476</v>
      </c>
      <c r="AB174" t="s">
        <v>8</v>
      </c>
      <c r="AC174" t="s">
        <v>8</v>
      </c>
      <c r="AD174" t="s">
        <v>8</v>
      </c>
      <c r="AE174" s="2">
        <v>45856</v>
      </c>
      <c r="AF174" s="2"/>
      <c r="AG174" t="s">
        <v>8</v>
      </c>
    </row>
    <row r="175" spans="1:33" outlineLevel="2" x14ac:dyDescent="0.25">
      <c r="A175" t="s">
        <v>27</v>
      </c>
      <c r="B175" t="s">
        <v>1</v>
      </c>
      <c r="C175" t="s">
        <v>2</v>
      </c>
      <c r="D175" t="s">
        <v>3</v>
      </c>
      <c r="E175" t="s">
        <v>4</v>
      </c>
      <c r="F175" t="s">
        <v>49</v>
      </c>
      <c r="G175" s="2">
        <v>45729</v>
      </c>
      <c r="H175" t="s">
        <v>485</v>
      </c>
      <c r="I175" t="s">
        <v>75</v>
      </c>
      <c r="J175" s="2">
        <v>45729</v>
      </c>
      <c r="K175" s="2">
        <v>45733</v>
      </c>
      <c r="L175" t="s">
        <v>69</v>
      </c>
      <c r="M175" t="s">
        <v>486</v>
      </c>
      <c r="N175" t="s">
        <v>9</v>
      </c>
      <c r="O175" t="s">
        <v>10</v>
      </c>
      <c r="P175" t="s">
        <v>8</v>
      </c>
      <c r="Q175" t="s">
        <v>65</v>
      </c>
      <c r="R175" t="s">
        <v>26</v>
      </c>
      <c r="S175" s="3">
        <v>85</v>
      </c>
      <c r="T175" t="s">
        <v>12</v>
      </c>
      <c r="U175" s="3">
        <v>7368.76</v>
      </c>
      <c r="V175" t="s">
        <v>77</v>
      </c>
      <c r="W175" t="s">
        <v>13</v>
      </c>
      <c r="X175" t="s">
        <v>8</v>
      </c>
      <c r="Y175" t="s">
        <v>69</v>
      </c>
      <c r="Z175" t="s">
        <v>14</v>
      </c>
      <c r="AA175" t="s">
        <v>487</v>
      </c>
      <c r="AB175" t="s">
        <v>8</v>
      </c>
      <c r="AC175" t="s">
        <v>8</v>
      </c>
      <c r="AD175" t="s">
        <v>8</v>
      </c>
      <c r="AE175" s="2">
        <v>45729</v>
      </c>
      <c r="AF175" s="2"/>
      <c r="AG175" t="s">
        <v>8</v>
      </c>
    </row>
    <row r="176" spans="1:33" outlineLevel="2" x14ac:dyDescent="0.25">
      <c r="A176" t="s">
        <v>27</v>
      </c>
      <c r="B176" t="s">
        <v>1</v>
      </c>
      <c r="C176" t="s">
        <v>2</v>
      </c>
      <c r="D176" t="s">
        <v>3</v>
      </c>
      <c r="E176" t="s">
        <v>4</v>
      </c>
      <c r="F176" t="s">
        <v>49</v>
      </c>
      <c r="G176" s="2">
        <v>45729</v>
      </c>
      <c r="H176" t="s">
        <v>488</v>
      </c>
      <c r="I176" t="s">
        <v>75</v>
      </c>
      <c r="J176" s="2">
        <v>45729</v>
      </c>
      <c r="K176" s="2">
        <v>45733</v>
      </c>
      <c r="L176" t="s">
        <v>69</v>
      </c>
      <c r="M176" t="s">
        <v>489</v>
      </c>
      <c r="N176" t="s">
        <v>9</v>
      </c>
      <c r="O176" t="s">
        <v>10</v>
      </c>
      <c r="P176" t="s">
        <v>8</v>
      </c>
      <c r="Q176" t="s">
        <v>65</v>
      </c>
      <c r="R176" t="s">
        <v>26</v>
      </c>
      <c r="S176" s="3">
        <v>35</v>
      </c>
      <c r="T176" t="s">
        <v>12</v>
      </c>
      <c r="U176" s="3">
        <v>3034.19</v>
      </c>
      <c r="V176" t="s">
        <v>77</v>
      </c>
      <c r="W176" t="s">
        <v>13</v>
      </c>
      <c r="X176" t="s">
        <v>8</v>
      </c>
      <c r="Y176" t="s">
        <v>69</v>
      </c>
      <c r="Z176" t="s">
        <v>14</v>
      </c>
      <c r="AA176" t="s">
        <v>490</v>
      </c>
      <c r="AB176" t="s">
        <v>8</v>
      </c>
      <c r="AC176" t="s">
        <v>8</v>
      </c>
      <c r="AD176" t="s">
        <v>8</v>
      </c>
      <c r="AE176" s="2">
        <v>45729</v>
      </c>
      <c r="AF176" s="2"/>
      <c r="AG176" t="s">
        <v>8</v>
      </c>
    </row>
    <row r="177" spans="1:33" outlineLevel="2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49</v>
      </c>
      <c r="G177" s="2">
        <v>45729</v>
      </c>
      <c r="H177" t="s">
        <v>491</v>
      </c>
      <c r="I177" t="s">
        <v>75</v>
      </c>
      <c r="J177" s="2">
        <v>45729</v>
      </c>
      <c r="K177" s="2">
        <v>45731</v>
      </c>
      <c r="L177" t="s">
        <v>69</v>
      </c>
      <c r="M177" t="s">
        <v>492</v>
      </c>
      <c r="N177" t="s">
        <v>9</v>
      </c>
      <c r="O177" t="s">
        <v>10</v>
      </c>
      <c r="P177" t="s">
        <v>8</v>
      </c>
      <c r="Q177" t="s">
        <v>65</v>
      </c>
      <c r="R177" t="s">
        <v>26</v>
      </c>
      <c r="S177" s="3">
        <v>35</v>
      </c>
      <c r="T177" t="s">
        <v>12</v>
      </c>
      <c r="U177" s="3">
        <v>3034.19</v>
      </c>
      <c r="V177" t="s">
        <v>77</v>
      </c>
      <c r="W177" t="s">
        <v>13</v>
      </c>
      <c r="X177" t="s">
        <v>8</v>
      </c>
      <c r="Y177" t="s">
        <v>69</v>
      </c>
      <c r="Z177" t="s">
        <v>14</v>
      </c>
      <c r="AA177" t="s">
        <v>493</v>
      </c>
      <c r="AB177" t="s">
        <v>8</v>
      </c>
      <c r="AC177" t="s">
        <v>8</v>
      </c>
      <c r="AD177" t="s">
        <v>8</v>
      </c>
      <c r="AE177" s="2">
        <v>45729</v>
      </c>
      <c r="AF177" s="2">
        <v>45887</v>
      </c>
      <c r="AG177" t="s">
        <v>24</v>
      </c>
    </row>
    <row r="178" spans="1:33" outlineLevel="2" x14ac:dyDescent="0.25">
      <c r="A178" t="s">
        <v>27</v>
      </c>
      <c r="B178" t="s">
        <v>1</v>
      </c>
      <c r="C178" t="s">
        <v>2</v>
      </c>
      <c r="D178" t="s">
        <v>3</v>
      </c>
      <c r="E178" t="s">
        <v>4</v>
      </c>
      <c r="F178" t="s">
        <v>49</v>
      </c>
      <c r="G178" s="2">
        <v>45736</v>
      </c>
      <c r="H178" t="s">
        <v>494</v>
      </c>
      <c r="I178" t="s">
        <v>75</v>
      </c>
      <c r="J178" s="2">
        <v>45736</v>
      </c>
      <c r="K178" s="2">
        <v>45736</v>
      </c>
      <c r="L178" t="s">
        <v>69</v>
      </c>
      <c r="M178" t="s">
        <v>495</v>
      </c>
      <c r="N178" t="s">
        <v>9</v>
      </c>
      <c r="O178" t="s">
        <v>10</v>
      </c>
      <c r="P178" t="s">
        <v>8</v>
      </c>
      <c r="Q178" t="s">
        <v>65</v>
      </c>
      <c r="R178" t="s">
        <v>26</v>
      </c>
      <c r="S178" s="3">
        <v>1750</v>
      </c>
      <c r="T178" t="s">
        <v>12</v>
      </c>
      <c r="U178" s="3">
        <v>151709.71</v>
      </c>
      <c r="V178" t="s">
        <v>77</v>
      </c>
      <c r="W178" t="s">
        <v>13</v>
      </c>
      <c r="X178" t="s">
        <v>8</v>
      </c>
      <c r="Y178" t="s">
        <v>69</v>
      </c>
      <c r="Z178" t="s">
        <v>14</v>
      </c>
      <c r="AA178" t="s">
        <v>496</v>
      </c>
      <c r="AB178" t="s">
        <v>8</v>
      </c>
      <c r="AC178" t="s">
        <v>8</v>
      </c>
      <c r="AD178" t="s">
        <v>8</v>
      </c>
      <c r="AE178" s="2">
        <v>45736</v>
      </c>
      <c r="AF178" s="2"/>
      <c r="AG178" t="s">
        <v>8</v>
      </c>
    </row>
    <row r="179" spans="1:33" outlineLevel="2" x14ac:dyDescent="0.25">
      <c r="A179" t="s">
        <v>27</v>
      </c>
      <c r="B179" t="s">
        <v>1</v>
      </c>
      <c r="C179" t="s">
        <v>2</v>
      </c>
      <c r="D179" t="s">
        <v>3</v>
      </c>
      <c r="E179" t="s">
        <v>4</v>
      </c>
      <c r="F179" t="s">
        <v>49</v>
      </c>
      <c r="G179" s="2">
        <v>45736</v>
      </c>
      <c r="H179" t="s">
        <v>497</v>
      </c>
      <c r="I179" t="s">
        <v>75</v>
      </c>
      <c r="J179" s="2">
        <v>45736</v>
      </c>
      <c r="K179" s="2">
        <v>45736</v>
      </c>
      <c r="L179" t="s">
        <v>69</v>
      </c>
      <c r="M179" t="s">
        <v>498</v>
      </c>
      <c r="N179" t="s">
        <v>9</v>
      </c>
      <c r="O179" t="s">
        <v>10</v>
      </c>
      <c r="P179" t="s">
        <v>8</v>
      </c>
      <c r="Q179" t="s">
        <v>65</v>
      </c>
      <c r="R179" t="s">
        <v>26</v>
      </c>
      <c r="S179" s="3">
        <v>1600</v>
      </c>
      <c r="T179" t="s">
        <v>12</v>
      </c>
      <c r="U179" s="3">
        <v>138706.01999999999</v>
      </c>
      <c r="V179" t="s">
        <v>77</v>
      </c>
      <c r="W179" t="s">
        <v>13</v>
      </c>
      <c r="X179" t="s">
        <v>8</v>
      </c>
      <c r="Y179" t="s">
        <v>69</v>
      </c>
      <c r="Z179" t="s">
        <v>14</v>
      </c>
      <c r="AA179" t="s">
        <v>499</v>
      </c>
      <c r="AB179" t="s">
        <v>8</v>
      </c>
      <c r="AC179" t="s">
        <v>8</v>
      </c>
      <c r="AD179" t="s">
        <v>8</v>
      </c>
      <c r="AE179" s="2">
        <v>45736</v>
      </c>
      <c r="AF179" s="2"/>
      <c r="AG179" t="s">
        <v>8</v>
      </c>
    </row>
    <row r="180" spans="1:33" outlineLevel="2" x14ac:dyDescent="0.25">
      <c r="A180" t="s">
        <v>27</v>
      </c>
      <c r="B180" t="s">
        <v>1</v>
      </c>
      <c r="C180" t="s">
        <v>2</v>
      </c>
      <c r="D180" t="s">
        <v>3</v>
      </c>
      <c r="E180" t="s">
        <v>4</v>
      </c>
      <c r="F180" t="s">
        <v>49</v>
      </c>
      <c r="G180" s="2">
        <v>45736</v>
      </c>
      <c r="H180" t="s">
        <v>500</v>
      </c>
      <c r="I180" t="s">
        <v>75</v>
      </c>
      <c r="J180" s="2">
        <v>45736</v>
      </c>
      <c r="K180" s="2">
        <v>45737</v>
      </c>
      <c r="L180" t="s">
        <v>69</v>
      </c>
      <c r="M180" t="s">
        <v>501</v>
      </c>
      <c r="N180" t="s">
        <v>9</v>
      </c>
      <c r="O180" t="s">
        <v>10</v>
      </c>
      <c r="P180" t="s">
        <v>8</v>
      </c>
      <c r="Q180" t="s">
        <v>65</v>
      </c>
      <c r="R180" t="s">
        <v>26</v>
      </c>
      <c r="S180" s="3">
        <v>50</v>
      </c>
      <c r="T180" t="s">
        <v>12</v>
      </c>
      <c r="U180" s="3">
        <v>4334.5600000000004</v>
      </c>
      <c r="V180" t="s">
        <v>77</v>
      </c>
      <c r="W180" t="s">
        <v>13</v>
      </c>
      <c r="X180" t="s">
        <v>8</v>
      </c>
      <c r="Y180" t="s">
        <v>69</v>
      </c>
      <c r="Z180" t="s">
        <v>14</v>
      </c>
      <c r="AA180" t="s">
        <v>502</v>
      </c>
      <c r="AB180" t="s">
        <v>8</v>
      </c>
      <c r="AC180" t="s">
        <v>8</v>
      </c>
      <c r="AD180" t="s">
        <v>8</v>
      </c>
      <c r="AE180" s="2">
        <v>45736</v>
      </c>
      <c r="AF180" s="2"/>
      <c r="AG180" t="s">
        <v>8</v>
      </c>
    </row>
    <row r="181" spans="1:33" outlineLevel="2" x14ac:dyDescent="0.25">
      <c r="A181" t="s">
        <v>27</v>
      </c>
      <c r="B181" t="s">
        <v>1</v>
      </c>
      <c r="C181" t="s">
        <v>2</v>
      </c>
      <c r="D181" t="s">
        <v>3</v>
      </c>
      <c r="E181" t="s">
        <v>4</v>
      </c>
      <c r="F181" t="s">
        <v>49</v>
      </c>
      <c r="G181" s="2">
        <v>45736</v>
      </c>
      <c r="H181" t="s">
        <v>503</v>
      </c>
      <c r="I181" t="s">
        <v>75</v>
      </c>
      <c r="J181" s="2">
        <v>45736</v>
      </c>
      <c r="K181" s="2">
        <v>45737</v>
      </c>
      <c r="L181" t="s">
        <v>69</v>
      </c>
      <c r="M181" t="s">
        <v>504</v>
      </c>
      <c r="N181" t="s">
        <v>9</v>
      </c>
      <c r="O181" t="s">
        <v>10</v>
      </c>
      <c r="P181" t="s">
        <v>8</v>
      </c>
      <c r="Q181" t="s">
        <v>65</v>
      </c>
      <c r="R181" t="s">
        <v>26</v>
      </c>
      <c r="S181" s="3">
        <v>50</v>
      </c>
      <c r="T181" t="s">
        <v>12</v>
      </c>
      <c r="U181" s="3">
        <v>4334.5600000000004</v>
      </c>
      <c r="V181" t="s">
        <v>77</v>
      </c>
      <c r="W181" t="s">
        <v>13</v>
      </c>
      <c r="X181" t="s">
        <v>8</v>
      </c>
      <c r="Y181" t="s">
        <v>69</v>
      </c>
      <c r="Z181" t="s">
        <v>14</v>
      </c>
      <c r="AA181" t="s">
        <v>505</v>
      </c>
      <c r="AB181" t="s">
        <v>8</v>
      </c>
      <c r="AC181" t="s">
        <v>8</v>
      </c>
      <c r="AD181" t="s">
        <v>8</v>
      </c>
      <c r="AE181" s="2">
        <v>45736</v>
      </c>
      <c r="AF181" s="2"/>
      <c r="AG181" t="s">
        <v>8</v>
      </c>
    </row>
    <row r="182" spans="1:33" outlineLevel="2" x14ac:dyDescent="0.25">
      <c r="A182" t="s">
        <v>27</v>
      </c>
      <c r="B182" t="s">
        <v>1</v>
      </c>
      <c r="C182" t="s">
        <v>2</v>
      </c>
      <c r="D182" t="s">
        <v>3</v>
      </c>
      <c r="E182" t="s">
        <v>4</v>
      </c>
      <c r="F182" t="s">
        <v>49</v>
      </c>
      <c r="G182" s="2">
        <v>45736</v>
      </c>
      <c r="H182" t="s">
        <v>506</v>
      </c>
      <c r="I182" t="s">
        <v>75</v>
      </c>
      <c r="J182" s="2">
        <v>45736</v>
      </c>
      <c r="K182" s="2">
        <v>45737</v>
      </c>
      <c r="L182" t="s">
        <v>69</v>
      </c>
      <c r="M182" t="s">
        <v>507</v>
      </c>
      <c r="N182" t="s">
        <v>9</v>
      </c>
      <c r="O182" t="s">
        <v>10</v>
      </c>
      <c r="P182" t="s">
        <v>8</v>
      </c>
      <c r="Q182" t="s">
        <v>65</v>
      </c>
      <c r="R182" t="s">
        <v>26</v>
      </c>
      <c r="S182" s="3">
        <v>4.4000000000000004</v>
      </c>
      <c r="T182" t="s">
        <v>12</v>
      </c>
      <c r="U182" s="3">
        <v>381.44</v>
      </c>
      <c r="V182" t="s">
        <v>77</v>
      </c>
      <c r="W182" t="s">
        <v>13</v>
      </c>
      <c r="X182" t="s">
        <v>8</v>
      </c>
      <c r="Y182" t="s">
        <v>69</v>
      </c>
      <c r="Z182" t="s">
        <v>14</v>
      </c>
      <c r="AA182" t="s">
        <v>508</v>
      </c>
      <c r="AB182" t="s">
        <v>8</v>
      </c>
      <c r="AC182" t="s">
        <v>8</v>
      </c>
      <c r="AD182" t="s">
        <v>8</v>
      </c>
      <c r="AE182" s="2">
        <v>45736</v>
      </c>
      <c r="AF182" s="2"/>
      <c r="AG182" t="s">
        <v>8</v>
      </c>
    </row>
    <row r="183" spans="1:33" outlineLevel="2" x14ac:dyDescent="0.25">
      <c r="A183" t="s">
        <v>27</v>
      </c>
      <c r="B183" t="s">
        <v>1</v>
      </c>
      <c r="C183" t="s">
        <v>2</v>
      </c>
      <c r="D183" t="s">
        <v>3</v>
      </c>
      <c r="E183" t="s">
        <v>4</v>
      </c>
      <c r="F183" t="s">
        <v>49</v>
      </c>
      <c r="G183" s="2">
        <v>45736</v>
      </c>
      <c r="H183" t="s">
        <v>509</v>
      </c>
      <c r="I183" t="s">
        <v>75</v>
      </c>
      <c r="J183" s="2">
        <v>45736</v>
      </c>
      <c r="K183" s="2">
        <v>45737</v>
      </c>
      <c r="L183" t="s">
        <v>69</v>
      </c>
      <c r="M183" t="s">
        <v>510</v>
      </c>
      <c r="N183" t="s">
        <v>9</v>
      </c>
      <c r="O183" t="s">
        <v>10</v>
      </c>
      <c r="P183" t="s">
        <v>8</v>
      </c>
      <c r="Q183" t="s">
        <v>65</v>
      </c>
      <c r="R183" t="s">
        <v>26</v>
      </c>
      <c r="S183" s="3">
        <v>566.11</v>
      </c>
      <c r="T183" t="s">
        <v>12</v>
      </c>
      <c r="U183" s="3">
        <v>49076.79</v>
      </c>
      <c r="V183" t="s">
        <v>77</v>
      </c>
      <c r="W183" t="s">
        <v>13</v>
      </c>
      <c r="X183" t="s">
        <v>8</v>
      </c>
      <c r="Y183" t="s">
        <v>69</v>
      </c>
      <c r="Z183" t="s">
        <v>14</v>
      </c>
      <c r="AA183" t="s">
        <v>511</v>
      </c>
      <c r="AB183" t="s">
        <v>8</v>
      </c>
      <c r="AC183" t="s">
        <v>8</v>
      </c>
      <c r="AD183" t="s">
        <v>8</v>
      </c>
      <c r="AE183" s="2">
        <v>45736</v>
      </c>
      <c r="AF183" s="2"/>
      <c r="AG183" t="s">
        <v>8</v>
      </c>
    </row>
    <row r="184" spans="1:33" outlineLevel="2" x14ac:dyDescent="0.25">
      <c r="A184" t="s">
        <v>27</v>
      </c>
      <c r="B184" t="s">
        <v>1</v>
      </c>
      <c r="C184" t="s">
        <v>2</v>
      </c>
      <c r="D184" t="s">
        <v>3</v>
      </c>
      <c r="E184" t="s">
        <v>4</v>
      </c>
      <c r="F184" t="s">
        <v>49</v>
      </c>
      <c r="G184" s="2">
        <v>45736</v>
      </c>
      <c r="H184" t="s">
        <v>512</v>
      </c>
      <c r="I184" t="s">
        <v>75</v>
      </c>
      <c r="J184" s="2">
        <v>45736</v>
      </c>
      <c r="K184" s="2">
        <v>45737</v>
      </c>
      <c r="L184" t="s">
        <v>69</v>
      </c>
      <c r="M184" t="s">
        <v>513</v>
      </c>
      <c r="N184" t="s">
        <v>9</v>
      </c>
      <c r="O184" t="s">
        <v>10</v>
      </c>
      <c r="P184" t="s">
        <v>8</v>
      </c>
      <c r="Q184" t="s">
        <v>65</v>
      </c>
      <c r="R184" t="s">
        <v>26</v>
      </c>
      <c r="S184" s="3">
        <v>126</v>
      </c>
      <c r="T184" t="s">
        <v>12</v>
      </c>
      <c r="U184" s="3">
        <v>10923.1</v>
      </c>
      <c r="V184" t="s">
        <v>77</v>
      </c>
      <c r="W184" t="s">
        <v>13</v>
      </c>
      <c r="X184" t="s">
        <v>8</v>
      </c>
      <c r="Y184" t="s">
        <v>69</v>
      </c>
      <c r="Z184" t="s">
        <v>14</v>
      </c>
      <c r="AA184" t="s">
        <v>514</v>
      </c>
      <c r="AB184" t="s">
        <v>8</v>
      </c>
      <c r="AC184" t="s">
        <v>8</v>
      </c>
      <c r="AD184" t="s">
        <v>8</v>
      </c>
      <c r="AE184" s="2">
        <v>45736</v>
      </c>
      <c r="AF184" s="2"/>
      <c r="AG184" t="s">
        <v>8</v>
      </c>
    </row>
    <row r="185" spans="1:33" outlineLevel="2" x14ac:dyDescent="0.25">
      <c r="A185" t="s">
        <v>27</v>
      </c>
      <c r="B185" t="s">
        <v>1</v>
      </c>
      <c r="C185" t="s">
        <v>2</v>
      </c>
      <c r="D185" t="s">
        <v>3</v>
      </c>
      <c r="E185" t="s">
        <v>4</v>
      </c>
      <c r="F185" t="s">
        <v>49</v>
      </c>
      <c r="G185" s="2">
        <v>45736</v>
      </c>
      <c r="H185" t="s">
        <v>515</v>
      </c>
      <c r="I185" t="s">
        <v>75</v>
      </c>
      <c r="J185" s="2">
        <v>45736</v>
      </c>
      <c r="K185" s="2">
        <v>45737</v>
      </c>
      <c r="L185" t="s">
        <v>69</v>
      </c>
      <c r="M185" t="s">
        <v>516</v>
      </c>
      <c r="N185" t="s">
        <v>9</v>
      </c>
      <c r="O185" t="s">
        <v>10</v>
      </c>
      <c r="P185" t="s">
        <v>8</v>
      </c>
      <c r="Q185" t="s">
        <v>65</v>
      </c>
      <c r="R185" t="s">
        <v>26</v>
      </c>
      <c r="S185" s="3">
        <v>150</v>
      </c>
      <c r="T185" t="s">
        <v>12</v>
      </c>
      <c r="U185" s="3">
        <v>13003.69</v>
      </c>
      <c r="V185" t="s">
        <v>77</v>
      </c>
      <c r="W185" t="s">
        <v>13</v>
      </c>
      <c r="X185" t="s">
        <v>8</v>
      </c>
      <c r="Y185" t="s">
        <v>69</v>
      </c>
      <c r="Z185" t="s">
        <v>14</v>
      </c>
      <c r="AA185" t="s">
        <v>517</v>
      </c>
      <c r="AB185" t="s">
        <v>8</v>
      </c>
      <c r="AC185" t="s">
        <v>8</v>
      </c>
      <c r="AD185" t="s">
        <v>8</v>
      </c>
      <c r="AE185" s="2">
        <v>45736</v>
      </c>
      <c r="AF185" s="2"/>
      <c r="AG185" t="s">
        <v>8</v>
      </c>
    </row>
    <row r="186" spans="1:33" outlineLevel="2" x14ac:dyDescent="0.25">
      <c r="A186" t="s">
        <v>27</v>
      </c>
      <c r="B186" t="s">
        <v>1</v>
      </c>
      <c r="C186" t="s">
        <v>2</v>
      </c>
      <c r="D186" t="s">
        <v>3</v>
      </c>
      <c r="E186" t="s">
        <v>4</v>
      </c>
      <c r="F186" t="s">
        <v>49</v>
      </c>
      <c r="G186" s="2">
        <v>45736</v>
      </c>
      <c r="H186" t="s">
        <v>518</v>
      </c>
      <c r="I186" t="s">
        <v>75</v>
      </c>
      <c r="J186" s="2">
        <v>45736</v>
      </c>
      <c r="K186" s="2">
        <v>45737</v>
      </c>
      <c r="L186" t="s">
        <v>69</v>
      </c>
      <c r="M186" t="s">
        <v>519</v>
      </c>
      <c r="N186" t="s">
        <v>9</v>
      </c>
      <c r="O186" t="s">
        <v>10</v>
      </c>
      <c r="P186" t="s">
        <v>8</v>
      </c>
      <c r="Q186" t="s">
        <v>65</v>
      </c>
      <c r="R186" t="s">
        <v>26</v>
      </c>
      <c r="S186" s="3">
        <v>19.350000000000001</v>
      </c>
      <c r="T186" t="s">
        <v>12</v>
      </c>
      <c r="U186" s="3">
        <v>1677.48</v>
      </c>
      <c r="V186" t="s">
        <v>77</v>
      </c>
      <c r="W186" t="s">
        <v>13</v>
      </c>
      <c r="X186" t="s">
        <v>8</v>
      </c>
      <c r="Y186" t="s">
        <v>69</v>
      </c>
      <c r="Z186" t="s">
        <v>14</v>
      </c>
      <c r="AA186" t="s">
        <v>520</v>
      </c>
      <c r="AB186" t="s">
        <v>8</v>
      </c>
      <c r="AC186" t="s">
        <v>8</v>
      </c>
      <c r="AD186" t="s">
        <v>8</v>
      </c>
      <c r="AE186" s="2">
        <v>45736</v>
      </c>
      <c r="AF186" s="2"/>
      <c r="AG186" t="s">
        <v>8</v>
      </c>
    </row>
    <row r="187" spans="1:33" outlineLevel="2" x14ac:dyDescent="0.25">
      <c r="A187" t="s">
        <v>27</v>
      </c>
      <c r="B187" t="s">
        <v>1</v>
      </c>
      <c r="C187" t="s">
        <v>2</v>
      </c>
      <c r="D187" t="s">
        <v>3</v>
      </c>
      <c r="E187" t="s">
        <v>4</v>
      </c>
      <c r="F187" t="s">
        <v>49</v>
      </c>
      <c r="G187" s="2">
        <v>45736</v>
      </c>
      <c r="H187" t="s">
        <v>521</v>
      </c>
      <c r="I187" t="s">
        <v>75</v>
      </c>
      <c r="J187" s="2">
        <v>45736</v>
      </c>
      <c r="K187" s="2">
        <v>45737</v>
      </c>
      <c r="L187" t="s">
        <v>69</v>
      </c>
      <c r="M187" t="s">
        <v>522</v>
      </c>
      <c r="N187" t="s">
        <v>9</v>
      </c>
      <c r="O187" t="s">
        <v>10</v>
      </c>
      <c r="P187" t="s">
        <v>8</v>
      </c>
      <c r="Q187" t="s">
        <v>65</v>
      </c>
      <c r="R187" t="s">
        <v>26</v>
      </c>
      <c r="S187" s="3">
        <v>196.78</v>
      </c>
      <c r="T187" t="s">
        <v>12</v>
      </c>
      <c r="U187" s="3">
        <v>17059.11</v>
      </c>
      <c r="V187" t="s">
        <v>77</v>
      </c>
      <c r="W187" t="s">
        <v>13</v>
      </c>
      <c r="X187" t="s">
        <v>8</v>
      </c>
      <c r="Y187" t="s">
        <v>69</v>
      </c>
      <c r="Z187" t="s">
        <v>14</v>
      </c>
      <c r="AA187" t="s">
        <v>523</v>
      </c>
      <c r="AB187" t="s">
        <v>8</v>
      </c>
      <c r="AC187" t="s">
        <v>8</v>
      </c>
      <c r="AD187" t="s">
        <v>8</v>
      </c>
      <c r="AE187" s="2">
        <v>45736</v>
      </c>
      <c r="AF187" s="2"/>
      <c r="AG187" t="s">
        <v>8</v>
      </c>
    </row>
    <row r="188" spans="1:33" outlineLevel="2" x14ac:dyDescent="0.25">
      <c r="A188" t="s">
        <v>27</v>
      </c>
      <c r="B188" t="s">
        <v>1</v>
      </c>
      <c r="C188" t="s">
        <v>2</v>
      </c>
      <c r="D188" t="s">
        <v>3</v>
      </c>
      <c r="E188" t="s">
        <v>4</v>
      </c>
      <c r="F188" t="s">
        <v>49</v>
      </c>
      <c r="G188" s="2">
        <v>45736</v>
      </c>
      <c r="H188" t="s">
        <v>524</v>
      </c>
      <c r="I188" t="s">
        <v>75</v>
      </c>
      <c r="J188" s="2">
        <v>45736</v>
      </c>
      <c r="K188" s="2">
        <v>45737</v>
      </c>
      <c r="L188" t="s">
        <v>69</v>
      </c>
      <c r="M188" t="s">
        <v>525</v>
      </c>
      <c r="N188" t="s">
        <v>9</v>
      </c>
      <c r="O188" t="s">
        <v>10</v>
      </c>
      <c r="P188" t="s">
        <v>8</v>
      </c>
      <c r="Q188" t="s">
        <v>65</v>
      </c>
      <c r="R188" t="s">
        <v>26</v>
      </c>
      <c r="S188" s="3">
        <v>7.03</v>
      </c>
      <c r="T188" t="s">
        <v>12</v>
      </c>
      <c r="U188" s="3">
        <v>609.44000000000005</v>
      </c>
      <c r="V188" t="s">
        <v>77</v>
      </c>
      <c r="W188" t="s">
        <v>13</v>
      </c>
      <c r="X188" t="s">
        <v>8</v>
      </c>
      <c r="Y188" t="s">
        <v>69</v>
      </c>
      <c r="Z188" t="s">
        <v>14</v>
      </c>
      <c r="AA188" t="s">
        <v>526</v>
      </c>
      <c r="AB188" t="s">
        <v>8</v>
      </c>
      <c r="AC188" t="s">
        <v>8</v>
      </c>
      <c r="AD188" t="s">
        <v>8</v>
      </c>
      <c r="AE188" s="2">
        <v>45736</v>
      </c>
      <c r="AF188" s="2"/>
      <c r="AG188" t="s">
        <v>8</v>
      </c>
    </row>
    <row r="189" spans="1:33" outlineLevel="2" x14ac:dyDescent="0.25">
      <c r="A189" t="s">
        <v>27</v>
      </c>
      <c r="B189" t="s">
        <v>1</v>
      </c>
      <c r="C189" t="s">
        <v>2</v>
      </c>
      <c r="D189" t="s">
        <v>3</v>
      </c>
      <c r="E189" t="s">
        <v>4</v>
      </c>
      <c r="F189" t="s">
        <v>49</v>
      </c>
      <c r="G189" s="2">
        <v>45736</v>
      </c>
      <c r="H189" t="s">
        <v>527</v>
      </c>
      <c r="I189" t="s">
        <v>75</v>
      </c>
      <c r="J189" s="2">
        <v>45736</v>
      </c>
      <c r="K189" s="2">
        <v>45737</v>
      </c>
      <c r="L189" t="s">
        <v>69</v>
      </c>
      <c r="M189" t="s">
        <v>528</v>
      </c>
      <c r="N189" t="s">
        <v>9</v>
      </c>
      <c r="O189" t="s">
        <v>10</v>
      </c>
      <c r="P189" t="s">
        <v>8</v>
      </c>
      <c r="Q189" t="s">
        <v>65</v>
      </c>
      <c r="R189" t="s">
        <v>26</v>
      </c>
      <c r="S189" s="3">
        <v>32.380000000000003</v>
      </c>
      <c r="T189" t="s">
        <v>12</v>
      </c>
      <c r="U189" s="3">
        <v>2807.06</v>
      </c>
      <c r="V189" t="s">
        <v>77</v>
      </c>
      <c r="W189" t="s">
        <v>13</v>
      </c>
      <c r="X189" t="s">
        <v>8</v>
      </c>
      <c r="Y189" t="s">
        <v>69</v>
      </c>
      <c r="Z189" t="s">
        <v>14</v>
      </c>
      <c r="AA189" t="s">
        <v>529</v>
      </c>
      <c r="AB189" t="s">
        <v>8</v>
      </c>
      <c r="AC189" t="s">
        <v>8</v>
      </c>
      <c r="AD189" t="s">
        <v>8</v>
      </c>
      <c r="AE189" s="2">
        <v>45736</v>
      </c>
      <c r="AF189" s="2"/>
      <c r="AG189" t="s">
        <v>8</v>
      </c>
    </row>
    <row r="190" spans="1:33" outlineLevel="2" x14ac:dyDescent="0.25">
      <c r="A190" t="s">
        <v>27</v>
      </c>
      <c r="B190" t="s">
        <v>1</v>
      </c>
      <c r="C190" t="s">
        <v>2</v>
      </c>
      <c r="D190" t="s">
        <v>3</v>
      </c>
      <c r="E190" t="s">
        <v>4</v>
      </c>
      <c r="F190" t="s">
        <v>49</v>
      </c>
      <c r="G190" s="2">
        <v>45736</v>
      </c>
      <c r="H190" t="s">
        <v>530</v>
      </c>
      <c r="I190" t="s">
        <v>75</v>
      </c>
      <c r="J190" s="2">
        <v>45736</v>
      </c>
      <c r="K190" s="2">
        <v>45737</v>
      </c>
      <c r="L190" t="s">
        <v>69</v>
      </c>
      <c r="M190" t="s">
        <v>531</v>
      </c>
      <c r="N190" t="s">
        <v>9</v>
      </c>
      <c r="O190" t="s">
        <v>10</v>
      </c>
      <c r="P190" t="s">
        <v>8</v>
      </c>
      <c r="Q190" t="s">
        <v>65</v>
      </c>
      <c r="R190" t="s">
        <v>26</v>
      </c>
      <c r="S190" s="3">
        <v>77.040000000000006</v>
      </c>
      <c r="T190" t="s">
        <v>12</v>
      </c>
      <c r="U190" s="3">
        <v>6678.69</v>
      </c>
      <c r="V190" t="s">
        <v>77</v>
      </c>
      <c r="W190" t="s">
        <v>13</v>
      </c>
      <c r="X190" t="s">
        <v>8</v>
      </c>
      <c r="Y190" t="s">
        <v>69</v>
      </c>
      <c r="Z190" t="s">
        <v>14</v>
      </c>
      <c r="AA190" t="s">
        <v>532</v>
      </c>
      <c r="AB190" t="s">
        <v>8</v>
      </c>
      <c r="AC190" t="s">
        <v>8</v>
      </c>
      <c r="AD190" t="s">
        <v>8</v>
      </c>
      <c r="AE190" s="2">
        <v>45736</v>
      </c>
      <c r="AF190" s="2"/>
      <c r="AG190" t="s">
        <v>8</v>
      </c>
    </row>
    <row r="191" spans="1:33" outlineLevel="2" x14ac:dyDescent="0.25">
      <c r="A191" t="s">
        <v>27</v>
      </c>
      <c r="B191" t="s">
        <v>1</v>
      </c>
      <c r="C191" t="s">
        <v>2</v>
      </c>
      <c r="D191" t="s">
        <v>3</v>
      </c>
      <c r="E191" t="s">
        <v>4</v>
      </c>
      <c r="F191" t="s">
        <v>49</v>
      </c>
      <c r="G191" s="2">
        <v>45736</v>
      </c>
      <c r="H191" t="s">
        <v>533</v>
      </c>
      <c r="I191" t="s">
        <v>75</v>
      </c>
      <c r="J191" s="2">
        <v>45736</v>
      </c>
      <c r="K191" s="2">
        <v>45737</v>
      </c>
      <c r="L191" t="s">
        <v>69</v>
      </c>
      <c r="M191" t="s">
        <v>534</v>
      </c>
      <c r="N191" t="s">
        <v>9</v>
      </c>
      <c r="O191" t="s">
        <v>10</v>
      </c>
      <c r="P191" t="s">
        <v>8</v>
      </c>
      <c r="Q191" t="s">
        <v>65</v>
      </c>
      <c r="R191" t="s">
        <v>26</v>
      </c>
      <c r="S191" s="3">
        <v>97.4</v>
      </c>
      <c r="T191" t="s">
        <v>12</v>
      </c>
      <c r="U191" s="3">
        <v>8443.73</v>
      </c>
      <c r="V191" t="s">
        <v>77</v>
      </c>
      <c r="W191" t="s">
        <v>13</v>
      </c>
      <c r="X191" t="s">
        <v>8</v>
      </c>
      <c r="Y191" t="s">
        <v>69</v>
      </c>
      <c r="Z191" t="s">
        <v>14</v>
      </c>
      <c r="AA191" t="s">
        <v>535</v>
      </c>
      <c r="AB191" t="s">
        <v>8</v>
      </c>
      <c r="AC191" t="s">
        <v>8</v>
      </c>
      <c r="AD191" t="s">
        <v>8</v>
      </c>
      <c r="AE191" s="2">
        <v>45736</v>
      </c>
      <c r="AF191" s="2"/>
      <c r="AG191" t="s">
        <v>8</v>
      </c>
    </row>
    <row r="192" spans="1:33" outlineLevel="2" x14ac:dyDescent="0.25">
      <c r="A192" t="s">
        <v>27</v>
      </c>
      <c r="B192" t="s">
        <v>1</v>
      </c>
      <c r="C192" t="s">
        <v>2</v>
      </c>
      <c r="D192" t="s">
        <v>3</v>
      </c>
      <c r="E192" t="s">
        <v>4</v>
      </c>
      <c r="F192" t="s">
        <v>49</v>
      </c>
      <c r="G192" s="2">
        <v>45736</v>
      </c>
      <c r="H192" t="s">
        <v>536</v>
      </c>
      <c r="I192" t="s">
        <v>75</v>
      </c>
      <c r="J192" s="2">
        <v>45736</v>
      </c>
      <c r="K192" s="2">
        <v>45737</v>
      </c>
      <c r="L192" t="s">
        <v>69</v>
      </c>
      <c r="M192" t="s">
        <v>537</v>
      </c>
      <c r="N192" t="s">
        <v>9</v>
      </c>
      <c r="O192" t="s">
        <v>10</v>
      </c>
      <c r="P192" t="s">
        <v>8</v>
      </c>
      <c r="Q192" t="s">
        <v>65</v>
      </c>
      <c r="R192" t="s">
        <v>26</v>
      </c>
      <c r="S192" s="3">
        <v>30.8</v>
      </c>
      <c r="T192" t="s">
        <v>12</v>
      </c>
      <c r="U192" s="3">
        <v>2670.09</v>
      </c>
      <c r="V192" t="s">
        <v>77</v>
      </c>
      <c r="W192" t="s">
        <v>13</v>
      </c>
      <c r="X192" t="s">
        <v>8</v>
      </c>
      <c r="Y192" t="s">
        <v>69</v>
      </c>
      <c r="Z192" t="s">
        <v>14</v>
      </c>
      <c r="AA192" t="s">
        <v>535</v>
      </c>
      <c r="AB192" t="s">
        <v>8</v>
      </c>
      <c r="AC192" t="s">
        <v>8</v>
      </c>
      <c r="AD192" t="s">
        <v>8</v>
      </c>
      <c r="AE192" s="2">
        <v>45736</v>
      </c>
      <c r="AF192" s="2"/>
      <c r="AG192" t="s">
        <v>8</v>
      </c>
    </row>
    <row r="193" spans="1:33" outlineLevel="2" x14ac:dyDescent="0.25">
      <c r="A193" t="s">
        <v>27</v>
      </c>
      <c r="B193" t="s">
        <v>1</v>
      </c>
      <c r="C193" t="s">
        <v>2</v>
      </c>
      <c r="D193" t="s">
        <v>3</v>
      </c>
      <c r="E193" t="s">
        <v>4</v>
      </c>
      <c r="F193" t="s">
        <v>49</v>
      </c>
      <c r="G193" s="2">
        <v>45736</v>
      </c>
      <c r="H193" t="s">
        <v>538</v>
      </c>
      <c r="I193" t="s">
        <v>75</v>
      </c>
      <c r="J193" s="2">
        <v>45736</v>
      </c>
      <c r="K193" s="2">
        <v>45737</v>
      </c>
      <c r="L193" t="s">
        <v>69</v>
      </c>
      <c r="M193" t="s">
        <v>539</v>
      </c>
      <c r="N193" t="s">
        <v>9</v>
      </c>
      <c r="O193" t="s">
        <v>10</v>
      </c>
      <c r="P193" t="s">
        <v>8</v>
      </c>
      <c r="Q193" t="s">
        <v>65</v>
      </c>
      <c r="R193" t="s">
        <v>26</v>
      </c>
      <c r="S193" s="3">
        <v>7.27</v>
      </c>
      <c r="T193" t="s">
        <v>12</v>
      </c>
      <c r="U193" s="3">
        <v>630.25</v>
      </c>
      <c r="V193" t="s">
        <v>77</v>
      </c>
      <c r="W193" t="s">
        <v>13</v>
      </c>
      <c r="X193" t="s">
        <v>8</v>
      </c>
      <c r="Y193" t="s">
        <v>69</v>
      </c>
      <c r="Z193" t="s">
        <v>14</v>
      </c>
      <c r="AA193" t="s">
        <v>535</v>
      </c>
      <c r="AB193" t="s">
        <v>8</v>
      </c>
      <c r="AC193" t="s">
        <v>8</v>
      </c>
      <c r="AD193" t="s">
        <v>8</v>
      </c>
      <c r="AE193" s="2">
        <v>45736</v>
      </c>
      <c r="AF193" s="2"/>
      <c r="AG193" t="s">
        <v>8</v>
      </c>
    </row>
    <row r="194" spans="1:33" outlineLevel="2" x14ac:dyDescent="0.25">
      <c r="A194" t="s">
        <v>27</v>
      </c>
      <c r="B194" t="s">
        <v>1</v>
      </c>
      <c r="C194" t="s">
        <v>2</v>
      </c>
      <c r="D194" t="s">
        <v>3</v>
      </c>
      <c r="E194" t="s">
        <v>4</v>
      </c>
      <c r="F194" t="s">
        <v>49</v>
      </c>
      <c r="G194" s="2">
        <v>45736</v>
      </c>
      <c r="H194" t="s">
        <v>540</v>
      </c>
      <c r="I194" t="s">
        <v>75</v>
      </c>
      <c r="J194" s="2">
        <v>45736</v>
      </c>
      <c r="K194" s="2">
        <v>45737</v>
      </c>
      <c r="L194" t="s">
        <v>69</v>
      </c>
      <c r="M194" t="s">
        <v>541</v>
      </c>
      <c r="N194" t="s">
        <v>9</v>
      </c>
      <c r="O194" t="s">
        <v>10</v>
      </c>
      <c r="P194" t="s">
        <v>8</v>
      </c>
      <c r="Q194" t="s">
        <v>65</v>
      </c>
      <c r="R194" t="s">
        <v>26</v>
      </c>
      <c r="S194" s="3">
        <v>10.91</v>
      </c>
      <c r="T194" t="s">
        <v>12</v>
      </c>
      <c r="U194" s="3">
        <v>945.8</v>
      </c>
      <c r="V194" t="s">
        <v>77</v>
      </c>
      <c r="W194" t="s">
        <v>13</v>
      </c>
      <c r="X194" t="s">
        <v>8</v>
      </c>
      <c r="Y194" t="s">
        <v>69</v>
      </c>
      <c r="Z194" t="s">
        <v>14</v>
      </c>
      <c r="AA194" t="s">
        <v>535</v>
      </c>
      <c r="AB194" t="s">
        <v>8</v>
      </c>
      <c r="AC194" t="s">
        <v>8</v>
      </c>
      <c r="AD194" t="s">
        <v>8</v>
      </c>
      <c r="AE194" s="2">
        <v>45736</v>
      </c>
      <c r="AF194" s="2"/>
      <c r="AG194" t="s">
        <v>8</v>
      </c>
    </row>
    <row r="195" spans="1:33" outlineLevel="2" x14ac:dyDescent="0.25">
      <c r="A195" t="s">
        <v>27</v>
      </c>
      <c r="B195" t="s">
        <v>1</v>
      </c>
      <c r="C195" t="s">
        <v>2</v>
      </c>
      <c r="D195" t="s">
        <v>3</v>
      </c>
      <c r="E195" t="s">
        <v>4</v>
      </c>
      <c r="F195" t="s">
        <v>49</v>
      </c>
      <c r="G195" s="2">
        <v>45736</v>
      </c>
      <c r="H195" t="s">
        <v>542</v>
      </c>
      <c r="I195" t="s">
        <v>75</v>
      </c>
      <c r="J195" s="2">
        <v>45736</v>
      </c>
      <c r="K195" s="2">
        <v>45737</v>
      </c>
      <c r="L195" t="s">
        <v>69</v>
      </c>
      <c r="M195" t="s">
        <v>543</v>
      </c>
      <c r="N195" t="s">
        <v>9</v>
      </c>
      <c r="O195" t="s">
        <v>10</v>
      </c>
      <c r="P195" t="s">
        <v>8</v>
      </c>
      <c r="Q195" t="s">
        <v>65</v>
      </c>
      <c r="R195" t="s">
        <v>26</v>
      </c>
      <c r="S195" s="3">
        <v>2.52</v>
      </c>
      <c r="T195" t="s">
        <v>12</v>
      </c>
      <c r="U195" s="3">
        <v>218.46</v>
      </c>
      <c r="V195" t="s">
        <v>77</v>
      </c>
      <c r="W195" t="s">
        <v>13</v>
      </c>
      <c r="X195" t="s">
        <v>8</v>
      </c>
      <c r="Y195" t="s">
        <v>69</v>
      </c>
      <c r="Z195" t="s">
        <v>14</v>
      </c>
      <c r="AA195" t="s">
        <v>535</v>
      </c>
      <c r="AB195" t="s">
        <v>8</v>
      </c>
      <c r="AC195" t="s">
        <v>8</v>
      </c>
      <c r="AD195" t="s">
        <v>8</v>
      </c>
      <c r="AE195" s="2">
        <v>45736</v>
      </c>
      <c r="AF195" s="2"/>
      <c r="AG195" t="s">
        <v>8</v>
      </c>
    </row>
    <row r="196" spans="1:33" outlineLevel="2" x14ac:dyDescent="0.25">
      <c r="A196" t="s">
        <v>27</v>
      </c>
      <c r="B196" t="s">
        <v>1</v>
      </c>
      <c r="C196" t="s">
        <v>2</v>
      </c>
      <c r="D196" t="s">
        <v>3</v>
      </c>
      <c r="E196" t="s">
        <v>4</v>
      </c>
      <c r="F196" t="s">
        <v>49</v>
      </c>
      <c r="G196" s="2">
        <v>45736</v>
      </c>
      <c r="H196" t="s">
        <v>544</v>
      </c>
      <c r="I196" t="s">
        <v>75</v>
      </c>
      <c r="J196" s="2">
        <v>45736</v>
      </c>
      <c r="K196" s="2">
        <v>45737</v>
      </c>
      <c r="L196" t="s">
        <v>69</v>
      </c>
      <c r="M196" t="s">
        <v>545</v>
      </c>
      <c r="N196" t="s">
        <v>9</v>
      </c>
      <c r="O196" t="s">
        <v>10</v>
      </c>
      <c r="P196" t="s">
        <v>8</v>
      </c>
      <c r="Q196" t="s">
        <v>65</v>
      </c>
      <c r="R196" t="s">
        <v>26</v>
      </c>
      <c r="S196" s="3">
        <v>44</v>
      </c>
      <c r="T196" t="s">
        <v>12</v>
      </c>
      <c r="U196" s="3">
        <v>3814.42</v>
      </c>
      <c r="V196" t="s">
        <v>77</v>
      </c>
      <c r="W196" t="s">
        <v>13</v>
      </c>
      <c r="X196" t="s">
        <v>8</v>
      </c>
      <c r="Y196" t="s">
        <v>69</v>
      </c>
      <c r="Z196" t="s">
        <v>14</v>
      </c>
      <c r="AA196" t="s">
        <v>535</v>
      </c>
      <c r="AB196" t="s">
        <v>8</v>
      </c>
      <c r="AC196" t="s">
        <v>8</v>
      </c>
      <c r="AD196" t="s">
        <v>8</v>
      </c>
      <c r="AE196" s="2">
        <v>45736</v>
      </c>
      <c r="AF196" s="2"/>
      <c r="AG196" t="s">
        <v>8</v>
      </c>
    </row>
    <row r="197" spans="1:33" outlineLevel="2" x14ac:dyDescent="0.25">
      <c r="A197" t="s">
        <v>27</v>
      </c>
      <c r="B197" t="s">
        <v>1</v>
      </c>
      <c r="C197" t="s">
        <v>2</v>
      </c>
      <c r="D197" t="s">
        <v>3</v>
      </c>
      <c r="E197" t="s">
        <v>4</v>
      </c>
      <c r="F197" t="s">
        <v>49</v>
      </c>
      <c r="G197" s="2">
        <v>45736</v>
      </c>
      <c r="H197" t="s">
        <v>546</v>
      </c>
      <c r="I197" t="s">
        <v>75</v>
      </c>
      <c r="J197" s="2">
        <v>45736</v>
      </c>
      <c r="K197" s="2">
        <v>45737</v>
      </c>
      <c r="L197" t="s">
        <v>69</v>
      </c>
      <c r="M197" t="s">
        <v>547</v>
      </c>
      <c r="N197" t="s">
        <v>9</v>
      </c>
      <c r="O197" t="s">
        <v>10</v>
      </c>
      <c r="P197" t="s">
        <v>8</v>
      </c>
      <c r="Q197" t="s">
        <v>65</v>
      </c>
      <c r="R197" t="s">
        <v>26</v>
      </c>
      <c r="S197" s="3">
        <v>92.22</v>
      </c>
      <c r="T197" t="s">
        <v>12</v>
      </c>
      <c r="U197" s="3">
        <v>7994.67</v>
      </c>
      <c r="V197" t="s">
        <v>77</v>
      </c>
      <c r="W197" t="s">
        <v>13</v>
      </c>
      <c r="X197" t="s">
        <v>8</v>
      </c>
      <c r="Y197" t="s">
        <v>69</v>
      </c>
      <c r="Z197" t="s">
        <v>14</v>
      </c>
      <c r="AA197" t="s">
        <v>548</v>
      </c>
      <c r="AB197" t="s">
        <v>8</v>
      </c>
      <c r="AC197" t="s">
        <v>8</v>
      </c>
      <c r="AD197" t="s">
        <v>8</v>
      </c>
      <c r="AE197" s="2">
        <v>45736</v>
      </c>
      <c r="AF197" s="2"/>
      <c r="AG197" t="s">
        <v>8</v>
      </c>
    </row>
    <row r="198" spans="1:33" outlineLevel="2" x14ac:dyDescent="0.25">
      <c r="A198" t="s">
        <v>27</v>
      </c>
      <c r="B198" t="s">
        <v>1</v>
      </c>
      <c r="C198" t="s">
        <v>2</v>
      </c>
      <c r="D198" t="s">
        <v>3</v>
      </c>
      <c r="E198" t="s">
        <v>4</v>
      </c>
      <c r="F198" t="s">
        <v>49</v>
      </c>
      <c r="G198" s="2">
        <v>45736</v>
      </c>
      <c r="H198" t="s">
        <v>549</v>
      </c>
      <c r="I198" t="s">
        <v>75</v>
      </c>
      <c r="J198" s="2">
        <v>45736</v>
      </c>
      <c r="K198" s="2">
        <v>45737</v>
      </c>
      <c r="L198" t="s">
        <v>69</v>
      </c>
      <c r="M198" t="s">
        <v>550</v>
      </c>
      <c r="N198" t="s">
        <v>9</v>
      </c>
      <c r="O198" t="s">
        <v>10</v>
      </c>
      <c r="P198" t="s">
        <v>8</v>
      </c>
      <c r="Q198" t="s">
        <v>65</v>
      </c>
      <c r="R198" t="s">
        <v>26</v>
      </c>
      <c r="S198" s="3">
        <v>458.06</v>
      </c>
      <c r="T198" t="s">
        <v>12</v>
      </c>
      <c r="U198" s="3">
        <v>39709.800000000003</v>
      </c>
      <c r="V198" t="s">
        <v>77</v>
      </c>
      <c r="W198" t="s">
        <v>13</v>
      </c>
      <c r="X198" t="s">
        <v>8</v>
      </c>
      <c r="Y198" t="s">
        <v>69</v>
      </c>
      <c r="Z198" t="s">
        <v>14</v>
      </c>
      <c r="AA198" t="s">
        <v>551</v>
      </c>
      <c r="AB198" t="s">
        <v>8</v>
      </c>
      <c r="AC198" t="s">
        <v>8</v>
      </c>
      <c r="AD198" t="s">
        <v>8</v>
      </c>
      <c r="AE198" s="2">
        <v>45736</v>
      </c>
      <c r="AF198" s="2"/>
      <c r="AG198" t="s">
        <v>8</v>
      </c>
    </row>
    <row r="199" spans="1:33" outlineLevel="2" x14ac:dyDescent="0.25">
      <c r="A199" t="s">
        <v>27</v>
      </c>
      <c r="B199" t="s">
        <v>1</v>
      </c>
      <c r="C199" t="s">
        <v>2</v>
      </c>
      <c r="D199" t="s">
        <v>3</v>
      </c>
      <c r="E199" t="s">
        <v>4</v>
      </c>
      <c r="F199" t="s">
        <v>49</v>
      </c>
      <c r="G199" s="2">
        <v>45736</v>
      </c>
      <c r="H199" t="s">
        <v>552</v>
      </c>
      <c r="I199" t="s">
        <v>75</v>
      </c>
      <c r="J199" s="2">
        <v>45736</v>
      </c>
      <c r="K199" s="2">
        <v>45737</v>
      </c>
      <c r="L199" t="s">
        <v>69</v>
      </c>
      <c r="M199" t="s">
        <v>553</v>
      </c>
      <c r="N199" t="s">
        <v>9</v>
      </c>
      <c r="O199" t="s">
        <v>10</v>
      </c>
      <c r="P199" t="s">
        <v>8</v>
      </c>
      <c r="Q199" t="s">
        <v>65</v>
      </c>
      <c r="R199" t="s">
        <v>26</v>
      </c>
      <c r="S199" s="3">
        <v>90.86</v>
      </c>
      <c r="T199" t="s">
        <v>12</v>
      </c>
      <c r="U199" s="3">
        <v>7876.77</v>
      </c>
      <c r="V199" t="s">
        <v>77</v>
      </c>
      <c r="W199" t="s">
        <v>13</v>
      </c>
      <c r="X199" t="s">
        <v>8</v>
      </c>
      <c r="Y199" t="s">
        <v>69</v>
      </c>
      <c r="Z199" t="s">
        <v>14</v>
      </c>
      <c r="AA199" t="s">
        <v>554</v>
      </c>
      <c r="AB199" t="s">
        <v>8</v>
      </c>
      <c r="AC199" t="s">
        <v>8</v>
      </c>
      <c r="AD199" t="s">
        <v>8</v>
      </c>
      <c r="AE199" s="2">
        <v>45736</v>
      </c>
      <c r="AF199" s="2"/>
      <c r="AG199" t="s">
        <v>8</v>
      </c>
    </row>
    <row r="200" spans="1:33" outlineLevel="2" x14ac:dyDescent="0.25">
      <c r="A200" t="s">
        <v>27</v>
      </c>
      <c r="B200" t="s">
        <v>1</v>
      </c>
      <c r="C200" t="s">
        <v>2</v>
      </c>
      <c r="D200" t="s">
        <v>3</v>
      </c>
      <c r="E200" t="s">
        <v>4</v>
      </c>
      <c r="F200" t="s">
        <v>17</v>
      </c>
      <c r="G200" s="2">
        <v>45708</v>
      </c>
      <c r="H200" t="s">
        <v>555</v>
      </c>
      <c r="I200" t="s">
        <v>75</v>
      </c>
      <c r="J200" s="2">
        <v>45708</v>
      </c>
      <c r="K200" s="2">
        <v>45708</v>
      </c>
      <c r="L200" t="s">
        <v>69</v>
      </c>
      <c r="M200" t="s">
        <v>556</v>
      </c>
      <c r="N200" t="s">
        <v>9</v>
      </c>
      <c r="O200" t="s">
        <v>10</v>
      </c>
      <c r="P200" t="s">
        <v>8</v>
      </c>
      <c r="Q200" t="s">
        <v>65</v>
      </c>
      <c r="R200" t="s">
        <v>26</v>
      </c>
      <c r="S200" s="3">
        <v>1190.48</v>
      </c>
      <c r="T200" t="s">
        <v>12</v>
      </c>
      <c r="U200" s="3">
        <v>102742.78</v>
      </c>
      <c r="V200" t="s">
        <v>77</v>
      </c>
      <c r="W200" t="s">
        <v>13</v>
      </c>
      <c r="X200" t="s">
        <v>8</v>
      </c>
      <c r="Y200" t="s">
        <v>69</v>
      </c>
      <c r="Z200" t="s">
        <v>14</v>
      </c>
      <c r="AA200" t="s">
        <v>557</v>
      </c>
      <c r="AB200" t="s">
        <v>8</v>
      </c>
      <c r="AC200" t="s">
        <v>8</v>
      </c>
      <c r="AD200" t="s">
        <v>8</v>
      </c>
      <c r="AE200" s="2">
        <v>45708</v>
      </c>
      <c r="AF200" s="2"/>
      <c r="AG200" t="s">
        <v>8</v>
      </c>
    </row>
    <row r="201" spans="1:33" outlineLevel="2" x14ac:dyDescent="0.25">
      <c r="A201" t="s">
        <v>27</v>
      </c>
      <c r="B201" t="s">
        <v>1</v>
      </c>
      <c r="C201" t="s">
        <v>2</v>
      </c>
      <c r="D201" t="s">
        <v>3</v>
      </c>
      <c r="E201" t="s">
        <v>4</v>
      </c>
      <c r="F201" t="s">
        <v>17</v>
      </c>
      <c r="G201" s="2">
        <v>45708</v>
      </c>
      <c r="H201" t="s">
        <v>558</v>
      </c>
      <c r="I201" t="s">
        <v>75</v>
      </c>
      <c r="J201" s="2">
        <v>45708</v>
      </c>
      <c r="K201" s="2">
        <v>45708</v>
      </c>
      <c r="L201" t="s">
        <v>69</v>
      </c>
      <c r="M201" t="s">
        <v>559</v>
      </c>
      <c r="N201" t="s">
        <v>9</v>
      </c>
      <c r="O201" t="s">
        <v>10</v>
      </c>
      <c r="P201" t="s">
        <v>8</v>
      </c>
      <c r="Q201" t="s">
        <v>65</v>
      </c>
      <c r="R201" t="s">
        <v>26</v>
      </c>
      <c r="S201" s="3">
        <v>416.67</v>
      </c>
      <c r="T201" t="s">
        <v>12</v>
      </c>
      <c r="U201" s="3">
        <v>35960.15</v>
      </c>
      <c r="V201" t="s">
        <v>77</v>
      </c>
      <c r="W201" t="s">
        <v>13</v>
      </c>
      <c r="X201" t="s">
        <v>8</v>
      </c>
      <c r="Y201" t="s">
        <v>69</v>
      </c>
      <c r="Z201" t="s">
        <v>14</v>
      </c>
      <c r="AA201" t="s">
        <v>560</v>
      </c>
      <c r="AB201" t="s">
        <v>8</v>
      </c>
      <c r="AC201" t="s">
        <v>8</v>
      </c>
      <c r="AD201" t="s">
        <v>8</v>
      </c>
      <c r="AE201" s="2">
        <v>45708</v>
      </c>
      <c r="AF201" s="2"/>
      <c r="AG201" t="s">
        <v>8</v>
      </c>
    </row>
    <row r="202" spans="1:33" outlineLevel="2" x14ac:dyDescent="0.25">
      <c r="A202" t="s">
        <v>27</v>
      </c>
      <c r="B202" t="s">
        <v>1</v>
      </c>
      <c r="C202" t="s">
        <v>2</v>
      </c>
      <c r="D202" t="s">
        <v>3</v>
      </c>
      <c r="E202" t="s">
        <v>4</v>
      </c>
      <c r="F202" t="s">
        <v>17</v>
      </c>
      <c r="G202" s="2">
        <v>45708</v>
      </c>
      <c r="H202" t="s">
        <v>561</v>
      </c>
      <c r="I202" t="s">
        <v>75</v>
      </c>
      <c r="J202" s="2">
        <v>45708</v>
      </c>
      <c r="K202" s="2">
        <v>45708</v>
      </c>
      <c r="L202" t="s">
        <v>69</v>
      </c>
      <c r="M202" t="s">
        <v>562</v>
      </c>
      <c r="N202" t="s">
        <v>9</v>
      </c>
      <c r="O202" t="s">
        <v>10</v>
      </c>
      <c r="P202" t="s">
        <v>8</v>
      </c>
      <c r="Q202" t="s">
        <v>65</v>
      </c>
      <c r="R202" t="s">
        <v>26</v>
      </c>
      <c r="S202" s="3">
        <v>1190.48</v>
      </c>
      <c r="T202" t="s">
        <v>12</v>
      </c>
      <c r="U202" s="3">
        <v>102742.78</v>
      </c>
      <c r="V202" t="s">
        <v>77</v>
      </c>
      <c r="W202" t="s">
        <v>13</v>
      </c>
      <c r="X202" t="s">
        <v>8</v>
      </c>
      <c r="Y202" t="s">
        <v>69</v>
      </c>
      <c r="Z202" t="s">
        <v>14</v>
      </c>
      <c r="AA202" t="s">
        <v>563</v>
      </c>
      <c r="AB202" t="s">
        <v>8</v>
      </c>
      <c r="AC202" t="s">
        <v>8</v>
      </c>
      <c r="AD202" t="s">
        <v>8</v>
      </c>
      <c r="AE202" s="2">
        <v>45708</v>
      </c>
      <c r="AF202" s="2"/>
      <c r="AG202" t="s">
        <v>8</v>
      </c>
    </row>
    <row r="203" spans="1:33" outlineLevel="2" x14ac:dyDescent="0.25">
      <c r="A203" t="s">
        <v>27</v>
      </c>
      <c r="B203" t="s">
        <v>1</v>
      </c>
      <c r="C203" t="s">
        <v>2</v>
      </c>
      <c r="D203" t="s">
        <v>3</v>
      </c>
      <c r="E203" t="s">
        <v>4</v>
      </c>
      <c r="F203" t="s">
        <v>17</v>
      </c>
      <c r="G203" s="2">
        <v>45708</v>
      </c>
      <c r="H203" t="s">
        <v>564</v>
      </c>
      <c r="I203" t="s">
        <v>75</v>
      </c>
      <c r="J203" s="2">
        <v>45708</v>
      </c>
      <c r="K203" s="2">
        <v>45708</v>
      </c>
      <c r="L203" t="s">
        <v>69</v>
      </c>
      <c r="M203" t="s">
        <v>565</v>
      </c>
      <c r="N203" t="s">
        <v>9</v>
      </c>
      <c r="O203" t="s">
        <v>10</v>
      </c>
      <c r="P203" t="s">
        <v>8</v>
      </c>
      <c r="Q203" t="s">
        <v>65</v>
      </c>
      <c r="R203" t="s">
        <v>26</v>
      </c>
      <c r="S203" s="3">
        <v>416.67</v>
      </c>
      <c r="T203" t="s">
        <v>12</v>
      </c>
      <c r="U203" s="3">
        <v>35960.15</v>
      </c>
      <c r="V203" t="s">
        <v>77</v>
      </c>
      <c r="W203" t="s">
        <v>13</v>
      </c>
      <c r="X203" t="s">
        <v>8</v>
      </c>
      <c r="Y203" t="s">
        <v>69</v>
      </c>
      <c r="Z203" t="s">
        <v>14</v>
      </c>
      <c r="AA203" t="s">
        <v>566</v>
      </c>
      <c r="AB203" t="s">
        <v>8</v>
      </c>
      <c r="AC203" t="s">
        <v>8</v>
      </c>
      <c r="AD203" t="s">
        <v>8</v>
      </c>
      <c r="AE203" s="2">
        <v>45708</v>
      </c>
      <c r="AF203" s="2"/>
      <c r="AG203" t="s">
        <v>8</v>
      </c>
    </row>
    <row r="204" spans="1:33" outlineLevel="2" x14ac:dyDescent="0.25">
      <c r="A204" t="s">
        <v>27</v>
      </c>
      <c r="B204" t="s">
        <v>1</v>
      </c>
      <c r="C204" t="s">
        <v>2</v>
      </c>
      <c r="D204" t="s">
        <v>3</v>
      </c>
      <c r="E204" t="s">
        <v>4</v>
      </c>
      <c r="F204" t="s">
        <v>17</v>
      </c>
      <c r="G204" s="2">
        <v>45708</v>
      </c>
      <c r="H204" t="s">
        <v>567</v>
      </c>
      <c r="I204" t="s">
        <v>75</v>
      </c>
      <c r="J204" s="2">
        <v>45708</v>
      </c>
      <c r="K204" s="2">
        <v>45708</v>
      </c>
      <c r="L204" t="s">
        <v>69</v>
      </c>
      <c r="M204" t="s">
        <v>568</v>
      </c>
      <c r="N204" t="s">
        <v>9</v>
      </c>
      <c r="O204" t="s">
        <v>10</v>
      </c>
      <c r="P204" t="s">
        <v>8</v>
      </c>
      <c r="Q204" t="s">
        <v>65</v>
      </c>
      <c r="R204" t="s">
        <v>26</v>
      </c>
      <c r="S204" s="3">
        <v>1190.48</v>
      </c>
      <c r="T204" t="s">
        <v>12</v>
      </c>
      <c r="U204" s="3">
        <v>102742.78</v>
      </c>
      <c r="V204" t="s">
        <v>77</v>
      </c>
      <c r="W204" t="s">
        <v>13</v>
      </c>
      <c r="X204" t="s">
        <v>8</v>
      </c>
      <c r="Y204" t="s">
        <v>69</v>
      </c>
      <c r="Z204" t="s">
        <v>14</v>
      </c>
      <c r="AA204" t="s">
        <v>569</v>
      </c>
      <c r="AB204" t="s">
        <v>8</v>
      </c>
      <c r="AC204" t="s">
        <v>8</v>
      </c>
      <c r="AD204" t="s">
        <v>8</v>
      </c>
      <c r="AE204" s="2">
        <v>45708</v>
      </c>
      <c r="AF204" s="2"/>
      <c r="AG204" t="s">
        <v>8</v>
      </c>
    </row>
    <row r="205" spans="1:33" outlineLevel="2" x14ac:dyDescent="0.25">
      <c r="A205" t="s">
        <v>27</v>
      </c>
      <c r="B205" t="s">
        <v>1</v>
      </c>
      <c r="C205" t="s">
        <v>2</v>
      </c>
      <c r="D205" t="s">
        <v>3</v>
      </c>
      <c r="E205" t="s">
        <v>4</v>
      </c>
      <c r="F205" t="s">
        <v>17</v>
      </c>
      <c r="G205" s="2">
        <v>45708</v>
      </c>
      <c r="H205" t="s">
        <v>570</v>
      </c>
      <c r="I205" t="s">
        <v>75</v>
      </c>
      <c r="J205" s="2">
        <v>45708</v>
      </c>
      <c r="K205" s="2">
        <v>45708</v>
      </c>
      <c r="L205" t="s">
        <v>69</v>
      </c>
      <c r="M205" t="s">
        <v>571</v>
      </c>
      <c r="N205" t="s">
        <v>9</v>
      </c>
      <c r="O205" t="s">
        <v>10</v>
      </c>
      <c r="P205" t="s">
        <v>8</v>
      </c>
      <c r="Q205" t="s">
        <v>65</v>
      </c>
      <c r="R205" t="s">
        <v>26</v>
      </c>
      <c r="S205" s="3">
        <v>416.67</v>
      </c>
      <c r="T205" t="s">
        <v>12</v>
      </c>
      <c r="U205" s="3">
        <v>35960.15</v>
      </c>
      <c r="V205" t="s">
        <v>77</v>
      </c>
      <c r="W205" t="s">
        <v>13</v>
      </c>
      <c r="X205" t="s">
        <v>8</v>
      </c>
      <c r="Y205" t="s">
        <v>69</v>
      </c>
      <c r="Z205" t="s">
        <v>14</v>
      </c>
      <c r="AA205" t="s">
        <v>572</v>
      </c>
      <c r="AB205" t="s">
        <v>8</v>
      </c>
      <c r="AC205" t="s">
        <v>8</v>
      </c>
      <c r="AD205" t="s">
        <v>8</v>
      </c>
      <c r="AE205" s="2">
        <v>45708</v>
      </c>
      <c r="AF205" s="2"/>
      <c r="AG205" t="s">
        <v>8</v>
      </c>
    </row>
    <row r="206" spans="1:33" outlineLevel="2" x14ac:dyDescent="0.25">
      <c r="A206" t="s">
        <v>27</v>
      </c>
      <c r="B206" t="s">
        <v>1</v>
      </c>
      <c r="C206" t="s">
        <v>2</v>
      </c>
      <c r="D206" t="s">
        <v>3</v>
      </c>
      <c r="E206" t="s">
        <v>4</v>
      </c>
      <c r="F206" t="s">
        <v>17</v>
      </c>
      <c r="G206" s="2">
        <v>45708</v>
      </c>
      <c r="H206" t="s">
        <v>573</v>
      </c>
      <c r="I206" t="s">
        <v>75</v>
      </c>
      <c r="J206" s="2">
        <v>45708</v>
      </c>
      <c r="K206" s="2">
        <v>45708</v>
      </c>
      <c r="L206" t="s">
        <v>69</v>
      </c>
      <c r="M206" t="s">
        <v>574</v>
      </c>
      <c r="N206" t="s">
        <v>9</v>
      </c>
      <c r="O206" t="s">
        <v>10</v>
      </c>
      <c r="P206" t="s">
        <v>8</v>
      </c>
      <c r="Q206" t="s">
        <v>65</v>
      </c>
      <c r="R206" t="s">
        <v>26</v>
      </c>
      <c r="S206" s="3">
        <v>1166.5899999999999</v>
      </c>
      <c r="T206" t="s">
        <v>12</v>
      </c>
      <c r="U206" s="3">
        <v>100680.99</v>
      </c>
      <c r="V206" t="s">
        <v>77</v>
      </c>
      <c r="W206" t="s">
        <v>13</v>
      </c>
      <c r="X206" t="s">
        <v>8</v>
      </c>
      <c r="Y206" t="s">
        <v>69</v>
      </c>
      <c r="Z206" t="s">
        <v>14</v>
      </c>
      <c r="AA206" t="s">
        <v>575</v>
      </c>
      <c r="AB206" t="s">
        <v>8</v>
      </c>
      <c r="AC206" t="s">
        <v>8</v>
      </c>
      <c r="AD206" t="s">
        <v>8</v>
      </c>
      <c r="AE206" s="2">
        <v>45708</v>
      </c>
      <c r="AF206" s="2"/>
      <c r="AG206" t="s">
        <v>8</v>
      </c>
    </row>
    <row r="207" spans="1:33" outlineLevel="2" x14ac:dyDescent="0.25">
      <c r="A207" t="s">
        <v>27</v>
      </c>
      <c r="B207" t="s">
        <v>1</v>
      </c>
      <c r="C207" t="s">
        <v>2</v>
      </c>
      <c r="D207" t="s">
        <v>3</v>
      </c>
      <c r="E207" t="s">
        <v>4</v>
      </c>
      <c r="F207" t="s">
        <v>17</v>
      </c>
      <c r="G207" s="2">
        <v>45708</v>
      </c>
      <c r="H207" t="s">
        <v>576</v>
      </c>
      <c r="I207" t="s">
        <v>75</v>
      </c>
      <c r="J207" s="2">
        <v>45708</v>
      </c>
      <c r="K207" s="2">
        <v>45708</v>
      </c>
      <c r="L207" t="s">
        <v>69</v>
      </c>
      <c r="M207" t="s">
        <v>577</v>
      </c>
      <c r="N207" t="s">
        <v>9</v>
      </c>
      <c r="O207" t="s">
        <v>10</v>
      </c>
      <c r="P207" t="s">
        <v>8</v>
      </c>
      <c r="Q207" t="s">
        <v>65</v>
      </c>
      <c r="R207" t="s">
        <v>26</v>
      </c>
      <c r="S207" s="3">
        <v>408.31</v>
      </c>
      <c r="T207" t="s">
        <v>12</v>
      </c>
      <c r="U207" s="3">
        <v>35238.65</v>
      </c>
      <c r="V207" t="s">
        <v>77</v>
      </c>
      <c r="W207" t="s">
        <v>13</v>
      </c>
      <c r="X207" t="s">
        <v>8</v>
      </c>
      <c r="Y207" t="s">
        <v>69</v>
      </c>
      <c r="Z207" t="s">
        <v>14</v>
      </c>
      <c r="AA207" t="s">
        <v>578</v>
      </c>
      <c r="AB207" t="s">
        <v>8</v>
      </c>
      <c r="AC207" t="s">
        <v>8</v>
      </c>
      <c r="AD207" t="s">
        <v>8</v>
      </c>
      <c r="AE207" s="2">
        <v>45708</v>
      </c>
      <c r="AF207" s="2"/>
      <c r="AG207" t="s">
        <v>8</v>
      </c>
    </row>
    <row r="208" spans="1:33" outlineLevel="2" x14ac:dyDescent="0.25">
      <c r="A208" t="s">
        <v>27</v>
      </c>
      <c r="B208" t="s">
        <v>1</v>
      </c>
      <c r="C208" t="s">
        <v>2</v>
      </c>
      <c r="D208" t="s">
        <v>3</v>
      </c>
      <c r="E208" t="s">
        <v>4</v>
      </c>
      <c r="F208" t="s">
        <v>17</v>
      </c>
      <c r="G208" s="2">
        <v>45708</v>
      </c>
      <c r="H208" t="s">
        <v>579</v>
      </c>
      <c r="I208" t="s">
        <v>75</v>
      </c>
      <c r="J208" s="2">
        <v>45708</v>
      </c>
      <c r="K208" s="2">
        <v>45708</v>
      </c>
      <c r="L208" t="s">
        <v>69</v>
      </c>
      <c r="M208" t="s">
        <v>580</v>
      </c>
      <c r="N208" t="s">
        <v>9</v>
      </c>
      <c r="O208" t="s">
        <v>10</v>
      </c>
      <c r="P208" t="s">
        <v>8</v>
      </c>
      <c r="Q208" t="s">
        <v>65</v>
      </c>
      <c r="R208" t="s">
        <v>26</v>
      </c>
      <c r="S208" s="3">
        <v>1143.1199999999999</v>
      </c>
      <c r="T208" t="s">
        <v>12</v>
      </c>
      <c r="U208" s="3">
        <v>98655.44</v>
      </c>
      <c r="V208" t="s">
        <v>77</v>
      </c>
      <c r="W208" t="s">
        <v>13</v>
      </c>
      <c r="X208" t="s">
        <v>8</v>
      </c>
      <c r="Y208" t="s">
        <v>69</v>
      </c>
      <c r="Z208" t="s">
        <v>14</v>
      </c>
      <c r="AA208" t="s">
        <v>581</v>
      </c>
      <c r="AB208" t="s">
        <v>8</v>
      </c>
      <c r="AC208" t="s">
        <v>8</v>
      </c>
      <c r="AD208" t="s">
        <v>8</v>
      </c>
      <c r="AE208" s="2">
        <v>45708</v>
      </c>
      <c r="AF208" s="2"/>
      <c r="AG208" t="s">
        <v>8</v>
      </c>
    </row>
    <row r="209" spans="1:33" outlineLevel="2" x14ac:dyDescent="0.25">
      <c r="A209" t="s">
        <v>27</v>
      </c>
      <c r="B209" t="s">
        <v>1</v>
      </c>
      <c r="C209" t="s">
        <v>2</v>
      </c>
      <c r="D209" t="s">
        <v>3</v>
      </c>
      <c r="E209" t="s">
        <v>4</v>
      </c>
      <c r="F209" t="s">
        <v>17</v>
      </c>
      <c r="G209" s="2">
        <v>45708</v>
      </c>
      <c r="H209" t="s">
        <v>582</v>
      </c>
      <c r="I209" t="s">
        <v>75</v>
      </c>
      <c r="J209" s="2">
        <v>45708</v>
      </c>
      <c r="K209" s="2">
        <v>45708</v>
      </c>
      <c r="L209" t="s">
        <v>69</v>
      </c>
      <c r="M209" t="s">
        <v>583</v>
      </c>
      <c r="N209" t="s">
        <v>9</v>
      </c>
      <c r="O209" t="s">
        <v>10</v>
      </c>
      <c r="P209" t="s">
        <v>8</v>
      </c>
      <c r="Q209" t="s">
        <v>65</v>
      </c>
      <c r="R209" t="s">
        <v>26</v>
      </c>
      <c r="S209" s="3">
        <v>400.09</v>
      </c>
      <c r="T209" t="s">
        <v>12</v>
      </c>
      <c r="U209" s="3">
        <v>34529.230000000003</v>
      </c>
      <c r="V209" t="s">
        <v>77</v>
      </c>
      <c r="W209" t="s">
        <v>13</v>
      </c>
      <c r="X209" t="s">
        <v>8</v>
      </c>
      <c r="Y209" t="s">
        <v>69</v>
      </c>
      <c r="Z209" t="s">
        <v>14</v>
      </c>
      <c r="AA209" t="s">
        <v>584</v>
      </c>
      <c r="AB209" t="s">
        <v>8</v>
      </c>
      <c r="AC209" t="s">
        <v>8</v>
      </c>
      <c r="AD209" t="s">
        <v>8</v>
      </c>
      <c r="AE209" s="2">
        <v>45708</v>
      </c>
      <c r="AF209" s="2"/>
      <c r="AG209" t="s">
        <v>8</v>
      </c>
    </row>
    <row r="210" spans="1:33" outlineLevel="2" x14ac:dyDescent="0.25">
      <c r="A210" t="s">
        <v>27</v>
      </c>
      <c r="B210" t="s">
        <v>1</v>
      </c>
      <c r="C210" t="s">
        <v>2</v>
      </c>
      <c r="D210" t="s">
        <v>3</v>
      </c>
      <c r="E210" t="s">
        <v>4</v>
      </c>
      <c r="F210" t="s">
        <v>17</v>
      </c>
      <c r="G210" s="2">
        <v>45708</v>
      </c>
      <c r="H210" t="s">
        <v>585</v>
      </c>
      <c r="I210" t="s">
        <v>75</v>
      </c>
      <c r="J210" s="2">
        <v>45708</v>
      </c>
      <c r="K210" s="2">
        <v>45709</v>
      </c>
      <c r="L210" t="s">
        <v>69</v>
      </c>
      <c r="M210" t="s">
        <v>586</v>
      </c>
      <c r="N210" t="s">
        <v>9</v>
      </c>
      <c r="O210" t="s">
        <v>10</v>
      </c>
      <c r="P210" t="s">
        <v>8</v>
      </c>
      <c r="Q210" t="s">
        <v>65</v>
      </c>
      <c r="R210" t="s">
        <v>26</v>
      </c>
      <c r="S210" s="3">
        <v>1190.48</v>
      </c>
      <c r="T210" t="s">
        <v>12</v>
      </c>
      <c r="U210" s="3">
        <v>102742.78</v>
      </c>
      <c r="V210" t="s">
        <v>77</v>
      </c>
      <c r="W210" t="s">
        <v>13</v>
      </c>
      <c r="X210" t="s">
        <v>8</v>
      </c>
      <c r="Y210" t="s">
        <v>69</v>
      </c>
      <c r="Z210" t="s">
        <v>14</v>
      </c>
      <c r="AA210" t="s">
        <v>587</v>
      </c>
      <c r="AB210" t="s">
        <v>8</v>
      </c>
      <c r="AC210" t="s">
        <v>8</v>
      </c>
      <c r="AD210" t="s">
        <v>8</v>
      </c>
      <c r="AE210" s="2">
        <v>45708</v>
      </c>
      <c r="AF210" s="2"/>
      <c r="AG210" t="s">
        <v>8</v>
      </c>
    </row>
    <row r="211" spans="1:33" outlineLevel="2" x14ac:dyDescent="0.25">
      <c r="A211" t="s">
        <v>27</v>
      </c>
      <c r="B211" t="s">
        <v>1</v>
      </c>
      <c r="C211" t="s">
        <v>2</v>
      </c>
      <c r="D211" t="s">
        <v>3</v>
      </c>
      <c r="E211" t="s">
        <v>4</v>
      </c>
      <c r="F211" t="s">
        <v>17</v>
      </c>
      <c r="G211" s="2">
        <v>45708</v>
      </c>
      <c r="H211" t="s">
        <v>588</v>
      </c>
      <c r="I211" t="s">
        <v>75</v>
      </c>
      <c r="J211" s="2">
        <v>45708</v>
      </c>
      <c r="K211" s="2">
        <v>45709</v>
      </c>
      <c r="L211" t="s">
        <v>69</v>
      </c>
      <c r="M211" t="s">
        <v>589</v>
      </c>
      <c r="N211" t="s">
        <v>9</v>
      </c>
      <c r="O211" t="s">
        <v>10</v>
      </c>
      <c r="P211" t="s">
        <v>8</v>
      </c>
      <c r="Q211" t="s">
        <v>65</v>
      </c>
      <c r="R211" t="s">
        <v>26</v>
      </c>
      <c r="S211" s="3">
        <v>416.67</v>
      </c>
      <c r="T211" t="s">
        <v>12</v>
      </c>
      <c r="U211" s="3">
        <v>35960.15</v>
      </c>
      <c r="V211" t="s">
        <v>77</v>
      </c>
      <c r="W211" t="s">
        <v>13</v>
      </c>
      <c r="X211" t="s">
        <v>8</v>
      </c>
      <c r="Y211" t="s">
        <v>69</v>
      </c>
      <c r="Z211" t="s">
        <v>14</v>
      </c>
      <c r="AA211" t="s">
        <v>590</v>
      </c>
      <c r="AB211" t="s">
        <v>8</v>
      </c>
      <c r="AC211" t="s">
        <v>8</v>
      </c>
      <c r="AD211" t="s">
        <v>8</v>
      </c>
      <c r="AE211" s="2">
        <v>45708</v>
      </c>
      <c r="AF211" s="2"/>
      <c r="AG211" t="s">
        <v>8</v>
      </c>
    </row>
    <row r="212" spans="1:33" outlineLevel="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17</v>
      </c>
      <c r="G212" s="2">
        <v>45708</v>
      </c>
      <c r="H212" t="s">
        <v>591</v>
      </c>
      <c r="I212" t="s">
        <v>75</v>
      </c>
      <c r="J212" s="2">
        <v>45708</v>
      </c>
      <c r="K212" s="2">
        <v>45708</v>
      </c>
      <c r="L212" t="s">
        <v>69</v>
      </c>
      <c r="M212" t="s">
        <v>592</v>
      </c>
      <c r="N212" t="s">
        <v>9</v>
      </c>
      <c r="O212" t="s">
        <v>10</v>
      </c>
      <c r="P212" t="s">
        <v>8</v>
      </c>
      <c r="Q212" t="s">
        <v>65</v>
      </c>
      <c r="R212" t="s">
        <v>26</v>
      </c>
      <c r="S212" s="3">
        <v>416.67</v>
      </c>
      <c r="T212" t="s">
        <v>12</v>
      </c>
      <c r="U212" s="3">
        <v>35960.15</v>
      </c>
      <c r="V212" t="s">
        <v>77</v>
      </c>
      <c r="W212" t="s">
        <v>13</v>
      </c>
      <c r="X212" t="s">
        <v>8</v>
      </c>
      <c r="Y212" t="s">
        <v>69</v>
      </c>
      <c r="Z212" t="s">
        <v>14</v>
      </c>
      <c r="AA212" t="s">
        <v>593</v>
      </c>
      <c r="AB212" t="s">
        <v>8</v>
      </c>
      <c r="AC212" t="s">
        <v>8</v>
      </c>
      <c r="AD212" t="s">
        <v>8</v>
      </c>
      <c r="AE212" s="2">
        <v>45708</v>
      </c>
      <c r="AF212" s="2">
        <v>45887</v>
      </c>
      <c r="AG212" t="s">
        <v>24</v>
      </c>
    </row>
    <row r="213" spans="1:33" outlineLevel="2" x14ac:dyDescent="0.25">
      <c r="A213" t="s">
        <v>27</v>
      </c>
      <c r="B213" t="s">
        <v>1</v>
      </c>
      <c r="C213" t="s">
        <v>2</v>
      </c>
      <c r="D213" t="s">
        <v>3</v>
      </c>
      <c r="E213" t="s">
        <v>4</v>
      </c>
      <c r="F213" t="s">
        <v>23</v>
      </c>
      <c r="G213" s="2">
        <v>45889</v>
      </c>
      <c r="H213" t="s">
        <v>594</v>
      </c>
      <c r="I213" t="s">
        <v>75</v>
      </c>
      <c r="J213" s="2">
        <v>45889</v>
      </c>
      <c r="K213" s="2">
        <v>45891</v>
      </c>
      <c r="L213" t="s">
        <v>69</v>
      </c>
      <c r="M213" t="s">
        <v>595</v>
      </c>
      <c r="N213" t="s">
        <v>9</v>
      </c>
      <c r="O213" t="s">
        <v>10</v>
      </c>
      <c r="P213" t="s">
        <v>8</v>
      </c>
      <c r="Q213" t="s">
        <v>65</v>
      </c>
      <c r="R213" t="s">
        <v>26</v>
      </c>
      <c r="S213" s="3">
        <v>180</v>
      </c>
      <c r="T213" t="s">
        <v>12</v>
      </c>
      <c r="U213" s="3">
        <v>15485.42</v>
      </c>
      <c r="V213" t="s">
        <v>77</v>
      </c>
      <c r="W213" t="s">
        <v>13</v>
      </c>
      <c r="X213" t="s">
        <v>8</v>
      </c>
      <c r="Y213" t="s">
        <v>69</v>
      </c>
      <c r="Z213" t="s">
        <v>14</v>
      </c>
      <c r="AA213" t="s">
        <v>596</v>
      </c>
      <c r="AB213" t="s">
        <v>8</v>
      </c>
      <c r="AC213" t="s">
        <v>8</v>
      </c>
      <c r="AD213" t="s">
        <v>8</v>
      </c>
      <c r="AE213" s="2">
        <v>45889</v>
      </c>
      <c r="AF213" s="2"/>
      <c r="AG213" t="s">
        <v>8</v>
      </c>
    </row>
    <row r="214" spans="1:33" outlineLevel="2" x14ac:dyDescent="0.25">
      <c r="A214" t="s">
        <v>27</v>
      </c>
      <c r="B214" t="s">
        <v>1</v>
      </c>
      <c r="C214" t="s">
        <v>2</v>
      </c>
      <c r="D214" t="s">
        <v>3</v>
      </c>
      <c r="E214" t="s">
        <v>4</v>
      </c>
      <c r="F214" t="s">
        <v>23</v>
      </c>
      <c r="G214" s="2">
        <v>45889</v>
      </c>
      <c r="H214" t="s">
        <v>597</v>
      </c>
      <c r="I214" t="s">
        <v>75</v>
      </c>
      <c r="J214" s="2">
        <v>45889</v>
      </c>
      <c r="K214" s="2">
        <v>45891</v>
      </c>
      <c r="L214" t="s">
        <v>69</v>
      </c>
      <c r="M214" t="s">
        <v>598</v>
      </c>
      <c r="N214" t="s">
        <v>9</v>
      </c>
      <c r="O214" t="s">
        <v>10</v>
      </c>
      <c r="P214" t="s">
        <v>8</v>
      </c>
      <c r="Q214" t="s">
        <v>65</v>
      </c>
      <c r="R214" t="s">
        <v>26</v>
      </c>
      <c r="S214" s="3">
        <v>492.48</v>
      </c>
      <c r="T214" t="s">
        <v>12</v>
      </c>
      <c r="U214" s="3">
        <v>42368.11</v>
      </c>
      <c r="V214" t="s">
        <v>77</v>
      </c>
      <c r="W214" t="s">
        <v>13</v>
      </c>
      <c r="X214" t="s">
        <v>8</v>
      </c>
      <c r="Y214" t="s">
        <v>69</v>
      </c>
      <c r="Z214" t="s">
        <v>14</v>
      </c>
      <c r="AA214" t="s">
        <v>599</v>
      </c>
      <c r="AB214" t="s">
        <v>8</v>
      </c>
      <c r="AC214" t="s">
        <v>8</v>
      </c>
      <c r="AD214" t="s">
        <v>8</v>
      </c>
      <c r="AE214" s="2">
        <v>45889</v>
      </c>
      <c r="AF214" s="2"/>
      <c r="AG214" t="s">
        <v>8</v>
      </c>
    </row>
    <row r="215" spans="1:33" outlineLevel="2" x14ac:dyDescent="0.25">
      <c r="A215" t="s">
        <v>27</v>
      </c>
      <c r="B215" t="s">
        <v>1</v>
      </c>
      <c r="C215" t="s">
        <v>2</v>
      </c>
      <c r="D215" t="s">
        <v>3</v>
      </c>
      <c r="E215" t="s">
        <v>4</v>
      </c>
      <c r="F215" t="s">
        <v>23</v>
      </c>
      <c r="G215" s="2">
        <v>45889</v>
      </c>
      <c r="H215" t="s">
        <v>600</v>
      </c>
      <c r="I215" t="s">
        <v>75</v>
      </c>
      <c r="J215" s="2">
        <v>45889</v>
      </c>
      <c r="K215" s="2">
        <v>45891</v>
      </c>
      <c r="L215" t="s">
        <v>69</v>
      </c>
      <c r="M215" t="s">
        <v>601</v>
      </c>
      <c r="N215" t="s">
        <v>9</v>
      </c>
      <c r="O215" t="s">
        <v>10</v>
      </c>
      <c r="P215" t="s">
        <v>8</v>
      </c>
      <c r="Q215" t="s">
        <v>65</v>
      </c>
      <c r="R215" t="s">
        <v>26</v>
      </c>
      <c r="S215" s="3">
        <v>84.14</v>
      </c>
      <c r="T215" t="s">
        <v>12</v>
      </c>
      <c r="U215" s="3">
        <v>7238.57</v>
      </c>
      <c r="V215" t="s">
        <v>77</v>
      </c>
      <c r="W215" t="s">
        <v>13</v>
      </c>
      <c r="X215" t="s">
        <v>8</v>
      </c>
      <c r="Y215" t="s">
        <v>69</v>
      </c>
      <c r="Z215" t="s">
        <v>14</v>
      </c>
      <c r="AA215" t="s">
        <v>602</v>
      </c>
      <c r="AB215" t="s">
        <v>8</v>
      </c>
      <c r="AC215" t="s">
        <v>8</v>
      </c>
      <c r="AD215" t="s">
        <v>8</v>
      </c>
      <c r="AE215" s="2">
        <v>45889</v>
      </c>
      <c r="AF215" s="2"/>
      <c r="AG215" t="s">
        <v>8</v>
      </c>
    </row>
    <row r="216" spans="1:33" outlineLevel="2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17</v>
      </c>
      <c r="G216" s="2">
        <v>45707</v>
      </c>
      <c r="H216" t="s">
        <v>603</v>
      </c>
      <c r="I216" t="s">
        <v>75</v>
      </c>
      <c r="J216" s="2">
        <v>45707</v>
      </c>
      <c r="K216" s="2">
        <v>45708</v>
      </c>
      <c r="L216" t="s">
        <v>69</v>
      </c>
      <c r="M216" t="s">
        <v>604</v>
      </c>
      <c r="N216" t="s">
        <v>9</v>
      </c>
      <c r="O216" t="s">
        <v>10</v>
      </c>
      <c r="P216" t="s">
        <v>8</v>
      </c>
      <c r="Q216" t="s">
        <v>65</v>
      </c>
      <c r="R216" t="s">
        <v>26</v>
      </c>
      <c r="S216" s="3">
        <v>1190.48</v>
      </c>
      <c r="T216" t="s">
        <v>12</v>
      </c>
      <c r="U216" s="3">
        <v>102742.78</v>
      </c>
      <c r="V216" t="s">
        <v>77</v>
      </c>
      <c r="W216" t="s">
        <v>13</v>
      </c>
      <c r="X216" t="s">
        <v>8</v>
      </c>
      <c r="Y216" t="s">
        <v>69</v>
      </c>
      <c r="Z216" t="s">
        <v>14</v>
      </c>
      <c r="AA216" t="s">
        <v>605</v>
      </c>
      <c r="AB216" t="s">
        <v>8</v>
      </c>
      <c r="AC216" t="s">
        <v>8</v>
      </c>
      <c r="AD216" t="s">
        <v>8</v>
      </c>
      <c r="AE216" s="2">
        <v>45707</v>
      </c>
      <c r="AF216" s="2">
        <v>45887</v>
      </c>
      <c r="AG216" t="s">
        <v>24</v>
      </c>
    </row>
    <row r="217" spans="1:33" outlineLevel="2" x14ac:dyDescent="0.25">
      <c r="A217" t="s">
        <v>27</v>
      </c>
      <c r="B217" t="s">
        <v>1</v>
      </c>
      <c r="C217" t="s">
        <v>2</v>
      </c>
      <c r="D217" t="s">
        <v>3</v>
      </c>
      <c r="E217" t="s">
        <v>4</v>
      </c>
      <c r="F217" t="s">
        <v>18</v>
      </c>
      <c r="G217" s="2">
        <v>45923</v>
      </c>
      <c r="H217" t="s">
        <v>606</v>
      </c>
      <c r="I217" t="s">
        <v>118</v>
      </c>
      <c r="J217" s="2">
        <v>45923</v>
      </c>
      <c r="K217" s="2">
        <v>45923</v>
      </c>
      <c r="L217" t="s">
        <v>69</v>
      </c>
      <c r="M217" t="s">
        <v>607</v>
      </c>
      <c r="N217" t="s">
        <v>9</v>
      </c>
      <c r="O217" t="s">
        <v>10</v>
      </c>
      <c r="P217" t="s">
        <v>8</v>
      </c>
      <c r="Q217" t="s">
        <v>54</v>
      </c>
      <c r="R217" t="s">
        <v>26</v>
      </c>
      <c r="S217" s="3">
        <v>-260.79000000000002</v>
      </c>
      <c r="T217" t="s">
        <v>12</v>
      </c>
      <c r="U217" s="3">
        <v>-22423.69</v>
      </c>
      <c r="V217" t="s">
        <v>77</v>
      </c>
      <c r="W217" t="s">
        <v>13</v>
      </c>
      <c r="X217" t="s">
        <v>8</v>
      </c>
      <c r="Y217" t="s">
        <v>608</v>
      </c>
      <c r="Z217" t="s">
        <v>14</v>
      </c>
      <c r="AA217" t="s">
        <v>609</v>
      </c>
      <c r="AB217" t="s">
        <v>8</v>
      </c>
      <c r="AC217" t="s">
        <v>8</v>
      </c>
      <c r="AD217" t="s">
        <v>8</v>
      </c>
      <c r="AE217" s="2">
        <v>45923</v>
      </c>
      <c r="AF217" s="2"/>
      <c r="AG217" t="s">
        <v>8</v>
      </c>
    </row>
    <row r="218" spans="1:33" outlineLevel="2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79</v>
      </c>
      <c r="G218" s="2">
        <v>45821</v>
      </c>
      <c r="H218" t="s">
        <v>610</v>
      </c>
      <c r="I218" t="s">
        <v>75</v>
      </c>
      <c r="J218" s="2">
        <v>45821</v>
      </c>
      <c r="K218" s="2">
        <v>45825</v>
      </c>
      <c r="L218" t="s">
        <v>69</v>
      </c>
      <c r="M218" t="s">
        <v>611</v>
      </c>
      <c r="N218" t="s">
        <v>9</v>
      </c>
      <c r="O218" t="s">
        <v>10</v>
      </c>
      <c r="P218" t="s">
        <v>8</v>
      </c>
      <c r="Q218" t="s">
        <v>65</v>
      </c>
      <c r="R218" t="s">
        <v>26</v>
      </c>
      <c r="S218" s="3">
        <v>200</v>
      </c>
      <c r="T218" t="s">
        <v>12</v>
      </c>
      <c r="U218" s="3">
        <v>17098.16</v>
      </c>
      <c r="V218" t="s">
        <v>77</v>
      </c>
      <c r="W218" t="s">
        <v>13</v>
      </c>
      <c r="X218" t="s">
        <v>8</v>
      </c>
      <c r="Y218" t="s">
        <v>69</v>
      </c>
      <c r="Z218" t="s">
        <v>14</v>
      </c>
      <c r="AA218" t="s">
        <v>612</v>
      </c>
      <c r="AB218" t="s">
        <v>8</v>
      </c>
      <c r="AC218" t="s">
        <v>8</v>
      </c>
      <c r="AD218" t="s">
        <v>8</v>
      </c>
      <c r="AE218" s="2">
        <v>45821</v>
      </c>
      <c r="AF218" s="2">
        <v>45888</v>
      </c>
      <c r="AG218" t="s">
        <v>50</v>
      </c>
    </row>
    <row r="219" spans="1:33" outlineLevel="2" x14ac:dyDescent="0.25">
      <c r="A219" t="s">
        <v>27</v>
      </c>
      <c r="B219" t="s">
        <v>1</v>
      </c>
      <c r="C219" t="s">
        <v>2</v>
      </c>
      <c r="D219" t="s">
        <v>3</v>
      </c>
      <c r="E219" t="s">
        <v>4</v>
      </c>
      <c r="F219" t="s">
        <v>73</v>
      </c>
      <c r="G219" s="2">
        <v>45797</v>
      </c>
      <c r="H219" t="s">
        <v>613</v>
      </c>
      <c r="I219" t="s">
        <v>75</v>
      </c>
      <c r="J219" s="2">
        <v>45797</v>
      </c>
      <c r="K219" s="2">
        <v>45805</v>
      </c>
      <c r="L219" t="s">
        <v>69</v>
      </c>
      <c r="M219" t="s">
        <v>614</v>
      </c>
      <c r="N219" t="s">
        <v>9</v>
      </c>
      <c r="O219" t="s">
        <v>10</v>
      </c>
      <c r="P219" t="s">
        <v>8</v>
      </c>
      <c r="Q219" t="s">
        <v>65</v>
      </c>
      <c r="R219" t="s">
        <v>26</v>
      </c>
      <c r="S219" s="3">
        <v>97.9</v>
      </c>
      <c r="T219" t="s">
        <v>12</v>
      </c>
      <c r="U219" s="3">
        <v>8417.7999999999993</v>
      </c>
      <c r="V219" t="s">
        <v>77</v>
      </c>
      <c r="W219" t="s">
        <v>13</v>
      </c>
      <c r="X219" t="s">
        <v>8</v>
      </c>
      <c r="Y219" t="s">
        <v>69</v>
      </c>
      <c r="Z219" t="s">
        <v>14</v>
      </c>
      <c r="AA219" t="s">
        <v>615</v>
      </c>
      <c r="AB219" t="s">
        <v>8</v>
      </c>
      <c r="AC219" t="s">
        <v>8</v>
      </c>
      <c r="AD219" t="s">
        <v>8</v>
      </c>
      <c r="AE219" s="2">
        <v>45797</v>
      </c>
      <c r="AF219" s="2"/>
      <c r="AG219" t="s">
        <v>8</v>
      </c>
    </row>
    <row r="220" spans="1:33" outlineLevel="2" x14ac:dyDescent="0.25">
      <c r="A220" t="s">
        <v>27</v>
      </c>
      <c r="B220" t="s">
        <v>1</v>
      </c>
      <c r="C220" t="s">
        <v>2</v>
      </c>
      <c r="D220" t="s">
        <v>3</v>
      </c>
      <c r="E220" t="s">
        <v>4</v>
      </c>
      <c r="F220" t="s">
        <v>73</v>
      </c>
      <c r="G220" s="2">
        <v>45797</v>
      </c>
      <c r="H220" t="s">
        <v>616</v>
      </c>
      <c r="I220" t="s">
        <v>75</v>
      </c>
      <c r="J220" s="2">
        <v>45797</v>
      </c>
      <c r="K220" s="2">
        <v>45805</v>
      </c>
      <c r="L220" t="s">
        <v>69</v>
      </c>
      <c r="M220" t="s">
        <v>617</v>
      </c>
      <c r="N220" t="s">
        <v>9</v>
      </c>
      <c r="O220" t="s">
        <v>10</v>
      </c>
      <c r="P220" t="s">
        <v>8</v>
      </c>
      <c r="Q220" t="s">
        <v>65</v>
      </c>
      <c r="R220" t="s">
        <v>26</v>
      </c>
      <c r="S220" s="3">
        <v>260.79000000000002</v>
      </c>
      <c r="T220" t="s">
        <v>12</v>
      </c>
      <c r="U220" s="3">
        <v>22423.69</v>
      </c>
      <c r="V220" t="s">
        <v>77</v>
      </c>
      <c r="W220" t="s">
        <v>13</v>
      </c>
      <c r="X220" t="s">
        <v>8</v>
      </c>
      <c r="Y220" t="s">
        <v>69</v>
      </c>
      <c r="Z220" t="s">
        <v>14</v>
      </c>
      <c r="AA220" t="s">
        <v>618</v>
      </c>
      <c r="AB220" t="s">
        <v>8</v>
      </c>
      <c r="AC220" t="s">
        <v>8</v>
      </c>
      <c r="AD220" t="s">
        <v>8</v>
      </c>
      <c r="AE220" s="2">
        <v>45797</v>
      </c>
      <c r="AF220" s="2"/>
      <c r="AG220" t="s">
        <v>8</v>
      </c>
    </row>
    <row r="221" spans="1:33" outlineLevel="2" x14ac:dyDescent="0.25">
      <c r="A221" t="s">
        <v>27</v>
      </c>
      <c r="B221" t="s">
        <v>1</v>
      </c>
      <c r="C221" t="s">
        <v>2</v>
      </c>
      <c r="D221" t="s">
        <v>3</v>
      </c>
      <c r="E221" t="s">
        <v>4</v>
      </c>
      <c r="F221" t="s">
        <v>23</v>
      </c>
      <c r="G221" s="2">
        <v>45873</v>
      </c>
      <c r="H221" t="s">
        <v>619</v>
      </c>
      <c r="I221" t="s">
        <v>75</v>
      </c>
      <c r="J221" s="2">
        <v>45873</v>
      </c>
      <c r="K221" s="2">
        <v>45873</v>
      </c>
      <c r="L221" t="s">
        <v>69</v>
      </c>
      <c r="M221" t="s">
        <v>620</v>
      </c>
      <c r="N221" t="s">
        <v>9</v>
      </c>
      <c r="O221" t="s">
        <v>10</v>
      </c>
      <c r="P221" t="s">
        <v>8</v>
      </c>
      <c r="Q221" t="s">
        <v>65</v>
      </c>
      <c r="R221" t="s">
        <v>26</v>
      </c>
      <c r="S221" s="3">
        <v>2006</v>
      </c>
      <c r="T221" t="s">
        <v>12</v>
      </c>
      <c r="U221" s="3">
        <v>172517.34</v>
      </c>
      <c r="V221" t="s">
        <v>621</v>
      </c>
      <c r="W221" t="s">
        <v>13</v>
      </c>
      <c r="X221" t="s">
        <v>8</v>
      </c>
      <c r="Y221" t="s">
        <v>69</v>
      </c>
      <c r="Z221" t="s">
        <v>14</v>
      </c>
      <c r="AA221" t="s">
        <v>622</v>
      </c>
      <c r="AB221" t="s">
        <v>8</v>
      </c>
      <c r="AC221" t="s">
        <v>8</v>
      </c>
      <c r="AD221" t="s">
        <v>8</v>
      </c>
      <c r="AE221" s="2">
        <v>45873</v>
      </c>
      <c r="AF221" s="2"/>
      <c r="AG221" t="s">
        <v>8</v>
      </c>
    </row>
    <row r="222" spans="1:33" outlineLevel="2" x14ac:dyDescent="0.25">
      <c r="A222" t="s">
        <v>27</v>
      </c>
      <c r="B222" t="s">
        <v>1</v>
      </c>
      <c r="C222" t="s">
        <v>2</v>
      </c>
      <c r="D222" t="s">
        <v>3</v>
      </c>
      <c r="E222" t="s">
        <v>4</v>
      </c>
      <c r="F222" t="s">
        <v>23</v>
      </c>
      <c r="G222" s="2">
        <v>45873</v>
      </c>
      <c r="H222" t="s">
        <v>623</v>
      </c>
      <c r="I222" t="s">
        <v>75</v>
      </c>
      <c r="J222" s="2">
        <v>45873</v>
      </c>
      <c r="K222" s="2">
        <v>45873</v>
      </c>
      <c r="L222" t="s">
        <v>69</v>
      </c>
      <c r="M222" t="s">
        <v>624</v>
      </c>
      <c r="N222" t="s">
        <v>9</v>
      </c>
      <c r="O222" t="s">
        <v>10</v>
      </c>
      <c r="P222" t="s">
        <v>8</v>
      </c>
      <c r="Q222" t="s">
        <v>65</v>
      </c>
      <c r="R222" t="s">
        <v>26</v>
      </c>
      <c r="S222" s="3">
        <v>2065</v>
      </c>
      <c r="T222" t="s">
        <v>12</v>
      </c>
      <c r="U222" s="3">
        <v>177591.38</v>
      </c>
      <c r="V222" t="s">
        <v>621</v>
      </c>
      <c r="W222" t="s">
        <v>13</v>
      </c>
      <c r="X222" t="s">
        <v>8</v>
      </c>
      <c r="Y222" t="s">
        <v>69</v>
      </c>
      <c r="Z222" t="s">
        <v>14</v>
      </c>
      <c r="AA222" t="s">
        <v>625</v>
      </c>
      <c r="AB222" t="s">
        <v>8</v>
      </c>
      <c r="AC222" t="s">
        <v>8</v>
      </c>
      <c r="AD222" t="s">
        <v>8</v>
      </c>
      <c r="AE222" s="2">
        <v>45873</v>
      </c>
      <c r="AF222" s="2"/>
      <c r="AG222" t="s">
        <v>8</v>
      </c>
    </row>
    <row r="223" spans="1:33" outlineLevel="2" x14ac:dyDescent="0.25">
      <c r="A223" t="s">
        <v>27</v>
      </c>
      <c r="B223" t="s">
        <v>1</v>
      </c>
      <c r="C223" t="s">
        <v>2</v>
      </c>
      <c r="D223" t="s">
        <v>3</v>
      </c>
      <c r="E223" t="s">
        <v>4</v>
      </c>
      <c r="F223" t="s">
        <v>23</v>
      </c>
      <c r="G223" s="2">
        <v>45873</v>
      </c>
      <c r="H223" t="s">
        <v>626</v>
      </c>
      <c r="I223" t="s">
        <v>75</v>
      </c>
      <c r="J223" s="2">
        <v>45873</v>
      </c>
      <c r="K223" s="2">
        <v>45873</v>
      </c>
      <c r="L223" t="s">
        <v>69</v>
      </c>
      <c r="M223" t="s">
        <v>627</v>
      </c>
      <c r="N223" t="s">
        <v>9</v>
      </c>
      <c r="O223" t="s">
        <v>10</v>
      </c>
      <c r="P223" t="s">
        <v>8</v>
      </c>
      <c r="Q223" t="s">
        <v>65</v>
      </c>
      <c r="R223" t="s">
        <v>26</v>
      </c>
      <c r="S223" s="3">
        <v>2006</v>
      </c>
      <c r="T223" t="s">
        <v>12</v>
      </c>
      <c r="U223" s="3">
        <v>172517.34</v>
      </c>
      <c r="V223" t="s">
        <v>621</v>
      </c>
      <c r="W223" t="s">
        <v>13</v>
      </c>
      <c r="X223" t="s">
        <v>8</v>
      </c>
      <c r="Y223" t="s">
        <v>69</v>
      </c>
      <c r="Z223" t="s">
        <v>14</v>
      </c>
      <c r="AA223" t="s">
        <v>628</v>
      </c>
      <c r="AB223" t="s">
        <v>8</v>
      </c>
      <c r="AC223" t="s">
        <v>8</v>
      </c>
      <c r="AD223" t="s">
        <v>8</v>
      </c>
      <c r="AE223" s="2">
        <v>45873</v>
      </c>
      <c r="AF223" s="2"/>
      <c r="AG223" t="s">
        <v>8</v>
      </c>
    </row>
    <row r="224" spans="1:33" outlineLevel="2" x14ac:dyDescent="0.25">
      <c r="A224" t="s">
        <v>27</v>
      </c>
      <c r="B224" t="s">
        <v>1</v>
      </c>
      <c r="C224" t="s">
        <v>2</v>
      </c>
      <c r="D224" t="s">
        <v>3</v>
      </c>
      <c r="E224" t="s">
        <v>4</v>
      </c>
      <c r="F224" t="s">
        <v>23</v>
      </c>
      <c r="G224" s="2">
        <v>45873</v>
      </c>
      <c r="H224" t="s">
        <v>629</v>
      </c>
      <c r="I224" t="s">
        <v>75</v>
      </c>
      <c r="J224" s="2">
        <v>45873</v>
      </c>
      <c r="K224" s="2">
        <v>45873</v>
      </c>
      <c r="L224" t="s">
        <v>69</v>
      </c>
      <c r="M224" t="s">
        <v>630</v>
      </c>
      <c r="N224" t="s">
        <v>9</v>
      </c>
      <c r="O224" t="s">
        <v>10</v>
      </c>
      <c r="P224" t="s">
        <v>8</v>
      </c>
      <c r="Q224" t="s">
        <v>65</v>
      </c>
      <c r="R224" t="s">
        <v>26</v>
      </c>
      <c r="S224" s="3">
        <v>2065</v>
      </c>
      <c r="T224" t="s">
        <v>12</v>
      </c>
      <c r="U224" s="3">
        <v>177591.38</v>
      </c>
      <c r="V224" t="s">
        <v>621</v>
      </c>
      <c r="W224" t="s">
        <v>13</v>
      </c>
      <c r="X224" t="s">
        <v>8</v>
      </c>
      <c r="Y224" t="s">
        <v>69</v>
      </c>
      <c r="Z224" t="s">
        <v>14</v>
      </c>
      <c r="AA224" t="s">
        <v>631</v>
      </c>
      <c r="AB224" t="s">
        <v>8</v>
      </c>
      <c r="AC224" t="s">
        <v>8</v>
      </c>
      <c r="AD224" t="s">
        <v>8</v>
      </c>
      <c r="AE224" s="2">
        <v>45873</v>
      </c>
      <c r="AF224" s="2"/>
      <c r="AG224" t="s">
        <v>8</v>
      </c>
    </row>
    <row r="225" spans="1:33" outlineLevel="2" x14ac:dyDescent="0.25">
      <c r="A225" t="s">
        <v>27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s="2">
        <v>45750</v>
      </c>
      <c r="H225" t="s">
        <v>632</v>
      </c>
      <c r="I225" t="s">
        <v>75</v>
      </c>
      <c r="J225" s="2">
        <v>45750</v>
      </c>
      <c r="K225" s="2">
        <v>45752</v>
      </c>
      <c r="L225" t="s">
        <v>69</v>
      </c>
      <c r="M225" t="s">
        <v>633</v>
      </c>
      <c r="N225" t="s">
        <v>9</v>
      </c>
      <c r="O225" t="s">
        <v>10</v>
      </c>
      <c r="P225" t="s">
        <v>8</v>
      </c>
      <c r="Q225" t="s">
        <v>65</v>
      </c>
      <c r="R225" t="s">
        <v>26</v>
      </c>
      <c r="S225" s="3">
        <v>9.85</v>
      </c>
      <c r="T225" t="s">
        <v>12</v>
      </c>
      <c r="U225" s="3">
        <v>856.18</v>
      </c>
      <c r="V225" t="s">
        <v>77</v>
      </c>
      <c r="W225" t="s">
        <v>8</v>
      </c>
      <c r="X225" t="s">
        <v>8</v>
      </c>
      <c r="Y225" t="s">
        <v>69</v>
      </c>
      <c r="Z225" t="s">
        <v>14</v>
      </c>
      <c r="AA225" t="s">
        <v>634</v>
      </c>
      <c r="AB225" t="s">
        <v>8</v>
      </c>
      <c r="AC225" t="s">
        <v>8</v>
      </c>
      <c r="AD225" t="s">
        <v>8</v>
      </c>
      <c r="AE225" s="2">
        <v>45750</v>
      </c>
      <c r="AF225" s="2"/>
      <c r="AG225" t="s">
        <v>8</v>
      </c>
    </row>
    <row r="226" spans="1:33" outlineLevel="2" x14ac:dyDescent="0.25">
      <c r="A226" t="s">
        <v>27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s="2">
        <v>45750</v>
      </c>
      <c r="H226" t="s">
        <v>635</v>
      </c>
      <c r="I226" t="s">
        <v>75</v>
      </c>
      <c r="J226" s="2">
        <v>45750</v>
      </c>
      <c r="K226" s="2">
        <v>45752</v>
      </c>
      <c r="L226" t="s">
        <v>69</v>
      </c>
      <c r="M226" t="s">
        <v>636</v>
      </c>
      <c r="N226" t="s">
        <v>9</v>
      </c>
      <c r="O226" t="s">
        <v>10</v>
      </c>
      <c r="P226" t="s">
        <v>8</v>
      </c>
      <c r="Q226" t="s">
        <v>65</v>
      </c>
      <c r="R226" t="s">
        <v>26</v>
      </c>
      <c r="S226" s="3">
        <v>408.31</v>
      </c>
      <c r="T226" t="s">
        <v>12</v>
      </c>
      <c r="U226" s="3">
        <v>35491.050000000003</v>
      </c>
      <c r="V226" t="s">
        <v>77</v>
      </c>
      <c r="W226" t="s">
        <v>8</v>
      </c>
      <c r="X226" t="s">
        <v>8</v>
      </c>
      <c r="Y226" t="s">
        <v>69</v>
      </c>
      <c r="Z226" t="s">
        <v>14</v>
      </c>
      <c r="AA226" t="s">
        <v>578</v>
      </c>
      <c r="AB226" t="s">
        <v>8</v>
      </c>
      <c r="AC226" t="s">
        <v>8</v>
      </c>
      <c r="AD226" t="s">
        <v>8</v>
      </c>
      <c r="AE226" s="2">
        <v>45750</v>
      </c>
      <c r="AF226" s="2"/>
      <c r="AG226" t="s">
        <v>8</v>
      </c>
    </row>
    <row r="227" spans="1:33" outlineLevel="2" x14ac:dyDescent="0.25">
      <c r="A227" t="s">
        <v>27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s="2">
        <v>45750</v>
      </c>
      <c r="H227" t="s">
        <v>637</v>
      </c>
      <c r="I227" t="s">
        <v>75</v>
      </c>
      <c r="J227" s="2">
        <v>45750</v>
      </c>
      <c r="K227" s="2">
        <v>45752</v>
      </c>
      <c r="L227" t="s">
        <v>69</v>
      </c>
      <c r="M227" t="s">
        <v>638</v>
      </c>
      <c r="N227" t="s">
        <v>9</v>
      </c>
      <c r="O227" t="s">
        <v>10</v>
      </c>
      <c r="P227" t="s">
        <v>8</v>
      </c>
      <c r="Q227" t="s">
        <v>65</v>
      </c>
      <c r="R227" t="s">
        <v>26</v>
      </c>
      <c r="S227" s="3">
        <v>400.09</v>
      </c>
      <c r="T227" t="s">
        <v>12</v>
      </c>
      <c r="U227" s="3">
        <v>34776.550000000003</v>
      </c>
      <c r="V227" t="s">
        <v>77</v>
      </c>
      <c r="W227" t="s">
        <v>8</v>
      </c>
      <c r="X227" t="s">
        <v>8</v>
      </c>
      <c r="Y227" t="s">
        <v>69</v>
      </c>
      <c r="Z227" t="s">
        <v>14</v>
      </c>
      <c r="AA227" t="s">
        <v>584</v>
      </c>
      <c r="AB227" t="s">
        <v>8</v>
      </c>
      <c r="AC227" t="s">
        <v>8</v>
      </c>
      <c r="AD227" t="s">
        <v>8</v>
      </c>
      <c r="AE227" s="2">
        <v>45750</v>
      </c>
      <c r="AF227" s="2"/>
      <c r="AG227" t="s">
        <v>8</v>
      </c>
    </row>
    <row r="228" spans="1:33" outlineLevel="2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45750</v>
      </c>
      <c r="H228" t="s">
        <v>639</v>
      </c>
      <c r="I228" t="s">
        <v>75</v>
      </c>
      <c r="J228" s="2">
        <v>45750</v>
      </c>
      <c r="K228" s="2">
        <v>45752</v>
      </c>
      <c r="L228" t="s">
        <v>69</v>
      </c>
      <c r="M228" t="s">
        <v>640</v>
      </c>
      <c r="N228" t="s">
        <v>9</v>
      </c>
      <c r="O228" t="s">
        <v>10</v>
      </c>
      <c r="P228" t="s">
        <v>8</v>
      </c>
      <c r="Q228" t="s">
        <v>65</v>
      </c>
      <c r="R228" t="s">
        <v>26</v>
      </c>
      <c r="S228" s="3">
        <v>1166.5899999999999</v>
      </c>
      <c r="T228" t="s">
        <v>12</v>
      </c>
      <c r="U228" s="3">
        <v>101402.13</v>
      </c>
      <c r="V228" t="s">
        <v>77</v>
      </c>
      <c r="W228" t="s">
        <v>8</v>
      </c>
      <c r="X228" t="s">
        <v>8</v>
      </c>
      <c r="Y228" t="s">
        <v>69</v>
      </c>
      <c r="Z228" t="s">
        <v>14</v>
      </c>
      <c r="AA228" t="s">
        <v>575</v>
      </c>
      <c r="AB228" t="s">
        <v>8</v>
      </c>
      <c r="AC228" t="s">
        <v>8</v>
      </c>
      <c r="AD228" t="s">
        <v>8</v>
      </c>
      <c r="AE228" s="2">
        <v>45750</v>
      </c>
      <c r="AF228" s="2">
        <v>45842</v>
      </c>
      <c r="AG228" t="s">
        <v>71</v>
      </c>
    </row>
    <row r="229" spans="1:33" outlineLevel="2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s="2">
        <v>45750</v>
      </c>
      <c r="H229" t="s">
        <v>641</v>
      </c>
      <c r="I229" t="s">
        <v>75</v>
      </c>
      <c r="J229" s="2">
        <v>45750</v>
      </c>
      <c r="K229" s="2">
        <v>45752</v>
      </c>
      <c r="L229" t="s">
        <v>69</v>
      </c>
      <c r="M229" t="s">
        <v>642</v>
      </c>
      <c r="N229" t="s">
        <v>9</v>
      </c>
      <c r="O229" t="s">
        <v>10</v>
      </c>
      <c r="P229" t="s">
        <v>8</v>
      </c>
      <c r="Q229" t="s">
        <v>65</v>
      </c>
      <c r="R229" t="s">
        <v>26</v>
      </c>
      <c r="S229" s="3">
        <v>1143.1199999999999</v>
      </c>
      <c r="T229" t="s">
        <v>12</v>
      </c>
      <c r="U229" s="3">
        <v>99362.07</v>
      </c>
      <c r="V229" t="s">
        <v>77</v>
      </c>
      <c r="W229" t="s">
        <v>8</v>
      </c>
      <c r="X229" t="s">
        <v>8</v>
      </c>
      <c r="Y229" t="s">
        <v>69</v>
      </c>
      <c r="Z229" t="s">
        <v>14</v>
      </c>
      <c r="AA229" t="s">
        <v>581</v>
      </c>
      <c r="AB229" t="s">
        <v>8</v>
      </c>
      <c r="AC229" t="s">
        <v>8</v>
      </c>
      <c r="AD229" t="s">
        <v>8</v>
      </c>
      <c r="AE229" s="2">
        <v>45750</v>
      </c>
      <c r="AF229" s="2">
        <v>45842</v>
      </c>
      <c r="AG229" t="s">
        <v>72</v>
      </c>
    </row>
    <row r="230" spans="1:33" outlineLevel="2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s="2">
        <v>45750</v>
      </c>
      <c r="H230" t="s">
        <v>643</v>
      </c>
      <c r="I230" t="s">
        <v>75</v>
      </c>
      <c r="J230" s="2">
        <v>45750</v>
      </c>
      <c r="K230" s="2">
        <v>45752</v>
      </c>
      <c r="L230" t="s">
        <v>69</v>
      </c>
      <c r="M230" t="s">
        <v>644</v>
      </c>
      <c r="N230" t="s">
        <v>9</v>
      </c>
      <c r="O230" t="s">
        <v>10</v>
      </c>
      <c r="P230" t="s">
        <v>8</v>
      </c>
      <c r="Q230" t="s">
        <v>65</v>
      </c>
      <c r="R230" t="s">
        <v>26</v>
      </c>
      <c r="S230" s="3">
        <v>1700</v>
      </c>
      <c r="T230" t="s">
        <v>12</v>
      </c>
      <c r="U230" s="3">
        <v>147767.09</v>
      </c>
      <c r="V230" t="s">
        <v>77</v>
      </c>
      <c r="W230" t="s">
        <v>8</v>
      </c>
      <c r="X230" t="s">
        <v>8</v>
      </c>
      <c r="Y230" t="s">
        <v>69</v>
      </c>
      <c r="Z230" t="s">
        <v>14</v>
      </c>
      <c r="AA230" t="s">
        <v>170</v>
      </c>
      <c r="AB230" t="s">
        <v>8</v>
      </c>
      <c r="AC230" t="s">
        <v>8</v>
      </c>
      <c r="AD230" t="s">
        <v>8</v>
      </c>
      <c r="AE230" s="2">
        <v>45750</v>
      </c>
      <c r="AF230" s="2">
        <v>45902</v>
      </c>
      <c r="AG230" t="s">
        <v>19</v>
      </c>
    </row>
    <row r="231" spans="1:33" outlineLevel="2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s="2">
        <v>45750</v>
      </c>
      <c r="H231" t="s">
        <v>645</v>
      </c>
      <c r="I231" t="s">
        <v>75</v>
      </c>
      <c r="J231" s="2">
        <v>45750</v>
      </c>
      <c r="K231" s="2">
        <v>45752</v>
      </c>
      <c r="L231" t="s">
        <v>69</v>
      </c>
      <c r="M231" t="s">
        <v>646</v>
      </c>
      <c r="N231" t="s">
        <v>9</v>
      </c>
      <c r="O231" t="s">
        <v>10</v>
      </c>
      <c r="P231" t="s">
        <v>8</v>
      </c>
      <c r="Q231" t="s">
        <v>65</v>
      </c>
      <c r="R231" t="s">
        <v>26</v>
      </c>
      <c r="S231" s="3">
        <v>1750</v>
      </c>
      <c r="T231" t="s">
        <v>12</v>
      </c>
      <c r="U231" s="3">
        <v>152113.19</v>
      </c>
      <c r="V231" t="s">
        <v>77</v>
      </c>
      <c r="W231" t="s">
        <v>8</v>
      </c>
      <c r="X231" t="s">
        <v>8</v>
      </c>
      <c r="Y231" t="s">
        <v>69</v>
      </c>
      <c r="Z231" t="s">
        <v>14</v>
      </c>
      <c r="AA231" t="s">
        <v>170</v>
      </c>
      <c r="AB231" t="s">
        <v>8</v>
      </c>
      <c r="AC231" t="s">
        <v>8</v>
      </c>
      <c r="AD231" t="s">
        <v>8</v>
      </c>
      <c r="AE231" s="2">
        <v>45750</v>
      </c>
      <c r="AF231" s="2">
        <v>45902</v>
      </c>
      <c r="AG231" t="s">
        <v>19</v>
      </c>
    </row>
    <row r="232" spans="1:33" outlineLevel="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s="2">
        <v>45750</v>
      </c>
      <c r="H232" t="s">
        <v>647</v>
      </c>
      <c r="I232" t="s">
        <v>75</v>
      </c>
      <c r="J232" s="2">
        <v>45750</v>
      </c>
      <c r="K232" s="2">
        <v>45752</v>
      </c>
      <c r="L232" t="s">
        <v>69</v>
      </c>
      <c r="M232" t="s">
        <v>648</v>
      </c>
      <c r="N232" t="s">
        <v>9</v>
      </c>
      <c r="O232" t="s">
        <v>10</v>
      </c>
      <c r="P232" t="s">
        <v>8</v>
      </c>
      <c r="Q232" t="s">
        <v>65</v>
      </c>
      <c r="R232" t="s">
        <v>26</v>
      </c>
      <c r="S232" s="3">
        <v>1700</v>
      </c>
      <c r="T232" t="s">
        <v>12</v>
      </c>
      <c r="U232" s="3">
        <v>147767.09</v>
      </c>
      <c r="V232" t="s">
        <v>77</v>
      </c>
      <c r="W232" t="s">
        <v>8</v>
      </c>
      <c r="X232" t="s">
        <v>8</v>
      </c>
      <c r="Y232" t="s">
        <v>69</v>
      </c>
      <c r="Z232" t="s">
        <v>14</v>
      </c>
      <c r="AA232" t="s">
        <v>170</v>
      </c>
      <c r="AB232" t="s">
        <v>8</v>
      </c>
      <c r="AC232" t="s">
        <v>8</v>
      </c>
      <c r="AD232" t="s">
        <v>8</v>
      </c>
      <c r="AE232" s="2">
        <v>45750</v>
      </c>
      <c r="AF232" s="2">
        <v>45902</v>
      </c>
      <c r="AG232" t="s">
        <v>19</v>
      </c>
    </row>
    <row r="233" spans="1:33" outlineLevel="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s="2">
        <v>45750</v>
      </c>
      <c r="H233" t="s">
        <v>649</v>
      </c>
      <c r="I233" t="s">
        <v>75</v>
      </c>
      <c r="J233" s="2">
        <v>45750</v>
      </c>
      <c r="K233" s="2">
        <v>45752</v>
      </c>
      <c r="L233" t="s">
        <v>69</v>
      </c>
      <c r="M233" t="s">
        <v>650</v>
      </c>
      <c r="N233" t="s">
        <v>9</v>
      </c>
      <c r="O233" t="s">
        <v>10</v>
      </c>
      <c r="P233" t="s">
        <v>8</v>
      </c>
      <c r="Q233" t="s">
        <v>65</v>
      </c>
      <c r="R233" t="s">
        <v>26</v>
      </c>
      <c r="S233" s="3">
        <v>1750</v>
      </c>
      <c r="T233" t="s">
        <v>12</v>
      </c>
      <c r="U233" s="3">
        <v>152113.19</v>
      </c>
      <c r="V233" t="s">
        <v>77</v>
      </c>
      <c r="W233" t="s">
        <v>8</v>
      </c>
      <c r="X233" t="s">
        <v>8</v>
      </c>
      <c r="Y233" t="s">
        <v>69</v>
      </c>
      <c r="Z233" t="s">
        <v>14</v>
      </c>
      <c r="AA233" t="s">
        <v>170</v>
      </c>
      <c r="AB233" t="s">
        <v>8</v>
      </c>
      <c r="AC233" t="s">
        <v>8</v>
      </c>
      <c r="AD233" t="s">
        <v>8</v>
      </c>
      <c r="AE233" s="2">
        <v>45750</v>
      </c>
      <c r="AF233" s="2">
        <v>45902</v>
      </c>
      <c r="AG233" t="s">
        <v>19</v>
      </c>
    </row>
    <row r="234" spans="1:33" outlineLevel="2" x14ac:dyDescent="0.25">
      <c r="A234" t="s">
        <v>27</v>
      </c>
      <c r="B234" t="s">
        <v>1</v>
      </c>
      <c r="C234" t="s">
        <v>2</v>
      </c>
      <c r="D234" t="s">
        <v>3</v>
      </c>
      <c r="E234" t="s">
        <v>4</v>
      </c>
      <c r="F234" t="s">
        <v>28</v>
      </c>
      <c r="G234" s="2">
        <v>45950</v>
      </c>
      <c r="H234" t="s">
        <v>651</v>
      </c>
      <c r="I234" t="s">
        <v>75</v>
      </c>
      <c r="J234" s="2">
        <v>45950</v>
      </c>
      <c r="K234" s="2">
        <v>45951</v>
      </c>
      <c r="L234" t="s">
        <v>69</v>
      </c>
      <c r="M234" t="s">
        <v>652</v>
      </c>
      <c r="N234" t="s">
        <v>9</v>
      </c>
      <c r="O234" t="s">
        <v>10</v>
      </c>
      <c r="P234" t="s">
        <v>8</v>
      </c>
      <c r="Q234" t="s">
        <v>65</v>
      </c>
      <c r="R234" t="s">
        <v>26</v>
      </c>
      <c r="S234" s="3">
        <v>850</v>
      </c>
      <c r="T234" t="s">
        <v>12</v>
      </c>
      <c r="U234" s="3">
        <v>74962.149999999994</v>
      </c>
      <c r="V234" t="s">
        <v>77</v>
      </c>
      <c r="W234" t="s">
        <v>13</v>
      </c>
      <c r="X234" t="s">
        <v>8</v>
      </c>
      <c r="Y234" t="s">
        <v>653</v>
      </c>
      <c r="Z234" t="s">
        <v>14</v>
      </c>
      <c r="AA234" t="s">
        <v>654</v>
      </c>
      <c r="AB234" t="s">
        <v>8</v>
      </c>
      <c r="AC234" t="s">
        <v>8</v>
      </c>
      <c r="AD234" t="s">
        <v>8</v>
      </c>
      <c r="AE234" s="2">
        <v>45950</v>
      </c>
      <c r="AF234" s="2"/>
      <c r="AG234" t="s">
        <v>8</v>
      </c>
    </row>
    <row r="235" spans="1:33" outlineLevel="2" x14ac:dyDescent="0.25">
      <c r="A235" t="s">
        <v>27</v>
      </c>
      <c r="B235" t="s">
        <v>1</v>
      </c>
      <c r="C235" t="s">
        <v>2</v>
      </c>
      <c r="D235" t="s">
        <v>3</v>
      </c>
      <c r="E235" t="s">
        <v>4</v>
      </c>
      <c r="F235" t="s">
        <v>28</v>
      </c>
      <c r="G235" s="2">
        <v>45950</v>
      </c>
      <c r="H235" t="s">
        <v>655</v>
      </c>
      <c r="I235" t="s">
        <v>75</v>
      </c>
      <c r="J235" s="2">
        <v>45950</v>
      </c>
      <c r="K235" s="2">
        <v>45951</v>
      </c>
      <c r="L235" t="s">
        <v>69</v>
      </c>
      <c r="M235" t="s">
        <v>656</v>
      </c>
      <c r="N235" t="s">
        <v>9</v>
      </c>
      <c r="O235" t="s">
        <v>10</v>
      </c>
      <c r="P235" t="s">
        <v>8</v>
      </c>
      <c r="Q235" t="s">
        <v>65</v>
      </c>
      <c r="R235" t="s">
        <v>26</v>
      </c>
      <c r="S235" s="3">
        <v>35</v>
      </c>
      <c r="T235" t="s">
        <v>12</v>
      </c>
      <c r="U235" s="3">
        <v>3086.68</v>
      </c>
      <c r="V235" t="s">
        <v>77</v>
      </c>
      <c r="W235" t="s">
        <v>13</v>
      </c>
      <c r="X235" t="s">
        <v>8</v>
      </c>
      <c r="Y235" t="s">
        <v>657</v>
      </c>
      <c r="Z235" t="s">
        <v>14</v>
      </c>
      <c r="AA235" t="s">
        <v>658</v>
      </c>
      <c r="AB235" t="s">
        <v>8</v>
      </c>
      <c r="AC235" t="s">
        <v>8</v>
      </c>
      <c r="AD235" t="s">
        <v>8</v>
      </c>
      <c r="AE235" s="2">
        <v>45950</v>
      </c>
      <c r="AF235" s="2"/>
      <c r="AG235" t="s">
        <v>8</v>
      </c>
    </row>
    <row r="236" spans="1:33" outlineLevel="2" x14ac:dyDescent="0.25">
      <c r="A236" t="s">
        <v>27</v>
      </c>
      <c r="B236" t="s">
        <v>1</v>
      </c>
      <c r="C236" t="s">
        <v>2</v>
      </c>
      <c r="D236" t="s">
        <v>3</v>
      </c>
      <c r="E236" t="s">
        <v>4</v>
      </c>
      <c r="F236" t="s">
        <v>28</v>
      </c>
      <c r="G236" s="2">
        <v>45950</v>
      </c>
      <c r="H236" t="s">
        <v>659</v>
      </c>
      <c r="I236" t="s">
        <v>75</v>
      </c>
      <c r="J236" s="2">
        <v>45950</v>
      </c>
      <c r="K236" s="2">
        <v>45951</v>
      </c>
      <c r="L236" t="s">
        <v>69</v>
      </c>
      <c r="M236" t="s">
        <v>660</v>
      </c>
      <c r="N236" t="s">
        <v>9</v>
      </c>
      <c r="O236" t="s">
        <v>10</v>
      </c>
      <c r="P236" t="s">
        <v>8</v>
      </c>
      <c r="Q236" t="s">
        <v>65</v>
      </c>
      <c r="R236" t="s">
        <v>26</v>
      </c>
      <c r="S236" s="3">
        <v>293.89</v>
      </c>
      <c r="T236" t="s">
        <v>12</v>
      </c>
      <c r="U236" s="3">
        <v>25918.39</v>
      </c>
      <c r="V236" t="s">
        <v>77</v>
      </c>
      <c r="W236" t="s">
        <v>13</v>
      </c>
      <c r="X236" t="s">
        <v>8</v>
      </c>
      <c r="Y236" t="s">
        <v>661</v>
      </c>
      <c r="Z236" t="s">
        <v>14</v>
      </c>
      <c r="AA236" t="s">
        <v>662</v>
      </c>
      <c r="AB236" t="s">
        <v>8</v>
      </c>
      <c r="AC236" t="s">
        <v>8</v>
      </c>
      <c r="AD236" t="s">
        <v>8</v>
      </c>
      <c r="AE236" s="2">
        <v>45950</v>
      </c>
      <c r="AF236" s="2"/>
      <c r="AG236" t="s">
        <v>8</v>
      </c>
    </row>
    <row r="237" spans="1:33" outlineLevel="2" x14ac:dyDescent="0.25">
      <c r="A237" t="s">
        <v>27</v>
      </c>
      <c r="B237" t="s">
        <v>1</v>
      </c>
      <c r="C237" t="s">
        <v>2</v>
      </c>
      <c r="D237" t="s">
        <v>3</v>
      </c>
      <c r="E237" t="s">
        <v>4</v>
      </c>
      <c r="F237" t="s">
        <v>28</v>
      </c>
      <c r="G237" s="2">
        <v>45950</v>
      </c>
      <c r="H237" t="s">
        <v>663</v>
      </c>
      <c r="I237" t="s">
        <v>75</v>
      </c>
      <c r="J237" s="2">
        <v>45950</v>
      </c>
      <c r="K237" s="2">
        <v>45951</v>
      </c>
      <c r="L237" t="s">
        <v>69</v>
      </c>
      <c r="M237" t="s">
        <v>664</v>
      </c>
      <c r="N237" t="s">
        <v>9</v>
      </c>
      <c r="O237" t="s">
        <v>10</v>
      </c>
      <c r="P237" t="s">
        <v>8</v>
      </c>
      <c r="Q237" t="s">
        <v>65</v>
      </c>
      <c r="R237" t="s">
        <v>26</v>
      </c>
      <c r="S237" s="3">
        <v>9.83</v>
      </c>
      <c r="T237" t="s">
        <v>12</v>
      </c>
      <c r="U237" s="3">
        <v>866.92</v>
      </c>
      <c r="V237" t="s">
        <v>77</v>
      </c>
      <c r="W237" t="s">
        <v>13</v>
      </c>
      <c r="X237" t="s">
        <v>8</v>
      </c>
      <c r="Y237" t="s">
        <v>665</v>
      </c>
      <c r="Z237" t="s">
        <v>14</v>
      </c>
      <c r="AA237" t="s">
        <v>666</v>
      </c>
      <c r="AB237" t="s">
        <v>8</v>
      </c>
      <c r="AC237" t="s">
        <v>8</v>
      </c>
      <c r="AD237" t="s">
        <v>8</v>
      </c>
      <c r="AE237" s="2">
        <v>45950</v>
      </c>
      <c r="AF237" s="2"/>
      <c r="AG237" t="s">
        <v>8</v>
      </c>
    </row>
    <row r="238" spans="1:33" outlineLevel="2" x14ac:dyDescent="0.25">
      <c r="A238" t="s">
        <v>27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s="2">
        <v>45768</v>
      </c>
      <c r="H238" t="s">
        <v>667</v>
      </c>
      <c r="I238" t="s">
        <v>75</v>
      </c>
      <c r="J238" s="2">
        <v>45768</v>
      </c>
      <c r="K238" s="2">
        <v>45769</v>
      </c>
      <c r="L238" t="s">
        <v>69</v>
      </c>
      <c r="M238" t="s">
        <v>668</v>
      </c>
      <c r="N238" t="s">
        <v>9</v>
      </c>
      <c r="O238" t="s">
        <v>10</v>
      </c>
      <c r="P238" t="s">
        <v>8</v>
      </c>
      <c r="Q238" t="s">
        <v>65</v>
      </c>
      <c r="R238" t="s">
        <v>26</v>
      </c>
      <c r="S238" s="3">
        <v>1165.3699999999999</v>
      </c>
      <c r="T238" t="s">
        <v>12</v>
      </c>
      <c r="U238" s="3">
        <v>100000.4</v>
      </c>
      <c r="V238" t="s">
        <v>77</v>
      </c>
      <c r="W238" t="s">
        <v>13</v>
      </c>
      <c r="X238" t="s">
        <v>8</v>
      </c>
      <c r="Y238" t="s">
        <v>69</v>
      </c>
      <c r="Z238" t="s">
        <v>14</v>
      </c>
      <c r="AA238" t="s">
        <v>669</v>
      </c>
      <c r="AB238" t="s">
        <v>8</v>
      </c>
      <c r="AC238" t="s">
        <v>8</v>
      </c>
      <c r="AD238" t="s">
        <v>8</v>
      </c>
      <c r="AE238" s="2">
        <v>45768</v>
      </c>
      <c r="AF238" s="2"/>
      <c r="AG238" t="s">
        <v>8</v>
      </c>
    </row>
    <row r="239" spans="1:33" outlineLevel="2" x14ac:dyDescent="0.25">
      <c r="A239" t="s">
        <v>27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s="2">
        <v>45768</v>
      </c>
      <c r="H239" t="s">
        <v>670</v>
      </c>
      <c r="I239" t="s">
        <v>75</v>
      </c>
      <c r="J239" s="2">
        <v>45768</v>
      </c>
      <c r="K239" s="2">
        <v>45769</v>
      </c>
      <c r="L239" t="s">
        <v>69</v>
      </c>
      <c r="M239" t="s">
        <v>671</v>
      </c>
      <c r="N239" t="s">
        <v>9</v>
      </c>
      <c r="O239" t="s">
        <v>10</v>
      </c>
      <c r="P239" t="s">
        <v>8</v>
      </c>
      <c r="Q239" t="s">
        <v>65</v>
      </c>
      <c r="R239" t="s">
        <v>26</v>
      </c>
      <c r="S239" s="3">
        <v>407.88</v>
      </c>
      <c r="T239" t="s">
        <v>12</v>
      </c>
      <c r="U239" s="3">
        <v>35000.18</v>
      </c>
      <c r="V239" t="s">
        <v>77</v>
      </c>
      <c r="W239" t="s">
        <v>13</v>
      </c>
      <c r="X239" t="s">
        <v>8</v>
      </c>
      <c r="Y239" t="s">
        <v>69</v>
      </c>
      <c r="Z239" t="s">
        <v>14</v>
      </c>
      <c r="AA239" t="s">
        <v>669</v>
      </c>
      <c r="AB239" t="s">
        <v>8</v>
      </c>
      <c r="AC239" t="s">
        <v>8</v>
      </c>
      <c r="AD239" t="s">
        <v>8</v>
      </c>
      <c r="AE239" s="2">
        <v>45768</v>
      </c>
      <c r="AF239" s="2"/>
      <c r="AG239" t="s">
        <v>8</v>
      </c>
    </row>
    <row r="240" spans="1:33" outlineLevel="2" x14ac:dyDescent="0.25">
      <c r="A240" t="s">
        <v>27</v>
      </c>
      <c r="B240" t="s">
        <v>1</v>
      </c>
      <c r="C240" t="s">
        <v>2</v>
      </c>
      <c r="D240" t="s">
        <v>3</v>
      </c>
      <c r="E240" t="s">
        <v>4</v>
      </c>
      <c r="F240" t="s">
        <v>36</v>
      </c>
      <c r="G240" s="2">
        <v>45862</v>
      </c>
      <c r="H240" t="s">
        <v>672</v>
      </c>
      <c r="I240" t="s">
        <v>118</v>
      </c>
      <c r="J240" s="2">
        <v>45862</v>
      </c>
      <c r="K240" s="2">
        <v>45862</v>
      </c>
      <c r="L240" t="s">
        <v>69</v>
      </c>
      <c r="M240" t="s">
        <v>673</v>
      </c>
      <c r="N240" t="s">
        <v>9</v>
      </c>
      <c r="O240" t="s">
        <v>10</v>
      </c>
      <c r="P240" t="s">
        <v>8</v>
      </c>
      <c r="Q240" t="s">
        <v>54</v>
      </c>
      <c r="R240" t="s">
        <v>26</v>
      </c>
      <c r="S240" s="3">
        <v>-1700</v>
      </c>
      <c r="T240" t="s">
        <v>12</v>
      </c>
      <c r="U240" s="3">
        <v>-146201.14000000001</v>
      </c>
      <c r="V240" t="s">
        <v>77</v>
      </c>
      <c r="W240" t="s">
        <v>13</v>
      </c>
      <c r="X240" t="s">
        <v>8</v>
      </c>
      <c r="Y240" t="s">
        <v>69</v>
      </c>
      <c r="Z240" t="s">
        <v>14</v>
      </c>
      <c r="AA240" t="s">
        <v>674</v>
      </c>
      <c r="AB240" t="s">
        <v>8</v>
      </c>
      <c r="AC240" t="s">
        <v>8</v>
      </c>
      <c r="AD240" t="s">
        <v>8</v>
      </c>
      <c r="AE240" s="2">
        <v>45862</v>
      </c>
      <c r="AF240" s="2"/>
      <c r="AG240" t="s">
        <v>8</v>
      </c>
    </row>
    <row r="241" spans="1:33" outlineLevel="2" x14ac:dyDescent="0.25">
      <c r="A241" t="s">
        <v>27</v>
      </c>
      <c r="B241" t="s">
        <v>1</v>
      </c>
      <c r="C241" t="s">
        <v>2</v>
      </c>
      <c r="D241" t="s">
        <v>3</v>
      </c>
      <c r="E241" t="s">
        <v>4</v>
      </c>
      <c r="F241" t="s">
        <v>36</v>
      </c>
      <c r="G241" s="2">
        <v>45862</v>
      </c>
      <c r="H241" t="s">
        <v>675</v>
      </c>
      <c r="I241" t="s">
        <v>118</v>
      </c>
      <c r="J241" s="2">
        <v>45862</v>
      </c>
      <c r="K241" s="2">
        <v>45862</v>
      </c>
      <c r="L241" t="s">
        <v>69</v>
      </c>
      <c r="M241" t="s">
        <v>676</v>
      </c>
      <c r="N241" t="s">
        <v>9</v>
      </c>
      <c r="O241" t="s">
        <v>10</v>
      </c>
      <c r="P241" t="s">
        <v>8</v>
      </c>
      <c r="Q241" t="s">
        <v>54</v>
      </c>
      <c r="R241" t="s">
        <v>26</v>
      </c>
      <c r="S241" s="3">
        <v>-1750</v>
      </c>
      <c r="T241" t="s">
        <v>12</v>
      </c>
      <c r="U241" s="3">
        <v>-150501.17000000001</v>
      </c>
      <c r="V241" t="s">
        <v>77</v>
      </c>
      <c r="W241" t="s">
        <v>13</v>
      </c>
      <c r="X241" t="s">
        <v>8</v>
      </c>
      <c r="Y241" t="s">
        <v>69</v>
      </c>
      <c r="Z241" t="s">
        <v>14</v>
      </c>
      <c r="AA241" t="s">
        <v>677</v>
      </c>
      <c r="AB241" t="s">
        <v>8</v>
      </c>
      <c r="AC241" t="s">
        <v>8</v>
      </c>
      <c r="AD241" t="s">
        <v>8</v>
      </c>
      <c r="AE241" s="2">
        <v>45862</v>
      </c>
      <c r="AF241" s="2"/>
      <c r="AG241" t="s">
        <v>8</v>
      </c>
    </row>
    <row r="242" spans="1:33" outlineLevel="2" x14ac:dyDescent="0.25">
      <c r="A242" t="s">
        <v>27</v>
      </c>
      <c r="B242" t="s">
        <v>1</v>
      </c>
      <c r="C242" t="s">
        <v>2</v>
      </c>
      <c r="D242" t="s">
        <v>3</v>
      </c>
      <c r="E242" t="s">
        <v>4</v>
      </c>
      <c r="F242" t="s">
        <v>36</v>
      </c>
      <c r="G242" s="2">
        <v>45862</v>
      </c>
      <c r="H242" t="s">
        <v>678</v>
      </c>
      <c r="I242" t="s">
        <v>118</v>
      </c>
      <c r="J242" s="2">
        <v>45862</v>
      </c>
      <c r="K242" s="2">
        <v>45862</v>
      </c>
      <c r="L242" t="s">
        <v>69</v>
      </c>
      <c r="M242" t="s">
        <v>679</v>
      </c>
      <c r="N242" t="s">
        <v>9</v>
      </c>
      <c r="O242" t="s">
        <v>10</v>
      </c>
      <c r="P242" t="s">
        <v>8</v>
      </c>
      <c r="Q242" t="s">
        <v>54</v>
      </c>
      <c r="R242" t="s">
        <v>26</v>
      </c>
      <c r="S242" s="3">
        <v>-1700</v>
      </c>
      <c r="T242" t="s">
        <v>12</v>
      </c>
      <c r="U242" s="3">
        <v>-146201.14000000001</v>
      </c>
      <c r="V242" t="s">
        <v>77</v>
      </c>
      <c r="W242" t="s">
        <v>13</v>
      </c>
      <c r="X242" t="s">
        <v>8</v>
      </c>
      <c r="Y242" t="s">
        <v>69</v>
      </c>
      <c r="Z242" t="s">
        <v>14</v>
      </c>
      <c r="AA242" t="s">
        <v>680</v>
      </c>
      <c r="AB242" t="s">
        <v>8</v>
      </c>
      <c r="AC242" t="s">
        <v>8</v>
      </c>
      <c r="AD242" t="s">
        <v>8</v>
      </c>
      <c r="AE242" s="2">
        <v>45862</v>
      </c>
      <c r="AF242" s="2"/>
      <c r="AG242" t="s">
        <v>8</v>
      </c>
    </row>
    <row r="243" spans="1:33" outlineLevel="2" x14ac:dyDescent="0.25">
      <c r="A243" t="s">
        <v>27</v>
      </c>
      <c r="B243" t="s">
        <v>1</v>
      </c>
      <c r="C243" t="s">
        <v>2</v>
      </c>
      <c r="D243" t="s">
        <v>3</v>
      </c>
      <c r="E243" t="s">
        <v>4</v>
      </c>
      <c r="F243" t="s">
        <v>36</v>
      </c>
      <c r="G243" s="2">
        <v>45862</v>
      </c>
      <c r="H243" t="s">
        <v>681</v>
      </c>
      <c r="I243" t="s">
        <v>118</v>
      </c>
      <c r="J243" s="2">
        <v>45862</v>
      </c>
      <c r="K243" s="2">
        <v>45862</v>
      </c>
      <c r="L243" t="s">
        <v>69</v>
      </c>
      <c r="M243" t="s">
        <v>682</v>
      </c>
      <c r="N243" t="s">
        <v>9</v>
      </c>
      <c r="O243" t="s">
        <v>10</v>
      </c>
      <c r="P243" t="s">
        <v>8</v>
      </c>
      <c r="Q243" t="s">
        <v>54</v>
      </c>
      <c r="R243" t="s">
        <v>26</v>
      </c>
      <c r="S243" s="3">
        <v>-1750</v>
      </c>
      <c r="T243" t="s">
        <v>12</v>
      </c>
      <c r="U243" s="3">
        <v>-150501.17000000001</v>
      </c>
      <c r="V243" t="s">
        <v>77</v>
      </c>
      <c r="W243" t="s">
        <v>13</v>
      </c>
      <c r="X243" t="s">
        <v>8</v>
      </c>
      <c r="Y243" t="s">
        <v>69</v>
      </c>
      <c r="Z243" t="s">
        <v>14</v>
      </c>
      <c r="AA243" t="s">
        <v>683</v>
      </c>
      <c r="AB243" t="s">
        <v>8</v>
      </c>
      <c r="AC243" t="s">
        <v>8</v>
      </c>
      <c r="AD243" t="s">
        <v>8</v>
      </c>
      <c r="AE243" s="2">
        <v>45862</v>
      </c>
      <c r="AF243" s="2"/>
      <c r="AG243" t="s">
        <v>8</v>
      </c>
    </row>
    <row r="244" spans="1:33" outlineLevel="2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36</v>
      </c>
      <c r="G244" s="2">
        <v>45862</v>
      </c>
      <c r="H244" t="s">
        <v>684</v>
      </c>
      <c r="I244" t="s">
        <v>118</v>
      </c>
      <c r="J244" s="2">
        <v>45862</v>
      </c>
      <c r="K244" s="2">
        <v>45862</v>
      </c>
      <c r="L244" t="s">
        <v>69</v>
      </c>
      <c r="M244" t="s">
        <v>685</v>
      </c>
      <c r="N244" t="s">
        <v>9</v>
      </c>
      <c r="O244" t="s">
        <v>10</v>
      </c>
      <c r="P244" t="s">
        <v>8</v>
      </c>
      <c r="Q244" t="s">
        <v>54</v>
      </c>
      <c r="R244" t="s">
        <v>26</v>
      </c>
      <c r="S244" s="3">
        <v>-1190.48</v>
      </c>
      <c r="T244" t="s">
        <v>12</v>
      </c>
      <c r="U244" s="3">
        <v>-102382.08</v>
      </c>
      <c r="V244" t="s">
        <v>77</v>
      </c>
      <c r="W244" t="s">
        <v>13</v>
      </c>
      <c r="X244" t="s">
        <v>8</v>
      </c>
      <c r="Y244" t="s">
        <v>69</v>
      </c>
      <c r="Z244" t="s">
        <v>14</v>
      </c>
      <c r="AA244" t="s">
        <v>686</v>
      </c>
      <c r="AB244" t="s">
        <v>8</v>
      </c>
      <c r="AC244" t="s">
        <v>8</v>
      </c>
      <c r="AD244" t="s">
        <v>8</v>
      </c>
      <c r="AE244" s="2">
        <v>45862</v>
      </c>
      <c r="AF244" s="2">
        <v>45902</v>
      </c>
      <c r="AG244" t="s">
        <v>19</v>
      </c>
    </row>
    <row r="245" spans="1:33" outlineLevel="2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36</v>
      </c>
      <c r="G245" s="2">
        <v>45862</v>
      </c>
      <c r="H245" t="s">
        <v>687</v>
      </c>
      <c r="I245" t="s">
        <v>118</v>
      </c>
      <c r="J245" s="2">
        <v>45862</v>
      </c>
      <c r="K245" s="2">
        <v>45862</v>
      </c>
      <c r="L245" t="s">
        <v>69</v>
      </c>
      <c r="M245" t="s">
        <v>688</v>
      </c>
      <c r="N245" t="s">
        <v>9</v>
      </c>
      <c r="O245" t="s">
        <v>10</v>
      </c>
      <c r="P245" t="s">
        <v>8</v>
      </c>
      <c r="Q245" t="s">
        <v>54</v>
      </c>
      <c r="R245" t="s">
        <v>26</v>
      </c>
      <c r="S245" s="3">
        <v>-1190.48</v>
      </c>
      <c r="T245" t="s">
        <v>12</v>
      </c>
      <c r="U245" s="3">
        <v>-102382.08</v>
      </c>
      <c r="V245" t="s">
        <v>77</v>
      </c>
      <c r="W245" t="s">
        <v>13</v>
      </c>
      <c r="X245" t="s">
        <v>8</v>
      </c>
      <c r="Y245" t="s">
        <v>69</v>
      </c>
      <c r="Z245" t="s">
        <v>14</v>
      </c>
      <c r="AA245" t="s">
        <v>689</v>
      </c>
      <c r="AB245" t="s">
        <v>8</v>
      </c>
      <c r="AC245" t="s">
        <v>8</v>
      </c>
      <c r="AD245" t="s">
        <v>8</v>
      </c>
      <c r="AE245" s="2">
        <v>45862</v>
      </c>
      <c r="AF245" s="2">
        <v>45902</v>
      </c>
      <c r="AG245" t="s">
        <v>19</v>
      </c>
    </row>
    <row r="246" spans="1:33" outlineLevel="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36</v>
      </c>
      <c r="G246" s="2">
        <v>45862</v>
      </c>
      <c r="H246" t="s">
        <v>690</v>
      </c>
      <c r="I246" t="s">
        <v>118</v>
      </c>
      <c r="J246" s="2">
        <v>45862</v>
      </c>
      <c r="K246" s="2">
        <v>45862</v>
      </c>
      <c r="L246" t="s">
        <v>69</v>
      </c>
      <c r="M246" t="s">
        <v>691</v>
      </c>
      <c r="N246" t="s">
        <v>9</v>
      </c>
      <c r="O246" t="s">
        <v>10</v>
      </c>
      <c r="P246" t="s">
        <v>8</v>
      </c>
      <c r="Q246" t="s">
        <v>54</v>
      </c>
      <c r="R246" t="s">
        <v>26</v>
      </c>
      <c r="S246" s="3">
        <v>-416.67</v>
      </c>
      <c r="T246" t="s">
        <v>12</v>
      </c>
      <c r="U246" s="3">
        <v>-35833.9</v>
      </c>
      <c r="V246" t="s">
        <v>77</v>
      </c>
      <c r="W246" t="s">
        <v>13</v>
      </c>
      <c r="X246" t="s">
        <v>8</v>
      </c>
      <c r="Y246" t="s">
        <v>69</v>
      </c>
      <c r="Z246" t="s">
        <v>14</v>
      </c>
      <c r="AA246" t="s">
        <v>692</v>
      </c>
      <c r="AB246" t="s">
        <v>8</v>
      </c>
      <c r="AC246" t="s">
        <v>8</v>
      </c>
      <c r="AD246" t="s">
        <v>8</v>
      </c>
      <c r="AE246" s="2">
        <v>45862</v>
      </c>
      <c r="AF246" s="2">
        <v>45902</v>
      </c>
      <c r="AG246" t="s">
        <v>19</v>
      </c>
    </row>
    <row r="247" spans="1:33" outlineLevel="2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36</v>
      </c>
      <c r="G247" s="2">
        <v>45862</v>
      </c>
      <c r="H247" t="s">
        <v>693</v>
      </c>
      <c r="I247" t="s">
        <v>118</v>
      </c>
      <c r="J247" s="2">
        <v>45862</v>
      </c>
      <c r="K247" s="2">
        <v>45862</v>
      </c>
      <c r="L247" t="s">
        <v>69</v>
      </c>
      <c r="M247" t="s">
        <v>694</v>
      </c>
      <c r="N247" t="s">
        <v>9</v>
      </c>
      <c r="O247" t="s">
        <v>10</v>
      </c>
      <c r="P247" t="s">
        <v>8</v>
      </c>
      <c r="Q247" t="s">
        <v>54</v>
      </c>
      <c r="R247" t="s">
        <v>26</v>
      </c>
      <c r="S247" s="3">
        <v>-408.31</v>
      </c>
      <c r="T247" t="s">
        <v>12</v>
      </c>
      <c r="U247" s="3">
        <v>-35114.93</v>
      </c>
      <c r="V247" t="s">
        <v>77</v>
      </c>
      <c r="W247" t="s">
        <v>13</v>
      </c>
      <c r="X247" t="s">
        <v>8</v>
      </c>
      <c r="Y247" t="s">
        <v>69</v>
      </c>
      <c r="Z247" t="s">
        <v>14</v>
      </c>
      <c r="AA247" t="s">
        <v>695</v>
      </c>
      <c r="AB247" t="s">
        <v>8</v>
      </c>
      <c r="AC247" t="s">
        <v>8</v>
      </c>
      <c r="AD247" t="s">
        <v>8</v>
      </c>
      <c r="AE247" s="2">
        <v>45862</v>
      </c>
      <c r="AF247" s="2">
        <v>45902</v>
      </c>
      <c r="AG247" t="s">
        <v>19</v>
      </c>
    </row>
    <row r="248" spans="1:33" outlineLevel="2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36</v>
      </c>
      <c r="G248" s="2">
        <v>45862</v>
      </c>
      <c r="H248" t="s">
        <v>696</v>
      </c>
      <c r="I248" t="s">
        <v>118</v>
      </c>
      <c r="J248" s="2">
        <v>45862</v>
      </c>
      <c r="K248" s="2">
        <v>45862</v>
      </c>
      <c r="L248" t="s">
        <v>69</v>
      </c>
      <c r="M248" t="s">
        <v>697</v>
      </c>
      <c r="N248" t="s">
        <v>9</v>
      </c>
      <c r="O248" t="s">
        <v>10</v>
      </c>
      <c r="P248" t="s">
        <v>8</v>
      </c>
      <c r="Q248" t="s">
        <v>54</v>
      </c>
      <c r="R248" t="s">
        <v>26</v>
      </c>
      <c r="S248" s="3">
        <v>-400.09</v>
      </c>
      <c r="T248" t="s">
        <v>12</v>
      </c>
      <c r="U248" s="3">
        <v>-34408.01</v>
      </c>
      <c r="V248" t="s">
        <v>77</v>
      </c>
      <c r="W248" t="s">
        <v>13</v>
      </c>
      <c r="X248" t="s">
        <v>8</v>
      </c>
      <c r="Y248" t="s">
        <v>69</v>
      </c>
      <c r="Z248" t="s">
        <v>14</v>
      </c>
      <c r="AA248" t="s">
        <v>698</v>
      </c>
      <c r="AB248" t="s">
        <v>8</v>
      </c>
      <c r="AC248" t="s">
        <v>8</v>
      </c>
      <c r="AD248" t="s">
        <v>8</v>
      </c>
      <c r="AE248" s="2">
        <v>45862</v>
      </c>
      <c r="AF248" s="2">
        <v>45902</v>
      </c>
      <c r="AG248" t="s">
        <v>19</v>
      </c>
    </row>
    <row r="249" spans="1:33" outlineLevel="2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79</v>
      </c>
      <c r="G249" s="2">
        <v>45826</v>
      </c>
      <c r="H249" t="s">
        <v>699</v>
      </c>
      <c r="I249" t="s">
        <v>75</v>
      </c>
      <c r="J249" s="2">
        <v>45826</v>
      </c>
      <c r="K249" s="2">
        <v>45827</v>
      </c>
      <c r="L249" t="s">
        <v>69</v>
      </c>
      <c r="M249" t="s">
        <v>700</v>
      </c>
      <c r="N249" t="s">
        <v>9</v>
      </c>
      <c r="O249" t="s">
        <v>10</v>
      </c>
      <c r="P249" t="s">
        <v>8</v>
      </c>
      <c r="Q249" t="s">
        <v>65</v>
      </c>
      <c r="R249" t="s">
        <v>26</v>
      </c>
      <c r="S249" s="3">
        <v>1190.48</v>
      </c>
      <c r="T249" t="s">
        <v>12</v>
      </c>
      <c r="U249" s="3">
        <v>101775.06</v>
      </c>
      <c r="V249" t="s">
        <v>77</v>
      </c>
      <c r="W249" t="s">
        <v>13</v>
      </c>
      <c r="X249" t="s">
        <v>8</v>
      </c>
      <c r="Y249" t="s">
        <v>69</v>
      </c>
      <c r="Z249" t="s">
        <v>14</v>
      </c>
      <c r="AA249" t="s">
        <v>563</v>
      </c>
      <c r="AB249" t="s">
        <v>8</v>
      </c>
      <c r="AC249" t="s">
        <v>8</v>
      </c>
      <c r="AD249" t="s">
        <v>8</v>
      </c>
      <c r="AE249" s="2">
        <v>45826</v>
      </c>
      <c r="AF249" s="2">
        <v>45902</v>
      </c>
      <c r="AG249" t="s">
        <v>19</v>
      </c>
    </row>
    <row r="250" spans="1:33" outlineLevel="2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79</v>
      </c>
      <c r="G250" s="2">
        <v>45826</v>
      </c>
      <c r="H250" t="s">
        <v>701</v>
      </c>
      <c r="I250" t="s">
        <v>75</v>
      </c>
      <c r="J250" s="2">
        <v>45826</v>
      </c>
      <c r="K250" s="2">
        <v>45827</v>
      </c>
      <c r="L250" t="s">
        <v>69</v>
      </c>
      <c r="M250" t="s">
        <v>702</v>
      </c>
      <c r="N250" t="s">
        <v>9</v>
      </c>
      <c r="O250" t="s">
        <v>10</v>
      </c>
      <c r="P250" t="s">
        <v>8</v>
      </c>
      <c r="Q250" t="s">
        <v>65</v>
      </c>
      <c r="R250" t="s">
        <v>26</v>
      </c>
      <c r="S250" s="3">
        <v>1190.48</v>
      </c>
      <c r="T250" t="s">
        <v>12</v>
      </c>
      <c r="U250" s="3">
        <v>101775.06</v>
      </c>
      <c r="V250" t="s">
        <v>77</v>
      </c>
      <c r="W250" t="s">
        <v>13</v>
      </c>
      <c r="X250" t="s">
        <v>8</v>
      </c>
      <c r="Y250" t="s">
        <v>69</v>
      </c>
      <c r="Z250" t="s">
        <v>14</v>
      </c>
      <c r="AA250" t="s">
        <v>569</v>
      </c>
      <c r="AB250" t="s">
        <v>8</v>
      </c>
      <c r="AC250" t="s">
        <v>8</v>
      </c>
      <c r="AD250" t="s">
        <v>8</v>
      </c>
      <c r="AE250" s="2">
        <v>45826</v>
      </c>
      <c r="AF250" s="2">
        <v>45902</v>
      </c>
      <c r="AG250" t="s">
        <v>19</v>
      </c>
    </row>
    <row r="251" spans="1:33" outlineLevel="2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79</v>
      </c>
      <c r="G251" s="2">
        <v>45826</v>
      </c>
      <c r="H251" t="s">
        <v>703</v>
      </c>
      <c r="I251" t="s">
        <v>75</v>
      </c>
      <c r="J251" s="2">
        <v>45826</v>
      </c>
      <c r="K251" s="2">
        <v>45827</v>
      </c>
      <c r="L251" t="s">
        <v>69</v>
      </c>
      <c r="M251" t="s">
        <v>704</v>
      </c>
      <c r="N251" t="s">
        <v>9</v>
      </c>
      <c r="O251" t="s">
        <v>10</v>
      </c>
      <c r="P251" t="s">
        <v>8</v>
      </c>
      <c r="Q251" t="s">
        <v>65</v>
      </c>
      <c r="R251" t="s">
        <v>26</v>
      </c>
      <c r="S251" s="3">
        <v>416.67</v>
      </c>
      <c r="T251" t="s">
        <v>12</v>
      </c>
      <c r="U251" s="3">
        <v>35621.440000000002</v>
      </c>
      <c r="V251" t="s">
        <v>77</v>
      </c>
      <c r="W251" t="s">
        <v>13</v>
      </c>
      <c r="X251" t="s">
        <v>8</v>
      </c>
      <c r="Y251" t="s">
        <v>69</v>
      </c>
      <c r="Z251" t="s">
        <v>14</v>
      </c>
      <c r="AA251" t="s">
        <v>572</v>
      </c>
      <c r="AB251" t="s">
        <v>8</v>
      </c>
      <c r="AC251" t="s">
        <v>8</v>
      </c>
      <c r="AD251" t="s">
        <v>8</v>
      </c>
      <c r="AE251" s="2">
        <v>45826</v>
      </c>
      <c r="AF251" s="2">
        <v>45902</v>
      </c>
      <c r="AG251" t="s">
        <v>19</v>
      </c>
    </row>
    <row r="252" spans="1:33" outlineLevel="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79</v>
      </c>
      <c r="G252" s="2">
        <v>45826</v>
      </c>
      <c r="H252" t="s">
        <v>705</v>
      </c>
      <c r="I252" t="s">
        <v>75</v>
      </c>
      <c r="J252" s="2">
        <v>45826</v>
      </c>
      <c r="K252" s="2">
        <v>45827</v>
      </c>
      <c r="L252" t="s">
        <v>69</v>
      </c>
      <c r="M252" t="s">
        <v>706</v>
      </c>
      <c r="N252" t="s">
        <v>9</v>
      </c>
      <c r="O252" t="s">
        <v>10</v>
      </c>
      <c r="P252" t="s">
        <v>8</v>
      </c>
      <c r="Q252" t="s">
        <v>65</v>
      </c>
      <c r="R252" t="s">
        <v>26</v>
      </c>
      <c r="S252" s="3">
        <v>408.31</v>
      </c>
      <c r="T252" t="s">
        <v>12</v>
      </c>
      <c r="U252" s="3">
        <v>34906.74</v>
      </c>
      <c r="V252" t="s">
        <v>77</v>
      </c>
      <c r="W252" t="s">
        <v>13</v>
      </c>
      <c r="X252" t="s">
        <v>8</v>
      </c>
      <c r="Y252" t="s">
        <v>69</v>
      </c>
      <c r="Z252" t="s">
        <v>14</v>
      </c>
      <c r="AA252" t="s">
        <v>578</v>
      </c>
      <c r="AB252" t="s">
        <v>8</v>
      </c>
      <c r="AC252" t="s">
        <v>8</v>
      </c>
      <c r="AD252" t="s">
        <v>8</v>
      </c>
      <c r="AE252" s="2">
        <v>45826</v>
      </c>
      <c r="AF252" s="2">
        <v>45902</v>
      </c>
      <c r="AG252" t="s">
        <v>19</v>
      </c>
    </row>
    <row r="253" spans="1:33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79</v>
      </c>
      <c r="G253" s="2">
        <v>45826</v>
      </c>
      <c r="H253" t="s">
        <v>707</v>
      </c>
      <c r="I253" t="s">
        <v>75</v>
      </c>
      <c r="J253" s="2">
        <v>45826</v>
      </c>
      <c r="K253" s="2">
        <v>45827</v>
      </c>
      <c r="L253" t="s">
        <v>69</v>
      </c>
      <c r="M253" t="s">
        <v>708</v>
      </c>
      <c r="N253" t="s">
        <v>9</v>
      </c>
      <c r="O253" t="s">
        <v>10</v>
      </c>
      <c r="P253" t="s">
        <v>8</v>
      </c>
      <c r="Q253" t="s">
        <v>65</v>
      </c>
      <c r="R253" t="s">
        <v>26</v>
      </c>
      <c r="S253" s="3">
        <v>400.09</v>
      </c>
      <c r="T253" t="s">
        <v>12</v>
      </c>
      <c r="U253" s="3">
        <v>34204.01</v>
      </c>
      <c r="V253" t="s">
        <v>77</v>
      </c>
      <c r="W253" t="s">
        <v>13</v>
      </c>
      <c r="X253" t="s">
        <v>8</v>
      </c>
      <c r="Y253" t="s">
        <v>69</v>
      </c>
      <c r="Z253" t="s">
        <v>14</v>
      </c>
      <c r="AA253" t="s">
        <v>584</v>
      </c>
      <c r="AB253" t="s">
        <v>8</v>
      </c>
      <c r="AC253" t="s">
        <v>8</v>
      </c>
      <c r="AD253" t="s">
        <v>8</v>
      </c>
      <c r="AE253" s="2">
        <v>45826</v>
      </c>
      <c r="AF253" s="2">
        <v>45902</v>
      </c>
      <c r="AG253" t="s">
        <v>19</v>
      </c>
    </row>
    <row r="254" spans="1:33" outlineLevel="2" x14ac:dyDescent="0.25">
      <c r="A254" t="s">
        <v>27</v>
      </c>
      <c r="B254" t="s">
        <v>1</v>
      </c>
      <c r="C254" t="s">
        <v>2</v>
      </c>
      <c r="D254" t="s">
        <v>3</v>
      </c>
      <c r="E254" t="s">
        <v>4</v>
      </c>
      <c r="F254" t="s">
        <v>49</v>
      </c>
      <c r="G254" s="2">
        <v>45735</v>
      </c>
      <c r="H254" t="s">
        <v>709</v>
      </c>
      <c r="I254" t="s">
        <v>75</v>
      </c>
      <c r="J254" s="2">
        <v>45735</v>
      </c>
      <c r="K254" s="2">
        <v>45736</v>
      </c>
      <c r="L254" t="s">
        <v>69</v>
      </c>
      <c r="M254" t="s">
        <v>710</v>
      </c>
      <c r="N254" t="s">
        <v>9</v>
      </c>
      <c r="O254" t="s">
        <v>10</v>
      </c>
      <c r="P254" t="s">
        <v>8</v>
      </c>
      <c r="Q254" t="s">
        <v>65</v>
      </c>
      <c r="R254" t="s">
        <v>26</v>
      </c>
      <c r="S254" s="3">
        <v>1148.6300000000001</v>
      </c>
      <c r="T254" t="s">
        <v>12</v>
      </c>
      <c r="U254" s="3">
        <v>99576.18</v>
      </c>
      <c r="V254" t="s">
        <v>77</v>
      </c>
      <c r="W254" t="s">
        <v>13</v>
      </c>
      <c r="X254" t="s">
        <v>8</v>
      </c>
      <c r="Y254" t="s">
        <v>69</v>
      </c>
      <c r="Z254" t="s">
        <v>14</v>
      </c>
      <c r="AA254" t="s">
        <v>711</v>
      </c>
      <c r="AB254" t="s">
        <v>8</v>
      </c>
      <c r="AC254" t="s">
        <v>8</v>
      </c>
      <c r="AD254" t="s">
        <v>8</v>
      </c>
      <c r="AE254" s="2">
        <v>45735</v>
      </c>
      <c r="AF254" s="2"/>
      <c r="AG254" t="s">
        <v>8</v>
      </c>
    </row>
    <row r="255" spans="1:33" outlineLevel="2" x14ac:dyDescent="0.25">
      <c r="A255" t="s">
        <v>27</v>
      </c>
      <c r="B255" t="s">
        <v>1</v>
      </c>
      <c r="C255" t="s">
        <v>2</v>
      </c>
      <c r="D255" t="s">
        <v>3</v>
      </c>
      <c r="E255" t="s">
        <v>4</v>
      </c>
      <c r="F255" t="s">
        <v>49</v>
      </c>
      <c r="G255" s="2">
        <v>45735</v>
      </c>
      <c r="H255" t="s">
        <v>712</v>
      </c>
      <c r="I255" t="s">
        <v>75</v>
      </c>
      <c r="J255" s="2">
        <v>45735</v>
      </c>
      <c r="K255" s="2">
        <v>45736</v>
      </c>
      <c r="L255" t="s">
        <v>69</v>
      </c>
      <c r="M255" t="s">
        <v>713</v>
      </c>
      <c r="N255" t="s">
        <v>9</v>
      </c>
      <c r="O255" t="s">
        <v>10</v>
      </c>
      <c r="P255" t="s">
        <v>8</v>
      </c>
      <c r="Q255" t="s">
        <v>65</v>
      </c>
      <c r="R255" t="s">
        <v>26</v>
      </c>
      <c r="S255" s="3">
        <v>79.05</v>
      </c>
      <c r="T255" t="s">
        <v>12</v>
      </c>
      <c r="U255" s="3">
        <v>6852.94</v>
      </c>
      <c r="V255" t="s">
        <v>77</v>
      </c>
      <c r="W255" t="s">
        <v>13</v>
      </c>
      <c r="X255" t="s">
        <v>8</v>
      </c>
      <c r="Y255" t="s">
        <v>69</v>
      </c>
      <c r="Z255" t="s">
        <v>14</v>
      </c>
      <c r="AA255" t="s">
        <v>714</v>
      </c>
      <c r="AB255" t="s">
        <v>8</v>
      </c>
      <c r="AC255" t="s">
        <v>8</v>
      </c>
      <c r="AD255" t="s">
        <v>8</v>
      </c>
      <c r="AE255" s="2">
        <v>45735</v>
      </c>
      <c r="AF255" s="2"/>
      <c r="AG255" t="s">
        <v>8</v>
      </c>
    </row>
    <row r="256" spans="1:33" outlineLevel="2" x14ac:dyDescent="0.25">
      <c r="A256" t="s">
        <v>27</v>
      </c>
      <c r="B256" t="s">
        <v>1</v>
      </c>
      <c r="C256" t="s">
        <v>2</v>
      </c>
      <c r="D256" t="s">
        <v>3</v>
      </c>
      <c r="E256" t="s">
        <v>4</v>
      </c>
      <c r="F256" t="s">
        <v>49</v>
      </c>
      <c r="G256" s="2">
        <v>45735</v>
      </c>
      <c r="H256" t="s">
        <v>715</v>
      </c>
      <c r="I256" t="s">
        <v>75</v>
      </c>
      <c r="J256" s="2">
        <v>45735</v>
      </c>
      <c r="K256" s="2">
        <v>45736</v>
      </c>
      <c r="L256" t="s">
        <v>69</v>
      </c>
      <c r="M256" t="s">
        <v>716</v>
      </c>
      <c r="N256" t="s">
        <v>9</v>
      </c>
      <c r="O256" t="s">
        <v>10</v>
      </c>
      <c r="P256" t="s">
        <v>8</v>
      </c>
      <c r="Q256" t="s">
        <v>65</v>
      </c>
      <c r="R256" t="s">
        <v>26</v>
      </c>
      <c r="S256" s="3">
        <v>78.12</v>
      </c>
      <c r="T256" t="s">
        <v>12</v>
      </c>
      <c r="U256" s="3">
        <v>6772.32</v>
      </c>
      <c r="V256" t="s">
        <v>77</v>
      </c>
      <c r="W256" t="s">
        <v>13</v>
      </c>
      <c r="X256" t="s">
        <v>8</v>
      </c>
      <c r="Y256" t="s">
        <v>69</v>
      </c>
      <c r="Z256" t="s">
        <v>14</v>
      </c>
      <c r="AA256" t="s">
        <v>717</v>
      </c>
      <c r="AB256" t="s">
        <v>8</v>
      </c>
      <c r="AC256" t="s">
        <v>8</v>
      </c>
      <c r="AD256" t="s">
        <v>8</v>
      </c>
      <c r="AE256" s="2">
        <v>45735</v>
      </c>
      <c r="AF256" s="2"/>
      <c r="AG256" t="s">
        <v>8</v>
      </c>
    </row>
    <row r="257" spans="1:33" outlineLevel="2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49</v>
      </c>
      <c r="G257" s="2">
        <v>45735</v>
      </c>
      <c r="H257" t="s">
        <v>718</v>
      </c>
      <c r="I257" t="s">
        <v>75</v>
      </c>
      <c r="J257" s="2">
        <v>45735</v>
      </c>
      <c r="K257" s="2">
        <v>45736</v>
      </c>
      <c r="L257" t="s">
        <v>69</v>
      </c>
      <c r="M257" t="s">
        <v>719</v>
      </c>
      <c r="N257" t="s">
        <v>9</v>
      </c>
      <c r="O257" t="s">
        <v>10</v>
      </c>
      <c r="P257" t="s">
        <v>8</v>
      </c>
      <c r="Q257" t="s">
        <v>65</v>
      </c>
      <c r="R257" t="s">
        <v>26</v>
      </c>
      <c r="S257" s="3">
        <v>402.02</v>
      </c>
      <c r="T257" t="s">
        <v>12</v>
      </c>
      <c r="U257" s="3">
        <v>34851.620000000003</v>
      </c>
      <c r="V257" t="s">
        <v>77</v>
      </c>
      <c r="W257" t="s">
        <v>13</v>
      </c>
      <c r="X257" t="s">
        <v>8</v>
      </c>
      <c r="Y257" t="s">
        <v>69</v>
      </c>
      <c r="Z257" t="s">
        <v>14</v>
      </c>
      <c r="AA257" t="s">
        <v>711</v>
      </c>
      <c r="AB257" t="s">
        <v>8</v>
      </c>
      <c r="AC257" t="s">
        <v>8</v>
      </c>
      <c r="AD257" t="s">
        <v>8</v>
      </c>
      <c r="AE257" s="2">
        <v>45735</v>
      </c>
      <c r="AF257" s="2">
        <v>45888</v>
      </c>
      <c r="AG257" t="s">
        <v>50</v>
      </c>
    </row>
    <row r="258" spans="1:33" outlineLevel="2" x14ac:dyDescent="0.25">
      <c r="A258" t="s">
        <v>27</v>
      </c>
      <c r="B258" t="s">
        <v>1</v>
      </c>
      <c r="C258" t="s">
        <v>2</v>
      </c>
      <c r="D258" t="s">
        <v>3</v>
      </c>
      <c r="E258" t="s">
        <v>4</v>
      </c>
      <c r="F258" t="s">
        <v>18</v>
      </c>
      <c r="G258" s="2">
        <v>45924</v>
      </c>
      <c r="H258" t="s">
        <v>720</v>
      </c>
      <c r="I258" t="s">
        <v>75</v>
      </c>
      <c r="J258" s="2">
        <v>45924</v>
      </c>
      <c r="K258" s="2">
        <v>45924</v>
      </c>
      <c r="L258" t="s">
        <v>69</v>
      </c>
      <c r="M258" t="s">
        <v>721</v>
      </c>
      <c r="N258" t="s">
        <v>9</v>
      </c>
      <c r="O258" t="s">
        <v>10</v>
      </c>
      <c r="P258" t="s">
        <v>8</v>
      </c>
      <c r="Q258" t="s">
        <v>65</v>
      </c>
      <c r="R258" t="s">
        <v>26</v>
      </c>
      <c r="S258" s="3">
        <v>260.79000000000002</v>
      </c>
      <c r="T258" t="s">
        <v>12</v>
      </c>
      <c r="U258" s="3">
        <v>22423.69</v>
      </c>
      <c r="V258" t="s">
        <v>77</v>
      </c>
      <c r="W258" t="s">
        <v>13</v>
      </c>
      <c r="X258" t="s">
        <v>8</v>
      </c>
      <c r="Y258" t="s">
        <v>722</v>
      </c>
      <c r="Z258" t="s">
        <v>14</v>
      </c>
      <c r="AA258" t="s">
        <v>723</v>
      </c>
      <c r="AB258" t="s">
        <v>8</v>
      </c>
      <c r="AC258" t="s">
        <v>8</v>
      </c>
      <c r="AD258" t="s">
        <v>8</v>
      </c>
      <c r="AE258" s="2">
        <v>45924</v>
      </c>
      <c r="AF258" s="2"/>
      <c r="AG258" t="s">
        <v>8</v>
      </c>
    </row>
    <row r="259" spans="1:33" outlineLevel="2" x14ac:dyDescent="0.25">
      <c r="A259" t="s">
        <v>27</v>
      </c>
      <c r="B259" t="s">
        <v>1</v>
      </c>
      <c r="C259" t="s">
        <v>2</v>
      </c>
      <c r="D259" t="s">
        <v>3</v>
      </c>
      <c r="E259" t="s">
        <v>4</v>
      </c>
      <c r="F259" t="s">
        <v>54</v>
      </c>
      <c r="G259" s="2">
        <v>45981</v>
      </c>
      <c r="H259" t="s">
        <v>724</v>
      </c>
      <c r="I259" t="s">
        <v>75</v>
      </c>
      <c r="J259" s="2">
        <v>45981</v>
      </c>
      <c r="K259" s="2">
        <v>45985</v>
      </c>
      <c r="L259" t="s">
        <v>69</v>
      </c>
      <c r="M259" t="s">
        <v>725</v>
      </c>
      <c r="N259" t="s">
        <v>9</v>
      </c>
      <c r="O259" t="s">
        <v>10</v>
      </c>
      <c r="P259" t="s">
        <v>8</v>
      </c>
      <c r="Q259" t="s">
        <v>65</v>
      </c>
      <c r="R259" t="s">
        <v>26</v>
      </c>
      <c r="S259" s="3">
        <v>850</v>
      </c>
      <c r="T259" t="s">
        <v>12</v>
      </c>
      <c r="U259" s="3">
        <v>74802.880000000005</v>
      </c>
      <c r="V259" t="s">
        <v>77</v>
      </c>
      <c r="W259" t="s">
        <v>13</v>
      </c>
      <c r="X259" t="s">
        <v>8</v>
      </c>
      <c r="Y259" t="s">
        <v>726</v>
      </c>
      <c r="Z259" t="s">
        <v>14</v>
      </c>
      <c r="AA259" t="s">
        <v>727</v>
      </c>
      <c r="AB259" t="s">
        <v>8</v>
      </c>
      <c r="AC259" t="s">
        <v>8</v>
      </c>
      <c r="AD259" t="s">
        <v>8</v>
      </c>
      <c r="AE259" s="2">
        <v>45981</v>
      </c>
      <c r="AF259" s="2"/>
      <c r="AG259" t="s">
        <v>8</v>
      </c>
    </row>
    <row r="260" spans="1:33" outlineLevel="2" x14ac:dyDescent="0.25">
      <c r="A260" t="s">
        <v>27</v>
      </c>
      <c r="B260" t="s">
        <v>1</v>
      </c>
      <c r="C260" t="s">
        <v>2</v>
      </c>
      <c r="D260" t="s">
        <v>3</v>
      </c>
      <c r="E260" t="s">
        <v>4</v>
      </c>
      <c r="F260" t="s">
        <v>54</v>
      </c>
      <c r="G260" s="2">
        <v>45981</v>
      </c>
      <c r="H260" t="s">
        <v>728</v>
      </c>
      <c r="I260" t="s">
        <v>75</v>
      </c>
      <c r="J260" s="2">
        <v>45981</v>
      </c>
      <c r="K260" s="2">
        <v>45985</v>
      </c>
      <c r="L260" t="s">
        <v>69</v>
      </c>
      <c r="M260" t="s">
        <v>729</v>
      </c>
      <c r="N260" t="s">
        <v>9</v>
      </c>
      <c r="O260" t="s">
        <v>10</v>
      </c>
      <c r="P260" t="s">
        <v>8</v>
      </c>
      <c r="Q260" t="s">
        <v>65</v>
      </c>
      <c r="R260" t="s">
        <v>26</v>
      </c>
      <c r="S260" s="3">
        <v>331.5</v>
      </c>
      <c r="T260" t="s">
        <v>12</v>
      </c>
      <c r="U260" s="3">
        <v>29173.119999999999</v>
      </c>
      <c r="V260" t="s">
        <v>77</v>
      </c>
      <c r="W260" t="s">
        <v>13</v>
      </c>
      <c r="X260" t="s">
        <v>8</v>
      </c>
      <c r="Y260" t="s">
        <v>730</v>
      </c>
      <c r="Z260" t="s">
        <v>14</v>
      </c>
      <c r="AA260" t="s">
        <v>731</v>
      </c>
      <c r="AB260" t="s">
        <v>8</v>
      </c>
      <c r="AC260" t="s">
        <v>8</v>
      </c>
      <c r="AD260" t="s">
        <v>8</v>
      </c>
      <c r="AE260" s="2">
        <v>45981</v>
      </c>
      <c r="AF260" s="2"/>
      <c r="AG260" t="s">
        <v>8</v>
      </c>
    </row>
    <row r="261" spans="1:33" outlineLevel="2" x14ac:dyDescent="0.25">
      <c r="A261" t="s">
        <v>27</v>
      </c>
      <c r="B261" t="s">
        <v>1</v>
      </c>
      <c r="C261" t="s">
        <v>2</v>
      </c>
      <c r="D261" t="s">
        <v>3</v>
      </c>
      <c r="E261" t="s">
        <v>4</v>
      </c>
      <c r="F261" t="s">
        <v>54</v>
      </c>
      <c r="G261" s="2">
        <v>45981</v>
      </c>
      <c r="H261" t="s">
        <v>732</v>
      </c>
      <c r="I261" t="s">
        <v>75</v>
      </c>
      <c r="J261" s="2">
        <v>45981</v>
      </c>
      <c r="K261" s="2">
        <v>45985</v>
      </c>
      <c r="L261" t="s">
        <v>69</v>
      </c>
      <c r="M261" t="s">
        <v>733</v>
      </c>
      <c r="N261" t="s">
        <v>9</v>
      </c>
      <c r="O261" t="s">
        <v>10</v>
      </c>
      <c r="P261" t="s">
        <v>8</v>
      </c>
      <c r="Q261" t="s">
        <v>65</v>
      </c>
      <c r="R261" t="s">
        <v>26</v>
      </c>
      <c r="S261" s="3">
        <v>112.58</v>
      </c>
      <c r="T261" t="s">
        <v>12</v>
      </c>
      <c r="U261" s="3">
        <v>9907.42</v>
      </c>
      <c r="V261" t="s">
        <v>77</v>
      </c>
      <c r="W261" t="s">
        <v>13</v>
      </c>
      <c r="X261" t="s">
        <v>8</v>
      </c>
      <c r="Y261" t="s">
        <v>734</v>
      </c>
      <c r="Z261" t="s">
        <v>14</v>
      </c>
      <c r="AA261" t="s">
        <v>735</v>
      </c>
      <c r="AB261" t="s">
        <v>8</v>
      </c>
      <c r="AC261" t="s">
        <v>8</v>
      </c>
      <c r="AD261" t="s">
        <v>8</v>
      </c>
      <c r="AE261" s="2">
        <v>45981</v>
      </c>
      <c r="AF261" s="2"/>
      <c r="AG261" t="s">
        <v>8</v>
      </c>
    </row>
    <row r="262" spans="1:33" outlineLevel="2" x14ac:dyDescent="0.25">
      <c r="A262" t="s">
        <v>27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s="2">
        <v>45769</v>
      </c>
      <c r="H262" t="s">
        <v>736</v>
      </c>
      <c r="I262" t="s">
        <v>75</v>
      </c>
      <c r="J262" s="2">
        <v>45769</v>
      </c>
      <c r="K262" s="2">
        <v>45770</v>
      </c>
      <c r="L262" t="s">
        <v>69</v>
      </c>
      <c r="M262" t="s">
        <v>737</v>
      </c>
      <c r="N262" t="s">
        <v>9</v>
      </c>
      <c r="O262" t="s">
        <v>10</v>
      </c>
      <c r="P262" t="s">
        <v>8</v>
      </c>
      <c r="Q262" t="s">
        <v>65</v>
      </c>
      <c r="R262" t="s">
        <v>26</v>
      </c>
      <c r="S262" s="3">
        <v>87.2</v>
      </c>
      <c r="T262" t="s">
        <v>12</v>
      </c>
      <c r="U262" s="3">
        <v>7579.58</v>
      </c>
      <c r="V262" t="s">
        <v>77</v>
      </c>
      <c r="W262" t="s">
        <v>13</v>
      </c>
      <c r="X262" t="s">
        <v>8</v>
      </c>
      <c r="Y262" t="s">
        <v>69</v>
      </c>
      <c r="Z262" t="s">
        <v>14</v>
      </c>
      <c r="AA262" t="s">
        <v>738</v>
      </c>
      <c r="AB262" t="s">
        <v>8</v>
      </c>
      <c r="AC262" t="s">
        <v>8</v>
      </c>
      <c r="AD262" t="s">
        <v>8</v>
      </c>
      <c r="AE262" s="2">
        <v>45769</v>
      </c>
      <c r="AF262" s="2"/>
      <c r="AG262" t="s">
        <v>8</v>
      </c>
    </row>
    <row r="263" spans="1:33" outlineLevel="2" x14ac:dyDescent="0.25">
      <c r="A263" t="s">
        <v>27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s="2">
        <v>45769</v>
      </c>
      <c r="H263" t="s">
        <v>739</v>
      </c>
      <c r="I263" t="s">
        <v>75</v>
      </c>
      <c r="J263" s="2">
        <v>45769</v>
      </c>
      <c r="K263" s="2">
        <v>45770</v>
      </c>
      <c r="L263" t="s">
        <v>69</v>
      </c>
      <c r="M263" t="s">
        <v>740</v>
      </c>
      <c r="N263" t="s">
        <v>9</v>
      </c>
      <c r="O263" t="s">
        <v>10</v>
      </c>
      <c r="P263" t="s">
        <v>8</v>
      </c>
      <c r="Q263" t="s">
        <v>65</v>
      </c>
      <c r="R263" t="s">
        <v>26</v>
      </c>
      <c r="S263" s="3">
        <v>56.95</v>
      </c>
      <c r="T263" t="s">
        <v>12</v>
      </c>
      <c r="U263" s="3">
        <v>4950.2</v>
      </c>
      <c r="V263" t="s">
        <v>77</v>
      </c>
      <c r="W263" t="s">
        <v>13</v>
      </c>
      <c r="X263" t="s">
        <v>8</v>
      </c>
      <c r="Y263" t="s">
        <v>69</v>
      </c>
      <c r="Z263" t="s">
        <v>14</v>
      </c>
      <c r="AA263" t="s">
        <v>738</v>
      </c>
      <c r="AB263" t="s">
        <v>8</v>
      </c>
      <c r="AC263" t="s">
        <v>8</v>
      </c>
      <c r="AD263" t="s">
        <v>8</v>
      </c>
      <c r="AE263" s="2">
        <v>45769</v>
      </c>
      <c r="AF263" s="2"/>
      <c r="AG263" t="s">
        <v>8</v>
      </c>
    </row>
    <row r="264" spans="1:33" outlineLevel="2" x14ac:dyDescent="0.25">
      <c r="A264" t="s">
        <v>27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s="2">
        <v>45769</v>
      </c>
      <c r="H264" t="s">
        <v>741</v>
      </c>
      <c r="I264" t="s">
        <v>75</v>
      </c>
      <c r="J264" s="2">
        <v>45769</v>
      </c>
      <c r="K264" s="2">
        <v>45770</v>
      </c>
      <c r="L264" t="s">
        <v>69</v>
      </c>
      <c r="M264" t="s">
        <v>742</v>
      </c>
      <c r="N264" t="s">
        <v>9</v>
      </c>
      <c r="O264" t="s">
        <v>10</v>
      </c>
      <c r="P264" t="s">
        <v>8</v>
      </c>
      <c r="Q264" t="s">
        <v>65</v>
      </c>
      <c r="R264" t="s">
        <v>26</v>
      </c>
      <c r="S264" s="3">
        <v>87.2</v>
      </c>
      <c r="T264" t="s">
        <v>12</v>
      </c>
      <c r="U264" s="3">
        <v>7579.58</v>
      </c>
      <c r="V264" t="s">
        <v>77</v>
      </c>
      <c r="W264" t="s">
        <v>13</v>
      </c>
      <c r="X264" t="s">
        <v>8</v>
      </c>
      <c r="Y264" t="s">
        <v>69</v>
      </c>
      <c r="Z264" t="s">
        <v>14</v>
      </c>
      <c r="AA264" t="s">
        <v>743</v>
      </c>
      <c r="AB264" t="s">
        <v>8</v>
      </c>
      <c r="AC264" t="s">
        <v>8</v>
      </c>
      <c r="AD264" t="s">
        <v>8</v>
      </c>
      <c r="AE264" s="2">
        <v>45769</v>
      </c>
      <c r="AF264" s="2"/>
      <c r="AG264" t="s">
        <v>8</v>
      </c>
    </row>
    <row r="265" spans="1:33" outlineLevel="2" x14ac:dyDescent="0.25">
      <c r="A265" t="s">
        <v>27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45769</v>
      </c>
      <c r="H265" t="s">
        <v>744</v>
      </c>
      <c r="I265" t="s">
        <v>75</v>
      </c>
      <c r="J265" s="2">
        <v>45769</v>
      </c>
      <c r="K265" s="2">
        <v>45770</v>
      </c>
      <c r="L265" t="s">
        <v>69</v>
      </c>
      <c r="M265" t="s">
        <v>745</v>
      </c>
      <c r="N265" t="s">
        <v>9</v>
      </c>
      <c r="O265" t="s">
        <v>10</v>
      </c>
      <c r="P265" t="s">
        <v>8</v>
      </c>
      <c r="Q265" t="s">
        <v>65</v>
      </c>
      <c r="R265" t="s">
        <v>26</v>
      </c>
      <c r="S265" s="3">
        <v>4.93</v>
      </c>
      <c r="T265" t="s">
        <v>12</v>
      </c>
      <c r="U265" s="3">
        <v>428.52</v>
      </c>
      <c r="V265" t="s">
        <v>77</v>
      </c>
      <c r="W265" t="s">
        <v>13</v>
      </c>
      <c r="X265" t="s">
        <v>8</v>
      </c>
      <c r="Y265" t="s">
        <v>69</v>
      </c>
      <c r="Z265" t="s">
        <v>14</v>
      </c>
      <c r="AA265" t="s">
        <v>746</v>
      </c>
      <c r="AB265" t="s">
        <v>8</v>
      </c>
      <c r="AC265" t="s">
        <v>8</v>
      </c>
      <c r="AD265" t="s">
        <v>8</v>
      </c>
      <c r="AE265" s="2">
        <v>45769</v>
      </c>
      <c r="AF265" s="2"/>
      <c r="AG265" t="s">
        <v>8</v>
      </c>
    </row>
    <row r="266" spans="1:33" outlineLevel="2" x14ac:dyDescent="0.25">
      <c r="A266" t="s">
        <v>27</v>
      </c>
      <c r="B266" t="s">
        <v>1</v>
      </c>
      <c r="C266" t="s">
        <v>2</v>
      </c>
      <c r="D266" t="s">
        <v>3</v>
      </c>
      <c r="E266" t="s">
        <v>4</v>
      </c>
      <c r="F266" t="s">
        <v>18</v>
      </c>
      <c r="G266" s="2">
        <v>45918</v>
      </c>
      <c r="H266" t="s">
        <v>747</v>
      </c>
      <c r="I266" t="s">
        <v>75</v>
      </c>
      <c r="J266" s="2">
        <v>45918</v>
      </c>
      <c r="K266" s="2">
        <v>45922</v>
      </c>
      <c r="L266" t="s">
        <v>69</v>
      </c>
      <c r="M266" t="s">
        <v>748</v>
      </c>
      <c r="N266" t="s">
        <v>9</v>
      </c>
      <c r="O266" t="s">
        <v>10</v>
      </c>
      <c r="P266" t="s">
        <v>8</v>
      </c>
      <c r="Q266" t="s">
        <v>65</v>
      </c>
      <c r="R266" t="s">
        <v>26</v>
      </c>
      <c r="S266" s="3">
        <v>35</v>
      </c>
      <c r="T266" t="s">
        <v>12</v>
      </c>
      <c r="U266" s="3">
        <v>3063</v>
      </c>
      <c r="V266" t="s">
        <v>77</v>
      </c>
      <c r="W266" t="s">
        <v>13</v>
      </c>
      <c r="X266" t="s">
        <v>8</v>
      </c>
      <c r="Y266" t="s">
        <v>749</v>
      </c>
      <c r="Z266" t="s">
        <v>14</v>
      </c>
      <c r="AA266" t="s">
        <v>750</v>
      </c>
      <c r="AB266" t="s">
        <v>8</v>
      </c>
      <c r="AC266" t="s">
        <v>8</v>
      </c>
      <c r="AD266" t="s">
        <v>8</v>
      </c>
      <c r="AE266" s="2">
        <v>45918</v>
      </c>
      <c r="AF266" s="2"/>
      <c r="AG266" t="s">
        <v>8</v>
      </c>
    </row>
    <row r="267" spans="1:33" outlineLevel="2" x14ac:dyDescent="0.25">
      <c r="A267" t="s">
        <v>27</v>
      </c>
      <c r="B267" t="s">
        <v>1</v>
      </c>
      <c r="C267" t="s">
        <v>2</v>
      </c>
      <c r="D267" t="s">
        <v>3</v>
      </c>
      <c r="E267" t="s">
        <v>4</v>
      </c>
      <c r="F267" t="s">
        <v>18</v>
      </c>
      <c r="G267" s="2">
        <v>45918</v>
      </c>
      <c r="H267" t="s">
        <v>751</v>
      </c>
      <c r="I267" t="s">
        <v>75</v>
      </c>
      <c r="J267" s="2">
        <v>45918</v>
      </c>
      <c r="K267" s="2">
        <v>45922</v>
      </c>
      <c r="L267" t="s">
        <v>69</v>
      </c>
      <c r="M267" t="s">
        <v>752</v>
      </c>
      <c r="N267" t="s">
        <v>9</v>
      </c>
      <c r="O267" t="s">
        <v>10</v>
      </c>
      <c r="P267" t="s">
        <v>8</v>
      </c>
      <c r="Q267" t="s">
        <v>65</v>
      </c>
      <c r="R267" t="s">
        <v>26</v>
      </c>
      <c r="S267" s="3">
        <v>850</v>
      </c>
      <c r="T267" t="s">
        <v>12</v>
      </c>
      <c r="U267" s="3">
        <v>74387.179999999993</v>
      </c>
      <c r="V267" t="s">
        <v>77</v>
      </c>
      <c r="W267" t="s">
        <v>13</v>
      </c>
      <c r="X267" t="s">
        <v>8</v>
      </c>
      <c r="Y267" t="s">
        <v>753</v>
      </c>
      <c r="Z267" t="s">
        <v>14</v>
      </c>
      <c r="AA267" t="s">
        <v>754</v>
      </c>
      <c r="AB267" t="s">
        <v>8</v>
      </c>
      <c r="AC267" t="s">
        <v>8</v>
      </c>
      <c r="AD267" t="s">
        <v>8</v>
      </c>
      <c r="AE267" s="2">
        <v>45918</v>
      </c>
      <c r="AF267" s="2"/>
      <c r="AG267" t="s">
        <v>8</v>
      </c>
    </row>
    <row r="268" spans="1:33" outlineLevel="2" x14ac:dyDescent="0.25">
      <c r="A268" t="s">
        <v>27</v>
      </c>
      <c r="B268" t="s">
        <v>1</v>
      </c>
      <c r="C268" t="s">
        <v>2</v>
      </c>
      <c r="D268" t="s">
        <v>3</v>
      </c>
      <c r="E268" t="s">
        <v>4</v>
      </c>
      <c r="F268" t="s">
        <v>18</v>
      </c>
      <c r="G268" s="2">
        <v>45918</v>
      </c>
      <c r="H268" t="s">
        <v>755</v>
      </c>
      <c r="I268" t="s">
        <v>75</v>
      </c>
      <c r="J268" s="2">
        <v>45918</v>
      </c>
      <c r="K268" s="2">
        <v>45922</v>
      </c>
      <c r="L268" t="s">
        <v>69</v>
      </c>
      <c r="M268" t="s">
        <v>756</v>
      </c>
      <c r="N268" t="s">
        <v>9</v>
      </c>
      <c r="O268" t="s">
        <v>10</v>
      </c>
      <c r="P268" t="s">
        <v>8</v>
      </c>
      <c r="Q268" t="s">
        <v>65</v>
      </c>
      <c r="R268" t="s">
        <v>26</v>
      </c>
      <c r="S268" s="3">
        <v>22.43</v>
      </c>
      <c r="T268" t="s">
        <v>12</v>
      </c>
      <c r="U268" s="3">
        <v>1962.95</v>
      </c>
      <c r="V268" t="s">
        <v>77</v>
      </c>
      <c r="W268" t="s">
        <v>13</v>
      </c>
      <c r="X268" t="s">
        <v>8</v>
      </c>
      <c r="Y268" t="s">
        <v>757</v>
      </c>
      <c r="Z268" t="s">
        <v>14</v>
      </c>
      <c r="AA268" t="s">
        <v>758</v>
      </c>
      <c r="AB268" t="s">
        <v>8</v>
      </c>
      <c r="AC268" t="s">
        <v>8</v>
      </c>
      <c r="AD268" t="s">
        <v>8</v>
      </c>
      <c r="AE268" s="2">
        <v>45918</v>
      </c>
      <c r="AF268" s="2"/>
      <c r="AG268" t="s">
        <v>8</v>
      </c>
    </row>
    <row r="269" spans="1:33" outlineLevel="2" x14ac:dyDescent="0.25">
      <c r="A269" t="s">
        <v>27</v>
      </c>
      <c r="B269" t="s">
        <v>1</v>
      </c>
      <c r="C269" t="s">
        <v>2</v>
      </c>
      <c r="D269" t="s">
        <v>3</v>
      </c>
      <c r="E269" t="s">
        <v>4</v>
      </c>
      <c r="F269" t="s">
        <v>18</v>
      </c>
      <c r="G269" s="2">
        <v>45918</v>
      </c>
      <c r="H269" t="s">
        <v>759</v>
      </c>
      <c r="I269" t="s">
        <v>75</v>
      </c>
      <c r="J269" s="2">
        <v>45918</v>
      </c>
      <c r="K269" s="2">
        <v>45922</v>
      </c>
      <c r="L269" t="s">
        <v>69</v>
      </c>
      <c r="M269" t="s">
        <v>760</v>
      </c>
      <c r="N269" t="s">
        <v>9</v>
      </c>
      <c r="O269" t="s">
        <v>10</v>
      </c>
      <c r="P269" t="s">
        <v>8</v>
      </c>
      <c r="Q269" t="s">
        <v>65</v>
      </c>
      <c r="R269" t="s">
        <v>26</v>
      </c>
      <c r="S269" s="3">
        <v>293.89</v>
      </c>
      <c r="T269" t="s">
        <v>12</v>
      </c>
      <c r="U269" s="3">
        <v>25719.59</v>
      </c>
      <c r="V269" t="s">
        <v>77</v>
      </c>
      <c r="W269" t="s">
        <v>13</v>
      </c>
      <c r="X269" t="s">
        <v>8</v>
      </c>
      <c r="Y269" t="s">
        <v>761</v>
      </c>
      <c r="Z269" t="s">
        <v>14</v>
      </c>
      <c r="AA269" t="s">
        <v>762</v>
      </c>
      <c r="AB269" t="s">
        <v>8</v>
      </c>
      <c r="AC269" t="s">
        <v>8</v>
      </c>
      <c r="AD269" t="s">
        <v>8</v>
      </c>
      <c r="AE269" s="2">
        <v>45918</v>
      </c>
      <c r="AF269" s="2"/>
      <c r="AG269" t="s">
        <v>8</v>
      </c>
    </row>
    <row r="270" spans="1:33" outlineLevel="2" x14ac:dyDescent="0.25">
      <c r="A270" t="s">
        <v>27</v>
      </c>
      <c r="B270" t="s">
        <v>1</v>
      </c>
      <c r="C270" t="s">
        <v>2</v>
      </c>
      <c r="D270" t="s">
        <v>3</v>
      </c>
      <c r="E270" t="s">
        <v>4</v>
      </c>
      <c r="F270" t="s">
        <v>97</v>
      </c>
      <c r="G270" s="2">
        <v>45996</v>
      </c>
      <c r="H270" t="s">
        <v>763</v>
      </c>
      <c r="I270" t="s">
        <v>75</v>
      </c>
      <c r="J270" s="2">
        <v>45996</v>
      </c>
      <c r="K270" s="2">
        <v>46000</v>
      </c>
      <c r="L270" t="s">
        <v>69</v>
      </c>
      <c r="M270" t="s">
        <v>764</v>
      </c>
      <c r="N270" t="s">
        <v>9</v>
      </c>
      <c r="O270" t="s">
        <v>10</v>
      </c>
      <c r="P270" t="s">
        <v>8</v>
      </c>
      <c r="Q270" t="s">
        <v>65</v>
      </c>
      <c r="R270" t="s">
        <v>26</v>
      </c>
      <c r="S270" s="3">
        <v>850</v>
      </c>
      <c r="T270" t="s">
        <v>12</v>
      </c>
      <c r="U270" s="3">
        <v>75395.12</v>
      </c>
      <c r="V270" t="s">
        <v>77</v>
      </c>
      <c r="W270" t="s">
        <v>13</v>
      </c>
      <c r="X270" t="s">
        <v>8</v>
      </c>
      <c r="Y270" t="s">
        <v>765</v>
      </c>
      <c r="Z270" t="s">
        <v>14</v>
      </c>
      <c r="AA270" t="s">
        <v>766</v>
      </c>
      <c r="AB270" t="s">
        <v>8</v>
      </c>
      <c r="AC270" t="s">
        <v>8</v>
      </c>
      <c r="AD270" t="s">
        <v>8</v>
      </c>
      <c r="AE270" s="2">
        <v>45996</v>
      </c>
      <c r="AF270" s="2"/>
      <c r="AG270" t="s">
        <v>8</v>
      </c>
    </row>
    <row r="271" spans="1:33" outlineLevel="2" x14ac:dyDescent="0.25">
      <c r="A271" t="s">
        <v>27</v>
      </c>
      <c r="B271" t="s">
        <v>1</v>
      </c>
      <c r="C271" t="s">
        <v>2</v>
      </c>
      <c r="D271" t="s">
        <v>3</v>
      </c>
      <c r="E271" t="s">
        <v>4</v>
      </c>
      <c r="F271" t="s">
        <v>97</v>
      </c>
      <c r="G271" s="2">
        <v>45996</v>
      </c>
      <c r="H271" t="s">
        <v>767</v>
      </c>
      <c r="I271" t="s">
        <v>75</v>
      </c>
      <c r="J271" s="2">
        <v>45996</v>
      </c>
      <c r="K271" s="2">
        <v>46000</v>
      </c>
      <c r="L271" t="s">
        <v>69</v>
      </c>
      <c r="M271" t="s">
        <v>768</v>
      </c>
      <c r="N271" t="s">
        <v>9</v>
      </c>
      <c r="O271" t="s">
        <v>10</v>
      </c>
      <c r="P271" t="s">
        <v>8</v>
      </c>
      <c r="Q271" t="s">
        <v>65</v>
      </c>
      <c r="R271" t="s">
        <v>26</v>
      </c>
      <c r="S271" s="3">
        <v>111.4</v>
      </c>
      <c r="T271" t="s">
        <v>12</v>
      </c>
      <c r="U271" s="3">
        <v>9881.2000000000007</v>
      </c>
      <c r="V271" t="s">
        <v>77</v>
      </c>
      <c r="W271" t="s">
        <v>13</v>
      </c>
      <c r="X271" t="s">
        <v>8</v>
      </c>
      <c r="Y271" t="s">
        <v>769</v>
      </c>
      <c r="Z271" t="s">
        <v>14</v>
      </c>
      <c r="AA271" t="s">
        <v>770</v>
      </c>
      <c r="AB271" t="s">
        <v>8</v>
      </c>
      <c r="AC271" t="s">
        <v>8</v>
      </c>
      <c r="AD271" t="s">
        <v>8</v>
      </c>
      <c r="AE271" s="2">
        <v>45996</v>
      </c>
      <c r="AF271" s="2"/>
      <c r="AG271" t="s">
        <v>8</v>
      </c>
    </row>
    <row r="272" spans="1:33" outlineLevel="2" x14ac:dyDescent="0.25">
      <c r="A272" t="s">
        <v>27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s="2">
        <v>45770</v>
      </c>
      <c r="H272" t="s">
        <v>771</v>
      </c>
      <c r="I272" t="s">
        <v>75</v>
      </c>
      <c r="J272" s="2">
        <v>45770</v>
      </c>
      <c r="K272" s="2">
        <v>45776</v>
      </c>
      <c r="L272" t="s">
        <v>69</v>
      </c>
      <c r="M272" t="s">
        <v>772</v>
      </c>
      <c r="N272" t="s">
        <v>9</v>
      </c>
      <c r="O272" t="s">
        <v>10</v>
      </c>
      <c r="P272" t="s">
        <v>8</v>
      </c>
      <c r="Q272" t="s">
        <v>65</v>
      </c>
      <c r="R272" t="s">
        <v>26</v>
      </c>
      <c r="S272" s="3">
        <v>12.12</v>
      </c>
      <c r="T272" t="s">
        <v>12</v>
      </c>
      <c r="U272" s="3">
        <v>1053.49</v>
      </c>
      <c r="V272" t="s">
        <v>77</v>
      </c>
      <c r="W272" t="s">
        <v>13</v>
      </c>
      <c r="X272" t="s">
        <v>8</v>
      </c>
      <c r="Y272" t="s">
        <v>69</v>
      </c>
      <c r="Z272" t="s">
        <v>14</v>
      </c>
      <c r="AA272" t="s">
        <v>773</v>
      </c>
      <c r="AB272" t="s">
        <v>8</v>
      </c>
      <c r="AC272" t="s">
        <v>8</v>
      </c>
      <c r="AD272" t="s">
        <v>8</v>
      </c>
      <c r="AE272" s="2">
        <v>45770</v>
      </c>
      <c r="AF272" s="2"/>
      <c r="AG272" t="s">
        <v>8</v>
      </c>
    </row>
    <row r="273" spans="1:33" outlineLevel="2" x14ac:dyDescent="0.25">
      <c r="A273" t="s">
        <v>27</v>
      </c>
      <c r="B273" t="s">
        <v>1</v>
      </c>
      <c r="C273" t="s">
        <v>2</v>
      </c>
      <c r="D273" t="s">
        <v>3</v>
      </c>
      <c r="E273" t="s">
        <v>4</v>
      </c>
      <c r="F273" t="s">
        <v>49</v>
      </c>
      <c r="G273" s="2">
        <v>45737</v>
      </c>
      <c r="H273" t="s">
        <v>774</v>
      </c>
      <c r="I273" t="s">
        <v>75</v>
      </c>
      <c r="J273" s="2">
        <v>45737</v>
      </c>
      <c r="K273" s="2">
        <v>45737</v>
      </c>
      <c r="L273" t="s">
        <v>69</v>
      </c>
      <c r="M273" t="s">
        <v>775</v>
      </c>
      <c r="N273" t="s">
        <v>9</v>
      </c>
      <c r="O273" t="s">
        <v>10</v>
      </c>
      <c r="P273" t="s">
        <v>8</v>
      </c>
      <c r="Q273" t="s">
        <v>65</v>
      </c>
      <c r="R273" t="s">
        <v>26</v>
      </c>
      <c r="S273" s="3">
        <v>45.74</v>
      </c>
      <c r="T273" t="s">
        <v>12</v>
      </c>
      <c r="U273" s="3">
        <v>3965.26</v>
      </c>
      <c r="V273" t="s">
        <v>77</v>
      </c>
      <c r="W273" t="s">
        <v>13</v>
      </c>
      <c r="X273" t="s">
        <v>8</v>
      </c>
      <c r="Y273" t="s">
        <v>69</v>
      </c>
      <c r="Z273" t="s">
        <v>14</v>
      </c>
      <c r="AA273" t="s">
        <v>776</v>
      </c>
      <c r="AB273" t="s">
        <v>8</v>
      </c>
      <c r="AC273" t="s">
        <v>8</v>
      </c>
      <c r="AD273" t="s">
        <v>8</v>
      </c>
      <c r="AE273" s="2">
        <v>45737</v>
      </c>
      <c r="AF273" s="2"/>
      <c r="AG273" t="s">
        <v>8</v>
      </c>
    </row>
    <row r="274" spans="1:33" outlineLevel="2" x14ac:dyDescent="0.25">
      <c r="A274" t="s">
        <v>27</v>
      </c>
      <c r="B274" t="s">
        <v>1</v>
      </c>
      <c r="C274" t="s">
        <v>2</v>
      </c>
      <c r="D274" t="s">
        <v>3</v>
      </c>
      <c r="E274" t="s">
        <v>4</v>
      </c>
      <c r="F274" t="s">
        <v>28</v>
      </c>
      <c r="G274" s="2">
        <v>45937</v>
      </c>
      <c r="H274" t="s">
        <v>777</v>
      </c>
      <c r="I274" t="s">
        <v>75</v>
      </c>
      <c r="J274" s="2">
        <v>45937</v>
      </c>
      <c r="K274" s="2">
        <v>45939</v>
      </c>
      <c r="L274" t="s">
        <v>69</v>
      </c>
      <c r="M274" t="s">
        <v>778</v>
      </c>
      <c r="N274" t="s">
        <v>9</v>
      </c>
      <c r="O274" t="s">
        <v>10</v>
      </c>
      <c r="P274" t="s">
        <v>8</v>
      </c>
      <c r="Q274" t="s">
        <v>65</v>
      </c>
      <c r="R274" t="s">
        <v>26</v>
      </c>
      <c r="S274" s="3">
        <v>173.22</v>
      </c>
      <c r="T274" t="s">
        <v>12</v>
      </c>
      <c r="U274" s="3">
        <v>15276.41</v>
      </c>
      <c r="V274" t="s">
        <v>77</v>
      </c>
      <c r="W274" t="s">
        <v>13</v>
      </c>
      <c r="X274" t="s">
        <v>8</v>
      </c>
      <c r="Y274" t="s">
        <v>164</v>
      </c>
      <c r="Z274" t="s">
        <v>14</v>
      </c>
      <c r="AA274" t="s">
        <v>779</v>
      </c>
      <c r="AB274" t="s">
        <v>8</v>
      </c>
      <c r="AC274" t="s">
        <v>8</v>
      </c>
      <c r="AD274" t="s">
        <v>8</v>
      </c>
      <c r="AE274" s="2">
        <v>45937</v>
      </c>
      <c r="AF274" s="2"/>
      <c r="AG274" t="s">
        <v>8</v>
      </c>
    </row>
    <row r="275" spans="1:33" outlineLevel="2" x14ac:dyDescent="0.25">
      <c r="A275" t="s">
        <v>27</v>
      </c>
      <c r="B275" t="s">
        <v>1</v>
      </c>
      <c r="C275" t="s">
        <v>2</v>
      </c>
      <c r="D275" t="s">
        <v>3</v>
      </c>
      <c r="E275" t="s">
        <v>4</v>
      </c>
      <c r="F275" t="s">
        <v>73</v>
      </c>
      <c r="G275" s="2">
        <v>45787</v>
      </c>
      <c r="H275" t="s">
        <v>780</v>
      </c>
      <c r="I275" t="s">
        <v>75</v>
      </c>
      <c r="J275" s="2">
        <v>45787</v>
      </c>
      <c r="K275" s="2">
        <v>45792</v>
      </c>
      <c r="L275" t="s">
        <v>69</v>
      </c>
      <c r="M275" t="s">
        <v>781</v>
      </c>
      <c r="N275" t="s">
        <v>9</v>
      </c>
      <c r="O275" t="s">
        <v>10</v>
      </c>
      <c r="P275" t="s">
        <v>8</v>
      </c>
      <c r="Q275" t="s">
        <v>65</v>
      </c>
      <c r="R275" t="s">
        <v>26</v>
      </c>
      <c r="S275" s="3">
        <v>200</v>
      </c>
      <c r="T275" t="s">
        <v>12</v>
      </c>
      <c r="U275" s="3">
        <v>17196.740000000002</v>
      </c>
      <c r="V275" t="s">
        <v>77</v>
      </c>
      <c r="W275" t="s">
        <v>13</v>
      </c>
      <c r="X275" t="s">
        <v>8</v>
      </c>
      <c r="Y275" t="s">
        <v>69</v>
      </c>
      <c r="Z275" t="s">
        <v>14</v>
      </c>
      <c r="AA275" t="s">
        <v>782</v>
      </c>
      <c r="AB275" t="s">
        <v>8</v>
      </c>
      <c r="AC275" t="s">
        <v>8</v>
      </c>
      <c r="AD275" t="s">
        <v>8</v>
      </c>
      <c r="AE275" s="2">
        <v>45787</v>
      </c>
      <c r="AF275" s="2"/>
      <c r="AG275" t="s">
        <v>8</v>
      </c>
    </row>
    <row r="276" spans="1:33" outlineLevel="2" x14ac:dyDescent="0.25">
      <c r="A276" t="s">
        <v>27</v>
      </c>
      <c r="B276" t="s">
        <v>1</v>
      </c>
      <c r="C276" t="s">
        <v>2</v>
      </c>
      <c r="D276" t="s">
        <v>3</v>
      </c>
      <c r="E276" t="s">
        <v>4</v>
      </c>
      <c r="F276" t="s">
        <v>73</v>
      </c>
      <c r="G276" s="2">
        <v>45787</v>
      </c>
      <c r="H276" t="s">
        <v>783</v>
      </c>
      <c r="I276" t="s">
        <v>75</v>
      </c>
      <c r="J276" s="2">
        <v>45787</v>
      </c>
      <c r="K276" s="2">
        <v>45792</v>
      </c>
      <c r="L276" t="s">
        <v>69</v>
      </c>
      <c r="M276" t="s">
        <v>784</v>
      </c>
      <c r="N276" t="s">
        <v>9</v>
      </c>
      <c r="O276" t="s">
        <v>10</v>
      </c>
      <c r="P276" t="s">
        <v>8</v>
      </c>
      <c r="Q276" t="s">
        <v>65</v>
      </c>
      <c r="R276" t="s">
        <v>26</v>
      </c>
      <c r="S276" s="3">
        <v>401.24</v>
      </c>
      <c r="T276" t="s">
        <v>12</v>
      </c>
      <c r="U276" s="3">
        <v>34500.1</v>
      </c>
      <c r="V276" t="s">
        <v>77</v>
      </c>
      <c r="W276" t="s">
        <v>13</v>
      </c>
      <c r="X276" t="s">
        <v>8</v>
      </c>
      <c r="Y276" t="s">
        <v>69</v>
      </c>
      <c r="Z276" t="s">
        <v>14</v>
      </c>
      <c r="AA276" t="s">
        <v>785</v>
      </c>
      <c r="AB276" t="s">
        <v>8</v>
      </c>
      <c r="AC276" t="s">
        <v>8</v>
      </c>
      <c r="AD276" t="s">
        <v>8</v>
      </c>
      <c r="AE276" s="2">
        <v>45787</v>
      </c>
      <c r="AF276" s="2"/>
      <c r="AG276" t="s">
        <v>8</v>
      </c>
    </row>
    <row r="277" spans="1:33" outlineLevel="2" x14ac:dyDescent="0.25">
      <c r="A277" t="s">
        <v>27</v>
      </c>
      <c r="B277" t="s">
        <v>1</v>
      </c>
      <c r="C277" t="s">
        <v>2</v>
      </c>
      <c r="D277" t="s">
        <v>3</v>
      </c>
      <c r="E277" t="s">
        <v>4</v>
      </c>
      <c r="F277" t="s">
        <v>97</v>
      </c>
      <c r="G277" s="2">
        <v>45997</v>
      </c>
      <c r="H277" t="s">
        <v>786</v>
      </c>
      <c r="I277" t="s">
        <v>75</v>
      </c>
      <c r="J277" s="2">
        <v>45997</v>
      </c>
      <c r="K277" s="2">
        <v>46000</v>
      </c>
      <c r="L277" t="s">
        <v>69</v>
      </c>
      <c r="M277" t="s">
        <v>787</v>
      </c>
      <c r="N277" t="s">
        <v>9</v>
      </c>
      <c r="O277" t="s">
        <v>10</v>
      </c>
      <c r="P277" t="s">
        <v>8</v>
      </c>
      <c r="Q277" t="s">
        <v>65</v>
      </c>
      <c r="R277" t="s">
        <v>26</v>
      </c>
      <c r="S277" s="3">
        <v>61.99</v>
      </c>
      <c r="T277" t="s">
        <v>12</v>
      </c>
      <c r="U277" s="3">
        <v>5498.52</v>
      </c>
      <c r="V277" t="s">
        <v>77</v>
      </c>
      <c r="W277" t="s">
        <v>13</v>
      </c>
      <c r="X277" t="s">
        <v>8</v>
      </c>
      <c r="Y277" t="s">
        <v>788</v>
      </c>
      <c r="Z277" t="s">
        <v>14</v>
      </c>
      <c r="AA277" t="s">
        <v>789</v>
      </c>
      <c r="AB277" t="s">
        <v>8</v>
      </c>
      <c r="AC277" t="s">
        <v>8</v>
      </c>
      <c r="AD277" t="s">
        <v>8</v>
      </c>
      <c r="AE277" s="2">
        <v>45997</v>
      </c>
      <c r="AF277" s="2"/>
      <c r="AG277" t="s">
        <v>8</v>
      </c>
    </row>
    <row r="278" spans="1:33" outlineLevel="2" x14ac:dyDescent="0.25">
      <c r="A278" t="s">
        <v>27</v>
      </c>
      <c r="B278" t="s">
        <v>1</v>
      </c>
      <c r="C278" t="s">
        <v>2</v>
      </c>
      <c r="D278" t="s">
        <v>3</v>
      </c>
      <c r="E278" t="s">
        <v>4</v>
      </c>
      <c r="F278" t="s">
        <v>97</v>
      </c>
      <c r="G278" s="2">
        <v>45997</v>
      </c>
      <c r="H278" t="s">
        <v>790</v>
      </c>
      <c r="I278" t="s">
        <v>75</v>
      </c>
      <c r="J278" s="2">
        <v>45997</v>
      </c>
      <c r="K278" s="2">
        <v>46000</v>
      </c>
      <c r="L278" t="s">
        <v>69</v>
      </c>
      <c r="M278" t="s">
        <v>791</v>
      </c>
      <c r="N278" t="s">
        <v>9</v>
      </c>
      <c r="O278" t="s">
        <v>10</v>
      </c>
      <c r="P278" t="s">
        <v>8</v>
      </c>
      <c r="Q278" t="s">
        <v>65</v>
      </c>
      <c r="R278" t="s">
        <v>26</v>
      </c>
      <c r="S278" s="3">
        <v>124.11</v>
      </c>
      <c r="T278" t="s">
        <v>12</v>
      </c>
      <c r="U278" s="3">
        <v>11008.57</v>
      </c>
      <c r="V278" t="s">
        <v>77</v>
      </c>
      <c r="W278" t="s">
        <v>13</v>
      </c>
      <c r="X278" t="s">
        <v>8</v>
      </c>
      <c r="Y278" t="s">
        <v>792</v>
      </c>
      <c r="Z278" t="s">
        <v>14</v>
      </c>
      <c r="AA278" t="s">
        <v>793</v>
      </c>
      <c r="AB278" t="s">
        <v>8</v>
      </c>
      <c r="AC278" t="s">
        <v>8</v>
      </c>
      <c r="AD278" t="s">
        <v>8</v>
      </c>
      <c r="AE278" s="2">
        <v>45997</v>
      </c>
      <c r="AF278" s="2"/>
      <c r="AG278" t="s">
        <v>8</v>
      </c>
    </row>
    <row r="279" spans="1:33" outlineLevel="2" x14ac:dyDescent="0.25">
      <c r="A279" t="s">
        <v>27</v>
      </c>
      <c r="B279" t="s">
        <v>1</v>
      </c>
      <c r="C279" t="s">
        <v>2</v>
      </c>
      <c r="D279" t="s">
        <v>3</v>
      </c>
      <c r="E279" t="s">
        <v>4</v>
      </c>
      <c r="F279" t="s">
        <v>79</v>
      </c>
      <c r="G279" s="2">
        <v>45815</v>
      </c>
      <c r="H279" t="s">
        <v>794</v>
      </c>
      <c r="I279" t="s">
        <v>75</v>
      </c>
      <c r="J279" s="2">
        <v>45815</v>
      </c>
      <c r="K279" s="2">
        <v>45817</v>
      </c>
      <c r="L279" t="s">
        <v>69</v>
      </c>
      <c r="M279" t="s">
        <v>795</v>
      </c>
      <c r="N279" t="s">
        <v>9</v>
      </c>
      <c r="O279" t="s">
        <v>10</v>
      </c>
      <c r="P279" t="s">
        <v>8</v>
      </c>
      <c r="Q279" t="s">
        <v>65</v>
      </c>
      <c r="R279" t="s">
        <v>26</v>
      </c>
      <c r="S279" s="3">
        <v>1339</v>
      </c>
      <c r="T279" t="s">
        <v>12</v>
      </c>
      <c r="U279" s="3">
        <v>114472.15</v>
      </c>
      <c r="V279" t="s">
        <v>77</v>
      </c>
      <c r="W279" t="s">
        <v>13</v>
      </c>
      <c r="X279" t="s">
        <v>8</v>
      </c>
      <c r="Y279" t="s">
        <v>69</v>
      </c>
      <c r="Z279" t="s">
        <v>14</v>
      </c>
      <c r="AA279" t="s">
        <v>796</v>
      </c>
      <c r="AB279" t="s">
        <v>8</v>
      </c>
      <c r="AC279" t="s">
        <v>8</v>
      </c>
      <c r="AD279" t="s">
        <v>8</v>
      </c>
      <c r="AE279" s="2">
        <v>45815</v>
      </c>
      <c r="AF279" s="2"/>
      <c r="AG279" t="s">
        <v>8</v>
      </c>
    </row>
    <row r="280" spans="1:33" outlineLevel="2" x14ac:dyDescent="0.25">
      <c r="A280" t="s">
        <v>27</v>
      </c>
      <c r="B280" t="s">
        <v>1</v>
      </c>
      <c r="C280" t="s">
        <v>2</v>
      </c>
      <c r="D280" t="s">
        <v>3</v>
      </c>
      <c r="E280" t="s">
        <v>4</v>
      </c>
      <c r="F280" t="s">
        <v>28</v>
      </c>
      <c r="G280" s="2">
        <v>45936</v>
      </c>
      <c r="H280" t="s">
        <v>797</v>
      </c>
      <c r="I280" t="s">
        <v>75</v>
      </c>
      <c r="J280" s="2">
        <v>45936</v>
      </c>
      <c r="K280" s="2">
        <v>45937</v>
      </c>
      <c r="L280" t="s">
        <v>69</v>
      </c>
      <c r="M280" t="s">
        <v>798</v>
      </c>
      <c r="N280" t="s">
        <v>9</v>
      </c>
      <c r="O280" t="s">
        <v>10</v>
      </c>
      <c r="P280" t="s">
        <v>8</v>
      </c>
      <c r="Q280" t="s">
        <v>65</v>
      </c>
      <c r="R280" t="s">
        <v>26</v>
      </c>
      <c r="S280" s="3">
        <v>930.14</v>
      </c>
      <c r="T280" t="s">
        <v>12</v>
      </c>
      <c r="U280" s="3">
        <v>82029.759999999995</v>
      </c>
      <c r="V280" t="s">
        <v>77</v>
      </c>
      <c r="W280" t="s">
        <v>13</v>
      </c>
      <c r="X280" t="s">
        <v>8</v>
      </c>
      <c r="Y280" t="s">
        <v>799</v>
      </c>
      <c r="Z280" t="s">
        <v>14</v>
      </c>
      <c r="AA280" t="s">
        <v>800</v>
      </c>
      <c r="AB280" t="s">
        <v>8</v>
      </c>
      <c r="AC280" t="s">
        <v>8</v>
      </c>
      <c r="AD280" t="s">
        <v>8</v>
      </c>
      <c r="AE280" s="2">
        <v>45936</v>
      </c>
      <c r="AF280" s="2"/>
      <c r="AG280" t="s">
        <v>8</v>
      </c>
    </row>
    <row r="281" spans="1:33" outlineLevel="2" x14ac:dyDescent="0.25">
      <c r="A281" t="s">
        <v>27</v>
      </c>
      <c r="B281" t="s">
        <v>1</v>
      </c>
      <c r="C281" t="s">
        <v>2</v>
      </c>
      <c r="D281" t="s">
        <v>3</v>
      </c>
      <c r="E281" t="s">
        <v>4</v>
      </c>
      <c r="F281" t="s">
        <v>28</v>
      </c>
      <c r="G281" s="2">
        <v>45935</v>
      </c>
      <c r="H281" t="s">
        <v>801</v>
      </c>
      <c r="I281" t="s">
        <v>75</v>
      </c>
      <c r="J281" s="2">
        <v>45935</v>
      </c>
      <c r="K281" s="2">
        <v>45937</v>
      </c>
      <c r="L281" t="s">
        <v>69</v>
      </c>
      <c r="M281" t="s">
        <v>802</v>
      </c>
      <c r="N281" t="s">
        <v>9</v>
      </c>
      <c r="O281" t="s">
        <v>10</v>
      </c>
      <c r="P281" t="s">
        <v>8</v>
      </c>
      <c r="Q281" t="s">
        <v>65</v>
      </c>
      <c r="R281" t="s">
        <v>26</v>
      </c>
      <c r="S281" s="3">
        <v>28.15</v>
      </c>
      <c r="T281" t="s">
        <v>12</v>
      </c>
      <c r="U281" s="3">
        <v>2482.5700000000002</v>
      </c>
      <c r="V281" t="s">
        <v>77</v>
      </c>
      <c r="W281" t="s">
        <v>13</v>
      </c>
      <c r="X281" t="s">
        <v>8</v>
      </c>
      <c r="Y281" t="s">
        <v>803</v>
      </c>
      <c r="Z281" t="s">
        <v>14</v>
      </c>
      <c r="AA281" t="s">
        <v>804</v>
      </c>
      <c r="AB281" t="s">
        <v>8</v>
      </c>
      <c r="AC281" t="s">
        <v>8</v>
      </c>
      <c r="AD281" t="s">
        <v>8</v>
      </c>
      <c r="AE281" s="2">
        <v>45935</v>
      </c>
      <c r="AF281" s="2"/>
      <c r="AG281" t="s">
        <v>8</v>
      </c>
    </row>
    <row r="282" spans="1:33" outlineLevel="2" x14ac:dyDescent="0.25">
      <c r="A282" t="s">
        <v>27</v>
      </c>
      <c r="B282" t="s">
        <v>1</v>
      </c>
      <c r="C282" t="s">
        <v>2</v>
      </c>
      <c r="D282" t="s">
        <v>3</v>
      </c>
      <c r="E282" t="s">
        <v>4</v>
      </c>
      <c r="F282" t="s">
        <v>28</v>
      </c>
      <c r="G282" s="2">
        <v>45935</v>
      </c>
      <c r="H282" t="s">
        <v>805</v>
      </c>
      <c r="I282" t="s">
        <v>75</v>
      </c>
      <c r="J282" s="2">
        <v>45935</v>
      </c>
      <c r="K282" s="2">
        <v>45937</v>
      </c>
      <c r="L282" t="s">
        <v>69</v>
      </c>
      <c r="M282" t="s">
        <v>806</v>
      </c>
      <c r="N282" t="s">
        <v>9</v>
      </c>
      <c r="O282" t="s">
        <v>10</v>
      </c>
      <c r="P282" t="s">
        <v>8</v>
      </c>
      <c r="Q282" t="s">
        <v>65</v>
      </c>
      <c r="R282" t="s">
        <v>26</v>
      </c>
      <c r="S282" s="3">
        <v>331.5</v>
      </c>
      <c r="T282" t="s">
        <v>12</v>
      </c>
      <c r="U282" s="3">
        <v>29235.24</v>
      </c>
      <c r="V282" t="s">
        <v>77</v>
      </c>
      <c r="W282" t="s">
        <v>13</v>
      </c>
      <c r="X282" t="s">
        <v>8</v>
      </c>
      <c r="Y282" t="s">
        <v>69</v>
      </c>
      <c r="Z282" t="s">
        <v>14</v>
      </c>
      <c r="AA282" t="s">
        <v>807</v>
      </c>
      <c r="AB282" t="s">
        <v>8</v>
      </c>
      <c r="AC282" t="s">
        <v>8</v>
      </c>
      <c r="AD282" t="s">
        <v>8</v>
      </c>
      <c r="AE282" s="2">
        <v>45935</v>
      </c>
      <c r="AF282" s="2"/>
      <c r="AG282" t="s">
        <v>8</v>
      </c>
    </row>
    <row r="283" spans="1:33" outlineLevel="2" x14ac:dyDescent="0.25">
      <c r="A283" t="s">
        <v>27</v>
      </c>
      <c r="B283" t="s">
        <v>1</v>
      </c>
      <c r="C283" t="s">
        <v>2</v>
      </c>
      <c r="D283" t="s">
        <v>3</v>
      </c>
      <c r="E283" t="s">
        <v>4</v>
      </c>
      <c r="F283" t="s">
        <v>28</v>
      </c>
      <c r="G283" s="2">
        <v>45935</v>
      </c>
      <c r="H283" t="s">
        <v>808</v>
      </c>
      <c r="I283" t="s">
        <v>75</v>
      </c>
      <c r="J283" s="2">
        <v>45935</v>
      </c>
      <c r="K283" s="2">
        <v>45937</v>
      </c>
      <c r="L283" t="s">
        <v>69</v>
      </c>
      <c r="M283" t="s">
        <v>809</v>
      </c>
      <c r="N283" t="s">
        <v>9</v>
      </c>
      <c r="O283" t="s">
        <v>10</v>
      </c>
      <c r="P283" t="s">
        <v>8</v>
      </c>
      <c r="Q283" t="s">
        <v>65</v>
      </c>
      <c r="R283" t="s">
        <v>26</v>
      </c>
      <c r="S283" s="3">
        <v>136.47999999999999</v>
      </c>
      <c r="T283" t="s">
        <v>12</v>
      </c>
      <c r="U283" s="3">
        <v>12036.28</v>
      </c>
      <c r="V283" t="s">
        <v>77</v>
      </c>
      <c r="W283" t="s">
        <v>13</v>
      </c>
      <c r="X283" t="s">
        <v>8</v>
      </c>
      <c r="Y283" t="s">
        <v>810</v>
      </c>
      <c r="Z283" t="s">
        <v>14</v>
      </c>
      <c r="AA283" t="s">
        <v>811</v>
      </c>
      <c r="AB283" t="s">
        <v>8</v>
      </c>
      <c r="AC283" t="s">
        <v>8</v>
      </c>
      <c r="AD283" t="s">
        <v>8</v>
      </c>
      <c r="AE283" s="2">
        <v>45935</v>
      </c>
      <c r="AF283" s="2"/>
      <c r="AG283" t="s">
        <v>8</v>
      </c>
    </row>
    <row r="284" spans="1:33" outlineLevel="2" x14ac:dyDescent="0.25">
      <c r="A284" t="s">
        <v>27</v>
      </c>
      <c r="B284" t="s">
        <v>1</v>
      </c>
      <c r="C284" t="s">
        <v>2</v>
      </c>
      <c r="D284" t="s">
        <v>3</v>
      </c>
      <c r="E284" t="s">
        <v>4</v>
      </c>
      <c r="F284" t="s">
        <v>28</v>
      </c>
      <c r="G284" s="2">
        <v>45935</v>
      </c>
      <c r="H284" t="s">
        <v>812</v>
      </c>
      <c r="I284" t="s">
        <v>75</v>
      </c>
      <c r="J284" s="2">
        <v>45935</v>
      </c>
      <c r="K284" s="2">
        <v>45940</v>
      </c>
      <c r="L284" t="s">
        <v>69</v>
      </c>
      <c r="M284" t="s">
        <v>813</v>
      </c>
      <c r="N284" t="s">
        <v>9</v>
      </c>
      <c r="O284" t="s">
        <v>10</v>
      </c>
      <c r="P284" t="s">
        <v>8</v>
      </c>
      <c r="Q284" t="s">
        <v>65</v>
      </c>
      <c r="R284" t="s">
        <v>26</v>
      </c>
      <c r="S284" s="3">
        <v>293.3</v>
      </c>
      <c r="T284" t="s">
        <v>12</v>
      </c>
      <c r="U284" s="3">
        <v>25866.35</v>
      </c>
      <c r="V284" t="s">
        <v>77</v>
      </c>
      <c r="W284" t="s">
        <v>13</v>
      </c>
      <c r="X284" t="s">
        <v>8</v>
      </c>
      <c r="Y284" t="s">
        <v>814</v>
      </c>
      <c r="Z284" t="s">
        <v>14</v>
      </c>
      <c r="AA284" t="s">
        <v>815</v>
      </c>
      <c r="AB284" t="s">
        <v>8</v>
      </c>
      <c r="AC284" t="s">
        <v>8</v>
      </c>
      <c r="AD284" t="s">
        <v>8</v>
      </c>
      <c r="AE284" s="2">
        <v>45935</v>
      </c>
      <c r="AF284" s="2"/>
      <c r="AG284" t="s">
        <v>8</v>
      </c>
    </row>
    <row r="285" spans="1:33" outlineLevel="2" x14ac:dyDescent="0.25">
      <c r="A285" t="s">
        <v>27</v>
      </c>
      <c r="B285" t="s">
        <v>1</v>
      </c>
      <c r="C285" t="s">
        <v>2</v>
      </c>
      <c r="D285" t="s">
        <v>3</v>
      </c>
      <c r="E285" t="s">
        <v>4</v>
      </c>
      <c r="F285" t="s">
        <v>18</v>
      </c>
      <c r="G285" s="2">
        <v>45906</v>
      </c>
      <c r="H285" t="s">
        <v>816</v>
      </c>
      <c r="I285" t="s">
        <v>75</v>
      </c>
      <c r="J285" s="2">
        <v>45906</v>
      </c>
      <c r="K285" s="2">
        <v>45909</v>
      </c>
      <c r="L285" t="s">
        <v>69</v>
      </c>
      <c r="M285" t="s">
        <v>817</v>
      </c>
      <c r="N285" t="s">
        <v>9</v>
      </c>
      <c r="O285" t="s">
        <v>10</v>
      </c>
      <c r="P285" t="s">
        <v>8</v>
      </c>
      <c r="Q285" t="s">
        <v>65</v>
      </c>
      <c r="R285" t="s">
        <v>26</v>
      </c>
      <c r="S285" s="3">
        <v>1664.01</v>
      </c>
      <c r="T285" t="s">
        <v>12</v>
      </c>
      <c r="U285" s="3">
        <v>145624.72</v>
      </c>
      <c r="V285" t="s">
        <v>77</v>
      </c>
      <c r="W285" t="s">
        <v>13</v>
      </c>
      <c r="X285" t="s">
        <v>8</v>
      </c>
      <c r="Y285" t="s">
        <v>69</v>
      </c>
      <c r="Z285" t="s">
        <v>14</v>
      </c>
      <c r="AA285" t="s">
        <v>818</v>
      </c>
      <c r="AB285" t="s">
        <v>8</v>
      </c>
      <c r="AC285" t="s">
        <v>8</v>
      </c>
      <c r="AD285" t="s">
        <v>8</v>
      </c>
      <c r="AE285" s="2">
        <v>45906</v>
      </c>
      <c r="AF285" s="2"/>
      <c r="AG285" t="s">
        <v>8</v>
      </c>
    </row>
    <row r="286" spans="1:33" outlineLevel="2" x14ac:dyDescent="0.25">
      <c r="A286" t="s">
        <v>27</v>
      </c>
      <c r="B286" t="s">
        <v>1</v>
      </c>
      <c r="C286" t="s">
        <v>2</v>
      </c>
      <c r="D286" t="s">
        <v>3</v>
      </c>
      <c r="E286" t="s">
        <v>819</v>
      </c>
      <c r="F286" t="s">
        <v>14</v>
      </c>
      <c r="G286" s="2">
        <v>46024</v>
      </c>
      <c r="H286" t="s">
        <v>820</v>
      </c>
      <c r="I286" t="s">
        <v>75</v>
      </c>
      <c r="J286" s="2">
        <v>46024</v>
      </c>
      <c r="K286" s="2">
        <v>46024</v>
      </c>
      <c r="L286" t="s">
        <v>69</v>
      </c>
      <c r="M286" t="s">
        <v>821</v>
      </c>
      <c r="N286" t="s">
        <v>9</v>
      </c>
      <c r="O286" t="s">
        <v>10</v>
      </c>
      <c r="P286" t="s">
        <v>8</v>
      </c>
      <c r="Q286" t="s">
        <v>65</v>
      </c>
      <c r="R286" t="s">
        <v>26</v>
      </c>
      <c r="S286" s="3">
        <v>464.42</v>
      </c>
      <c r="T286" t="s">
        <v>12</v>
      </c>
      <c r="U286" s="3">
        <v>42142.93</v>
      </c>
      <c r="V286" t="s">
        <v>77</v>
      </c>
      <c r="W286" t="s">
        <v>13</v>
      </c>
      <c r="X286" t="s">
        <v>8</v>
      </c>
      <c r="Y286" t="s">
        <v>822</v>
      </c>
      <c r="Z286" t="s">
        <v>14</v>
      </c>
      <c r="AA286" t="s">
        <v>823</v>
      </c>
      <c r="AB286" t="s">
        <v>8</v>
      </c>
      <c r="AC286" t="s">
        <v>8</v>
      </c>
      <c r="AD286" t="s">
        <v>8</v>
      </c>
      <c r="AE286" s="2">
        <v>46024</v>
      </c>
      <c r="AF286" s="2"/>
      <c r="AG286" t="s">
        <v>8</v>
      </c>
    </row>
    <row r="287" spans="1:33" outlineLevel="2" x14ac:dyDescent="0.25">
      <c r="A287" t="s">
        <v>27</v>
      </c>
      <c r="B287" t="s">
        <v>1</v>
      </c>
      <c r="C287" t="s">
        <v>2</v>
      </c>
      <c r="D287" t="s">
        <v>3</v>
      </c>
      <c r="E287" t="s">
        <v>819</v>
      </c>
      <c r="F287" t="s">
        <v>14</v>
      </c>
      <c r="G287" s="2">
        <v>46027</v>
      </c>
      <c r="H287" t="s">
        <v>824</v>
      </c>
      <c r="I287" t="s">
        <v>75</v>
      </c>
      <c r="J287" s="2">
        <v>46027</v>
      </c>
      <c r="K287" s="2">
        <v>46027</v>
      </c>
      <c r="L287" t="s">
        <v>69</v>
      </c>
      <c r="M287" t="s">
        <v>825</v>
      </c>
      <c r="N287" t="s">
        <v>9</v>
      </c>
      <c r="O287" t="s">
        <v>10</v>
      </c>
      <c r="P287" t="s">
        <v>8</v>
      </c>
      <c r="Q287" t="s">
        <v>65</v>
      </c>
      <c r="R287" t="s">
        <v>26</v>
      </c>
      <c r="S287" s="3">
        <v>846.77</v>
      </c>
      <c r="T287" t="s">
        <v>12</v>
      </c>
      <c r="U287" s="3">
        <v>76838.570000000007</v>
      </c>
      <c r="V287" t="s">
        <v>77</v>
      </c>
      <c r="W287" t="s">
        <v>13</v>
      </c>
      <c r="X287" t="s">
        <v>8</v>
      </c>
      <c r="Y287" t="s">
        <v>826</v>
      </c>
      <c r="Z287" t="s">
        <v>14</v>
      </c>
      <c r="AA287" t="s">
        <v>827</v>
      </c>
      <c r="AB287" t="s">
        <v>8</v>
      </c>
      <c r="AC287" t="s">
        <v>8</v>
      </c>
      <c r="AD287" t="s">
        <v>8</v>
      </c>
      <c r="AE287" s="2">
        <v>46027</v>
      </c>
      <c r="AF287" s="2"/>
      <c r="AG287" t="s">
        <v>8</v>
      </c>
    </row>
    <row r="288" spans="1:33" outlineLevel="2" x14ac:dyDescent="0.25">
      <c r="A288" t="s">
        <v>27</v>
      </c>
      <c r="B288" t="s">
        <v>1</v>
      </c>
      <c r="C288" t="s">
        <v>2</v>
      </c>
      <c r="D288" t="s">
        <v>3</v>
      </c>
      <c r="E288" t="s">
        <v>819</v>
      </c>
      <c r="F288" t="s">
        <v>14</v>
      </c>
      <c r="G288" s="2">
        <v>46027</v>
      </c>
      <c r="H288" t="s">
        <v>828</v>
      </c>
      <c r="I288" t="s">
        <v>75</v>
      </c>
      <c r="J288" s="2">
        <v>46027</v>
      </c>
      <c r="K288" s="2">
        <v>46027</v>
      </c>
      <c r="L288" t="s">
        <v>829</v>
      </c>
      <c r="M288" t="s">
        <v>830</v>
      </c>
      <c r="N288" t="s">
        <v>9</v>
      </c>
      <c r="O288" t="s">
        <v>10</v>
      </c>
      <c r="P288" t="s">
        <v>8</v>
      </c>
      <c r="Q288" t="s">
        <v>65</v>
      </c>
      <c r="R288" t="s">
        <v>26</v>
      </c>
      <c r="S288" s="3">
        <v>3.45</v>
      </c>
      <c r="T288" t="s">
        <v>12</v>
      </c>
      <c r="U288" s="3">
        <v>313.06</v>
      </c>
      <c r="V288" t="s">
        <v>77</v>
      </c>
      <c r="W288" t="s">
        <v>13</v>
      </c>
      <c r="X288" t="s">
        <v>8</v>
      </c>
      <c r="Y288" t="s">
        <v>69</v>
      </c>
      <c r="Z288" t="s">
        <v>14</v>
      </c>
      <c r="AA288" t="s">
        <v>831</v>
      </c>
      <c r="AB288" t="s">
        <v>8</v>
      </c>
      <c r="AC288" t="s">
        <v>8</v>
      </c>
      <c r="AD288" t="s">
        <v>8</v>
      </c>
      <c r="AE288" s="2">
        <v>46027</v>
      </c>
      <c r="AF288" s="2"/>
      <c r="AG288" t="s">
        <v>8</v>
      </c>
    </row>
    <row r="289" spans="1:33" outlineLevel="2" x14ac:dyDescent="0.25">
      <c r="A289" t="s">
        <v>0</v>
      </c>
      <c r="B289" t="s">
        <v>1</v>
      </c>
      <c r="C289" t="s">
        <v>2</v>
      </c>
      <c r="D289" t="s">
        <v>3</v>
      </c>
      <c r="E289" t="s">
        <v>819</v>
      </c>
      <c r="F289" t="s">
        <v>14</v>
      </c>
      <c r="G289" s="2">
        <v>46029</v>
      </c>
      <c r="H289" t="s">
        <v>832</v>
      </c>
      <c r="I289" t="s">
        <v>25</v>
      </c>
      <c r="J289" s="2">
        <v>46029</v>
      </c>
      <c r="K289" s="2">
        <v>46029</v>
      </c>
      <c r="L289" t="s">
        <v>833</v>
      </c>
      <c r="M289" t="s">
        <v>8</v>
      </c>
      <c r="N289" t="s">
        <v>9</v>
      </c>
      <c r="O289" t="s">
        <v>10</v>
      </c>
      <c r="P289" t="s">
        <v>8</v>
      </c>
      <c r="Q289" t="s">
        <v>48</v>
      </c>
      <c r="R289" t="s">
        <v>26</v>
      </c>
      <c r="S289" s="3">
        <v>1530.78</v>
      </c>
      <c r="T289" t="s">
        <v>12</v>
      </c>
      <c r="U289" s="3">
        <v>135000</v>
      </c>
      <c r="V289" t="s">
        <v>8</v>
      </c>
      <c r="W289" t="s">
        <v>13</v>
      </c>
      <c r="X289" t="s">
        <v>8</v>
      </c>
      <c r="Y289" t="s">
        <v>8</v>
      </c>
      <c r="Z289" t="s">
        <v>73</v>
      </c>
      <c r="AA289" t="s">
        <v>833</v>
      </c>
      <c r="AB289" t="s">
        <v>8</v>
      </c>
      <c r="AC289" t="s">
        <v>8</v>
      </c>
      <c r="AD289" t="s">
        <v>8</v>
      </c>
      <c r="AE289" s="2">
        <v>46029</v>
      </c>
      <c r="AF289" s="2">
        <v>46029</v>
      </c>
      <c r="AG289" t="s">
        <v>832</v>
      </c>
    </row>
    <row r="290" spans="1:33" outlineLevel="2" x14ac:dyDescent="0.25">
      <c r="A290" t="s">
        <v>0</v>
      </c>
      <c r="B290" t="s">
        <v>1</v>
      </c>
      <c r="C290" t="s">
        <v>2</v>
      </c>
      <c r="D290" t="s">
        <v>3</v>
      </c>
      <c r="E290" t="s">
        <v>819</v>
      </c>
      <c r="F290" t="s">
        <v>14</v>
      </c>
      <c r="G290" s="2">
        <v>46029</v>
      </c>
      <c r="H290" t="s">
        <v>832</v>
      </c>
      <c r="I290" t="s">
        <v>25</v>
      </c>
      <c r="J290" s="2">
        <v>46029</v>
      </c>
      <c r="K290" s="2">
        <v>46029</v>
      </c>
      <c r="L290" t="s">
        <v>833</v>
      </c>
      <c r="M290" t="s">
        <v>8</v>
      </c>
      <c r="N290" t="s">
        <v>9</v>
      </c>
      <c r="O290" t="s">
        <v>10</v>
      </c>
      <c r="P290" t="s">
        <v>8</v>
      </c>
      <c r="Q290" t="s">
        <v>48</v>
      </c>
      <c r="R290" t="s">
        <v>26</v>
      </c>
      <c r="S290" s="3">
        <v>986.48</v>
      </c>
      <c r="T290" t="s">
        <v>12</v>
      </c>
      <c r="U290" s="3">
        <v>86998.43</v>
      </c>
      <c r="V290" t="s">
        <v>8</v>
      </c>
      <c r="W290" t="s">
        <v>13</v>
      </c>
      <c r="X290" t="s">
        <v>8</v>
      </c>
      <c r="Y290" t="s">
        <v>8</v>
      </c>
      <c r="Z290" t="s">
        <v>79</v>
      </c>
      <c r="AA290" t="s">
        <v>833</v>
      </c>
      <c r="AB290" t="s">
        <v>8</v>
      </c>
      <c r="AC290" t="s">
        <v>8</v>
      </c>
      <c r="AD290" t="s">
        <v>8</v>
      </c>
      <c r="AE290" s="2">
        <v>46029</v>
      </c>
      <c r="AF290" s="2">
        <v>46029</v>
      </c>
      <c r="AG290" t="s">
        <v>832</v>
      </c>
    </row>
    <row r="291" spans="1:33" outlineLevel="2" x14ac:dyDescent="0.25">
      <c r="A291" t="s">
        <v>0</v>
      </c>
      <c r="B291" t="s">
        <v>1</v>
      </c>
      <c r="C291" t="s">
        <v>2</v>
      </c>
      <c r="D291" t="s">
        <v>3</v>
      </c>
      <c r="E291" t="s">
        <v>819</v>
      </c>
      <c r="F291" t="s">
        <v>14</v>
      </c>
      <c r="G291" s="2">
        <v>46029</v>
      </c>
      <c r="H291" t="s">
        <v>834</v>
      </c>
      <c r="I291" t="s">
        <v>25</v>
      </c>
      <c r="J291" s="2">
        <v>46029</v>
      </c>
      <c r="K291" s="2">
        <v>46029</v>
      </c>
      <c r="L291" t="s">
        <v>833</v>
      </c>
      <c r="M291" t="s">
        <v>8</v>
      </c>
      <c r="N291" t="s">
        <v>9</v>
      </c>
      <c r="O291" t="s">
        <v>10</v>
      </c>
      <c r="P291" t="s">
        <v>8</v>
      </c>
      <c r="Q291" t="s">
        <v>22</v>
      </c>
      <c r="R291" t="s">
        <v>26</v>
      </c>
      <c r="S291" s="3">
        <v>-1530.78</v>
      </c>
      <c r="T291" t="s">
        <v>12</v>
      </c>
      <c r="U291" s="3">
        <v>-135000</v>
      </c>
      <c r="V291" t="s">
        <v>8</v>
      </c>
      <c r="W291" t="s">
        <v>13</v>
      </c>
      <c r="X291" t="s">
        <v>8</v>
      </c>
      <c r="Y291" t="s">
        <v>8</v>
      </c>
      <c r="Z291" t="s">
        <v>73</v>
      </c>
      <c r="AA291" t="s">
        <v>833</v>
      </c>
      <c r="AB291" t="s">
        <v>8</v>
      </c>
      <c r="AC291" t="s">
        <v>8</v>
      </c>
      <c r="AD291" t="s">
        <v>8</v>
      </c>
      <c r="AE291" s="2">
        <v>46029</v>
      </c>
      <c r="AF291" s="2">
        <v>46029</v>
      </c>
      <c r="AG291" t="s">
        <v>832</v>
      </c>
    </row>
    <row r="292" spans="1:33" outlineLevel="2" x14ac:dyDescent="0.25">
      <c r="A292" t="s">
        <v>0</v>
      </c>
      <c r="B292" t="s">
        <v>1</v>
      </c>
      <c r="C292" t="s">
        <v>2</v>
      </c>
      <c r="D292" t="s">
        <v>3</v>
      </c>
      <c r="E292" t="s">
        <v>819</v>
      </c>
      <c r="F292" t="s">
        <v>14</v>
      </c>
      <c r="G292" s="2">
        <v>46029</v>
      </c>
      <c r="H292" t="s">
        <v>834</v>
      </c>
      <c r="I292" t="s">
        <v>25</v>
      </c>
      <c r="J292" s="2">
        <v>46029</v>
      </c>
      <c r="K292" s="2">
        <v>46029</v>
      </c>
      <c r="L292" t="s">
        <v>833</v>
      </c>
      <c r="M292" t="s">
        <v>8</v>
      </c>
      <c r="N292" t="s">
        <v>9</v>
      </c>
      <c r="O292" t="s">
        <v>10</v>
      </c>
      <c r="P292" t="s">
        <v>8</v>
      </c>
      <c r="Q292" t="s">
        <v>22</v>
      </c>
      <c r="R292" t="s">
        <v>26</v>
      </c>
      <c r="S292" s="3">
        <v>-986.48</v>
      </c>
      <c r="T292" t="s">
        <v>12</v>
      </c>
      <c r="U292" s="3">
        <v>-86998.43</v>
      </c>
      <c r="V292" t="s">
        <v>8</v>
      </c>
      <c r="W292" t="s">
        <v>13</v>
      </c>
      <c r="X292" t="s">
        <v>8</v>
      </c>
      <c r="Y292" t="s">
        <v>8</v>
      </c>
      <c r="Z292" t="s">
        <v>79</v>
      </c>
      <c r="AA292" t="s">
        <v>833</v>
      </c>
      <c r="AB292" t="s">
        <v>8</v>
      </c>
      <c r="AC292" t="s">
        <v>8</v>
      </c>
      <c r="AD292" t="s">
        <v>8</v>
      </c>
      <c r="AE292" s="2">
        <v>46029</v>
      </c>
      <c r="AF292" s="2">
        <v>46029</v>
      </c>
      <c r="AG292" t="s">
        <v>832</v>
      </c>
    </row>
    <row r="293" spans="1:33" outlineLevel="2" x14ac:dyDescent="0.25">
      <c r="A293" t="s">
        <v>0</v>
      </c>
      <c r="B293" t="s">
        <v>1</v>
      </c>
      <c r="C293" t="s">
        <v>2</v>
      </c>
      <c r="D293" t="s">
        <v>3</v>
      </c>
      <c r="E293" t="s">
        <v>819</v>
      </c>
      <c r="F293" t="s">
        <v>14</v>
      </c>
      <c r="G293" s="2">
        <v>46029</v>
      </c>
      <c r="H293" t="s">
        <v>835</v>
      </c>
      <c r="I293" t="s">
        <v>25</v>
      </c>
      <c r="J293" s="2">
        <v>46029</v>
      </c>
      <c r="K293" s="2">
        <v>46029</v>
      </c>
      <c r="L293" t="s">
        <v>833</v>
      </c>
      <c r="M293" t="s">
        <v>8</v>
      </c>
      <c r="N293" t="s">
        <v>9</v>
      </c>
      <c r="O293" t="s">
        <v>10</v>
      </c>
      <c r="P293" t="s">
        <v>8</v>
      </c>
      <c r="Q293" t="s">
        <v>22</v>
      </c>
      <c r="R293" t="s">
        <v>26</v>
      </c>
      <c r="S293" s="3">
        <v>-1530.78</v>
      </c>
      <c r="T293" t="s">
        <v>12</v>
      </c>
      <c r="U293" s="3">
        <v>-135000</v>
      </c>
      <c r="V293" t="s">
        <v>8</v>
      </c>
      <c r="W293" t="s">
        <v>13</v>
      </c>
      <c r="X293" t="s">
        <v>8</v>
      </c>
      <c r="Y293" t="s">
        <v>8</v>
      </c>
      <c r="Z293" t="s">
        <v>5</v>
      </c>
      <c r="AA293" t="s">
        <v>833</v>
      </c>
      <c r="AB293" t="s">
        <v>8</v>
      </c>
      <c r="AC293" t="s">
        <v>8</v>
      </c>
      <c r="AD293" t="s">
        <v>8</v>
      </c>
      <c r="AE293" s="2">
        <v>46029</v>
      </c>
      <c r="AF293" s="2">
        <v>46029</v>
      </c>
      <c r="AG293" t="s">
        <v>835</v>
      </c>
    </row>
    <row r="294" spans="1:33" outlineLevel="2" x14ac:dyDescent="0.25">
      <c r="A294" t="s">
        <v>0</v>
      </c>
      <c r="B294" t="s">
        <v>1</v>
      </c>
      <c r="C294" t="s">
        <v>2</v>
      </c>
      <c r="D294" t="s">
        <v>3</v>
      </c>
      <c r="E294" t="s">
        <v>819</v>
      </c>
      <c r="F294" t="s">
        <v>14</v>
      </c>
      <c r="G294" s="2">
        <v>46029</v>
      </c>
      <c r="H294" t="s">
        <v>835</v>
      </c>
      <c r="I294" t="s">
        <v>25</v>
      </c>
      <c r="J294" s="2">
        <v>46029</v>
      </c>
      <c r="K294" s="2">
        <v>46029</v>
      </c>
      <c r="L294" t="s">
        <v>833</v>
      </c>
      <c r="M294" t="s">
        <v>8</v>
      </c>
      <c r="N294" t="s">
        <v>9</v>
      </c>
      <c r="O294" t="s">
        <v>10</v>
      </c>
      <c r="P294" t="s">
        <v>8</v>
      </c>
      <c r="Q294" t="s">
        <v>22</v>
      </c>
      <c r="R294" t="s">
        <v>26</v>
      </c>
      <c r="S294" s="3">
        <v>-986.48</v>
      </c>
      <c r="T294" t="s">
        <v>12</v>
      </c>
      <c r="U294" s="3">
        <v>-86998.43</v>
      </c>
      <c r="V294" t="s">
        <v>8</v>
      </c>
      <c r="W294" t="s">
        <v>13</v>
      </c>
      <c r="X294" t="s">
        <v>8</v>
      </c>
      <c r="Y294" t="s">
        <v>8</v>
      </c>
      <c r="Z294" t="s">
        <v>73</v>
      </c>
      <c r="AA294" t="s">
        <v>833</v>
      </c>
      <c r="AB294" t="s">
        <v>8</v>
      </c>
      <c r="AC294" t="s">
        <v>8</v>
      </c>
      <c r="AD294" t="s">
        <v>8</v>
      </c>
      <c r="AE294" s="2">
        <v>46029</v>
      </c>
      <c r="AF294" s="2">
        <v>46029</v>
      </c>
      <c r="AG294" t="s">
        <v>835</v>
      </c>
    </row>
    <row r="295" spans="1:33" outlineLevel="2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28</v>
      </c>
      <c r="G295" s="2">
        <v>45935</v>
      </c>
      <c r="H295" t="s">
        <v>836</v>
      </c>
      <c r="I295" t="s">
        <v>75</v>
      </c>
      <c r="J295" s="2">
        <v>45935</v>
      </c>
      <c r="K295" s="2">
        <v>45937</v>
      </c>
      <c r="L295" t="s">
        <v>69</v>
      </c>
      <c r="M295" t="s">
        <v>837</v>
      </c>
      <c r="N295" t="s">
        <v>9</v>
      </c>
      <c r="O295" t="s">
        <v>10</v>
      </c>
      <c r="P295" t="s">
        <v>8</v>
      </c>
      <c r="Q295" t="s">
        <v>65</v>
      </c>
      <c r="R295" t="s">
        <v>12</v>
      </c>
      <c r="S295" s="3">
        <v>100000</v>
      </c>
      <c r="T295" t="s">
        <v>12</v>
      </c>
      <c r="U295" s="3">
        <v>100000</v>
      </c>
      <c r="V295" t="s">
        <v>77</v>
      </c>
      <c r="W295" t="s">
        <v>13</v>
      </c>
      <c r="X295" t="s">
        <v>8</v>
      </c>
      <c r="Y295" t="s">
        <v>838</v>
      </c>
      <c r="Z295" t="s">
        <v>14</v>
      </c>
      <c r="AA295" t="s">
        <v>839</v>
      </c>
      <c r="AB295" t="s">
        <v>8</v>
      </c>
      <c r="AC295" t="s">
        <v>8</v>
      </c>
      <c r="AD295" t="s">
        <v>8</v>
      </c>
      <c r="AE295" s="2">
        <v>45935</v>
      </c>
      <c r="AF295" s="2">
        <v>46029</v>
      </c>
      <c r="AG295" t="s">
        <v>835</v>
      </c>
    </row>
    <row r="296" spans="1:33" outlineLevel="2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28</v>
      </c>
      <c r="G296" s="2">
        <v>45935</v>
      </c>
      <c r="H296" t="s">
        <v>840</v>
      </c>
      <c r="I296" t="s">
        <v>75</v>
      </c>
      <c r="J296" s="2">
        <v>45935</v>
      </c>
      <c r="K296" s="2">
        <v>45937</v>
      </c>
      <c r="L296" t="s">
        <v>69</v>
      </c>
      <c r="M296" t="s">
        <v>841</v>
      </c>
      <c r="N296" t="s">
        <v>9</v>
      </c>
      <c r="O296" t="s">
        <v>10</v>
      </c>
      <c r="P296" t="s">
        <v>8</v>
      </c>
      <c r="Q296" t="s">
        <v>65</v>
      </c>
      <c r="R296" t="s">
        <v>12</v>
      </c>
      <c r="S296" s="3">
        <v>35000</v>
      </c>
      <c r="T296" t="s">
        <v>12</v>
      </c>
      <c r="U296" s="3">
        <v>35000</v>
      </c>
      <c r="V296" t="s">
        <v>77</v>
      </c>
      <c r="W296" t="s">
        <v>13</v>
      </c>
      <c r="X296" t="s">
        <v>8</v>
      </c>
      <c r="Y296" t="s">
        <v>838</v>
      </c>
      <c r="Z296" t="s">
        <v>14</v>
      </c>
      <c r="AA296" t="s">
        <v>839</v>
      </c>
      <c r="AB296" t="s">
        <v>8</v>
      </c>
      <c r="AC296" t="s">
        <v>8</v>
      </c>
      <c r="AD296" t="s">
        <v>8</v>
      </c>
      <c r="AE296" s="2">
        <v>45935</v>
      </c>
      <c r="AF296" s="2">
        <v>46029</v>
      </c>
      <c r="AG296" t="s">
        <v>835</v>
      </c>
    </row>
    <row r="297" spans="1:33" outlineLevel="2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28</v>
      </c>
      <c r="G297" s="2">
        <v>45935</v>
      </c>
      <c r="H297" t="s">
        <v>842</v>
      </c>
      <c r="I297" t="s">
        <v>75</v>
      </c>
      <c r="J297" s="2">
        <v>45935</v>
      </c>
      <c r="K297" s="2">
        <v>45937</v>
      </c>
      <c r="L297" t="s">
        <v>69</v>
      </c>
      <c r="M297" t="s">
        <v>843</v>
      </c>
      <c r="N297" t="s">
        <v>9</v>
      </c>
      <c r="O297" t="s">
        <v>10</v>
      </c>
      <c r="P297" t="s">
        <v>8</v>
      </c>
      <c r="Q297" t="s">
        <v>65</v>
      </c>
      <c r="R297" t="s">
        <v>26</v>
      </c>
      <c r="S297" s="3">
        <v>136.47999999999999</v>
      </c>
      <c r="T297" t="s">
        <v>12</v>
      </c>
      <c r="U297" s="3">
        <v>12036.28</v>
      </c>
      <c r="V297" t="s">
        <v>77</v>
      </c>
      <c r="W297" t="s">
        <v>13</v>
      </c>
      <c r="X297" t="s">
        <v>8</v>
      </c>
      <c r="Y297" t="s">
        <v>844</v>
      </c>
      <c r="Z297" t="s">
        <v>14</v>
      </c>
      <c r="AA297" t="s">
        <v>811</v>
      </c>
      <c r="AB297" t="s">
        <v>8</v>
      </c>
      <c r="AC297" t="s">
        <v>8</v>
      </c>
      <c r="AD297" t="s">
        <v>8</v>
      </c>
      <c r="AE297" s="2">
        <v>45935</v>
      </c>
      <c r="AF297" s="2">
        <v>46029</v>
      </c>
      <c r="AG297" t="s">
        <v>835</v>
      </c>
    </row>
    <row r="298" spans="1:33" outlineLevel="2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28</v>
      </c>
      <c r="G298" s="2">
        <v>45935</v>
      </c>
      <c r="H298" t="s">
        <v>845</v>
      </c>
      <c r="I298" t="s">
        <v>75</v>
      </c>
      <c r="J298" s="2">
        <v>45935</v>
      </c>
      <c r="K298" s="2">
        <v>45937</v>
      </c>
      <c r="L298" t="s">
        <v>69</v>
      </c>
      <c r="M298" t="s">
        <v>846</v>
      </c>
      <c r="N298" t="s">
        <v>9</v>
      </c>
      <c r="O298" t="s">
        <v>10</v>
      </c>
      <c r="P298" t="s">
        <v>8</v>
      </c>
      <c r="Q298" t="s">
        <v>65</v>
      </c>
      <c r="R298" t="s">
        <v>26</v>
      </c>
      <c r="S298" s="3">
        <v>850</v>
      </c>
      <c r="T298" t="s">
        <v>12</v>
      </c>
      <c r="U298" s="3">
        <v>74962.149999999994</v>
      </c>
      <c r="V298" t="s">
        <v>77</v>
      </c>
      <c r="W298" t="s">
        <v>13</v>
      </c>
      <c r="X298" t="s">
        <v>8</v>
      </c>
      <c r="Y298" t="s">
        <v>847</v>
      </c>
      <c r="Z298" t="s">
        <v>14</v>
      </c>
      <c r="AA298" t="s">
        <v>848</v>
      </c>
      <c r="AB298" t="s">
        <v>8</v>
      </c>
      <c r="AC298" t="s">
        <v>8</v>
      </c>
      <c r="AD298" t="s">
        <v>8</v>
      </c>
      <c r="AE298" s="2">
        <v>45935</v>
      </c>
      <c r="AF298" s="2">
        <v>46029</v>
      </c>
      <c r="AG298" t="s">
        <v>835</v>
      </c>
    </row>
    <row r="299" spans="1:33" outlineLevel="2" x14ac:dyDescent="0.25">
      <c r="A299" t="s">
        <v>27</v>
      </c>
      <c r="B299" t="s">
        <v>1</v>
      </c>
      <c r="C299" t="s">
        <v>2</v>
      </c>
      <c r="D299" t="s">
        <v>3</v>
      </c>
      <c r="E299" t="s">
        <v>819</v>
      </c>
      <c r="F299" t="s">
        <v>14</v>
      </c>
      <c r="G299" s="2">
        <v>46034</v>
      </c>
      <c r="H299" t="s">
        <v>849</v>
      </c>
      <c r="I299" t="s">
        <v>75</v>
      </c>
      <c r="J299" s="2">
        <v>46034</v>
      </c>
      <c r="K299" s="2">
        <v>46034</v>
      </c>
      <c r="L299" t="s">
        <v>850</v>
      </c>
      <c r="M299" t="s">
        <v>851</v>
      </c>
      <c r="N299" t="s">
        <v>9</v>
      </c>
      <c r="O299" t="s">
        <v>10</v>
      </c>
      <c r="P299" t="s">
        <v>8</v>
      </c>
      <c r="Q299" t="s">
        <v>65</v>
      </c>
      <c r="R299" t="s">
        <v>26</v>
      </c>
      <c r="S299" s="3">
        <v>903.23</v>
      </c>
      <c r="T299" t="s">
        <v>12</v>
      </c>
      <c r="U299" s="3">
        <v>81961.929999999993</v>
      </c>
      <c r="V299" t="s">
        <v>77</v>
      </c>
      <c r="W299" t="s">
        <v>13</v>
      </c>
      <c r="X299" t="s">
        <v>8</v>
      </c>
      <c r="Y299" t="s">
        <v>69</v>
      </c>
      <c r="Z299" t="s">
        <v>14</v>
      </c>
      <c r="AA299" t="s">
        <v>852</v>
      </c>
      <c r="AB299" t="s">
        <v>8</v>
      </c>
      <c r="AC299" t="s">
        <v>8</v>
      </c>
      <c r="AD299" t="s">
        <v>8</v>
      </c>
      <c r="AE299" s="2">
        <v>46034</v>
      </c>
      <c r="AF299" s="2"/>
      <c r="AG299" t="s">
        <v>8</v>
      </c>
    </row>
    <row r="300" spans="1:33" outlineLevel="2" x14ac:dyDescent="0.25">
      <c r="A300" t="s">
        <v>27</v>
      </c>
      <c r="B300" t="s">
        <v>1</v>
      </c>
      <c r="C300" t="s">
        <v>2</v>
      </c>
      <c r="D300" t="s">
        <v>3</v>
      </c>
      <c r="E300" t="s">
        <v>819</v>
      </c>
      <c r="F300" t="s">
        <v>14</v>
      </c>
      <c r="G300" s="2">
        <v>46028</v>
      </c>
      <c r="H300" t="s">
        <v>853</v>
      </c>
      <c r="I300" t="s">
        <v>75</v>
      </c>
      <c r="J300" s="2">
        <v>46028</v>
      </c>
      <c r="K300" s="2">
        <v>46034</v>
      </c>
      <c r="L300" t="s">
        <v>854</v>
      </c>
      <c r="M300" t="s">
        <v>855</v>
      </c>
      <c r="N300" t="s">
        <v>9</v>
      </c>
      <c r="O300" t="s">
        <v>10</v>
      </c>
      <c r="P300" t="s">
        <v>8</v>
      </c>
      <c r="Q300" t="s">
        <v>65</v>
      </c>
      <c r="R300" t="s">
        <v>26</v>
      </c>
      <c r="S300" s="3">
        <v>26.97</v>
      </c>
      <c r="T300" t="s">
        <v>12</v>
      </c>
      <c r="U300" s="3">
        <v>2447.34</v>
      </c>
      <c r="V300" t="s">
        <v>77</v>
      </c>
      <c r="W300" t="s">
        <v>13</v>
      </c>
      <c r="X300" t="s">
        <v>8</v>
      </c>
      <c r="Y300" t="s">
        <v>69</v>
      </c>
      <c r="Z300" t="s">
        <v>14</v>
      </c>
      <c r="AA300" t="s">
        <v>856</v>
      </c>
      <c r="AB300" t="s">
        <v>8</v>
      </c>
      <c r="AC300" t="s">
        <v>8</v>
      </c>
      <c r="AD300" t="s">
        <v>8</v>
      </c>
      <c r="AE300" s="2">
        <v>46028</v>
      </c>
      <c r="AF300" s="2"/>
      <c r="AG300" t="s">
        <v>8</v>
      </c>
    </row>
    <row r="301" spans="1:33" outlineLevel="2" x14ac:dyDescent="0.25">
      <c r="A301" t="s">
        <v>27</v>
      </c>
      <c r="B301" t="s">
        <v>1</v>
      </c>
      <c r="C301" t="s">
        <v>2</v>
      </c>
      <c r="D301" t="s">
        <v>3</v>
      </c>
      <c r="E301" t="s">
        <v>819</v>
      </c>
      <c r="F301" t="s">
        <v>14</v>
      </c>
      <c r="G301" s="2">
        <v>46034</v>
      </c>
      <c r="H301" t="s">
        <v>857</v>
      </c>
      <c r="I301" t="s">
        <v>75</v>
      </c>
      <c r="J301" s="2">
        <v>46034</v>
      </c>
      <c r="K301" s="2">
        <v>46034</v>
      </c>
      <c r="L301" t="s">
        <v>858</v>
      </c>
      <c r="M301" t="s">
        <v>859</v>
      </c>
      <c r="N301" t="s">
        <v>9</v>
      </c>
      <c r="O301" t="s">
        <v>10</v>
      </c>
      <c r="P301" t="s">
        <v>8</v>
      </c>
      <c r="Q301" t="s">
        <v>65</v>
      </c>
      <c r="R301" t="s">
        <v>26</v>
      </c>
      <c r="S301" s="3">
        <v>40.56</v>
      </c>
      <c r="T301" t="s">
        <v>12</v>
      </c>
      <c r="U301" s="3">
        <v>3680.54</v>
      </c>
      <c r="V301" t="s">
        <v>77</v>
      </c>
      <c r="W301" t="s">
        <v>13</v>
      </c>
      <c r="X301" t="s">
        <v>8</v>
      </c>
      <c r="Y301" t="s">
        <v>69</v>
      </c>
      <c r="Z301" t="s">
        <v>14</v>
      </c>
      <c r="AA301" t="s">
        <v>860</v>
      </c>
      <c r="AB301" t="s">
        <v>8</v>
      </c>
      <c r="AC301" t="s">
        <v>8</v>
      </c>
      <c r="AD301" t="s">
        <v>8</v>
      </c>
      <c r="AE301" s="2">
        <v>46034</v>
      </c>
      <c r="AF301" s="2"/>
      <c r="AG301" t="s">
        <v>8</v>
      </c>
    </row>
    <row r="302" spans="1:33" outlineLevel="2" x14ac:dyDescent="0.25">
      <c r="A302" t="s">
        <v>27</v>
      </c>
      <c r="B302" t="s">
        <v>1</v>
      </c>
      <c r="C302" t="s">
        <v>2</v>
      </c>
      <c r="D302" t="s">
        <v>3</v>
      </c>
      <c r="E302" t="s">
        <v>819</v>
      </c>
      <c r="F302" t="s">
        <v>14</v>
      </c>
      <c r="G302" s="2">
        <v>46028</v>
      </c>
      <c r="H302" t="s">
        <v>861</v>
      </c>
      <c r="I302" t="s">
        <v>75</v>
      </c>
      <c r="J302" s="2">
        <v>46028</v>
      </c>
      <c r="K302" s="2">
        <v>46035</v>
      </c>
      <c r="L302" t="s">
        <v>862</v>
      </c>
      <c r="M302" t="s">
        <v>863</v>
      </c>
      <c r="N302" t="s">
        <v>9</v>
      </c>
      <c r="O302" t="s">
        <v>10</v>
      </c>
      <c r="P302" t="s">
        <v>8</v>
      </c>
      <c r="Q302" t="s">
        <v>65</v>
      </c>
      <c r="R302" t="s">
        <v>26</v>
      </c>
      <c r="S302" s="3">
        <v>100</v>
      </c>
      <c r="T302" t="s">
        <v>12</v>
      </c>
      <c r="U302" s="3">
        <v>9074.31</v>
      </c>
      <c r="V302" t="s">
        <v>77</v>
      </c>
      <c r="W302" t="s">
        <v>13</v>
      </c>
      <c r="X302" t="s">
        <v>8</v>
      </c>
      <c r="Y302" t="s">
        <v>69</v>
      </c>
      <c r="Z302" t="s">
        <v>14</v>
      </c>
      <c r="AA302" t="s">
        <v>864</v>
      </c>
      <c r="AB302" t="s">
        <v>8</v>
      </c>
      <c r="AC302" t="s">
        <v>8</v>
      </c>
      <c r="AD302" t="s">
        <v>8</v>
      </c>
      <c r="AE302" s="2">
        <v>46028</v>
      </c>
      <c r="AF302" s="2"/>
      <c r="AG302" t="s">
        <v>8</v>
      </c>
    </row>
    <row r="303" spans="1:33" outlineLevel="2" x14ac:dyDescent="0.25">
      <c r="A303" t="s">
        <v>27</v>
      </c>
      <c r="B303" t="s">
        <v>1</v>
      </c>
      <c r="C303" t="s">
        <v>2</v>
      </c>
      <c r="D303" t="s">
        <v>3</v>
      </c>
      <c r="E303" t="s">
        <v>819</v>
      </c>
      <c r="F303" t="s">
        <v>14</v>
      </c>
      <c r="G303" s="2">
        <v>46028</v>
      </c>
      <c r="H303" t="s">
        <v>865</v>
      </c>
      <c r="I303" t="s">
        <v>75</v>
      </c>
      <c r="J303" s="2">
        <v>46028</v>
      </c>
      <c r="K303" s="2">
        <v>46035</v>
      </c>
      <c r="L303" t="s">
        <v>862</v>
      </c>
      <c r="M303" t="s">
        <v>866</v>
      </c>
      <c r="N303" t="s">
        <v>9</v>
      </c>
      <c r="O303" t="s">
        <v>10</v>
      </c>
      <c r="P303" t="s">
        <v>8</v>
      </c>
      <c r="Q303" t="s">
        <v>65</v>
      </c>
      <c r="R303" t="s">
        <v>26</v>
      </c>
      <c r="S303" s="3">
        <v>100</v>
      </c>
      <c r="T303" t="s">
        <v>12</v>
      </c>
      <c r="U303" s="3">
        <v>9074.31</v>
      </c>
      <c r="V303" t="s">
        <v>77</v>
      </c>
      <c r="W303" t="s">
        <v>13</v>
      </c>
      <c r="X303" t="s">
        <v>8</v>
      </c>
      <c r="Y303" t="s">
        <v>69</v>
      </c>
      <c r="Z303" t="s">
        <v>14</v>
      </c>
      <c r="AA303" t="s">
        <v>864</v>
      </c>
      <c r="AB303" t="s">
        <v>8</v>
      </c>
      <c r="AC303" t="s">
        <v>8</v>
      </c>
      <c r="AD303" t="s">
        <v>8</v>
      </c>
      <c r="AE303" s="2">
        <v>46028</v>
      </c>
      <c r="AF303" s="2"/>
      <c r="AG303" t="s">
        <v>8</v>
      </c>
    </row>
    <row r="304" spans="1:33" outlineLevel="2" x14ac:dyDescent="0.25">
      <c r="A304" t="s">
        <v>27</v>
      </c>
      <c r="B304" t="s">
        <v>1</v>
      </c>
      <c r="C304" t="s">
        <v>2</v>
      </c>
      <c r="D304" t="s">
        <v>3</v>
      </c>
      <c r="E304" t="s">
        <v>819</v>
      </c>
      <c r="F304" t="s">
        <v>14</v>
      </c>
      <c r="G304" s="2">
        <v>46028</v>
      </c>
      <c r="H304" t="s">
        <v>867</v>
      </c>
      <c r="I304" t="s">
        <v>75</v>
      </c>
      <c r="J304" s="2">
        <v>46028</v>
      </c>
      <c r="K304" s="2">
        <v>46035</v>
      </c>
      <c r="L304" t="s">
        <v>862</v>
      </c>
      <c r="M304" t="s">
        <v>868</v>
      </c>
      <c r="N304" t="s">
        <v>9</v>
      </c>
      <c r="O304" t="s">
        <v>10</v>
      </c>
      <c r="P304" t="s">
        <v>8</v>
      </c>
      <c r="Q304" t="s">
        <v>65</v>
      </c>
      <c r="R304" t="s">
        <v>26</v>
      </c>
      <c r="S304" s="3">
        <v>100</v>
      </c>
      <c r="T304" t="s">
        <v>12</v>
      </c>
      <c r="U304" s="3">
        <v>9074.31</v>
      </c>
      <c r="V304" t="s">
        <v>77</v>
      </c>
      <c r="W304" t="s">
        <v>13</v>
      </c>
      <c r="X304" t="s">
        <v>8</v>
      </c>
      <c r="Y304" t="s">
        <v>69</v>
      </c>
      <c r="Z304" t="s">
        <v>14</v>
      </c>
      <c r="AA304" t="s">
        <v>864</v>
      </c>
      <c r="AB304" t="s">
        <v>8</v>
      </c>
      <c r="AC304" t="s">
        <v>8</v>
      </c>
      <c r="AD304" t="s">
        <v>8</v>
      </c>
      <c r="AE304" s="2">
        <v>46028</v>
      </c>
      <c r="AF304" s="2"/>
      <c r="AG304" t="s">
        <v>8</v>
      </c>
    </row>
    <row r="305" spans="1:33" outlineLevel="2" x14ac:dyDescent="0.25">
      <c r="A305" t="s">
        <v>27</v>
      </c>
      <c r="B305" t="s">
        <v>1</v>
      </c>
      <c r="C305" t="s">
        <v>2</v>
      </c>
      <c r="D305" t="s">
        <v>3</v>
      </c>
      <c r="E305" t="s">
        <v>819</v>
      </c>
      <c r="F305" t="s">
        <v>14</v>
      </c>
      <c r="G305" s="2">
        <v>46028</v>
      </c>
      <c r="H305" t="s">
        <v>869</v>
      </c>
      <c r="I305" t="s">
        <v>75</v>
      </c>
      <c r="J305" s="2">
        <v>46028</v>
      </c>
      <c r="K305" s="2">
        <v>46035</v>
      </c>
      <c r="L305" t="s">
        <v>862</v>
      </c>
      <c r="M305" t="s">
        <v>870</v>
      </c>
      <c r="N305" t="s">
        <v>9</v>
      </c>
      <c r="O305" t="s">
        <v>10</v>
      </c>
      <c r="P305" t="s">
        <v>8</v>
      </c>
      <c r="Q305" t="s">
        <v>65</v>
      </c>
      <c r="R305" t="s">
        <v>26</v>
      </c>
      <c r="S305" s="3">
        <v>100</v>
      </c>
      <c r="T305" t="s">
        <v>12</v>
      </c>
      <c r="U305" s="3">
        <v>9074.31</v>
      </c>
      <c r="V305" t="s">
        <v>77</v>
      </c>
      <c r="W305" t="s">
        <v>13</v>
      </c>
      <c r="X305" t="s">
        <v>8</v>
      </c>
      <c r="Y305" t="s">
        <v>69</v>
      </c>
      <c r="Z305" t="s">
        <v>14</v>
      </c>
      <c r="AA305" t="s">
        <v>864</v>
      </c>
      <c r="AB305" t="s">
        <v>8</v>
      </c>
      <c r="AC305" t="s">
        <v>8</v>
      </c>
      <c r="AD305" t="s">
        <v>8</v>
      </c>
      <c r="AE305" s="2">
        <v>46028</v>
      </c>
      <c r="AF305" s="2"/>
      <c r="AG305" t="s">
        <v>8</v>
      </c>
    </row>
    <row r="306" spans="1:33" outlineLevel="2" x14ac:dyDescent="0.25">
      <c r="A306" t="s">
        <v>27</v>
      </c>
      <c r="B306" t="s">
        <v>1</v>
      </c>
      <c r="C306" t="s">
        <v>2</v>
      </c>
      <c r="D306" t="s">
        <v>3</v>
      </c>
      <c r="E306" t="s">
        <v>819</v>
      </c>
      <c r="F306" t="s">
        <v>14</v>
      </c>
      <c r="G306" s="2">
        <v>46028</v>
      </c>
      <c r="H306" t="s">
        <v>871</v>
      </c>
      <c r="I306" t="s">
        <v>75</v>
      </c>
      <c r="J306" s="2">
        <v>46028</v>
      </c>
      <c r="K306" s="2">
        <v>46035</v>
      </c>
      <c r="L306" t="s">
        <v>872</v>
      </c>
      <c r="M306" t="s">
        <v>873</v>
      </c>
      <c r="N306" t="s">
        <v>9</v>
      </c>
      <c r="O306" t="s">
        <v>10</v>
      </c>
      <c r="P306" t="s">
        <v>8</v>
      </c>
      <c r="Q306" t="s">
        <v>65</v>
      </c>
      <c r="R306" t="s">
        <v>12</v>
      </c>
      <c r="S306" s="3">
        <v>100000</v>
      </c>
      <c r="T306" t="s">
        <v>12</v>
      </c>
      <c r="U306" s="3">
        <v>100000</v>
      </c>
      <c r="V306" t="s">
        <v>77</v>
      </c>
      <c r="W306" t="s">
        <v>13</v>
      </c>
      <c r="X306" t="s">
        <v>8</v>
      </c>
      <c r="Y306" t="s">
        <v>69</v>
      </c>
      <c r="Z306" t="s">
        <v>14</v>
      </c>
      <c r="AA306" t="s">
        <v>874</v>
      </c>
      <c r="AB306" t="s">
        <v>8</v>
      </c>
      <c r="AC306" t="s">
        <v>8</v>
      </c>
      <c r="AD306" t="s">
        <v>8</v>
      </c>
      <c r="AE306" s="2">
        <v>46028</v>
      </c>
      <c r="AF306" s="2"/>
      <c r="AG306" t="s">
        <v>8</v>
      </c>
    </row>
    <row r="307" spans="1:33" outlineLevel="2" x14ac:dyDescent="0.25">
      <c r="A307" t="s">
        <v>27</v>
      </c>
      <c r="B307" t="s">
        <v>1</v>
      </c>
      <c r="C307" t="s">
        <v>2</v>
      </c>
      <c r="D307" t="s">
        <v>3</v>
      </c>
      <c r="E307" t="s">
        <v>819</v>
      </c>
      <c r="F307" t="s">
        <v>14</v>
      </c>
      <c r="G307" s="2">
        <v>46028</v>
      </c>
      <c r="H307" t="s">
        <v>875</v>
      </c>
      <c r="I307" t="s">
        <v>75</v>
      </c>
      <c r="J307" s="2">
        <v>46028</v>
      </c>
      <c r="K307" s="2">
        <v>46035</v>
      </c>
      <c r="L307" t="s">
        <v>872</v>
      </c>
      <c r="M307" t="s">
        <v>876</v>
      </c>
      <c r="N307" t="s">
        <v>9</v>
      </c>
      <c r="O307" t="s">
        <v>10</v>
      </c>
      <c r="P307" t="s">
        <v>8</v>
      </c>
      <c r="Q307" t="s">
        <v>65</v>
      </c>
      <c r="R307" t="s">
        <v>12</v>
      </c>
      <c r="S307" s="3">
        <v>35000</v>
      </c>
      <c r="T307" t="s">
        <v>12</v>
      </c>
      <c r="U307" s="3">
        <v>35000</v>
      </c>
      <c r="V307" t="s">
        <v>77</v>
      </c>
      <c r="W307" t="s">
        <v>13</v>
      </c>
      <c r="X307" t="s">
        <v>8</v>
      </c>
      <c r="Y307" t="s">
        <v>69</v>
      </c>
      <c r="Z307" t="s">
        <v>14</v>
      </c>
      <c r="AA307" t="s">
        <v>877</v>
      </c>
      <c r="AB307" t="s">
        <v>8</v>
      </c>
      <c r="AC307" t="s">
        <v>8</v>
      </c>
      <c r="AD307" t="s">
        <v>8</v>
      </c>
      <c r="AE307" s="2">
        <v>46028</v>
      </c>
      <c r="AF307" s="2"/>
      <c r="AG307" t="s">
        <v>8</v>
      </c>
    </row>
    <row r="308" spans="1:33" outlineLevel="2" x14ac:dyDescent="0.25">
      <c r="A308" t="s">
        <v>27</v>
      </c>
      <c r="B308" t="s">
        <v>1</v>
      </c>
      <c r="C308" t="s">
        <v>2</v>
      </c>
      <c r="D308" t="s">
        <v>3</v>
      </c>
      <c r="E308" t="s">
        <v>819</v>
      </c>
      <c r="F308" t="s">
        <v>14</v>
      </c>
      <c r="G308" s="2">
        <v>46035</v>
      </c>
      <c r="H308" t="s">
        <v>878</v>
      </c>
      <c r="I308" t="s">
        <v>75</v>
      </c>
      <c r="J308" s="2">
        <v>46035</v>
      </c>
      <c r="K308" s="2">
        <v>46035</v>
      </c>
      <c r="L308" t="s">
        <v>69</v>
      </c>
      <c r="M308" t="s">
        <v>879</v>
      </c>
      <c r="N308" t="s">
        <v>9</v>
      </c>
      <c r="O308" t="s">
        <v>10</v>
      </c>
      <c r="P308" t="s">
        <v>8</v>
      </c>
      <c r="Q308" t="s">
        <v>65</v>
      </c>
      <c r="R308" t="s">
        <v>26</v>
      </c>
      <c r="S308" s="3">
        <v>100</v>
      </c>
      <c r="T308" t="s">
        <v>12</v>
      </c>
      <c r="U308" s="3">
        <v>9074.31</v>
      </c>
      <c r="V308" t="s">
        <v>77</v>
      </c>
      <c r="W308" t="s">
        <v>13</v>
      </c>
      <c r="X308" t="s">
        <v>8</v>
      </c>
      <c r="Y308" t="s">
        <v>880</v>
      </c>
      <c r="Z308" t="s">
        <v>14</v>
      </c>
      <c r="AA308" t="s">
        <v>881</v>
      </c>
      <c r="AB308" t="s">
        <v>8</v>
      </c>
      <c r="AC308" t="s">
        <v>8</v>
      </c>
      <c r="AD308" t="s">
        <v>8</v>
      </c>
      <c r="AE308" s="2">
        <v>46035</v>
      </c>
      <c r="AF308" s="2"/>
      <c r="AG308" t="s">
        <v>8</v>
      </c>
    </row>
    <row r="309" spans="1:33" outlineLevel="2" x14ac:dyDescent="0.25">
      <c r="A309" t="s">
        <v>27</v>
      </c>
      <c r="B309" t="s">
        <v>1</v>
      </c>
      <c r="C309" t="s">
        <v>2</v>
      </c>
      <c r="D309" t="s">
        <v>3</v>
      </c>
      <c r="E309" t="s">
        <v>819</v>
      </c>
      <c r="F309" t="s">
        <v>14</v>
      </c>
      <c r="G309" s="2">
        <v>46035</v>
      </c>
      <c r="H309" t="s">
        <v>882</v>
      </c>
      <c r="I309" t="s">
        <v>75</v>
      </c>
      <c r="J309" s="2">
        <v>46035</v>
      </c>
      <c r="K309" s="2">
        <v>46035</v>
      </c>
      <c r="L309" t="s">
        <v>69</v>
      </c>
      <c r="M309" t="s">
        <v>883</v>
      </c>
      <c r="N309" t="s">
        <v>9</v>
      </c>
      <c r="O309" t="s">
        <v>10</v>
      </c>
      <c r="P309" t="s">
        <v>8</v>
      </c>
      <c r="Q309" t="s">
        <v>65</v>
      </c>
      <c r="R309" t="s">
        <v>26</v>
      </c>
      <c r="S309" s="3">
        <v>38.229999999999997</v>
      </c>
      <c r="T309" t="s">
        <v>12</v>
      </c>
      <c r="U309" s="3">
        <v>3469.11</v>
      </c>
      <c r="V309" t="s">
        <v>77</v>
      </c>
      <c r="W309" t="s">
        <v>13</v>
      </c>
      <c r="X309" t="s">
        <v>8</v>
      </c>
      <c r="Y309" t="s">
        <v>880</v>
      </c>
      <c r="Z309" t="s">
        <v>14</v>
      </c>
      <c r="AA309" t="s">
        <v>884</v>
      </c>
      <c r="AB309" t="s">
        <v>8</v>
      </c>
      <c r="AC309" t="s">
        <v>8</v>
      </c>
      <c r="AD309" t="s">
        <v>8</v>
      </c>
      <c r="AE309" s="2">
        <v>46035</v>
      </c>
      <c r="AF309" s="2"/>
      <c r="AG309" t="s">
        <v>8</v>
      </c>
    </row>
    <row r="310" spans="1:33" outlineLevel="2" x14ac:dyDescent="0.25">
      <c r="A310" t="s">
        <v>27</v>
      </c>
      <c r="B310" t="s">
        <v>1</v>
      </c>
      <c r="C310" t="s">
        <v>2</v>
      </c>
      <c r="D310" t="s">
        <v>3</v>
      </c>
      <c r="E310" t="s">
        <v>819</v>
      </c>
      <c r="F310" t="s">
        <v>14</v>
      </c>
      <c r="G310" s="2">
        <v>46044</v>
      </c>
      <c r="H310" t="s">
        <v>885</v>
      </c>
      <c r="I310" t="s">
        <v>75</v>
      </c>
      <c r="J310" s="2">
        <v>46044</v>
      </c>
      <c r="K310" s="2">
        <v>46049</v>
      </c>
      <c r="L310" t="s">
        <v>886</v>
      </c>
      <c r="M310" t="s">
        <v>887</v>
      </c>
      <c r="N310" t="s">
        <v>9</v>
      </c>
      <c r="O310" t="s">
        <v>10</v>
      </c>
      <c r="P310" t="s">
        <v>8</v>
      </c>
      <c r="Q310" t="s">
        <v>65</v>
      </c>
      <c r="R310" t="s">
        <v>26</v>
      </c>
      <c r="S310" s="3">
        <v>846.77</v>
      </c>
      <c r="T310" t="s">
        <v>12</v>
      </c>
      <c r="U310" s="3">
        <v>76838.570000000007</v>
      </c>
      <c r="V310" t="s">
        <v>77</v>
      </c>
      <c r="W310" t="s">
        <v>13</v>
      </c>
      <c r="X310" t="s">
        <v>8</v>
      </c>
      <c r="Y310" t="s">
        <v>69</v>
      </c>
      <c r="Z310" t="s">
        <v>14</v>
      </c>
      <c r="AA310" t="s">
        <v>888</v>
      </c>
      <c r="AB310" t="s">
        <v>8</v>
      </c>
      <c r="AC310" t="s">
        <v>8</v>
      </c>
      <c r="AD310" t="s">
        <v>8</v>
      </c>
      <c r="AE310" s="2">
        <v>46044</v>
      </c>
      <c r="AF310" s="2"/>
      <c r="AG310" t="s">
        <v>8</v>
      </c>
    </row>
    <row r="311" spans="1:33" outlineLevel="2" x14ac:dyDescent="0.25">
      <c r="A311" t="s">
        <v>27</v>
      </c>
      <c r="B311" t="s">
        <v>1</v>
      </c>
      <c r="C311" t="s">
        <v>2</v>
      </c>
      <c r="D311" t="s">
        <v>3</v>
      </c>
      <c r="E311" t="s">
        <v>819</v>
      </c>
      <c r="F311" t="s">
        <v>14</v>
      </c>
      <c r="G311" s="2">
        <v>46045</v>
      </c>
      <c r="H311" t="s">
        <v>889</v>
      </c>
      <c r="I311" t="s">
        <v>75</v>
      </c>
      <c r="J311" s="2">
        <v>46045</v>
      </c>
      <c r="K311" s="2">
        <v>46049</v>
      </c>
      <c r="L311" t="s">
        <v>890</v>
      </c>
      <c r="M311" t="s">
        <v>891</v>
      </c>
      <c r="N311" t="s">
        <v>9</v>
      </c>
      <c r="O311" t="s">
        <v>10</v>
      </c>
      <c r="P311" t="s">
        <v>8</v>
      </c>
      <c r="Q311" t="s">
        <v>65</v>
      </c>
      <c r="R311" t="s">
        <v>26</v>
      </c>
      <c r="S311" s="3">
        <v>82.3</v>
      </c>
      <c r="T311" t="s">
        <v>12</v>
      </c>
      <c r="U311" s="3">
        <v>7468.16</v>
      </c>
      <c r="V311" t="s">
        <v>77</v>
      </c>
      <c r="W311" t="s">
        <v>13</v>
      </c>
      <c r="X311" t="s">
        <v>8</v>
      </c>
      <c r="Y311" t="s">
        <v>69</v>
      </c>
      <c r="Z311" t="s">
        <v>14</v>
      </c>
      <c r="AA311" t="s">
        <v>892</v>
      </c>
      <c r="AB311" t="s">
        <v>8</v>
      </c>
      <c r="AC311" t="s">
        <v>8</v>
      </c>
      <c r="AD311" t="s">
        <v>8</v>
      </c>
      <c r="AE311" s="2">
        <v>46045</v>
      </c>
      <c r="AF311" s="2"/>
      <c r="AG311" t="s">
        <v>8</v>
      </c>
    </row>
    <row r="312" spans="1:33" outlineLevel="2" x14ac:dyDescent="0.25">
      <c r="A312" t="s">
        <v>27</v>
      </c>
      <c r="B312" t="s">
        <v>1</v>
      </c>
      <c r="C312" t="s">
        <v>2</v>
      </c>
      <c r="D312" t="s">
        <v>3</v>
      </c>
      <c r="E312" t="s">
        <v>819</v>
      </c>
      <c r="F312" t="s">
        <v>14</v>
      </c>
      <c r="G312" s="2">
        <v>46045</v>
      </c>
      <c r="H312" t="s">
        <v>893</v>
      </c>
      <c r="I312" t="s">
        <v>75</v>
      </c>
      <c r="J312" s="2">
        <v>46045</v>
      </c>
      <c r="K312" s="2">
        <v>46049</v>
      </c>
      <c r="L312" t="s">
        <v>894</v>
      </c>
      <c r="M312" t="s">
        <v>895</v>
      </c>
      <c r="N312" t="s">
        <v>9</v>
      </c>
      <c r="O312" t="s">
        <v>10</v>
      </c>
      <c r="P312" t="s">
        <v>8</v>
      </c>
      <c r="Q312" t="s">
        <v>65</v>
      </c>
      <c r="R312" t="s">
        <v>26</v>
      </c>
      <c r="S312" s="3">
        <v>23.82</v>
      </c>
      <c r="T312" t="s">
        <v>12</v>
      </c>
      <c r="U312" s="3">
        <v>2161.5</v>
      </c>
      <c r="V312" t="s">
        <v>77</v>
      </c>
      <c r="W312" t="s">
        <v>13</v>
      </c>
      <c r="X312" t="s">
        <v>8</v>
      </c>
      <c r="Y312" t="s">
        <v>69</v>
      </c>
      <c r="Z312" t="s">
        <v>14</v>
      </c>
      <c r="AA312" t="s">
        <v>896</v>
      </c>
      <c r="AB312" t="s">
        <v>8</v>
      </c>
      <c r="AC312" t="s">
        <v>8</v>
      </c>
      <c r="AD312" t="s">
        <v>8</v>
      </c>
      <c r="AE312" s="2">
        <v>46045</v>
      </c>
      <c r="AF312" s="2"/>
      <c r="AG312" t="s">
        <v>8</v>
      </c>
    </row>
    <row r="313" spans="1:33" outlineLevel="2" x14ac:dyDescent="0.25">
      <c r="A313" t="s">
        <v>27</v>
      </c>
      <c r="B313" t="s">
        <v>1</v>
      </c>
      <c r="C313" t="s">
        <v>2</v>
      </c>
      <c r="D313" t="s">
        <v>3</v>
      </c>
      <c r="E313" t="s">
        <v>819</v>
      </c>
      <c r="F313" t="s">
        <v>14</v>
      </c>
      <c r="G313" s="2">
        <v>46049</v>
      </c>
      <c r="H313" t="s">
        <v>897</v>
      </c>
      <c r="I313" t="s">
        <v>75</v>
      </c>
      <c r="J313" s="2">
        <v>46049</v>
      </c>
      <c r="K313" s="2">
        <v>46049</v>
      </c>
      <c r="L313" t="s">
        <v>898</v>
      </c>
      <c r="M313" t="s">
        <v>899</v>
      </c>
      <c r="N313" t="s">
        <v>9</v>
      </c>
      <c r="O313" t="s">
        <v>10</v>
      </c>
      <c r="P313" t="s">
        <v>8</v>
      </c>
      <c r="Q313" t="s">
        <v>65</v>
      </c>
      <c r="R313" t="s">
        <v>26</v>
      </c>
      <c r="S313" s="3">
        <v>96.71</v>
      </c>
      <c r="T313" t="s">
        <v>12</v>
      </c>
      <c r="U313" s="3">
        <v>8775.77</v>
      </c>
      <c r="V313" t="s">
        <v>77</v>
      </c>
      <c r="W313" t="s">
        <v>13</v>
      </c>
      <c r="X313" t="s">
        <v>8</v>
      </c>
      <c r="Y313" t="s">
        <v>69</v>
      </c>
      <c r="Z313" t="s">
        <v>14</v>
      </c>
      <c r="AA313" t="s">
        <v>900</v>
      </c>
      <c r="AB313" t="s">
        <v>8</v>
      </c>
      <c r="AC313" t="s">
        <v>8</v>
      </c>
      <c r="AD313" t="s">
        <v>8</v>
      </c>
      <c r="AE313" s="2">
        <v>46049</v>
      </c>
      <c r="AF313" s="2"/>
      <c r="AG313" t="s">
        <v>8</v>
      </c>
    </row>
    <row r="314" spans="1:33" outlineLevel="2" x14ac:dyDescent="0.25">
      <c r="A314" t="s">
        <v>27</v>
      </c>
      <c r="B314" t="s">
        <v>1</v>
      </c>
      <c r="C314" t="s">
        <v>2</v>
      </c>
      <c r="D314" t="s">
        <v>3</v>
      </c>
      <c r="E314" t="s">
        <v>819</v>
      </c>
      <c r="F314" t="s">
        <v>17</v>
      </c>
      <c r="G314" s="2">
        <v>46055</v>
      </c>
      <c r="H314" t="s">
        <v>901</v>
      </c>
      <c r="I314" t="s">
        <v>118</v>
      </c>
      <c r="J314" s="2">
        <v>46055</v>
      </c>
      <c r="K314" s="2">
        <v>46055</v>
      </c>
      <c r="L314" t="s">
        <v>902</v>
      </c>
      <c r="M314" t="s">
        <v>903</v>
      </c>
      <c r="N314" t="s">
        <v>9</v>
      </c>
      <c r="O314" t="s">
        <v>10</v>
      </c>
      <c r="P314" t="s">
        <v>8</v>
      </c>
      <c r="Q314" t="s">
        <v>54</v>
      </c>
      <c r="R314" t="s">
        <v>26</v>
      </c>
      <c r="S314" s="3">
        <v>-17.48</v>
      </c>
      <c r="T314" t="s">
        <v>12</v>
      </c>
      <c r="U314" s="3">
        <v>-1579.06</v>
      </c>
      <c r="V314" t="s">
        <v>77</v>
      </c>
      <c r="W314" t="s">
        <v>13</v>
      </c>
      <c r="X314" t="s">
        <v>8</v>
      </c>
      <c r="Y314" t="s">
        <v>69</v>
      </c>
      <c r="Z314" t="s">
        <v>14</v>
      </c>
      <c r="AA314" t="s">
        <v>904</v>
      </c>
      <c r="AB314" t="s">
        <v>8</v>
      </c>
      <c r="AC314" t="s">
        <v>8</v>
      </c>
      <c r="AD314" t="s">
        <v>8</v>
      </c>
      <c r="AE314" s="2">
        <v>46055</v>
      </c>
      <c r="AF314" s="2"/>
      <c r="AG314" t="s">
        <v>8</v>
      </c>
    </row>
    <row r="315" spans="1:33" outlineLevel="2" x14ac:dyDescent="0.25">
      <c r="A315" t="s">
        <v>27</v>
      </c>
      <c r="B315" t="s">
        <v>1</v>
      </c>
      <c r="C315" t="s">
        <v>2</v>
      </c>
      <c r="D315" t="s">
        <v>3</v>
      </c>
      <c r="E315" t="s">
        <v>819</v>
      </c>
      <c r="F315" t="s">
        <v>17</v>
      </c>
      <c r="G315" s="2">
        <v>46055</v>
      </c>
      <c r="H315" t="s">
        <v>905</v>
      </c>
      <c r="I315" t="s">
        <v>118</v>
      </c>
      <c r="J315" s="2">
        <v>46055</v>
      </c>
      <c r="K315" s="2">
        <v>46055</v>
      </c>
      <c r="L315" t="s">
        <v>902</v>
      </c>
      <c r="M315" t="s">
        <v>906</v>
      </c>
      <c r="N315" t="s">
        <v>9</v>
      </c>
      <c r="O315" t="s">
        <v>10</v>
      </c>
      <c r="P315" t="s">
        <v>8</v>
      </c>
      <c r="Q315" t="s">
        <v>54</v>
      </c>
      <c r="R315" t="s">
        <v>26</v>
      </c>
      <c r="S315" s="3">
        <v>-101.23</v>
      </c>
      <c r="T315" t="s">
        <v>12</v>
      </c>
      <c r="U315" s="3">
        <v>-9144.6299999999992</v>
      </c>
      <c r="V315" t="s">
        <v>77</v>
      </c>
      <c r="W315" t="s">
        <v>13</v>
      </c>
      <c r="X315" t="s">
        <v>8</v>
      </c>
      <c r="Y315" t="s">
        <v>69</v>
      </c>
      <c r="Z315" t="s">
        <v>14</v>
      </c>
      <c r="AA315" t="s">
        <v>907</v>
      </c>
      <c r="AB315" t="s">
        <v>8</v>
      </c>
      <c r="AC315" t="s">
        <v>8</v>
      </c>
      <c r="AD315" t="s">
        <v>8</v>
      </c>
      <c r="AE315" s="2">
        <v>46055</v>
      </c>
      <c r="AF315" s="2"/>
      <c r="AG315" t="s">
        <v>8</v>
      </c>
    </row>
    <row r="316" spans="1:33" outlineLevel="2" x14ac:dyDescent="0.25">
      <c r="A316" t="s">
        <v>27</v>
      </c>
      <c r="B316" t="s">
        <v>1</v>
      </c>
      <c r="C316" t="s">
        <v>2</v>
      </c>
      <c r="D316" t="s">
        <v>3</v>
      </c>
      <c r="E316" t="s">
        <v>819</v>
      </c>
      <c r="F316" t="s">
        <v>17</v>
      </c>
      <c r="G316" s="2">
        <v>46055</v>
      </c>
      <c r="H316" t="s">
        <v>908</v>
      </c>
      <c r="I316" t="s">
        <v>118</v>
      </c>
      <c r="J316" s="2">
        <v>46055</v>
      </c>
      <c r="K316" s="2">
        <v>46055</v>
      </c>
      <c r="L316" t="s">
        <v>902</v>
      </c>
      <c r="M316" t="s">
        <v>909</v>
      </c>
      <c r="N316" t="s">
        <v>9</v>
      </c>
      <c r="O316" t="s">
        <v>10</v>
      </c>
      <c r="P316" t="s">
        <v>8</v>
      </c>
      <c r="Q316" t="s">
        <v>54</v>
      </c>
      <c r="R316" t="s">
        <v>26</v>
      </c>
      <c r="S316" s="3">
        <v>-303.16000000000003</v>
      </c>
      <c r="T316" t="s">
        <v>12</v>
      </c>
      <c r="U316" s="3">
        <v>-27386.02</v>
      </c>
      <c r="V316" t="s">
        <v>77</v>
      </c>
      <c r="W316" t="s">
        <v>13</v>
      </c>
      <c r="X316" t="s">
        <v>8</v>
      </c>
      <c r="Y316" t="s">
        <v>69</v>
      </c>
      <c r="Z316" t="s">
        <v>14</v>
      </c>
      <c r="AA316" t="s">
        <v>910</v>
      </c>
      <c r="AB316" t="s">
        <v>8</v>
      </c>
      <c r="AC316" t="s">
        <v>8</v>
      </c>
      <c r="AD316" t="s">
        <v>8</v>
      </c>
      <c r="AE316" s="2">
        <v>46055</v>
      </c>
      <c r="AF316" s="2"/>
      <c r="AG316" t="s">
        <v>8</v>
      </c>
    </row>
    <row r="317" spans="1:33" outlineLevel="2" x14ac:dyDescent="0.25">
      <c r="A317" t="s">
        <v>27</v>
      </c>
      <c r="B317" t="s">
        <v>1</v>
      </c>
      <c r="C317" t="s">
        <v>2</v>
      </c>
      <c r="D317" t="s">
        <v>3</v>
      </c>
      <c r="E317" t="s">
        <v>819</v>
      </c>
      <c r="F317" t="s">
        <v>17</v>
      </c>
      <c r="G317" s="2">
        <v>46055</v>
      </c>
      <c r="H317" t="s">
        <v>911</v>
      </c>
      <c r="I317" t="s">
        <v>118</v>
      </c>
      <c r="J317" s="2">
        <v>46055</v>
      </c>
      <c r="K317" s="2">
        <v>46055</v>
      </c>
      <c r="L317" t="s">
        <v>902</v>
      </c>
      <c r="M317" t="s">
        <v>912</v>
      </c>
      <c r="N317" t="s">
        <v>9</v>
      </c>
      <c r="O317" t="s">
        <v>10</v>
      </c>
      <c r="P317" t="s">
        <v>8</v>
      </c>
      <c r="Q317" t="s">
        <v>54</v>
      </c>
      <c r="R317" t="s">
        <v>26</v>
      </c>
      <c r="S317" s="3">
        <v>-87.28</v>
      </c>
      <c r="T317" t="s">
        <v>12</v>
      </c>
      <c r="U317" s="3">
        <v>-7884.46</v>
      </c>
      <c r="V317" t="s">
        <v>77</v>
      </c>
      <c r="W317" t="s">
        <v>13</v>
      </c>
      <c r="X317" t="s">
        <v>8</v>
      </c>
      <c r="Y317" t="s">
        <v>69</v>
      </c>
      <c r="Z317" t="s">
        <v>14</v>
      </c>
      <c r="AA317" t="s">
        <v>913</v>
      </c>
      <c r="AB317" t="s">
        <v>8</v>
      </c>
      <c r="AC317" t="s">
        <v>8</v>
      </c>
      <c r="AD317" t="s">
        <v>8</v>
      </c>
      <c r="AE317" s="2">
        <v>46055</v>
      </c>
      <c r="AF317" s="2"/>
      <c r="AG317" t="s">
        <v>8</v>
      </c>
    </row>
    <row r="318" spans="1:33" outlineLevel="2" x14ac:dyDescent="0.25">
      <c r="A318" t="s">
        <v>27</v>
      </c>
      <c r="B318" t="s">
        <v>1</v>
      </c>
      <c r="C318" t="s">
        <v>2</v>
      </c>
      <c r="D318" t="s">
        <v>3</v>
      </c>
      <c r="E318" t="s">
        <v>819</v>
      </c>
      <c r="F318" t="s">
        <v>17</v>
      </c>
      <c r="G318" s="2">
        <v>46055</v>
      </c>
      <c r="H318" t="s">
        <v>914</v>
      </c>
      <c r="I318" t="s">
        <v>75</v>
      </c>
      <c r="J318" s="2">
        <v>46055</v>
      </c>
      <c r="K318" s="2">
        <v>46055</v>
      </c>
      <c r="L318" t="s">
        <v>915</v>
      </c>
      <c r="M318" t="s">
        <v>916</v>
      </c>
      <c r="N318" t="s">
        <v>9</v>
      </c>
      <c r="O318" t="s">
        <v>10</v>
      </c>
      <c r="P318" t="s">
        <v>8</v>
      </c>
      <c r="Q318" t="s">
        <v>65</v>
      </c>
      <c r="R318" t="s">
        <v>26</v>
      </c>
      <c r="S318" s="3">
        <v>938.8</v>
      </c>
      <c r="T318" t="s">
        <v>12</v>
      </c>
      <c r="U318" s="3">
        <v>84806.69</v>
      </c>
      <c r="V318" t="s">
        <v>77</v>
      </c>
      <c r="W318" t="s">
        <v>13</v>
      </c>
      <c r="X318" t="s">
        <v>8</v>
      </c>
      <c r="Y318" t="s">
        <v>69</v>
      </c>
      <c r="Z318" t="s">
        <v>14</v>
      </c>
      <c r="AA318" t="s">
        <v>800</v>
      </c>
      <c r="AB318" t="s">
        <v>8</v>
      </c>
      <c r="AC318" t="s">
        <v>8</v>
      </c>
      <c r="AD318" t="s">
        <v>8</v>
      </c>
      <c r="AE318" s="2">
        <v>46055</v>
      </c>
      <c r="AF318" s="2"/>
      <c r="AG318" t="s">
        <v>8</v>
      </c>
    </row>
    <row r="319" spans="1:33" outlineLevel="1" x14ac:dyDescent="0.25">
      <c r="A319" s="4" t="s">
        <v>8</v>
      </c>
      <c r="B319" s="4" t="s">
        <v>8</v>
      </c>
      <c r="C319" s="4" t="s">
        <v>8</v>
      </c>
      <c r="D319" s="4" t="s">
        <v>8</v>
      </c>
      <c r="E319" s="4" t="s">
        <v>8</v>
      </c>
      <c r="F319" s="4" t="s">
        <v>8</v>
      </c>
      <c r="G319" s="5"/>
      <c r="H319" s="4" t="s">
        <v>8</v>
      </c>
      <c r="I319" s="4" t="s">
        <v>8</v>
      </c>
      <c r="J319" s="5"/>
      <c r="K319" s="5"/>
      <c r="L319" s="4" t="s">
        <v>8</v>
      </c>
      <c r="M319" s="4" t="s">
        <v>8</v>
      </c>
      <c r="N319" s="4" t="s">
        <v>9</v>
      </c>
      <c r="O319" s="4" t="s">
        <v>8</v>
      </c>
      <c r="P319" s="4" t="s">
        <v>8</v>
      </c>
      <c r="Q319" s="4" t="s">
        <v>8</v>
      </c>
      <c r="R319" s="4" t="s">
        <v>12</v>
      </c>
      <c r="S319" s="6">
        <v>1215000</v>
      </c>
      <c r="T319" s="4" t="s">
        <v>12</v>
      </c>
      <c r="U319" s="6">
        <v>4171298.87</v>
      </c>
      <c r="V319" s="4" t="s">
        <v>8</v>
      </c>
      <c r="W319" s="4" t="s">
        <v>8</v>
      </c>
      <c r="X319" s="4" t="s">
        <v>8</v>
      </c>
      <c r="Y319" s="4" t="s">
        <v>8</v>
      </c>
      <c r="Z319" s="4" t="s">
        <v>8</v>
      </c>
      <c r="AA319" s="4" t="s">
        <v>8</v>
      </c>
      <c r="AB319" s="4" t="s">
        <v>8</v>
      </c>
      <c r="AC319" s="4" t="s">
        <v>8</v>
      </c>
      <c r="AD319" s="4" t="s">
        <v>8</v>
      </c>
      <c r="AE319" s="5"/>
      <c r="AF319" s="5"/>
      <c r="AG319" s="4" t="s">
        <v>8</v>
      </c>
    </row>
    <row r="320" spans="1:33" outlineLevel="1" x14ac:dyDescent="0.25">
      <c r="A320" s="4" t="s">
        <v>8</v>
      </c>
      <c r="B320" s="4" t="s">
        <v>8</v>
      </c>
      <c r="C320" s="4" t="s">
        <v>8</v>
      </c>
      <c r="D320" s="4" t="s">
        <v>8</v>
      </c>
      <c r="E320" s="4" t="s">
        <v>8</v>
      </c>
      <c r="F320" s="4" t="s">
        <v>8</v>
      </c>
      <c r="G320" s="5"/>
      <c r="H320" s="4" t="s">
        <v>8</v>
      </c>
      <c r="I320" s="4" t="s">
        <v>8</v>
      </c>
      <c r="J320" s="5"/>
      <c r="K320" s="5"/>
      <c r="L320" s="4" t="s">
        <v>8</v>
      </c>
      <c r="M320" s="4" t="s">
        <v>8</v>
      </c>
      <c r="N320" s="4" t="s">
        <v>8</v>
      </c>
      <c r="O320" s="4" t="s">
        <v>8</v>
      </c>
      <c r="P320" s="4" t="s">
        <v>8</v>
      </c>
      <c r="Q320" s="4" t="s">
        <v>8</v>
      </c>
      <c r="R320" s="4" t="s">
        <v>26</v>
      </c>
      <c r="S320" s="6">
        <v>11082.13</v>
      </c>
      <c r="T320" s="4" t="s">
        <v>8</v>
      </c>
      <c r="U320" s="7"/>
      <c r="V320" s="4" t="s">
        <v>8</v>
      </c>
      <c r="W320" s="4" t="s">
        <v>8</v>
      </c>
      <c r="X320" s="4" t="s">
        <v>8</v>
      </c>
      <c r="Y320" s="4" t="s">
        <v>8</v>
      </c>
      <c r="Z320" s="4" t="s">
        <v>8</v>
      </c>
      <c r="AA320" s="4" t="s">
        <v>8</v>
      </c>
      <c r="AB320" s="4" t="s">
        <v>8</v>
      </c>
      <c r="AC320" s="4" t="s">
        <v>8</v>
      </c>
      <c r="AD320" s="4" t="s">
        <v>8</v>
      </c>
      <c r="AE320" s="5"/>
      <c r="AF320" s="5"/>
      <c r="AG320" s="4" t="s">
        <v>8</v>
      </c>
    </row>
    <row r="321" spans="1:33" x14ac:dyDescent="0.25">
      <c r="A321" s="8" t="s">
        <v>8</v>
      </c>
      <c r="B321" s="8" t="s">
        <v>8</v>
      </c>
      <c r="C321" s="8" t="s">
        <v>8</v>
      </c>
      <c r="D321" s="8" t="s">
        <v>8</v>
      </c>
      <c r="E321" s="8" t="s">
        <v>8</v>
      </c>
      <c r="F321" s="8" t="s">
        <v>8</v>
      </c>
      <c r="G321" s="9"/>
      <c r="H321" s="8" t="s">
        <v>8</v>
      </c>
      <c r="I321" s="8" t="s">
        <v>8</v>
      </c>
      <c r="J321" s="9"/>
      <c r="K321" s="9"/>
      <c r="L321" s="8" t="s">
        <v>8</v>
      </c>
      <c r="M321" s="8" t="s">
        <v>8</v>
      </c>
      <c r="N321" s="8" t="s">
        <v>8</v>
      </c>
      <c r="O321" s="8" t="s">
        <v>8</v>
      </c>
      <c r="P321" s="8" t="s">
        <v>8</v>
      </c>
      <c r="Q321" s="8" t="s">
        <v>8</v>
      </c>
      <c r="R321" s="8" t="s">
        <v>12</v>
      </c>
      <c r="S321" s="10">
        <v>1215000</v>
      </c>
      <c r="T321" s="8" t="s">
        <v>12</v>
      </c>
      <c r="U321" s="10">
        <v>4171298.87</v>
      </c>
      <c r="V321" s="8" t="s">
        <v>8</v>
      </c>
      <c r="W321" s="8" t="s">
        <v>8</v>
      </c>
      <c r="X321" s="8" t="s">
        <v>8</v>
      </c>
      <c r="Y321" s="8" t="s">
        <v>8</v>
      </c>
      <c r="Z321" s="8" t="s">
        <v>8</v>
      </c>
      <c r="AA321" s="8" t="s">
        <v>8</v>
      </c>
      <c r="AB321" s="8" t="s">
        <v>8</v>
      </c>
      <c r="AC321" s="8" t="s">
        <v>8</v>
      </c>
      <c r="AD321" s="8" t="s">
        <v>8</v>
      </c>
      <c r="AE321" s="9"/>
      <c r="AF321" s="9"/>
      <c r="AG321" s="8" t="s">
        <v>8</v>
      </c>
    </row>
    <row r="322" spans="1:33" x14ac:dyDescent="0.25">
      <c r="A322" s="8" t="s">
        <v>8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9"/>
      <c r="H322" s="8" t="s">
        <v>8</v>
      </c>
      <c r="I322" s="8" t="s">
        <v>8</v>
      </c>
      <c r="J322" s="9"/>
      <c r="K322" s="9"/>
      <c r="L322" s="8" t="s">
        <v>8</v>
      </c>
      <c r="M322" s="8" t="s">
        <v>8</v>
      </c>
      <c r="N322" s="8" t="s">
        <v>8</v>
      </c>
      <c r="O322" s="8" t="s">
        <v>8</v>
      </c>
      <c r="P322" s="8" t="s">
        <v>8</v>
      </c>
      <c r="Q322" s="8" t="s">
        <v>8</v>
      </c>
      <c r="R322" s="8" t="s">
        <v>26</v>
      </c>
      <c r="S322" s="10">
        <v>11082.13</v>
      </c>
      <c r="T322" s="8" t="s">
        <v>8</v>
      </c>
      <c r="U322" s="11"/>
      <c r="V322" s="8" t="s">
        <v>8</v>
      </c>
      <c r="W322" s="8" t="s">
        <v>8</v>
      </c>
      <c r="X322" s="8" t="s">
        <v>8</v>
      </c>
      <c r="Y322" s="8" t="s">
        <v>8</v>
      </c>
      <c r="Z322" s="8" t="s">
        <v>8</v>
      </c>
      <c r="AA322" s="8" t="s">
        <v>8</v>
      </c>
      <c r="AB322" s="8" t="s">
        <v>8</v>
      </c>
      <c r="AC322" s="8" t="s">
        <v>8</v>
      </c>
      <c r="AD322" s="8" t="s">
        <v>8</v>
      </c>
      <c r="AE322" s="9"/>
      <c r="AF322" s="9"/>
      <c r="AG322" s="8" t="s">
        <v>8</v>
      </c>
    </row>
  </sheetData>
  <autoFilter ref="A1:AG322" xr:uid="{00000000-0001-0000-0000-000000000000}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E800-4EF0-4D0A-A345-813810B75A10}">
  <dimension ref="A3:U18"/>
  <sheetViews>
    <sheetView topLeftCell="G1" workbookViewId="0">
      <selection activeCell="L4" sqref="L4"/>
    </sheetView>
  </sheetViews>
  <sheetFormatPr defaultRowHeight="12.5" x14ac:dyDescent="0.25"/>
  <cols>
    <col min="1" max="1" width="35.6328125" bestFit="1" customWidth="1"/>
    <col min="2" max="2" width="16.1796875" bestFit="1" customWidth="1"/>
    <col min="3" max="3" width="16.81640625" bestFit="1" customWidth="1"/>
    <col min="4" max="9" width="17" bestFit="1" customWidth="1"/>
    <col min="10" max="10" width="11.6328125" bestFit="1" customWidth="1"/>
  </cols>
  <sheetData>
    <row r="3" spans="1:21" x14ac:dyDescent="0.25">
      <c r="A3" s="14" t="s">
        <v>968</v>
      </c>
      <c r="D3" s="14" t="s">
        <v>925</v>
      </c>
    </row>
    <row r="4" spans="1:21" x14ac:dyDescent="0.25">
      <c r="A4" s="14" t="s">
        <v>969</v>
      </c>
      <c r="B4" s="14" t="s">
        <v>970</v>
      </c>
      <c r="C4" s="14" t="s">
        <v>926</v>
      </c>
      <c r="D4" t="s">
        <v>7</v>
      </c>
      <c r="E4" t="s">
        <v>118</v>
      </c>
      <c r="F4" t="s">
        <v>75</v>
      </c>
      <c r="G4" t="s">
        <v>20</v>
      </c>
      <c r="H4" t="s">
        <v>25</v>
      </c>
      <c r="I4" t="s">
        <v>63</v>
      </c>
      <c r="J4" t="s">
        <v>951</v>
      </c>
      <c r="M4" t="s">
        <v>969</v>
      </c>
      <c r="N4" t="s">
        <v>970</v>
      </c>
      <c r="O4" t="s">
        <v>926</v>
      </c>
      <c r="P4" t="s">
        <v>7</v>
      </c>
      <c r="Q4" t="s">
        <v>118</v>
      </c>
      <c r="R4" t="s">
        <v>75</v>
      </c>
      <c r="S4" t="s">
        <v>20</v>
      </c>
      <c r="T4" t="s">
        <v>25</v>
      </c>
      <c r="U4" t="s">
        <v>63</v>
      </c>
    </row>
    <row r="5" spans="1:21" x14ac:dyDescent="0.25">
      <c r="A5" t="s">
        <v>4</v>
      </c>
      <c r="B5" t="s">
        <v>952</v>
      </c>
      <c r="C5" s="16" t="s">
        <v>953</v>
      </c>
      <c r="D5" s="15"/>
      <c r="E5" s="15"/>
      <c r="F5" s="15">
        <v>1709145.6299999997</v>
      </c>
      <c r="G5" s="15"/>
      <c r="H5" s="15"/>
      <c r="I5" s="15">
        <v>0</v>
      </c>
      <c r="J5" s="15">
        <v>1709145.6299999997</v>
      </c>
      <c r="M5" t="s">
        <v>4</v>
      </c>
      <c r="N5" t="s">
        <v>952</v>
      </c>
      <c r="O5" t="s">
        <v>953</v>
      </c>
      <c r="R5">
        <v>1709145.6299999997</v>
      </c>
      <c r="U5">
        <v>0</v>
      </c>
    </row>
    <row r="6" spans="1:21" x14ac:dyDescent="0.25">
      <c r="C6" s="16" t="s">
        <v>954</v>
      </c>
      <c r="D6" s="15"/>
      <c r="E6" s="15"/>
      <c r="F6" s="15">
        <v>1285065.3299999998</v>
      </c>
      <c r="G6" s="15"/>
      <c r="H6" s="15"/>
      <c r="I6" s="15"/>
      <c r="J6" s="15">
        <v>1285065.3299999998</v>
      </c>
      <c r="M6" t="s">
        <v>4</v>
      </c>
      <c r="N6" t="s">
        <v>952</v>
      </c>
      <c r="O6" t="s">
        <v>954</v>
      </c>
      <c r="R6">
        <v>1285065.3299999998</v>
      </c>
    </row>
    <row r="7" spans="1:21" x14ac:dyDescent="0.25">
      <c r="B7" t="s">
        <v>955</v>
      </c>
      <c r="C7" s="16" t="s">
        <v>956</v>
      </c>
      <c r="D7" s="15">
        <v>0</v>
      </c>
      <c r="E7" s="15"/>
      <c r="F7" s="15">
        <v>1164595.6499999999</v>
      </c>
      <c r="G7" s="15"/>
      <c r="H7" s="15"/>
      <c r="I7" s="15"/>
      <c r="J7" s="15">
        <v>1164595.6499999999</v>
      </c>
      <c r="M7" t="s">
        <v>4</v>
      </c>
      <c r="N7" t="s">
        <v>955</v>
      </c>
      <c r="O7" t="s">
        <v>956</v>
      </c>
      <c r="P7">
        <v>0</v>
      </c>
      <c r="R7">
        <v>1164595.6499999999</v>
      </c>
    </row>
    <row r="8" spans="1:21" x14ac:dyDescent="0.25">
      <c r="C8" s="16" t="s">
        <v>957</v>
      </c>
      <c r="D8" s="15"/>
      <c r="E8" s="15">
        <v>-282752.46000000002</v>
      </c>
      <c r="F8" s="15">
        <v>334850.18999999994</v>
      </c>
      <c r="G8" s="15"/>
      <c r="H8" s="15"/>
      <c r="I8" s="15"/>
      <c r="J8" s="15">
        <v>52097.729999999923</v>
      </c>
      <c r="M8" t="s">
        <v>4</v>
      </c>
      <c r="N8" t="s">
        <v>955</v>
      </c>
      <c r="O8" t="s">
        <v>957</v>
      </c>
      <c r="Q8">
        <v>-282752.46000000002</v>
      </c>
      <c r="R8">
        <v>334850.18999999994</v>
      </c>
    </row>
    <row r="9" spans="1:21" x14ac:dyDescent="0.25">
      <c r="C9" s="16" t="s">
        <v>958</v>
      </c>
      <c r="D9" s="15"/>
      <c r="E9" s="15"/>
      <c r="F9" s="15">
        <v>694990.26</v>
      </c>
      <c r="G9" s="15"/>
      <c r="H9" s="15">
        <v>-23431.62</v>
      </c>
      <c r="I9" s="15"/>
      <c r="J9" s="15">
        <v>671558.64</v>
      </c>
      <c r="M9" t="s">
        <v>4</v>
      </c>
      <c r="N9" t="s">
        <v>955</v>
      </c>
      <c r="O9" t="s">
        <v>958</v>
      </c>
      <c r="R9">
        <v>694990.26</v>
      </c>
      <c r="T9">
        <v>-23431.62</v>
      </c>
    </row>
    <row r="10" spans="1:21" x14ac:dyDescent="0.25">
      <c r="B10" t="s">
        <v>959</v>
      </c>
      <c r="C10" s="16" t="s">
        <v>960</v>
      </c>
      <c r="D10" s="15"/>
      <c r="E10" s="15">
        <v>-1496930.2400000002</v>
      </c>
      <c r="F10" s="15">
        <v>780750.65999999992</v>
      </c>
      <c r="G10" s="15">
        <v>0</v>
      </c>
      <c r="H10" s="15"/>
      <c r="I10" s="15"/>
      <c r="J10" s="15">
        <v>-716179.58000000031</v>
      </c>
      <c r="M10" t="s">
        <v>4</v>
      </c>
      <c r="N10" t="s">
        <v>959</v>
      </c>
      <c r="O10" t="s">
        <v>960</v>
      </c>
      <c r="Q10">
        <v>-1496930.2400000002</v>
      </c>
      <c r="R10">
        <v>780750.65999999992</v>
      </c>
      <c r="S10">
        <v>0</v>
      </c>
    </row>
    <row r="11" spans="1:21" x14ac:dyDescent="0.25">
      <c r="C11" s="16" t="s">
        <v>961</v>
      </c>
      <c r="D11" s="15"/>
      <c r="E11" s="15">
        <v>-400000.24</v>
      </c>
      <c r="F11" s="15">
        <v>1732789.2200000002</v>
      </c>
      <c r="G11" s="15"/>
      <c r="H11" s="15">
        <v>-1177084.7599999998</v>
      </c>
      <c r="I11" s="15"/>
      <c r="J11" s="15">
        <v>155704.22000000044</v>
      </c>
      <c r="M11" t="s">
        <v>4</v>
      </c>
      <c r="N11" t="s">
        <v>959</v>
      </c>
      <c r="O11" t="s">
        <v>961</v>
      </c>
      <c r="Q11">
        <v>-400000.24</v>
      </c>
      <c r="R11">
        <v>1732789.2200000002</v>
      </c>
      <c r="T11">
        <v>-1177084.7599999998</v>
      </c>
    </row>
    <row r="12" spans="1:21" x14ac:dyDescent="0.25">
      <c r="C12" s="16" t="s">
        <v>962</v>
      </c>
      <c r="D12" s="15"/>
      <c r="E12" s="15">
        <v>-43777.19</v>
      </c>
      <c r="F12" s="15">
        <v>1140119.47</v>
      </c>
      <c r="G12" s="15">
        <v>-4517.25</v>
      </c>
      <c r="H12" s="15">
        <v>-256665.53</v>
      </c>
      <c r="I12" s="15"/>
      <c r="J12" s="15">
        <v>835159.5</v>
      </c>
      <c r="M12" t="s">
        <v>4</v>
      </c>
      <c r="N12" t="s">
        <v>959</v>
      </c>
      <c r="O12" t="s">
        <v>962</v>
      </c>
      <c r="Q12">
        <v>-43777.19</v>
      </c>
      <c r="R12">
        <v>1140119.47</v>
      </c>
      <c r="S12">
        <v>-4517.25</v>
      </c>
      <c r="T12">
        <v>-256665.53</v>
      </c>
    </row>
    <row r="13" spans="1:21" x14ac:dyDescent="0.25">
      <c r="B13" t="s">
        <v>963</v>
      </c>
      <c r="C13" s="16" t="s">
        <v>964</v>
      </c>
      <c r="D13" s="15"/>
      <c r="E13" s="15">
        <v>-94066.04</v>
      </c>
      <c r="F13" s="15">
        <v>511397.33999999997</v>
      </c>
      <c r="G13" s="15"/>
      <c r="H13" s="15">
        <v>-413002</v>
      </c>
      <c r="I13" s="15"/>
      <c r="J13" s="15">
        <v>4329.2999999999884</v>
      </c>
      <c r="M13" t="s">
        <v>4</v>
      </c>
      <c r="N13" t="s">
        <v>963</v>
      </c>
      <c r="O13" t="s">
        <v>964</v>
      </c>
      <c r="Q13">
        <v>-94066.04</v>
      </c>
      <c r="R13">
        <v>511397.33999999997</v>
      </c>
      <c r="T13">
        <v>-413002</v>
      </c>
    </row>
    <row r="14" spans="1:21" x14ac:dyDescent="0.25">
      <c r="C14" s="16" t="s">
        <v>965</v>
      </c>
      <c r="D14" s="15"/>
      <c r="E14" s="15"/>
      <c r="F14" s="15">
        <v>445656.37</v>
      </c>
      <c r="G14" s="15"/>
      <c r="H14" s="15">
        <v>-1975900.4500000002</v>
      </c>
      <c r="I14" s="15"/>
      <c r="J14" s="15">
        <v>-1530244.08</v>
      </c>
      <c r="M14" t="s">
        <v>4</v>
      </c>
      <c r="N14" t="s">
        <v>963</v>
      </c>
      <c r="O14" t="s">
        <v>965</v>
      </c>
      <c r="R14">
        <v>445656.37</v>
      </c>
      <c r="T14">
        <v>-1975900.4500000002</v>
      </c>
    </row>
    <row r="15" spans="1:21" x14ac:dyDescent="0.25">
      <c r="C15" s="16" t="s">
        <v>966</v>
      </c>
      <c r="D15" s="15"/>
      <c r="E15" s="15"/>
      <c r="F15" s="15">
        <v>236783.41</v>
      </c>
      <c r="G15" s="15"/>
      <c r="H15" s="15"/>
      <c r="I15" s="15"/>
      <c r="J15" s="15">
        <v>236783.41</v>
      </c>
      <c r="M15" t="s">
        <v>4</v>
      </c>
      <c r="N15" t="s">
        <v>963</v>
      </c>
      <c r="O15" t="s">
        <v>966</v>
      </c>
      <c r="R15">
        <v>236783.41</v>
      </c>
    </row>
    <row r="16" spans="1:21" x14ac:dyDescent="0.25">
      <c r="A16" t="s">
        <v>819</v>
      </c>
      <c r="B16" t="s">
        <v>952</v>
      </c>
      <c r="C16" s="16" t="s">
        <v>967</v>
      </c>
      <c r="D16" s="15"/>
      <c r="E16" s="15"/>
      <c r="F16" s="15">
        <v>486469.02999999997</v>
      </c>
      <c r="G16" s="15"/>
      <c r="H16" s="15">
        <v>-221998.43</v>
      </c>
      <c r="I16" s="15"/>
      <c r="J16" s="15">
        <v>264470.59999999998</v>
      </c>
      <c r="M16" t="s">
        <v>819</v>
      </c>
      <c r="N16" t="s">
        <v>952</v>
      </c>
      <c r="O16" t="s">
        <v>967</v>
      </c>
      <c r="R16">
        <v>486469.02999999997</v>
      </c>
      <c r="T16">
        <v>-221998.43</v>
      </c>
    </row>
    <row r="17" spans="1:18" x14ac:dyDescent="0.25">
      <c r="C17" s="16" t="s">
        <v>953</v>
      </c>
      <c r="D17" s="15"/>
      <c r="E17" s="15">
        <v>-45994.17</v>
      </c>
      <c r="F17" s="15">
        <v>84806.69</v>
      </c>
      <c r="G17" s="15"/>
      <c r="H17" s="15"/>
      <c r="I17" s="15"/>
      <c r="J17" s="15">
        <v>38812.520000000004</v>
      </c>
      <c r="M17" t="s">
        <v>819</v>
      </c>
      <c r="N17" t="s">
        <v>952</v>
      </c>
      <c r="O17" t="s">
        <v>953</v>
      </c>
      <c r="Q17">
        <v>-45994.17</v>
      </c>
      <c r="R17">
        <v>84806.69</v>
      </c>
    </row>
    <row r="18" spans="1:18" x14ac:dyDescent="0.25">
      <c r="A18" t="s">
        <v>951</v>
      </c>
      <c r="D18" s="15">
        <v>0</v>
      </c>
      <c r="E18" s="15">
        <v>-2363520.3400000003</v>
      </c>
      <c r="F18" s="15">
        <v>10607419.249999998</v>
      </c>
      <c r="G18" s="15">
        <v>-4517.25</v>
      </c>
      <c r="H18" s="15">
        <v>-4068082.7900000005</v>
      </c>
      <c r="I18" s="15">
        <v>0</v>
      </c>
      <c r="J18" s="15">
        <v>4171298.8699999992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27BB-84FF-46ED-AEAE-0FCAB144D5B4}">
  <dimension ref="A1:AJ321"/>
  <sheetViews>
    <sheetView tabSelected="1" topLeftCell="A283" workbookViewId="0">
      <selection activeCell="H321" sqref="H321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26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2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2" bestFit="1" customWidth="1"/>
    <col min="20" max="20" width="16" bestFit="1" customWidth="1"/>
    <col min="21" max="21" width="14.453125" bestFit="1" customWidth="1"/>
    <col min="22" max="24" width="14.453125" customWidth="1"/>
    <col min="25" max="25" width="10" bestFit="1" customWidth="1"/>
    <col min="26" max="26" width="15" bestFit="1" customWidth="1"/>
    <col min="27" max="27" width="21" bestFit="1" customWidth="1"/>
    <col min="28" max="28" width="16" bestFit="1" customWidth="1"/>
    <col min="29" max="29" width="6" bestFit="1" customWidth="1"/>
    <col min="30" max="30" width="52" bestFit="1" customWidth="1"/>
    <col min="31" max="33" width="17" bestFit="1" customWidth="1"/>
    <col min="34" max="34" width="22" bestFit="1" customWidth="1"/>
    <col min="35" max="35" width="15" bestFit="1" customWidth="1"/>
    <col min="36" max="36" width="19" bestFit="1" customWidth="1"/>
  </cols>
  <sheetData>
    <row r="1" spans="1:36" x14ac:dyDescent="0.25">
      <c r="M1" s="17" t="s">
        <v>971</v>
      </c>
      <c r="U1" s="19">
        <f>SUBTOTAL(9,U3:U321)</f>
        <v>4171298.8700000015</v>
      </c>
      <c r="V1" s="19"/>
      <c r="W1" s="19"/>
      <c r="X1" s="19"/>
    </row>
    <row r="2" spans="1:36" ht="37.5" x14ac:dyDescent="0.35">
      <c r="A2" s="1" t="s">
        <v>917</v>
      </c>
      <c r="B2" s="1" t="s">
        <v>918</v>
      </c>
      <c r="C2" s="1" t="s">
        <v>919</v>
      </c>
      <c r="D2" s="1" t="s">
        <v>920</v>
      </c>
      <c r="E2" s="1" t="s">
        <v>921</v>
      </c>
      <c r="F2" s="12" t="s">
        <v>922</v>
      </c>
      <c r="G2" s="1" t="s">
        <v>923</v>
      </c>
      <c r="H2" s="1" t="s">
        <v>924</v>
      </c>
      <c r="I2" s="18" t="s">
        <v>925</v>
      </c>
      <c r="J2" s="1" t="s">
        <v>926</v>
      </c>
      <c r="K2" s="1" t="s">
        <v>927</v>
      </c>
      <c r="L2" s="1" t="s">
        <v>928</v>
      </c>
      <c r="M2" s="13" t="s">
        <v>950</v>
      </c>
      <c r="N2" s="1" t="s">
        <v>930</v>
      </c>
      <c r="O2" s="1" t="s">
        <v>931</v>
      </c>
      <c r="P2" s="1" t="s">
        <v>932</v>
      </c>
      <c r="Q2" s="1" t="s">
        <v>933</v>
      </c>
      <c r="R2" s="12" t="s">
        <v>934</v>
      </c>
      <c r="S2" s="12" t="s">
        <v>935</v>
      </c>
      <c r="T2" s="12" t="s">
        <v>936</v>
      </c>
      <c r="U2" s="18" t="s">
        <v>937</v>
      </c>
      <c r="V2" s="20" t="s">
        <v>972</v>
      </c>
      <c r="W2" s="20" t="s">
        <v>973</v>
      </c>
      <c r="X2" s="20" t="s">
        <v>974</v>
      </c>
      <c r="Y2" s="1" t="s">
        <v>938</v>
      </c>
      <c r="Z2" s="1" t="s">
        <v>939</v>
      </c>
      <c r="AA2" s="1" t="s">
        <v>940</v>
      </c>
      <c r="AB2" s="1" t="s">
        <v>941</v>
      </c>
      <c r="AC2" s="1" t="s">
        <v>942</v>
      </c>
      <c r="AD2" s="1" t="s">
        <v>943</v>
      </c>
      <c r="AE2" s="1" t="s">
        <v>944</v>
      </c>
      <c r="AF2" s="1" t="s">
        <v>945</v>
      </c>
      <c r="AG2" s="1" t="s">
        <v>946</v>
      </c>
      <c r="AH2" s="1" t="s">
        <v>947</v>
      </c>
      <c r="AI2" s="1" t="s">
        <v>948</v>
      </c>
      <c r="AJ2" s="1" t="s">
        <v>949</v>
      </c>
    </row>
    <row r="3" spans="1:36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s="15">
        <v>1600000042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11</v>
      </c>
      <c r="R3" t="s">
        <v>12</v>
      </c>
      <c r="S3" s="3">
        <v>1</v>
      </c>
      <c r="T3" t="s">
        <v>12</v>
      </c>
      <c r="U3" s="3">
        <v>1</v>
      </c>
      <c r="V3" s="3"/>
      <c r="W3" s="3"/>
      <c r="X3" s="3"/>
      <c r="Y3" t="s">
        <v>8</v>
      </c>
      <c r="Z3" t="s">
        <v>13</v>
      </c>
      <c r="AA3" t="s">
        <v>8</v>
      </c>
      <c r="AB3" t="s">
        <v>8</v>
      </c>
      <c r="AC3" t="s">
        <v>14</v>
      </c>
      <c r="AD3" t="s">
        <v>15</v>
      </c>
      <c r="AE3" t="s">
        <v>8</v>
      </c>
      <c r="AF3" t="s">
        <v>8</v>
      </c>
      <c r="AG3" t="s">
        <v>8</v>
      </c>
      <c r="AH3" s="2">
        <v>45758</v>
      </c>
      <c r="AI3" s="2">
        <v>45758</v>
      </c>
      <c r="AJ3" t="s">
        <v>6</v>
      </c>
    </row>
    <row r="4" spans="1:36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45758</v>
      </c>
      <c r="H4" s="15">
        <v>1600000042</v>
      </c>
      <c r="I4" t="s">
        <v>7</v>
      </c>
      <c r="J4" s="2">
        <v>45758</v>
      </c>
      <c r="K4" s="2">
        <v>45758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16</v>
      </c>
      <c r="R4" t="s">
        <v>12</v>
      </c>
      <c r="S4" s="3">
        <v>-1</v>
      </c>
      <c r="T4" t="s">
        <v>12</v>
      </c>
      <c r="U4" s="3">
        <v>-1</v>
      </c>
      <c r="V4" s="3"/>
      <c r="W4" s="3"/>
      <c r="X4" s="3"/>
      <c r="Y4" t="s">
        <v>8</v>
      </c>
      <c r="Z4" t="s">
        <v>13</v>
      </c>
      <c r="AA4" t="s">
        <v>8</v>
      </c>
      <c r="AB4" t="s">
        <v>8</v>
      </c>
      <c r="AC4" t="s">
        <v>17</v>
      </c>
      <c r="AD4" t="s">
        <v>15</v>
      </c>
      <c r="AE4" t="s">
        <v>8</v>
      </c>
      <c r="AF4" t="s">
        <v>8</v>
      </c>
      <c r="AG4" t="s">
        <v>8</v>
      </c>
      <c r="AH4" s="2">
        <v>45758</v>
      </c>
      <c r="AI4" s="2">
        <v>45758</v>
      </c>
      <c r="AJ4" t="s">
        <v>6</v>
      </c>
    </row>
    <row r="5" spans="1:36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s="15">
        <v>1400001110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21</v>
      </c>
      <c r="R5" t="s">
        <v>12</v>
      </c>
      <c r="S5" s="3">
        <v>603848.88</v>
      </c>
      <c r="T5" t="s">
        <v>12</v>
      </c>
      <c r="U5" s="3">
        <v>595243.31000000006</v>
      </c>
      <c r="V5" s="3"/>
      <c r="W5" s="3"/>
      <c r="X5" s="3"/>
      <c r="Y5" t="s">
        <v>8</v>
      </c>
      <c r="Z5" t="s">
        <v>13</v>
      </c>
      <c r="AA5" t="s">
        <v>8</v>
      </c>
      <c r="AB5" t="s">
        <v>8</v>
      </c>
      <c r="AC5" t="s">
        <v>14</v>
      </c>
      <c r="AD5" t="s">
        <v>8</v>
      </c>
      <c r="AE5" t="s">
        <v>8</v>
      </c>
      <c r="AF5" t="s">
        <v>8</v>
      </c>
      <c r="AG5" t="s">
        <v>8</v>
      </c>
      <c r="AH5" s="2">
        <v>45902</v>
      </c>
      <c r="AI5" s="2">
        <v>45902</v>
      </c>
      <c r="AJ5" t="s">
        <v>19</v>
      </c>
    </row>
    <row r="6" spans="1:36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45902</v>
      </c>
      <c r="H6" s="15">
        <v>1400001110</v>
      </c>
      <c r="I6" t="s">
        <v>20</v>
      </c>
      <c r="J6" s="2">
        <v>45902</v>
      </c>
      <c r="K6" s="2">
        <v>45902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22</v>
      </c>
      <c r="R6" t="s">
        <v>12</v>
      </c>
      <c r="S6" s="3">
        <v>-603848.88</v>
      </c>
      <c r="T6" t="s">
        <v>12</v>
      </c>
      <c r="U6" s="3">
        <v>-599760.56000000006</v>
      </c>
      <c r="V6" s="3"/>
      <c r="W6" s="3"/>
      <c r="X6" s="3"/>
      <c r="Y6" t="s">
        <v>8</v>
      </c>
      <c r="Z6" t="s">
        <v>13</v>
      </c>
      <c r="AA6" t="s">
        <v>8</v>
      </c>
      <c r="AB6" t="s">
        <v>8</v>
      </c>
      <c r="AC6" t="s">
        <v>17</v>
      </c>
      <c r="AD6" t="s">
        <v>8</v>
      </c>
      <c r="AE6" t="s">
        <v>8</v>
      </c>
      <c r="AF6" t="s">
        <v>8</v>
      </c>
      <c r="AG6" t="s">
        <v>8</v>
      </c>
      <c r="AH6" s="2">
        <v>45902</v>
      </c>
      <c r="AI6" s="2">
        <v>45902</v>
      </c>
      <c r="AJ6" t="s">
        <v>19</v>
      </c>
    </row>
    <row r="7" spans="1:36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23</v>
      </c>
      <c r="G7" s="2">
        <v>45887</v>
      </c>
      <c r="H7" s="15">
        <v>1400000854</v>
      </c>
      <c r="I7" t="s">
        <v>25</v>
      </c>
      <c r="J7" s="2">
        <v>45887</v>
      </c>
      <c r="K7" s="2">
        <v>45887</v>
      </c>
      <c r="L7" t="s">
        <v>8</v>
      </c>
      <c r="M7" t="s">
        <v>8</v>
      </c>
      <c r="N7" t="s">
        <v>9</v>
      </c>
      <c r="O7" t="s">
        <v>10</v>
      </c>
      <c r="P7" t="s">
        <v>8</v>
      </c>
      <c r="Q7" t="s">
        <v>22</v>
      </c>
      <c r="R7" t="s">
        <v>26</v>
      </c>
      <c r="S7" s="3">
        <v>-700.45</v>
      </c>
      <c r="T7" t="s">
        <v>12</v>
      </c>
      <c r="U7" s="3">
        <v>-60884.42</v>
      </c>
      <c r="V7" s="3"/>
      <c r="W7" s="3"/>
      <c r="X7" s="3"/>
      <c r="Y7" t="s">
        <v>8</v>
      </c>
      <c r="Z7" t="s">
        <v>8</v>
      </c>
      <c r="AA7" t="s">
        <v>8</v>
      </c>
      <c r="AB7" t="s">
        <v>8</v>
      </c>
      <c r="AC7" t="s">
        <v>5</v>
      </c>
      <c r="AD7" t="s">
        <v>8</v>
      </c>
      <c r="AE7" t="s">
        <v>8</v>
      </c>
      <c r="AF7" t="s">
        <v>8</v>
      </c>
      <c r="AG7" t="s">
        <v>8</v>
      </c>
      <c r="AH7" s="2">
        <v>45887</v>
      </c>
      <c r="AI7" s="2">
        <v>45887</v>
      </c>
      <c r="AJ7" t="s">
        <v>24</v>
      </c>
    </row>
    <row r="8" spans="1:36" outlineLevel="2" x14ac:dyDescent="0.25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45931</v>
      </c>
      <c r="H8" s="15">
        <v>1400001231</v>
      </c>
      <c r="I8" t="s">
        <v>25</v>
      </c>
      <c r="J8" s="2">
        <v>45931</v>
      </c>
      <c r="K8" s="2">
        <v>45925</v>
      </c>
      <c r="L8" t="s">
        <v>30</v>
      </c>
      <c r="M8" t="s">
        <v>8</v>
      </c>
      <c r="N8" t="s">
        <v>9</v>
      </c>
      <c r="O8" t="s">
        <v>10</v>
      </c>
      <c r="P8" t="s">
        <v>8</v>
      </c>
      <c r="Q8" t="s">
        <v>22</v>
      </c>
      <c r="R8" t="s">
        <v>26</v>
      </c>
      <c r="S8" s="3">
        <v>-4719.25</v>
      </c>
      <c r="T8" t="s">
        <v>12</v>
      </c>
      <c r="U8" s="3">
        <v>-413002</v>
      </c>
      <c r="V8" s="3"/>
      <c r="W8" s="3"/>
      <c r="X8" s="3"/>
      <c r="Y8" t="s">
        <v>8</v>
      </c>
      <c r="Z8" t="s">
        <v>31</v>
      </c>
      <c r="AA8" t="s">
        <v>8</v>
      </c>
      <c r="AB8" t="s">
        <v>8</v>
      </c>
      <c r="AC8" t="s">
        <v>17</v>
      </c>
      <c r="AD8" t="s">
        <v>8</v>
      </c>
      <c r="AE8" t="s">
        <v>8</v>
      </c>
      <c r="AF8" t="s">
        <v>8</v>
      </c>
      <c r="AG8" t="s">
        <v>8</v>
      </c>
      <c r="AH8" s="2">
        <v>45931</v>
      </c>
      <c r="AI8" s="2"/>
      <c r="AJ8" t="s">
        <v>8</v>
      </c>
    </row>
    <row r="9" spans="1:36" outlineLevel="2" x14ac:dyDescent="0.25">
      <c r="A9" t="s">
        <v>27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45890</v>
      </c>
      <c r="H9" s="15">
        <v>1400000977</v>
      </c>
      <c r="I9" t="s">
        <v>25</v>
      </c>
      <c r="J9" s="2">
        <v>45890</v>
      </c>
      <c r="K9" s="2">
        <v>45890</v>
      </c>
      <c r="L9" t="s">
        <v>33</v>
      </c>
      <c r="M9" t="s">
        <v>8</v>
      </c>
      <c r="N9" t="s">
        <v>9</v>
      </c>
      <c r="O9" t="s">
        <v>10</v>
      </c>
      <c r="P9" t="s">
        <v>8</v>
      </c>
      <c r="Q9" t="s">
        <v>22</v>
      </c>
      <c r="R9" t="s">
        <v>26</v>
      </c>
      <c r="S9" s="3">
        <v>-3663.7</v>
      </c>
      <c r="T9" t="s">
        <v>12</v>
      </c>
      <c r="U9" s="3">
        <v>-313212.57</v>
      </c>
      <c r="V9" s="3"/>
      <c r="W9" s="3"/>
      <c r="X9" s="3"/>
      <c r="Y9" t="s">
        <v>8</v>
      </c>
      <c r="Z9" t="s">
        <v>31</v>
      </c>
      <c r="AA9" t="s">
        <v>8</v>
      </c>
      <c r="AB9" t="s">
        <v>8</v>
      </c>
      <c r="AC9" t="s">
        <v>17</v>
      </c>
      <c r="AD9" t="s">
        <v>8</v>
      </c>
      <c r="AE9" t="s">
        <v>8</v>
      </c>
      <c r="AF9" t="s">
        <v>8</v>
      </c>
      <c r="AG9" t="s">
        <v>8</v>
      </c>
      <c r="AH9" s="2">
        <v>45890</v>
      </c>
      <c r="AI9" s="2"/>
      <c r="AJ9" t="s">
        <v>8</v>
      </c>
    </row>
    <row r="10" spans="1:36" outlineLevel="2" x14ac:dyDescent="0.25">
      <c r="A10" t="s">
        <v>27</v>
      </c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s="2">
        <v>45890</v>
      </c>
      <c r="H10" s="15">
        <v>1400000990</v>
      </c>
      <c r="I10" t="s">
        <v>25</v>
      </c>
      <c r="J10" s="2">
        <v>45890</v>
      </c>
      <c r="K10" s="2">
        <v>45890</v>
      </c>
      <c r="L10" t="s">
        <v>35</v>
      </c>
      <c r="M10" t="s">
        <v>8</v>
      </c>
      <c r="N10" t="s">
        <v>9</v>
      </c>
      <c r="O10" t="s">
        <v>10</v>
      </c>
      <c r="P10" t="s">
        <v>8</v>
      </c>
      <c r="Q10" t="s">
        <v>22</v>
      </c>
      <c r="R10" t="s">
        <v>26</v>
      </c>
      <c r="S10" s="3">
        <v>-3777.49</v>
      </c>
      <c r="T10" t="s">
        <v>12</v>
      </c>
      <c r="U10" s="3">
        <v>-324866.67</v>
      </c>
      <c r="V10" s="3"/>
      <c r="W10" s="3"/>
      <c r="X10" s="3"/>
      <c r="Y10" t="s">
        <v>8</v>
      </c>
      <c r="Z10" t="s">
        <v>31</v>
      </c>
      <c r="AA10" t="s">
        <v>8</v>
      </c>
      <c r="AB10" t="s">
        <v>8</v>
      </c>
      <c r="AC10" t="s">
        <v>17</v>
      </c>
      <c r="AD10" t="s">
        <v>8</v>
      </c>
      <c r="AE10" t="s">
        <v>8</v>
      </c>
      <c r="AF10" t="s">
        <v>8</v>
      </c>
      <c r="AG10" t="s">
        <v>8</v>
      </c>
      <c r="AH10" s="2">
        <v>45890</v>
      </c>
      <c r="AI10" s="2"/>
      <c r="AJ10" t="s">
        <v>8</v>
      </c>
    </row>
    <row r="11" spans="1:36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36</v>
      </c>
      <c r="G11" s="2">
        <v>45839</v>
      </c>
      <c r="H11" s="15">
        <v>1400000126</v>
      </c>
      <c r="I11" t="s">
        <v>25</v>
      </c>
      <c r="J11" s="2">
        <v>45832</v>
      </c>
      <c r="K11" s="2">
        <v>45832</v>
      </c>
      <c r="L11" t="s">
        <v>38</v>
      </c>
      <c r="M11" t="s">
        <v>8</v>
      </c>
      <c r="N11" t="s">
        <v>9</v>
      </c>
      <c r="O11" t="s">
        <v>10</v>
      </c>
      <c r="P11" t="s">
        <v>8</v>
      </c>
      <c r="Q11" t="s">
        <v>22</v>
      </c>
      <c r="R11" t="s">
        <v>26</v>
      </c>
      <c r="S11" s="3">
        <v>-3663.7</v>
      </c>
      <c r="T11" t="s">
        <v>12</v>
      </c>
      <c r="U11" s="3">
        <v>-3663.7</v>
      </c>
      <c r="V11" s="3"/>
      <c r="W11" s="3"/>
      <c r="X11" s="3"/>
      <c r="Y11" t="s">
        <v>8</v>
      </c>
      <c r="Z11" t="s">
        <v>31</v>
      </c>
      <c r="AA11" t="s">
        <v>8</v>
      </c>
      <c r="AB11" t="s">
        <v>8</v>
      </c>
      <c r="AC11" t="s">
        <v>17</v>
      </c>
      <c r="AD11" t="s">
        <v>8</v>
      </c>
      <c r="AE11" t="s">
        <v>8</v>
      </c>
      <c r="AF11" t="s">
        <v>8</v>
      </c>
      <c r="AG11" t="s">
        <v>8</v>
      </c>
      <c r="AH11" s="2">
        <v>45832</v>
      </c>
      <c r="AI11" s="2">
        <v>45839</v>
      </c>
      <c r="AJ11" t="s">
        <v>39</v>
      </c>
    </row>
    <row r="12" spans="1:36" outlineLevel="2" x14ac:dyDescent="0.25">
      <c r="A12" t="s">
        <v>27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45839</v>
      </c>
      <c r="H12" s="15">
        <v>1400000127</v>
      </c>
      <c r="I12" t="s">
        <v>25</v>
      </c>
      <c r="J12" s="2">
        <v>45832</v>
      </c>
      <c r="K12" s="2">
        <v>45832</v>
      </c>
      <c r="L12" t="s">
        <v>41</v>
      </c>
      <c r="M12" t="s">
        <v>8</v>
      </c>
      <c r="N12" t="s">
        <v>9</v>
      </c>
      <c r="O12" t="s">
        <v>10</v>
      </c>
      <c r="P12" t="s">
        <v>8</v>
      </c>
      <c r="Q12" t="s">
        <v>22</v>
      </c>
      <c r="R12" t="s">
        <v>26</v>
      </c>
      <c r="S12" s="3">
        <v>-3508.06</v>
      </c>
      <c r="T12" t="s">
        <v>12</v>
      </c>
      <c r="U12" s="3">
        <v>-3508.06</v>
      </c>
      <c r="V12" s="3"/>
      <c r="W12" s="3"/>
      <c r="X12" s="3"/>
      <c r="Y12" t="s">
        <v>8</v>
      </c>
      <c r="Z12" t="s">
        <v>31</v>
      </c>
      <c r="AA12" t="s">
        <v>8</v>
      </c>
      <c r="AB12" t="s">
        <v>8</v>
      </c>
      <c r="AC12" t="s">
        <v>17</v>
      </c>
      <c r="AD12" t="s">
        <v>8</v>
      </c>
      <c r="AE12" t="s">
        <v>8</v>
      </c>
      <c r="AF12" t="s">
        <v>8</v>
      </c>
      <c r="AG12" t="s">
        <v>8</v>
      </c>
      <c r="AH12" s="2">
        <v>45832</v>
      </c>
      <c r="AI12" s="2"/>
      <c r="AJ12" t="s">
        <v>8</v>
      </c>
    </row>
    <row r="13" spans="1:36" outlineLevel="2" x14ac:dyDescent="0.25">
      <c r="A13" t="s">
        <v>27</v>
      </c>
      <c r="B13" t="s">
        <v>1</v>
      </c>
      <c r="C13" t="s">
        <v>2</v>
      </c>
      <c r="D13" t="s">
        <v>3</v>
      </c>
      <c r="E13" t="s">
        <v>4</v>
      </c>
      <c r="F13" t="s">
        <v>36</v>
      </c>
      <c r="G13" s="2">
        <v>45839</v>
      </c>
      <c r="H13" s="15">
        <v>1400000128</v>
      </c>
      <c r="I13" t="s">
        <v>25</v>
      </c>
      <c r="J13" s="2">
        <v>45832</v>
      </c>
      <c r="K13" s="2">
        <v>45832</v>
      </c>
      <c r="L13" t="s">
        <v>43</v>
      </c>
      <c r="M13" t="s">
        <v>8</v>
      </c>
      <c r="N13" t="s">
        <v>9</v>
      </c>
      <c r="O13" t="s">
        <v>10</v>
      </c>
      <c r="P13" t="s">
        <v>8</v>
      </c>
      <c r="Q13" t="s">
        <v>22</v>
      </c>
      <c r="R13" t="s">
        <v>26</v>
      </c>
      <c r="S13" s="3">
        <v>-3145.98</v>
      </c>
      <c r="T13" t="s">
        <v>12</v>
      </c>
      <c r="U13" s="3">
        <v>-3145.98</v>
      </c>
      <c r="V13" s="3"/>
      <c r="W13" s="3"/>
      <c r="X13" s="3"/>
      <c r="Y13" t="s">
        <v>8</v>
      </c>
      <c r="Z13" t="s">
        <v>31</v>
      </c>
      <c r="AA13" t="s">
        <v>8</v>
      </c>
      <c r="AB13" t="s">
        <v>8</v>
      </c>
      <c r="AC13" t="s">
        <v>17</v>
      </c>
      <c r="AD13" t="s">
        <v>8</v>
      </c>
      <c r="AE13" t="s">
        <v>8</v>
      </c>
      <c r="AF13" t="s">
        <v>8</v>
      </c>
      <c r="AG13" t="s">
        <v>8</v>
      </c>
      <c r="AH13" s="2">
        <v>45832</v>
      </c>
      <c r="AI13" s="2"/>
      <c r="AJ13" t="s">
        <v>8</v>
      </c>
    </row>
    <row r="14" spans="1:36" outlineLevel="2" x14ac:dyDescent="0.25">
      <c r="A14" t="s">
        <v>27</v>
      </c>
      <c r="B14" t="s">
        <v>1</v>
      </c>
      <c r="C14" t="s">
        <v>2</v>
      </c>
      <c r="D14" t="s">
        <v>3</v>
      </c>
      <c r="E14" t="s">
        <v>4</v>
      </c>
      <c r="F14" t="s">
        <v>36</v>
      </c>
      <c r="G14" s="2">
        <v>45839</v>
      </c>
      <c r="H14" s="15">
        <v>1400000133</v>
      </c>
      <c r="I14" t="s">
        <v>25</v>
      </c>
      <c r="J14" s="2">
        <v>45832</v>
      </c>
      <c r="K14" s="2">
        <v>45832</v>
      </c>
      <c r="L14" t="s">
        <v>45</v>
      </c>
      <c r="M14" t="s">
        <v>8</v>
      </c>
      <c r="N14" t="s">
        <v>9</v>
      </c>
      <c r="O14" t="s">
        <v>10</v>
      </c>
      <c r="P14" t="s">
        <v>8</v>
      </c>
      <c r="Q14" t="s">
        <v>22</v>
      </c>
      <c r="R14" t="s">
        <v>26</v>
      </c>
      <c r="S14" s="22">
        <v>-12549.36</v>
      </c>
      <c r="T14" t="s">
        <v>12</v>
      </c>
      <c r="U14" s="3">
        <v>-12549.36</v>
      </c>
      <c r="V14" s="3"/>
      <c r="W14" s="3"/>
      <c r="X14" s="3"/>
      <c r="Y14" t="s">
        <v>8</v>
      </c>
      <c r="Z14" t="s">
        <v>31</v>
      </c>
      <c r="AA14" t="s">
        <v>8</v>
      </c>
      <c r="AB14" t="s">
        <v>8</v>
      </c>
      <c r="AC14" t="s">
        <v>17</v>
      </c>
      <c r="AD14" t="s">
        <v>8</v>
      </c>
      <c r="AE14" t="s">
        <v>8</v>
      </c>
      <c r="AF14" t="s">
        <v>8</v>
      </c>
      <c r="AG14" t="s">
        <v>8</v>
      </c>
      <c r="AH14" s="2">
        <v>45832</v>
      </c>
      <c r="AI14" s="2"/>
      <c r="AJ14" t="s">
        <v>8</v>
      </c>
    </row>
    <row r="15" spans="1:36" outlineLevel="2" x14ac:dyDescent="0.25">
      <c r="A15" t="s">
        <v>27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45839</v>
      </c>
      <c r="H15" s="15">
        <v>1400000134</v>
      </c>
      <c r="I15" t="s">
        <v>25</v>
      </c>
      <c r="J15" s="2">
        <v>45832</v>
      </c>
      <c r="K15" s="2">
        <v>45832</v>
      </c>
      <c r="L15" t="s">
        <v>47</v>
      </c>
      <c r="M15" t="s">
        <v>8</v>
      </c>
      <c r="N15" t="s">
        <v>9</v>
      </c>
      <c r="O15" t="s">
        <v>10</v>
      </c>
      <c r="P15" t="s">
        <v>8</v>
      </c>
      <c r="Q15" t="s">
        <v>22</v>
      </c>
      <c r="R15" t="s">
        <v>26</v>
      </c>
      <c r="S15" s="3">
        <v>-4228.22</v>
      </c>
      <c r="T15" t="s">
        <v>12</v>
      </c>
      <c r="U15" s="3">
        <v>-4228.22</v>
      </c>
      <c r="V15" s="3"/>
      <c r="W15" s="3"/>
      <c r="X15" s="3"/>
      <c r="Y15" t="s">
        <v>8</v>
      </c>
      <c r="Z15" t="s">
        <v>31</v>
      </c>
      <c r="AA15" t="s">
        <v>8</v>
      </c>
      <c r="AB15" t="s">
        <v>8</v>
      </c>
      <c r="AC15" t="s">
        <v>17</v>
      </c>
      <c r="AD15" t="s">
        <v>8</v>
      </c>
      <c r="AE15" t="s">
        <v>8</v>
      </c>
      <c r="AF15" t="s">
        <v>8</v>
      </c>
      <c r="AG15" t="s">
        <v>8</v>
      </c>
      <c r="AH15" s="2">
        <v>45832</v>
      </c>
      <c r="AI15" s="2"/>
      <c r="AJ15" t="s">
        <v>8</v>
      </c>
    </row>
    <row r="16" spans="1:36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36</v>
      </c>
      <c r="G16" s="2">
        <v>45839</v>
      </c>
      <c r="H16" s="15">
        <v>1400000149</v>
      </c>
      <c r="I16" t="s">
        <v>25</v>
      </c>
      <c r="J16" s="2">
        <v>45832</v>
      </c>
      <c r="K16" s="2">
        <v>45835</v>
      </c>
      <c r="L16" t="s">
        <v>38</v>
      </c>
      <c r="M16" t="s">
        <v>8</v>
      </c>
      <c r="N16" t="s">
        <v>9</v>
      </c>
      <c r="O16" t="s">
        <v>10</v>
      </c>
      <c r="P16" t="s">
        <v>8</v>
      </c>
      <c r="Q16" t="s">
        <v>48</v>
      </c>
      <c r="R16" t="s">
        <v>26</v>
      </c>
      <c r="S16" s="3">
        <v>3663.7</v>
      </c>
      <c r="T16" t="s">
        <v>12</v>
      </c>
      <c r="U16" s="3">
        <v>3663.7</v>
      </c>
      <c r="V16" s="3"/>
      <c r="W16" s="3"/>
      <c r="X16" s="3"/>
      <c r="Y16" t="s">
        <v>8</v>
      </c>
      <c r="Z16" t="s">
        <v>31</v>
      </c>
      <c r="AA16" t="s">
        <v>8</v>
      </c>
      <c r="AB16" t="s">
        <v>8</v>
      </c>
      <c r="AC16" t="s">
        <v>17</v>
      </c>
      <c r="AD16" t="s">
        <v>8</v>
      </c>
      <c r="AE16" t="s">
        <v>8</v>
      </c>
      <c r="AF16" t="s">
        <v>8</v>
      </c>
      <c r="AG16" t="s">
        <v>8</v>
      </c>
      <c r="AH16" s="2">
        <v>45832</v>
      </c>
      <c r="AI16" s="2">
        <v>45839</v>
      </c>
      <c r="AJ16" t="s">
        <v>39</v>
      </c>
    </row>
    <row r="17" spans="1:36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23</v>
      </c>
      <c r="G17" s="2">
        <v>45887</v>
      </c>
      <c r="H17" s="15">
        <v>1400000854</v>
      </c>
      <c r="I17" t="s">
        <v>25</v>
      </c>
      <c r="J17" s="2">
        <v>45887</v>
      </c>
      <c r="K17" s="2">
        <v>45887</v>
      </c>
      <c r="L17" t="s">
        <v>8</v>
      </c>
      <c r="M17" t="s">
        <v>8</v>
      </c>
      <c r="N17" t="s">
        <v>9</v>
      </c>
      <c r="O17" t="s">
        <v>10</v>
      </c>
      <c r="P17" t="s">
        <v>8</v>
      </c>
      <c r="Q17" t="s">
        <v>22</v>
      </c>
      <c r="R17" t="s">
        <v>26</v>
      </c>
      <c r="S17" s="3">
        <v>-4437.8999999999996</v>
      </c>
      <c r="T17" t="s">
        <v>12</v>
      </c>
      <c r="U17" s="3">
        <v>-383425.92</v>
      </c>
      <c r="V17" s="3"/>
      <c r="W17" s="3"/>
      <c r="X17" s="3"/>
      <c r="Y17" t="s">
        <v>8</v>
      </c>
      <c r="Z17" t="s">
        <v>13</v>
      </c>
      <c r="AA17" t="s">
        <v>8</v>
      </c>
      <c r="AB17" t="s">
        <v>8</v>
      </c>
      <c r="AC17" t="s">
        <v>49</v>
      </c>
      <c r="AD17" t="s">
        <v>8</v>
      </c>
      <c r="AE17" t="s">
        <v>8</v>
      </c>
      <c r="AF17" t="s">
        <v>8</v>
      </c>
      <c r="AG17" t="s">
        <v>8</v>
      </c>
      <c r="AH17" s="2">
        <v>45887</v>
      </c>
      <c r="AI17" s="2">
        <v>45887</v>
      </c>
      <c r="AJ17" t="s">
        <v>24</v>
      </c>
    </row>
    <row r="18" spans="1:36" outlineLevel="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23</v>
      </c>
      <c r="G18" s="2">
        <v>45888</v>
      </c>
      <c r="H18" s="15">
        <v>1400000864</v>
      </c>
      <c r="I18" t="s">
        <v>25</v>
      </c>
      <c r="J18" s="2">
        <v>45888</v>
      </c>
      <c r="K18" s="2">
        <v>45888</v>
      </c>
      <c r="L18" t="s">
        <v>51</v>
      </c>
      <c r="M18" t="s">
        <v>8</v>
      </c>
      <c r="N18" t="s">
        <v>9</v>
      </c>
      <c r="O18" t="s">
        <v>10</v>
      </c>
      <c r="P18" t="s">
        <v>8</v>
      </c>
      <c r="Q18" t="s">
        <v>22</v>
      </c>
      <c r="R18" t="s">
        <v>26</v>
      </c>
      <c r="S18" s="3">
        <v>-1102.02</v>
      </c>
      <c r="T18" t="s">
        <v>12</v>
      </c>
      <c r="U18" s="3">
        <v>-94695.18</v>
      </c>
      <c r="V18" s="3"/>
      <c r="W18" s="3"/>
      <c r="X18" s="3"/>
      <c r="Y18" t="s">
        <v>8</v>
      </c>
      <c r="Z18" t="s">
        <v>13</v>
      </c>
      <c r="AA18" t="s">
        <v>8</v>
      </c>
      <c r="AB18" t="s">
        <v>8</v>
      </c>
      <c r="AC18" t="s">
        <v>5</v>
      </c>
      <c r="AD18" t="s">
        <v>51</v>
      </c>
      <c r="AE18" t="s">
        <v>8</v>
      </c>
      <c r="AF18" t="s">
        <v>8</v>
      </c>
      <c r="AG18" t="s">
        <v>8</v>
      </c>
      <c r="AH18" s="2">
        <v>45888</v>
      </c>
      <c r="AI18" s="2">
        <v>45888</v>
      </c>
      <c r="AJ18" t="s">
        <v>50</v>
      </c>
    </row>
    <row r="19" spans="1:36" outlineLevel="2" x14ac:dyDescent="0.25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 t="s">
        <v>18</v>
      </c>
      <c r="G19" s="2">
        <v>45924</v>
      </c>
      <c r="H19" s="15">
        <v>1400001221</v>
      </c>
      <c r="I19" t="s">
        <v>25</v>
      </c>
      <c r="J19" s="2">
        <v>45924</v>
      </c>
      <c r="K19" s="2">
        <v>45924</v>
      </c>
      <c r="L19" t="s">
        <v>53</v>
      </c>
      <c r="M19" t="s">
        <v>8</v>
      </c>
      <c r="N19" t="s">
        <v>9</v>
      </c>
      <c r="O19" t="s">
        <v>10</v>
      </c>
      <c r="P19" t="s">
        <v>8</v>
      </c>
      <c r="Q19" t="s">
        <v>22</v>
      </c>
      <c r="R19" t="s">
        <v>26</v>
      </c>
      <c r="S19" s="3">
        <v>-2932.84</v>
      </c>
      <c r="T19" t="s">
        <v>12</v>
      </c>
      <c r="U19" s="3">
        <v>-256665.53</v>
      </c>
      <c r="V19" s="3"/>
      <c r="W19" s="3"/>
      <c r="X19" s="3"/>
      <c r="Y19" t="s">
        <v>8</v>
      </c>
      <c r="Z19" t="s">
        <v>31</v>
      </c>
      <c r="AA19" t="s">
        <v>8</v>
      </c>
      <c r="AB19" t="s">
        <v>8</v>
      </c>
      <c r="AC19" t="s">
        <v>17</v>
      </c>
      <c r="AD19" t="s">
        <v>8</v>
      </c>
      <c r="AE19" t="s">
        <v>8</v>
      </c>
      <c r="AF19" t="s">
        <v>8</v>
      </c>
      <c r="AG19" t="s">
        <v>8</v>
      </c>
      <c r="AH19" s="2">
        <v>45924</v>
      </c>
      <c r="AI19" s="2"/>
      <c r="AJ19" t="s">
        <v>8</v>
      </c>
    </row>
    <row r="20" spans="1:36" outlineLevel="2" x14ac:dyDescent="0.25">
      <c r="A20" t="s">
        <v>27</v>
      </c>
      <c r="B20" t="s">
        <v>1</v>
      </c>
      <c r="C20" t="s">
        <v>2</v>
      </c>
      <c r="D20" t="s">
        <v>3</v>
      </c>
      <c r="E20" t="s">
        <v>4</v>
      </c>
      <c r="F20" t="s">
        <v>54</v>
      </c>
      <c r="G20" s="2">
        <v>45964</v>
      </c>
      <c r="H20" s="15">
        <v>1400001598</v>
      </c>
      <c r="I20" t="s">
        <v>25</v>
      </c>
      <c r="J20" s="2">
        <v>45964</v>
      </c>
      <c r="K20" s="2">
        <v>45964</v>
      </c>
      <c r="L20" t="s">
        <v>56</v>
      </c>
      <c r="M20" t="s">
        <v>8</v>
      </c>
      <c r="N20" t="s">
        <v>9</v>
      </c>
      <c r="O20" t="s">
        <v>10</v>
      </c>
      <c r="P20" t="s">
        <v>8</v>
      </c>
      <c r="Q20" t="s">
        <v>22</v>
      </c>
      <c r="R20" t="s">
        <v>26</v>
      </c>
      <c r="S20" s="3">
        <v>-1731.27</v>
      </c>
      <c r="T20" t="s">
        <v>12</v>
      </c>
      <c r="U20" s="3">
        <v>-152682.03</v>
      </c>
      <c r="V20" s="3"/>
      <c r="W20" s="3"/>
      <c r="X20" s="3"/>
      <c r="Y20" t="s">
        <v>8</v>
      </c>
      <c r="Z20" t="s">
        <v>31</v>
      </c>
      <c r="AA20" t="s">
        <v>8</v>
      </c>
      <c r="AB20" t="s">
        <v>8</v>
      </c>
      <c r="AC20" t="s">
        <v>17</v>
      </c>
      <c r="AD20" t="s">
        <v>8</v>
      </c>
      <c r="AE20" t="s">
        <v>8</v>
      </c>
      <c r="AF20" t="s">
        <v>8</v>
      </c>
      <c r="AG20" t="s">
        <v>8</v>
      </c>
      <c r="AH20" s="2">
        <v>45964</v>
      </c>
      <c r="AI20" s="2"/>
      <c r="AJ20" t="s">
        <v>8</v>
      </c>
    </row>
    <row r="21" spans="1:36" outlineLevel="2" x14ac:dyDescent="0.25">
      <c r="A21" t="s">
        <v>27</v>
      </c>
      <c r="B21" t="s">
        <v>1</v>
      </c>
      <c r="C21" t="s">
        <v>2</v>
      </c>
      <c r="D21" t="s">
        <v>3</v>
      </c>
      <c r="E21" t="s">
        <v>4</v>
      </c>
      <c r="F21" t="s">
        <v>54</v>
      </c>
      <c r="G21" s="2">
        <v>45972</v>
      </c>
      <c r="H21" s="15">
        <v>1400001618</v>
      </c>
      <c r="I21" t="s">
        <v>25</v>
      </c>
      <c r="J21" s="2">
        <v>45972</v>
      </c>
      <c r="K21" s="2">
        <v>45972</v>
      </c>
      <c r="L21" t="s">
        <v>58</v>
      </c>
      <c r="M21" t="s">
        <v>8</v>
      </c>
      <c r="N21" t="s">
        <v>9</v>
      </c>
      <c r="O21" t="s">
        <v>10</v>
      </c>
      <c r="P21" t="s">
        <v>8</v>
      </c>
      <c r="Q21" t="s">
        <v>22</v>
      </c>
      <c r="R21" t="s">
        <v>26</v>
      </c>
      <c r="S21" s="3">
        <v>-1968.44</v>
      </c>
      <c r="T21" t="s">
        <v>12</v>
      </c>
      <c r="U21" s="3">
        <v>-173229.39</v>
      </c>
      <c r="V21" s="3"/>
      <c r="W21" s="3"/>
      <c r="X21" s="3"/>
      <c r="Y21" t="s">
        <v>8</v>
      </c>
      <c r="Z21" t="s">
        <v>31</v>
      </c>
      <c r="AA21" t="s">
        <v>8</v>
      </c>
      <c r="AB21" t="s">
        <v>8</v>
      </c>
      <c r="AC21" t="s">
        <v>17</v>
      </c>
      <c r="AD21" t="s">
        <v>8</v>
      </c>
      <c r="AE21" t="s">
        <v>8</v>
      </c>
      <c r="AF21" t="s">
        <v>8</v>
      </c>
      <c r="AG21" t="s">
        <v>8</v>
      </c>
      <c r="AH21" s="2">
        <v>45972</v>
      </c>
      <c r="AI21" s="2"/>
      <c r="AJ21" t="s">
        <v>8</v>
      </c>
    </row>
    <row r="22" spans="1:36" outlineLevel="2" x14ac:dyDescent="0.25">
      <c r="A22" t="s">
        <v>27</v>
      </c>
      <c r="B22" t="s">
        <v>1</v>
      </c>
      <c r="C22" t="s">
        <v>2</v>
      </c>
      <c r="D22" t="s">
        <v>3</v>
      </c>
      <c r="E22" t="s">
        <v>4</v>
      </c>
      <c r="F22" t="s">
        <v>54</v>
      </c>
      <c r="G22" s="2">
        <v>45972</v>
      </c>
      <c r="H22" s="15">
        <v>1400001620</v>
      </c>
      <c r="I22" t="s">
        <v>25</v>
      </c>
      <c r="J22" s="2">
        <v>45972</v>
      </c>
      <c r="K22" s="2">
        <v>45972</v>
      </c>
      <c r="L22" t="s">
        <v>60</v>
      </c>
      <c r="M22" t="s">
        <v>8</v>
      </c>
      <c r="N22" t="s">
        <v>9</v>
      </c>
      <c r="O22" t="s">
        <v>10</v>
      </c>
      <c r="P22" t="s">
        <v>8</v>
      </c>
      <c r="Q22" t="s">
        <v>22</v>
      </c>
      <c r="R22" t="s">
        <v>26</v>
      </c>
      <c r="S22" s="3">
        <v>-8339.84</v>
      </c>
      <c r="T22" t="s">
        <v>12</v>
      </c>
      <c r="U22" s="3">
        <v>-729855.51</v>
      </c>
      <c r="V22" s="3"/>
      <c r="W22" s="3"/>
      <c r="X22" s="3"/>
      <c r="Y22" t="s">
        <v>8</v>
      </c>
      <c r="Z22" t="s">
        <v>31</v>
      </c>
      <c r="AA22" t="s">
        <v>8</v>
      </c>
      <c r="AB22" t="s">
        <v>8</v>
      </c>
      <c r="AC22" t="s">
        <v>17</v>
      </c>
      <c r="AD22" t="s">
        <v>8</v>
      </c>
      <c r="AE22" t="s">
        <v>8</v>
      </c>
      <c r="AF22" t="s">
        <v>8</v>
      </c>
      <c r="AG22" t="s">
        <v>8</v>
      </c>
      <c r="AH22" s="2">
        <v>45972</v>
      </c>
      <c r="AI22" s="2"/>
      <c r="AJ22" t="s">
        <v>8</v>
      </c>
    </row>
    <row r="23" spans="1:36" outlineLevel="2" x14ac:dyDescent="0.25">
      <c r="A23" t="s">
        <v>27</v>
      </c>
      <c r="B23" t="s">
        <v>1</v>
      </c>
      <c r="C23" t="s">
        <v>2</v>
      </c>
      <c r="D23" t="s">
        <v>3</v>
      </c>
      <c r="E23" t="s">
        <v>4</v>
      </c>
      <c r="F23" t="s">
        <v>54</v>
      </c>
      <c r="G23" s="2">
        <v>45972</v>
      </c>
      <c r="H23" s="15">
        <v>1400001622</v>
      </c>
      <c r="I23" t="s">
        <v>25</v>
      </c>
      <c r="J23" s="2">
        <v>45972</v>
      </c>
      <c r="K23" s="2">
        <v>45972</v>
      </c>
      <c r="L23" t="s">
        <v>62</v>
      </c>
      <c r="M23" t="s">
        <v>8</v>
      </c>
      <c r="N23" t="s">
        <v>9</v>
      </c>
      <c r="O23" t="s">
        <v>10</v>
      </c>
      <c r="P23" t="s">
        <v>8</v>
      </c>
      <c r="Q23" t="s">
        <v>22</v>
      </c>
      <c r="R23" t="s">
        <v>26</v>
      </c>
      <c r="S23" s="3">
        <v>-10455.66</v>
      </c>
      <c r="T23" t="s">
        <v>12</v>
      </c>
      <c r="U23" s="3">
        <v>-920133.52</v>
      </c>
      <c r="V23" s="3"/>
      <c r="W23" s="3"/>
      <c r="X23" s="3"/>
      <c r="Y23" t="s">
        <v>8</v>
      </c>
      <c r="Z23" t="s">
        <v>31</v>
      </c>
      <c r="AA23" t="s">
        <v>8</v>
      </c>
      <c r="AB23" t="s">
        <v>8</v>
      </c>
      <c r="AC23" t="s">
        <v>17</v>
      </c>
      <c r="AD23" t="s">
        <v>8</v>
      </c>
      <c r="AE23" t="s">
        <v>8</v>
      </c>
      <c r="AF23" t="s">
        <v>8</v>
      </c>
      <c r="AG23" t="s">
        <v>8</v>
      </c>
      <c r="AH23" s="2">
        <v>45972</v>
      </c>
      <c r="AI23" s="2"/>
      <c r="AJ23" t="s">
        <v>8</v>
      </c>
    </row>
    <row r="24" spans="1:36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49</v>
      </c>
      <c r="G24" s="2">
        <v>45744</v>
      </c>
      <c r="H24" s="15">
        <v>7000000196</v>
      </c>
      <c r="I24" t="s">
        <v>63</v>
      </c>
      <c r="J24" s="2">
        <v>45701</v>
      </c>
      <c r="K24" s="2">
        <v>45744</v>
      </c>
      <c r="L24" t="s">
        <v>64</v>
      </c>
      <c r="M24" t="s">
        <v>64</v>
      </c>
      <c r="N24" t="s">
        <v>9</v>
      </c>
      <c r="O24" t="s">
        <v>10</v>
      </c>
      <c r="P24" t="s">
        <v>8</v>
      </c>
      <c r="Q24" t="s">
        <v>65</v>
      </c>
      <c r="R24" t="s">
        <v>12</v>
      </c>
      <c r="S24" s="3">
        <v>1</v>
      </c>
      <c r="T24" t="s">
        <v>12</v>
      </c>
      <c r="U24" s="3">
        <v>1</v>
      </c>
      <c r="V24" s="3"/>
      <c r="W24" s="3"/>
      <c r="X24" s="3"/>
      <c r="Y24" t="s">
        <v>8</v>
      </c>
      <c r="Z24" t="s">
        <v>13</v>
      </c>
      <c r="AA24" t="s">
        <v>8</v>
      </c>
      <c r="AB24" t="s">
        <v>66</v>
      </c>
      <c r="AC24" t="s">
        <v>67</v>
      </c>
      <c r="AD24" t="s">
        <v>15</v>
      </c>
      <c r="AE24" t="s">
        <v>2</v>
      </c>
      <c r="AF24" t="s">
        <v>8</v>
      </c>
      <c r="AG24" t="s">
        <v>2</v>
      </c>
      <c r="AH24" s="2">
        <v>45701</v>
      </c>
      <c r="AI24" s="2">
        <v>45758</v>
      </c>
      <c r="AJ24" t="s">
        <v>6</v>
      </c>
    </row>
    <row r="25" spans="1:36" outlineLevel="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17</v>
      </c>
      <c r="G25" s="2">
        <v>45701</v>
      </c>
      <c r="H25" s="15">
        <v>7000000135</v>
      </c>
      <c r="I25" t="s">
        <v>63</v>
      </c>
      <c r="J25" s="2">
        <v>45701</v>
      </c>
      <c r="K25" s="2">
        <v>45701</v>
      </c>
      <c r="L25" t="s">
        <v>66</v>
      </c>
      <c r="M25" t="s">
        <v>66</v>
      </c>
      <c r="N25" t="s">
        <v>9</v>
      </c>
      <c r="O25" t="s">
        <v>10</v>
      </c>
      <c r="P25" t="s">
        <v>8</v>
      </c>
      <c r="Q25" t="s">
        <v>54</v>
      </c>
      <c r="R25" t="s">
        <v>12</v>
      </c>
      <c r="S25" s="3">
        <v>-1</v>
      </c>
      <c r="T25" t="s">
        <v>12</v>
      </c>
      <c r="U25" s="3">
        <v>-1</v>
      </c>
      <c r="V25" s="3"/>
      <c r="W25" s="3"/>
      <c r="X25" s="3"/>
      <c r="Y25" t="s">
        <v>8</v>
      </c>
      <c r="Z25" t="s">
        <v>13</v>
      </c>
      <c r="AA25" t="s">
        <v>8</v>
      </c>
      <c r="AB25" t="s">
        <v>66</v>
      </c>
      <c r="AC25" t="s">
        <v>14</v>
      </c>
      <c r="AD25" t="s">
        <v>15</v>
      </c>
      <c r="AE25" t="s">
        <v>2</v>
      </c>
      <c r="AF25" t="s">
        <v>8</v>
      </c>
      <c r="AG25" t="s">
        <v>2</v>
      </c>
      <c r="AH25" s="2">
        <v>45701</v>
      </c>
      <c r="AI25" s="2">
        <v>45758</v>
      </c>
      <c r="AJ25" t="s">
        <v>6</v>
      </c>
    </row>
    <row r="26" spans="1:36" outlineLevel="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36</v>
      </c>
      <c r="G26" s="2">
        <v>45842</v>
      </c>
      <c r="H26" s="15">
        <v>1400000213</v>
      </c>
      <c r="I26" t="s">
        <v>20</v>
      </c>
      <c r="J26" s="2">
        <v>45842</v>
      </c>
      <c r="K26" s="2">
        <v>45842</v>
      </c>
      <c r="L26" t="s">
        <v>69</v>
      </c>
      <c r="M26" t="s">
        <v>70</v>
      </c>
      <c r="N26" t="s">
        <v>9</v>
      </c>
      <c r="O26" t="s">
        <v>10</v>
      </c>
      <c r="P26" t="s">
        <v>8</v>
      </c>
      <c r="Q26" t="s">
        <v>22</v>
      </c>
      <c r="R26" t="s">
        <v>26</v>
      </c>
      <c r="S26" s="3">
        <v>0</v>
      </c>
      <c r="T26" t="s">
        <v>12</v>
      </c>
      <c r="U26" s="3">
        <v>0</v>
      </c>
      <c r="V26" s="3"/>
      <c r="W26" s="3"/>
      <c r="X26" s="3"/>
      <c r="Y26" t="s">
        <v>8</v>
      </c>
      <c r="Z26" t="s">
        <v>13</v>
      </c>
      <c r="AA26" t="s">
        <v>8</v>
      </c>
      <c r="AB26" t="s">
        <v>8</v>
      </c>
      <c r="AC26" t="s">
        <v>14</v>
      </c>
      <c r="AD26" t="s">
        <v>8</v>
      </c>
      <c r="AE26" t="s">
        <v>8</v>
      </c>
      <c r="AF26" t="s">
        <v>8</v>
      </c>
      <c r="AG26" t="s">
        <v>8</v>
      </c>
      <c r="AH26" s="2">
        <v>45842</v>
      </c>
      <c r="AI26" s="2">
        <v>45842</v>
      </c>
      <c r="AJ26" t="s">
        <v>68</v>
      </c>
    </row>
    <row r="27" spans="1:36" outlineLevel="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36</v>
      </c>
      <c r="G27" s="2">
        <v>45842</v>
      </c>
      <c r="H27" s="15">
        <v>1400000214</v>
      </c>
      <c r="I27" t="s">
        <v>20</v>
      </c>
      <c r="J27" s="2">
        <v>45842</v>
      </c>
      <c r="K27" s="2">
        <v>45842</v>
      </c>
      <c r="L27" t="s">
        <v>69</v>
      </c>
      <c r="M27" t="s">
        <v>70</v>
      </c>
      <c r="N27" t="s">
        <v>9</v>
      </c>
      <c r="O27" t="s">
        <v>10</v>
      </c>
      <c r="P27" t="s">
        <v>8</v>
      </c>
      <c r="Q27" t="s">
        <v>21</v>
      </c>
      <c r="R27" t="s">
        <v>26</v>
      </c>
      <c r="S27" s="3">
        <v>1166.5899999999999</v>
      </c>
      <c r="T27" t="s">
        <v>12</v>
      </c>
      <c r="U27" s="3">
        <v>101402.13</v>
      </c>
      <c r="V27" s="3"/>
      <c r="W27" s="3"/>
      <c r="X27" s="3"/>
      <c r="Y27" t="s">
        <v>8</v>
      </c>
      <c r="Z27" t="s">
        <v>13</v>
      </c>
      <c r="AA27" t="s">
        <v>8</v>
      </c>
      <c r="AB27" t="s">
        <v>8</v>
      </c>
      <c r="AC27" t="s">
        <v>14</v>
      </c>
      <c r="AD27" t="s">
        <v>8</v>
      </c>
      <c r="AE27" t="s">
        <v>8</v>
      </c>
      <c r="AF27" t="s">
        <v>8</v>
      </c>
      <c r="AG27" t="s">
        <v>8</v>
      </c>
      <c r="AH27" s="2">
        <v>45842</v>
      </c>
      <c r="AI27" s="2">
        <v>45842</v>
      </c>
      <c r="AJ27" t="s">
        <v>71</v>
      </c>
    </row>
    <row r="28" spans="1:36" outlineLevel="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36</v>
      </c>
      <c r="G28" s="2">
        <v>45842</v>
      </c>
      <c r="H28" s="15">
        <v>1400000214</v>
      </c>
      <c r="I28" t="s">
        <v>20</v>
      </c>
      <c r="J28" s="2">
        <v>45842</v>
      </c>
      <c r="K28" s="2">
        <v>45842</v>
      </c>
      <c r="L28" t="s">
        <v>69</v>
      </c>
      <c r="M28" t="s">
        <v>70</v>
      </c>
      <c r="N28" t="s">
        <v>9</v>
      </c>
      <c r="O28" t="s">
        <v>10</v>
      </c>
      <c r="P28" t="s">
        <v>8</v>
      </c>
      <c r="Q28" t="s">
        <v>22</v>
      </c>
      <c r="R28" t="s">
        <v>26</v>
      </c>
      <c r="S28" s="3">
        <v>-1166.5899999999999</v>
      </c>
      <c r="T28" t="s">
        <v>12</v>
      </c>
      <c r="U28" s="3">
        <v>-101402.13</v>
      </c>
      <c r="V28" s="3"/>
      <c r="W28" s="3"/>
      <c r="X28" s="3"/>
      <c r="Y28" t="s">
        <v>8</v>
      </c>
      <c r="Z28" t="s">
        <v>13</v>
      </c>
      <c r="AA28" t="s">
        <v>8</v>
      </c>
      <c r="AB28" t="s">
        <v>8</v>
      </c>
      <c r="AC28" t="s">
        <v>17</v>
      </c>
      <c r="AD28" t="s">
        <v>8</v>
      </c>
      <c r="AE28" t="s">
        <v>8</v>
      </c>
      <c r="AF28" t="s">
        <v>8</v>
      </c>
      <c r="AG28" t="s">
        <v>8</v>
      </c>
      <c r="AH28" s="2">
        <v>45842</v>
      </c>
      <c r="AI28" s="2">
        <v>45842</v>
      </c>
      <c r="AJ28" t="s">
        <v>71</v>
      </c>
    </row>
    <row r="29" spans="1:36" outlineLevel="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36</v>
      </c>
      <c r="G29" s="2">
        <v>45842</v>
      </c>
      <c r="H29" s="15">
        <v>1400000215</v>
      </c>
      <c r="I29" t="s">
        <v>20</v>
      </c>
      <c r="J29" s="2">
        <v>45842</v>
      </c>
      <c r="K29" s="2">
        <v>45842</v>
      </c>
      <c r="L29" t="s">
        <v>69</v>
      </c>
      <c r="M29" t="s">
        <v>70</v>
      </c>
      <c r="N29" t="s">
        <v>9</v>
      </c>
      <c r="O29" t="s">
        <v>10</v>
      </c>
      <c r="P29" t="s">
        <v>8</v>
      </c>
      <c r="Q29" t="s">
        <v>21</v>
      </c>
      <c r="R29" t="s">
        <v>26</v>
      </c>
      <c r="S29" s="3">
        <v>1143.1199999999999</v>
      </c>
      <c r="T29" t="s">
        <v>12</v>
      </c>
      <c r="U29" s="3">
        <v>99362.07</v>
      </c>
      <c r="V29" s="3"/>
      <c r="W29" s="3"/>
      <c r="X29" s="3"/>
      <c r="Y29" t="s">
        <v>8</v>
      </c>
      <c r="Z29" t="s">
        <v>13</v>
      </c>
      <c r="AA29" t="s">
        <v>8</v>
      </c>
      <c r="AB29" t="s">
        <v>8</v>
      </c>
      <c r="AC29" t="s">
        <v>14</v>
      </c>
      <c r="AD29" t="s">
        <v>8</v>
      </c>
      <c r="AE29" t="s">
        <v>8</v>
      </c>
      <c r="AF29" t="s">
        <v>8</v>
      </c>
      <c r="AG29" t="s">
        <v>8</v>
      </c>
      <c r="AH29" s="2">
        <v>45842</v>
      </c>
      <c r="AI29" s="2">
        <v>45842</v>
      </c>
      <c r="AJ29" t="s">
        <v>72</v>
      </c>
    </row>
    <row r="30" spans="1:36" outlineLevel="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36</v>
      </c>
      <c r="G30" s="2">
        <v>45842</v>
      </c>
      <c r="H30" s="15">
        <v>1400000215</v>
      </c>
      <c r="I30" t="s">
        <v>20</v>
      </c>
      <c r="J30" s="2">
        <v>45842</v>
      </c>
      <c r="K30" s="2">
        <v>45842</v>
      </c>
      <c r="L30" t="s">
        <v>69</v>
      </c>
      <c r="M30" t="s">
        <v>70</v>
      </c>
      <c r="N30" t="s">
        <v>9</v>
      </c>
      <c r="O30" t="s">
        <v>10</v>
      </c>
      <c r="P30" t="s">
        <v>8</v>
      </c>
      <c r="Q30" t="s">
        <v>22</v>
      </c>
      <c r="R30" t="s">
        <v>26</v>
      </c>
      <c r="S30" s="3">
        <v>-1143.1199999999999</v>
      </c>
      <c r="T30" t="s">
        <v>12</v>
      </c>
      <c r="U30" s="3">
        <v>-99362.07</v>
      </c>
      <c r="V30" s="3"/>
      <c r="W30" s="3"/>
      <c r="X30" s="3"/>
      <c r="Y30" t="s">
        <v>8</v>
      </c>
      <c r="Z30" t="s">
        <v>13</v>
      </c>
      <c r="AA30" t="s">
        <v>8</v>
      </c>
      <c r="AB30" t="s">
        <v>8</v>
      </c>
      <c r="AC30" t="s">
        <v>17</v>
      </c>
      <c r="AD30" t="s">
        <v>8</v>
      </c>
      <c r="AE30" t="s">
        <v>8</v>
      </c>
      <c r="AF30" t="s">
        <v>8</v>
      </c>
      <c r="AG30" t="s">
        <v>8</v>
      </c>
      <c r="AH30" s="2">
        <v>45842</v>
      </c>
      <c r="AI30" s="2">
        <v>45842</v>
      </c>
      <c r="AJ30" t="s">
        <v>72</v>
      </c>
    </row>
    <row r="31" spans="1:36" outlineLevel="2" x14ac:dyDescent="0.25">
      <c r="A31" t="s">
        <v>27</v>
      </c>
      <c r="B31" t="s">
        <v>1</v>
      </c>
      <c r="C31" t="s">
        <v>2</v>
      </c>
      <c r="D31" t="s">
        <v>3</v>
      </c>
      <c r="E31" t="s">
        <v>4</v>
      </c>
      <c r="F31" t="s">
        <v>73</v>
      </c>
      <c r="G31" s="2">
        <v>45787</v>
      </c>
      <c r="H31" s="15">
        <v>1800008260</v>
      </c>
      <c r="I31" t="s">
        <v>75</v>
      </c>
      <c r="J31" s="2">
        <v>45787</v>
      </c>
      <c r="K31" s="2">
        <v>45791</v>
      </c>
      <c r="L31" t="s">
        <v>69</v>
      </c>
      <c r="M31" s="21">
        <v>256779413144</v>
      </c>
      <c r="N31" t="s">
        <v>9</v>
      </c>
      <c r="O31" t="s">
        <v>10</v>
      </c>
      <c r="P31" t="s">
        <v>8</v>
      </c>
      <c r="Q31" t="s">
        <v>65</v>
      </c>
      <c r="R31" t="s">
        <v>12</v>
      </c>
      <c r="S31" s="3">
        <v>100000</v>
      </c>
      <c r="T31" t="s">
        <v>12</v>
      </c>
      <c r="U31" s="3">
        <v>100000</v>
      </c>
      <c r="V31" s="3">
        <f>VLOOKUP(M31,'[1]combined ledger'!$A:$H,8,0)</f>
        <v>89577.395799999998</v>
      </c>
      <c r="W31" s="3">
        <f>U31-V31</f>
        <v>10422.604200000002</v>
      </c>
      <c r="X31" s="3"/>
      <c r="Y31" t="s">
        <v>77</v>
      </c>
      <c r="Z31" t="s">
        <v>13</v>
      </c>
      <c r="AA31" t="s">
        <v>8</v>
      </c>
      <c r="AB31" t="s">
        <v>69</v>
      </c>
      <c r="AC31" t="s">
        <v>14</v>
      </c>
      <c r="AD31" t="s">
        <v>78</v>
      </c>
      <c r="AE31" t="s">
        <v>8</v>
      </c>
      <c r="AF31" t="s">
        <v>8</v>
      </c>
      <c r="AG31" t="s">
        <v>8</v>
      </c>
      <c r="AH31" s="2">
        <v>45787</v>
      </c>
      <c r="AI31" s="2"/>
      <c r="AJ31" t="s">
        <v>8</v>
      </c>
    </row>
    <row r="32" spans="1:36" outlineLevel="2" x14ac:dyDescent="0.25">
      <c r="A32" t="s">
        <v>27</v>
      </c>
      <c r="B32" t="s">
        <v>1</v>
      </c>
      <c r="C32" t="s">
        <v>2</v>
      </c>
      <c r="D32" t="s">
        <v>3</v>
      </c>
      <c r="E32" t="s">
        <v>4</v>
      </c>
      <c r="F32" t="s">
        <v>79</v>
      </c>
      <c r="G32" s="2">
        <v>45818</v>
      </c>
      <c r="H32" s="15">
        <v>1800009592</v>
      </c>
      <c r="I32" t="s">
        <v>75</v>
      </c>
      <c r="J32" s="2">
        <v>45818</v>
      </c>
      <c r="K32" s="2">
        <v>45825</v>
      </c>
      <c r="L32" t="s">
        <v>69</v>
      </c>
      <c r="M32" s="21">
        <v>256779414356</v>
      </c>
      <c r="N32" t="s">
        <v>9</v>
      </c>
      <c r="O32" t="s">
        <v>10</v>
      </c>
      <c r="P32" t="s">
        <v>8</v>
      </c>
      <c r="Q32" t="s">
        <v>65</v>
      </c>
      <c r="R32" t="s">
        <v>12</v>
      </c>
      <c r="S32" s="3">
        <v>100000</v>
      </c>
      <c r="T32" t="s">
        <v>12</v>
      </c>
      <c r="U32" s="3">
        <v>100000</v>
      </c>
      <c r="V32" s="3">
        <f>VLOOKUP(M32,'[1]combined ledger'!$A:$H,8,0)</f>
        <v>90020.757199999993</v>
      </c>
      <c r="W32" s="3">
        <f t="shared" ref="W32:W95" si="0">U32-V32</f>
        <v>9979.2428000000073</v>
      </c>
      <c r="X32" s="3"/>
      <c r="Y32" t="s">
        <v>77</v>
      </c>
      <c r="Z32" t="s">
        <v>13</v>
      </c>
      <c r="AA32" t="s">
        <v>8</v>
      </c>
      <c r="AB32" t="s">
        <v>69</v>
      </c>
      <c r="AC32" t="s">
        <v>14</v>
      </c>
      <c r="AD32" t="s">
        <v>82</v>
      </c>
      <c r="AE32" t="s">
        <v>8</v>
      </c>
      <c r="AF32" t="s">
        <v>8</v>
      </c>
      <c r="AG32" t="s">
        <v>8</v>
      </c>
      <c r="AH32" s="2">
        <v>45818</v>
      </c>
      <c r="AI32" s="2"/>
      <c r="AJ32" t="s">
        <v>8</v>
      </c>
    </row>
    <row r="33" spans="1:36" outlineLevel="2" x14ac:dyDescent="0.25">
      <c r="A33" t="s">
        <v>27</v>
      </c>
      <c r="B33" t="s">
        <v>1</v>
      </c>
      <c r="C33" t="s">
        <v>2</v>
      </c>
      <c r="D33" t="s">
        <v>3</v>
      </c>
      <c r="E33" t="s">
        <v>4</v>
      </c>
      <c r="F33" t="s">
        <v>36</v>
      </c>
      <c r="G33" s="2">
        <v>45842</v>
      </c>
      <c r="H33" s="15">
        <v>1800010154</v>
      </c>
      <c r="I33" t="s">
        <v>75</v>
      </c>
      <c r="J33" s="2">
        <v>45842</v>
      </c>
      <c r="K33" s="2">
        <v>45847</v>
      </c>
      <c r="L33" t="s">
        <v>69</v>
      </c>
      <c r="M33" s="21">
        <v>256779414914</v>
      </c>
      <c r="N33" t="s">
        <v>9</v>
      </c>
      <c r="O33" t="s">
        <v>10</v>
      </c>
      <c r="P33" t="s">
        <v>8</v>
      </c>
      <c r="Q33" t="s">
        <v>65</v>
      </c>
      <c r="R33" t="s">
        <v>12</v>
      </c>
      <c r="S33" s="3">
        <v>100000</v>
      </c>
      <c r="T33" t="s">
        <v>12</v>
      </c>
      <c r="U33" s="3">
        <v>100000</v>
      </c>
      <c r="V33" s="3">
        <f>VLOOKUP(M33,'[1]combined ledger'!$A:$H,8,0)</f>
        <v>89999.859100000001</v>
      </c>
      <c r="W33" s="3">
        <f t="shared" si="0"/>
        <v>10000.140899999999</v>
      </c>
      <c r="X33" s="3"/>
      <c r="Y33" t="s">
        <v>77</v>
      </c>
      <c r="Z33" t="s">
        <v>13</v>
      </c>
      <c r="AA33" t="s">
        <v>8</v>
      </c>
      <c r="AB33" t="s">
        <v>69</v>
      </c>
      <c r="AC33" t="s">
        <v>14</v>
      </c>
      <c r="AD33" t="s">
        <v>85</v>
      </c>
      <c r="AE33" t="s">
        <v>8</v>
      </c>
      <c r="AF33" t="s">
        <v>8</v>
      </c>
      <c r="AG33" t="s">
        <v>8</v>
      </c>
      <c r="AH33" s="2">
        <v>45842</v>
      </c>
      <c r="AI33" s="2"/>
      <c r="AJ33" t="s">
        <v>8</v>
      </c>
    </row>
    <row r="34" spans="1:36" outlineLevel="2" x14ac:dyDescent="0.25">
      <c r="A34" t="s">
        <v>27</v>
      </c>
      <c r="B34" t="s">
        <v>1</v>
      </c>
      <c r="C34" t="s">
        <v>2</v>
      </c>
      <c r="D34" t="s">
        <v>3</v>
      </c>
      <c r="E34" t="s">
        <v>4</v>
      </c>
      <c r="F34" t="s">
        <v>23</v>
      </c>
      <c r="G34" s="2">
        <v>45870</v>
      </c>
      <c r="H34" s="15">
        <v>1800011360</v>
      </c>
      <c r="I34" t="s">
        <v>75</v>
      </c>
      <c r="J34" s="2">
        <v>45870</v>
      </c>
      <c r="K34" s="2">
        <v>45873</v>
      </c>
      <c r="L34" t="s">
        <v>69</v>
      </c>
      <c r="M34" s="21">
        <v>256779416026</v>
      </c>
      <c r="N34" t="s">
        <v>9</v>
      </c>
      <c r="O34" t="s">
        <v>10</v>
      </c>
      <c r="P34" t="s">
        <v>8</v>
      </c>
      <c r="Q34" t="s">
        <v>65</v>
      </c>
      <c r="R34" t="s">
        <v>12</v>
      </c>
      <c r="S34" s="3">
        <v>100000</v>
      </c>
      <c r="T34" t="s">
        <v>12</v>
      </c>
      <c r="U34" s="3">
        <v>100000</v>
      </c>
      <c r="V34" s="3">
        <f>VLOOKUP(M34,'[1]combined ledger'!$A:$H,8,0)</f>
        <v>91903.082999999999</v>
      </c>
      <c r="W34" s="3">
        <f t="shared" si="0"/>
        <v>8096.9170000000013</v>
      </c>
      <c r="X34" s="3"/>
      <c r="Y34" t="s">
        <v>77</v>
      </c>
      <c r="Z34" t="s">
        <v>13</v>
      </c>
      <c r="AA34" t="s">
        <v>8</v>
      </c>
      <c r="AB34" t="s">
        <v>69</v>
      </c>
      <c r="AC34" t="s">
        <v>14</v>
      </c>
      <c r="AD34" t="s">
        <v>88</v>
      </c>
      <c r="AE34" t="s">
        <v>8</v>
      </c>
      <c r="AF34" t="s">
        <v>8</v>
      </c>
      <c r="AG34" t="s">
        <v>8</v>
      </c>
      <c r="AH34" s="2">
        <v>45870</v>
      </c>
      <c r="AI34" s="2"/>
      <c r="AJ34" t="s">
        <v>8</v>
      </c>
    </row>
    <row r="35" spans="1:36" outlineLevel="2" x14ac:dyDescent="0.25">
      <c r="A35" t="s">
        <v>27</v>
      </c>
      <c r="B35" t="s">
        <v>1</v>
      </c>
      <c r="C35" t="s">
        <v>2</v>
      </c>
      <c r="D35" t="s">
        <v>3</v>
      </c>
      <c r="E35" t="s">
        <v>4</v>
      </c>
      <c r="F35" t="s">
        <v>18</v>
      </c>
      <c r="G35" s="2">
        <v>45904</v>
      </c>
      <c r="H35" s="15">
        <v>1800012712</v>
      </c>
      <c r="I35" t="s">
        <v>75</v>
      </c>
      <c r="J35" s="2">
        <v>45904</v>
      </c>
      <c r="K35" s="2">
        <v>45909</v>
      </c>
      <c r="L35" t="s">
        <v>69</v>
      </c>
      <c r="M35" s="21">
        <v>256779417346</v>
      </c>
      <c r="N35" t="s">
        <v>9</v>
      </c>
      <c r="O35" t="s">
        <v>10</v>
      </c>
      <c r="P35" t="s">
        <v>8</v>
      </c>
      <c r="Q35" t="s">
        <v>65</v>
      </c>
      <c r="R35" t="s">
        <v>12</v>
      </c>
      <c r="S35" s="3">
        <v>100000</v>
      </c>
      <c r="T35" t="s">
        <v>12</v>
      </c>
      <c r="U35" s="3">
        <v>100000</v>
      </c>
      <c r="V35" s="3">
        <f>VLOOKUP(M35,'[1]combined ledger'!$A:$H,8,0)</f>
        <v>89999.999500000005</v>
      </c>
      <c r="W35" s="3">
        <f t="shared" si="0"/>
        <v>10000.000499999995</v>
      </c>
      <c r="X35" s="3"/>
      <c r="Y35" t="s">
        <v>77</v>
      </c>
      <c r="Z35" t="s">
        <v>13</v>
      </c>
      <c r="AA35" t="s">
        <v>8</v>
      </c>
      <c r="AB35" t="s">
        <v>91</v>
      </c>
      <c r="AC35" t="s">
        <v>14</v>
      </c>
      <c r="AD35" t="s">
        <v>92</v>
      </c>
      <c r="AE35" t="s">
        <v>8</v>
      </c>
      <c r="AF35" t="s">
        <v>8</v>
      </c>
      <c r="AG35" t="s">
        <v>8</v>
      </c>
      <c r="AH35" s="2">
        <v>45904</v>
      </c>
      <c r="AI35" s="2"/>
      <c r="AJ35" t="s">
        <v>8</v>
      </c>
    </row>
    <row r="36" spans="1:36" outlineLevel="2" x14ac:dyDescent="0.25">
      <c r="A36" t="s">
        <v>27</v>
      </c>
      <c r="B36" t="s">
        <v>1</v>
      </c>
      <c r="C36" t="s">
        <v>2</v>
      </c>
      <c r="D36" t="s">
        <v>3</v>
      </c>
      <c r="E36" t="s">
        <v>4</v>
      </c>
      <c r="F36" t="s">
        <v>54</v>
      </c>
      <c r="G36" s="2">
        <v>45966</v>
      </c>
      <c r="H36" s="15">
        <v>1800014235</v>
      </c>
      <c r="I36" t="s">
        <v>75</v>
      </c>
      <c r="J36" s="2">
        <v>45966</v>
      </c>
      <c r="K36" s="2">
        <v>45966</v>
      </c>
      <c r="L36" t="s">
        <v>69</v>
      </c>
      <c r="M36" s="21">
        <v>256779418775</v>
      </c>
      <c r="N36" t="s">
        <v>9</v>
      </c>
      <c r="O36" t="s">
        <v>10</v>
      </c>
      <c r="P36" t="s">
        <v>8</v>
      </c>
      <c r="Q36" t="s">
        <v>65</v>
      </c>
      <c r="R36" t="s">
        <v>12</v>
      </c>
      <c r="S36" s="3">
        <v>100000</v>
      </c>
      <c r="T36" t="s">
        <v>12</v>
      </c>
      <c r="U36" s="3">
        <v>100000</v>
      </c>
      <c r="V36" s="3">
        <f>VLOOKUP(M36,'[1]combined ledger'!$A:$H,8,0)</f>
        <v>89996.160000000003</v>
      </c>
      <c r="W36" s="3">
        <f t="shared" si="0"/>
        <v>10003.839999999997</v>
      </c>
      <c r="X36" s="3"/>
      <c r="Y36" t="s">
        <v>77</v>
      </c>
      <c r="Z36" t="s">
        <v>13</v>
      </c>
      <c r="AA36" t="s">
        <v>8</v>
      </c>
      <c r="AB36" t="s">
        <v>95</v>
      </c>
      <c r="AC36" t="s">
        <v>14</v>
      </c>
      <c r="AD36" t="s">
        <v>96</v>
      </c>
      <c r="AE36" t="s">
        <v>8</v>
      </c>
      <c r="AF36" t="s">
        <v>8</v>
      </c>
      <c r="AG36" t="s">
        <v>8</v>
      </c>
      <c r="AH36" s="2">
        <v>45966</v>
      </c>
      <c r="AI36" s="2"/>
      <c r="AJ36" t="s">
        <v>8</v>
      </c>
    </row>
    <row r="37" spans="1:36" outlineLevel="2" x14ac:dyDescent="0.25">
      <c r="A37" t="s">
        <v>27</v>
      </c>
      <c r="B37" t="s">
        <v>1</v>
      </c>
      <c r="C37" t="s">
        <v>2</v>
      </c>
      <c r="D37" t="s">
        <v>3</v>
      </c>
      <c r="E37" t="s">
        <v>4</v>
      </c>
      <c r="F37" t="s">
        <v>97</v>
      </c>
      <c r="G37" s="2">
        <v>45995</v>
      </c>
      <c r="H37" s="15">
        <v>1800015484</v>
      </c>
      <c r="I37" t="s">
        <v>75</v>
      </c>
      <c r="J37" s="2">
        <v>45995</v>
      </c>
      <c r="K37" s="2">
        <v>46000</v>
      </c>
      <c r="L37" t="s">
        <v>69</v>
      </c>
      <c r="M37" s="21">
        <v>256779419968</v>
      </c>
      <c r="N37" t="s">
        <v>9</v>
      </c>
      <c r="O37" t="s">
        <v>10</v>
      </c>
      <c r="P37" t="s">
        <v>8</v>
      </c>
      <c r="Q37" t="s">
        <v>65</v>
      </c>
      <c r="R37" t="s">
        <v>12</v>
      </c>
      <c r="S37" s="3">
        <v>100000</v>
      </c>
      <c r="T37" t="s">
        <v>12</v>
      </c>
      <c r="U37" s="3">
        <v>100000</v>
      </c>
      <c r="V37" s="3">
        <f>VLOOKUP(M37,'[1]combined ledger'!$A:$H,8,0)</f>
        <v>89999.493000000002</v>
      </c>
      <c r="W37" s="3">
        <f t="shared" si="0"/>
        <v>10000.506999999998</v>
      </c>
      <c r="X37" s="3"/>
      <c r="Y37" t="s">
        <v>77</v>
      </c>
      <c r="Z37" t="s">
        <v>13</v>
      </c>
      <c r="AA37" t="s">
        <v>8</v>
      </c>
      <c r="AB37" t="s">
        <v>100</v>
      </c>
      <c r="AC37" t="s">
        <v>14</v>
      </c>
      <c r="AD37" t="s">
        <v>101</v>
      </c>
      <c r="AE37" t="s">
        <v>8</v>
      </c>
      <c r="AF37" t="s">
        <v>8</v>
      </c>
      <c r="AG37" t="s">
        <v>8</v>
      </c>
      <c r="AH37" s="2">
        <v>45995</v>
      </c>
      <c r="AI37" s="2"/>
      <c r="AJ37" t="s">
        <v>8</v>
      </c>
    </row>
    <row r="38" spans="1:36" outlineLevel="2" x14ac:dyDescent="0.25">
      <c r="A38" t="s">
        <v>27</v>
      </c>
      <c r="B38" t="s">
        <v>1</v>
      </c>
      <c r="C38" t="s">
        <v>2</v>
      </c>
      <c r="D38" t="s">
        <v>3</v>
      </c>
      <c r="E38" t="s">
        <v>4</v>
      </c>
      <c r="F38" t="s">
        <v>73</v>
      </c>
      <c r="G38" s="2">
        <v>45787</v>
      </c>
      <c r="H38" s="15">
        <v>1800008261</v>
      </c>
      <c r="I38" t="s">
        <v>75</v>
      </c>
      <c r="J38" s="2">
        <v>45787</v>
      </c>
      <c r="K38" s="2">
        <v>45791</v>
      </c>
      <c r="L38" t="s">
        <v>69</v>
      </c>
      <c r="M38" s="21">
        <v>256779413145</v>
      </c>
      <c r="N38" t="s">
        <v>9</v>
      </c>
      <c r="O38" t="s">
        <v>10</v>
      </c>
      <c r="P38" t="s">
        <v>8</v>
      </c>
      <c r="Q38" t="s">
        <v>65</v>
      </c>
      <c r="R38" t="s">
        <v>12</v>
      </c>
      <c r="S38" s="3">
        <v>35000</v>
      </c>
      <c r="T38" t="s">
        <v>12</v>
      </c>
      <c r="U38" s="3">
        <v>35000</v>
      </c>
      <c r="V38" s="3">
        <f>VLOOKUP(M38,'[1]combined ledger'!$A:$H,8,0)</f>
        <v>32484.123500000002</v>
      </c>
      <c r="W38" s="3">
        <f t="shared" si="0"/>
        <v>2515.8764999999985</v>
      </c>
      <c r="X38" s="3"/>
      <c r="Y38" t="s">
        <v>77</v>
      </c>
      <c r="Z38" t="s">
        <v>13</v>
      </c>
      <c r="AA38" t="s">
        <v>8</v>
      </c>
      <c r="AB38" t="s">
        <v>69</v>
      </c>
      <c r="AC38" t="s">
        <v>14</v>
      </c>
      <c r="AD38" t="s">
        <v>78</v>
      </c>
      <c r="AE38" t="s">
        <v>8</v>
      </c>
      <c r="AF38" t="s">
        <v>8</v>
      </c>
      <c r="AG38" t="s">
        <v>8</v>
      </c>
      <c r="AH38" s="2">
        <v>45787</v>
      </c>
      <c r="AI38" s="2"/>
      <c r="AJ38" t="s">
        <v>8</v>
      </c>
    </row>
    <row r="39" spans="1:36" outlineLevel="2" x14ac:dyDescent="0.25">
      <c r="A39" t="s">
        <v>27</v>
      </c>
      <c r="B39" t="s">
        <v>1</v>
      </c>
      <c r="C39" t="s">
        <v>2</v>
      </c>
      <c r="D39" t="s">
        <v>3</v>
      </c>
      <c r="E39" t="s">
        <v>4</v>
      </c>
      <c r="F39" t="s">
        <v>79</v>
      </c>
      <c r="G39" s="2">
        <v>45818</v>
      </c>
      <c r="H39" s="15">
        <v>1800009593</v>
      </c>
      <c r="I39" t="s">
        <v>75</v>
      </c>
      <c r="J39" s="2">
        <v>45818</v>
      </c>
      <c r="K39" s="2">
        <v>45825</v>
      </c>
      <c r="L39" t="s">
        <v>69</v>
      </c>
      <c r="M39" s="21">
        <v>256779414357</v>
      </c>
      <c r="N39" t="s">
        <v>9</v>
      </c>
      <c r="O39" t="s">
        <v>10</v>
      </c>
      <c r="P39" t="s">
        <v>8</v>
      </c>
      <c r="Q39" t="s">
        <v>65</v>
      </c>
      <c r="R39" t="s">
        <v>12</v>
      </c>
      <c r="S39" s="3">
        <v>35000</v>
      </c>
      <c r="T39" t="s">
        <v>12</v>
      </c>
      <c r="U39" s="3">
        <v>35000</v>
      </c>
      <c r="V39" s="3">
        <f>VLOOKUP(M39,'[1]combined ledger'!$A:$H,8,0)</f>
        <v>31506.794000000002</v>
      </c>
      <c r="W39" s="3">
        <f t="shared" si="0"/>
        <v>3493.2059999999983</v>
      </c>
      <c r="X39" s="3"/>
      <c r="Y39" t="s">
        <v>77</v>
      </c>
      <c r="Z39" t="s">
        <v>13</v>
      </c>
      <c r="AA39" t="s">
        <v>8</v>
      </c>
      <c r="AB39" t="s">
        <v>69</v>
      </c>
      <c r="AC39" t="s">
        <v>14</v>
      </c>
      <c r="AD39" t="s">
        <v>82</v>
      </c>
      <c r="AE39" t="s">
        <v>8</v>
      </c>
      <c r="AF39" t="s">
        <v>8</v>
      </c>
      <c r="AG39" t="s">
        <v>8</v>
      </c>
      <c r="AH39" s="2">
        <v>45818</v>
      </c>
      <c r="AI39" s="2"/>
      <c r="AJ39" t="s">
        <v>8</v>
      </c>
    </row>
    <row r="40" spans="1:36" outlineLevel="2" x14ac:dyDescent="0.25">
      <c r="A40" t="s">
        <v>27</v>
      </c>
      <c r="B40" t="s">
        <v>1</v>
      </c>
      <c r="C40" t="s">
        <v>2</v>
      </c>
      <c r="D40" t="s">
        <v>3</v>
      </c>
      <c r="E40" t="s">
        <v>4</v>
      </c>
      <c r="F40" t="s">
        <v>36</v>
      </c>
      <c r="G40" s="2">
        <v>45842</v>
      </c>
      <c r="H40" s="15">
        <v>1800010155</v>
      </c>
      <c r="I40" t="s">
        <v>75</v>
      </c>
      <c r="J40" s="2">
        <v>45842</v>
      </c>
      <c r="K40" s="2">
        <v>45847</v>
      </c>
      <c r="L40" t="s">
        <v>69</v>
      </c>
      <c r="M40" s="21">
        <v>256779414915</v>
      </c>
      <c r="N40" t="s">
        <v>9</v>
      </c>
      <c r="O40" t="s">
        <v>10</v>
      </c>
      <c r="P40" t="s">
        <v>8</v>
      </c>
      <c r="Q40" t="s">
        <v>65</v>
      </c>
      <c r="R40" t="s">
        <v>12</v>
      </c>
      <c r="S40" s="3">
        <v>35000</v>
      </c>
      <c r="T40" t="s">
        <v>12</v>
      </c>
      <c r="U40" s="3">
        <v>35000</v>
      </c>
      <c r="V40" s="3">
        <f>VLOOKUP(M40,'[1]combined ledger'!$A:$H,8,0)</f>
        <v>34299.6927</v>
      </c>
      <c r="W40" s="3">
        <f t="shared" si="0"/>
        <v>700.3073000000004</v>
      </c>
      <c r="X40" s="3"/>
      <c r="Y40" t="s">
        <v>77</v>
      </c>
      <c r="Z40" t="s">
        <v>13</v>
      </c>
      <c r="AA40" t="s">
        <v>8</v>
      </c>
      <c r="AB40" t="s">
        <v>69</v>
      </c>
      <c r="AC40" t="s">
        <v>14</v>
      </c>
      <c r="AD40" t="s">
        <v>85</v>
      </c>
      <c r="AE40" t="s">
        <v>8</v>
      </c>
      <c r="AF40" t="s">
        <v>8</v>
      </c>
      <c r="AG40" t="s">
        <v>8</v>
      </c>
      <c r="AH40" s="2">
        <v>45842</v>
      </c>
      <c r="AI40" s="2"/>
      <c r="AJ40" t="s">
        <v>8</v>
      </c>
    </row>
    <row r="41" spans="1:36" outlineLevel="2" x14ac:dyDescent="0.25">
      <c r="A41" t="s">
        <v>27</v>
      </c>
      <c r="B41" t="s">
        <v>1</v>
      </c>
      <c r="C41" t="s">
        <v>2</v>
      </c>
      <c r="D41" t="s">
        <v>3</v>
      </c>
      <c r="E41" t="s">
        <v>4</v>
      </c>
      <c r="F41" t="s">
        <v>23</v>
      </c>
      <c r="G41" s="2">
        <v>45870</v>
      </c>
      <c r="H41" s="15">
        <v>1800011361</v>
      </c>
      <c r="I41" t="s">
        <v>75</v>
      </c>
      <c r="J41" s="2">
        <v>45870</v>
      </c>
      <c r="K41" s="2">
        <v>45873</v>
      </c>
      <c r="L41" t="s">
        <v>69</v>
      </c>
      <c r="M41" s="21">
        <v>256779416027</v>
      </c>
      <c r="N41" t="s">
        <v>9</v>
      </c>
      <c r="O41" t="s">
        <v>10</v>
      </c>
      <c r="P41" t="s">
        <v>8</v>
      </c>
      <c r="Q41" t="s">
        <v>65</v>
      </c>
      <c r="R41" t="s">
        <v>12</v>
      </c>
      <c r="S41" s="3">
        <v>35000</v>
      </c>
      <c r="T41" t="s">
        <v>12</v>
      </c>
      <c r="U41" s="3">
        <v>35000</v>
      </c>
      <c r="V41" s="3">
        <f>VLOOKUP(M41,'[1]combined ledger'!$A:$H,8,0)</f>
        <v>35025.015500000001</v>
      </c>
      <c r="W41" s="3">
        <f t="shared" si="0"/>
        <v>-25.015500000001339</v>
      </c>
      <c r="X41" s="3"/>
      <c r="Y41" t="s">
        <v>77</v>
      </c>
      <c r="Z41" t="s">
        <v>13</v>
      </c>
      <c r="AA41" t="s">
        <v>8</v>
      </c>
      <c r="AB41" t="s">
        <v>69</v>
      </c>
      <c r="AC41" t="s">
        <v>14</v>
      </c>
      <c r="AD41" t="s">
        <v>88</v>
      </c>
      <c r="AE41" t="s">
        <v>8</v>
      </c>
      <c r="AF41" t="s">
        <v>8</v>
      </c>
      <c r="AG41" t="s">
        <v>8</v>
      </c>
      <c r="AH41" s="2">
        <v>45870</v>
      </c>
      <c r="AI41" s="2"/>
      <c r="AJ41" t="s">
        <v>8</v>
      </c>
    </row>
    <row r="42" spans="1:36" outlineLevel="2" x14ac:dyDescent="0.25">
      <c r="A42" t="s">
        <v>27</v>
      </c>
      <c r="B42" t="s">
        <v>1</v>
      </c>
      <c r="C42" t="s">
        <v>2</v>
      </c>
      <c r="D42" t="s">
        <v>3</v>
      </c>
      <c r="E42" t="s">
        <v>4</v>
      </c>
      <c r="F42" t="s">
        <v>18</v>
      </c>
      <c r="G42" s="2">
        <v>45904</v>
      </c>
      <c r="H42" s="15">
        <v>1800012713</v>
      </c>
      <c r="I42" t="s">
        <v>75</v>
      </c>
      <c r="J42" s="2">
        <v>45904</v>
      </c>
      <c r="K42" s="2">
        <v>45909</v>
      </c>
      <c r="L42" t="s">
        <v>69</v>
      </c>
      <c r="M42" s="21">
        <v>256779417347</v>
      </c>
      <c r="N42" t="s">
        <v>9</v>
      </c>
      <c r="O42" t="s">
        <v>10</v>
      </c>
      <c r="P42" t="s">
        <v>8</v>
      </c>
      <c r="Q42" t="s">
        <v>65</v>
      </c>
      <c r="R42" t="s">
        <v>12</v>
      </c>
      <c r="S42" s="3">
        <v>35000</v>
      </c>
      <c r="T42" t="s">
        <v>12</v>
      </c>
      <c r="U42" s="3">
        <v>35000</v>
      </c>
      <c r="V42" s="3">
        <f>VLOOKUP(M42,'[1]combined ledger'!$A:$H,8,0)</f>
        <v>31499.606</v>
      </c>
      <c r="W42" s="3">
        <f t="shared" si="0"/>
        <v>3500.3940000000002</v>
      </c>
      <c r="X42" s="3"/>
      <c r="Y42" t="s">
        <v>77</v>
      </c>
      <c r="Z42" t="s">
        <v>13</v>
      </c>
      <c r="AA42" t="s">
        <v>8</v>
      </c>
      <c r="AB42" t="s">
        <v>91</v>
      </c>
      <c r="AC42" t="s">
        <v>14</v>
      </c>
      <c r="AD42" t="s">
        <v>92</v>
      </c>
      <c r="AE42" t="s">
        <v>8</v>
      </c>
      <c r="AF42" t="s">
        <v>8</v>
      </c>
      <c r="AG42" t="s">
        <v>8</v>
      </c>
      <c r="AH42" s="2">
        <v>45904</v>
      </c>
      <c r="AI42" s="2"/>
      <c r="AJ42" t="s">
        <v>8</v>
      </c>
    </row>
    <row r="43" spans="1:36" outlineLevel="2" x14ac:dyDescent="0.25">
      <c r="A43" t="s">
        <v>27</v>
      </c>
      <c r="B43" t="s">
        <v>1</v>
      </c>
      <c r="C43" t="s">
        <v>2</v>
      </c>
      <c r="D43" t="s">
        <v>3</v>
      </c>
      <c r="E43" t="s">
        <v>4</v>
      </c>
      <c r="F43" t="s">
        <v>54</v>
      </c>
      <c r="G43" s="2">
        <v>45966</v>
      </c>
      <c r="H43" s="15">
        <v>1800014236</v>
      </c>
      <c r="I43" t="s">
        <v>75</v>
      </c>
      <c r="J43" s="2">
        <v>45966</v>
      </c>
      <c r="K43" s="2">
        <v>45966</v>
      </c>
      <c r="L43" t="s">
        <v>69</v>
      </c>
      <c r="M43" s="21">
        <v>256779418776</v>
      </c>
      <c r="N43" t="s">
        <v>9</v>
      </c>
      <c r="O43" t="s">
        <v>10</v>
      </c>
      <c r="P43" t="s">
        <v>8</v>
      </c>
      <c r="Q43" t="s">
        <v>65</v>
      </c>
      <c r="R43" t="s">
        <v>12</v>
      </c>
      <c r="S43" s="3">
        <v>35000</v>
      </c>
      <c r="T43" t="s">
        <v>12</v>
      </c>
      <c r="U43" s="3">
        <v>35000</v>
      </c>
      <c r="V43" s="3">
        <f>VLOOKUP(M43,'[1]combined ledger'!$A:$H,8,0)</f>
        <v>34299.828200000004</v>
      </c>
      <c r="W43" s="3">
        <f t="shared" si="0"/>
        <v>700.17179999999644</v>
      </c>
      <c r="X43" s="3"/>
      <c r="Y43" t="s">
        <v>77</v>
      </c>
      <c r="Z43" t="s">
        <v>13</v>
      </c>
      <c r="AA43" t="s">
        <v>8</v>
      </c>
      <c r="AB43" t="s">
        <v>95</v>
      </c>
      <c r="AC43" t="s">
        <v>14</v>
      </c>
      <c r="AD43" t="s">
        <v>96</v>
      </c>
      <c r="AE43" t="s">
        <v>8</v>
      </c>
      <c r="AF43" t="s">
        <v>8</v>
      </c>
      <c r="AG43" t="s">
        <v>8</v>
      </c>
      <c r="AH43" s="2">
        <v>45966</v>
      </c>
      <c r="AI43" s="2"/>
      <c r="AJ43" t="s">
        <v>8</v>
      </c>
    </row>
    <row r="44" spans="1:36" outlineLevel="2" x14ac:dyDescent="0.25">
      <c r="A44" t="s">
        <v>27</v>
      </c>
      <c r="B44" t="s">
        <v>1</v>
      </c>
      <c r="C44" t="s">
        <v>2</v>
      </c>
      <c r="D44" t="s">
        <v>3</v>
      </c>
      <c r="E44" t="s">
        <v>4</v>
      </c>
      <c r="F44" t="s">
        <v>97</v>
      </c>
      <c r="G44" s="2">
        <v>45995</v>
      </c>
      <c r="H44" s="15">
        <v>1800015485</v>
      </c>
      <c r="I44" t="s">
        <v>75</v>
      </c>
      <c r="J44" s="2">
        <v>45995</v>
      </c>
      <c r="K44" s="2">
        <v>46000</v>
      </c>
      <c r="L44" t="s">
        <v>69</v>
      </c>
      <c r="M44" s="21">
        <v>256779419969</v>
      </c>
      <c r="N44" t="s">
        <v>9</v>
      </c>
      <c r="O44" t="s">
        <v>10</v>
      </c>
      <c r="P44" t="s">
        <v>8</v>
      </c>
      <c r="Q44" t="s">
        <v>65</v>
      </c>
      <c r="R44" t="s">
        <v>12</v>
      </c>
      <c r="S44" s="3">
        <v>35000</v>
      </c>
      <c r="T44" t="s">
        <v>12</v>
      </c>
      <c r="U44" s="3">
        <v>35000</v>
      </c>
      <c r="V44" s="3">
        <f>VLOOKUP(M44,'[1]combined ledger'!$A:$H,8,0)</f>
        <v>34300.133000000002</v>
      </c>
      <c r="W44" s="3">
        <f t="shared" si="0"/>
        <v>699.86699999999837</v>
      </c>
      <c r="X44" s="3"/>
      <c r="Y44" t="s">
        <v>77</v>
      </c>
      <c r="Z44" t="s">
        <v>13</v>
      </c>
      <c r="AA44" t="s">
        <v>8</v>
      </c>
      <c r="AB44" t="s">
        <v>100</v>
      </c>
      <c r="AC44" t="s">
        <v>14</v>
      </c>
      <c r="AD44" t="s">
        <v>116</v>
      </c>
      <c r="AE44" t="s">
        <v>8</v>
      </c>
      <c r="AF44" t="s">
        <v>8</v>
      </c>
      <c r="AG44" t="s">
        <v>8</v>
      </c>
      <c r="AH44" s="2">
        <v>45995</v>
      </c>
      <c r="AI44" s="2"/>
      <c r="AJ44" t="s">
        <v>8</v>
      </c>
    </row>
    <row r="45" spans="1:36" outlineLevel="2" x14ac:dyDescent="0.25">
      <c r="A45" t="s">
        <v>27</v>
      </c>
      <c r="B45" t="s">
        <v>1</v>
      </c>
      <c r="C45" t="s">
        <v>2</v>
      </c>
      <c r="D45" t="s">
        <v>3</v>
      </c>
      <c r="E45" t="s">
        <v>4</v>
      </c>
      <c r="F45" t="s">
        <v>23</v>
      </c>
      <c r="G45" s="2">
        <v>45890</v>
      </c>
      <c r="H45" s="15">
        <v>1600002145</v>
      </c>
      <c r="I45" t="s">
        <v>118</v>
      </c>
      <c r="J45" s="2">
        <v>45890</v>
      </c>
      <c r="K45" s="2">
        <v>45890</v>
      </c>
      <c r="L45" t="s">
        <v>69</v>
      </c>
      <c r="M45" s="21">
        <v>256779421709</v>
      </c>
      <c r="N45" t="s">
        <v>9</v>
      </c>
      <c r="O45" t="s">
        <v>10</v>
      </c>
      <c r="P45" t="s">
        <v>8</v>
      </c>
      <c r="Q45" t="s">
        <v>54</v>
      </c>
      <c r="R45" t="s">
        <v>12</v>
      </c>
      <c r="S45" s="3">
        <v>-200000</v>
      </c>
      <c r="T45" t="s">
        <v>12</v>
      </c>
      <c r="U45" s="3">
        <v>-200000</v>
      </c>
      <c r="V45" s="3" t="e">
        <f>VLOOKUP(M45,'[1]combined ledger'!$A:$H,8,0)</f>
        <v>#N/A</v>
      </c>
      <c r="W45" s="3" t="e">
        <f t="shared" si="0"/>
        <v>#N/A</v>
      </c>
      <c r="X45" s="3"/>
      <c r="Y45" t="s">
        <v>77</v>
      </c>
      <c r="Z45" t="s">
        <v>13</v>
      </c>
      <c r="AA45" t="s">
        <v>8</v>
      </c>
      <c r="AB45" t="s">
        <v>69</v>
      </c>
      <c r="AC45" t="s">
        <v>14</v>
      </c>
      <c r="AD45" t="s">
        <v>120</v>
      </c>
      <c r="AE45" t="s">
        <v>8</v>
      </c>
      <c r="AF45" t="s">
        <v>8</v>
      </c>
      <c r="AG45" t="s">
        <v>8</v>
      </c>
      <c r="AH45" s="2">
        <v>45890</v>
      </c>
      <c r="AI45" s="2"/>
      <c r="AJ45" t="s">
        <v>8</v>
      </c>
    </row>
    <row r="46" spans="1:36" outlineLevel="2" x14ac:dyDescent="0.25">
      <c r="A46" t="s">
        <v>27</v>
      </c>
      <c r="B46" t="s">
        <v>1</v>
      </c>
      <c r="C46" t="s">
        <v>2</v>
      </c>
      <c r="D46" t="s">
        <v>3</v>
      </c>
      <c r="E46" t="s">
        <v>4</v>
      </c>
      <c r="F46" t="s">
        <v>23</v>
      </c>
      <c r="G46" s="2">
        <v>45883</v>
      </c>
      <c r="H46" s="15">
        <v>1800012258</v>
      </c>
      <c r="I46" t="s">
        <v>75</v>
      </c>
      <c r="J46" s="2">
        <v>45883</v>
      </c>
      <c r="K46" s="2">
        <v>45891</v>
      </c>
      <c r="L46" t="s">
        <v>69</v>
      </c>
      <c r="M46" s="21">
        <v>256779416887</v>
      </c>
      <c r="N46" t="s">
        <v>9</v>
      </c>
      <c r="O46" t="s">
        <v>10</v>
      </c>
      <c r="P46" t="s">
        <v>8</v>
      </c>
      <c r="Q46" t="s">
        <v>65</v>
      </c>
      <c r="R46" t="s">
        <v>12</v>
      </c>
      <c r="S46" s="3">
        <v>200000</v>
      </c>
      <c r="T46" t="s">
        <v>12</v>
      </c>
      <c r="U46" s="3">
        <v>200000</v>
      </c>
      <c r="V46" s="3" t="e">
        <f>VLOOKUP(M46,'[1]combined ledger'!$A:$H,8,0)</f>
        <v>#N/A</v>
      </c>
      <c r="W46" s="3" t="e">
        <f t="shared" si="0"/>
        <v>#N/A</v>
      </c>
      <c r="X46" s="3"/>
      <c r="Y46" t="s">
        <v>77</v>
      </c>
      <c r="Z46" t="s">
        <v>13</v>
      </c>
      <c r="AA46" t="s">
        <v>8</v>
      </c>
      <c r="AB46" t="s">
        <v>69</v>
      </c>
      <c r="AC46" t="s">
        <v>14</v>
      </c>
      <c r="AD46" t="s">
        <v>123</v>
      </c>
      <c r="AE46" t="s">
        <v>8</v>
      </c>
      <c r="AF46" t="s">
        <v>8</v>
      </c>
      <c r="AG46" t="s">
        <v>8</v>
      </c>
      <c r="AH46" s="2">
        <v>45883</v>
      </c>
      <c r="AI46" s="2"/>
      <c r="AJ46" t="s">
        <v>8</v>
      </c>
    </row>
    <row r="47" spans="1:36" outlineLevel="2" x14ac:dyDescent="0.25">
      <c r="A47" t="s">
        <v>27</v>
      </c>
      <c r="B47" t="s">
        <v>1</v>
      </c>
      <c r="C47" t="s">
        <v>2</v>
      </c>
      <c r="D47" t="s">
        <v>3</v>
      </c>
      <c r="E47" t="s">
        <v>4</v>
      </c>
      <c r="F47" t="s">
        <v>49</v>
      </c>
      <c r="G47" s="2">
        <v>45733</v>
      </c>
      <c r="H47" s="15">
        <v>1800002451</v>
      </c>
      <c r="I47" t="s">
        <v>75</v>
      </c>
      <c r="J47" s="2">
        <v>45733</v>
      </c>
      <c r="K47" s="2">
        <v>45734</v>
      </c>
      <c r="L47" t="s">
        <v>69</v>
      </c>
      <c r="M47" s="21">
        <v>246779412116</v>
      </c>
      <c r="N47" t="s">
        <v>9</v>
      </c>
      <c r="O47" t="s">
        <v>10</v>
      </c>
      <c r="P47" t="s">
        <v>8</v>
      </c>
      <c r="Q47" t="s">
        <v>65</v>
      </c>
      <c r="R47" t="s">
        <v>26</v>
      </c>
      <c r="S47" s="3">
        <v>100</v>
      </c>
      <c r="T47" t="s">
        <v>12</v>
      </c>
      <c r="U47" s="3">
        <v>8669.1299999999992</v>
      </c>
      <c r="V47" s="3">
        <f>VLOOKUP(M47,'[1]combined ledger'!$A:$H,8,0)</f>
        <v>8387</v>
      </c>
      <c r="W47" s="3">
        <f t="shared" si="0"/>
        <v>282.1299999999992</v>
      </c>
      <c r="X47" s="3"/>
      <c r="Y47" t="s">
        <v>77</v>
      </c>
      <c r="Z47" t="s">
        <v>13</v>
      </c>
      <c r="AA47" t="s">
        <v>8</v>
      </c>
      <c r="AB47" t="s">
        <v>69</v>
      </c>
      <c r="AC47" t="s">
        <v>14</v>
      </c>
      <c r="AD47" t="s">
        <v>126</v>
      </c>
      <c r="AE47" t="s">
        <v>8</v>
      </c>
      <c r="AF47" t="s">
        <v>8</v>
      </c>
      <c r="AG47" t="s">
        <v>8</v>
      </c>
      <c r="AH47" s="2">
        <v>45733</v>
      </c>
      <c r="AI47" s="2"/>
      <c r="AJ47" t="s">
        <v>8</v>
      </c>
    </row>
    <row r="48" spans="1:36" outlineLevel="2" x14ac:dyDescent="0.25">
      <c r="A48" t="s">
        <v>27</v>
      </c>
      <c r="B48" t="s">
        <v>1</v>
      </c>
      <c r="C48" t="s">
        <v>2</v>
      </c>
      <c r="D48" t="s">
        <v>3</v>
      </c>
      <c r="E48" t="s">
        <v>4</v>
      </c>
      <c r="F48" t="s">
        <v>49</v>
      </c>
      <c r="G48" s="2">
        <v>45733</v>
      </c>
      <c r="H48" s="15">
        <v>1800002454</v>
      </c>
      <c r="I48" t="s">
        <v>75</v>
      </c>
      <c r="J48" s="2">
        <v>45733</v>
      </c>
      <c r="K48" s="2">
        <v>45734</v>
      </c>
      <c r="L48" t="s">
        <v>69</v>
      </c>
      <c r="M48" s="21">
        <v>246779412119</v>
      </c>
      <c r="N48" t="s">
        <v>9</v>
      </c>
      <c r="O48" t="s">
        <v>10</v>
      </c>
      <c r="P48" t="s">
        <v>8</v>
      </c>
      <c r="Q48" t="s">
        <v>65</v>
      </c>
      <c r="R48" t="s">
        <v>26</v>
      </c>
      <c r="S48" s="3">
        <v>100</v>
      </c>
      <c r="T48" t="s">
        <v>12</v>
      </c>
      <c r="U48" s="3">
        <v>8669.1299999999992</v>
      </c>
      <c r="V48" s="3">
        <f>VLOOKUP(M48,'[1]combined ledger'!$A:$H,8,0)</f>
        <v>8387</v>
      </c>
      <c r="W48" s="3">
        <f t="shared" si="0"/>
        <v>282.1299999999992</v>
      </c>
      <c r="X48" s="3"/>
      <c r="Y48" t="s">
        <v>77</v>
      </c>
      <c r="Z48" t="s">
        <v>13</v>
      </c>
      <c r="AA48" t="s">
        <v>8</v>
      </c>
      <c r="AB48" t="s">
        <v>69</v>
      </c>
      <c r="AC48" t="s">
        <v>14</v>
      </c>
      <c r="AD48" t="s">
        <v>126</v>
      </c>
      <c r="AE48" t="s">
        <v>8</v>
      </c>
      <c r="AF48" t="s">
        <v>8</v>
      </c>
      <c r="AG48" t="s">
        <v>8</v>
      </c>
      <c r="AH48" s="2">
        <v>45733</v>
      </c>
      <c r="AI48" s="2"/>
      <c r="AJ48" t="s">
        <v>8</v>
      </c>
    </row>
    <row r="49" spans="1:36" outlineLevel="2" x14ac:dyDescent="0.25">
      <c r="A49" t="s">
        <v>27</v>
      </c>
      <c r="B49" t="s">
        <v>1</v>
      </c>
      <c r="C49" t="s">
        <v>2</v>
      </c>
      <c r="D49" t="s">
        <v>3</v>
      </c>
      <c r="E49" t="s">
        <v>4</v>
      </c>
      <c r="F49" t="s">
        <v>49</v>
      </c>
      <c r="G49" s="2">
        <v>45733</v>
      </c>
      <c r="H49" s="15">
        <v>1800002456</v>
      </c>
      <c r="I49" t="s">
        <v>75</v>
      </c>
      <c r="J49" s="2">
        <v>45733</v>
      </c>
      <c r="K49" s="2">
        <v>45734</v>
      </c>
      <c r="L49" t="s">
        <v>69</v>
      </c>
      <c r="M49" s="21">
        <v>246779412121</v>
      </c>
      <c r="N49" t="s">
        <v>9</v>
      </c>
      <c r="O49" t="s">
        <v>10</v>
      </c>
      <c r="P49" t="s">
        <v>8</v>
      </c>
      <c r="Q49" t="s">
        <v>65</v>
      </c>
      <c r="R49" t="s">
        <v>26</v>
      </c>
      <c r="S49" s="3">
        <v>100</v>
      </c>
      <c r="T49" t="s">
        <v>12</v>
      </c>
      <c r="U49" s="3">
        <v>8669.1299999999992</v>
      </c>
      <c r="V49" s="3">
        <f>VLOOKUP(M49,'[1]combined ledger'!$A:$H,8,0)</f>
        <v>8387</v>
      </c>
      <c r="W49" s="3">
        <f t="shared" si="0"/>
        <v>282.1299999999992</v>
      </c>
      <c r="X49" s="3"/>
      <c r="Y49" t="s">
        <v>77</v>
      </c>
      <c r="Z49" t="s">
        <v>13</v>
      </c>
      <c r="AA49" t="s">
        <v>8</v>
      </c>
      <c r="AB49" t="s">
        <v>69</v>
      </c>
      <c r="AC49" t="s">
        <v>14</v>
      </c>
      <c r="AD49" t="s">
        <v>126</v>
      </c>
      <c r="AE49" t="s">
        <v>8</v>
      </c>
      <c r="AF49" t="s">
        <v>8</v>
      </c>
      <c r="AG49" t="s">
        <v>8</v>
      </c>
      <c r="AH49" s="2">
        <v>45733</v>
      </c>
      <c r="AI49" s="2"/>
      <c r="AJ49" t="s">
        <v>8</v>
      </c>
    </row>
    <row r="50" spans="1:36" outlineLevel="2" x14ac:dyDescent="0.25">
      <c r="A50" t="s">
        <v>27</v>
      </c>
      <c r="B50" t="s">
        <v>1</v>
      </c>
      <c r="C50" t="s">
        <v>2</v>
      </c>
      <c r="D50" t="s">
        <v>3</v>
      </c>
      <c r="E50" t="s">
        <v>4</v>
      </c>
      <c r="F50" t="s">
        <v>73</v>
      </c>
      <c r="G50" s="2">
        <v>45787</v>
      </c>
      <c r="H50" s="15">
        <v>1800008348</v>
      </c>
      <c r="I50" t="s">
        <v>75</v>
      </c>
      <c r="J50" s="2">
        <v>45787</v>
      </c>
      <c r="K50" s="2">
        <v>45792</v>
      </c>
      <c r="L50" t="s">
        <v>69</v>
      </c>
      <c r="M50" s="21">
        <v>256779413231</v>
      </c>
      <c r="N50" t="s">
        <v>9</v>
      </c>
      <c r="O50" t="s">
        <v>10</v>
      </c>
      <c r="P50" t="s">
        <v>8</v>
      </c>
      <c r="Q50" t="s">
        <v>65</v>
      </c>
      <c r="R50" t="s">
        <v>26</v>
      </c>
      <c r="S50" s="3">
        <v>100</v>
      </c>
      <c r="T50" t="s">
        <v>12</v>
      </c>
      <c r="U50" s="3">
        <v>8598.3700000000008</v>
      </c>
      <c r="V50" s="3">
        <f>VLOOKUP(M50,'[1]combined ledger'!$A:$H,8,0)</f>
        <v>8407</v>
      </c>
      <c r="W50" s="3">
        <f t="shared" si="0"/>
        <v>191.3700000000008</v>
      </c>
      <c r="X50" s="3"/>
      <c r="Y50" t="s">
        <v>77</v>
      </c>
      <c r="Z50" t="s">
        <v>13</v>
      </c>
      <c r="AA50" t="s">
        <v>8</v>
      </c>
      <c r="AB50" t="s">
        <v>69</v>
      </c>
      <c r="AC50" t="s">
        <v>14</v>
      </c>
      <c r="AD50" t="s">
        <v>133</v>
      </c>
      <c r="AE50" t="s">
        <v>8</v>
      </c>
      <c r="AF50" t="s">
        <v>8</v>
      </c>
      <c r="AG50" t="s">
        <v>8</v>
      </c>
      <c r="AH50" s="2">
        <v>45787</v>
      </c>
      <c r="AI50" s="2"/>
      <c r="AJ50" t="s">
        <v>8</v>
      </c>
    </row>
    <row r="51" spans="1:36" outlineLevel="2" x14ac:dyDescent="0.25">
      <c r="A51" t="s">
        <v>27</v>
      </c>
      <c r="B51" t="s">
        <v>1</v>
      </c>
      <c r="C51" t="s">
        <v>2</v>
      </c>
      <c r="D51" t="s">
        <v>3</v>
      </c>
      <c r="E51" t="s">
        <v>4</v>
      </c>
      <c r="F51" t="s">
        <v>73</v>
      </c>
      <c r="G51" s="2">
        <v>45797</v>
      </c>
      <c r="H51" s="15">
        <v>1800009077</v>
      </c>
      <c r="I51" t="s">
        <v>75</v>
      </c>
      <c r="J51" s="2">
        <v>45797</v>
      </c>
      <c r="K51" s="2">
        <v>45805</v>
      </c>
      <c r="L51" t="s">
        <v>69</v>
      </c>
      <c r="M51" s="21">
        <v>256779413841</v>
      </c>
      <c r="N51" t="s">
        <v>9</v>
      </c>
      <c r="O51" t="s">
        <v>10</v>
      </c>
      <c r="P51" t="s">
        <v>8</v>
      </c>
      <c r="Q51" t="s">
        <v>65</v>
      </c>
      <c r="R51" t="s">
        <v>26</v>
      </c>
      <c r="S51" s="3">
        <v>100</v>
      </c>
      <c r="T51" t="s">
        <v>12</v>
      </c>
      <c r="U51" s="3">
        <v>8598.3700000000008</v>
      </c>
      <c r="V51" s="3">
        <f>VLOOKUP(M51,'[1]combined ledger'!$A:$H,8,0)</f>
        <v>8407</v>
      </c>
      <c r="W51" s="3">
        <f t="shared" si="0"/>
        <v>191.3700000000008</v>
      </c>
      <c r="X51" s="3"/>
      <c r="Y51" t="s">
        <v>77</v>
      </c>
      <c r="Z51" t="s">
        <v>13</v>
      </c>
      <c r="AA51" t="s">
        <v>8</v>
      </c>
      <c r="AB51" t="s">
        <v>8</v>
      </c>
      <c r="AC51" t="s">
        <v>14</v>
      </c>
      <c r="AD51" t="s">
        <v>136</v>
      </c>
      <c r="AE51" t="s">
        <v>8</v>
      </c>
      <c r="AF51" t="s">
        <v>8</v>
      </c>
      <c r="AG51" t="s">
        <v>8</v>
      </c>
      <c r="AH51" s="2">
        <v>45797</v>
      </c>
      <c r="AI51" s="2"/>
      <c r="AJ51" t="s">
        <v>8</v>
      </c>
    </row>
    <row r="52" spans="1:36" outlineLevel="2" x14ac:dyDescent="0.25">
      <c r="A52" t="s">
        <v>27</v>
      </c>
      <c r="B52" t="s">
        <v>1</v>
      </c>
      <c r="C52" t="s">
        <v>2</v>
      </c>
      <c r="D52" t="s">
        <v>3</v>
      </c>
      <c r="E52" t="s">
        <v>4</v>
      </c>
      <c r="F52" t="s">
        <v>73</v>
      </c>
      <c r="G52" s="2">
        <v>45797</v>
      </c>
      <c r="H52" s="15">
        <v>1800009083</v>
      </c>
      <c r="I52" t="s">
        <v>75</v>
      </c>
      <c r="J52" s="2">
        <v>45797</v>
      </c>
      <c r="K52" s="2">
        <v>45805</v>
      </c>
      <c r="L52" t="s">
        <v>69</v>
      </c>
      <c r="M52" s="21">
        <v>256779413847</v>
      </c>
      <c r="N52" t="s">
        <v>9</v>
      </c>
      <c r="O52" t="s">
        <v>10</v>
      </c>
      <c r="P52" t="s">
        <v>8</v>
      </c>
      <c r="Q52" t="s">
        <v>65</v>
      </c>
      <c r="R52" t="s">
        <v>26</v>
      </c>
      <c r="S52" s="3">
        <v>100</v>
      </c>
      <c r="T52" t="s">
        <v>12</v>
      </c>
      <c r="U52" s="3">
        <v>8598.3700000000008</v>
      </c>
      <c r="V52" s="3">
        <f>VLOOKUP(M52,'[1]combined ledger'!$A:$H,8,0)</f>
        <v>8407</v>
      </c>
      <c r="W52" s="3">
        <f t="shared" si="0"/>
        <v>191.3700000000008</v>
      </c>
      <c r="X52" s="3"/>
      <c r="Y52" t="s">
        <v>77</v>
      </c>
      <c r="Z52" t="s">
        <v>13</v>
      </c>
      <c r="AA52" t="s">
        <v>8</v>
      </c>
      <c r="AB52" t="s">
        <v>8</v>
      </c>
      <c r="AC52" t="s">
        <v>14</v>
      </c>
      <c r="AD52" t="s">
        <v>136</v>
      </c>
      <c r="AE52" t="s">
        <v>8</v>
      </c>
      <c r="AF52" t="s">
        <v>8</v>
      </c>
      <c r="AG52" t="s">
        <v>8</v>
      </c>
      <c r="AH52" s="2">
        <v>45797</v>
      </c>
      <c r="AI52" s="2"/>
      <c r="AJ52" t="s">
        <v>8</v>
      </c>
    </row>
    <row r="53" spans="1:36" outlineLevel="2" x14ac:dyDescent="0.25">
      <c r="A53" t="s">
        <v>27</v>
      </c>
      <c r="B53" t="s">
        <v>1</v>
      </c>
      <c r="C53" t="s">
        <v>2</v>
      </c>
      <c r="D53" t="s">
        <v>3</v>
      </c>
      <c r="E53" t="s">
        <v>4</v>
      </c>
      <c r="F53" t="s">
        <v>73</v>
      </c>
      <c r="G53" s="2">
        <v>45797</v>
      </c>
      <c r="H53" s="15">
        <v>1800009084</v>
      </c>
      <c r="I53" t="s">
        <v>75</v>
      </c>
      <c r="J53" s="2">
        <v>45797</v>
      </c>
      <c r="K53" s="2">
        <v>45805</v>
      </c>
      <c r="L53" t="s">
        <v>69</v>
      </c>
      <c r="M53" s="21">
        <v>256779413848</v>
      </c>
      <c r="N53" t="s">
        <v>9</v>
      </c>
      <c r="O53" t="s">
        <v>10</v>
      </c>
      <c r="P53" t="s">
        <v>8</v>
      </c>
      <c r="Q53" t="s">
        <v>65</v>
      </c>
      <c r="R53" t="s">
        <v>26</v>
      </c>
      <c r="S53" s="3">
        <v>100</v>
      </c>
      <c r="T53" t="s">
        <v>12</v>
      </c>
      <c r="U53" s="3">
        <v>8598.3700000000008</v>
      </c>
      <c r="V53" s="3">
        <f>VLOOKUP(M53,'[1]combined ledger'!$A:$H,8,0)</f>
        <v>8407</v>
      </c>
      <c r="W53" s="3">
        <f t="shared" si="0"/>
        <v>191.3700000000008</v>
      </c>
      <c r="X53" s="3"/>
      <c r="Y53" t="s">
        <v>77</v>
      </c>
      <c r="Z53" t="s">
        <v>13</v>
      </c>
      <c r="AA53" t="s">
        <v>8</v>
      </c>
      <c r="AB53" t="s">
        <v>8</v>
      </c>
      <c r="AC53" t="s">
        <v>14</v>
      </c>
      <c r="AD53" t="s">
        <v>136</v>
      </c>
      <c r="AE53" t="s">
        <v>8</v>
      </c>
      <c r="AF53" t="s">
        <v>8</v>
      </c>
      <c r="AG53" t="s">
        <v>8</v>
      </c>
      <c r="AH53" s="2">
        <v>45797</v>
      </c>
      <c r="AI53" s="2"/>
      <c r="AJ53" t="s">
        <v>8</v>
      </c>
    </row>
    <row r="54" spans="1:36" outlineLevel="2" x14ac:dyDescent="0.25">
      <c r="A54" t="s">
        <v>27</v>
      </c>
      <c r="B54" t="s">
        <v>1</v>
      </c>
      <c r="C54" t="s">
        <v>2</v>
      </c>
      <c r="D54" t="s">
        <v>3</v>
      </c>
      <c r="E54" t="s">
        <v>4</v>
      </c>
      <c r="F54" t="s">
        <v>36</v>
      </c>
      <c r="G54" s="2">
        <v>45863</v>
      </c>
      <c r="H54" s="15">
        <v>1800011280</v>
      </c>
      <c r="I54" t="s">
        <v>75</v>
      </c>
      <c r="J54" s="2">
        <v>45863</v>
      </c>
      <c r="K54" s="2">
        <v>45863</v>
      </c>
      <c r="L54" t="s">
        <v>69</v>
      </c>
      <c r="M54" s="21">
        <v>256779416012</v>
      </c>
      <c r="N54" t="s">
        <v>9</v>
      </c>
      <c r="O54" t="s">
        <v>10</v>
      </c>
      <c r="P54" t="s">
        <v>8</v>
      </c>
      <c r="Q54" t="s">
        <v>65</v>
      </c>
      <c r="R54" t="s">
        <v>26</v>
      </c>
      <c r="S54" s="3">
        <v>100</v>
      </c>
      <c r="T54" t="s">
        <v>12</v>
      </c>
      <c r="U54" s="3">
        <v>8600.07</v>
      </c>
      <c r="V54" s="3">
        <f>VLOOKUP(M54,'[1]combined ledger'!$A:$H,8,0)</f>
        <v>8494</v>
      </c>
      <c r="W54" s="3">
        <f t="shared" si="0"/>
        <v>106.06999999999971</v>
      </c>
      <c r="X54" s="3"/>
      <c r="Y54" t="s">
        <v>77</v>
      </c>
      <c r="Z54" t="s">
        <v>13</v>
      </c>
      <c r="AA54" t="s">
        <v>8</v>
      </c>
      <c r="AB54" t="s">
        <v>8</v>
      </c>
      <c r="AC54" t="s">
        <v>14</v>
      </c>
      <c r="AD54" t="s">
        <v>143</v>
      </c>
      <c r="AE54" t="s">
        <v>8</v>
      </c>
      <c r="AF54" t="s">
        <v>8</v>
      </c>
      <c r="AG54" t="s">
        <v>8</v>
      </c>
      <c r="AH54" s="2">
        <v>45863</v>
      </c>
      <c r="AI54" s="2"/>
      <c r="AJ54" t="s">
        <v>8</v>
      </c>
    </row>
    <row r="55" spans="1:36" outlineLevel="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49</v>
      </c>
      <c r="G55" s="2">
        <v>45730</v>
      </c>
      <c r="H55" s="15">
        <v>1800001850</v>
      </c>
      <c r="I55" t="s">
        <v>75</v>
      </c>
      <c r="J55" s="2">
        <v>45730</v>
      </c>
      <c r="K55" s="2">
        <v>45733</v>
      </c>
      <c r="L55" t="s">
        <v>69</v>
      </c>
      <c r="M55" s="21">
        <v>246779411515</v>
      </c>
      <c r="N55" t="s">
        <v>9</v>
      </c>
      <c r="O55" t="s">
        <v>10</v>
      </c>
      <c r="P55" t="s">
        <v>8</v>
      </c>
      <c r="Q55" t="s">
        <v>65</v>
      </c>
      <c r="R55" t="s">
        <v>26</v>
      </c>
      <c r="S55" s="3">
        <v>100</v>
      </c>
      <c r="T55" t="s">
        <v>12</v>
      </c>
      <c r="U55" s="3">
        <v>8669.1299999999992</v>
      </c>
      <c r="V55" s="3">
        <f>VLOOKUP(M55,'[1]combined ledger'!$A:$H,8,0)</f>
        <v>8387</v>
      </c>
      <c r="W55" s="3">
        <f t="shared" si="0"/>
        <v>282.1299999999992</v>
      </c>
      <c r="X55" s="3"/>
      <c r="Y55" t="s">
        <v>77</v>
      </c>
      <c r="Z55" t="s">
        <v>13</v>
      </c>
      <c r="AA55" t="s">
        <v>8</v>
      </c>
      <c r="AB55" t="s">
        <v>69</v>
      </c>
      <c r="AC55" t="s">
        <v>14</v>
      </c>
      <c r="AD55" t="s">
        <v>146</v>
      </c>
      <c r="AE55" t="s">
        <v>8</v>
      </c>
      <c r="AF55" t="s">
        <v>8</v>
      </c>
      <c r="AG55" t="s">
        <v>8</v>
      </c>
      <c r="AH55" s="2">
        <v>45730</v>
      </c>
      <c r="AI55" s="2">
        <v>45887</v>
      </c>
      <c r="AJ55" t="s">
        <v>24</v>
      </c>
    </row>
    <row r="56" spans="1:36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79</v>
      </c>
      <c r="G56" s="2">
        <v>45827</v>
      </c>
      <c r="H56" s="15">
        <v>1800009967</v>
      </c>
      <c r="I56" t="s">
        <v>75</v>
      </c>
      <c r="J56" s="2">
        <v>45827</v>
      </c>
      <c r="K56" s="2">
        <v>45829</v>
      </c>
      <c r="L56" t="s">
        <v>69</v>
      </c>
      <c r="M56" s="21">
        <v>256779414731</v>
      </c>
      <c r="N56" t="s">
        <v>9</v>
      </c>
      <c r="O56" t="s">
        <v>10</v>
      </c>
      <c r="P56" t="s">
        <v>8</v>
      </c>
      <c r="Q56" t="s">
        <v>65</v>
      </c>
      <c r="R56" t="s">
        <v>26</v>
      </c>
      <c r="S56" s="3">
        <v>100</v>
      </c>
      <c r="T56" t="s">
        <v>12</v>
      </c>
      <c r="U56" s="3">
        <v>8549.08</v>
      </c>
      <c r="V56" s="3" t="e">
        <f>VLOOKUP(M56,'[1]combined ledger'!$A:$H,8,0)</f>
        <v>#N/A</v>
      </c>
      <c r="W56" s="3" t="e">
        <f t="shared" si="0"/>
        <v>#N/A</v>
      </c>
      <c r="X56" s="3"/>
      <c r="Y56" t="s">
        <v>77</v>
      </c>
      <c r="Z56" t="s">
        <v>13</v>
      </c>
      <c r="AA56" t="s">
        <v>8</v>
      </c>
      <c r="AB56" t="s">
        <v>69</v>
      </c>
      <c r="AC56" t="s">
        <v>14</v>
      </c>
      <c r="AD56" t="s">
        <v>149</v>
      </c>
      <c r="AE56" t="s">
        <v>8</v>
      </c>
      <c r="AF56" t="s">
        <v>8</v>
      </c>
      <c r="AG56" t="s">
        <v>8</v>
      </c>
      <c r="AH56" s="2">
        <v>45827</v>
      </c>
      <c r="AI56" s="2">
        <v>45888</v>
      </c>
      <c r="AJ56" t="s">
        <v>50</v>
      </c>
    </row>
    <row r="57" spans="1:36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79</v>
      </c>
      <c r="G57" s="2">
        <v>45827</v>
      </c>
      <c r="H57" s="15">
        <v>1800009968</v>
      </c>
      <c r="I57" t="s">
        <v>75</v>
      </c>
      <c r="J57" s="2">
        <v>45827</v>
      </c>
      <c r="K57" s="2">
        <v>45829</v>
      </c>
      <c r="L57" t="s">
        <v>69</v>
      </c>
      <c r="M57" s="21">
        <v>256779414732</v>
      </c>
      <c r="N57" t="s">
        <v>9</v>
      </c>
      <c r="O57" t="s">
        <v>10</v>
      </c>
      <c r="P57" t="s">
        <v>8</v>
      </c>
      <c r="Q57" t="s">
        <v>65</v>
      </c>
      <c r="R57" t="s">
        <v>26</v>
      </c>
      <c r="S57" s="3">
        <v>100</v>
      </c>
      <c r="T57" t="s">
        <v>12</v>
      </c>
      <c r="U57" s="3">
        <v>8549.08</v>
      </c>
      <c r="V57" s="3" t="e">
        <f>VLOOKUP(M57,'[1]combined ledger'!$A:$H,8,0)</f>
        <v>#N/A</v>
      </c>
      <c r="W57" s="3" t="e">
        <f t="shared" si="0"/>
        <v>#N/A</v>
      </c>
      <c r="X57" s="3"/>
      <c r="Y57" t="s">
        <v>77</v>
      </c>
      <c r="Z57" t="s">
        <v>13</v>
      </c>
      <c r="AA57" t="s">
        <v>8</v>
      </c>
      <c r="AB57" t="s">
        <v>69</v>
      </c>
      <c r="AC57" t="s">
        <v>14</v>
      </c>
      <c r="AD57" t="s">
        <v>149</v>
      </c>
      <c r="AE57" t="s">
        <v>8</v>
      </c>
      <c r="AF57" t="s">
        <v>8</v>
      </c>
      <c r="AG57" t="s">
        <v>8</v>
      </c>
      <c r="AH57" s="2">
        <v>45827</v>
      </c>
      <c r="AI57" s="2">
        <v>45888</v>
      </c>
      <c r="AJ57" t="s">
        <v>50</v>
      </c>
    </row>
    <row r="58" spans="1:36" outlineLevel="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79</v>
      </c>
      <c r="G58" s="2">
        <v>45827</v>
      </c>
      <c r="H58" s="15">
        <v>1800009969</v>
      </c>
      <c r="I58" t="s">
        <v>75</v>
      </c>
      <c r="J58" s="2">
        <v>45827</v>
      </c>
      <c r="K58" s="2">
        <v>45829</v>
      </c>
      <c r="L58" t="s">
        <v>69</v>
      </c>
      <c r="M58" s="21">
        <v>256779414733</v>
      </c>
      <c r="N58" t="s">
        <v>9</v>
      </c>
      <c r="O58" t="s">
        <v>10</v>
      </c>
      <c r="P58" t="s">
        <v>8</v>
      </c>
      <c r="Q58" t="s">
        <v>65</v>
      </c>
      <c r="R58" t="s">
        <v>26</v>
      </c>
      <c r="S58" s="3">
        <v>100</v>
      </c>
      <c r="T58" t="s">
        <v>12</v>
      </c>
      <c r="U58" s="3">
        <v>8549.08</v>
      </c>
      <c r="V58" s="3" t="e">
        <f>VLOOKUP(M58,'[1]combined ledger'!$A:$H,8,0)</f>
        <v>#N/A</v>
      </c>
      <c r="W58" s="3" t="e">
        <f t="shared" si="0"/>
        <v>#N/A</v>
      </c>
      <c r="X58" s="3"/>
      <c r="Y58" t="s">
        <v>77</v>
      </c>
      <c r="Z58" t="s">
        <v>13</v>
      </c>
      <c r="AA58" t="s">
        <v>8</v>
      </c>
      <c r="AB58" t="s">
        <v>69</v>
      </c>
      <c r="AC58" t="s">
        <v>14</v>
      </c>
      <c r="AD58" t="s">
        <v>149</v>
      </c>
      <c r="AE58" t="s">
        <v>8</v>
      </c>
      <c r="AF58" t="s">
        <v>8</v>
      </c>
      <c r="AG58" t="s">
        <v>8</v>
      </c>
      <c r="AH58" s="2">
        <v>45827</v>
      </c>
      <c r="AI58" s="2">
        <v>45888</v>
      </c>
      <c r="AJ58" t="s">
        <v>50</v>
      </c>
    </row>
    <row r="59" spans="1:36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79</v>
      </c>
      <c r="G59" s="2">
        <v>45827</v>
      </c>
      <c r="H59" s="15">
        <v>1800009970</v>
      </c>
      <c r="I59" t="s">
        <v>75</v>
      </c>
      <c r="J59" s="2">
        <v>45827</v>
      </c>
      <c r="K59" s="2">
        <v>45829</v>
      </c>
      <c r="L59" t="s">
        <v>69</v>
      </c>
      <c r="M59" s="21">
        <v>256779414734</v>
      </c>
      <c r="N59" t="s">
        <v>9</v>
      </c>
      <c r="O59" t="s">
        <v>10</v>
      </c>
      <c r="P59" t="s">
        <v>8</v>
      </c>
      <c r="Q59" t="s">
        <v>65</v>
      </c>
      <c r="R59" t="s">
        <v>26</v>
      </c>
      <c r="S59" s="3">
        <v>100</v>
      </c>
      <c r="T59" t="s">
        <v>12</v>
      </c>
      <c r="U59" s="3">
        <v>8549.08</v>
      </c>
      <c r="V59" s="3" t="e">
        <f>VLOOKUP(M59,'[1]combined ledger'!$A:$H,8,0)</f>
        <v>#N/A</v>
      </c>
      <c r="W59" s="3" t="e">
        <f t="shared" si="0"/>
        <v>#N/A</v>
      </c>
      <c r="X59" s="3"/>
      <c r="Y59" t="s">
        <v>77</v>
      </c>
      <c r="Z59" t="s">
        <v>13</v>
      </c>
      <c r="AA59" t="s">
        <v>8</v>
      </c>
      <c r="AB59" t="s">
        <v>69</v>
      </c>
      <c r="AC59" t="s">
        <v>14</v>
      </c>
      <c r="AD59" t="s">
        <v>149</v>
      </c>
      <c r="AE59" t="s">
        <v>8</v>
      </c>
      <c r="AF59" t="s">
        <v>8</v>
      </c>
      <c r="AG59" t="s">
        <v>8</v>
      </c>
      <c r="AH59" s="2">
        <v>45827</v>
      </c>
      <c r="AI59" s="2">
        <v>45888</v>
      </c>
      <c r="AJ59" t="s">
        <v>50</v>
      </c>
    </row>
    <row r="60" spans="1:36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79</v>
      </c>
      <c r="G60" s="2">
        <v>45827</v>
      </c>
      <c r="H60" s="15">
        <v>1800009971</v>
      </c>
      <c r="I60" t="s">
        <v>75</v>
      </c>
      <c r="J60" s="2">
        <v>45827</v>
      </c>
      <c r="K60" s="2">
        <v>45829</v>
      </c>
      <c r="L60" t="s">
        <v>69</v>
      </c>
      <c r="M60" s="21">
        <v>256779414735</v>
      </c>
      <c r="N60" t="s">
        <v>9</v>
      </c>
      <c r="O60" t="s">
        <v>10</v>
      </c>
      <c r="P60" t="s">
        <v>8</v>
      </c>
      <c r="Q60" t="s">
        <v>65</v>
      </c>
      <c r="R60" t="s">
        <v>26</v>
      </c>
      <c r="S60" s="3">
        <v>100</v>
      </c>
      <c r="T60" t="s">
        <v>12</v>
      </c>
      <c r="U60" s="3">
        <v>8549.08</v>
      </c>
      <c r="V60" s="3">
        <f>VLOOKUP(M60,'[1]combined ledger'!$A:$H,8,0)</f>
        <v>7758</v>
      </c>
      <c r="W60" s="3">
        <f t="shared" si="0"/>
        <v>791.07999999999993</v>
      </c>
      <c r="X60" s="3"/>
      <c r="Y60" t="s">
        <v>77</v>
      </c>
      <c r="Z60" t="s">
        <v>13</v>
      </c>
      <c r="AA60" t="s">
        <v>8</v>
      </c>
      <c r="AB60" t="s">
        <v>69</v>
      </c>
      <c r="AC60" t="s">
        <v>14</v>
      </c>
      <c r="AD60" t="s">
        <v>149</v>
      </c>
      <c r="AE60" t="s">
        <v>8</v>
      </c>
      <c r="AF60" t="s">
        <v>8</v>
      </c>
      <c r="AG60" t="s">
        <v>8</v>
      </c>
      <c r="AH60" s="2">
        <v>45827</v>
      </c>
      <c r="AI60" s="2">
        <v>45888</v>
      </c>
      <c r="AJ60" t="s">
        <v>50</v>
      </c>
    </row>
    <row r="61" spans="1:36" outlineLevel="2" x14ac:dyDescent="0.25">
      <c r="A61" t="s">
        <v>27</v>
      </c>
      <c r="B61" t="s">
        <v>1</v>
      </c>
      <c r="C61" t="s">
        <v>2</v>
      </c>
      <c r="D61" t="s">
        <v>3</v>
      </c>
      <c r="E61" t="s">
        <v>4</v>
      </c>
      <c r="F61" t="s">
        <v>18</v>
      </c>
      <c r="G61" s="2">
        <v>45917</v>
      </c>
      <c r="H61" s="15">
        <v>1800012780</v>
      </c>
      <c r="I61" t="s">
        <v>75</v>
      </c>
      <c r="J61" s="2">
        <v>45917</v>
      </c>
      <c r="K61" s="2">
        <v>45922</v>
      </c>
      <c r="L61" t="s">
        <v>69</v>
      </c>
      <c r="M61" s="21">
        <v>256779417434</v>
      </c>
      <c r="N61" t="s">
        <v>9</v>
      </c>
      <c r="O61" t="s">
        <v>10</v>
      </c>
      <c r="P61" t="s">
        <v>8</v>
      </c>
      <c r="Q61" t="s">
        <v>65</v>
      </c>
      <c r="R61" t="s">
        <v>26</v>
      </c>
      <c r="S61" s="3">
        <v>100</v>
      </c>
      <c r="T61" t="s">
        <v>12</v>
      </c>
      <c r="U61" s="3">
        <v>8751.43</v>
      </c>
      <c r="V61" s="3">
        <f>VLOOKUP(M61,'[1]combined ledger'!$A:$H,8,0)</f>
        <v>8576.4330000000009</v>
      </c>
      <c r="W61" s="3">
        <f t="shared" si="0"/>
        <v>174.99699999999939</v>
      </c>
      <c r="X61" s="3"/>
      <c r="Y61" t="s">
        <v>77</v>
      </c>
      <c r="Z61" t="s">
        <v>13</v>
      </c>
      <c r="AA61" t="s">
        <v>8</v>
      </c>
      <c r="AB61" t="s">
        <v>160</v>
      </c>
      <c r="AC61" t="s">
        <v>14</v>
      </c>
      <c r="AD61" t="s">
        <v>161</v>
      </c>
      <c r="AE61" t="s">
        <v>8</v>
      </c>
      <c r="AF61" t="s">
        <v>8</v>
      </c>
      <c r="AG61" t="s">
        <v>8</v>
      </c>
      <c r="AH61" s="2">
        <v>45917</v>
      </c>
      <c r="AI61" s="2"/>
      <c r="AJ61" t="s">
        <v>8</v>
      </c>
    </row>
    <row r="62" spans="1:36" outlineLevel="2" x14ac:dyDescent="0.25">
      <c r="A62" t="s">
        <v>27</v>
      </c>
      <c r="B62" t="s">
        <v>1</v>
      </c>
      <c r="C62" t="s">
        <v>2</v>
      </c>
      <c r="D62" t="s">
        <v>3</v>
      </c>
      <c r="E62" t="s">
        <v>4</v>
      </c>
      <c r="F62" t="s">
        <v>28</v>
      </c>
      <c r="G62" s="2">
        <v>45937</v>
      </c>
      <c r="H62" s="15">
        <v>1800013748</v>
      </c>
      <c r="I62" t="s">
        <v>75</v>
      </c>
      <c r="J62" s="2">
        <v>45937</v>
      </c>
      <c r="K62" s="2">
        <v>45939</v>
      </c>
      <c r="L62" t="s">
        <v>69</v>
      </c>
      <c r="M62" s="21">
        <v>256779418169</v>
      </c>
      <c r="N62" t="s">
        <v>9</v>
      </c>
      <c r="O62" t="s">
        <v>10</v>
      </c>
      <c r="P62" t="s">
        <v>8</v>
      </c>
      <c r="Q62" t="s">
        <v>65</v>
      </c>
      <c r="R62" t="s">
        <v>26</v>
      </c>
      <c r="S62" s="3">
        <v>100</v>
      </c>
      <c r="T62" t="s">
        <v>12</v>
      </c>
      <c r="U62" s="3">
        <v>8819.08</v>
      </c>
      <c r="V62" s="3" t="e">
        <f>VLOOKUP(M62,'[1]combined ledger'!$A:$H,8,0)</f>
        <v>#N/A</v>
      </c>
      <c r="W62" s="3" t="e">
        <f t="shared" si="0"/>
        <v>#N/A</v>
      </c>
      <c r="X62" s="3"/>
      <c r="Y62" t="s">
        <v>77</v>
      </c>
      <c r="Z62" t="s">
        <v>13</v>
      </c>
      <c r="AA62" t="s">
        <v>8</v>
      </c>
      <c r="AB62" t="s">
        <v>164</v>
      </c>
      <c r="AC62" t="s">
        <v>14</v>
      </c>
      <c r="AD62" t="s">
        <v>165</v>
      </c>
      <c r="AE62" t="s">
        <v>8</v>
      </c>
      <c r="AF62" t="s">
        <v>8</v>
      </c>
      <c r="AG62" t="s">
        <v>8</v>
      </c>
      <c r="AH62" s="2">
        <v>45937</v>
      </c>
      <c r="AI62" s="2"/>
      <c r="AJ62" t="s">
        <v>8</v>
      </c>
    </row>
    <row r="63" spans="1:36" outlineLevel="2" x14ac:dyDescent="0.25">
      <c r="A63" t="s">
        <v>27</v>
      </c>
      <c r="B63" t="s">
        <v>1</v>
      </c>
      <c r="C63" t="s">
        <v>2</v>
      </c>
      <c r="D63" t="s">
        <v>3</v>
      </c>
      <c r="E63" t="s">
        <v>4</v>
      </c>
      <c r="F63" t="s">
        <v>28</v>
      </c>
      <c r="G63" s="2">
        <v>45937</v>
      </c>
      <c r="H63" s="15">
        <v>1800013749</v>
      </c>
      <c r="I63" t="s">
        <v>75</v>
      </c>
      <c r="J63" s="2">
        <v>45937</v>
      </c>
      <c r="K63" s="2">
        <v>45939</v>
      </c>
      <c r="L63" t="s">
        <v>69</v>
      </c>
      <c r="M63" s="21">
        <v>256779418170</v>
      </c>
      <c r="N63" t="s">
        <v>9</v>
      </c>
      <c r="O63" t="s">
        <v>10</v>
      </c>
      <c r="P63" t="s">
        <v>8</v>
      </c>
      <c r="Q63" t="s">
        <v>65</v>
      </c>
      <c r="R63" t="s">
        <v>26</v>
      </c>
      <c r="S63" s="3">
        <v>100</v>
      </c>
      <c r="T63" t="s">
        <v>12</v>
      </c>
      <c r="U63" s="3">
        <v>8819.08</v>
      </c>
      <c r="V63" s="3">
        <f>VLOOKUP(M63,'[1]combined ledger'!$A:$H,8,0)</f>
        <v>8643</v>
      </c>
      <c r="W63" s="3">
        <f t="shared" si="0"/>
        <v>176.07999999999993</v>
      </c>
      <c r="X63" s="3"/>
      <c r="Y63" t="s">
        <v>77</v>
      </c>
      <c r="Z63" t="s">
        <v>13</v>
      </c>
      <c r="AA63" t="s">
        <v>8</v>
      </c>
      <c r="AB63" t="s">
        <v>164</v>
      </c>
      <c r="AC63" t="s">
        <v>14</v>
      </c>
      <c r="AD63" t="s">
        <v>165</v>
      </c>
      <c r="AE63" t="s">
        <v>8</v>
      </c>
      <c r="AF63" t="s">
        <v>8</v>
      </c>
      <c r="AG63" t="s">
        <v>8</v>
      </c>
      <c r="AH63" s="2">
        <v>45937</v>
      </c>
      <c r="AI63" s="2"/>
      <c r="AJ63" t="s">
        <v>8</v>
      </c>
    </row>
    <row r="64" spans="1:36" outlineLevel="2" x14ac:dyDescent="0.25">
      <c r="A64" t="s">
        <v>27</v>
      </c>
      <c r="B64" t="s">
        <v>1</v>
      </c>
      <c r="C64" t="s">
        <v>2</v>
      </c>
      <c r="D64" t="s">
        <v>3</v>
      </c>
      <c r="E64" t="s">
        <v>4</v>
      </c>
      <c r="F64" t="s">
        <v>17</v>
      </c>
      <c r="G64" s="2">
        <v>45716</v>
      </c>
      <c r="H64" s="15">
        <v>1800000374</v>
      </c>
      <c r="I64" t="s">
        <v>75</v>
      </c>
      <c r="J64" s="2">
        <v>45716</v>
      </c>
      <c r="K64" s="2">
        <v>45716</v>
      </c>
      <c r="L64" t="s">
        <v>69</v>
      </c>
      <c r="M64" s="21">
        <v>246779410343</v>
      </c>
      <c r="N64" t="s">
        <v>9</v>
      </c>
      <c r="O64" t="s">
        <v>10</v>
      </c>
      <c r="P64" t="s">
        <v>8</v>
      </c>
      <c r="Q64" t="s">
        <v>65</v>
      </c>
      <c r="R64" t="s">
        <v>26</v>
      </c>
      <c r="S64" s="3">
        <v>1700</v>
      </c>
      <c r="T64" t="s">
        <v>12</v>
      </c>
      <c r="U64" s="3">
        <v>146716.22</v>
      </c>
      <c r="V64" s="3" t="e">
        <f>VLOOKUP(M64,'[1]combined ledger'!$A:$H,8,0)</f>
        <v>#N/A</v>
      </c>
      <c r="W64" s="3" t="e">
        <f t="shared" si="0"/>
        <v>#N/A</v>
      </c>
      <c r="X64" s="3"/>
      <c r="Y64" t="s">
        <v>77</v>
      </c>
      <c r="Z64" t="s">
        <v>13</v>
      </c>
      <c r="AA64" t="s">
        <v>8</v>
      </c>
      <c r="AB64" t="s">
        <v>69</v>
      </c>
      <c r="AC64" t="s">
        <v>14</v>
      </c>
      <c r="AD64" t="s">
        <v>170</v>
      </c>
      <c r="AE64" t="s">
        <v>8</v>
      </c>
      <c r="AF64" t="s">
        <v>8</v>
      </c>
      <c r="AG64" t="s">
        <v>8</v>
      </c>
      <c r="AH64" s="2">
        <v>45716</v>
      </c>
      <c r="AI64" s="2"/>
      <c r="AJ64" t="s">
        <v>8</v>
      </c>
    </row>
    <row r="65" spans="1:36" outlineLevel="2" x14ac:dyDescent="0.25">
      <c r="A65" t="s">
        <v>27</v>
      </c>
      <c r="B65" t="s">
        <v>1</v>
      </c>
      <c r="C65" t="s">
        <v>2</v>
      </c>
      <c r="D65" t="s">
        <v>3</v>
      </c>
      <c r="E65" t="s">
        <v>4</v>
      </c>
      <c r="F65" t="s">
        <v>17</v>
      </c>
      <c r="G65" s="2">
        <v>45716</v>
      </c>
      <c r="H65" s="15">
        <v>1800000381</v>
      </c>
      <c r="I65" t="s">
        <v>75</v>
      </c>
      <c r="J65" s="2">
        <v>45716</v>
      </c>
      <c r="K65" s="2">
        <v>45716</v>
      </c>
      <c r="L65" t="s">
        <v>69</v>
      </c>
      <c r="M65" s="21">
        <v>246779410350</v>
      </c>
      <c r="N65" t="s">
        <v>9</v>
      </c>
      <c r="O65" t="s">
        <v>10</v>
      </c>
      <c r="P65" t="s">
        <v>8</v>
      </c>
      <c r="Q65" t="s">
        <v>65</v>
      </c>
      <c r="R65" t="s">
        <v>26</v>
      </c>
      <c r="S65" s="3">
        <v>1750</v>
      </c>
      <c r="T65" t="s">
        <v>12</v>
      </c>
      <c r="U65" s="3">
        <v>151031.41</v>
      </c>
      <c r="V65" s="3" t="e">
        <f>VLOOKUP(M65,'[1]combined ledger'!$A:$H,8,0)</f>
        <v>#N/A</v>
      </c>
      <c r="W65" s="3" t="e">
        <f t="shared" si="0"/>
        <v>#N/A</v>
      </c>
      <c r="X65" s="3"/>
      <c r="Y65" t="s">
        <v>77</v>
      </c>
      <c r="Z65" t="s">
        <v>13</v>
      </c>
      <c r="AA65" t="s">
        <v>8</v>
      </c>
      <c r="AB65" t="s">
        <v>69</v>
      </c>
      <c r="AC65" t="s">
        <v>14</v>
      </c>
      <c r="AD65" t="s">
        <v>170</v>
      </c>
      <c r="AE65" t="s">
        <v>8</v>
      </c>
      <c r="AF65" t="s">
        <v>8</v>
      </c>
      <c r="AG65" t="s">
        <v>8</v>
      </c>
      <c r="AH65" s="2">
        <v>45716</v>
      </c>
      <c r="AI65" s="2"/>
      <c r="AJ65" t="s">
        <v>8</v>
      </c>
    </row>
    <row r="66" spans="1:36" outlineLevel="2" x14ac:dyDescent="0.25">
      <c r="A66" t="s">
        <v>27</v>
      </c>
      <c r="B66" t="s">
        <v>1</v>
      </c>
      <c r="C66" t="s">
        <v>2</v>
      </c>
      <c r="D66" t="s">
        <v>3</v>
      </c>
      <c r="E66" t="s">
        <v>4</v>
      </c>
      <c r="F66" t="s">
        <v>17</v>
      </c>
      <c r="G66" s="2">
        <v>45716</v>
      </c>
      <c r="H66" s="15">
        <v>1800000387</v>
      </c>
      <c r="I66" t="s">
        <v>75</v>
      </c>
      <c r="J66" s="2">
        <v>45716</v>
      </c>
      <c r="K66" s="2">
        <v>45716</v>
      </c>
      <c r="L66" t="s">
        <v>69</v>
      </c>
      <c r="M66" s="21">
        <v>246779410356</v>
      </c>
      <c r="N66" t="s">
        <v>9</v>
      </c>
      <c r="O66" t="s">
        <v>10</v>
      </c>
      <c r="P66" t="s">
        <v>8</v>
      </c>
      <c r="Q66" t="s">
        <v>65</v>
      </c>
      <c r="R66" t="s">
        <v>26</v>
      </c>
      <c r="S66" s="3">
        <v>1750</v>
      </c>
      <c r="T66" t="s">
        <v>12</v>
      </c>
      <c r="U66" s="3">
        <v>151031.41</v>
      </c>
      <c r="V66" s="3" t="e">
        <f>VLOOKUP(M66,'[1]combined ledger'!$A:$H,8,0)</f>
        <v>#N/A</v>
      </c>
      <c r="W66" s="3" t="e">
        <f t="shared" si="0"/>
        <v>#N/A</v>
      </c>
      <c r="X66" s="3"/>
      <c r="Y66" t="s">
        <v>77</v>
      </c>
      <c r="Z66" t="s">
        <v>13</v>
      </c>
      <c r="AA66" t="s">
        <v>8</v>
      </c>
      <c r="AB66" t="s">
        <v>69</v>
      </c>
      <c r="AC66" t="s">
        <v>14</v>
      </c>
      <c r="AD66" t="s">
        <v>170</v>
      </c>
      <c r="AE66" t="s">
        <v>8</v>
      </c>
      <c r="AF66" t="s">
        <v>8</v>
      </c>
      <c r="AG66" t="s">
        <v>8</v>
      </c>
      <c r="AH66" s="2">
        <v>45716</v>
      </c>
      <c r="AI66" s="2"/>
      <c r="AJ66" t="s">
        <v>8</v>
      </c>
    </row>
    <row r="67" spans="1:36" outlineLevel="2" x14ac:dyDescent="0.25">
      <c r="A67" t="s">
        <v>27</v>
      </c>
      <c r="B67" t="s">
        <v>1</v>
      </c>
      <c r="C67" t="s">
        <v>2</v>
      </c>
      <c r="D67" t="s">
        <v>3</v>
      </c>
      <c r="E67" t="s">
        <v>4</v>
      </c>
      <c r="F67" t="s">
        <v>17</v>
      </c>
      <c r="G67" s="2">
        <v>45716</v>
      </c>
      <c r="H67" s="15">
        <v>1800000393</v>
      </c>
      <c r="I67" t="s">
        <v>75</v>
      </c>
      <c r="J67" s="2">
        <v>45716</v>
      </c>
      <c r="K67" s="2">
        <v>45716</v>
      </c>
      <c r="L67" t="s">
        <v>69</v>
      </c>
      <c r="M67" s="21">
        <v>246779410362</v>
      </c>
      <c r="N67" t="s">
        <v>9</v>
      </c>
      <c r="O67" t="s">
        <v>10</v>
      </c>
      <c r="P67" t="s">
        <v>8</v>
      </c>
      <c r="Q67" t="s">
        <v>65</v>
      </c>
      <c r="R67" t="s">
        <v>26</v>
      </c>
      <c r="S67" s="3">
        <v>1700</v>
      </c>
      <c r="T67" t="s">
        <v>12</v>
      </c>
      <c r="U67" s="3">
        <v>146716.22</v>
      </c>
      <c r="V67" s="3" t="e">
        <f>VLOOKUP(M67,'[1]combined ledger'!$A:$H,8,0)</f>
        <v>#N/A</v>
      </c>
      <c r="W67" s="3" t="e">
        <f t="shared" si="0"/>
        <v>#N/A</v>
      </c>
      <c r="X67" s="3"/>
      <c r="Y67" t="s">
        <v>77</v>
      </c>
      <c r="Z67" t="s">
        <v>13</v>
      </c>
      <c r="AA67" t="s">
        <v>8</v>
      </c>
      <c r="AB67" t="s">
        <v>69</v>
      </c>
      <c r="AC67" t="s">
        <v>14</v>
      </c>
      <c r="AD67" t="s">
        <v>170</v>
      </c>
      <c r="AE67" t="s">
        <v>8</v>
      </c>
      <c r="AF67" t="s">
        <v>8</v>
      </c>
      <c r="AG67" t="s">
        <v>8</v>
      </c>
      <c r="AH67" s="2">
        <v>45716</v>
      </c>
      <c r="AI67" s="2"/>
      <c r="AJ67" t="s">
        <v>8</v>
      </c>
    </row>
    <row r="68" spans="1:36" outlineLevel="2" x14ac:dyDescent="0.25">
      <c r="A68" t="s">
        <v>27</v>
      </c>
      <c r="B68" t="s">
        <v>1</v>
      </c>
      <c r="C68" t="s">
        <v>2</v>
      </c>
      <c r="D68" t="s">
        <v>3</v>
      </c>
      <c r="E68" t="s">
        <v>4</v>
      </c>
      <c r="F68" t="s">
        <v>49</v>
      </c>
      <c r="G68" s="2">
        <v>45722</v>
      </c>
      <c r="H68" s="15">
        <v>1800000931</v>
      </c>
      <c r="I68" t="s">
        <v>75</v>
      </c>
      <c r="J68" s="2">
        <v>45722</v>
      </c>
      <c r="K68" s="2">
        <v>45722</v>
      </c>
      <c r="L68" t="s">
        <v>69</v>
      </c>
      <c r="M68" s="21">
        <v>246779410871</v>
      </c>
      <c r="N68" t="s">
        <v>9</v>
      </c>
      <c r="O68" t="s">
        <v>10</v>
      </c>
      <c r="P68" t="s">
        <v>8</v>
      </c>
      <c r="Q68" t="s">
        <v>65</v>
      </c>
      <c r="R68" t="s">
        <v>26</v>
      </c>
      <c r="S68" s="3">
        <v>42.51</v>
      </c>
      <c r="T68" t="s">
        <v>12</v>
      </c>
      <c r="U68" s="3">
        <v>3685.25</v>
      </c>
      <c r="V68" s="3">
        <f>VLOOKUP(M68,'[1]combined ledger'!$A:$H,8,0)</f>
        <v>3274.0057999999999</v>
      </c>
      <c r="W68" s="3">
        <f t="shared" si="0"/>
        <v>411.24420000000009</v>
      </c>
      <c r="X68" s="3"/>
      <c r="Y68" t="s">
        <v>77</v>
      </c>
      <c r="Z68" t="s">
        <v>13</v>
      </c>
      <c r="AA68" t="s">
        <v>8</v>
      </c>
      <c r="AB68" t="s">
        <v>69</v>
      </c>
      <c r="AC68" t="s">
        <v>14</v>
      </c>
      <c r="AD68" t="s">
        <v>179</v>
      </c>
      <c r="AE68" t="s">
        <v>8</v>
      </c>
      <c r="AF68" t="s">
        <v>8</v>
      </c>
      <c r="AG68" t="s">
        <v>8</v>
      </c>
      <c r="AH68" s="2">
        <v>45722</v>
      </c>
      <c r="AI68" s="2"/>
      <c r="AJ68" t="s">
        <v>8</v>
      </c>
    </row>
    <row r="69" spans="1:36" outlineLevel="2" x14ac:dyDescent="0.25">
      <c r="A69" t="s">
        <v>27</v>
      </c>
      <c r="B69" t="s">
        <v>1</v>
      </c>
      <c r="C69" t="s">
        <v>2</v>
      </c>
      <c r="D69" t="s">
        <v>3</v>
      </c>
      <c r="E69" t="s">
        <v>4</v>
      </c>
      <c r="F69" t="s">
        <v>49</v>
      </c>
      <c r="G69" s="2">
        <v>45722</v>
      </c>
      <c r="H69" s="15">
        <v>1800000953</v>
      </c>
      <c r="I69" t="s">
        <v>75</v>
      </c>
      <c r="J69" s="2">
        <v>45722</v>
      </c>
      <c r="K69" s="2">
        <v>45722</v>
      </c>
      <c r="L69" t="s">
        <v>69</v>
      </c>
      <c r="M69" s="21">
        <v>246779410893</v>
      </c>
      <c r="N69" t="s">
        <v>9</v>
      </c>
      <c r="O69" t="s">
        <v>10</v>
      </c>
      <c r="P69" t="s">
        <v>8</v>
      </c>
      <c r="Q69" t="s">
        <v>65</v>
      </c>
      <c r="R69" t="s">
        <v>26</v>
      </c>
      <c r="S69" s="3">
        <v>177.18</v>
      </c>
      <c r="T69" t="s">
        <v>12</v>
      </c>
      <c r="U69" s="3">
        <v>15359.96</v>
      </c>
      <c r="V69" s="3">
        <f>VLOOKUP(M69,'[1]combined ledger'!$A:$H,8,0)</f>
        <v>13647.064399999999</v>
      </c>
      <c r="W69" s="3">
        <f t="shared" si="0"/>
        <v>1712.8955999999998</v>
      </c>
      <c r="X69" s="3"/>
      <c r="Y69" t="s">
        <v>77</v>
      </c>
      <c r="Z69" t="s">
        <v>13</v>
      </c>
      <c r="AA69" t="s">
        <v>8</v>
      </c>
      <c r="AB69" t="s">
        <v>69</v>
      </c>
      <c r="AC69" t="s">
        <v>14</v>
      </c>
      <c r="AD69" t="s">
        <v>182</v>
      </c>
      <c r="AE69" t="s">
        <v>8</v>
      </c>
      <c r="AF69" t="s">
        <v>8</v>
      </c>
      <c r="AG69" t="s">
        <v>8</v>
      </c>
      <c r="AH69" s="2">
        <v>45722</v>
      </c>
      <c r="AI69" s="2"/>
      <c r="AJ69" t="s">
        <v>8</v>
      </c>
    </row>
    <row r="70" spans="1:36" outlineLevel="2" x14ac:dyDescent="0.25">
      <c r="A70" t="s">
        <v>27</v>
      </c>
      <c r="B70" t="s">
        <v>1</v>
      </c>
      <c r="C70" t="s">
        <v>2</v>
      </c>
      <c r="D70" t="s">
        <v>3</v>
      </c>
      <c r="E70" t="s">
        <v>4</v>
      </c>
      <c r="F70" t="s">
        <v>28</v>
      </c>
      <c r="G70" s="2">
        <v>45943</v>
      </c>
      <c r="H70" s="15">
        <v>1600002439</v>
      </c>
      <c r="I70" t="s">
        <v>118</v>
      </c>
      <c r="J70" s="2">
        <v>45943</v>
      </c>
      <c r="K70" s="2">
        <v>45944</v>
      </c>
      <c r="L70" t="s">
        <v>69</v>
      </c>
      <c r="M70" s="21">
        <v>256779421983</v>
      </c>
      <c r="N70" t="s">
        <v>9</v>
      </c>
      <c r="O70" t="s">
        <v>10</v>
      </c>
      <c r="P70" t="s">
        <v>8</v>
      </c>
      <c r="Q70" t="s">
        <v>54</v>
      </c>
      <c r="R70" t="s">
        <v>26</v>
      </c>
      <c r="S70" s="3">
        <v>-930.14</v>
      </c>
      <c r="T70" t="s">
        <v>12</v>
      </c>
      <c r="U70" s="3">
        <v>-82029.759999999995</v>
      </c>
      <c r="V70" s="3" t="e">
        <f>VLOOKUP(M70,'[1]combined ledger'!$A:$H,8,0)</f>
        <v>#N/A</v>
      </c>
      <c r="W70" s="3" t="e">
        <f t="shared" si="0"/>
        <v>#N/A</v>
      </c>
      <c r="X70" s="3"/>
      <c r="Y70" t="s">
        <v>77</v>
      </c>
      <c r="Z70" t="s">
        <v>13</v>
      </c>
      <c r="AA70" t="s">
        <v>8</v>
      </c>
      <c r="AB70" t="s">
        <v>185</v>
      </c>
      <c r="AC70" t="s">
        <v>14</v>
      </c>
      <c r="AD70" t="s">
        <v>186</v>
      </c>
      <c r="AE70" t="s">
        <v>8</v>
      </c>
      <c r="AF70" t="s">
        <v>8</v>
      </c>
      <c r="AG70" t="s">
        <v>8</v>
      </c>
      <c r="AH70" s="2">
        <v>45943</v>
      </c>
      <c r="AI70" s="2"/>
      <c r="AJ70" t="s">
        <v>8</v>
      </c>
    </row>
    <row r="71" spans="1:36" outlineLevel="2" x14ac:dyDescent="0.25">
      <c r="A71" t="s">
        <v>27</v>
      </c>
      <c r="B71" t="s">
        <v>1</v>
      </c>
      <c r="C71" t="s">
        <v>2</v>
      </c>
      <c r="D71" t="s">
        <v>3</v>
      </c>
      <c r="E71" t="s">
        <v>4</v>
      </c>
      <c r="F71" t="s">
        <v>49</v>
      </c>
      <c r="G71" s="2">
        <v>45719</v>
      </c>
      <c r="H71" s="15">
        <v>1800000414</v>
      </c>
      <c r="I71" t="s">
        <v>75</v>
      </c>
      <c r="J71" s="2">
        <v>45719</v>
      </c>
      <c r="K71" s="2">
        <v>45719</v>
      </c>
      <c r="L71" t="s">
        <v>69</v>
      </c>
      <c r="M71" s="21">
        <v>246779410376</v>
      </c>
      <c r="N71" t="s">
        <v>9</v>
      </c>
      <c r="O71" t="s">
        <v>10</v>
      </c>
      <c r="P71" t="s">
        <v>8</v>
      </c>
      <c r="Q71" t="s">
        <v>65</v>
      </c>
      <c r="R71" t="s">
        <v>26</v>
      </c>
      <c r="S71" s="3">
        <v>711.35</v>
      </c>
      <c r="T71" t="s">
        <v>12</v>
      </c>
      <c r="U71" s="3">
        <v>61667.83</v>
      </c>
      <c r="V71" s="3">
        <f>VLOOKUP(M71,'[1]combined ledger'!$A:$H,8,0)</f>
        <v>54789.332999999999</v>
      </c>
      <c r="W71" s="3">
        <f t="shared" si="0"/>
        <v>6878.497000000003</v>
      </c>
      <c r="X71" s="3"/>
      <c r="Y71" t="s">
        <v>77</v>
      </c>
      <c r="Z71" t="s">
        <v>13</v>
      </c>
      <c r="AA71" t="s">
        <v>8</v>
      </c>
      <c r="AB71" t="s">
        <v>69</v>
      </c>
      <c r="AC71" t="s">
        <v>14</v>
      </c>
      <c r="AD71" t="s">
        <v>189</v>
      </c>
      <c r="AE71" t="s">
        <v>8</v>
      </c>
      <c r="AF71" t="s">
        <v>8</v>
      </c>
      <c r="AG71" t="s">
        <v>8</v>
      </c>
      <c r="AH71" s="2">
        <v>45719</v>
      </c>
      <c r="AI71" s="2"/>
      <c r="AJ71" t="s">
        <v>8</v>
      </c>
    </row>
    <row r="72" spans="1:36" outlineLevel="2" x14ac:dyDescent="0.25">
      <c r="A72" t="s">
        <v>27</v>
      </c>
      <c r="B72" t="s">
        <v>1</v>
      </c>
      <c r="C72" t="s">
        <v>2</v>
      </c>
      <c r="D72" t="s">
        <v>3</v>
      </c>
      <c r="E72" t="s">
        <v>4</v>
      </c>
      <c r="F72" t="s">
        <v>49</v>
      </c>
      <c r="G72" s="2">
        <v>45719</v>
      </c>
      <c r="H72" s="15">
        <v>1800000439</v>
      </c>
      <c r="I72" t="s">
        <v>75</v>
      </c>
      <c r="J72" s="2">
        <v>45719</v>
      </c>
      <c r="K72" s="2">
        <v>45719</v>
      </c>
      <c r="L72" t="s">
        <v>69</v>
      </c>
      <c r="M72" s="21">
        <v>246779410401</v>
      </c>
      <c r="N72" t="s">
        <v>9</v>
      </c>
      <c r="O72" t="s">
        <v>10</v>
      </c>
      <c r="P72" t="s">
        <v>8</v>
      </c>
      <c r="Q72" t="s">
        <v>65</v>
      </c>
      <c r="R72" t="s">
        <v>26</v>
      </c>
      <c r="S72" s="3">
        <v>1298.96</v>
      </c>
      <c r="T72" t="s">
        <v>12</v>
      </c>
      <c r="U72" s="3">
        <v>112608.48</v>
      </c>
      <c r="V72" s="3">
        <f>VLOOKUP(M72,'[1]combined ledger'!$A:$H,8,0)</f>
        <v>100048.99679999999</v>
      </c>
      <c r="W72" s="3">
        <f t="shared" si="0"/>
        <v>12559.483200000002</v>
      </c>
      <c r="X72" s="3"/>
      <c r="Y72" t="s">
        <v>77</v>
      </c>
      <c r="Z72" t="s">
        <v>13</v>
      </c>
      <c r="AA72" t="s">
        <v>8</v>
      </c>
      <c r="AB72" t="s">
        <v>69</v>
      </c>
      <c r="AC72" t="s">
        <v>14</v>
      </c>
      <c r="AD72" t="s">
        <v>192</v>
      </c>
      <c r="AE72" t="s">
        <v>8</v>
      </c>
      <c r="AF72" t="s">
        <v>8</v>
      </c>
      <c r="AG72" t="s">
        <v>8</v>
      </c>
      <c r="AH72" s="2">
        <v>45719</v>
      </c>
      <c r="AI72" s="2"/>
      <c r="AJ72" t="s">
        <v>8</v>
      </c>
    </row>
    <row r="73" spans="1:36" outlineLevel="2" x14ac:dyDescent="0.25">
      <c r="A73" t="s">
        <v>27</v>
      </c>
      <c r="B73" t="s">
        <v>1</v>
      </c>
      <c r="C73" t="s">
        <v>2</v>
      </c>
      <c r="D73" t="s">
        <v>3</v>
      </c>
      <c r="E73" t="s">
        <v>4</v>
      </c>
      <c r="F73" t="s">
        <v>49</v>
      </c>
      <c r="G73" s="2">
        <v>45719</v>
      </c>
      <c r="H73" s="15">
        <v>1800000463</v>
      </c>
      <c r="I73" t="s">
        <v>75</v>
      </c>
      <c r="J73" s="2">
        <v>45719</v>
      </c>
      <c r="K73" s="2">
        <v>45719</v>
      </c>
      <c r="L73" t="s">
        <v>69</v>
      </c>
      <c r="M73" s="21">
        <v>246779410425</v>
      </c>
      <c r="N73" t="s">
        <v>9</v>
      </c>
      <c r="O73" t="s">
        <v>10</v>
      </c>
      <c r="P73" t="s">
        <v>8</v>
      </c>
      <c r="Q73" t="s">
        <v>65</v>
      </c>
      <c r="R73" t="s">
        <v>26</v>
      </c>
      <c r="S73" s="3">
        <v>1687.21</v>
      </c>
      <c r="T73" t="s">
        <v>12</v>
      </c>
      <c r="U73" s="3">
        <v>146266.35999999999</v>
      </c>
      <c r="V73" s="3">
        <f>VLOOKUP(M73,'[1]combined ledger'!$A:$H,8,0)</f>
        <v>129952.43180000001</v>
      </c>
      <c r="W73" s="3">
        <f t="shared" si="0"/>
        <v>16313.92819999998</v>
      </c>
      <c r="X73" s="3"/>
      <c r="Y73" t="s">
        <v>77</v>
      </c>
      <c r="Z73" t="s">
        <v>13</v>
      </c>
      <c r="AA73" t="s">
        <v>8</v>
      </c>
      <c r="AB73" t="s">
        <v>69</v>
      </c>
      <c r="AC73" t="s">
        <v>14</v>
      </c>
      <c r="AD73" t="s">
        <v>195</v>
      </c>
      <c r="AE73" t="s">
        <v>8</v>
      </c>
      <c r="AF73" t="s">
        <v>8</v>
      </c>
      <c r="AG73" t="s">
        <v>8</v>
      </c>
      <c r="AH73" s="2">
        <v>45719</v>
      </c>
      <c r="AI73" s="2"/>
      <c r="AJ73" t="s">
        <v>8</v>
      </c>
    </row>
    <row r="74" spans="1:36" outlineLevel="2" x14ac:dyDescent="0.25">
      <c r="A74" t="s">
        <v>27</v>
      </c>
      <c r="B74" t="s">
        <v>1</v>
      </c>
      <c r="C74" t="s">
        <v>2</v>
      </c>
      <c r="D74" t="s">
        <v>3</v>
      </c>
      <c r="E74" t="s">
        <v>4</v>
      </c>
      <c r="F74" t="s">
        <v>49</v>
      </c>
      <c r="G74" s="2">
        <v>45733</v>
      </c>
      <c r="H74" s="15">
        <v>1800001956</v>
      </c>
      <c r="I74" t="s">
        <v>75</v>
      </c>
      <c r="J74" s="2">
        <v>45733</v>
      </c>
      <c r="K74" s="2">
        <v>45733</v>
      </c>
      <c r="L74" t="s">
        <v>69</v>
      </c>
      <c r="M74" s="21">
        <v>246779411621</v>
      </c>
      <c r="N74" t="s">
        <v>9</v>
      </c>
      <c r="O74" t="s">
        <v>10</v>
      </c>
      <c r="P74" t="s">
        <v>8</v>
      </c>
      <c r="Q74" t="s">
        <v>65</v>
      </c>
      <c r="R74" t="s">
        <v>26</v>
      </c>
      <c r="S74" s="3">
        <v>444.04</v>
      </c>
      <c r="T74" t="s">
        <v>12</v>
      </c>
      <c r="U74" s="3">
        <v>38494.39</v>
      </c>
      <c r="V74" s="3">
        <f>VLOOKUP(M74,'[1]combined ledger'!$A:$H,8,0)</f>
        <v>37240.943200000002</v>
      </c>
      <c r="W74" s="3">
        <f t="shared" si="0"/>
        <v>1253.4467999999979</v>
      </c>
      <c r="X74" s="3"/>
      <c r="Y74" t="s">
        <v>77</v>
      </c>
      <c r="Z74" t="s">
        <v>13</v>
      </c>
      <c r="AA74" t="s">
        <v>8</v>
      </c>
      <c r="AB74" t="s">
        <v>69</v>
      </c>
      <c r="AC74" t="s">
        <v>14</v>
      </c>
      <c r="AD74" t="s">
        <v>198</v>
      </c>
      <c r="AE74" t="s">
        <v>8</v>
      </c>
      <c r="AF74" t="s">
        <v>8</v>
      </c>
      <c r="AG74" t="s">
        <v>8</v>
      </c>
      <c r="AH74" s="2">
        <v>45733</v>
      </c>
      <c r="AI74" s="2"/>
      <c r="AJ74" t="s">
        <v>8</v>
      </c>
    </row>
    <row r="75" spans="1:36" outlineLevel="2" x14ac:dyDescent="0.25">
      <c r="A75" t="s">
        <v>27</v>
      </c>
      <c r="B75" t="s">
        <v>1</v>
      </c>
      <c r="C75" t="s">
        <v>2</v>
      </c>
      <c r="D75" t="s">
        <v>3</v>
      </c>
      <c r="E75" t="s">
        <v>4</v>
      </c>
      <c r="F75" t="s">
        <v>49</v>
      </c>
      <c r="G75" s="2">
        <v>45733</v>
      </c>
      <c r="H75" s="15">
        <v>1800002095</v>
      </c>
      <c r="I75" t="s">
        <v>75</v>
      </c>
      <c r="J75" s="2">
        <v>45733</v>
      </c>
      <c r="K75" s="2">
        <v>45734</v>
      </c>
      <c r="L75" t="s">
        <v>69</v>
      </c>
      <c r="M75" s="21">
        <v>246779411760</v>
      </c>
      <c r="N75" t="s">
        <v>9</v>
      </c>
      <c r="O75" t="s">
        <v>10</v>
      </c>
      <c r="P75" t="s">
        <v>8</v>
      </c>
      <c r="Q75" t="s">
        <v>65</v>
      </c>
      <c r="R75" t="s">
        <v>26</v>
      </c>
      <c r="S75" s="3">
        <v>520.16999999999996</v>
      </c>
      <c r="T75" t="s">
        <v>12</v>
      </c>
      <c r="U75" s="3">
        <v>45094.19</v>
      </c>
      <c r="V75" s="3">
        <f>VLOOKUP(M75,'[1]combined ledger'!$A:$H,8,0)</f>
        <v>43626.1486</v>
      </c>
      <c r="W75" s="3">
        <f t="shared" si="0"/>
        <v>1468.0414000000019</v>
      </c>
      <c r="X75" s="3"/>
      <c r="Y75" t="s">
        <v>77</v>
      </c>
      <c r="Z75" t="s">
        <v>13</v>
      </c>
      <c r="AA75" t="s">
        <v>8</v>
      </c>
      <c r="AB75" t="s">
        <v>69</v>
      </c>
      <c r="AC75" t="s">
        <v>14</v>
      </c>
      <c r="AD75" t="s">
        <v>201</v>
      </c>
      <c r="AE75" t="s">
        <v>8</v>
      </c>
      <c r="AF75" t="s">
        <v>8</v>
      </c>
      <c r="AG75" t="s">
        <v>8</v>
      </c>
      <c r="AH75" s="2">
        <v>45733</v>
      </c>
      <c r="AI75" s="2"/>
      <c r="AJ75" t="s">
        <v>8</v>
      </c>
    </row>
    <row r="76" spans="1:36" outlineLevel="2" x14ac:dyDescent="0.25">
      <c r="A76" t="s">
        <v>27</v>
      </c>
      <c r="B76" t="s">
        <v>1</v>
      </c>
      <c r="C76" t="s">
        <v>2</v>
      </c>
      <c r="D76" t="s">
        <v>3</v>
      </c>
      <c r="E76" t="s">
        <v>4</v>
      </c>
      <c r="F76" t="s">
        <v>49</v>
      </c>
      <c r="G76" s="2">
        <v>45733</v>
      </c>
      <c r="H76" s="15">
        <v>1800002401</v>
      </c>
      <c r="I76" t="s">
        <v>75</v>
      </c>
      <c r="J76" s="2">
        <v>45733</v>
      </c>
      <c r="K76" s="2">
        <v>45734</v>
      </c>
      <c r="L76" t="s">
        <v>69</v>
      </c>
      <c r="M76" s="21">
        <v>246779412066</v>
      </c>
      <c r="N76" t="s">
        <v>9</v>
      </c>
      <c r="O76" t="s">
        <v>10</v>
      </c>
      <c r="P76" t="s">
        <v>8</v>
      </c>
      <c r="Q76" t="s">
        <v>65</v>
      </c>
      <c r="R76" t="s">
        <v>26</v>
      </c>
      <c r="S76" s="3">
        <v>66.5</v>
      </c>
      <c r="T76" t="s">
        <v>12</v>
      </c>
      <c r="U76" s="3">
        <v>5764.97</v>
      </c>
      <c r="V76" s="3">
        <f>VLOOKUP(M76,'[1]combined ledger'!$A:$H,8,0)</f>
        <v>5577.07</v>
      </c>
      <c r="W76" s="3">
        <f t="shared" si="0"/>
        <v>187.90000000000055</v>
      </c>
      <c r="X76" s="3"/>
      <c r="Y76" t="s">
        <v>77</v>
      </c>
      <c r="Z76" t="s">
        <v>13</v>
      </c>
      <c r="AA76" t="s">
        <v>8</v>
      </c>
      <c r="AB76" t="s">
        <v>69</v>
      </c>
      <c r="AC76" t="s">
        <v>14</v>
      </c>
      <c r="AD76" t="s">
        <v>204</v>
      </c>
      <c r="AE76" t="s">
        <v>8</v>
      </c>
      <c r="AF76" t="s">
        <v>8</v>
      </c>
      <c r="AG76" t="s">
        <v>8</v>
      </c>
      <c r="AH76" s="2">
        <v>45733</v>
      </c>
      <c r="AI76" s="2"/>
      <c r="AJ76" t="s">
        <v>8</v>
      </c>
    </row>
    <row r="77" spans="1:36" outlineLevel="2" x14ac:dyDescent="0.25">
      <c r="A77" t="s">
        <v>27</v>
      </c>
      <c r="B77" t="s">
        <v>1</v>
      </c>
      <c r="C77" t="s">
        <v>2</v>
      </c>
      <c r="D77" t="s">
        <v>3</v>
      </c>
      <c r="E77" t="s">
        <v>4</v>
      </c>
      <c r="F77" t="s">
        <v>49</v>
      </c>
      <c r="G77" s="2">
        <v>45733</v>
      </c>
      <c r="H77" s="15">
        <v>1800002272</v>
      </c>
      <c r="I77" t="s">
        <v>75</v>
      </c>
      <c r="J77" s="2">
        <v>45733</v>
      </c>
      <c r="K77" s="2">
        <v>45734</v>
      </c>
      <c r="L77" t="s">
        <v>69</v>
      </c>
      <c r="M77" s="21">
        <v>246779411937</v>
      </c>
      <c r="N77" t="s">
        <v>9</v>
      </c>
      <c r="O77" t="s">
        <v>10</v>
      </c>
      <c r="P77" t="s">
        <v>8</v>
      </c>
      <c r="Q77" t="s">
        <v>65</v>
      </c>
      <c r="R77" t="s">
        <v>26</v>
      </c>
      <c r="S77" s="3">
        <v>7.27</v>
      </c>
      <c r="T77" t="s">
        <v>12</v>
      </c>
      <c r="U77" s="3">
        <v>630.25</v>
      </c>
      <c r="V77" s="3">
        <f>VLOOKUP(M77,'[1]combined ledger'!$A:$H,8,0)</f>
        <v>610.16660000000002</v>
      </c>
      <c r="W77" s="3">
        <f t="shared" si="0"/>
        <v>20.083399999999983</v>
      </c>
      <c r="X77" s="3"/>
      <c r="Y77" t="s">
        <v>77</v>
      </c>
      <c r="Z77" t="s">
        <v>13</v>
      </c>
      <c r="AA77" t="s">
        <v>8</v>
      </c>
      <c r="AB77" t="s">
        <v>69</v>
      </c>
      <c r="AC77" t="s">
        <v>14</v>
      </c>
      <c r="AD77" t="s">
        <v>207</v>
      </c>
      <c r="AE77" t="s">
        <v>8</v>
      </c>
      <c r="AF77" t="s">
        <v>8</v>
      </c>
      <c r="AG77" t="s">
        <v>8</v>
      </c>
      <c r="AH77" s="2">
        <v>45733</v>
      </c>
      <c r="AI77" s="2"/>
      <c r="AJ77" t="s">
        <v>8</v>
      </c>
    </row>
    <row r="78" spans="1:36" outlineLevel="2" x14ac:dyDescent="0.25">
      <c r="A78" t="s">
        <v>27</v>
      </c>
      <c r="B78" t="s">
        <v>1</v>
      </c>
      <c r="C78" t="s">
        <v>2</v>
      </c>
      <c r="D78" t="s">
        <v>3</v>
      </c>
      <c r="E78" t="s">
        <v>4</v>
      </c>
      <c r="F78" t="s">
        <v>49</v>
      </c>
      <c r="G78" s="2">
        <v>45733</v>
      </c>
      <c r="H78" s="15">
        <v>1800002273</v>
      </c>
      <c r="I78" t="s">
        <v>75</v>
      </c>
      <c r="J78" s="2">
        <v>45733</v>
      </c>
      <c r="K78" s="2">
        <v>45734</v>
      </c>
      <c r="L78" t="s">
        <v>69</v>
      </c>
      <c r="M78" s="21">
        <v>246779411938</v>
      </c>
      <c r="N78" t="s">
        <v>9</v>
      </c>
      <c r="O78" t="s">
        <v>10</v>
      </c>
      <c r="P78" t="s">
        <v>8</v>
      </c>
      <c r="Q78" t="s">
        <v>65</v>
      </c>
      <c r="R78" t="s">
        <v>26</v>
      </c>
      <c r="S78" s="3">
        <v>53.26</v>
      </c>
      <c r="T78" t="s">
        <v>12</v>
      </c>
      <c r="U78" s="3">
        <v>4617.18</v>
      </c>
      <c r="V78" s="3">
        <f>VLOOKUP(M78,'[1]combined ledger'!$A:$H,8,0)</f>
        <v>4466.9907999999996</v>
      </c>
      <c r="W78" s="3">
        <f t="shared" si="0"/>
        <v>150.18920000000071</v>
      </c>
      <c r="X78" s="3"/>
      <c r="Y78" t="s">
        <v>77</v>
      </c>
      <c r="Z78" t="s">
        <v>13</v>
      </c>
      <c r="AA78" t="s">
        <v>8</v>
      </c>
      <c r="AB78" t="s">
        <v>69</v>
      </c>
      <c r="AC78" t="s">
        <v>14</v>
      </c>
      <c r="AD78" t="s">
        <v>207</v>
      </c>
      <c r="AE78" t="s">
        <v>8</v>
      </c>
      <c r="AF78" t="s">
        <v>8</v>
      </c>
      <c r="AG78" t="s">
        <v>8</v>
      </c>
      <c r="AH78" s="2">
        <v>45733</v>
      </c>
      <c r="AI78" s="2"/>
      <c r="AJ78" t="s">
        <v>8</v>
      </c>
    </row>
    <row r="79" spans="1:36" outlineLevel="2" x14ac:dyDescent="0.25">
      <c r="A79" t="s">
        <v>27</v>
      </c>
      <c r="B79" t="s">
        <v>1</v>
      </c>
      <c r="C79" t="s">
        <v>2</v>
      </c>
      <c r="D79" t="s">
        <v>3</v>
      </c>
      <c r="E79" t="s">
        <v>4</v>
      </c>
      <c r="F79" t="s">
        <v>49</v>
      </c>
      <c r="G79" s="2">
        <v>45733</v>
      </c>
      <c r="H79" s="15">
        <v>1800002274</v>
      </c>
      <c r="I79" t="s">
        <v>75</v>
      </c>
      <c r="J79" s="2">
        <v>45733</v>
      </c>
      <c r="K79" s="2">
        <v>45734</v>
      </c>
      <c r="L79" t="s">
        <v>69</v>
      </c>
      <c r="M79" s="21">
        <v>246779411939</v>
      </c>
      <c r="N79" t="s">
        <v>9</v>
      </c>
      <c r="O79" t="s">
        <v>10</v>
      </c>
      <c r="P79" t="s">
        <v>8</v>
      </c>
      <c r="Q79" t="s">
        <v>65</v>
      </c>
      <c r="R79" t="s">
        <v>26</v>
      </c>
      <c r="S79" s="3">
        <v>23.08</v>
      </c>
      <c r="T79" t="s">
        <v>12</v>
      </c>
      <c r="U79" s="3">
        <v>2000.83</v>
      </c>
      <c r="V79" s="3">
        <f>VLOOKUP(M79,'[1]combined ledger'!$A:$H,8,0)</f>
        <v>1935.1864</v>
      </c>
      <c r="W79" s="3">
        <f t="shared" si="0"/>
        <v>65.643599999999878</v>
      </c>
      <c r="X79" s="3"/>
      <c r="Y79" t="s">
        <v>77</v>
      </c>
      <c r="Z79" t="s">
        <v>13</v>
      </c>
      <c r="AA79" t="s">
        <v>8</v>
      </c>
      <c r="AB79" t="s">
        <v>69</v>
      </c>
      <c r="AC79" t="s">
        <v>14</v>
      </c>
      <c r="AD79" t="s">
        <v>207</v>
      </c>
      <c r="AE79" t="s">
        <v>8</v>
      </c>
      <c r="AF79" t="s">
        <v>8</v>
      </c>
      <c r="AG79" t="s">
        <v>8</v>
      </c>
      <c r="AH79" s="2">
        <v>45733</v>
      </c>
      <c r="AI79" s="2"/>
      <c r="AJ79" t="s">
        <v>8</v>
      </c>
    </row>
    <row r="80" spans="1:36" outlineLevel="2" x14ac:dyDescent="0.25">
      <c r="A80" t="s">
        <v>27</v>
      </c>
      <c r="B80" t="s">
        <v>1</v>
      </c>
      <c r="C80" t="s">
        <v>2</v>
      </c>
      <c r="D80" t="s">
        <v>3</v>
      </c>
      <c r="E80" t="s">
        <v>4</v>
      </c>
      <c r="F80" t="s">
        <v>49</v>
      </c>
      <c r="G80" s="2">
        <v>45733</v>
      </c>
      <c r="H80" s="15">
        <v>1800002275</v>
      </c>
      <c r="I80" t="s">
        <v>75</v>
      </c>
      <c r="J80" s="2">
        <v>45733</v>
      </c>
      <c r="K80" s="2">
        <v>45734</v>
      </c>
      <c r="L80" t="s">
        <v>69</v>
      </c>
      <c r="M80" s="21">
        <v>246779411940</v>
      </c>
      <c r="N80" t="s">
        <v>9</v>
      </c>
      <c r="O80" t="s">
        <v>10</v>
      </c>
      <c r="P80" t="s">
        <v>8</v>
      </c>
      <c r="Q80" t="s">
        <v>65</v>
      </c>
      <c r="R80" t="s">
        <v>26</v>
      </c>
      <c r="S80" s="3">
        <v>52.73</v>
      </c>
      <c r="T80" t="s">
        <v>12</v>
      </c>
      <c r="U80" s="3">
        <v>4571.2299999999996</v>
      </c>
      <c r="V80" s="3">
        <f>VLOOKUP(M80,'[1]combined ledger'!$A:$H,8,0)</f>
        <v>4422.6333999999997</v>
      </c>
      <c r="W80" s="3">
        <f t="shared" si="0"/>
        <v>148.59659999999985</v>
      </c>
      <c r="X80" s="3"/>
      <c r="Y80" t="s">
        <v>77</v>
      </c>
      <c r="Z80" t="s">
        <v>13</v>
      </c>
      <c r="AA80" t="s">
        <v>8</v>
      </c>
      <c r="AB80" t="s">
        <v>69</v>
      </c>
      <c r="AC80" t="s">
        <v>14</v>
      </c>
      <c r="AD80" t="s">
        <v>207</v>
      </c>
      <c r="AE80" t="s">
        <v>8</v>
      </c>
      <c r="AF80" t="s">
        <v>8</v>
      </c>
      <c r="AG80" t="s">
        <v>8</v>
      </c>
      <c r="AH80" s="2">
        <v>45733</v>
      </c>
      <c r="AI80" s="2"/>
      <c r="AJ80" t="s">
        <v>8</v>
      </c>
    </row>
    <row r="81" spans="1:36" outlineLevel="2" x14ac:dyDescent="0.25">
      <c r="A81" t="s">
        <v>27</v>
      </c>
      <c r="B81" t="s">
        <v>1</v>
      </c>
      <c r="C81" t="s">
        <v>2</v>
      </c>
      <c r="D81" t="s">
        <v>3</v>
      </c>
      <c r="E81" t="s">
        <v>4</v>
      </c>
      <c r="F81" t="s">
        <v>49</v>
      </c>
      <c r="G81" s="2">
        <v>45733</v>
      </c>
      <c r="H81" s="15">
        <v>1800002276</v>
      </c>
      <c r="I81" t="s">
        <v>75</v>
      </c>
      <c r="J81" s="2">
        <v>45733</v>
      </c>
      <c r="K81" s="2">
        <v>45734</v>
      </c>
      <c r="L81" t="s">
        <v>69</v>
      </c>
      <c r="M81" s="21">
        <v>246779411941</v>
      </c>
      <c r="N81" t="s">
        <v>9</v>
      </c>
      <c r="O81" t="s">
        <v>10</v>
      </c>
      <c r="P81" t="s">
        <v>8</v>
      </c>
      <c r="Q81" t="s">
        <v>65</v>
      </c>
      <c r="R81" t="s">
        <v>26</v>
      </c>
      <c r="S81" s="3">
        <v>76.02</v>
      </c>
      <c r="T81" t="s">
        <v>12</v>
      </c>
      <c r="U81" s="3">
        <v>6590.27</v>
      </c>
      <c r="V81" s="3">
        <f>VLOOKUP(M81,'[1]combined ledger'!$A:$H,8,0)</f>
        <v>6375.7915999999996</v>
      </c>
      <c r="W81" s="3">
        <f t="shared" si="0"/>
        <v>214.47840000000087</v>
      </c>
      <c r="X81" s="3"/>
      <c r="Y81" t="s">
        <v>77</v>
      </c>
      <c r="Z81" t="s">
        <v>13</v>
      </c>
      <c r="AA81" t="s">
        <v>8</v>
      </c>
      <c r="AB81" t="s">
        <v>69</v>
      </c>
      <c r="AC81" t="s">
        <v>14</v>
      </c>
      <c r="AD81" t="s">
        <v>207</v>
      </c>
      <c r="AE81" t="s">
        <v>8</v>
      </c>
      <c r="AF81" t="s">
        <v>8</v>
      </c>
      <c r="AG81" t="s">
        <v>8</v>
      </c>
      <c r="AH81" s="2">
        <v>45733</v>
      </c>
      <c r="AI81" s="2"/>
      <c r="AJ81" t="s">
        <v>8</v>
      </c>
    </row>
    <row r="82" spans="1:36" outlineLevel="2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45762</v>
      </c>
      <c r="H82" s="15">
        <v>1800006261</v>
      </c>
      <c r="I82" t="s">
        <v>75</v>
      </c>
      <c r="J82" s="2">
        <v>45762</v>
      </c>
      <c r="K82" s="2">
        <v>45763</v>
      </c>
      <c r="L82" t="s">
        <v>69</v>
      </c>
      <c r="M82" s="21">
        <v>256779411152</v>
      </c>
      <c r="N82" t="s">
        <v>9</v>
      </c>
      <c r="O82" t="s">
        <v>10</v>
      </c>
      <c r="P82" t="s">
        <v>8</v>
      </c>
      <c r="Q82" t="s">
        <v>65</v>
      </c>
      <c r="R82" t="s">
        <v>26</v>
      </c>
      <c r="S82" s="3">
        <v>164.38</v>
      </c>
      <c r="T82" t="s">
        <v>12</v>
      </c>
      <c r="U82" s="3">
        <v>14288.21</v>
      </c>
      <c r="V82" s="3">
        <f>VLOOKUP(M82,'[1]combined ledger'!$A:$H,8,0)</f>
        <v>13942.089</v>
      </c>
      <c r="W82" s="3">
        <f t="shared" si="0"/>
        <v>346.12099999999919</v>
      </c>
      <c r="X82" s="3"/>
      <c r="Y82" t="s">
        <v>77</v>
      </c>
      <c r="Z82" t="s">
        <v>8</v>
      </c>
      <c r="AA82" t="s">
        <v>8</v>
      </c>
      <c r="AB82" t="s">
        <v>69</v>
      </c>
      <c r="AC82" t="s">
        <v>14</v>
      </c>
      <c r="AD82" t="s">
        <v>218</v>
      </c>
      <c r="AE82" t="s">
        <v>8</v>
      </c>
      <c r="AF82" t="s">
        <v>8</v>
      </c>
      <c r="AG82" t="s">
        <v>8</v>
      </c>
      <c r="AH82" s="2">
        <v>45762</v>
      </c>
      <c r="AI82" s="2">
        <v>45887</v>
      </c>
      <c r="AJ82" t="s">
        <v>24</v>
      </c>
    </row>
    <row r="83" spans="1:36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45762</v>
      </c>
      <c r="H83" s="15">
        <v>1800006262</v>
      </c>
      <c r="I83" t="s">
        <v>75</v>
      </c>
      <c r="J83" s="2">
        <v>45762</v>
      </c>
      <c r="K83" s="2">
        <v>45763</v>
      </c>
      <c r="L83" t="s">
        <v>69</v>
      </c>
      <c r="M83" s="21">
        <v>256779411153</v>
      </c>
      <c r="N83" t="s">
        <v>9</v>
      </c>
      <c r="O83" t="s">
        <v>10</v>
      </c>
      <c r="P83" t="s">
        <v>8</v>
      </c>
      <c r="Q83" t="s">
        <v>65</v>
      </c>
      <c r="R83" t="s">
        <v>26</v>
      </c>
      <c r="S83" s="3">
        <v>26.54</v>
      </c>
      <c r="T83" t="s">
        <v>12</v>
      </c>
      <c r="U83" s="3">
        <v>2306.91</v>
      </c>
      <c r="V83" s="3">
        <f>VLOOKUP(M83,'[1]combined ledger'!$A:$H,8,0)</f>
        <v>2251.0369999999998</v>
      </c>
      <c r="W83" s="3">
        <f t="shared" si="0"/>
        <v>55.873000000000047</v>
      </c>
      <c r="X83" s="3"/>
      <c r="Y83" t="s">
        <v>77</v>
      </c>
      <c r="Z83" t="s">
        <v>8</v>
      </c>
      <c r="AA83" t="s">
        <v>8</v>
      </c>
      <c r="AB83" t="s">
        <v>69</v>
      </c>
      <c r="AC83" t="s">
        <v>14</v>
      </c>
      <c r="AD83" t="s">
        <v>221</v>
      </c>
      <c r="AE83" t="s">
        <v>8</v>
      </c>
      <c r="AF83" t="s">
        <v>8</v>
      </c>
      <c r="AG83" t="s">
        <v>8</v>
      </c>
      <c r="AH83" s="2">
        <v>45762</v>
      </c>
      <c r="AI83" s="2">
        <v>45887</v>
      </c>
      <c r="AJ83" t="s">
        <v>24</v>
      </c>
    </row>
    <row r="84" spans="1:36" outlineLevel="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45762</v>
      </c>
      <c r="H84" s="15">
        <v>1800006263</v>
      </c>
      <c r="I84" t="s">
        <v>75</v>
      </c>
      <c r="J84" s="2">
        <v>45762</v>
      </c>
      <c r="K84" s="2">
        <v>45763</v>
      </c>
      <c r="L84" t="s">
        <v>69</v>
      </c>
      <c r="M84" s="21">
        <v>256779411154</v>
      </c>
      <c r="N84" t="s">
        <v>9</v>
      </c>
      <c r="O84" t="s">
        <v>10</v>
      </c>
      <c r="P84" t="s">
        <v>8</v>
      </c>
      <c r="Q84" t="s">
        <v>65</v>
      </c>
      <c r="R84" t="s">
        <v>26</v>
      </c>
      <c r="S84" s="3">
        <v>84.26</v>
      </c>
      <c r="T84" t="s">
        <v>12</v>
      </c>
      <c r="U84" s="3">
        <v>7324.03</v>
      </c>
      <c r="V84" s="3">
        <f>VLOOKUP(M84,'[1]combined ledger'!$A:$H,8,0)</f>
        <v>7146.7030000000004</v>
      </c>
      <c r="W84" s="3">
        <f t="shared" si="0"/>
        <v>177.32699999999932</v>
      </c>
      <c r="X84" s="3"/>
      <c r="Y84" t="s">
        <v>77</v>
      </c>
      <c r="Z84" t="s">
        <v>8</v>
      </c>
      <c r="AA84" t="s">
        <v>8</v>
      </c>
      <c r="AB84" t="s">
        <v>69</v>
      </c>
      <c r="AC84" t="s">
        <v>14</v>
      </c>
      <c r="AD84" t="s">
        <v>221</v>
      </c>
      <c r="AE84" t="s">
        <v>8</v>
      </c>
      <c r="AF84" t="s">
        <v>8</v>
      </c>
      <c r="AG84" t="s">
        <v>8</v>
      </c>
      <c r="AH84" s="2">
        <v>45762</v>
      </c>
      <c r="AI84" s="2">
        <v>45887</v>
      </c>
      <c r="AJ84" t="s">
        <v>24</v>
      </c>
    </row>
    <row r="85" spans="1:36" outlineLevel="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2">
        <v>45762</v>
      </c>
      <c r="H85" s="15">
        <v>1800006264</v>
      </c>
      <c r="I85" t="s">
        <v>75</v>
      </c>
      <c r="J85" s="2">
        <v>45762</v>
      </c>
      <c r="K85" s="2">
        <v>45763</v>
      </c>
      <c r="L85" t="s">
        <v>69</v>
      </c>
      <c r="M85" s="21">
        <v>256779411155</v>
      </c>
      <c r="N85" t="s">
        <v>9</v>
      </c>
      <c r="O85" t="s">
        <v>10</v>
      </c>
      <c r="P85" t="s">
        <v>8</v>
      </c>
      <c r="Q85" t="s">
        <v>65</v>
      </c>
      <c r="R85" t="s">
        <v>26</v>
      </c>
      <c r="S85" s="3">
        <v>36.9</v>
      </c>
      <c r="T85" t="s">
        <v>12</v>
      </c>
      <c r="U85" s="3">
        <v>3207.42</v>
      </c>
      <c r="V85" s="3">
        <f>VLOOKUP(M85,'[1]combined ledger'!$A:$H,8,0)</f>
        <v>3129.6950000000002</v>
      </c>
      <c r="W85" s="3">
        <f t="shared" si="0"/>
        <v>77.724999999999909</v>
      </c>
      <c r="X85" s="3"/>
      <c r="Y85" t="s">
        <v>77</v>
      </c>
      <c r="Z85" t="s">
        <v>8</v>
      </c>
      <c r="AA85" t="s">
        <v>8</v>
      </c>
      <c r="AB85" t="s">
        <v>69</v>
      </c>
      <c r="AC85" t="s">
        <v>14</v>
      </c>
      <c r="AD85" t="s">
        <v>226</v>
      </c>
      <c r="AE85" t="s">
        <v>8</v>
      </c>
      <c r="AF85" t="s">
        <v>8</v>
      </c>
      <c r="AG85" t="s">
        <v>8</v>
      </c>
      <c r="AH85" s="2">
        <v>45762</v>
      </c>
      <c r="AI85" s="2">
        <v>45887</v>
      </c>
      <c r="AJ85" t="s">
        <v>24</v>
      </c>
    </row>
    <row r="86" spans="1:36" outlineLevel="2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45762</v>
      </c>
      <c r="H86" s="15">
        <v>1800006265</v>
      </c>
      <c r="I86" t="s">
        <v>75</v>
      </c>
      <c r="J86" s="2">
        <v>45762</v>
      </c>
      <c r="K86" s="2">
        <v>45763</v>
      </c>
      <c r="L86" t="s">
        <v>69</v>
      </c>
      <c r="M86" s="21">
        <v>256779411156</v>
      </c>
      <c r="N86" t="s">
        <v>9</v>
      </c>
      <c r="O86" t="s">
        <v>10</v>
      </c>
      <c r="P86" t="s">
        <v>8</v>
      </c>
      <c r="Q86" t="s">
        <v>65</v>
      </c>
      <c r="R86" t="s">
        <v>26</v>
      </c>
      <c r="S86" s="3">
        <v>20.23</v>
      </c>
      <c r="T86" t="s">
        <v>12</v>
      </c>
      <c r="U86" s="3">
        <v>1758.43</v>
      </c>
      <c r="V86" s="3">
        <f>VLOOKUP(M86,'[1]combined ledger'!$A:$H,8,0)</f>
        <v>1715.9065000000001</v>
      </c>
      <c r="W86" s="3">
        <f t="shared" si="0"/>
        <v>42.523500000000013</v>
      </c>
      <c r="X86" s="3"/>
      <c r="Y86" t="s">
        <v>77</v>
      </c>
      <c r="Z86" t="s">
        <v>8</v>
      </c>
      <c r="AA86" t="s">
        <v>8</v>
      </c>
      <c r="AB86" t="s">
        <v>69</v>
      </c>
      <c r="AC86" t="s">
        <v>14</v>
      </c>
      <c r="AD86" t="s">
        <v>226</v>
      </c>
      <c r="AE86" t="s">
        <v>8</v>
      </c>
      <c r="AF86" t="s">
        <v>8</v>
      </c>
      <c r="AG86" t="s">
        <v>8</v>
      </c>
      <c r="AH86" s="2">
        <v>45762</v>
      </c>
      <c r="AI86" s="2">
        <v>45887</v>
      </c>
      <c r="AJ86" t="s">
        <v>24</v>
      </c>
    </row>
    <row r="87" spans="1:36" outlineLevel="2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2">
        <v>45762</v>
      </c>
      <c r="H87" s="15">
        <v>1800006266</v>
      </c>
      <c r="I87" t="s">
        <v>75</v>
      </c>
      <c r="J87" s="2">
        <v>45762</v>
      </c>
      <c r="K87" s="2">
        <v>45763</v>
      </c>
      <c r="L87" t="s">
        <v>69</v>
      </c>
      <c r="M87" s="21">
        <v>256779411157</v>
      </c>
      <c r="N87" t="s">
        <v>9</v>
      </c>
      <c r="O87" t="s">
        <v>10</v>
      </c>
      <c r="P87" t="s">
        <v>8</v>
      </c>
      <c r="Q87" t="s">
        <v>65</v>
      </c>
      <c r="R87" t="s">
        <v>26</v>
      </c>
      <c r="S87" s="3">
        <v>116.32</v>
      </c>
      <c r="T87" t="s">
        <v>12</v>
      </c>
      <c r="U87" s="3">
        <v>10110.75</v>
      </c>
      <c r="V87" s="3">
        <f>VLOOKUP(M87,'[1]combined ledger'!$A:$H,8,0)</f>
        <v>9866.4959999999992</v>
      </c>
      <c r="W87" s="3">
        <f t="shared" si="0"/>
        <v>244.25400000000081</v>
      </c>
      <c r="X87" s="3"/>
      <c r="Y87" t="s">
        <v>77</v>
      </c>
      <c r="Z87" t="s">
        <v>8</v>
      </c>
      <c r="AA87" t="s">
        <v>8</v>
      </c>
      <c r="AB87" t="s">
        <v>69</v>
      </c>
      <c r="AC87" t="s">
        <v>14</v>
      </c>
      <c r="AD87" t="s">
        <v>226</v>
      </c>
      <c r="AE87" t="s">
        <v>8</v>
      </c>
      <c r="AF87" t="s">
        <v>8</v>
      </c>
      <c r="AG87" t="s">
        <v>8</v>
      </c>
      <c r="AH87" s="2">
        <v>45762</v>
      </c>
      <c r="AI87" s="2">
        <v>45887</v>
      </c>
      <c r="AJ87" t="s">
        <v>24</v>
      </c>
    </row>
    <row r="88" spans="1:36" outlineLevel="2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45762</v>
      </c>
      <c r="H88" s="15">
        <v>1800006674</v>
      </c>
      <c r="I88" t="s">
        <v>75</v>
      </c>
      <c r="J88" s="2">
        <v>45762</v>
      </c>
      <c r="K88" s="2">
        <v>45763</v>
      </c>
      <c r="L88" t="s">
        <v>69</v>
      </c>
      <c r="M88" s="21">
        <v>256779411565</v>
      </c>
      <c r="N88" t="s">
        <v>9</v>
      </c>
      <c r="O88" t="s">
        <v>10</v>
      </c>
      <c r="P88" t="s">
        <v>8</v>
      </c>
      <c r="Q88" t="s">
        <v>65</v>
      </c>
      <c r="R88" t="s">
        <v>26</v>
      </c>
      <c r="S88" s="3">
        <v>22</v>
      </c>
      <c r="T88" t="s">
        <v>12</v>
      </c>
      <c r="U88" s="3">
        <v>1912.28</v>
      </c>
      <c r="V88" s="3">
        <f>VLOOKUP(M88,'[1]combined ledger'!$A:$H,8,0)</f>
        <v>1866.1</v>
      </c>
      <c r="W88" s="3">
        <f t="shared" si="0"/>
        <v>46.180000000000064</v>
      </c>
      <c r="X88" s="3"/>
      <c r="Y88" t="s">
        <v>77</v>
      </c>
      <c r="Z88" t="s">
        <v>8</v>
      </c>
      <c r="AA88" t="s">
        <v>8</v>
      </c>
      <c r="AB88" t="s">
        <v>69</v>
      </c>
      <c r="AC88" t="s">
        <v>14</v>
      </c>
      <c r="AD88" t="s">
        <v>233</v>
      </c>
      <c r="AE88" t="s">
        <v>8</v>
      </c>
      <c r="AF88" t="s">
        <v>8</v>
      </c>
      <c r="AG88" t="s">
        <v>8</v>
      </c>
      <c r="AH88" s="2">
        <v>45762</v>
      </c>
      <c r="AI88" s="2">
        <v>45887</v>
      </c>
      <c r="AJ88" t="s">
        <v>24</v>
      </c>
    </row>
    <row r="89" spans="1:36" outlineLevel="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2">
        <v>45762</v>
      </c>
      <c r="H89" s="15">
        <v>1800006675</v>
      </c>
      <c r="I89" t="s">
        <v>75</v>
      </c>
      <c r="J89" s="2">
        <v>45762</v>
      </c>
      <c r="K89" s="2">
        <v>45763</v>
      </c>
      <c r="L89" t="s">
        <v>69</v>
      </c>
      <c r="M89" s="21">
        <v>256779411566</v>
      </c>
      <c r="N89" t="s">
        <v>9</v>
      </c>
      <c r="O89" t="s">
        <v>10</v>
      </c>
      <c r="P89" t="s">
        <v>8</v>
      </c>
      <c r="Q89" t="s">
        <v>65</v>
      </c>
      <c r="R89" t="s">
        <v>26</v>
      </c>
      <c r="S89" s="3">
        <v>4.4000000000000004</v>
      </c>
      <c r="T89" t="s">
        <v>12</v>
      </c>
      <c r="U89" s="3">
        <v>382.46</v>
      </c>
      <c r="V89" s="3">
        <f>VLOOKUP(M89,'[1]combined ledger'!$A:$H,8,0)</f>
        <v>372.82</v>
      </c>
      <c r="W89" s="3">
        <f t="shared" si="0"/>
        <v>9.6399999999999864</v>
      </c>
      <c r="X89" s="3"/>
      <c r="Y89" t="s">
        <v>77</v>
      </c>
      <c r="Z89" t="s">
        <v>8</v>
      </c>
      <c r="AA89" t="s">
        <v>8</v>
      </c>
      <c r="AB89" t="s">
        <v>69</v>
      </c>
      <c r="AC89" t="s">
        <v>14</v>
      </c>
      <c r="AD89" t="s">
        <v>233</v>
      </c>
      <c r="AE89" t="s">
        <v>8</v>
      </c>
      <c r="AF89" t="s">
        <v>8</v>
      </c>
      <c r="AG89" t="s">
        <v>8</v>
      </c>
      <c r="AH89" s="2">
        <v>45762</v>
      </c>
      <c r="AI89" s="2">
        <v>45887</v>
      </c>
      <c r="AJ89" t="s">
        <v>24</v>
      </c>
    </row>
    <row r="90" spans="1:36" outlineLevel="2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45762</v>
      </c>
      <c r="H90" s="15">
        <v>1800006676</v>
      </c>
      <c r="I90" t="s">
        <v>75</v>
      </c>
      <c r="J90" s="2">
        <v>45762</v>
      </c>
      <c r="K90" s="2">
        <v>45763</v>
      </c>
      <c r="L90" t="s">
        <v>69</v>
      </c>
      <c r="M90" s="21">
        <v>256779411567</v>
      </c>
      <c r="N90" t="s">
        <v>9</v>
      </c>
      <c r="O90" t="s">
        <v>10</v>
      </c>
      <c r="P90" t="s">
        <v>8</v>
      </c>
      <c r="Q90" t="s">
        <v>65</v>
      </c>
      <c r="R90" t="s">
        <v>26</v>
      </c>
      <c r="S90" s="3">
        <v>5.84</v>
      </c>
      <c r="T90" t="s">
        <v>12</v>
      </c>
      <c r="U90" s="3">
        <v>507.62</v>
      </c>
      <c r="V90" s="3">
        <f>VLOOKUP(M90,'[1]combined ledger'!$A:$H,8,0)</f>
        <v>495.452</v>
      </c>
      <c r="W90" s="3">
        <f t="shared" si="0"/>
        <v>12.168000000000006</v>
      </c>
      <c r="X90" s="3"/>
      <c r="Y90" t="s">
        <v>77</v>
      </c>
      <c r="Z90" t="s">
        <v>8</v>
      </c>
      <c r="AA90" t="s">
        <v>8</v>
      </c>
      <c r="AB90" t="s">
        <v>69</v>
      </c>
      <c r="AC90" t="s">
        <v>14</v>
      </c>
      <c r="AD90" t="s">
        <v>233</v>
      </c>
      <c r="AE90" t="s">
        <v>8</v>
      </c>
      <c r="AF90" t="s">
        <v>8</v>
      </c>
      <c r="AG90" t="s">
        <v>8</v>
      </c>
      <c r="AH90" s="2">
        <v>45762</v>
      </c>
      <c r="AI90" s="2">
        <v>45887</v>
      </c>
      <c r="AJ90" t="s">
        <v>24</v>
      </c>
    </row>
    <row r="91" spans="1:36" outlineLevel="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45762</v>
      </c>
      <c r="H91" s="15">
        <v>1800006677</v>
      </c>
      <c r="I91" t="s">
        <v>75</v>
      </c>
      <c r="J91" s="2">
        <v>45762</v>
      </c>
      <c r="K91" s="2">
        <v>45763</v>
      </c>
      <c r="L91" t="s">
        <v>69</v>
      </c>
      <c r="M91" s="21">
        <v>256779411568</v>
      </c>
      <c r="N91" t="s">
        <v>9</v>
      </c>
      <c r="O91" t="s">
        <v>10</v>
      </c>
      <c r="P91" t="s">
        <v>8</v>
      </c>
      <c r="Q91" t="s">
        <v>65</v>
      </c>
      <c r="R91" t="s">
        <v>26</v>
      </c>
      <c r="S91" s="3">
        <v>0.8</v>
      </c>
      <c r="T91" t="s">
        <v>12</v>
      </c>
      <c r="U91" s="3">
        <v>69.540000000000006</v>
      </c>
      <c r="V91" s="3">
        <f>VLOOKUP(M91,'[1]combined ledger'!$A:$H,8,0)</f>
        <v>68.239999999999995</v>
      </c>
      <c r="W91" s="3">
        <f t="shared" si="0"/>
        <v>1.3000000000000114</v>
      </c>
      <c r="X91" s="3"/>
      <c r="Y91" t="s">
        <v>77</v>
      </c>
      <c r="Z91" t="s">
        <v>8</v>
      </c>
      <c r="AA91" t="s">
        <v>8</v>
      </c>
      <c r="AB91" t="s">
        <v>69</v>
      </c>
      <c r="AC91" t="s">
        <v>14</v>
      </c>
      <c r="AD91" t="s">
        <v>233</v>
      </c>
      <c r="AE91" t="s">
        <v>8</v>
      </c>
      <c r="AF91" t="s">
        <v>8</v>
      </c>
      <c r="AG91" t="s">
        <v>8</v>
      </c>
      <c r="AH91" s="2">
        <v>45762</v>
      </c>
      <c r="AI91" s="2">
        <v>45887</v>
      </c>
      <c r="AJ91" t="s">
        <v>24</v>
      </c>
    </row>
    <row r="92" spans="1:36" outlineLevel="2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45762</v>
      </c>
      <c r="H92" s="15">
        <v>1800006678</v>
      </c>
      <c r="I92" t="s">
        <v>75</v>
      </c>
      <c r="J92" s="2">
        <v>45762</v>
      </c>
      <c r="K92" s="2">
        <v>45763</v>
      </c>
      <c r="L92" t="s">
        <v>69</v>
      </c>
      <c r="M92" s="21">
        <v>256779411569</v>
      </c>
      <c r="N92" t="s">
        <v>9</v>
      </c>
      <c r="O92" t="s">
        <v>10</v>
      </c>
      <c r="P92" t="s">
        <v>8</v>
      </c>
      <c r="Q92" t="s">
        <v>65</v>
      </c>
      <c r="R92" t="s">
        <v>26</v>
      </c>
      <c r="S92" s="3">
        <v>13.85</v>
      </c>
      <c r="T92" t="s">
        <v>12</v>
      </c>
      <c r="U92" s="3">
        <v>1203.8699999999999</v>
      </c>
      <c r="V92" s="3">
        <f>VLOOKUP(M92,'[1]combined ledger'!$A:$H,8,0)</f>
        <v>1174.7175</v>
      </c>
      <c r="W92" s="3">
        <f t="shared" si="0"/>
        <v>29.152499999999918</v>
      </c>
      <c r="X92" s="3"/>
      <c r="Y92" t="s">
        <v>77</v>
      </c>
      <c r="Z92" t="s">
        <v>8</v>
      </c>
      <c r="AA92" t="s">
        <v>8</v>
      </c>
      <c r="AB92" t="s">
        <v>69</v>
      </c>
      <c r="AC92" t="s">
        <v>14</v>
      </c>
      <c r="AD92" t="s">
        <v>233</v>
      </c>
      <c r="AE92" t="s">
        <v>8</v>
      </c>
      <c r="AF92" t="s">
        <v>8</v>
      </c>
      <c r="AG92" t="s">
        <v>8</v>
      </c>
      <c r="AH92" s="2">
        <v>45762</v>
      </c>
      <c r="AI92" s="2">
        <v>45887</v>
      </c>
      <c r="AJ92" t="s">
        <v>24</v>
      </c>
    </row>
    <row r="93" spans="1:36" outlineLevel="2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45762</v>
      </c>
      <c r="H93" s="15">
        <v>1800006679</v>
      </c>
      <c r="I93" t="s">
        <v>75</v>
      </c>
      <c r="J93" s="2">
        <v>45762</v>
      </c>
      <c r="K93" s="2">
        <v>45763</v>
      </c>
      <c r="L93" t="s">
        <v>69</v>
      </c>
      <c r="M93" s="21">
        <v>256779411570</v>
      </c>
      <c r="N93" t="s">
        <v>9</v>
      </c>
      <c r="O93" t="s">
        <v>10</v>
      </c>
      <c r="P93" t="s">
        <v>8</v>
      </c>
      <c r="Q93" t="s">
        <v>65</v>
      </c>
      <c r="R93" t="s">
        <v>26</v>
      </c>
      <c r="S93" s="3">
        <v>18.149999999999999</v>
      </c>
      <c r="T93" t="s">
        <v>12</v>
      </c>
      <c r="U93" s="3">
        <v>1577.63</v>
      </c>
      <c r="V93" s="3">
        <f>VLOOKUP(M93,'[1]combined ledger'!$A:$H,8,0)</f>
        <v>1539.8824999999999</v>
      </c>
      <c r="W93" s="3">
        <f t="shared" si="0"/>
        <v>37.747500000000173</v>
      </c>
      <c r="X93" s="3"/>
      <c r="Y93" t="s">
        <v>77</v>
      </c>
      <c r="Z93" t="s">
        <v>8</v>
      </c>
      <c r="AA93" t="s">
        <v>8</v>
      </c>
      <c r="AB93" t="s">
        <v>69</v>
      </c>
      <c r="AC93" t="s">
        <v>14</v>
      </c>
      <c r="AD93" t="s">
        <v>233</v>
      </c>
      <c r="AE93" t="s">
        <v>8</v>
      </c>
      <c r="AF93" t="s">
        <v>8</v>
      </c>
      <c r="AG93" t="s">
        <v>8</v>
      </c>
      <c r="AH93" s="2">
        <v>45762</v>
      </c>
      <c r="AI93" s="2">
        <v>45887</v>
      </c>
      <c r="AJ93" t="s">
        <v>24</v>
      </c>
    </row>
    <row r="94" spans="1:36" outlineLevel="2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45762</v>
      </c>
      <c r="H94" s="15">
        <v>1800006680</v>
      </c>
      <c r="I94" t="s">
        <v>75</v>
      </c>
      <c r="J94" s="2">
        <v>45762</v>
      </c>
      <c r="K94" s="2">
        <v>45763</v>
      </c>
      <c r="L94" t="s">
        <v>69</v>
      </c>
      <c r="M94" s="21">
        <v>256779411571</v>
      </c>
      <c r="N94" t="s">
        <v>9</v>
      </c>
      <c r="O94" t="s">
        <v>10</v>
      </c>
      <c r="P94" t="s">
        <v>8</v>
      </c>
      <c r="Q94" t="s">
        <v>65</v>
      </c>
      <c r="R94" t="s">
        <v>26</v>
      </c>
      <c r="S94" s="3">
        <v>21.36</v>
      </c>
      <c r="T94" t="s">
        <v>12</v>
      </c>
      <c r="U94" s="3">
        <v>1856.65</v>
      </c>
      <c r="V94" s="3">
        <f>VLOOKUP(M94,'[1]combined ledger'!$A:$H,8,0)</f>
        <v>1811.7080000000001</v>
      </c>
      <c r="W94" s="3">
        <f t="shared" si="0"/>
        <v>44.942000000000007</v>
      </c>
      <c r="X94" s="3"/>
      <c r="Y94" t="s">
        <v>77</v>
      </c>
      <c r="Z94" t="s">
        <v>8</v>
      </c>
      <c r="AA94" t="s">
        <v>8</v>
      </c>
      <c r="AB94" t="s">
        <v>69</v>
      </c>
      <c r="AC94" t="s">
        <v>14</v>
      </c>
      <c r="AD94" t="s">
        <v>233</v>
      </c>
      <c r="AE94" t="s">
        <v>8</v>
      </c>
      <c r="AF94" t="s">
        <v>8</v>
      </c>
      <c r="AG94" t="s">
        <v>8</v>
      </c>
      <c r="AH94" s="2">
        <v>45762</v>
      </c>
      <c r="AI94" s="2">
        <v>45887</v>
      </c>
      <c r="AJ94" t="s">
        <v>24</v>
      </c>
    </row>
    <row r="95" spans="1:36" outlineLevel="2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45762</v>
      </c>
      <c r="H95" s="15">
        <v>1800006681</v>
      </c>
      <c r="I95" t="s">
        <v>75</v>
      </c>
      <c r="J95" s="2">
        <v>45762</v>
      </c>
      <c r="K95" s="2">
        <v>45763</v>
      </c>
      <c r="L95" t="s">
        <v>69</v>
      </c>
      <c r="M95" s="21">
        <v>256779411572</v>
      </c>
      <c r="N95" t="s">
        <v>9</v>
      </c>
      <c r="O95" t="s">
        <v>10</v>
      </c>
      <c r="P95" t="s">
        <v>8</v>
      </c>
      <c r="Q95" t="s">
        <v>65</v>
      </c>
      <c r="R95" t="s">
        <v>26</v>
      </c>
      <c r="S95" s="3">
        <v>1.97</v>
      </c>
      <c r="T95" t="s">
        <v>12</v>
      </c>
      <c r="U95" s="3">
        <v>171.24</v>
      </c>
      <c r="V95" s="3">
        <f>VLOOKUP(M95,'[1]combined ledger'!$A:$H,8,0)</f>
        <v>167.5035</v>
      </c>
      <c r="W95" s="3">
        <f t="shared" si="0"/>
        <v>3.7365000000000066</v>
      </c>
      <c r="X95" s="3"/>
      <c r="Y95" t="s">
        <v>77</v>
      </c>
      <c r="Z95" t="s">
        <v>8</v>
      </c>
      <c r="AA95" t="s">
        <v>8</v>
      </c>
      <c r="AB95" t="s">
        <v>69</v>
      </c>
      <c r="AC95" t="s">
        <v>14</v>
      </c>
      <c r="AD95" t="s">
        <v>233</v>
      </c>
      <c r="AE95" t="s">
        <v>8</v>
      </c>
      <c r="AF95" t="s">
        <v>8</v>
      </c>
      <c r="AG95" t="s">
        <v>8</v>
      </c>
      <c r="AH95" s="2">
        <v>45762</v>
      </c>
      <c r="AI95" s="2">
        <v>45887</v>
      </c>
      <c r="AJ95" t="s">
        <v>24</v>
      </c>
    </row>
    <row r="96" spans="1:36" outlineLevel="2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45762</v>
      </c>
      <c r="H96" s="15">
        <v>1800006682</v>
      </c>
      <c r="I96" t="s">
        <v>75</v>
      </c>
      <c r="J96" s="2">
        <v>45762</v>
      </c>
      <c r="K96" s="2">
        <v>45763</v>
      </c>
      <c r="L96" t="s">
        <v>69</v>
      </c>
      <c r="M96" s="21">
        <v>256779411573</v>
      </c>
      <c r="N96" t="s">
        <v>9</v>
      </c>
      <c r="O96" t="s">
        <v>10</v>
      </c>
      <c r="P96" t="s">
        <v>8</v>
      </c>
      <c r="Q96" t="s">
        <v>65</v>
      </c>
      <c r="R96" t="s">
        <v>26</v>
      </c>
      <c r="S96" s="3">
        <v>24.21</v>
      </c>
      <c r="T96" t="s">
        <v>12</v>
      </c>
      <c r="U96" s="3">
        <v>2104.38</v>
      </c>
      <c r="V96" s="3">
        <f>VLOOKUP(M96,'[1]combined ledger'!$A:$H,8,0)</f>
        <v>2053.3755000000001</v>
      </c>
      <c r="W96" s="3">
        <f t="shared" ref="W96:W159" si="1">U96-V96</f>
        <v>51.004500000000007</v>
      </c>
      <c r="X96" s="3"/>
      <c r="Y96" t="s">
        <v>77</v>
      </c>
      <c r="Z96" t="s">
        <v>8</v>
      </c>
      <c r="AA96" t="s">
        <v>8</v>
      </c>
      <c r="AB96" t="s">
        <v>69</v>
      </c>
      <c r="AC96" t="s">
        <v>14</v>
      </c>
      <c r="AD96" t="s">
        <v>233</v>
      </c>
      <c r="AE96" t="s">
        <v>8</v>
      </c>
      <c r="AF96" t="s">
        <v>8</v>
      </c>
      <c r="AG96" t="s">
        <v>8</v>
      </c>
      <c r="AH96" s="2">
        <v>45762</v>
      </c>
      <c r="AI96" s="2">
        <v>45887</v>
      </c>
      <c r="AJ96" t="s">
        <v>24</v>
      </c>
    </row>
    <row r="97" spans="1:36" outlineLevel="2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45762</v>
      </c>
      <c r="H97" s="15">
        <v>1800006683</v>
      </c>
      <c r="I97" t="s">
        <v>75</v>
      </c>
      <c r="J97" s="2">
        <v>45762</v>
      </c>
      <c r="K97" s="2">
        <v>45763</v>
      </c>
      <c r="L97" t="s">
        <v>69</v>
      </c>
      <c r="M97" s="21">
        <v>256779411574</v>
      </c>
      <c r="N97" t="s">
        <v>9</v>
      </c>
      <c r="O97" t="s">
        <v>10</v>
      </c>
      <c r="P97" t="s">
        <v>8</v>
      </c>
      <c r="Q97" t="s">
        <v>65</v>
      </c>
      <c r="R97" t="s">
        <v>26</v>
      </c>
      <c r="S97" s="3">
        <v>14.7</v>
      </c>
      <c r="T97" t="s">
        <v>12</v>
      </c>
      <c r="U97" s="3">
        <v>1277.75</v>
      </c>
      <c r="V97" s="3">
        <f>VLOOKUP(M97,'[1]combined ledger'!$A:$H,8,0)</f>
        <v>1247.2850000000001</v>
      </c>
      <c r="W97" s="3">
        <f t="shared" si="1"/>
        <v>30.464999999999918</v>
      </c>
      <c r="X97" s="3"/>
      <c r="Y97" t="s">
        <v>77</v>
      </c>
      <c r="Z97" t="s">
        <v>8</v>
      </c>
      <c r="AA97" t="s">
        <v>8</v>
      </c>
      <c r="AB97" t="s">
        <v>69</v>
      </c>
      <c r="AC97" t="s">
        <v>14</v>
      </c>
      <c r="AD97" t="s">
        <v>233</v>
      </c>
      <c r="AE97" t="s">
        <v>8</v>
      </c>
      <c r="AF97" t="s">
        <v>8</v>
      </c>
      <c r="AG97" t="s">
        <v>8</v>
      </c>
      <c r="AH97" s="2">
        <v>45762</v>
      </c>
      <c r="AI97" s="2">
        <v>45887</v>
      </c>
      <c r="AJ97" t="s">
        <v>24</v>
      </c>
    </row>
    <row r="98" spans="1:36" outlineLevel="2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45762</v>
      </c>
      <c r="H98" s="15">
        <v>1800006684</v>
      </c>
      <c r="I98" t="s">
        <v>75</v>
      </c>
      <c r="J98" s="2">
        <v>45762</v>
      </c>
      <c r="K98" s="2">
        <v>45763</v>
      </c>
      <c r="L98" t="s">
        <v>69</v>
      </c>
      <c r="M98" s="21">
        <v>256779411575</v>
      </c>
      <c r="N98" t="s">
        <v>9</v>
      </c>
      <c r="O98" t="s">
        <v>10</v>
      </c>
      <c r="P98" t="s">
        <v>8</v>
      </c>
      <c r="Q98" t="s">
        <v>65</v>
      </c>
      <c r="R98" t="s">
        <v>26</v>
      </c>
      <c r="S98" s="3">
        <v>22.35</v>
      </c>
      <c r="T98" t="s">
        <v>12</v>
      </c>
      <c r="U98" s="3">
        <v>1942.7</v>
      </c>
      <c r="V98" s="3">
        <f>VLOOKUP(M98,'[1]combined ledger'!$A:$H,8,0)</f>
        <v>1895.3924999999999</v>
      </c>
      <c r="W98" s="3">
        <f t="shared" si="1"/>
        <v>47.307500000000118</v>
      </c>
      <c r="X98" s="3"/>
      <c r="Y98" t="s">
        <v>77</v>
      </c>
      <c r="Z98" t="s">
        <v>8</v>
      </c>
      <c r="AA98" t="s">
        <v>8</v>
      </c>
      <c r="AB98" t="s">
        <v>69</v>
      </c>
      <c r="AC98" t="s">
        <v>14</v>
      </c>
      <c r="AD98" t="s">
        <v>233</v>
      </c>
      <c r="AE98" t="s">
        <v>8</v>
      </c>
      <c r="AF98" t="s">
        <v>8</v>
      </c>
      <c r="AG98" t="s">
        <v>8</v>
      </c>
      <c r="AH98" s="2">
        <v>45762</v>
      </c>
      <c r="AI98" s="2">
        <v>45887</v>
      </c>
      <c r="AJ98" t="s">
        <v>24</v>
      </c>
    </row>
    <row r="99" spans="1:36" outlineLevel="2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45762</v>
      </c>
      <c r="H99" s="15">
        <v>1800006685</v>
      </c>
      <c r="I99" t="s">
        <v>75</v>
      </c>
      <c r="J99" s="2">
        <v>45762</v>
      </c>
      <c r="K99" s="2">
        <v>45763</v>
      </c>
      <c r="L99" t="s">
        <v>69</v>
      </c>
      <c r="M99" s="21">
        <v>256779411576</v>
      </c>
      <c r="N99" t="s">
        <v>9</v>
      </c>
      <c r="O99" t="s">
        <v>10</v>
      </c>
      <c r="P99" t="s">
        <v>8</v>
      </c>
      <c r="Q99" t="s">
        <v>65</v>
      </c>
      <c r="R99" t="s">
        <v>26</v>
      </c>
      <c r="S99" s="3">
        <v>21.52</v>
      </c>
      <c r="T99" t="s">
        <v>12</v>
      </c>
      <c r="U99" s="3">
        <v>1870.56</v>
      </c>
      <c r="V99" s="3">
        <f>VLOOKUP(M99,'[1]combined ledger'!$A:$H,8,0)</f>
        <v>1825.556</v>
      </c>
      <c r="W99" s="3">
        <f t="shared" si="1"/>
        <v>45.003999999999905</v>
      </c>
      <c r="X99" s="3"/>
      <c r="Y99" t="s">
        <v>77</v>
      </c>
      <c r="Z99" t="s">
        <v>8</v>
      </c>
      <c r="AA99" t="s">
        <v>8</v>
      </c>
      <c r="AB99" t="s">
        <v>69</v>
      </c>
      <c r="AC99" t="s">
        <v>14</v>
      </c>
      <c r="AD99" t="s">
        <v>233</v>
      </c>
      <c r="AE99" t="s">
        <v>8</v>
      </c>
      <c r="AF99" t="s">
        <v>8</v>
      </c>
      <c r="AG99" t="s">
        <v>8</v>
      </c>
      <c r="AH99" s="2">
        <v>45762</v>
      </c>
      <c r="AI99" s="2">
        <v>45887</v>
      </c>
      <c r="AJ99" t="s">
        <v>24</v>
      </c>
    </row>
    <row r="100" spans="1:36" outlineLevel="2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s="2">
        <v>45762</v>
      </c>
      <c r="H100" s="15">
        <v>1800006686</v>
      </c>
      <c r="I100" t="s">
        <v>75</v>
      </c>
      <c r="J100" s="2">
        <v>45762</v>
      </c>
      <c r="K100" s="2">
        <v>45763</v>
      </c>
      <c r="L100" t="s">
        <v>69</v>
      </c>
      <c r="M100" s="21">
        <v>256779411577</v>
      </c>
      <c r="N100" t="s">
        <v>9</v>
      </c>
      <c r="O100" t="s">
        <v>10</v>
      </c>
      <c r="P100" t="s">
        <v>8</v>
      </c>
      <c r="Q100" t="s">
        <v>65</v>
      </c>
      <c r="R100" t="s">
        <v>26</v>
      </c>
      <c r="S100" s="3">
        <v>1.54</v>
      </c>
      <c r="T100" t="s">
        <v>12</v>
      </c>
      <c r="U100" s="3">
        <v>133.86000000000001</v>
      </c>
      <c r="V100" s="3">
        <f>VLOOKUP(M100,'[1]combined ledger'!$A:$H,8,0)</f>
        <v>130.28700000000001</v>
      </c>
      <c r="W100" s="3">
        <f t="shared" si="1"/>
        <v>3.5730000000000075</v>
      </c>
      <c r="X100" s="3"/>
      <c r="Y100" t="s">
        <v>77</v>
      </c>
      <c r="Z100" t="s">
        <v>8</v>
      </c>
      <c r="AA100" t="s">
        <v>8</v>
      </c>
      <c r="AB100" t="s">
        <v>69</v>
      </c>
      <c r="AC100" t="s">
        <v>14</v>
      </c>
      <c r="AD100" t="s">
        <v>233</v>
      </c>
      <c r="AE100" t="s">
        <v>8</v>
      </c>
      <c r="AF100" t="s">
        <v>8</v>
      </c>
      <c r="AG100" t="s">
        <v>8</v>
      </c>
      <c r="AH100" s="2">
        <v>45762</v>
      </c>
      <c r="AI100" s="2">
        <v>45887</v>
      </c>
      <c r="AJ100" t="s">
        <v>24</v>
      </c>
    </row>
    <row r="101" spans="1:36" outlineLevel="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45762</v>
      </c>
      <c r="H101" s="15">
        <v>1800006687</v>
      </c>
      <c r="I101" t="s">
        <v>75</v>
      </c>
      <c r="J101" s="2">
        <v>45762</v>
      </c>
      <c r="K101" s="2">
        <v>45763</v>
      </c>
      <c r="L101" t="s">
        <v>69</v>
      </c>
      <c r="M101" s="21">
        <v>256779411578</v>
      </c>
      <c r="N101" t="s">
        <v>9</v>
      </c>
      <c r="O101" t="s">
        <v>10</v>
      </c>
      <c r="P101" t="s">
        <v>8</v>
      </c>
      <c r="Q101" t="s">
        <v>65</v>
      </c>
      <c r="R101" t="s">
        <v>26</v>
      </c>
      <c r="S101" s="3">
        <v>7.19</v>
      </c>
      <c r="T101" t="s">
        <v>12</v>
      </c>
      <c r="U101" s="3">
        <v>624.97</v>
      </c>
      <c r="V101" s="3">
        <f>VLOOKUP(M101,'[1]combined ledger'!$A:$H,8,0)</f>
        <v>610.29449999999997</v>
      </c>
      <c r="W101" s="3">
        <f t="shared" si="1"/>
        <v>14.675500000000056</v>
      </c>
      <c r="X101" s="3"/>
      <c r="Y101" t="s">
        <v>77</v>
      </c>
      <c r="Z101" t="s">
        <v>8</v>
      </c>
      <c r="AA101" t="s">
        <v>8</v>
      </c>
      <c r="AB101" t="s">
        <v>69</v>
      </c>
      <c r="AC101" t="s">
        <v>14</v>
      </c>
      <c r="AD101" t="s">
        <v>233</v>
      </c>
      <c r="AE101" t="s">
        <v>8</v>
      </c>
      <c r="AF101" t="s">
        <v>8</v>
      </c>
      <c r="AG101" t="s">
        <v>8</v>
      </c>
      <c r="AH101" s="2">
        <v>45762</v>
      </c>
      <c r="AI101" s="2">
        <v>45887</v>
      </c>
      <c r="AJ101" t="s">
        <v>24</v>
      </c>
    </row>
    <row r="102" spans="1:36" outlineLevel="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45762</v>
      </c>
      <c r="H102" s="15">
        <v>1800006688</v>
      </c>
      <c r="I102" t="s">
        <v>75</v>
      </c>
      <c r="J102" s="2">
        <v>45762</v>
      </c>
      <c r="K102" s="2">
        <v>45763</v>
      </c>
      <c r="L102" t="s">
        <v>69</v>
      </c>
      <c r="M102" s="21">
        <v>256779411579</v>
      </c>
      <c r="N102" t="s">
        <v>9</v>
      </c>
      <c r="O102" t="s">
        <v>10</v>
      </c>
      <c r="P102" t="s">
        <v>8</v>
      </c>
      <c r="Q102" t="s">
        <v>65</v>
      </c>
      <c r="R102" t="s">
        <v>26</v>
      </c>
      <c r="S102" s="3">
        <v>4.8499999999999996</v>
      </c>
      <c r="T102" t="s">
        <v>12</v>
      </c>
      <c r="U102" s="3">
        <v>421.57</v>
      </c>
      <c r="V102" s="3">
        <f>VLOOKUP(M102,'[1]combined ledger'!$A:$H,8,0)</f>
        <v>411.76749999999998</v>
      </c>
      <c r="W102" s="3">
        <f t="shared" si="1"/>
        <v>9.8025000000000091</v>
      </c>
      <c r="X102" s="3"/>
      <c r="Y102" t="s">
        <v>77</v>
      </c>
      <c r="Z102" t="s">
        <v>8</v>
      </c>
      <c r="AA102" t="s">
        <v>8</v>
      </c>
      <c r="AB102" t="s">
        <v>69</v>
      </c>
      <c r="AC102" t="s">
        <v>14</v>
      </c>
      <c r="AD102" t="s">
        <v>233</v>
      </c>
      <c r="AE102" t="s">
        <v>8</v>
      </c>
      <c r="AF102" t="s">
        <v>8</v>
      </c>
      <c r="AG102" t="s">
        <v>8</v>
      </c>
      <c r="AH102" s="2">
        <v>45762</v>
      </c>
      <c r="AI102" s="2">
        <v>45887</v>
      </c>
      <c r="AJ102" t="s">
        <v>24</v>
      </c>
    </row>
    <row r="103" spans="1:36" outlineLevel="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45762</v>
      </c>
      <c r="H103" s="15">
        <v>1800006689</v>
      </c>
      <c r="I103" t="s">
        <v>75</v>
      </c>
      <c r="J103" s="2">
        <v>45762</v>
      </c>
      <c r="K103" s="2">
        <v>45763</v>
      </c>
      <c r="L103" t="s">
        <v>69</v>
      </c>
      <c r="M103" s="21">
        <v>256779411580</v>
      </c>
      <c r="N103" t="s">
        <v>9</v>
      </c>
      <c r="O103" t="s">
        <v>10</v>
      </c>
      <c r="P103" t="s">
        <v>8</v>
      </c>
      <c r="Q103" t="s">
        <v>65</v>
      </c>
      <c r="R103" t="s">
        <v>26</v>
      </c>
      <c r="S103" s="3">
        <v>21.76</v>
      </c>
      <c r="T103" t="s">
        <v>12</v>
      </c>
      <c r="U103" s="3">
        <v>1891.42</v>
      </c>
      <c r="V103" s="3">
        <f>VLOOKUP(M103,'[1]combined ledger'!$A:$H,8,0)</f>
        <v>1845.328</v>
      </c>
      <c r="W103" s="3">
        <f t="shared" si="1"/>
        <v>46.092000000000098</v>
      </c>
      <c r="X103" s="3"/>
      <c r="Y103" t="s">
        <v>77</v>
      </c>
      <c r="Z103" t="s">
        <v>8</v>
      </c>
      <c r="AA103" t="s">
        <v>8</v>
      </c>
      <c r="AB103" t="s">
        <v>69</v>
      </c>
      <c r="AC103" t="s">
        <v>14</v>
      </c>
      <c r="AD103" t="s">
        <v>233</v>
      </c>
      <c r="AE103" t="s">
        <v>8</v>
      </c>
      <c r="AF103" t="s">
        <v>8</v>
      </c>
      <c r="AG103" t="s">
        <v>8</v>
      </c>
      <c r="AH103" s="2">
        <v>45762</v>
      </c>
      <c r="AI103" s="2">
        <v>45887</v>
      </c>
      <c r="AJ103" t="s">
        <v>24</v>
      </c>
    </row>
    <row r="104" spans="1:36" outlineLevel="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45762</v>
      </c>
      <c r="H104" s="15">
        <v>1800006690</v>
      </c>
      <c r="I104" t="s">
        <v>75</v>
      </c>
      <c r="J104" s="2">
        <v>45762</v>
      </c>
      <c r="K104" s="2">
        <v>45763</v>
      </c>
      <c r="L104" t="s">
        <v>69</v>
      </c>
      <c r="M104" s="21">
        <v>256779411581</v>
      </c>
      <c r="N104" t="s">
        <v>9</v>
      </c>
      <c r="O104" t="s">
        <v>10</v>
      </c>
      <c r="P104" t="s">
        <v>8</v>
      </c>
      <c r="Q104" t="s">
        <v>65</v>
      </c>
      <c r="R104" t="s">
        <v>26</v>
      </c>
      <c r="S104" s="3">
        <v>2.2000000000000002</v>
      </c>
      <c r="T104" t="s">
        <v>12</v>
      </c>
      <c r="U104" s="3">
        <v>191.23</v>
      </c>
      <c r="V104" s="3">
        <f>VLOOKUP(M104,'[1]combined ledger'!$A:$H,8,0)</f>
        <v>186.41</v>
      </c>
      <c r="W104" s="3">
        <f t="shared" si="1"/>
        <v>4.8199999999999932</v>
      </c>
      <c r="X104" s="3"/>
      <c r="Y104" t="s">
        <v>77</v>
      </c>
      <c r="Z104" t="s">
        <v>8</v>
      </c>
      <c r="AA104" t="s">
        <v>8</v>
      </c>
      <c r="AB104" t="s">
        <v>69</v>
      </c>
      <c r="AC104" t="s">
        <v>14</v>
      </c>
      <c r="AD104" t="s">
        <v>233</v>
      </c>
      <c r="AE104" t="s">
        <v>8</v>
      </c>
      <c r="AF104" t="s">
        <v>8</v>
      </c>
      <c r="AG104" t="s">
        <v>8</v>
      </c>
      <c r="AH104" s="2">
        <v>45762</v>
      </c>
      <c r="AI104" s="2">
        <v>45887</v>
      </c>
      <c r="AJ104" t="s">
        <v>24</v>
      </c>
    </row>
    <row r="105" spans="1:36" outlineLevel="2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45762</v>
      </c>
      <c r="H105" s="15">
        <v>1800006691</v>
      </c>
      <c r="I105" t="s">
        <v>75</v>
      </c>
      <c r="J105" s="2">
        <v>45762</v>
      </c>
      <c r="K105" s="2">
        <v>45763</v>
      </c>
      <c r="L105" t="s">
        <v>69</v>
      </c>
      <c r="M105" s="21">
        <v>256779411582</v>
      </c>
      <c r="N105" t="s">
        <v>9</v>
      </c>
      <c r="O105" t="s">
        <v>10</v>
      </c>
      <c r="P105" t="s">
        <v>8</v>
      </c>
      <c r="Q105" t="s">
        <v>65</v>
      </c>
      <c r="R105" t="s">
        <v>26</v>
      </c>
      <c r="S105" s="3">
        <v>1.1100000000000001</v>
      </c>
      <c r="T105" t="s">
        <v>12</v>
      </c>
      <c r="U105" s="3">
        <v>96.48</v>
      </c>
      <c r="V105" s="3">
        <f>VLOOKUP(M105,'[1]combined ledger'!$A:$H,8,0)</f>
        <v>94.070499999999996</v>
      </c>
      <c r="W105" s="3">
        <f t="shared" si="1"/>
        <v>2.4095000000000084</v>
      </c>
      <c r="X105" s="3"/>
      <c r="Y105" t="s">
        <v>77</v>
      </c>
      <c r="Z105" t="s">
        <v>8</v>
      </c>
      <c r="AA105" t="s">
        <v>8</v>
      </c>
      <c r="AB105" t="s">
        <v>69</v>
      </c>
      <c r="AC105" t="s">
        <v>14</v>
      </c>
      <c r="AD105" t="s">
        <v>233</v>
      </c>
      <c r="AE105" t="s">
        <v>8</v>
      </c>
      <c r="AF105" t="s">
        <v>8</v>
      </c>
      <c r="AG105" t="s">
        <v>8</v>
      </c>
      <c r="AH105" s="2">
        <v>45762</v>
      </c>
      <c r="AI105" s="2">
        <v>45887</v>
      </c>
      <c r="AJ105" t="s">
        <v>24</v>
      </c>
    </row>
    <row r="106" spans="1:36" outlineLevel="2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s="2">
        <v>45762</v>
      </c>
      <c r="H106" s="15">
        <v>1800006692</v>
      </c>
      <c r="I106" t="s">
        <v>75</v>
      </c>
      <c r="J106" s="2">
        <v>45762</v>
      </c>
      <c r="K106" s="2">
        <v>45763</v>
      </c>
      <c r="L106" t="s">
        <v>69</v>
      </c>
      <c r="M106" s="21">
        <v>256779411583</v>
      </c>
      <c r="N106" t="s">
        <v>9</v>
      </c>
      <c r="O106" t="s">
        <v>10</v>
      </c>
      <c r="P106" t="s">
        <v>8</v>
      </c>
      <c r="Q106" t="s">
        <v>65</v>
      </c>
      <c r="R106" t="s">
        <v>26</v>
      </c>
      <c r="S106" s="3">
        <v>11</v>
      </c>
      <c r="T106" t="s">
        <v>12</v>
      </c>
      <c r="U106" s="3">
        <v>956.14</v>
      </c>
      <c r="V106" s="3">
        <f>VLOOKUP(M106,'[1]combined ledger'!$A:$H,8,0)</f>
        <v>933.05</v>
      </c>
      <c r="W106" s="3">
        <f t="shared" si="1"/>
        <v>23.090000000000032</v>
      </c>
      <c r="X106" s="3"/>
      <c r="Y106" t="s">
        <v>77</v>
      </c>
      <c r="Z106" t="s">
        <v>8</v>
      </c>
      <c r="AA106" t="s">
        <v>8</v>
      </c>
      <c r="AB106" t="s">
        <v>69</v>
      </c>
      <c r="AC106" t="s">
        <v>14</v>
      </c>
      <c r="AD106" t="s">
        <v>233</v>
      </c>
      <c r="AE106" t="s">
        <v>8</v>
      </c>
      <c r="AF106" t="s">
        <v>8</v>
      </c>
      <c r="AG106" t="s">
        <v>8</v>
      </c>
      <c r="AH106" s="2">
        <v>45762</v>
      </c>
      <c r="AI106" s="2">
        <v>45887</v>
      </c>
      <c r="AJ106" t="s">
        <v>24</v>
      </c>
    </row>
    <row r="107" spans="1:36" outlineLevel="2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s="2">
        <v>45762</v>
      </c>
      <c r="H107" s="15">
        <v>1800006693</v>
      </c>
      <c r="I107" t="s">
        <v>75</v>
      </c>
      <c r="J107" s="2">
        <v>45762</v>
      </c>
      <c r="K107" s="2">
        <v>45763</v>
      </c>
      <c r="L107" t="s">
        <v>69</v>
      </c>
      <c r="M107" s="21">
        <v>256779411584</v>
      </c>
      <c r="N107" t="s">
        <v>9</v>
      </c>
      <c r="O107" t="s">
        <v>10</v>
      </c>
      <c r="P107" t="s">
        <v>8</v>
      </c>
      <c r="Q107" t="s">
        <v>65</v>
      </c>
      <c r="R107" t="s">
        <v>26</v>
      </c>
      <c r="S107" s="3">
        <v>23.21</v>
      </c>
      <c r="T107" t="s">
        <v>12</v>
      </c>
      <c r="U107" s="3">
        <v>2017.46</v>
      </c>
      <c r="V107" s="3">
        <f>VLOOKUP(M107,'[1]combined ledger'!$A:$H,8,0)</f>
        <v>1968.8254999999999</v>
      </c>
      <c r="W107" s="3">
        <f t="shared" si="1"/>
        <v>48.634500000000116</v>
      </c>
      <c r="X107" s="3"/>
      <c r="Y107" t="s">
        <v>77</v>
      </c>
      <c r="Z107" t="s">
        <v>8</v>
      </c>
      <c r="AA107" t="s">
        <v>8</v>
      </c>
      <c r="AB107" t="s">
        <v>69</v>
      </c>
      <c r="AC107" t="s">
        <v>14</v>
      </c>
      <c r="AD107" t="s">
        <v>233</v>
      </c>
      <c r="AE107" t="s">
        <v>8</v>
      </c>
      <c r="AF107" t="s">
        <v>8</v>
      </c>
      <c r="AG107" t="s">
        <v>8</v>
      </c>
      <c r="AH107" s="2">
        <v>45762</v>
      </c>
      <c r="AI107" s="2">
        <v>45887</v>
      </c>
      <c r="AJ107" t="s">
        <v>24</v>
      </c>
    </row>
    <row r="108" spans="1:36" outlineLevel="2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s="2">
        <v>45762</v>
      </c>
      <c r="H108" s="15">
        <v>1800006694</v>
      </c>
      <c r="I108" t="s">
        <v>75</v>
      </c>
      <c r="J108" s="2">
        <v>45762</v>
      </c>
      <c r="K108" s="2">
        <v>45763</v>
      </c>
      <c r="L108" t="s">
        <v>69</v>
      </c>
      <c r="M108" s="21">
        <v>256779411585</v>
      </c>
      <c r="N108" t="s">
        <v>9</v>
      </c>
      <c r="O108" t="s">
        <v>10</v>
      </c>
      <c r="P108" t="s">
        <v>8</v>
      </c>
      <c r="Q108" t="s">
        <v>65</v>
      </c>
      <c r="R108" t="s">
        <v>26</v>
      </c>
      <c r="S108" s="3">
        <v>7.81</v>
      </c>
      <c r="T108" t="s">
        <v>12</v>
      </c>
      <c r="U108" s="3">
        <v>678.86</v>
      </c>
      <c r="V108" s="3">
        <f>VLOOKUP(M108,'[1]combined ledger'!$A:$H,8,0)</f>
        <v>661.95550000000003</v>
      </c>
      <c r="W108" s="3">
        <f t="shared" si="1"/>
        <v>16.904499999999985</v>
      </c>
      <c r="X108" s="3"/>
      <c r="Y108" t="s">
        <v>77</v>
      </c>
      <c r="Z108" t="s">
        <v>8</v>
      </c>
      <c r="AA108" t="s">
        <v>8</v>
      </c>
      <c r="AB108" t="s">
        <v>69</v>
      </c>
      <c r="AC108" t="s">
        <v>14</v>
      </c>
      <c r="AD108" t="s">
        <v>233</v>
      </c>
      <c r="AE108" t="s">
        <v>8</v>
      </c>
      <c r="AF108" t="s">
        <v>8</v>
      </c>
      <c r="AG108" t="s">
        <v>8</v>
      </c>
      <c r="AH108" s="2">
        <v>45762</v>
      </c>
      <c r="AI108" s="2">
        <v>45887</v>
      </c>
      <c r="AJ108" t="s">
        <v>24</v>
      </c>
    </row>
    <row r="109" spans="1:36" outlineLevel="2" x14ac:dyDescent="0.25">
      <c r="A109" t="s">
        <v>27</v>
      </c>
      <c r="B109" t="s">
        <v>1</v>
      </c>
      <c r="C109" t="s">
        <v>2</v>
      </c>
      <c r="D109" t="s">
        <v>3</v>
      </c>
      <c r="E109" t="s">
        <v>4</v>
      </c>
      <c r="F109" t="s">
        <v>28</v>
      </c>
      <c r="G109" s="2">
        <v>45947</v>
      </c>
      <c r="H109" s="15">
        <v>1600002472</v>
      </c>
      <c r="I109" t="s">
        <v>118</v>
      </c>
      <c r="J109" s="2">
        <v>45947</v>
      </c>
      <c r="K109" s="2">
        <v>45953</v>
      </c>
      <c r="L109" t="s">
        <v>69</v>
      </c>
      <c r="M109" s="21">
        <v>256779422014</v>
      </c>
      <c r="N109" t="s">
        <v>9</v>
      </c>
      <c r="O109" t="s">
        <v>10</v>
      </c>
      <c r="P109" t="s">
        <v>8</v>
      </c>
      <c r="Q109" t="s">
        <v>54</v>
      </c>
      <c r="R109" t="s">
        <v>26</v>
      </c>
      <c r="S109" s="3">
        <v>-136.47999999999999</v>
      </c>
      <c r="T109" t="s">
        <v>12</v>
      </c>
      <c r="U109" s="3">
        <v>-12036.28</v>
      </c>
      <c r="V109" s="3" t="e">
        <f>VLOOKUP(M109,'[1]combined ledger'!$A:$H,8,0)</f>
        <v>#N/A</v>
      </c>
      <c r="W109" s="3" t="e">
        <f t="shared" si="1"/>
        <v>#N/A</v>
      </c>
      <c r="X109" s="3"/>
      <c r="Y109" t="s">
        <v>77</v>
      </c>
      <c r="Z109" t="s">
        <v>13</v>
      </c>
      <c r="AA109" t="s">
        <v>8</v>
      </c>
      <c r="AB109" t="s">
        <v>276</v>
      </c>
      <c r="AC109" t="s">
        <v>14</v>
      </c>
      <c r="AD109" t="s">
        <v>277</v>
      </c>
      <c r="AE109" t="s">
        <v>8</v>
      </c>
      <c r="AF109" t="s">
        <v>8</v>
      </c>
      <c r="AG109" t="s">
        <v>8</v>
      </c>
      <c r="AH109" s="2">
        <v>45947</v>
      </c>
      <c r="AI109" s="2"/>
      <c r="AJ109" t="s">
        <v>8</v>
      </c>
    </row>
    <row r="110" spans="1:36" outlineLevel="2" x14ac:dyDescent="0.25">
      <c r="A110" t="s">
        <v>27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s="2">
        <v>45763</v>
      </c>
      <c r="H110" s="15">
        <v>1800006996</v>
      </c>
      <c r="I110" t="s">
        <v>75</v>
      </c>
      <c r="J110" s="2">
        <v>45763</v>
      </c>
      <c r="K110" s="2">
        <v>45764</v>
      </c>
      <c r="L110" t="s">
        <v>69</v>
      </c>
      <c r="M110" s="21">
        <v>256779411887</v>
      </c>
      <c r="N110" t="s">
        <v>9</v>
      </c>
      <c r="O110" t="s">
        <v>10</v>
      </c>
      <c r="P110" t="s">
        <v>8</v>
      </c>
      <c r="Q110" t="s">
        <v>65</v>
      </c>
      <c r="R110" t="s">
        <v>26</v>
      </c>
      <c r="S110" s="3">
        <v>71.22</v>
      </c>
      <c r="T110" t="s">
        <v>12</v>
      </c>
      <c r="U110" s="3">
        <v>6190.57</v>
      </c>
      <c r="V110" s="3">
        <f>VLOOKUP(M110,'[1]combined ledger'!$A:$H,8,0)</f>
        <v>5965.8855999999996</v>
      </c>
      <c r="W110" s="3">
        <f t="shared" si="1"/>
        <v>224.6844000000001</v>
      </c>
      <c r="X110" s="3"/>
      <c r="Y110" t="s">
        <v>77</v>
      </c>
      <c r="Z110" t="s">
        <v>13</v>
      </c>
      <c r="AA110" t="s">
        <v>8</v>
      </c>
      <c r="AB110" t="s">
        <v>69</v>
      </c>
      <c r="AC110" t="s">
        <v>14</v>
      </c>
      <c r="AD110" t="s">
        <v>280</v>
      </c>
      <c r="AE110" t="s">
        <v>8</v>
      </c>
      <c r="AF110" t="s">
        <v>8</v>
      </c>
      <c r="AG110" t="s">
        <v>8</v>
      </c>
      <c r="AH110" s="2">
        <v>45763</v>
      </c>
      <c r="AI110" s="2"/>
      <c r="AJ110" t="s">
        <v>8</v>
      </c>
    </row>
    <row r="111" spans="1:36" outlineLevel="2" x14ac:dyDescent="0.25">
      <c r="A111" t="s">
        <v>27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s="2">
        <v>45763</v>
      </c>
      <c r="H111" s="15">
        <v>1800007093</v>
      </c>
      <c r="I111" t="s">
        <v>75</v>
      </c>
      <c r="J111" s="2">
        <v>45763</v>
      </c>
      <c r="K111" s="2">
        <v>45764</v>
      </c>
      <c r="L111" t="s">
        <v>69</v>
      </c>
      <c r="M111" s="21">
        <v>256779411984</v>
      </c>
      <c r="N111" t="s">
        <v>9</v>
      </c>
      <c r="O111" t="s">
        <v>10</v>
      </c>
      <c r="P111" t="s">
        <v>8</v>
      </c>
      <c r="Q111" t="s">
        <v>65</v>
      </c>
      <c r="R111" t="s">
        <v>26</v>
      </c>
      <c r="S111" s="3">
        <v>39.54</v>
      </c>
      <c r="T111" t="s">
        <v>12</v>
      </c>
      <c r="U111" s="3">
        <v>3436.89</v>
      </c>
      <c r="V111" s="3">
        <f>VLOOKUP(M111,'[1]combined ledger'!$A:$H,8,0)</f>
        <v>3324.1365999999998</v>
      </c>
      <c r="W111" s="3">
        <f t="shared" si="1"/>
        <v>112.75340000000006</v>
      </c>
      <c r="X111" s="3"/>
      <c r="Y111" t="s">
        <v>77</v>
      </c>
      <c r="Z111" t="s">
        <v>13</v>
      </c>
      <c r="AA111" t="s">
        <v>8</v>
      </c>
      <c r="AB111" t="s">
        <v>69</v>
      </c>
      <c r="AC111" t="s">
        <v>14</v>
      </c>
      <c r="AD111" t="s">
        <v>283</v>
      </c>
      <c r="AE111" t="s">
        <v>8</v>
      </c>
      <c r="AF111" t="s">
        <v>8</v>
      </c>
      <c r="AG111" t="s">
        <v>8</v>
      </c>
      <c r="AH111" s="2">
        <v>45763</v>
      </c>
      <c r="AI111" s="2"/>
      <c r="AJ111" t="s">
        <v>8</v>
      </c>
    </row>
    <row r="112" spans="1:36" outlineLevel="2" x14ac:dyDescent="0.25">
      <c r="A112" t="s">
        <v>27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45763</v>
      </c>
      <c r="H112" s="15">
        <v>1800007129</v>
      </c>
      <c r="I112" t="s">
        <v>75</v>
      </c>
      <c r="J112" s="2">
        <v>45763</v>
      </c>
      <c r="K112" s="2">
        <v>45764</v>
      </c>
      <c r="L112" t="s">
        <v>69</v>
      </c>
      <c r="M112" s="21">
        <v>256779412020</v>
      </c>
      <c r="N112" t="s">
        <v>9</v>
      </c>
      <c r="O112" t="s">
        <v>10</v>
      </c>
      <c r="P112" t="s">
        <v>8</v>
      </c>
      <c r="Q112" t="s">
        <v>65</v>
      </c>
      <c r="R112" t="s">
        <v>26</v>
      </c>
      <c r="S112" s="3">
        <v>85.21</v>
      </c>
      <c r="T112" t="s">
        <v>12</v>
      </c>
      <c r="U112" s="3">
        <v>7406.61</v>
      </c>
      <c r="V112" s="3">
        <f>VLOOKUP(M112,'[1]combined ledger'!$A:$H,8,0)</f>
        <v>7137.7507999999998</v>
      </c>
      <c r="W112" s="3">
        <f t="shared" si="1"/>
        <v>268.85919999999987</v>
      </c>
      <c r="X112" s="3"/>
      <c r="Y112" t="s">
        <v>77</v>
      </c>
      <c r="Z112" t="s">
        <v>13</v>
      </c>
      <c r="AA112" t="s">
        <v>8</v>
      </c>
      <c r="AB112" t="s">
        <v>69</v>
      </c>
      <c r="AC112" t="s">
        <v>14</v>
      </c>
      <c r="AD112" t="s">
        <v>286</v>
      </c>
      <c r="AE112" t="s">
        <v>8</v>
      </c>
      <c r="AF112" t="s">
        <v>8</v>
      </c>
      <c r="AG112" t="s">
        <v>8</v>
      </c>
      <c r="AH112" s="2">
        <v>45763</v>
      </c>
      <c r="AI112" s="2"/>
      <c r="AJ112" t="s">
        <v>8</v>
      </c>
    </row>
    <row r="113" spans="1:36" outlineLevel="2" x14ac:dyDescent="0.25">
      <c r="A113" t="s">
        <v>27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s="2">
        <v>45763</v>
      </c>
      <c r="H113" s="15">
        <v>1800007210</v>
      </c>
      <c r="I113" t="s">
        <v>75</v>
      </c>
      <c r="J113" s="2">
        <v>45763</v>
      </c>
      <c r="K113" s="2">
        <v>45764</v>
      </c>
      <c r="L113" t="s">
        <v>69</v>
      </c>
      <c r="M113" s="21">
        <v>256779412101</v>
      </c>
      <c r="N113" t="s">
        <v>9</v>
      </c>
      <c r="O113" t="s">
        <v>10</v>
      </c>
      <c r="P113" t="s">
        <v>8</v>
      </c>
      <c r="Q113" t="s">
        <v>65</v>
      </c>
      <c r="R113" t="s">
        <v>26</v>
      </c>
      <c r="S113" s="3">
        <v>171.71</v>
      </c>
      <c r="T113" t="s">
        <v>12</v>
      </c>
      <c r="U113" s="3">
        <v>14925.35</v>
      </c>
      <c r="V113" s="3">
        <f>VLOOKUP(M113,'[1]combined ledger'!$A:$H,8,0)</f>
        <v>14655.223900000001</v>
      </c>
      <c r="W113" s="3">
        <f t="shared" si="1"/>
        <v>270.1260999999995</v>
      </c>
      <c r="X113" s="3"/>
      <c r="Y113" t="s">
        <v>77</v>
      </c>
      <c r="Z113" t="s">
        <v>13</v>
      </c>
      <c r="AA113" t="s">
        <v>8</v>
      </c>
      <c r="AB113" t="s">
        <v>69</v>
      </c>
      <c r="AC113" t="s">
        <v>14</v>
      </c>
      <c r="AD113" t="s">
        <v>289</v>
      </c>
      <c r="AE113" t="s">
        <v>8</v>
      </c>
      <c r="AF113" t="s">
        <v>8</v>
      </c>
      <c r="AG113" t="s">
        <v>8</v>
      </c>
      <c r="AH113" s="2">
        <v>45763</v>
      </c>
      <c r="AI113" s="2"/>
      <c r="AJ113" t="s">
        <v>8</v>
      </c>
    </row>
    <row r="114" spans="1:36" outlineLevel="2" x14ac:dyDescent="0.25">
      <c r="A114" t="s">
        <v>27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s="2">
        <v>45763</v>
      </c>
      <c r="H114" s="15">
        <v>1800007235</v>
      </c>
      <c r="I114" t="s">
        <v>75</v>
      </c>
      <c r="J114" s="2">
        <v>45763</v>
      </c>
      <c r="K114" s="2">
        <v>45764</v>
      </c>
      <c r="L114" t="s">
        <v>69</v>
      </c>
      <c r="M114" s="21">
        <v>256779412126</v>
      </c>
      <c r="N114" t="s">
        <v>9</v>
      </c>
      <c r="O114" t="s">
        <v>10</v>
      </c>
      <c r="P114" t="s">
        <v>8</v>
      </c>
      <c r="Q114" t="s">
        <v>65</v>
      </c>
      <c r="R114" t="s">
        <v>26</v>
      </c>
      <c r="S114" s="3">
        <v>500.58</v>
      </c>
      <c r="T114" t="s">
        <v>12</v>
      </c>
      <c r="U114" s="3">
        <v>43511.32</v>
      </c>
      <c r="V114" s="3">
        <f>VLOOKUP(M114,'[1]combined ledger'!$A:$H,8,0)</f>
        <v>38650.758199999997</v>
      </c>
      <c r="W114" s="3">
        <f t="shared" si="1"/>
        <v>4860.5618000000031</v>
      </c>
      <c r="X114" s="3"/>
      <c r="Y114" t="s">
        <v>77</v>
      </c>
      <c r="Z114" t="s">
        <v>13</v>
      </c>
      <c r="AA114" t="s">
        <v>8</v>
      </c>
      <c r="AB114" t="s">
        <v>69</v>
      </c>
      <c r="AC114" t="s">
        <v>14</v>
      </c>
      <c r="AD114" t="s">
        <v>292</v>
      </c>
      <c r="AE114" t="s">
        <v>8</v>
      </c>
      <c r="AF114" t="s">
        <v>8</v>
      </c>
      <c r="AG114" t="s">
        <v>8</v>
      </c>
      <c r="AH114" s="2">
        <v>45763</v>
      </c>
      <c r="AI114" s="2"/>
      <c r="AJ114" t="s">
        <v>8</v>
      </c>
    </row>
    <row r="115" spans="1:36" outlineLevel="2" x14ac:dyDescent="0.25">
      <c r="A115" t="s">
        <v>27</v>
      </c>
      <c r="B115" t="s">
        <v>1</v>
      </c>
      <c r="C115" t="s">
        <v>2</v>
      </c>
      <c r="D115" t="s">
        <v>3</v>
      </c>
      <c r="E115" t="s">
        <v>4</v>
      </c>
      <c r="F115" t="s">
        <v>36</v>
      </c>
      <c r="G115" s="2">
        <v>45863</v>
      </c>
      <c r="H115" s="15">
        <v>1800011264</v>
      </c>
      <c r="I115" t="s">
        <v>75</v>
      </c>
      <c r="J115" s="2">
        <v>45863</v>
      </c>
      <c r="K115" s="2">
        <v>45863</v>
      </c>
      <c r="L115" t="s">
        <v>69</v>
      </c>
      <c r="M115" s="21">
        <v>256779415996</v>
      </c>
      <c r="N115" t="s">
        <v>9</v>
      </c>
      <c r="O115" t="s">
        <v>10</v>
      </c>
      <c r="P115" t="s">
        <v>8</v>
      </c>
      <c r="Q115" t="s">
        <v>65</v>
      </c>
      <c r="R115" t="s">
        <v>26</v>
      </c>
      <c r="S115" s="3">
        <v>755.58</v>
      </c>
      <c r="T115" t="s">
        <v>12</v>
      </c>
      <c r="U115" s="3">
        <v>64980.39</v>
      </c>
      <c r="V115" s="3">
        <f>VLOOKUP(M115,'[1]combined ledger'!$A:$H,8,0)</f>
        <v>63294.9784</v>
      </c>
      <c r="W115" s="3">
        <f t="shared" si="1"/>
        <v>1685.4115999999995</v>
      </c>
      <c r="X115" s="3"/>
      <c r="Y115" t="s">
        <v>77</v>
      </c>
      <c r="Z115" t="s">
        <v>13</v>
      </c>
      <c r="AA115" t="s">
        <v>8</v>
      </c>
      <c r="AB115" t="s">
        <v>69</v>
      </c>
      <c r="AC115" t="s">
        <v>14</v>
      </c>
      <c r="AD115" t="s">
        <v>295</v>
      </c>
      <c r="AE115" t="s">
        <v>8</v>
      </c>
      <c r="AF115" t="s">
        <v>8</v>
      </c>
      <c r="AG115" t="s">
        <v>8</v>
      </c>
      <c r="AH115" s="2">
        <v>45863</v>
      </c>
      <c r="AI115" s="2"/>
      <c r="AJ115" t="s">
        <v>8</v>
      </c>
    </row>
    <row r="116" spans="1:36" outlineLevel="2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49</v>
      </c>
      <c r="G116" s="2">
        <v>45730</v>
      </c>
      <c r="H116" s="15">
        <v>1800001581</v>
      </c>
      <c r="I116" t="s">
        <v>75</v>
      </c>
      <c r="J116" s="2">
        <v>45730</v>
      </c>
      <c r="K116" s="2">
        <v>45735</v>
      </c>
      <c r="L116" t="s">
        <v>69</v>
      </c>
      <c r="M116" s="21">
        <v>246779412238</v>
      </c>
      <c r="N116" t="s">
        <v>9</v>
      </c>
      <c r="O116" t="s">
        <v>10</v>
      </c>
      <c r="P116" t="s">
        <v>8</v>
      </c>
      <c r="Q116" t="s">
        <v>65</v>
      </c>
      <c r="R116" t="s">
        <v>26</v>
      </c>
      <c r="S116" s="3">
        <v>945.75</v>
      </c>
      <c r="T116" t="s">
        <v>12</v>
      </c>
      <c r="U116" s="3">
        <v>81988.259999999995</v>
      </c>
      <c r="V116" s="3">
        <f>VLOOKUP(M116,'[1]combined ledger'!$A:$H,8,0)</f>
        <v>79318.285000000003</v>
      </c>
      <c r="W116" s="3">
        <f t="shared" si="1"/>
        <v>2669.9749999999913</v>
      </c>
      <c r="X116" s="3"/>
      <c r="Y116" t="s">
        <v>77</v>
      </c>
      <c r="Z116" t="s">
        <v>13</v>
      </c>
      <c r="AA116" t="s">
        <v>8</v>
      </c>
      <c r="AB116" t="s">
        <v>69</v>
      </c>
      <c r="AC116" t="s">
        <v>14</v>
      </c>
      <c r="AD116" t="s">
        <v>298</v>
      </c>
      <c r="AE116" t="s">
        <v>8</v>
      </c>
      <c r="AF116" t="s">
        <v>8</v>
      </c>
      <c r="AG116" t="s">
        <v>8</v>
      </c>
      <c r="AH116" s="2">
        <v>45730</v>
      </c>
      <c r="AI116" s="2">
        <v>45842</v>
      </c>
      <c r="AJ116" t="s">
        <v>68</v>
      </c>
    </row>
    <row r="117" spans="1:36" outlineLevel="2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49</v>
      </c>
      <c r="G117" s="2">
        <v>45730</v>
      </c>
      <c r="H117" s="15">
        <v>1800001784</v>
      </c>
      <c r="I117" t="s">
        <v>75</v>
      </c>
      <c r="J117" s="2">
        <v>45730</v>
      </c>
      <c r="K117" s="2">
        <v>45733</v>
      </c>
      <c r="L117" t="s">
        <v>69</v>
      </c>
      <c r="M117" s="21">
        <v>246779411449</v>
      </c>
      <c r="N117" t="s">
        <v>9</v>
      </c>
      <c r="O117" t="s">
        <v>10</v>
      </c>
      <c r="P117" t="s">
        <v>8</v>
      </c>
      <c r="Q117" t="s">
        <v>65</v>
      </c>
      <c r="R117" t="s">
        <v>26</v>
      </c>
      <c r="S117" s="3">
        <v>945.75</v>
      </c>
      <c r="T117" t="s">
        <v>12</v>
      </c>
      <c r="U117" s="3">
        <v>81988.259999999995</v>
      </c>
      <c r="V117" s="3">
        <f>VLOOKUP(M117,'[1]combined ledger'!$A:$H,8,0)</f>
        <v>79318.285000000003</v>
      </c>
      <c r="W117" s="3">
        <f t="shared" si="1"/>
        <v>2669.9749999999913</v>
      </c>
      <c r="X117" s="3"/>
      <c r="Y117" t="s">
        <v>77</v>
      </c>
      <c r="Z117" t="s">
        <v>13</v>
      </c>
      <c r="AA117" t="s">
        <v>8</v>
      </c>
      <c r="AB117" t="s">
        <v>69</v>
      </c>
      <c r="AC117" t="s">
        <v>14</v>
      </c>
      <c r="AD117" t="s">
        <v>298</v>
      </c>
      <c r="AE117" t="s">
        <v>8</v>
      </c>
      <c r="AF117" t="s">
        <v>8</v>
      </c>
      <c r="AG117" t="s">
        <v>8</v>
      </c>
      <c r="AH117" s="2">
        <v>45730</v>
      </c>
      <c r="AI117" s="2">
        <v>45887</v>
      </c>
      <c r="AJ117" t="s">
        <v>24</v>
      </c>
    </row>
    <row r="118" spans="1:36" outlineLevel="2" x14ac:dyDescent="0.25">
      <c r="A118" t="s">
        <v>27</v>
      </c>
      <c r="B118" t="s">
        <v>1</v>
      </c>
      <c r="C118" t="s">
        <v>2</v>
      </c>
      <c r="D118" t="s">
        <v>3</v>
      </c>
      <c r="E118" t="s">
        <v>4</v>
      </c>
      <c r="F118" t="s">
        <v>23</v>
      </c>
      <c r="G118" s="2">
        <v>45883</v>
      </c>
      <c r="H118" s="15">
        <v>1600002155</v>
      </c>
      <c r="I118" t="s">
        <v>118</v>
      </c>
      <c r="J118" s="2">
        <v>45883</v>
      </c>
      <c r="K118" s="2">
        <v>45891</v>
      </c>
      <c r="L118" t="s">
        <v>69</v>
      </c>
      <c r="M118" s="21">
        <v>256779421715</v>
      </c>
      <c r="N118" t="s">
        <v>9</v>
      </c>
      <c r="O118" t="s">
        <v>10</v>
      </c>
      <c r="P118" t="s">
        <v>8</v>
      </c>
      <c r="Q118" t="s">
        <v>54</v>
      </c>
      <c r="R118" t="s">
        <v>26</v>
      </c>
      <c r="S118" s="3">
        <v>-2324.77</v>
      </c>
      <c r="T118" t="s">
        <v>12</v>
      </c>
      <c r="U118" s="3">
        <v>-200000.24</v>
      </c>
      <c r="V118" s="3">
        <f>VLOOKUP(M118,'[1]combined ledger'!$A:$H,8,0)</f>
        <v>0</v>
      </c>
      <c r="W118" s="3">
        <f t="shared" si="1"/>
        <v>-200000.24</v>
      </c>
      <c r="X118" s="3"/>
      <c r="Y118" t="s">
        <v>77</v>
      </c>
      <c r="Z118" t="s">
        <v>13</v>
      </c>
      <c r="AA118" t="s">
        <v>8</v>
      </c>
      <c r="AB118" t="s">
        <v>69</v>
      </c>
      <c r="AC118" t="s">
        <v>14</v>
      </c>
      <c r="AD118" t="s">
        <v>120</v>
      </c>
      <c r="AE118" t="s">
        <v>8</v>
      </c>
      <c r="AF118" t="s">
        <v>8</v>
      </c>
      <c r="AG118" t="s">
        <v>8</v>
      </c>
      <c r="AH118" s="2">
        <v>45883</v>
      </c>
      <c r="AI118" s="2"/>
      <c r="AJ118" t="s">
        <v>8</v>
      </c>
    </row>
    <row r="119" spans="1:36" outlineLevel="2" x14ac:dyDescent="0.25">
      <c r="A119" t="s">
        <v>27</v>
      </c>
      <c r="B119" t="s">
        <v>1</v>
      </c>
      <c r="C119" t="s">
        <v>2</v>
      </c>
      <c r="D119" t="s">
        <v>3</v>
      </c>
      <c r="E119" t="s">
        <v>4</v>
      </c>
      <c r="F119" t="s">
        <v>18</v>
      </c>
      <c r="G119" s="2">
        <v>45904</v>
      </c>
      <c r="H119" s="15">
        <v>1800012461</v>
      </c>
      <c r="I119" t="s">
        <v>75</v>
      </c>
      <c r="J119" s="2">
        <v>45904</v>
      </c>
      <c r="K119" s="2">
        <v>45909</v>
      </c>
      <c r="L119" t="s">
        <v>69</v>
      </c>
      <c r="M119" s="21">
        <v>256779417161</v>
      </c>
      <c r="N119" t="s">
        <v>9</v>
      </c>
      <c r="O119" t="s">
        <v>10</v>
      </c>
      <c r="P119" t="s">
        <v>8</v>
      </c>
      <c r="Q119" t="s">
        <v>65</v>
      </c>
      <c r="R119" t="s">
        <v>26</v>
      </c>
      <c r="S119" s="3">
        <v>787.95</v>
      </c>
      <c r="T119" t="s">
        <v>12</v>
      </c>
      <c r="U119" s="3">
        <v>68956.92</v>
      </c>
      <c r="V119" s="3">
        <f>VLOOKUP(M119,'[1]combined ledger'!$A:$H,8,0)</f>
        <v>67577.916299999997</v>
      </c>
      <c r="W119" s="3">
        <f t="shared" si="1"/>
        <v>1379.0037000000011</v>
      </c>
      <c r="X119" s="3"/>
      <c r="Y119" t="s">
        <v>77</v>
      </c>
      <c r="Z119" t="s">
        <v>13</v>
      </c>
      <c r="AA119" t="s">
        <v>8</v>
      </c>
      <c r="AB119" t="s">
        <v>69</v>
      </c>
      <c r="AC119" t="s">
        <v>14</v>
      </c>
      <c r="AD119" t="s">
        <v>305</v>
      </c>
      <c r="AE119" t="s">
        <v>8</v>
      </c>
      <c r="AF119" t="s">
        <v>8</v>
      </c>
      <c r="AG119" t="s">
        <v>8</v>
      </c>
      <c r="AH119" s="2">
        <v>45904</v>
      </c>
      <c r="AI119" s="2"/>
      <c r="AJ119" t="s">
        <v>8</v>
      </c>
    </row>
    <row r="120" spans="1:36" outlineLevel="2" x14ac:dyDescent="0.25">
      <c r="A120" t="s">
        <v>27</v>
      </c>
      <c r="B120" t="s">
        <v>1</v>
      </c>
      <c r="C120" t="s">
        <v>2</v>
      </c>
      <c r="D120" t="s">
        <v>3</v>
      </c>
      <c r="E120" t="s">
        <v>4</v>
      </c>
      <c r="F120" t="s">
        <v>18</v>
      </c>
      <c r="G120" s="2">
        <v>45904</v>
      </c>
      <c r="H120" s="15">
        <v>1800012559</v>
      </c>
      <c r="I120" t="s">
        <v>75</v>
      </c>
      <c r="J120" s="2">
        <v>45904</v>
      </c>
      <c r="K120" s="2">
        <v>45909</v>
      </c>
      <c r="L120" t="s">
        <v>69</v>
      </c>
      <c r="M120" s="21">
        <v>256779417178</v>
      </c>
      <c r="N120" t="s">
        <v>9</v>
      </c>
      <c r="O120" t="s">
        <v>10</v>
      </c>
      <c r="P120" t="s">
        <v>8</v>
      </c>
      <c r="Q120" t="s">
        <v>65</v>
      </c>
      <c r="R120" t="s">
        <v>26</v>
      </c>
      <c r="S120" s="3">
        <v>1560</v>
      </c>
      <c r="T120" t="s">
        <v>12</v>
      </c>
      <c r="U120" s="3">
        <v>136522.35</v>
      </c>
      <c r="V120" s="3">
        <f>VLOOKUP(M120,'[1]combined ledger'!$A:$H,8,0)</f>
        <v>133792.3548</v>
      </c>
      <c r="W120" s="3">
        <f t="shared" si="1"/>
        <v>2729.9952000000048</v>
      </c>
      <c r="X120" s="3"/>
      <c r="Y120" t="s">
        <v>77</v>
      </c>
      <c r="Z120" t="s">
        <v>13</v>
      </c>
      <c r="AA120" t="s">
        <v>8</v>
      </c>
      <c r="AB120" t="s">
        <v>69</v>
      </c>
      <c r="AC120" t="s">
        <v>14</v>
      </c>
      <c r="AD120" t="s">
        <v>308</v>
      </c>
      <c r="AE120" t="s">
        <v>8</v>
      </c>
      <c r="AF120" t="s">
        <v>8</v>
      </c>
      <c r="AG120" t="s">
        <v>8</v>
      </c>
      <c r="AH120" s="2">
        <v>45904</v>
      </c>
      <c r="AI120" s="2"/>
      <c r="AJ120" t="s">
        <v>8</v>
      </c>
    </row>
    <row r="121" spans="1:36" outlineLevel="2" x14ac:dyDescent="0.25">
      <c r="A121" t="s">
        <v>27</v>
      </c>
      <c r="B121" t="s">
        <v>1</v>
      </c>
      <c r="C121" t="s">
        <v>2</v>
      </c>
      <c r="D121" t="s">
        <v>3</v>
      </c>
      <c r="E121" t="s">
        <v>4</v>
      </c>
      <c r="F121" t="s">
        <v>18</v>
      </c>
      <c r="G121" s="2">
        <v>45904</v>
      </c>
      <c r="H121" s="15">
        <v>1800012560</v>
      </c>
      <c r="I121" t="s">
        <v>75</v>
      </c>
      <c r="J121" s="2">
        <v>45904</v>
      </c>
      <c r="K121" s="2">
        <v>45909</v>
      </c>
      <c r="L121" t="s">
        <v>69</v>
      </c>
      <c r="M121" s="21">
        <v>256779417179</v>
      </c>
      <c r="N121" t="s">
        <v>9</v>
      </c>
      <c r="O121" t="s">
        <v>10</v>
      </c>
      <c r="P121" t="s">
        <v>8</v>
      </c>
      <c r="Q121" t="s">
        <v>65</v>
      </c>
      <c r="R121" t="s">
        <v>26</v>
      </c>
      <c r="S121" s="3">
        <v>1560</v>
      </c>
      <c r="T121" t="s">
        <v>12</v>
      </c>
      <c r="U121" s="3">
        <v>136522.35</v>
      </c>
      <c r="V121" s="3">
        <f>VLOOKUP(M121,'[1]combined ledger'!$A:$H,8,0)</f>
        <v>133792.3548</v>
      </c>
      <c r="W121" s="3">
        <f t="shared" si="1"/>
        <v>2729.9952000000048</v>
      </c>
      <c r="X121" s="3"/>
      <c r="Y121" t="s">
        <v>77</v>
      </c>
      <c r="Z121" t="s">
        <v>13</v>
      </c>
      <c r="AA121" t="s">
        <v>8</v>
      </c>
      <c r="AB121" t="s">
        <v>69</v>
      </c>
      <c r="AC121" t="s">
        <v>14</v>
      </c>
      <c r="AD121" t="s">
        <v>311</v>
      </c>
      <c r="AE121" t="s">
        <v>8</v>
      </c>
      <c r="AF121" t="s">
        <v>8</v>
      </c>
      <c r="AG121" t="s">
        <v>8</v>
      </c>
      <c r="AH121" s="2">
        <v>45904</v>
      </c>
      <c r="AI121" s="2"/>
      <c r="AJ121" t="s">
        <v>8</v>
      </c>
    </row>
    <row r="122" spans="1:36" outlineLevel="2" x14ac:dyDescent="0.25">
      <c r="A122" t="s">
        <v>27</v>
      </c>
      <c r="B122" t="s">
        <v>1</v>
      </c>
      <c r="C122" t="s">
        <v>2</v>
      </c>
      <c r="D122" t="s">
        <v>3</v>
      </c>
      <c r="E122" t="s">
        <v>4</v>
      </c>
      <c r="F122" t="s">
        <v>18</v>
      </c>
      <c r="G122" s="2">
        <v>45904</v>
      </c>
      <c r="H122" s="15">
        <v>1800012561</v>
      </c>
      <c r="I122" t="s">
        <v>75</v>
      </c>
      <c r="J122" s="2">
        <v>45904</v>
      </c>
      <c r="K122" s="2">
        <v>45909</v>
      </c>
      <c r="L122" t="s">
        <v>69</v>
      </c>
      <c r="M122" s="21">
        <v>256779417180</v>
      </c>
      <c r="N122" t="s">
        <v>9</v>
      </c>
      <c r="O122" t="s">
        <v>10</v>
      </c>
      <c r="P122" t="s">
        <v>8</v>
      </c>
      <c r="Q122" t="s">
        <v>65</v>
      </c>
      <c r="R122" t="s">
        <v>26</v>
      </c>
      <c r="S122" s="3">
        <v>1799.1</v>
      </c>
      <c r="T122" t="s">
        <v>12</v>
      </c>
      <c r="U122" s="3">
        <v>157447.03</v>
      </c>
      <c r="V122" s="3">
        <f>VLOOKUP(M122,'[1]combined ledger'!$A:$H,8,0)</f>
        <v>138252.1</v>
      </c>
      <c r="W122" s="3">
        <f t="shared" si="1"/>
        <v>19194.929999999993</v>
      </c>
      <c r="X122" s="3"/>
      <c r="Y122" t="s">
        <v>77</v>
      </c>
      <c r="Z122" t="s">
        <v>13</v>
      </c>
      <c r="AA122" t="s">
        <v>8</v>
      </c>
      <c r="AB122" t="s">
        <v>69</v>
      </c>
      <c r="AC122" t="s">
        <v>14</v>
      </c>
      <c r="AD122" t="s">
        <v>314</v>
      </c>
      <c r="AE122" t="s">
        <v>8</v>
      </c>
      <c r="AF122" t="s">
        <v>8</v>
      </c>
      <c r="AG122" t="s">
        <v>8</v>
      </c>
      <c r="AH122" s="2">
        <v>45904</v>
      </c>
      <c r="AI122" s="2"/>
      <c r="AJ122" t="s">
        <v>8</v>
      </c>
    </row>
    <row r="123" spans="1:36" outlineLevel="2" x14ac:dyDescent="0.25">
      <c r="A123" t="s">
        <v>27</v>
      </c>
      <c r="B123" t="s">
        <v>1</v>
      </c>
      <c r="C123" t="s">
        <v>2</v>
      </c>
      <c r="D123" t="s">
        <v>3</v>
      </c>
      <c r="E123" t="s">
        <v>4</v>
      </c>
      <c r="F123" t="s">
        <v>18</v>
      </c>
      <c r="G123" s="2">
        <v>45904</v>
      </c>
      <c r="H123" s="15">
        <v>1800012562</v>
      </c>
      <c r="I123" t="s">
        <v>75</v>
      </c>
      <c r="J123" s="2">
        <v>45904</v>
      </c>
      <c r="K123" s="2">
        <v>45909</v>
      </c>
      <c r="L123" t="s">
        <v>69</v>
      </c>
      <c r="M123" s="21">
        <v>256779417181</v>
      </c>
      <c r="N123" t="s">
        <v>9</v>
      </c>
      <c r="O123" t="s">
        <v>10</v>
      </c>
      <c r="P123" t="s">
        <v>8</v>
      </c>
      <c r="Q123" t="s">
        <v>65</v>
      </c>
      <c r="R123" t="s">
        <v>26</v>
      </c>
      <c r="S123" s="3">
        <v>1812</v>
      </c>
      <c r="T123" t="s">
        <v>12</v>
      </c>
      <c r="U123" s="3">
        <v>158575.97</v>
      </c>
      <c r="V123" s="3">
        <f>VLOOKUP(M123,'[1]combined ledger'!$A:$H,8,0)</f>
        <v>15752.866</v>
      </c>
      <c r="W123" s="3">
        <f t="shared" si="1"/>
        <v>142823.10399999999</v>
      </c>
      <c r="X123" s="3"/>
      <c r="Y123" t="s">
        <v>77</v>
      </c>
      <c r="Z123" t="s">
        <v>13</v>
      </c>
      <c r="AA123" t="s">
        <v>8</v>
      </c>
      <c r="AB123" t="s">
        <v>69</v>
      </c>
      <c r="AC123" t="s">
        <v>14</v>
      </c>
      <c r="AD123" t="s">
        <v>317</v>
      </c>
      <c r="AE123" t="s">
        <v>8</v>
      </c>
      <c r="AF123" t="s">
        <v>8</v>
      </c>
      <c r="AG123" t="s">
        <v>8</v>
      </c>
      <c r="AH123" s="2">
        <v>45904</v>
      </c>
      <c r="AI123" s="2"/>
      <c r="AJ123" t="s">
        <v>8</v>
      </c>
    </row>
    <row r="124" spans="1:36" outlineLevel="2" x14ac:dyDescent="0.25">
      <c r="A124" t="s">
        <v>27</v>
      </c>
      <c r="B124" t="s">
        <v>1</v>
      </c>
      <c r="C124" t="s">
        <v>2</v>
      </c>
      <c r="D124" t="s">
        <v>3</v>
      </c>
      <c r="E124" t="s">
        <v>4</v>
      </c>
      <c r="F124" t="s">
        <v>18</v>
      </c>
      <c r="G124" s="2">
        <v>45904</v>
      </c>
      <c r="H124" s="15">
        <v>1800012619</v>
      </c>
      <c r="I124" t="s">
        <v>75</v>
      </c>
      <c r="J124" s="2">
        <v>45904</v>
      </c>
      <c r="K124" s="2">
        <v>45909</v>
      </c>
      <c r="L124" t="s">
        <v>69</v>
      </c>
      <c r="M124" s="21">
        <v>256779417206</v>
      </c>
      <c r="N124" t="s">
        <v>9</v>
      </c>
      <c r="O124" t="s">
        <v>10</v>
      </c>
      <c r="P124" t="s">
        <v>8</v>
      </c>
      <c r="Q124" t="s">
        <v>65</v>
      </c>
      <c r="R124" t="s">
        <v>26</v>
      </c>
      <c r="S124" s="3">
        <v>152.28</v>
      </c>
      <c r="T124" t="s">
        <v>12</v>
      </c>
      <c r="U124" s="3">
        <v>13326.68</v>
      </c>
      <c r="V124" s="3">
        <f>VLOOKUP(M124,'[1]combined ledger'!$A:$H,8,0)</f>
        <v>13059.682199999999</v>
      </c>
      <c r="W124" s="3">
        <f t="shared" si="1"/>
        <v>266.99780000000101</v>
      </c>
      <c r="X124" s="3"/>
      <c r="Y124" t="s">
        <v>77</v>
      </c>
      <c r="Z124" t="s">
        <v>13</v>
      </c>
      <c r="AA124" t="s">
        <v>8</v>
      </c>
      <c r="AB124" t="s">
        <v>69</v>
      </c>
      <c r="AC124" t="s">
        <v>14</v>
      </c>
      <c r="AD124" t="s">
        <v>320</v>
      </c>
      <c r="AE124" t="s">
        <v>8</v>
      </c>
      <c r="AF124" t="s">
        <v>8</v>
      </c>
      <c r="AG124" t="s">
        <v>8</v>
      </c>
      <c r="AH124" s="2">
        <v>45904</v>
      </c>
      <c r="AI124" s="2"/>
      <c r="AJ124" t="s">
        <v>8</v>
      </c>
    </row>
    <row r="125" spans="1:36" outlineLevel="2" x14ac:dyDescent="0.25">
      <c r="A125" t="s">
        <v>27</v>
      </c>
      <c r="B125" t="s">
        <v>1</v>
      </c>
      <c r="C125" t="s">
        <v>2</v>
      </c>
      <c r="D125" t="s">
        <v>3</v>
      </c>
      <c r="E125" t="s">
        <v>4</v>
      </c>
      <c r="F125" t="s">
        <v>18</v>
      </c>
      <c r="G125" s="2">
        <v>45904</v>
      </c>
      <c r="H125" s="15">
        <v>1800012587</v>
      </c>
      <c r="I125" t="s">
        <v>75</v>
      </c>
      <c r="J125" s="2">
        <v>45904</v>
      </c>
      <c r="K125" s="2">
        <v>45909</v>
      </c>
      <c r="L125" t="s">
        <v>69</v>
      </c>
      <c r="M125" s="21">
        <v>256779417245</v>
      </c>
      <c r="N125" t="s">
        <v>9</v>
      </c>
      <c r="O125" t="s">
        <v>10</v>
      </c>
      <c r="P125" t="s">
        <v>8</v>
      </c>
      <c r="Q125" t="s">
        <v>65</v>
      </c>
      <c r="R125" t="s">
        <v>26</v>
      </c>
      <c r="S125" s="3">
        <v>83.89</v>
      </c>
      <c r="T125" t="s">
        <v>12</v>
      </c>
      <c r="U125" s="3">
        <v>7341.58</v>
      </c>
      <c r="V125" s="3">
        <f>VLOOKUP(M125,'[1]combined ledger'!$A:$H,8,0)</f>
        <v>7194.5771000000004</v>
      </c>
      <c r="W125" s="3">
        <f t="shared" si="1"/>
        <v>147.0028999999995</v>
      </c>
      <c r="X125" s="3"/>
      <c r="Y125" t="s">
        <v>77</v>
      </c>
      <c r="Z125" t="s">
        <v>13</v>
      </c>
      <c r="AA125" t="s">
        <v>8</v>
      </c>
      <c r="AB125" t="s">
        <v>69</v>
      </c>
      <c r="AC125" t="s">
        <v>14</v>
      </c>
      <c r="AD125" t="s">
        <v>323</v>
      </c>
      <c r="AE125" t="s">
        <v>8</v>
      </c>
      <c r="AF125" t="s">
        <v>8</v>
      </c>
      <c r="AG125" t="s">
        <v>8</v>
      </c>
      <c r="AH125" s="2">
        <v>45904</v>
      </c>
      <c r="AI125" s="2"/>
      <c r="AJ125" t="s">
        <v>8</v>
      </c>
    </row>
    <row r="126" spans="1:36" outlineLevel="2" x14ac:dyDescent="0.25">
      <c r="A126" t="s">
        <v>27</v>
      </c>
      <c r="B126" t="s">
        <v>1</v>
      </c>
      <c r="C126" t="s">
        <v>2</v>
      </c>
      <c r="D126" t="s">
        <v>3</v>
      </c>
      <c r="E126" t="s">
        <v>4</v>
      </c>
      <c r="F126" t="s">
        <v>18</v>
      </c>
      <c r="G126" s="2">
        <v>45904</v>
      </c>
      <c r="H126" s="15">
        <v>1800012647</v>
      </c>
      <c r="I126" t="s">
        <v>75</v>
      </c>
      <c r="J126" s="2">
        <v>45904</v>
      </c>
      <c r="K126" s="2">
        <v>45909</v>
      </c>
      <c r="L126" t="s">
        <v>69</v>
      </c>
      <c r="M126" s="21">
        <v>256779417287</v>
      </c>
      <c r="N126" t="s">
        <v>9</v>
      </c>
      <c r="O126" t="s">
        <v>10</v>
      </c>
      <c r="P126" t="s">
        <v>8</v>
      </c>
      <c r="Q126" t="s">
        <v>65</v>
      </c>
      <c r="R126" t="s">
        <v>26</v>
      </c>
      <c r="S126" s="3">
        <v>410.58</v>
      </c>
      <c r="T126" t="s">
        <v>12</v>
      </c>
      <c r="U126" s="3">
        <v>35931.629999999997</v>
      </c>
      <c r="V126" s="3">
        <f>VLOOKUP(M126,'[1]combined ledger'!$A:$H,8,0)</f>
        <v>35212.633600000001</v>
      </c>
      <c r="W126" s="3">
        <f t="shared" si="1"/>
        <v>718.99639999999636</v>
      </c>
      <c r="X126" s="3"/>
      <c r="Y126" t="s">
        <v>77</v>
      </c>
      <c r="Z126" t="s">
        <v>13</v>
      </c>
      <c r="AA126" t="s">
        <v>8</v>
      </c>
      <c r="AB126" t="s">
        <v>69</v>
      </c>
      <c r="AC126" t="s">
        <v>14</v>
      </c>
      <c r="AD126" t="s">
        <v>326</v>
      </c>
      <c r="AE126" t="s">
        <v>8</v>
      </c>
      <c r="AF126" t="s">
        <v>8</v>
      </c>
      <c r="AG126" t="s">
        <v>8</v>
      </c>
      <c r="AH126" s="2">
        <v>45904</v>
      </c>
      <c r="AI126" s="2"/>
      <c r="AJ126" t="s">
        <v>8</v>
      </c>
    </row>
    <row r="127" spans="1:36" outlineLevel="2" x14ac:dyDescent="0.25">
      <c r="A127" t="s">
        <v>27</v>
      </c>
      <c r="B127" t="s">
        <v>1</v>
      </c>
      <c r="C127" t="s">
        <v>2</v>
      </c>
      <c r="D127" t="s">
        <v>3</v>
      </c>
      <c r="E127" t="s">
        <v>4</v>
      </c>
      <c r="F127" t="s">
        <v>18</v>
      </c>
      <c r="G127" s="2">
        <v>45904</v>
      </c>
      <c r="H127" s="15">
        <v>1800012685</v>
      </c>
      <c r="I127" t="s">
        <v>75</v>
      </c>
      <c r="J127" s="2">
        <v>45904</v>
      </c>
      <c r="K127" s="2">
        <v>45909</v>
      </c>
      <c r="L127" t="s">
        <v>69</v>
      </c>
      <c r="M127" s="21">
        <v>256779417325</v>
      </c>
      <c r="N127" t="s">
        <v>9</v>
      </c>
      <c r="O127" t="s">
        <v>10</v>
      </c>
      <c r="P127" t="s">
        <v>8</v>
      </c>
      <c r="Q127" t="s">
        <v>65</v>
      </c>
      <c r="R127" t="s">
        <v>26</v>
      </c>
      <c r="S127" s="3">
        <v>97.84</v>
      </c>
      <c r="T127" t="s">
        <v>12</v>
      </c>
      <c r="U127" s="3">
        <v>8562.4</v>
      </c>
      <c r="V127" s="3">
        <f>VLOOKUP(M127,'[1]combined ledger'!$A:$H,8,0)</f>
        <v>8391.402</v>
      </c>
      <c r="W127" s="3">
        <f t="shared" si="1"/>
        <v>170.99799999999959</v>
      </c>
      <c r="X127" s="3"/>
      <c r="Y127" t="s">
        <v>77</v>
      </c>
      <c r="Z127" t="s">
        <v>13</v>
      </c>
      <c r="AA127" t="s">
        <v>8</v>
      </c>
      <c r="AB127" t="s">
        <v>329</v>
      </c>
      <c r="AC127" t="s">
        <v>14</v>
      </c>
      <c r="AD127" t="s">
        <v>330</v>
      </c>
      <c r="AE127" t="s">
        <v>8</v>
      </c>
      <c r="AF127" t="s">
        <v>8</v>
      </c>
      <c r="AG127" t="s">
        <v>8</v>
      </c>
      <c r="AH127" s="2">
        <v>45904</v>
      </c>
      <c r="AI127" s="2"/>
      <c r="AJ127" t="s">
        <v>8</v>
      </c>
    </row>
    <row r="128" spans="1:36" outlineLevel="2" x14ac:dyDescent="0.25">
      <c r="A128" t="s">
        <v>27</v>
      </c>
      <c r="B128" t="s">
        <v>1</v>
      </c>
      <c r="C128" t="s">
        <v>2</v>
      </c>
      <c r="D128" t="s">
        <v>3</v>
      </c>
      <c r="E128" t="s">
        <v>4</v>
      </c>
      <c r="F128" t="s">
        <v>18</v>
      </c>
      <c r="G128" s="2">
        <v>45904</v>
      </c>
      <c r="H128" s="15">
        <v>1600002212</v>
      </c>
      <c r="I128" t="s">
        <v>118</v>
      </c>
      <c r="J128" s="2">
        <v>45904</v>
      </c>
      <c r="K128" s="2">
        <v>45915</v>
      </c>
      <c r="L128" t="s">
        <v>69</v>
      </c>
      <c r="M128" s="21">
        <v>256779421767</v>
      </c>
      <c r="N128" t="s">
        <v>9</v>
      </c>
      <c r="O128" t="s">
        <v>10</v>
      </c>
      <c r="P128" t="s">
        <v>8</v>
      </c>
      <c r="Q128" t="s">
        <v>54</v>
      </c>
      <c r="R128" t="s">
        <v>26</v>
      </c>
      <c r="S128" s="3">
        <v>-60</v>
      </c>
      <c r="T128" t="s">
        <v>12</v>
      </c>
      <c r="U128" s="3">
        <v>-5250.86</v>
      </c>
      <c r="V128" s="3" t="e">
        <f>VLOOKUP(M128,'[1]combined ledger'!$A:$H,8,0)</f>
        <v>#N/A</v>
      </c>
      <c r="W128" s="3" t="e">
        <f t="shared" si="1"/>
        <v>#N/A</v>
      </c>
      <c r="X128" s="3"/>
      <c r="Y128" t="s">
        <v>77</v>
      </c>
      <c r="Z128" t="s">
        <v>13</v>
      </c>
      <c r="AA128" t="s">
        <v>8</v>
      </c>
      <c r="AB128" t="s">
        <v>333</v>
      </c>
      <c r="AC128" t="s">
        <v>14</v>
      </c>
      <c r="AD128" t="s">
        <v>334</v>
      </c>
      <c r="AE128" t="s">
        <v>8</v>
      </c>
      <c r="AF128" t="s">
        <v>8</v>
      </c>
      <c r="AG128" t="s">
        <v>8</v>
      </c>
      <c r="AH128" s="2">
        <v>45904</v>
      </c>
      <c r="AI128" s="2"/>
      <c r="AJ128" t="s">
        <v>8</v>
      </c>
    </row>
    <row r="129" spans="1:36" outlineLevel="2" x14ac:dyDescent="0.25">
      <c r="A129" t="s">
        <v>27</v>
      </c>
      <c r="B129" t="s">
        <v>1</v>
      </c>
      <c r="C129" t="s">
        <v>2</v>
      </c>
      <c r="D129" t="s">
        <v>3</v>
      </c>
      <c r="E129" t="s">
        <v>4</v>
      </c>
      <c r="F129" t="s">
        <v>18</v>
      </c>
      <c r="G129" s="2">
        <v>45904</v>
      </c>
      <c r="H129" s="15">
        <v>1600002213</v>
      </c>
      <c r="I129" t="s">
        <v>118</v>
      </c>
      <c r="J129" s="2">
        <v>45904</v>
      </c>
      <c r="K129" s="2">
        <v>45915</v>
      </c>
      <c r="L129" t="s">
        <v>69</v>
      </c>
      <c r="M129" s="21">
        <v>256779421768</v>
      </c>
      <c r="N129" t="s">
        <v>9</v>
      </c>
      <c r="O129" t="s">
        <v>10</v>
      </c>
      <c r="P129" t="s">
        <v>8</v>
      </c>
      <c r="Q129" t="s">
        <v>54</v>
      </c>
      <c r="R129" t="s">
        <v>26</v>
      </c>
      <c r="S129" s="3">
        <v>-60</v>
      </c>
      <c r="T129" t="s">
        <v>12</v>
      </c>
      <c r="U129" s="3">
        <v>-5250.86</v>
      </c>
      <c r="V129" s="3" t="e">
        <f>VLOOKUP(M129,'[1]combined ledger'!$A:$H,8,0)</f>
        <v>#N/A</v>
      </c>
      <c r="W129" s="3" t="e">
        <f t="shared" si="1"/>
        <v>#N/A</v>
      </c>
      <c r="X129" s="3"/>
      <c r="Y129" t="s">
        <v>77</v>
      </c>
      <c r="Z129" t="s">
        <v>13</v>
      </c>
      <c r="AA129" t="s">
        <v>8</v>
      </c>
      <c r="AB129" t="s">
        <v>333</v>
      </c>
      <c r="AC129" t="s">
        <v>14</v>
      </c>
      <c r="AD129" t="s">
        <v>337</v>
      </c>
      <c r="AE129" t="s">
        <v>8</v>
      </c>
      <c r="AF129" t="s">
        <v>8</v>
      </c>
      <c r="AG129" t="s">
        <v>8</v>
      </c>
      <c r="AH129" s="2">
        <v>45904</v>
      </c>
      <c r="AI129" s="2"/>
      <c r="AJ129" t="s">
        <v>8</v>
      </c>
    </row>
    <row r="130" spans="1:36" outlineLevel="2" x14ac:dyDescent="0.25">
      <c r="A130" t="s">
        <v>27</v>
      </c>
      <c r="B130" t="s">
        <v>1</v>
      </c>
      <c r="C130" t="s">
        <v>2</v>
      </c>
      <c r="D130" t="s">
        <v>3</v>
      </c>
      <c r="E130" t="s">
        <v>4</v>
      </c>
      <c r="F130" t="s">
        <v>18</v>
      </c>
      <c r="G130" s="2">
        <v>45904</v>
      </c>
      <c r="H130" s="15">
        <v>1600002214</v>
      </c>
      <c r="I130" t="s">
        <v>118</v>
      </c>
      <c r="J130" s="2">
        <v>45904</v>
      </c>
      <c r="K130" s="2">
        <v>45915</v>
      </c>
      <c r="L130" t="s">
        <v>69</v>
      </c>
      <c r="M130" s="21">
        <v>256779421769</v>
      </c>
      <c r="N130" t="s">
        <v>9</v>
      </c>
      <c r="O130" t="s">
        <v>10</v>
      </c>
      <c r="P130" t="s">
        <v>8</v>
      </c>
      <c r="Q130" t="s">
        <v>54</v>
      </c>
      <c r="R130" t="s">
        <v>26</v>
      </c>
      <c r="S130" s="3">
        <v>-62</v>
      </c>
      <c r="T130" t="s">
        <v>12</v>
      </c>
      <c r="U130" s="3">
        <v>-5425.89</v>
      </c>
      <c r="V130" s="3" t="e">
        <f>VLOOKUP(M130,'[1]combined ledger'!$A:$H,8,0)</f>
        <v>#N/A</v>
      </c>
      <c r="W130" s="3" t="e">
        <f t="shared" si="1"/>
        <v>#N/A</v>
      </c>
      <c r="X130" s="3"/>
      <c r="Y130" t="s">
        <v>77</v>
      </c>
      <c r="Z130" t="s">
        <v>13</v>
      </c>
      <c r="AA130" t="s">
        <v>8</v>
      </c>
      <c r="AB130" t="s">
        <v>333</v>
      </c>
      <c r="AC130" t="s">
        <v>14</v>
      </c>
      <c r="AD130" t="s">
        <v>340</v>
      </c>
      <c r="AE130" t="s">
        <v>8</v>
      </c>
      <c r="AF130" t="s">
        <v>8</v>
      </c>
      <c r="AG130" t="s">
        <v>8</v>
      </c>
      <c r="AH130" s="2">
        <v>45904</v>
      </c>
      <c r="AI130" s="2"/>
      <c r="AJ130" t="s">
        <v>8</v>
      </c>
    </row>
    <row r="131" spans="1:36" outlineLevel="2" x14ac:dyDescent="0.25">
      <c r="A131" t="s">
        <v>27</v>
      </c>
      <c r="B131" t="s">
        <v>1</v>
      </c>
      <c r="C131" t="s">
        <v>2</v>
      </c>
      <c r="D131" t="s">
        <v>3</v>
      </c>
      <c r="E131" t="s">
        <v>4</v>
      </c>
      <c r="F131" t="s">
        <v>18</v>
      </c>
      <c r="G131" s="2">
        <v>45904</v>
      </c>
      <c r="H131" s="15">
        <v>1600002215</v>
      </c>
      <c r="I131" t="s">
        <v>118</v>
      </c>
      <c r="J131" s="2">
        <v>45904</v>
      </c>
      <c r="K131" s="2">
        <v>45915</v>
      </c>
      <c r="L131" t="s">
        <v>69</v>
      </c>
      <c r="M131" s="21">
        <v>256779421770</v>
      </c>
      <c r="N131" t="s">
        <v>9</v>
      </c>
      <c r="O131" t="s">
        <v>10</v>
      </c>
      <c r="P131" t="s">
        <v>8</v>
      </c>
      <c r="Q131" t="s">
        <v>54</v>
      </c>
      <c r="R131" t="s">
        <v>26</v>
      </c>
      <c r="S131" s="3">
        <v>-62</v>
      </c>
      <c r="T131" t="s">
        <v>12</v>
      </c>
      <c r="U131" s="3">
        <v>-5425.89</v>
      </c>
      <c r="V131" s="3" t="e">
        <f>VLOOKUP(M131,'[1]combined ledger'!$A:$H,8,0)</f>
        <v>#N/A</v>
      </c>
      <c r="W131" s="3" t="e">
        <f t="shared" si="1"/>
        <v>#N/A</v>
      </c>
      <c r="X131" s="3"/>
      <c r="Y131" t="s">
        <v>77</v>
      </c>
      <c r="Z131" t="s">
        <v>13</v>
      </c>
      <c r="AA131" t="s">
        <v>8</v>
      </c>
      <c r="AB131" t="s">
        <v>333</v>
      </c>
      <c r="AC131" t="s">
        <v>14</v>
      </c>
      <c r="AD131" t="s">
        <v>343</v>
      </c>
      <c r="AE131" t="s">
        <v>8</v>
      </c>
      <c r="AF131" t="s">
        <v>8</v>
      </c>
      <c r="AG131" t="s">
        <v>8</v>
      </c>
      <c r="AH131" s="2">
        <v>45904</v>
      </c>
      <c r="AI131" s="2"/>
      <c r="AJ131" t="s">
        <v>8</v>
      </c>
    </row>
    <row r="132" spans="1:36" outlineLevel="2" x14ac:dyDescent="0.25">
      <c r="A132" t="s">
        <v>27</v>
      </c>
      <c r="B132" t="s">
        <v>1</v>
      </c>
      <c r="C132" t="s">
        <v>2</v>
      </c>
      <c r="D132" t="s">
        <v>3</v>
      </c>
      <c r="E132" t="s">
        <v>4</v>
      </c>
      <c r="F132" t="s">
        <v>36</v>
      </c>
      <c r="G132" s="2">
        <v>45842</v>
      </c>
      <c r="H132" s="15">
        <v>1800010008</v>
      </c>
      <c r="I132" t="s">
        <v>75</v>
      </c>
      <c r="J132" s="2">
        <v>45842</v>
      </c>
      <c r="K132" s="2">
        <v>45845</v>
      </c>
      <c r="L132" t="s">
        <v>69</v>
      </c>
      <c r="M132" s="21">
        <v>256779414772</v>
      </c>
      <c r="N132" t="s">
        <v>9</v>
      </c>
      <c r="O132" t="s">
        <v>10</v>
      </c>
      <c r="P132" t="s">
        <v>8</v>
      </c>
      <c r="Q132" t="s">
        <v>65</v>
      </c>
      <c r="R132" t="s">
        <v>26</v>
      </c>
      <c r="S132" s="3">
        <v>220</v>
      </c>
      <c r="T132" t="s">
        <v>12</v>
      </c>
      <c r="U132" s="3">
        <v>18920.150000000001</v>
      </c>
      <c r="V132" s="3">
        <f>VLOOKUP(M132,'[1]combined ledger'!$A:$H,8,0)</f>
        <v>18722.8</v>
      </c>
      <c r="W132" s="3">
        <f t="shared" si="1"/>
        <v>197.35000000000218</v>
      </c>
      <c r="X132" s="3"/>
      <c r="Y132" t="s">
        <v>77</v>
      </c>
      <c r="Z132" t="s">
        <v>13</v>
      </c>
      <c r="AA132" t="s">
        <v>8</v>
      </c>
      <c r="AB132" t="s">
        <v>69</v>
      </c>
      <c r="AC132" t="s">
        <v>14</v>
      </c>
      <c r="AD132" t="s">
        <v>346</v>
      </c>
      <c r="AE132" t="s">
        <v>8</v>
      </c>
      <c r="AF132" t="s">
        <v>8</v>
      </c>
      <c r="AG132" t="s">
        <v>8</v>
      </c>
      <c r="AH132" s="2">
        <v>45842</v>
      </c>
      <c r="AI132" s="2"/>
      <c r="AJ132" t="s">
        <v>8</v>
      </c>
    </row>
    <row r="133" spans="1:36" outlineLevel="2" x14ac:dyDescent="0.25">
      <c r="A133" t="s">
        <v>27</v>
      </c>
      <c r="B133" t="s">
        <v>1</v>
      </c>
      <c r="C133" t="s">
        <v>2</v>
      </c>
      <c r="D133" t="s">
        <v>3</v>
      </c>
      <c r="E133" t="s">
        <v>4</v>
      </c>
      <c r="F133" t="s">
        <v>36</v>
      </c>
      <c r="G133" s="2">
        <v>45842</v>
      </c>
      <c r="H133" s="15">
        <v>1800010066</v>
      </c>
      <c r="I133" t="s">
        <v>75</v>
      </c>
      <c r="J133" s="2">
        <v>45842</v>
      </c>
      <c r="K133" s="2">
        <v>45845</v>
      </c>
      <c r="L133" t="s">
        <v>69</v>
      </c>
      <c r="M133" s="21">
        <v>256779414830</v>
      </c>
      <c r="N133" t="s">
        <v>9</v>
      </c>
      <c r="O133" t="s">
        <v>10</v>
      </c>
      <c r="P133" t="s">
        <v>8</v>
      </c>
      <c r="Q133" t="s">
        <v>65</v>
      </c>
      <c r="R133" t="s">
        <v>26</v>
      </c>
      <c r="S133" s="3">
        <v>142.32</v>
      </c>
      <c r="T133" t="s">
        <v>12</v>
      </c>
      <c r="U133" s="3">
        <v>12239.62</v>
      </c>
      <c r="V133" s="3">
        <f>VLOOKUP(M133,'[1]combined ledger'!$A:$H,8,0)</f>
        <v>12112.068799999999</v>
      </c>
      <c r="W133" s="3">
        <f t="shared" si="1"/>
        <v>127.5512000000017</v>
      </c>
      <c r="X133" s="3"/>
      <c r="Y133" t="s">
        <v>77</v>
      </c>
      <c r="Z133" t="s">
        <v>13</v>
      </c>
      <c r="AA133" t="s">
        <v>8</v>
      </c>
      <c r="AB133" t="s">
        <v>69</v>
      </c>
      <c r="AC133" t="s">
        <v>14</v>
      </c>
      <c r="AD133" t="s">
        <v>349</v>
      </c>
      <c r="AE133" t="s">
        <v>8</v>
      </c>
      <c r="AF133" t="s">
        <v>8</v>
      </c>
      <c r="AG133" t="s">
        <v>8</v>
      </c>
      <c r="AH133" s="2">
        <v>45842</v>
      </c>
      <c r="AI133" s="2"/>
      <c r="AJ133" t="s">
        <v>8</v>
      </c>
    </row>
    <row r="134" spans="1:36" outlineLevel="2" x14ac:dyDescent="0.25">
      <c r="A134" t="s">
        <v>27</v>
      </c>
      <c r="B134" t="s">
        <v>1</v>
      </c>
      <c r="C134" t="s">
        <v>2</v>
      </c>
      <c r="D134" t="s">
        <v>3</v>
      </c>
      <c r="E134" t="s">
        <v>4</v>
      </c>
      <c r="F134" t="s">
        <v>36</v>
      </c>
      <c r="G134" s="2">
        <v>45842</v>
      </c>
      <c r="H134" s="15">
        <v>1800010119</v>
      </c>
      <c r="I134" t="s">
        <v>75</v>
      </c>
      <c r="J134" s="2">
        <v>45842</v>
      </c>
      <c r="K134" s="2">
        <v>45847</v>
      </c>
      <c r="L134" t="s">
        <v>69</v>
      </c>
      <c r="M134" s="21">
        <v>256779414879</v>
      </c>
      <c r="N134" t="s">
        <v>9</v>
      </c>
      <c r="O134" t="s">
        <v>10</v>
      </c>
      <c r="P134" t="s">
        <v>8</v>
      </c>
      <c r="Q134" t="s">
        <v>65</v>
      </c>
      <c r="R134" t="s">
        <v>26</v>
      </c>
      <c r="S134" s="3">
        <v>1663.92</v>
      </c>
      <c r="T134" t="s">
        <v>12</v>
      </c>
      <c r="U134" s="3">
        <v>143098.23000000001</v>
      </c>
      <c r="V134" s="3">
        <f>VLOOKUP(M134,'[1]combined ledger'!$A:$H,8,0)</f>
        <v>138310.23639999999</v>
      </c>
      <c r="W134" s="3">
        <f t="shared" si="1"/>
        <v>4787.9936000000162</v>
      </c>
      <c r="X134" s="3"/>
      <c r="Y134" t="s">
        <v>77</v>
      </c>
      <c r="Z134" t="s">
        <v>13</v>
      </c>
      <c r="AA134" t="s">
        <v>8</v>
      </c>
      <c r="AB134" t="s">
        <v>69</v>
      </c>
      <c r="AC134" t="s">
        <v>14</v>
      </c>
      <c r="AD134" t="s">
        <v>352</v>
      </c>
      <c r="AE134" t="s">
        <v>8</v>
      </c>
      <c r="AF134" t="s">
        <v>8</v>
      </c>
      <c r="AG134" t="s">
        <v>8</v>
      </c>
      <c r="AH134" s="2">
        <v>45842</v>
      </c>
      <c r="AI134" s="2"/>
      <c r="AJ134" t="s">
        <v>8</v>
      </c>
    </row>
    <row r="135" spans="1:36" outlineLevel="2" x14ac:dyDescent="0.25">
      <c r="A135" t="s">
        <v>27</v>
      </c>
      <c r="B135" t="s">
        <v>1</v>
      </c>
      <c r="C135" t="s">
        <v>2</v>
      </c>
      <c r="D135" t="s">
        <v>3</v>
      </c>
      <c r="E135" t="s">
        <v>4</v>
      </c>
      <c r="F135" t="s">
        <v>36</v>
      </c>
      <c r="G135" s="2">
        <v>45842</v>
      </c>
      <c r="H135" s="15">
        <v>1800010131</v>
      </c>
      <c r="I135" t="s">
        <v>75</v>
      </c>
      <c r="J135" s="2">
        <v>45842</v>
      </c>
      <c r="K135" s="2">
        <v>45847</v>
      </c>
      <c r="L135" t="s">
        <v>69</v>
      </c>
      <c r="M135" s="21">
        <v>256779414891</v>
      </c>
      <c r="N135" t="s">
        <v>9</v>
      </c>
      <c r="O135" t="s">
        <v>10</v>
      </c>
      <c r="P135" t="s">
        <v>8</v>
      </c>
      <c r="Q135" t="s">
        <v>65</v>
      </c>
      <c r="R135" t="s">
        <v>26</v>
      </c>
      <c r="S135" s="3">
        <v>413.33</v>
      </c>
      <c r="T135" t="s">
        <v>12</v>
      </c>
      <c r="U135" s="3">
        <v>35546.660000000003</v>
      </c>
      <c r="V135" s="3">
        <f>VLOOKUP(M135,'[1]combined ledger'!$A:$H,8,0)</f>
        <v>32304.5772</v>
      </c>
      <c r="W135" s="3">
        <f t="shared" si="1"/>
        <v>3242.0828000000038</v>
      </c>
      <c r="X135" s="3"/>
      <c r="Y135" t="s">
        <v>77</v>
      </c>
      <c r="Z135" t="s">
        <v>13</v>
      </c>
      <c r="AA135" t="s">
        <v>8</v>
      </c>
      <c r="AB135" t="s">
        <v>69</v>
      </c>
      <c r="AC135" t="s">
        <v>14</v>
      </c>
      <c r="AD135" t="s">
        <v>355</v>
      </c>
      <c r="AE135" t="s">
        <v>8</v>
      </c>
      <c r="AF135" t="s">
        <v>8</v>
      </c>
      <c r="AG135" t="s">
        <v>8</v>
      </c>
      <c r="AH135" s="2">
        <v>45842</v>
      </c>
      <c r="AI135" s="2"/>
      <c r="AJ135" t="s">
        <v>8</v>
      </c>
    </row>
    <row r="136" spans="1:36" outlineLevel="2" x14ac:dyDescent="0.25">
      <c r="A136" t="s">
        <v>27</v>
      </c>
      <c r="B136" t="s">
        <v>1</v>
      </c>
      <c r="C136" t="s">
        <v>2</v>
      </c>
      <c r="D136" t="s">
        <v>3</v>
      </c>
      <c r="E136" t="s">
        <v>4</v>
      </c>
      <c r="F136" t="s">
        <v>36</v>
      </c>
      <c r="G136" s="2">
        <v>45842</v>
      </c>
      <c r="H136" s="15">
        <v>1800010144</v>
      </c>
      <c r="I136" t="s">
        <v>75</v>
      </c>
      <c r="J136" s="2">
        <v>45842</v>
      </c>
      <c r="K136" s="2">
        <v>45847</v>
      </c>
      <c r="L136" t="s">
        <v>69</v>
      </c>
      <c r="M136" s="21">
        <v>256779414904</v>
      </c>
      <c r="N136" t="s">
        <v>9</v>
      </c>
      <c r="O136" t="s">
        <v>10</v>
      </c>
      <c r="P136" t="s">
        <v>8</v>
      </c>
      <c r="Q136" t="s">
        <v>65</v>
      </c>
      <c r="R136" t="s">
        <v>26</v>
      </c>
      <c r="S136" s="3">
        <v>68.97</v>
      </c>
      <c r="T136" t="s">
        <v>12</v>
      </c>
      <c r="U136" s="3">
        <v>5931.47</v>
      </c>
      <c r="V136" s="3">
        <f>VLOOKUP(M136,'[1]combined ledger'!$A:$H,8,0)</f>
        <v>5869.3548000000001</v>
      </c>
      <c r="W136" s="3">
        <f t="shared" si="1"/>
        <v>62.115200000000186</v>
      </c>
      <c r="X136" s="3"/>
      <c r="Y136" t="s">
        <v>77</v>
      </c>
      <c r="Z136" t="s">
        <v>13</v>
      </c>
      <c r="AA136" t="s">
        <v>8</v>
      </c>
      <c r="AB136" t="s">
        <v>69</v>
      </c>
      <c r="AC136" t="s">
        <v>14</v>
      </c>
      <c r="AD136" t="s">
        <v>358</v>
      </c>
      <c r="AE136" t="s">
        <v>8</v>
      </c>
      <c r="AF136" t="s">
        <v>8</v>
      </c>
      <c r="AG136" t="s">
        <v>8</v>
      </c>
      <c r="AH136" s="2">
        <v>45842</v>
      </c>
      <c r="AI136" s="2"/>
      <c r="AJ136" t="s">
        <v>8</v>
      </c>
    </row>
    <row r="137" spans="1:36" outlineLevel="2" x14ac:dyDescent="0.25">
      <c r="A137" t="s">
        <v>27</v>
      </c>
      <c r="B137" t="s">
        <v>1</v>
      </c>
      <c r="C137" t="s">
        <v>2</v>
      </c>
      <c r="D137" t="s">
        <v>3</v>
      </c>
      <c r="E137" t="s">
        <v>4</v>
      </c>
      <c r="F137" t="s">
        <v>36</v>
      </c>
      <c r="G137" s="2">
        <v>45842</v>
      </c>
      <c r="H137" s="15">
        <v>1800010196</v>
      </c>
      <c r="I137" t="s">
        <v>75</v>
      </c>
      <c r="J137" s="2">
        <v>45842</v>
      </c>
      <c r="K137" s="2">
        <v>45847</v>
      </c>
      <c r="L137" t="s">
        <v>69</v>
      </c>
      <c r="M137" s="21">
        <v>256779414956</v>
      </c>
      <c r="N137" t="s">
        <v>9</v>
      </c>
      <c r="O137" t="s">
        <v>10</v>
      </c>
      <c r="P137" t="s">
        <v>8</v>
      </c>
      <c r="Q137" t="s">
        <v>65</v>
      </c>
      <c r="R137" t="s">
        <v>26</v>
      </c>
      <c r="S137" s="3">
        <v>50</v>
      </c>
      <c r="T137" t="s">
        <v>12</v>
      </c>
      <c r="U137" s="3">
        <v>4300.03</v>
      </c>
      <c r="V137" s="3">
        <f>VLOOKUP(M137,'[1]combined ledger'!$A:$H,8,0)</f>
        <v>4255</v>
      </c>
      <c r="W137" s="3">
        <f t="shared" si="1"/>
        <v>45.029999999999745</v>
      </c>
      <c r="X137" s="3"/>
      <c r="Y137" t="s">
        <v>77</v>
      </c>
      <c r="Z137" t="s">
        <v>13</v>
      </c>
      <c r="AA137" t="s">
        <v>8</v>
      </c>
      <c r="AB137" t="s">
        <v>69</v>
      </c>
      <c r="AC137" t="s">
        <v>14</v>
      </c>
      <c r="AD137" t="s">
        <v>361</v>
      </c>
      <c r="AE137" t="s">
        <v>8</v>
      </c>
      <c r="AF137" t="s">
        <v>8</v>
      </c>
      <c r="AG137" t="s">
        <v>8</v>
      </c>
      <c r="AH137" s="2">
        <v>45842</v>
      </c>
      <c r="AI137" s="2"/>
      <c r="AJ137" t="s">
        <v>8</v>
      </c>
    </row>
    <row r="138" spans="1:36" outlineLevel="2" x14ac:dyDescent="0.25">
      <c r="A138" t="s">
        <v>27</v>
      </c>
      <c r="B138" t="s">
        <v>1</v>
      </c>
      <c r="C138" t="s">
        <v>2</v>
      </c>
      <c r="D138" t="s">
        <v>3</v>
      </c>
      <c r="E138" t="s">
        <v>4</v>
      </c>
      <c r="F138" t="s">
        <v>36</v>
      </c>
      <c r="G138" s="2">
        <v>45842</v>
      </c>
      <c r="H138" s="15">
        <v>1800010197</v>
      </c>
      <c r="I138" t="s">
        <v>75</v>
      </c>
      <c r="J138" s="2">
        <v>45842</v>
      </c>
      <c r="K138" s="2">
        <v>45847</v>
      </c>
      <c r="L138" t="s">
        <v>69</v>
      </c>
      <c r="M138" s="21">
        <v>256779414957</v>
      </c>
      <c r="N138" t="s">
        <v>9</v>
      </c>
      <c r="O138" t="s">
        <v>10</v>
      </c>
      <c r="P138" t="s">
        <v>8</v>
      </c>
      <c r="Q138" t="s">
        <v>65</v>
      </c>
      <c r="R138" t="s">
        <v>26</v>
      </c>
      <c r="S138" s="3">
        <v>50</v>
      </c>
      <c r="T138" t="s">
        <v>12</v>
      </c>
      <c r="U138" s="3">
        <v>4300.03</v>
      </c>
      <c r="V138" s="3">
        <f>VLOOKUP(M138,'[1]combined ledger'!$A:$H,8,0)</f>
        <v>4255</v>
      </c>
      <c r="W138" s="3">
        <f t="shared" si="1"/>
        <v>45.029999999999745</v>
      </c>
      <c r="X138" s="3"/>
      <c r="Y138" t="s">
        <v>77</v>
      </c>
      <c r="Z138" t="s">
        <v>13</v>
      </c>
      <c r="AA138" t="s">
        <v>8</v>
      </c>
      <c r="AB138" t="s">
        <v>69</v>
      </c>
      <c r="AC138" t="s">
        <v>14</v>
      </c>
      <c r="AD138" t="s">
        <v>361</v>
      </c>
      <c r="AE138" t="s">
        <v>8</v>
      </c>
      <c r="AF138" t="s">
        <v>8</v>
      </c>
      <c r="AG138" t="s">
        <v>8</v>
      </c>
      <c r="AH138" s="2">
        <v>45842</v>
      </c>
      <c r="AI138" s="2"/>
      <c r="AJ138" t="s">
        <v>8</v>
      </c>
    </row>
    <row r="139" spans="1:36" outlineLevel="2" x14ac:dyDescent="0.25">
      <c r="A139" t="s">
        <v>27</v>
      </c>
      <c r="B139" t="s">
        <v>1</v>
      </c>
      <c r="C139" t="s">
        <v>2</v>
      </c>
      <c r="D139" t="s">
        <v>3</v>
      </c>
      <c r="E139" t="s">
        <v>4</v>
      </c>
      <c r="F139" t="s">
        <v>36</v>
      </c>
      <c r="G139" s="2">
        <v>45842</v>
      </c>
      <c r="H139" s="15">
        <v>1800010257</v>
      </c>
      <c r="I139" t="s">
        <v>75</v>
      </c>
      <c r="J139" s="2">
        <v>45842</v>
      </c>
      <c r="K139" s="2">
        <v>45847</v>
      </c>
      <c r="L139" t="s">
        <v>69</v>
      </c>
      <c r="M139" s="21">
        <v>256779415017</v>
      </c>
      <c r="N139" t="s">
        <v>9</v>
      </c>
      <c r="O139" t="s">
        <v>10</v>
      </c>
      <c r="P139" t="s">
        <v>8</v>
      </c>
      <c r="Q139" t="s">
        <v>65</v>
      </c>
      <c r="R139" t="s">
        <v>26</v>
      </c>
      <c r="S139" s="3">
        <v>349.26</v>
      </c>
      <c r="T139" t="s">
        <v>12</v>
      </c>
      <c r="U139" s="3">
        <v>30036.59</v>
      </c>
      <c r="V139" s="3">
        <f>VLOOKUP(M139,'[1]combined ledger'!$A:$H,8,0)</f>
        <v>29722.738399999998</v>
      </c>
      <c r="W139" s="3">
        <f t="shared" si="1"/>
        <v>313.85160000000178</v>
      </c>
      <c r="X139" s="3"/>
      <c r="Y139" t="s">
        <v>77</v>
      </c>
      <c r="Z139" t="s">
        <v>13</v>
      </c>
      <c r="AA139" t="s">
        <v>8</v>
      </c>
      <c r="AB139" t="s">
        <v>69</v>
      </c>
      <c r="AC139" t="s">
        <v>14</v>
      </c>
      <c r="AD139" t="s">
        <v>366</v>
      </c>
      <c r="AE139" t="s">
        <v>8</v>
      </c>
      <c r="AF139" t="s">
        <v>8</v>
      </c>
      <c r="AG139" t="s">
        <v>8</v>
      </c>
      <c r="AH139" s="2">
        <v>45842</v>
      </c>
      <c r="AI139" s="2"/>
      <c r="AJ139" t="s">
        <v>8</v>
      </c>
    </row>
    <row r="140" spans="1:36" outlineLevel="2" x14ac:dyDescent="0.25">
      <c r="A140" t="s">
        <v>27</v>
      </c>
      <c r="B140" t="s">
        <v>1</v>
      </c>
      <c r="C140" t="s">
        <v>2</v>
      </c>
      <c r="D140" t="s">
        <v>3</v>
      </c>
      <c r="E140" t="s">
        <v>4</v>
      </c>
      <c r="F140" t="s">
        <v>36</v>
      </c>
      <c r="G140" s="2">
        <v>45842</v>
      </c>
      <c r="H140" s="15">
        <v>1800010436</v>
      </c>
      <c r="I140" t="s">
        <v>75</v>
      </c>
      <c r="J140" s="2">
        <v>45842</v>
      </c>
      <c r="K140" s="2">
        <v>45847</v>
      </c>
      <c r="L140" t="s">
        <v>69</v>
      </c>
      <c r="M140" s="21">
        <v>256779415196</v>
      </c>
      <c r="N140" t="s">
        <v>9</v>
      </c>
      <c r="O140" t="s">
        <v>10</v>
      </c>
      <c r="P140" t="s">
        <v>8</v>
      </c>
      <c r="Q140" t="s">
        <v>65</v>
      </c>
      <c r="R140" t="s">
        <v>26</v>
      </c>
      <c r="S140" s="3">
        <v>17.48</v>
      </c>
      <c r="T140" t="s">
        <v>12</v>
      </c>
      <c r="U140" s="3">
        <v>1503.29</v>
      </c>
      <c r="V140" s="3">
        <f>VLOOKUP(M140,'[1]combined ledger'!$A:$H,8,0)</f>
        <v>1353.28</v>
      </c>
      <c r="W140" s="3">
        <f t="shared" si="1"/>
        <v>150.01</v>
      </c>
      <c r="X140" s="3"/>
      <c r="Y140" t="s">
        <v>77</v>
      </c>
      <c r="Z140" t="s">
        <v>13</v>
      </c>
      <c r="AA140" t="s">
        <v>8</v>
      </c>
      <c r="AB140" t="s">
        <v>69</v>
      </c>
      <c r="AC140" t="s">
        <v>14</v>
      </c>
      <c r="AD140" t="s">
        <v>369</v>
      </c>
      <c r="AE140" t="s">
        <v>8</v>
      </c>
      <c r="AF140" t="s">
        <v>8</v>
      </c>
      <c r="AG140" t="s">
        <v>8</v>
      </c>
      <c r="AH140" s="2">
        <v>45842</v>
      </c>
      <c r="AI140" s="2"/>
      <c r="AJ140" t="s">
        <v>8</v>
      </c>
    </row>
    <row r="141" spans="1:36" outlineLevel="2" x14ac:dyDescent="0.25">
      <c r="A141" t="s">
        <v>27</v>
      </c>
      <c r="B141" t="s">
        <v>1</v>
      </c>
      <c r="C141" t="s">
        <v>2</v>
      </c>
      <c r="D141" t="s">
        <v>3</v>
      </c>
      <c r="E141" t="s">
        <v>4</v>
      </c>
      <c r="F141" t="s">
        <v>36</v>
      </c>
      <c r="G141" s="2">
        <v>45842</v>
      </c>
      <c r="H141" s="15">
        <v>1800010504</v>
      </c>
      <c r="I141" t="s">
        <v>75</v>
      </c>
      <c r="J141" s="2">
        <v>45842</v>
      </c>
      <c r="K141" s="2">
        <v>45847</v>
      </c>
      <c r="L141" t="s">
        <v>69</v>
      </c>
      <c r="M141" s="21">
        <v>256779415264</v>
      </c>
      <c r="N141" t="s">
        <v>9</v>
      </c>
      <c r="O141" t="s">
        <v>10</v>
      </c>
      <c r="P141" t="s">
        <v>8</v>
      </c>
      <c r="Q141" t="s">
        <v>65</v>
      </c>
      <c r="R141" t="s">
        <v>26</v>
      </c>
      <c r="S141" s="3">
        <v>926.11</v>
      </c>
      <c r="T141" t="s">
        <v>12</v>
      </c>
      <c r="U141" s="3">
        <v>79646.080000000002</v>
      </c>
      <c r="V141" s="3">
        <f>VLOOKUP(M141,'[1]combined ledger'!$A:$H,8,0)</f>
        <v>79041.919899999994</v>
      </c>
      <c r="W141" s="3">
        <f t="shared" si="1"/>
        <v>604.16010000000824</v>
      </c>
      <c r="X141" s="3"/>
      <c r="Y141" t="s">
        <v>77</v>
      </c>
      <c r="Z141" t="s">
        <v>13</v>
      </c>
      <c r="AA141" t="s">
        <v>8</v>
      </c>
      <c r="AB141" t="s">
        <v>8</v>
      </c>
      <c r="AC141" t="s">
        <v>14</v>
      </c>
      <c r="AD141" t="s">
        <v>372</v>
      </c>
      <c r="AE141" t="s">
        <v>8</v>
      </c>
      <c r="AF141" t="s">
        <v>8</v>
      </c>
      <c r="AG141" t="s">
        <v>8</v>
      </c>
      <c r="AH141" s="2">
        <v>45842</v>
      </c>
      <c r="AI141" s="2"/>
      <c r="AJ141" t="s">
        <v>8</v>
      </c>
    </row>
    <row r="142" spans="1:36" outlineLevel="2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36</v>
      </c>
      <c r="G142" s="2">
        <v>45842</v>
      </c>
      <c r="H142" s="15">
        <v>1600001539</v>
      </c>
      <c r="I142" t="s">
        <v>118</v>
      </c>
      <c r="J142" s="2">
        <v>45842</v>
      </c>
      <c r="K142" s="2">
        <v>45846</v>
      </c>
      <c r="L142" t="s">
        <v>69</v>
      </c>
      <c r="M142" s="21">
        <v>256779421172</v>
      </c>
      <c r="N142" t="s">
        <v>9</v>
      </c>
      <c r="O142" t="s">
        <v>10</v>
      </c>
      <c r="P142" t="s">
        <v>8</v>
      </c>
      <c r="Q142" t="s">
        <v>54</v>
      </c>
      <c r="R142" t="s">
        <v>26</v>
      </c>
      <c r="S142" s="3">
        <v>-1700</v>
      </c>
      <c r="T142" t="s">
        <v>12</v>
      </c>
      <c r="U142" s="3">
        <v>-146201.14000000001</v>
      </c>
      <c r="V142" s="3" t="e">
        <f>VLOOKUP(M142,'[1]combined ledger'!$A:$H,8,0)</f>
        <v>#N/A</v>
      </c>
      <c r="W142" s="3" t="e">
        <f t="shared" si="1"/>
        <v>#N/A</v>
      </c>
      <c r="X142" s="3"/>
      <c r="Y142" t="s">
        <v>77</v>
      </c>
      <c r="Z142" t="s">
        <v>13</v>
      </c>
      <c r="AA142" t="s">
        <v>8</v>
      </c>
      <c r="AB142" t="s">
        <v>69</v>
      </c>
      <c r="AC142" t="s">
        <v>14</v>
      </c>
      <c r="AD142" t="s">
        <v>375</v>
      </c>
      <c r="AE142" t="s">
        <v>8</v>
      </c>
      <c r="AF142" t="s">
        <v>8</v>
      </c>
      <c r="AG142" t="s">
        <v>8</v>
      </c>
      <c r="AH142" s="2">
        <v>45842</v>
      </c>
      <c r="AI142" s="2">
        <v>45902</v>
      </c>
      <c r="AJ142" t="s">
        <v>19</v>
      </c>
    </row>
    <row r="143" spans="1:36" outlineLevel="2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36</v>
      </c>
      <c r="G143" s="2">
        <v>45842</v>
      </c>
      <c r="H143" s="15">
        <v>1600001540</v>
      </c>
      <c r="I143" t="s">
        <v>118</v>
      </c>
      <c r="J143" s="2">
        <v>45842</v>
      </c>
      <c r="K143" s="2">
        <v>45846</v>
      </c>
      <c r="L143" t="s">
        <v>69</v>
      </c>
      <c r="M143" s="21">
        <v>256779421173</v>
      </c>
      <c r="N143" t="s">
        <v>9</v>
      </c>
      <c r="O143" t="s">
        <v>10</v>
      </c>
      <c r="P143" t="s">
        <v>8</v>
      </c>
      <c r="Q143" t="s">
        <v>54</v>
      </c>
      <c r="R143" t="s">
        <v>26</v>
      </c>
      <c r="S143" s="3">
        <v>-1750</v>
      </c>
      <c r="T143" t="s">
        <v>12</v>
      </c>
      <c r="U143" s="3">
        <v>-150501.17000000001</v>
      </c>
      <c r="V143" s="3" t="e">
        <f>VLOOKUP(M143,'[1]combined ledger'!$A:$H,8,0)</f>
        <v>#N/A</v>
      </c>
      <c r="W143" s="3" t="e">
        <f t="shared" si="1"/>
        <v>#N/A</v>
      </c>
      <c r="X143" s="3"/>
      <c r="Y143" t="s">
        <v>77</v>
      </c>
      <c r="Z143" t="s">
        <v>13</v>
      </c>
      <c r="AA143" t="s">
        <v>8</v>
      </c>
      <c r="AB143" t="s">
        <v>69</v>
      </c>
      <c r="AC143" t="s">
        <v>14</v>
      </c>
      <c r="AD143" t="s">
        <v>378</v>
      </c>
      <c r="AE143" t="s">
        <v>8</v>
      </c>
      <c r="AF143" t="s">
        <v>8</v>
      </c>
      <c r="AG143" t="s">
        <v>8</v>
      </c>
      <c r="AH143" s="2">
        <v>45842</v>
      </c>
      <c r="AI143" s="2">
        <v>45902</v>
      </c>
      <c r="AJ143" t="s">
        <v>19</v>
      </c>
    </row>
    <row r="144" spans="1:36" outlineLevel="2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36</v>
      </c>
      <c r="G144" s="2">
        <v>45842</v>
      </c>
      <c r="H144" s="15">
        <v>1600001541</v>
      </c>
      <c r="I144" t="s">
        <v>118</v>
      </c>
      <c r="J144" s="2">
        <v>45842</v>
      </c>
      <c r="K144" s="2">
        <v>45846</v>
      </c>
      <c r="L144" t="s">
        <v>69</v>
      </c>
      <c r="M144" s="21">
        <v>256779421174</v>
      </c>
      <c r="N144" t="s">
        <v>9</v>
      </c>
      <c r="O144" t="s">
        <v>10</v>
      </c>
      <c r="P144" t="s">
        <v>8</v>
      </c>
      <c r="Q144" t="s">
        <v>54</v>
      </c>
      <c r="R144" t="s">
        <v>26</v>
      </c>
      <c r="S144" s="3">
        <v>-1700</v>
      </c>
      <c r="T144" t="s">
        <v>12</v>
      </c>
      <c r="U144" s="3">
        <v>-146201.14000000001</v>
      </c>
      <c r="V144" s="3" t="e">
        <f>VLOOKUP(M144,'[1]combined ledger'!$A:$H,8,0)</f>
        <v>#N/A</v>
      </c>
      <c r="W144" s="3" t="e">
        <f t="shared" si="1"/>
        <v>#N/A</v>
      </c>
      <c r="X144" s="3"/>
      <c r="Y144" t="s">
        <v>77</v>
      </c>
      <c r="Z144" t="s">
        <v>13</v>
      </c>
      <c r="AA144" t="s">
        <v>8</v>
      </c>
      <c r="AB144" t="s">
        <v>69</v>
      </c>
      <c r="AC144" t="s">
        <v>14</v>
      </c>
      <c r="AD144" t="s">
        <v>381</v>
      </c>
      <c r="AE144" t="s">
        <v>8</v>
      </c>
      <c r="AF144" t="s">
        <v>8</v>
      </c>
      <c r="AG144" t="s">
        <v>8</v>
      </c>
      <c r="AH144" s="2">
        <v>45842</v>
      </c>
      <c r="AI144" s="2">
        <v>45902</v>
      </c>
      <c r="AJ144" t="s">
        <v>19</v>
      </c>
    </row>
    <row r="145" spans="1:36" outlineLevel="2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36</v>
      </c>
      <c r="G145" s="2">
        <v>45842</v>
      </c>
      <c r="H145" s="15">
        <v>1600001542</v>
      </c>
      <c r="I145" t="s">
        <v>118</v>
      </c>
      <c r="J145" s="2">
        <v>45842</v>
      </c>
      <c r="K145" s="2">
        <v>45846</v>
      </c>
      <c r="L145" t="s">
        <v>69</v>
      </c>
      <c r="M145" s="21">
        <v>256779421175</v>
      </c>
      <c r="N145" t="s">
        <v>9</v>
      </c>
      <c r="O145" t="s">
        <v>10</v>
      </c>
      <c r="P145" t="s">
        <v>8</v>
      </c>
      <c r="Q145" t="s">
        <v>54</v>
      </c>
      <c r="R145" t="s">
        <v>26</v>
      </c>
      <c r="S145" s="3">
        <v>-1750</v>
      </c>
      <c r="T145" t="s">
        <v>12</v>
      </c>
      <c r="U145" s="3">
        <v>-150501.17000000001</v>
      </c>
      <c r="V145" s="3" t="e">
        <f>VLOOKUP(M145,'[1]combined ledger'!$A:$H,8,0)</f>
        <v>#N/A</v>
      </c>
      <c r="W145" s="3" t="e">
        <f t="shared" si="1"/>
        <v>#N/A</v>
      </c>
      <c r="X145" s="3"/>
      <c r="Y145" t="s">
        <v>77</v>
      </c>
      <c r="Z145" t="s">
        <v>13</v>
      </c>
      <c r="AA145" t="s">
        <v>8</v>
      </c>
      <c r="AB145" t="s">
        <v>69</v>
      </c>
      <c r="AC145" t="s">
        <v>14</v>
      </c>
      <c r="AD145" t="s">
        <v>384</v>
      </c>
      <c r="AE145" t="s">
        <v>8</v>
      </c>
      <c r="AF145" t="s">
        <v>8</v>
      </c>
      <c r="AG145" t="s">
        <v>8</v>
      </c>
      <c r="AH145" s="2">
        <v>45842</v>
      </c>
      <c r="AI145" s="2">
        <v>45902</v>
      </c>
      <c r="AJ145" t="s">
        <v>19</v>
      </c>
    </row>
    <row r="146" spans="1:36" outlineLevel="2" x14ac:dyDescent="0.25">
      <c r="A146" t="s">
        <v>27</v>
      </c>
      <c r="B146" t="s">
        <v>1</v>
      </c>
      <c r="C146" t="s">
        <v>2</v>
      </c>
      <c r="D146" t="s">
        <v>3</v>
      </c>
      <c r="E146" t="s">
        <v>4</v>
      </c>
      <c r="F146" t="s">
        <v>54</v>
      </c>
      <c r="G146" s="2">
        <v>45966</v>
      </c>
      <c r="H146" s="15">
        <v>1800014283</v>
      </c>
      <c r="I146" t="s">
        <v>75</v>
      </c>
      <c r="J146" s="2">
        <v>45966</v>
      </c>
      <c r="K146" s="2">
        <v>45967</v>
      </c>
      <c r="L146" t="s">
        <v>69</v>
      </c>
      <c r="M146" s="21">
        <v>256779418820</v>
      </c>
      <c r="N146" t="s">
        <v>9</v>
      </c>
      <c r="O146" t="s">
        <v>10</v>
      </c>
      <c r="P146" t="s">
        <v>8</v>
      </c>
      <c r="Q146" t="s">
        <v>65</v>
      </c>
      <c r="R146" t="s">
        <v>26</v>
      </c>
      <c r="S146" s="3">
        <v>351.13</v>
      </c>
      <c r="T146" t="s">
        <v>12</v>
      </c>
      <c r="U146" s="3">
        <v>30900.63</v>
      </c>
      <c r="V146" s="3">
        <f>VLOOKUP(M146,'[1]combined ledger'!$A:$H,8,0)</f>
        <v>30281.439999999999</v>
      </c>
      <c r="W146" s="3">
        <f t="shared" si="1"/>
        <v>619.19000000000233</v>
      </c>
      <c r="X146" s="3"/>
      <c r="Y146" t="s">
        <v>77</v>
      </c>
      <c r="Z146" t="s">
        <v>13</v>
      </c>
      <c r="AA146" t="s">
        <v>8</v>
      </c>
      <c r="AB146" t="s">
        <v>387</v>
      </c>
      <c r="AC146" t="s">
        <v>14</v>
      </c>
      <c r="AD146" t="s">
        <v>388</v>
      </c>
      <c r="AE146" t="s">
        <v>8</v>
      </c>
      <c r="AF146" t="s">
        <v>8</v>
      </c>
      <c r="AG146" t="s">
        <v>8</v>
      </c>
      <c r="AH146" s="2">
        <v>45966</v>
      </c>
      <c r="AI146" s="2"/>
      <c r="AJ146" t="s">
        <v>8</v>
      </c>
    </row>
    <row r="147" spans="1:36" outlineLevel="2" x14ac:dyDescent="0.25">
      <c r="A147" t="s">
        <v>27</v>
      </c>
      <c r="B147" t="s">
        <v>1</v>
      </c>
      <c r="C147" t="s">
        <v>2</v>
      </c>
      <c r="D147" t="s">
        <v>3</v>
      </c>
      <c r="E147" t="s">
        <v>4</v>
      </c>
      <c r="F147" t="s">
        <v>54</v>
      </c>
      <c r="G147" s="2">
        <v>45966</v>
      </c>
      <c r="H147" s="15">
        <v>1800014544</v>
      </c>
      <c r="I147" t="s">
        <v>75</v>
      </c>
      <c r="J147" s="2">
        <v>45966</v>
      </c>
      <c r="K147" s="2">
        <v>45967</v>
      </c>
      <c r="L147" t="s">
        <v>69</v>
      </c>
      <c r="M147" s="21">
        <v>256779418876</v>
      </c>
      <c r="N147" t="s">
        <v>9</v>
      </c>
      <c r="O147" t="s">
        <v>10</v>
      </c>
      <c r="P147" t="s">
        <v>8</v>
      </c>
      <c r="Q147" t="s">
        <v>65</v>
      </c>
      <c r="R147" t="s">
        <v>26</v>
      </c>
      <c r="S147" s="3">
        <v>745.97</v>
      </c>
      <c r="T147" t="s">
        <v>12</v>
      </c>
      <c r="U147" s="3">
        <v>65647.89</v>
      </c>
      <c r="V147" s="3">
        <f>VLOOKUP(M147,'[1]combined ledger'!$A:$H,8,0)</f>
        <v>59082.888800000001</v>
      </c>
      <c r="W147" s="3">
        <f t="shared" si="1"/>
        <v>6565.0011999999988</v>
      </c>
      <c r="X147" s="3"/>
      <c r="Y147" t="s">
        <v>77</v>
      </c>
      <c r="Z147" t="s">
        <v>13</v>
      </c>
      <c r="AA147" t="s">
        <v>8</v>
      </c>
      <c r="AB147" t="s">
        <v>391</v>
      </c>
      <c r="AC147" t="s">
        <v>14</v>
      </c>
      <c r="AD147" t="s">
        <v>392</v>
      </c>
      <c r="AE147" t="s">
        <v>8</v>
      </c>
      <c r="AF147" t="s">
        <v>8</v>
      </c>
      <c r="AG147" t="s">
        <v>8</v>
      </c>
      <c r="AH147" s="2">
        <v>45966</v>
      </c>
      <c r="AI147" s="2"/>
      <c r="AJ147" t="s">
        <v>8</v>
      </c>
    </row>
    <row r="148" spans="1:36" outlineLevel="2" x14ac:dyDescent="0.25">
      <c r="A148" t="s">
        <v>27</v>
      </c>
      <c r="B148" t="s">
        <v>1</v>
      </c>
      <c r="C148" t="s">
        <v>2</v>
      </c>
      <c r="D148" t="s">
        <v>3</v>
      </c>
      <c r="E148" t="s">
        <v>4</v>
      </c>
      <c r="F148" t="s">
        <v>54</v>
      </c>
      <c r="G148" s="2">
        <v>45966</v>
      </c>
      <c r="H148" s="15">
        <v>1800014634</v>
      </c>
      <c r="I148" t="s">
        <v>75</v>
      </c>
      <c r="J148" s="2">
        <v>45966</v>
      </c>
      <c r="K148" s="2">
        <v>45967</v>
      </c>
      <c r="L148" t="s">
        <v>69</v>
      </c>
      <c r="M148" s="21">
        <v>256779419077</v>
      </c>
      <c r="N148" t="s">
        <v>9</v>
      </c>
      <c r="O148" t="s">
        <v>10</v>
      </c>
      <c r="P148" t="s">
        <v>8</v>
      </c>
      <c r="Q148" t="s">
        <v>65</v>
      </c>
      <c r="R148" t="s">
        <v>26</v>
      </c>
      <c r="S148" s="3">
        <v>900</v>
      </c>
      <c r="T148" t="s">
        <v>12</v>
      </c>
      <c r="U148" s="3">
        <v>79203.05</v>
      </c>
      <c r="V148" s="3">
        <f>VLOOKUP(M148,'[1]combined ledger'!$A:$H,8,0)</f>
        <v>7920</v>
      </c>
      <c r="W148" s="3">
        <f t="shared" si="1"/>
        <v>71283.05</v>
      </c>
      <c r="X148" s="3"/>
      <c r="Y148" t="s">
        <v>77</v>
      </c>
      <c r="Z148" t="s">
        <v>13</v>
      </c>
      <c r="AA148" t="s">
        <v>8</v>
      </c>
      <c r="AB148" t="s">
        <v>395</v>
      </c>
      <c r="AC148" t="s">
        <v>14</v>
      </c>
      <c r="AD148" t="s">
        <v>396</v>
      </c>
      <c r="AE148" t="s">
        <v>8</v>
      </c>
      <c r="AF148" t="s">
        <v>8</v>
      </c>
      <c r="AG148" t="s">
        <v>8</v>
      </c>
      <c r="AH148" s="2">
        <v>45966</v>
      </c>
      <c r="AI148" s="2"/>
      <c r="AJ148" t="s">
        <v>8</v>
      </c>
    </row>
    <row r="149" spans="1:36" outlineLevel="2" x14ac:dyDescent="0.25">
      <c r="A149" t="s">
        <v>27</v>
      </c>
      <c r="B149" t="s">
        <v>1</v>
      </c>
      <c r="C149" t="s">
        <v>2</v>
      </c>
      <c r="D149" t="s">
        <v>3</v>
      </c>
      <c r="E149" t="s">
        <v>4</v>
      </c>
      <c r="F149" t="s">
        <v>54</v>
      </c>
      <c r="G149" s="2">
        <v>45966</v>
      </c>
      <c r="H149" s="15">
        <v>1800014525</v>
      </c>
      <c r="I149" t="s">
        <v>75</v>
      </c>
      <c r="J149" s="2">
        <v>45966</v>
      </c>
      <c r="K149" s="2">
        <v>45967</v>
      </c>
      <c r="L149" t="s">
        <v>69</v>
      </c>
      <c r="M149" s="21">
        <v>256779419174</v>
      </c>
      <c r="N149" t="s">
        <v>9</v>
      </c>
      <c r="O149" t="s">
        <v>10</v>
      </c>
      <c r="P149" t="s">
        <v>8</v>
      </c>
      <c r="Q149" t="s">
        <v>65</v>
      </c>
      <c r="R149" t="s">
        <v>26</v>
      </c>
      <c r="S149" s="3">
        <v>8.2100000000000009</v>
      </c>
      <c r="T149" t="s">
        <v>12</v>
      </c>
      <c r="U149" s="3">
        <v>722.51</v>
      </c>
      <c r="V149" s="3">
        <f>VLOOKUP(M149,'[1]combined ledger'!$A:$H,8,0)</f>
        <v>708.50779999999997</v>
      </c>
      <c r="W149" s="3">
        <f t="shared" si="1"/>
        <v>14.002200000000016</v>
      </c>
      <c r="X149" s="3"/>
      <c r="Y149" t="s">
        <v>77</v>
      </c>
      <c r="Z149" t="s">
        <v>13</v>
      </c>
      <c r="AA149" t="s">
        <v>8</v>
      </c>
      <c r="AB149" t="s">
        <v>399</v>
      </c>
      <c r="AC149" t="s">
        <v>14</v>
      </c>
      <c r="AD149" t="s">
        <v>400</v>
      </c>
      <c r="AE149" t="s">
        <v>8</v>
      </c>
      <c r="AF149" t="s">
        <v>8</v>
      </c>
      <c r="AG149" t="s">
        <v>8</v>
      </c>
      <c r="AH149" s="2">
        <v>45966</v>
      </c>
      <c r="AI149" s="2"/>
      <c r="AJ149" t="s">
        <v>8</v>
      </c>
    </row>
    <row r="150" spans="1:36" outlineLevel="2" x14ac:dyDescent="0.25">
      <c r="A150" t="s">
        <v>27</v>
      </c>
      <c r="B150" t="s">
        <v>1</v>
      </c>
      <c r="C150" t="s">
        <v>2</v>
      </c>
      <c r="D150" t="s">
        <v>3</v>
      </c>
      <c r="E150" t="s">
        <v>4</v>
      </c>
      <c r="F150" t="s">
        <v>54</v>
      </c>
      <c r="G150" s="2">
        <v>45966</v>
      </c>
      <c r="H150" s="15">
        <v>1800014618</v>
      </c>
      <c r="I150" t="s">
        <v>75</v>
      </c>
      <c r="J150" s="2">
        <v>45966</v>
      </c>
      <c r="K150" s="2">
        <v>45967</v>
      </c>
      <c r="L150" t="s">
        <v>69</v>
      </c>
      <c r="M150" s="21">
        <v>256779419200</v>
      </c>
      <c r="N150" t="s">
        <v>9</v>
      </c>
      <c r="O150" t="s">
        <v>10</v>
      </c>
      <c r="P150" t="s">
        <v>8</v>
      </c>
      <c r="Q150" t="s">
        <v>65</v>
      </c>
      <c r="R150" t="s">
        <v>26</v>
      </c>
      <c r="S150" s="3">
        <v>152.26</v>
      </c>
      <c r="T150" t="s">
        <v>12</v>
      </c>
      <c r="U150" s="3">
        <v>13399.4</v>
      </c>
      <c r="V150" s="3">
        <f>VLOOKUP(M150,'[1]combined ledger'!$A:$H,8,0)</f>
        <v>13131.454</v>
      </c>
      <c r="W150" s="3">
        <f t="shared" si="1"/>
        <v>267.94599999999991</v>
      </c>
      <c r="X150" s="3"/>
      <c r="Y150" t="s">
        <v>77</v>
      </c>
      <c r="Z150" t="s">
        <v>13</v>
      </c>
      <c r="AA150" t="s">
        <v>8</v>
      </c>
      <c r="AB150" t="s">
        <v>403</v>
      </c>
      <c r="AC150" t="s">
        <v>14</v>
      </c>
      <c r="AD150" t="s">
        <v>404</v>
      </c>
      <c r="AE150" t="s">
        <v>8</v>
      </c>
      <c r="AF150" t="s">
        <v>8</v>
      </c>
      <c r="AG150" t="s">
        <v>8</v>
      </c>
      <c r="AH150" s="2">
        <v>45966</v>
      </c>
      <c r="AI150" s="2"/>
      <c r="AJ150" t="s">
        <v>8</v>
      </c>
    </row>
    <row r="151" spans="1:36" outlineLevel="2" x14ac:dyDescent="0.25">
      <c r="A151" t="s">
        <v>27</v>
      </c>
      <c r="B151" t="s">
        <v>1</v>
      </c>
      <c r="C151" t="s">
        <v>2</v>
      </c>
      <c r="D151" t="s">
        <v>3</v>
      </c>
      <c r="E151" t="s">
        <v>4</v>
      </c>
      <c r="F151" t="s">
        <v>54</v>
      </c>
      <c r="G151" s="2">
        <v>45966</v>
      </c>
      <c r="H151" s="15">
        <v>1800014731</v>
      </c>
      <c r="I151" t="s">
        <v>75</v>
      </c>
      <c r="J151" s="2">
        <v>45966</v>
      </c>
      <c r="K151" s="2">
        <v>45968</v>
      </c>
      <c r="L151" t="s">
        <v>406</v>
      </c>
      <c r="M151" s="21">
        <v>256779419232</v>
      </c>
      <c r="N151" t="s">
        <v>9</v>
      </c>
      <c r="O151" t="s">
        <v>10</v>
      </c>
      <c r="P151" t="s">
        <v>8</v>
      </c>
      <c r="Q151" t="s">
        <v>65</v>
      </c>
      <c r="R151" t="s">
        <v>26</v>
      </c>
      <c r="S151" s="3">
        <v>25.69</v>
      </c>
      <c r="T151" t="s">
        <v>12</v>
      </c>
      <c r="U151" s="3">
        <v>2260.81</v>
      </c>
      <c r="V151" s="3">
        <f>VLOOKUP(M151,'[1]combined ledger'!$A:$H,8,0)</f>
        <v>2233.4737</v>
      </c>
      <c r="W151" s="3">
        <f t="shared" si="1"/>
        <v>27.336299999999937</v>
      </c>
      <c r="X151" s="3"/>
      <c r="Y151" t="s">
        <v>77</v>
      </c>
      <c r="Z151" t="s">
        <v>13</v>
      </c>
      <c r="AA151" t="s">
        <v>8</v>
      </c>
      <c r="AB151" t="s">
        <v>69</v>
      </c>
      <c r="AC151" t="s">
        <v>14</v>
      </c>
      <c r="AD151" t="s">
        <v>408</v>
      </c>
      <c r="AE151" t="s">
        <v>8</v>
      </c>
      <c r="AF151" t="s">
        <v>8</v>
      </c>
      <c r="AG151" t="s">
        <v>8</v>
      </c>
      <c r="AH151" s="2">
        <v>45966</v>
      </c>
      <c r="AI151" s="2"/>
      <c r="AJ151" t="s">
        <v>8</v>
      </c>
    </row>
    <row r="152" spans="1:36" outlineLevel="2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17</v>
      </c>
      <c r="G152" s="2">
        <v>45713</v>
      </c>
      <c r="H152" s="15">
        <v>1800000350</v>
      </c>
      <c r="I152" t="s">
        <v>75</v>
      </c>
      <c r="J152" s="2">
        <v>45713</v>
      </c>
      <c r="K152" s="2">
        <v>45713</v>
      </c>
      <c r="L152" t="s">
        <v>69</v>
      </c>
      <c r="M152" s="21">
        <v>246779410324</v>
      </c>
      <c r="N152" t="s">
        <v>9</v>
      </c>
      <c r="O152" t="s">
        <v>10</v>
      </c>
      <c r="P152" t="s">
        <v>8</v>
      </c>
      <c r="Q152" t="s">
        <v>65</v>
      </c>
      <c r="R152" t="s">
        <v>26</v>
      </c>
      <c r="S152" s="3">
        <v>1750</v>
      </c>
      <c r="T152" t="s">
        <v>12</v>
      </c>
      <c r="U152" s="3">
        <v>151031.41</v>
      </c>
      <c r="V152" s="3">
        <f>VLOOKUP(M152,'[1]combined ledger'!$A:$H,8,0)</f>
        <v>134788</v>
      </c>
      <c r="W152" s="3">
        <f t="shared" si="1"/>
        <v>16243.410000000003</v>
      </c>
      <c r="X152" s="3"/>
      <c r="Y152" t="s">
        <v>77</v>
      </c>
      <c r="Z152" t="s">
        <v>13</v>
      </c>
      <c r="AA152" t="s">
        <v>8</v>
      </c>
      <c r="AB152" t="s">
        <v>69</v>
      </c>
      <c r="AC152" t="s">
        <v>14</v>
      </c>
      <c r="AD152" t="s">
        <v>170</v>
      </c>
      <c r="AE152" t="s">
        <v>8</v>
      </c>
      <c r="AF152" t="s">
        <v>8</v>
      </c>
      <c r="AG152" t="s">
        <v>8</v>
      </c>
      <c r="AH152" s="2">
        <v>45713</v>
      </c>
      <c r="AI152" s="2">
        <v>45887</v>
      </c>
      <c r="AJ152" t="s">
        <v>24</v>
      </c>
    </row>
    <row r="153" spans="1:36" outlineLevel="2" x14ac:dyDescent="0.25">
      <c r="A153" t="s">
        <v>27</v>
      </c>
      <c r="B153" t="s">
        <v>1</v>
      </c>
      <c r="C153" t="s">
        <v>2</v>
      </c>
      <c r="D153" t="s">
        <v>3</v>
      </c>
      <c r="E153" t="s">
        <v>4</v>
      </c>
      <c r="F153" t="s">
        <v>54</v>
      </c>
      <c r="G153" s="2">
        <v>45964</v>
      </c>
      <c r="H153" s="15">
        <v>1800014408</v>
      </c>
      <c r="I153" t="s">
        <v>75</v>
      </c>
      <c r="J153" s="2">
        <v>45964</v>
      </c>
      <c r="K153" s="2">
        <v>45967</v>
      </c>
      <c r="L153" t="s">
        <v>69</v>
      </c>
      <c r="M153" s="21">
        <v>256779419130</v>
      </c>
      <c r="N153" t="s">
        <v>9</v>
      </c>
      <c r="O153" t="s">
        <v>10</v>
      </c>
      <c r="P153" t="s">
        <v>8</v>
      </c>
      <c r="Q153" t="s">
        <v>65</v>
      </c>
      <c r="R153" t="s">
        <v>26</v>
      </c>
      <c r="S153" s="3">
        <v>52.71</v>
      </c>
      <c r="T153" t="s">
        <v>12</v>
      </c>
      <c r="U153" s="3">
        <v>4638.66</v>
      </c>
      <c r="V153" s="3">
        <f>VLOOKUP(M153,'[1]combined ledger'!$A:$H,8,0)</f>
        <v>4545.4799999999996</v>
      </c>
      <c r="W153" s="3">
        <f t="shared" si="1"/>
        <v>93.180000000000291</v>
      </c>
      <c r="X153" s="3"/>
      <c r="Y153" t="s">
        <v>77</v>
      </c>
      <c r="Z153" t="s">
        <v>13</v>
      </c>
      <c r="AA153" t="s">
        <v>8</v>
      </c>
      <c r="AB153" t="s">
        <v>413</v>
      </c>
      <c r="AC153" t="s">
        <v>14</v>
      </c>
      <c r="AD153" t="s">
        <v>414</v>
      </c>
      <c r="AE153" t="s">
        <v>8</v>
      </c>
      <c r="AF153" t="s">
        <v>8</v>
      </c>
      <c r="AG153" t="s">
        <v>8</v>
      </c>
      <c r="AH153" s="2">
        <v>45964</v>
      </c>
      <c r="AI153" s="2"/>
      <c r="AJ153" t="s">
        <v>8</v>
      </c>
    </row>
    <row r="154" spans="1:36" outlineLevel="2" x14ac:dyDescent="0.25">
      <c r="A154" t="s">
        <v>27</v>
      </c>
      <c r="B154" t="s">
        <v>1</v>
      </c>
      <c r="C154" t="s">
        <v>2</v>
      </c>
      <c r="D154" t="s">
        <v>3</v>
      </c>
      <c r="E154" t="s">
        <v>4</v>
      </c>
      <c r="F154" t="s">
        <v>23</v>
      </c>
      <c r="G154" s="2">
        <v>45877</v>
      </c>
      <c r="H154" s="15">
        <v>1800011648</v>
      </c>
      <c r="I154" t="s">
        <v>75</v>
      </c>
      <c r="J154" s="2">
        <v>45877</v>
      </c>
      <c r="K154" s="2">
        <v>45877</v>
      </c>
      <c r="L154" t="s">
        <v>69</v>
      </c>
      <c r="M154" s="21">
        <v>256779416078</v>
      </c>
      <c r="N154" t="s">
        <v>9</v>
      </c>
      <c r="O154" t="s">
        <v>10</v>
      </c>
      <c r="P154" t="s">
        <v>8</v>
      </c>
      <c r="Q154" t="s">
        <v>65</v>
      </c>
      <c r="R154" t="s">
        <v>26</v>
      </c>
      <c r="S154" s="3">
        <v>1477.42</v>
      </c>
      <c r="T154" t="s">
        <v>12</v>
      </c>
      <c r="U154" s="3">
        <v>127102.62</v>
      </c>
      <c r="V154" s="3">
        <f>VLOOKUP(M154,'[1]combined ledger'!$A:$H,8,0)</f>
        <v>114392.44259999999</v>
      </c>
      <c r="W154" s="3">
        <f t="shared" si="1"/>
        <v>12710.1774</v>
      </c>
      <c r="X154" s="3"/>
      <c r="Y154" t="s">
        <v>77</v>
      </c>
      <c r="Z154" t="s">
        <v>13</v>
      </c>
      <c r="AA154" t="s">
        <v>8</v>
      </c>
      <c r="AB154" t="s">
        <v>69</v>
      </c>
      <c r="AC154" t="s">
        <v>14</v>
      </c>
      <c r="AD154" t="s">
        <v>369</v>
      </c>
      <c r="AE154" t="s">
        <v>8</v>
      </c>
      <c r="AF154" t="s">
        <v>8</v>
      </c>
      <c r="AG154" t="s">
        <v>8</v>
      </c>
      <c r="AH154" s="2">
        <v>45877</v>
      </c>
      <c r="AI154" s="2"/>
      <c r="AJ154" t="s">
        <v>8</v>
      </c>
    </row>
    <row r="155" spans="1:36" outlineLevel="2" x14ac:dyDescent="0.25">
      <c r="A155" t="s">
        <v>27</v>
      </c>
      <c r="B155" t="s">
        <v>1</v>
      </c>
      <c r="C155" t="s">
        <v>2</v>
      </c>
      <c r="D155" t="s">
        <v>3</v>
      </c>
      <c r="E155" t="s">
        <v>4</v>
      </c>
      <c r="F155" t="s">
        <v>23</v>
      </c>
      <c r="G155" s="2">
        <v>45877</v>
      </c>
      <c r="H155" s="15">
        <v>1800011656</v>
      </c>
      <c r="I155" t="s">
        <v>75</v>
      </c>
      <c r="J155" s="2">
        <v>45877</v>
      </c>
      <c r="K155" s="2">
        <v>45877</v>
      </c>
      <c r="L155" t="s">
        <v>69</v>
      </c>
      <c r="M155" s="21">
        <v>256779416086</v>
      </c>
      <c r="N155" t="s">
        <v>9</v>
      </c>
      <c r="O155" t="s">
        <v>10</v>
      </c>
      <c r="P155" t="s">
        <v>8</v>
      </c>
      <c r="Q155" t="s">
        <v>65</v>
      </c>
      <c r="R155" t="s">
        <v>26</v>
      </c>
      <c r="S155" s="3">
        <v>1449.76</v>
      </c>
      <c r="T155" t="s">
        <v>12</v>
      </c>
      <c r="U155" s="3">
        <v>124723.03</v>
      </c>
      <c r="V155" s="3">
        <f>VLOOKUP(M155,'[1]combined ledger'!$A:$H,8,0)</f>
        <v>112251.02680000001</v>
      </c>
      <c r="W155" s="3">
        <f t="shared" si="1"/>
        <v>12472.003199999992</v>
      </c>
      <c r="X155" s="3"/>
      <c r="Y155" t="s">
        <v>77</v>
      </c>
      <c r="Z155" t="s">
        <v>13</v>
      </c>
      <c r="AA155" t="s">
        <v>8</v>
      </c>
      <c r="AB155" t="s">
        <v>69</v>
      </c>
      <c r="AC155" t="s">
        <v>14</v>
      </c>
      <c r="AD155" t="s">
        <v>419</v>
      </c>
      <c r="AE155" t="s">
        <v>8</v>
      </c>
      <c r="AF155" t="s">
        <v>8</v>
      </c>
      <c r="AG155" t="s">
        <v>8</v>
      </c>
      <c r="AH155" s="2">
        <v>45877</v>
      </c>
      <c r="AI155" s="2"/>
      <c r="AJ155" t="s">
        <v>8</v>
      </c>
    </row>
    <row r="156" spans="1:36" outlineLevel="2" x14ac:dyDescent="0.25">
      <c r="A156" t="s">
        <v>27</v>
      </c>
      <c r="B156" t="s">
        <v>1</v>
      </c>
      <c r="C156" t="s">
        <v>2</v>
      </c>
      <c r="D156" t="s">
        <v>3</v>
      </c>
      <c r="E156" t="s">
        <v>4</v>
      </c>
      <c r="F156" t="s">
        <v>23</v>
      </c>
      <c r="G156" s="2">
        <v>45877</v>
      </c>
      <c r="H156" s="15">
        <v>1800011800</v>
      </c>
      <c r="I156" t="s">
        <v>75</v>
      </c>
      <c r="J156" s="2">
        <v>45877</v>
      </c>
      <c r="K156" s="2">
        <v>45877</v>
      </c>
      <c r="L156" t="s">
        <v>69</v>
      </c>
      <c r="M156" s="21">
        <v>256779416103</v>
      </c>
      <c r="N156" t="s">
        <v>9</v>
      </c>
      <c r="O156" t="s">
        <v>10</v>
      </c>
      <c r="P156" t="s">
        <v>8</v>
      </c>
      <c r="Q156" t="s">
        <v>65</v>
      </c>
      <c r="R156" t="s">
        <v>26</v>
      </c>
      <c r="S156" s="3">
        <v>50</v>
      </c>
      <c r="T156" t="s">
        <v>12</v>
      </c>
      <c r="U156" s="3">
        <v>4301.51</v>
      </c>
      <c r="V156" s="3" t="e">
        <f>VLOOKUP(M156,'[1]combined ledger'!$A:$H,8,0)</f>
        <v>#N/A</v>
      </c>
      <c r="W156" s="3" t="e">
        <f t="shared" si="1"/>
        <v>#N/A</v>
      </c>
      <c r="X156" s="3"/>
      <c r="Y156" t="s">
        <v>77</v>
      </c>
      <c r="Z156" t="s">
        <v>13</v>
      </c>
      <c r="AA156" t="s">
        <v>8</v>
      </c>
      <c r="AB156" t="s">
        <v>69</v>
      </c>
      <c r="AC156" t="s">
        <v>14</v>
      </c>
      <c r="AD156" t="s">
        <v>422</v>
      </c>
      <c r="AE156" t="s">
        <v>8</v>
      </c>
      <c r="AF156" t="s">
        <v>8</v>
      </c>
      <c r="AG156" t="s">
        <v>8</v>
      </c>
      <c r="AH156" s="2">
        <v>45877</v>
      </c>
      <c r="AI156" s="2"/>
      <c r="AJ156" t="s">
        <v>8</v>
      </c>
    </row>
    <row r="157" spans="1:36" outlineLevel="2" x14ac:dyDescent="0.25">
      <c r="A157" t="s">
        <v>27</v>
      </c>
      <c r="B157" t="s">
        <v>1</v>
      </c>
      <c r="C157" t="s">
        <v>2</v>
      </c>
      <c r="D157" t="s">
        <v>3</v>
      </c>
      <c r="E157" t="s">
        <v>4</v>
      </c>
      <c r="F157" t="s">
        <v>23</v>
      </c>
      <c r="G157" s="2">
        <v>45877</v>
      </c>
      <c r="H157" s="15">
        <v>1800011832</v>
      </c>
      <c r="I157" t="s">
        <v>75</v>
      </c>
      <c r="J157" s="2">
        <v>45877</v>
      </c>
      <c r="K157" s="2">
        <v>45877</v>
      </c>
      <c r="L157" t="s">
        <v>69</v>
      </c>
      <c r="M157" s="21">
        <v>256779416141</v>
      </c>
      <c r="N157" t="s">
        <v>9</v>
      </c>
      <c r="O157" t="s">
        <v>10</v>
      </c>
      <c r="P157" t="s">
        <v>8</v>
      </c>
      <c r="Q157" t="s">
        <v>65</v>
      </c>
      <c r="R157" t="s">
        <v>26</v>
      </c>
      <c r="S157" s="3">
        <v>299.12</v>
      </c>
      <c r="T157" t="s">
        <v>12</v>
      </c>
      <c r="U157" s="3">
        <v>25733.33</v>
      </c>
      <c r="V157" s="3">
        <f>VLOOKUP(M157,'[1]combined ledger'!$A:$H,8,0)</f>
        <v>25992.970399999998</v>
      </c>
      <c r="W157" s="3">
        <f t="shared" si="1"/>
        <v>-259.64039999999659</v>
      </c>
      <c r="X157" s="3"/>
      <c r="Y157" t="s">
        <v>77</v>
      </c>
      <c r="Z157" t="s">
        <v>13</v>
      </c>
      <c r="AA157" t="s">
        <v>8</v>
      </c>
      <c r="AB157" t="s">
        <v>69</v>
      </c>
      <c r="AC157" t="s">
        <v>14</v>
      </c>
      <c r="AD157" t="s">
        <v>425</v>
      </c>
      <c r="AE157" t="s">
        <v>8</v>
      </c>
      <c r="AF157" t="s">
        <v>8</v>
      </c>
      <c r="AG157" t="s">
        <v>8</v>
      </c>
      <c r="AH157" s="2">
        <v>45877</v>
      </c>
      <c r="AI157" s="2"/>
      <c r="AJ157" t="s">
        <v>8</v>
      </c>
    </row>
    <row r="158" spans="1:36" outlineLevel="2" x14ac:dyDescent="0.25">
      <c r="A158" t="s">
        <v>27</v>
      </c>
      <c r="B158" t="s">
        <v>1</v>
      </c>
      <c r="C158" t="s">
        <v>2</v>
      </c>
      <c r="D158" t="s">
        <v>3</v>
      </c>
      <c r="E158" t="s">
        <v>4</v>
      </c>
      <c r="F158" t="s">
        <v>23</v>
      </c>
      <c r="G158" s="2">
        <v>45877</v>
      </c>
      <c r="H158" s="15">
        <v>1800011788</v>
      </c>
      <c r="I158" t="s">
        <v>75</v>
      </c>
      <c r="J158" s="2">
        <v>45877</v>
      </c>
      <c r="K158" s="2">
        <v>45877</v>
      </c>
      <c r="L158" t="s">
        <v>69</v>
      </c>
      <c r="M158" s="21">
        <v>256779416179</v>
      </c>
      <c r="N158" t="s">
        <v>9</v>
      </c>
      <c r="O158" t="s">
        <v>10</v>
      </c>
      <c r="P158" t="s">
        <v>8</v>
      </c>
      <c r="Q158" t="s">
        <v>65</v>
      </c>
      <c r="R158" t="s">
        <v>26</v>
      </c>
      <c r="S158" s="3">
        <v>2787.24</v>
      </c>
      <c r="T158" t="s">
        <v>12</v>
      </c>
      <c r="U158" s="3">
        <v>239786.59</v>
      </c>
      <c r="V158" s="3">
        <f>VLOOKUP(M158,'[1]combined ledger'!$A:$H,8,0)</f>
        <v>231074.27849999999</v>
      </c>
      <c r="W158" s="3">
        <f t="shared" si="1"/>
        <v>8712.3115000000107</v>
      </c>
      <c r="X158" s="3"/>
      <c r="Y158" t="s">
        <v>77</v>
      </c>
      <c r="Z158" t="s">
        <v>13</v>
      </c>
      <c r="AA158" t="s">
        <v>8</v>
      </c>
      <c r="AB158" t="s">
        <v>69</v>
      </c>
      <c r="AC158" t="s">
        <v>14</v>
      </c>
      <c r="AD158" t="s">
        <v>428</v>
      </c>
      <c r="AE158" t="s">
        <v>8</v>
      </c>
      <c r="AF158" t="s">
        <v>8</v>
      </c>
      <c r="AG158" t="s">
        <v>8</v>
      </c>
      <c r="AH158" s="2">
        <v>45877</v>
      </c>
      <c r="AI158" s="2"/>
      <c r="AJ158" t="s">
        <v>8</v>
      </c>
    </row>
    <row r="159" spans="1:36" outlineLevel="2" x14ac:dyDescent="0.25">
      <c r="A159" t="s">
        <v>27</v>
      </c>
      <c r="B159" t="s">
        <v>1</v>
      </c>
      <c r="C159" t="s">
        <v>2</v>
      </c>
      <c r="D159" t="s">
        <v>3</v>
      </c>
      <c r="E159" t="s">
        <v>4</v>
      </c>
      <c r="F159" t="s">
        <v>23</v>
      </c>
      <c r="G159" s="2">
        <v>45877</v>
      </c>
      <c r="H159" s="15">
        <v>1800011706</v>
      </c>
      <c r="I159" t="s">
        <v>75</v>
      </c>
      <c r="J159" s="2">
        <v>45877</v>
      </c>
      <c r="K159" s="2">
        <v>45877</v>
      </c>
      <c r="L159" t="s">
        <v>69</v>
      </c>
      <c r="M159" s="21">
        <v>256779416224</v>
      </c>
      <c r="N159" t="s">
        <v>9</v>
      </c>
      <c r="O159" t="s">
        <v>10</v>
      </c>
      <c r="P159" t="s">
        <v>8</v>
      </c>
      <c r="Q159" t="s">
        <v>65</v>
      </c>
      <c r="R159" t="s">
        <v>26</v>
      </c>
      <c r="S159" s="3">
        <v>304.52999999999997</v>
      </c>
      <c r="T159" t="s">
        <v>12</v>
      </c>
      <c r="U159" s="3">
        <v>26198.75</v>
      </c>
      <c r="V159" s="3">
        <f>VLOOKUP(M159,'[1]combined ledger'!$A:$H,8,0)</f>
        <v>26217.960500000001</v>
      </c>
      <c r="W159" s="3">
        <f t="shared" si="1"/>
        <v>-19.210500000001048</v>
      </c>
      <c r="X159" s="3"/>
      <c r="Y159" t="s">
        <v>77</v>
      </c>
      <c r="Z159" t="s">
        <v>13</v>
      </c>
      <c r="AA159" t="s">
        <v>8</v>
      </c>
      <c r="AB159" t="s">
        <v>69</v>
      </c>
      <c r="AC159" t="s">
        <v>14</v>
      </c>
      <c r="AD159" t="s">
        <v>431</v>
      </c>
      <c r="AE159" t="s">
        <v>8</v>
      </c>
      <c r="AF159" t="s">
        <v>8</v>
      </c>
      <c r="AG159" t="s">
        <v>8</v>
      </c>
      <c r="AH159" s="2">
        <v>45877</v>
      </c>
      <c r="AI159" s="2"/>
      <c r="AJ159" t="s">
        <v>8</v>
      </c>
    </row>
    <row r="160" spans="1:36" outlineLevel="2" x14ac:dyDescent="0.25">
      <c r="A160" t="s">
        <v>27</v>
      </c>
      <c r="B160" t="s">
        <v>1</v>
      </c>
      <c r="C160" t="s">
        <v>2</v>
      </c>
      <c r="D160" t="s">
        <v>3</v>
      </c>
      <c r="E160" t="s">
        <v>4</v>
      </c>
      <c r="F160" t="s">
        <v>23</v>
      </c>
      <c r="G160" s="2">
        <v>45877</v>
      </c>
      <c r="H160" s="15">
        <v>1800011595</v>
      </c>
      <c r="I160" t="s">
        <v>75</v>
      </c>
      <c r="J160" s="2">
        <v>45877</v>
      </c>
      <c r="K160" s="2">
        <v>45877</v>
      </c>
      <c r="L160" t="s">
        <v>69</v>
      </c>
      <c r="M160" s="21">
        <v>256779416445</v>
      </c>
      <c r="N160" t="s">
        <v>9</v>
      </c>
      <c r="O160" t="s">
        <v>10</v>
      </c>
      <c r="P160" t="s">
        <v>8</v>
      </c>
      <c r="Q160" t="s">
        <v>65</v>
      </c>
      <c r="R160" t="s">
        <v>26</v>
      </c>
      <c r="S160" s="3">
        <v>586.79</v>
      </c>
      <c r="T160" t="s">
        <v>12</v>
      </c>
      <c r="U160" s="3">
        <v>50481.61</v>
      </c>
      <c r="V160" s="3">
        <f>VLOOKUP(M160,'[1]combined ledger'!$A:$H,8,0)</f>
        <v>50518.501499999998</v>
      </c>
      <c r="W160" s="3">
        <f t="shared" ref="W160:W223" si="2">U160-V160</f>
        <v>-36.891499999997905</v>
      </c>
      <c r="X160" s="3"/>
      <c r="Y160" t="s">
        <v>77</v>
      </c>
      <c r="Z160" t="s">
        <v>13</v>
      </c>
      <c r="AA160" t="s">
        <v>8</v>
      </c>
      <c r="AB160" t="s">
        <v>69</v>
      </c>
      <c r="AC160" t="s">
        <v>14</v>
      </c>
      <c r="AD160" t="s">
        <v>434</v>
      </c>
      <c r="AE160" t="s">
        <v>8</v>
      </c>
      <c r="AF160" t="s">
        <v>8</v>
      </c>
      <c r="AG160" t="s">
        <v>8</v>
      </c>
      <c r="AH160" s="2">
        <v>45877</v>
      </c>
      <c r="AI160" s="2"/>
      <c r="AJ160" t="s">
        <v>8</v>
      </c>
    </row>
    <row r="161" spans="1:36" outlineLevel="2" x14ac:dyDescent="0.25">
      <c r="A161" t="s">
        <v>27</v>
      </c>
      <c r="B161" t="s">
        <v>1</v>
      </c>
      <c r="C161" t="s">
        <v>2</v>
      </c>
      <c r="D161" t="s">
        <v>3</v>
      </c>
      <c r="E161" t="s">
        <v>4</v>
      </c>
      <c r="F161" t="s">
        <v>23</v>
      </c>
      <c r="G161" s="2">
        <v>45877</v>
      </c>
      <c r="H161" s="15">
        <v>1800011864</v>
      </c>
      <c r="I161" t="s">
        <v>75</v>
      </c>
      <c r="J161" s="2">
        <v>45877</v>
      </c>
      <c r="K161" s="2">
        <v>45877</v>
      </c>
      <c r="L161" t="s">
        <v>69</v>
      </c>
      <c r="M161" s="21">
        <v>256779416515</v>
      </c>
      <c r="N161" t="s">
        <v>9</v>
      </c>
      <c r="O161" t="s">
        <v>10</v>
      </c>
      <c r="P161" t="s">
        <v>8</v>
      </c>
      <c r="Q161" t="s">
        <v>65</v>
      </c>
      <c r="R161" t="s">
        <v>26</v>
      </c>
      <c r="S161" s="3">
        <v>396.98</v>
      </c>
      <c r="T161" t="s">
        <v>12</v>
      </c>
      <c r="U161" s="3">
        <v>34152.239999999998</v>
      </c>
      <c r="V161" s="3">
        <f>VLOOKUP(M161,'[1]combined ledger'!$A:$H,8,0)</f>
        <v>34496.2166</v>
      </c>
      <c r="W161" s="3">
        <f t="shared" si="2"/>
        <v>-343.97660000000178</v>
      </c>
      <c r="X161" s="3"/>
      <c r="Y161" t="s">
        <v>77</v>
      </c>
      <c r="Z161" t="s">
        <v>13</v>
      </c>
      <c r="AA161" t="s">
        <v>8</v>
      </c>
      <c r="AB161" t="s">
        <v>69</v>
      </c>
      <c r="AC161" t="s">
        <v>14</v>
      </c>
      <c r="AD161" t="s">
        <v>437</v>
      </c>
      <c r="AE161" t="s">
        <v>8</v>
      </c>
      <c r="AF161" t="s">
        <v>8</v>
      </c>
      <c r="AG161" t="s">
        <v>8</v>
      </c>
      <c r="AH161" s="2">
        <v>45877</v>
      </c>
      <c r="AI161" s="2"/>
      <c r="AJ161" t="s">
        <v>8</v>
      </c>
    </row>
    <row r="162" spans="1:36" outlineLevel="2" x14ac:dyDescent="0.25">
      <c r="A162" t="s">
        <v>27</v>
      </c>
      <c r="B162" t="s">
        <v>1</v>
      </c>
      <c r="C162" t="s">
        <v>2</v>
      </c>
      <c r="D162" t="s">
        <v>3</v>
      </c>
      <c r="E162" t="s">
        <v>4</v>
      </c>
      <c r="F162" t="s">
        <v>79</v>
      </c>
      <c r="G162" s="2">
        <v>45812</v>
      </c>
      <c r="H162" s="15">
        <v>1800009453</v>
      </c>
      <c r="I162" t="s">
        <v>75</v>
      </c>
      <c r="J162" s="2">
        <v>45812</v>
      </c>
      <c r="K162" s="2">
        <v>45817</v>
      </c>
      <c r="L162" t="s">
        <v>69</v>
      </c>
      <c r="M162" s="21">
        <v>256779414217</v>
      </c>
      <c r="N162" t="s">
        <v>9</v>
      </c>
      <c r="O162" t="s">
        <v>10</v>
      </c>
      <c r="P162" t="s">
        <v>8</v>
      </c>
      <c r="Q162" t="s">
        <v>65</v>
      </c>
      <c r="R162" t="s">
        <v>26</v>
      </c>
      <c r="S162" s="3">
        <v>71.760000000000005</v>
      </c>
      <c r="T162" t="s">
        <v>12</v>
      </c>
      <c r="U162" s="3">
        <v>6134.82</v>
      </c>
      <c r="V162" s="3">
        <f>VLOOKUP(M162,'[1]combined ledger'!$A:$H,8,0)</f>
        <v>6106.6383999999998</v>
      </c>
      <c r="W162" s="3">
        <f t="shared" si="2"/>
        <v>28.181599999999889</v>
      </c>
      <c r="X162" s="3"/>
      <c r="Y162" t="s">
        <v>77</v>
      </c>
      <c r="Z162" t="s">
        <v>13</v>
      </c>
      <c r="AA162" t="s">
        <v>8</v>
      </c>
      <c r="AB162" t="s">
        <v>69</v>
      </c>
      <c r="AC162" t="s">
        <v>14</v>
      </c>
      <c r="AD162" t="s">
        <v>440</v>
      </c>
      <c r="AE162" t="s">
        <v>8</v>
      </c>
      <c r="AF162" t="s">
        <v>8</v>
      </c>
      <c r="AG162" t="s">
        <v>8</v>
      </c>
      <c r="AH162" s="2">
        <v>45812</v>
      </c>
      <c r="AI162" s="2"/>
      <c r="AJ162" t="s">
        <v>8</v>
      </c>
    </row>
    <row r="163" spans="1:36" outlineLevel="2" x14ac:dyDescent="0.25">
      <c r="A163" t="s">
        <v>27</v>
      </c>
      <c r="B163" t="s">
        <v>1</v>
      </c>
      <c r="C163" t="s">
        <v>2</v>
      </c>
      <c r="D163" t="s">
        <v>3</v>
      </c>
      <c r="E163" t="s">
        <v>4</v>
      </c>
      <c r="F163" t="s">
        <v>79</v>
      </c>
      <c r="G163" s="2">
        <v>45812</v>
      </c>
      <c r="H163" s="15">
        <v>1800009511</v>
      </c>
      <c r="I163" t="s">
        <v>75</v>
      </c>
      <c r="J163" s="2">
        <v>45812</v>
      </c>
      <c r="K163" s="2">
        <v>45817</v>
      </c>
      <c r="L163" t="s">
        <v>69</v>
      </c>
      <c r="M163" s="21">
        <v>256779414275</v>
      </c>
      <c r="N163" t="s">
        <v>9</v>
      </c>
      <c r="O163" t="s">
        <v>10</v>
      </c>
      <c r="P163" t="s">
        <v>8</v>
      </c>
      <c r="Q163" t="s">
        <v>65</v>
      </c>
      <c r="R163" t="s">
        <v>26</v>
      </c>
      <c r="S163" s="3">
        <v>136.08000000000001</v>
      </c>
      <c r="T163" t="s">
        <v>12</v>
      </c>
      <c r="U163" s="3">
        <v>11633.59</v>
      </c>
      <c r="V163" s="3">
        <f>VLOOKUP(M163,'[1]combined ledger'!$A:$H,8,0)</f>
        <v>11403.200800000001</v>
      </c>
      <c r="W163" s="3">
        <f t="shared" si="2"/>
        <v>230.38919999999962</v>
      </c>
      <c r="X163" s="3"/>
      <c r="Y163" t="s">
        <v>77</v>
      </c>
      <c r="Z163" t="s">
        <v>13</v>
      </c>
      <c r="AA163" t="s">
        <v>8</v>
      </c>
      <c r="AB163" t="s">
        <v>69</v>
      </c>
      <c r="AC163" t="s">
        <v>14</v>
      </c>
      <c r="AD163" t="s">
        <v>443</v>
      </c>
      <c r="AE163" t="s">
        <v>8</v>
      </c>
      <c r="AF163" t="s">
        <v>8</v>
      </c>
      <c r="AG163" t="s">
        <v>8</v>
      </c>
      <c r="AH163" s="2">
        <v>45812</v>
      </c>
      <c r="AI163" s="2"/>
      <c r="AJ163" t="s">
        <v>8</v>
      </c>
    </row>
    <row r="164" spans="1:36" outlineLevel="2" x14ac:dyDescent="0.25">
      <c r="A164" t="s">
        <v>27</v>
      </c>
      <c r="B164" t="s">
        <v>1</v>
      </c>
      <c r="C164" t="s">
        <v>2</v>
      </c>
      <c r="D164" t="s">
        <v>3</v>
      </c>
      <c r="E164" t="s">
        <v>4</v>
      </c>
      <c r="F164" t="s">
        <v>79</v>
      </c>
      <c r="G164" s="2">
        <v>45812</v>
      </c>
      <c r="H164" s="15">
        <v>1800009553</v>
      </c>
      <c r="I164" t="s">
        <v>75</v>
      </c>
      <c r="J164" s="2">
        <v>45812</v>
      </c>
      <c r="K164" s="2">
        <v>45817</v>
      </c>
      <c r="L164" t="s">
        <v>69</v>
      </c>
      <c r="M164" s="21">
        <v>256779414317</v>
      </c>
      <c r="N164" t="s">
        <v>9</v>
      </c>
      <c r="O164" t="s">
        <v>10</v>
      </c>
      <c r="P164" t="s">
        <v>8</v>
      </c>
      <c r="Q164" t="s">
        <v>65</v>
      </c>
      <c r="R164" t="s">
        <v>26</v>
      </c>
      <c r="S164" s="3">
        <v>697.43</v>
      </c>
      <c r="T164" t="s">
        <v>12</v>
      </c>
      <c r="U164" s="3">
        <v>59623.83</v>
      </c>
      <c r="V164" s="3">
        <f>VLOOKUP(M164,'[1]combined ledger'!$A:$H,8,0)</f>
        <v>58444.239300000001</v>
      </c>
      <c r="W164" s="3">
        <f t="shared" si="2"/>
        <v>1179.5907000000007</v>
      </c>
      <c r="X164" s="3"/>
      <c r="Y164" t="s">
        <v>77</v>
      </c>
      <c r="Z164" t="s">
        <v>13</v>
      </c>
      <c r="AA164" t="s">
        <v>8</v>
      </c>
      <c r="AB164" t="s">
        <v>69</v>
      </c>
      <c r="AC164" t="s">
        <v>14</v>
      </c>
      <c r="AD164" t="s">
        <v>446</v>
      </c>
      <c r="AE164" t="s">
        <v>8</v>
      </c>
      <c r="AF164" t="s">
        <v>8</v>
      </c>
      <c r="AG164" t="s">
        <v>8</v>
      </c>
      <c r="AH164" s="2">
        <v>45812</v>
      </c>
      <c r="AI164" s="2"/>
      <c r="AJ164" t="s">
        <v>8</v>
      </c>
    </row>
    <row r="165" spans="1:36" s="23" customFormat="1" outlineLevel="2" x14ac:dyDescent="0.25">
      <c r="A165" s="23" t="s">
        <v>0</v>
      </c>
      <c r="B165" s="23" t="s">
        <v>1</v>
      </c>
      <c r="C165" s="23" t="s">
        <v>2</v>
      </c>
      <c r="D165" s="23" t="s">
        <v>3</v>
      </c>
      <c r="E165" s="23" t="s">
        <v>4</v>
      </c>
      <c r="F165" s="23" t="s">
        <v>73</v>
      </c>
      <c r="G165" s="24">
        <v>45791</v>
      </c>
      <c r="H165" s="28">
        <v>1600000596</v>
      </c>
      <c r="I165" s="23" t="s">
        <v>118</v>
      </c>
      <c r="J165" s="24">
        <v>45791</v>
      </c>
      <c r="K165" s="24">
        <v>45793</v>
      </c>
      <c r="L165" s="23" t="s">
        <v>69</v>
      </c>
      <c r="M165" s="25">
        <v>256779420305</v>
      </c>
      <c r="N165" s="23" t="s">
        <v>9</v>
      </c>
      <c r="O165" s="23" t="s">
        <v>10</v>
      </c>
      <c r="P165" s="23" t="s">
        <v>8</v>
      </c>
      <c r="Q165" s="23" t="s">
        <v>54</v>
      </c>
      <c r="R165" s="23" t="s">
        <v>26</v>
      </c>
      <c r="S165" s="26">
        <v>-945.75</v>
      </c>
      <c r="T165" s="23" t="s">
        <v>12</v>
      </c>
      <c r="U165" s="26">
        <v>-81988.259999999995</v>
      </c>
      <c r="V165" s="26" t="e">
        <f>VLOOKUP(M165,'[1]combined ledger'!$A:$H,8,0)</f>
        <v>#N/A</v>
      </c>
      <c r="W165" s="26" t="e">
        <f t="shared" si="2"/>
        <v>#N/A</v>
      </c>
      <c r="X165" s="26"/>
      <c r="Y165" s="23" t="s">
        <v>77</v>
      </c>
      <c r="Z165" s="23" t="s">
        <v>13</v>
      </c>
      <c r="AA165" s="23" t="s">
        <v>8</v>
      </c>
      <c r="AB165" s="23" t="s">
        <v>69</v>
      </c>
      <c r="AC165" s="23" t="s">
        <v>14</v>
      </c>
      <c r="AD165" s="23" t="s">
        <v>449</v>
      </c>
      <c r="AE165" s="23" t="s">
        <v>8</v>
      </c>
      <c r="AF165" s="23" t="s">
        <v>8</v>
      </c>
      <c r="AG165" s="23" t="s">
        <v>8</v>
      </c>
      <c r="AH165" s="24">
        <v>45791</v>
      </c>
      <c r="AI165" s="24">
        <v>45842</v>
      </c>
      <c r="AJ165" s="23" t="s">
        <v>68</v>
      </c>
    </row>
    <row r="166" spans="1:36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73</v>
      </c>
      <c r="G166" s="2">
        <v>45791</v>
      </c>
      <c r="H166" s="15">
        <v>1600000782</v>
      </c>
      <c r="I166" t="s">
        <v>118</v>
      </c>
      <c r="J166" s="2">
        <v>45791</v>
      </c>
      <c r="K166" s="2">
        <v>45793</v>
      </c>
      <c r="L166" t="s">
        <v>69</v>
      </c>
      <c r="M166" s="21">
        <v>256779420491</v>
      </c>
      <c r="N166" t="s">
        <v>9</v>
      </c>
      <c r="O166" t="s">
        <v>10</v>
      </c>
      <c r="P166" t="s">
        <v>8</v>
      </c>
      <c r="Q166" t="s">
        <v>54</v>
      </c>
      <c r="R166" t="s">
        <v>26</v>
      </c>
      <c r="S166" s="3">
        <v>-1166.5899999999999</v>
      </c>
      <c r="T166" t="s">
        <v>12</v>
      </c>
      <c r="U166" s="3">
        <v>-101402.13</v>
      </c>
      <c r="V166" s="3" t="e">
        <f>VLOOKUP(M166,'[1]combined ledger'!$A:$H,8,0)</f>
        <v>#N/A</v>
      </c>
      <c r="W166" s="3" t="e">
        <f t="shared" si="2"/>
        <v>#N/A</v>
      </c>
      <c r="X166" s="3"/>
      <c r="Y166" t="s">
        <v>77</v>
      </c>
      <c r="Z166" t="s">
        <v>13</v>
      </c>
      <c r="AA166" t="s">
        <v>8</v>
      </c>
      <c r="AB166" t="s">
        <v>69</v>
      </c>
      <c r="AC166" t="s">
        <v>14</v>
      </c>
      <c r="AD166" t="s">
        <v>452</v>
      </c>
      <c r="AE166" t="s">
        <v>8</v>
      </c>
      <c r="AF166" t="s">
        <v>8</v>
      </c>
      <c r="AG166" t="s">
        <v>8</v>
      </c>
      <c r="AH166" s="2">
        <v>45791</v>
      </c>
      <c r="AI166" s="2">
        <v>45842</v>
      </c>
      <c r="AJ166" t="s">
        <v>71</v>
      </c>
    </row>
    <row r="167" spans="1:36" outlineLevel="2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73</v>
      </c>
      <c r="G167" s="2">
        <v>45791</v>
      </c>
      <c r="H167" s="15">
        <v>1600000816</v>
      </c>
      <c r="I167" t="s">
        <v>118</v>
      </c>
      <c r="J167" s="2">
        <v>45791</v>
      </c>
      <c r="K167" s="2">
        <v>45793</v>
      </c>
      <c r="L167" t="s">
        <v>69</v>
      </c>
      <c r="M167" s="21">
        <v>256779420525</v>
      </c>
      <c r="N167" t="s">
        <v>9</v>
      </c>
      <c r="O167" t="s">
        <v>10</v>
      </c>
      <c r="P167" t="s">
        <v>8</v>
      </c>
      <c r="Q167" t="s">
        <v>54</v>
      </c>
      <c r="R167" t="s">
        <v>26</v>
      </c>
      <c r="S167" s="3">
        <v>-1143.1199999999999</v>
      </c>
      <c r="T167" t="s">
        <v>12</v>
      </c>
      <c r="U167" s="3">
        <v>-99362.07</v>
      </c>
      <c r="V167" s="3" t="e">
        <f>VLOOKUP(M167,'[1]combined ledger'!$A:$H,8,0)</f>
        <v>#N/A</v>
      </c>
      <c r="W167" s="3" t="e">
        <f t="shared" si="2"/>
        <v>#N/A</v>
      </c>
      <c r="X167" s="3"/>
      <c r="Y167" t="s">
        <v>77</v>
      </c>
      <c r="Z167" t="s">
        <v>13</v>
      </c>
      <c r="AA167" t="s">
        <v>8</v>
      </c>
      <c r="AB167" t="s">
        <v>69</v>
      </c>
      <c r="AC167" t="s">
        <v>14</v>
      </c>
      <c r="AD167" t="s">
        <v>455</v>
      </c>
      <c r="AE167" t="s">
        <v>8</v>
      </c>
      <c r="AF167" t="s">
        <v>8</v>
      </c>
      <c r="AG167" t="s">
        <v>8</v>
      </c>
      <c r="AH167" s="2">
        <v>45791</v>
      </c>
      <c r="AI167" s="2">
        <v>45842</v>
      </c>
      <c r="AJ167" t="s">
        <v>72</v>
      </c>
    </row>
    <row r="168" spans="1:36" outlineLevel="2" x14ac:dyDescent="0.25">
      <c r="A168" t="s">
        <v>27</v>
      </c>
      <c r="B168" t="s">
        <v>1</v>
      </c>
      <c r="C168" t="s">
        <v>2</v>
      </c>
      <c r="D168" t="s">
        <v>3</v>
      </c>
      <c r="E168" t="s">
        <v>4</v>
      </c>
      <c r="F168" t="s">
        <v>73</v>
      </c>
      <c r="G168" s="2">
        <v>45793</v>
      </c>
      <c r="H168" s="15">
        <v>1800008488</v>
      </c>
      <c r="I168" t="s">
        <v>75</v>
      </c>
      <c r="J168" s="2">
        <v>45793</v>
      </c>
      <c r="K168" s="2">
        <v>45800</v>
      </c>
      <c r="L168" t="s">
        <v>69</v>
      </c>
      <c r="M168" s="21">
        <v>256779413256</v>
      </c>
      <c r="N168" t="s">
        <v>9</v>
      </c>
      <c r="O168" t="s">
        <v>10</v>
      </c>
      <c r="P168" t="s">
        <v>8</v>
      </c>
      <c r="Q168" t="s">
        <v>65</v>
      </c>
      <c r="R168" t="s">
        <v>26</v>
      </c>
      <c r="S168" s="3">
        <v>270</v>
      </c>
      <c r="T168" t="s">
        <v>12</v>
      </c>
      <c r="U168" s="3">
        <v>23215.599999999999</v>
      </c>
      <c r="V168" s="3">
        <f>VLOOKUP(M168,'[1]combined ledger'!$A:$H,8,0)</f>
        <v>22625.7</v>
      </c>
      <c r="W168" s="3">
        <f t="shared" si="2"/>
        <v>589.89999999999782</v>
      </c>
      <c r="X168" s="3"/>
      <c r="Y168" t="s">
        <v>77</v>
      </c>
      <c r="Z168" t="s">
        <v>13</v>
      </c>
      <c r="AA168" t="s">
        <v>8</v>
      </c>
      <c r="AB168" t="s">
        <v>69</v>
      </c>
      <c r="AC168" t="s">
        <v>14</v>
      </c>
      <c r="AD168" t="s">
        <v>458</v>
      </c>
      <c r="AE168" t="s">
        <v>8</v>
      </c>
      <c r="AF168" t="s">
        <v>8</v>
      </c>
      <c r="AG168" t="s">
        <v>8</v>
      </c>
      <c r="AH168" s="2">
        <v>45793</v>
      </c>
      <c r="AI168" s="2"/>
      <c r="AJ168" t="s">
        <v>8</v>
      </c>
    </row>
    <row r="169" spans="1:36" outlineLevel="2" x14ac:dyDescent="0.25">
      <c r="A169" t="s">
        <v>27</v>
      </c>
      <c r="B169" t="s">
        <v>1</v>
      </c>
      <c r="C169" t="s">
        <v>2</v>
      </c>
      <c r="D169" t="s">
        <v>3</v>
      </c>
      <c r="E169" t="s">
        <v>4</v>
      </c>
      <c r="F169" t="s">
        <v>73</v>
      </c>
      <c r="G169" s="2">
        <v>45793</v>
      </c>
      <c r="H169" s="15">
        <v>1800008520</v>
      </c>
      <c r="I169" t="s">
        <v>75</v>
      </c>
      <c r="J169" s="2">
        <v>45793</v>
      </c>
      <c r="K169" s="2">
        <v>45800</v>
      </c>
      <c r="L169" t="s">
        <v>69</v>
      </c>
      <c r="M169" s="21">
        <v>256779413284</v>
      </c>
      <c r="N169" t="s">
        <v>9</v>
      </c>
      <c r="O169" t="s">
        <v>10</v>
      </c>
      <c r="P169" t="s">
        <v>8</v>
      </c>
      <c r="Q169" t="s">
        <v>65</v>
      </c>
      <c r="R169" t="s">
        <v>26</v>
      </c>
      <c r="S169" s="3">
        <v>35</v>
      </c>
      <c r="T169" t="s">
        <v>12</v>
      </c>
      <c r="U169" s="3">
        <v>3009.43</v>
      </c>
      <c r="V169" s="3">
        <f>VLOOKUP(M169,'[1]combined ledger'!$A:$H,8,0)</f>
        <v>2932.85</v>
      </c>
      <c r="W169" s="3">
        <f t="shared" si="2"/>
        <v>76.579999999999927</v>
      </c>
      <c r="X169" s="3"/>
      <c r="Y169" t="s">
        <v>77</v>
      </c>
      <c r="Z169" t="s">
        <v>13</v>
      </c>
      <c r="AA169" t="s">
        <v>8</v>
      </c>
      <c r="AB169" t="s">
        <v>69</v>
      </c>
      <c r="AC169" t="s">
        <v>14</v>
      </c>
      <c r="AD169" t="s">
        <v>461</v>
      </c>
      <c r="AE169" t="s">
        <v>8</v>
      </c>
      <c r="AF169" t="s">
        <v>8</v>
      </c>
      <c r="AG169" t="s">
        <v>8</v>
      </c>
      <c r="AH169" s="2">
        <v>45793</v>
      </c>
      <c r="AI169" s="2"/>
      <c r="AJ169" t="s">
        <v>8</v>
      </c>
    </row>
    <row r="170" spans="1:36" outlineLevel="2" x14ac:dyDescent="0.25">
      <c r="A170" t="s">
        <v>27</v>
      </c>
      <c r="B170" t="s">
        <v>1</v>
      </c>
      <c r="C170" t="s">
        <v>2</v>
      </c>
      <c r="D170" t="s">
        <v>3</v>
      </c>
      <c r="E170" t="s">
        <v>4</v>
      </c>
      <c r="F170" t="s">
        <v>73</v>
      </c>
      <c r="G170" s="2">
        <v>45793</v>
      </c>
      <c r="H170" s="15">
        <v>1800008549</v>
      </c>
      <c r="I170" t="s">
        <v>75</v>
      </c>
      <c r="J170" s="2">
        <v>45793</v>
      </c>
      <c r="K170" s="2">
        <v>45800</v>
      </c>
      <c r="L170" t="s">
        <v>69</v>
      </c>
      <c r="M170" s="21">
        <v>256779413313</v>
      </c>
      <c r="N170" t="s">
        <v>9</v>
      </c>
      <c r="O170" t="s">
        <v>10</v>
      </c>
      <c r="P170" t="s">
        <v>8</v>
      </c>
      <c r="Q170" t="s">
        <v>65</v>
      </c>
      <c r="R170" t="s">
        <v>26</v>
      </c>
      <c r="S170" s="3">
        <v>86</v>
      </c>
      <c r="T170" t="s">
        <v>12</v>
      </c>
      <c r="U170" s="3">
        <v>7394.6</v>
      </c>
      <c r="V170" s="3">
        <f>VLOOKUP(M170,'[1]combined ledger'!$A:$H,8,0)</f>
        <v>7472.62</v>
      </c>
      <c r="W170" s="3">
        <f t="shared" si="2"/>
        <v>-78.019999999999527</v>
      </c>
      <c r="X170" s="3"/>
      <c r="Y170" t="s">
        <v>77</v>
      </c>
      <c r="Z170" t="s">
        <v>13</v>
      </c>
      <c r="AA170" t="s">
        <v>8</v>
      </c>
      <c r="AB170" t="s">
        <v>69</v>
      </c>
      <c r="AC170" t="s">
        <v>14</v>
      </c>
      <c r="AD170" t="s">
        <v>464</v>
      </c>
      <c r="AE170" t="s">
        <v>8</v>
      </c>
      <c r="AF170" t="s">
        <v>8</v>
      </c>
      <c r="AG170" t="s">
        <v>8</v>
      </c>
      <c r="AH170" s="2">
        <v>45793</v>
      </c>
      <c r="AI170" s="2"/>
      <c r="AJ170" t="s">
        <v>8</v>
      </c>
    </row>
    <row r="171" spans="1:36" outlineLevel="2" x14ac:dyDescent="0.25">
      <c r="A171" t="s">
        <v>27</v>
      </c>
      <c r="B171" t="s">
        <v>1</v>
      </c>
      <c r="C171" t="s">
        <v>2</v>
      </c>
      <c r="D171" t="s">
        <v>3</v>
      </c>
      <c r="E171" t="s">
        <v>4</v>
      </c>
      <c r="F171" t="s">
        <v>73</v>
      </c>
      <c r="G171" s="2">
        <v>45793</v>
      </c>
      <c r="H171" s="15">
        <v>1800008594</v>
      </c>
      <c r="I171" t="s">
        <v>75</v>
      </c>
      <c r="J171" s="2">
        <v>45793</v>
      </c>
      <c r="K171" s="2">
        <v>45800</v>
      </c>
      <c r="L171" t="s">
        <v>69</v>
      </c>
      <c r="M171" s="21">
        <v>256779413358</v>
      </c>
      <c r="N171" t="s">
        <v>9</v>
      </c>
      <c r="O171" t="s">
        <v>10</v>
      </c>
      <c r="P171" t="s">
        <v>8</v>
      </c>
      <c r="Q171" t="s">
        <v>65</v>
      </c>
      <c r="R171" t="s">
        <v>26</v>
      </c>
      <c r="S171" s="3">
        <v>20.11</v>
      </c>
      <c r="T171" t="s">
        <v>12</v>
      </c>
      <c r="U171" s="3">
        <v>1729.13</v>
      </c>
      <c r="V171" s="3">
        <f>VLOOKUP(M171,'[1]combined ledger'!$A:$H,8,0)</f>
        <v>1747.1537000000001</v>
      </c>
      <c r="W171" s="3">
        <f t="shared" si="2"/>
        <v>-18.023699999999963</v>
      </c>
      <c r="X171" s="3"/>
      <c r="Y171" t="s">
        <v>77</v>
      </c>
      <c r="Z171" t="s">
        <v>13</v>
      </c>
      <c r="AA171" t="s">
        <v>8</v>
      </c>
      <c r="AB171" t="s">
        <v>69</v>
      </c>
      <c r="AC171" t="s">
        <v>14</v>
      </c>
      <c r="AD171" t="s">
        <v>467</v>
      </c>
      <c r="AE171" t="s">
        <v>8</v>
      </c>
      <c r="AF171" t="s">
        <v>8</v>
      </c>
      <c r="AG171" t="s">
        <v>8</v>
      </c>
      <c r="AH171" s="2">
        <v>45793</v>
      </c>
      <c r="AI171" s="2"/>
      <c r="AJ171" t="s">
        <v>8</v>
      </c>
    </row>
    <row r="172" spans="1:36" outlineLevel="2" x14ac:dyDescent="0.25">
      <c r="A172" t="s">
        <v>27</v>
      </c>
      <c r="B172" t="s">
        <v>1</v>
      </c>
      <c r="C172" t="s">
        <v>2</v>
      </c>
      <c r="D172" t="s">
        <v>3</v>
      </c>
      <c r="E172" t="s">
        <v>4</v>
      </c>
      <c r="F172" t="s">
        <v>73</v>
      </c>
      <c r="G172" s="2">
        <v>45805</v>
      </c>
      <c r="H172" s="15">
        <v>1800009133</v>
      </c>
      <c r="I172" t="s">
        <v>75</v>
      </c>
      <c r="J172" s="2">
        <v>45805</v>
      </c>
      <c r="K172" s="2">
        <v>45805</v>
      </c>
      <c r="L172" t="s">
        <v>69</v>
      </c>
      <c r="M172" s="21">
        <v>256779413897</v>
      </c>
      <c r="N172" t="s">
        <v>9</v>
      </c>
      <c r="O172" t="s">
        <v>10</v>
      </c>
      <c r="P172" t="s">
        <v>8</v>
      </c>
      <c r="Q172" t="s">
        <v>65</v>
      </c>
      <c r="R172" t="s">
        <v>26</v>
      </c>
      <c r="S172" s="3">
        <v>553.24</v>
      </c>
      <c r="T172" t="s">
        <v>12</v>
      </c>
      <c r="U172" s="3">
        <v>47569.62</v>
      </c>
      <c r="V172" s="3">
        <f>VLOOKUP(M172,'[1]combined ledger'!$A:$H,8,0)</f>
        <v>42810.575199999999</v>
      </c>
      <c r="W172" s="3">
        <f t="shared" si="2"/>
        <v>4759.0448000000033</v>
      </c>
      <c r="X172" s="3"/>
      <c r="Y172" t="s">
        <v>77</v>
      </c>
      <c r="Z172" t="s">
        <v>13</v>
      </c>
      <c r="AA172" t="s">
        <v>8</v>
      </c>
      <c r="AB172" t="s">
        <v>69</v>
      </c>
      <c r="AC172" t="s">
        <v>14</v>
      </c>
      <c r="AD172" t="s">
        <v>470</v>
      </c>
      <c r="AE172" t="s">
        <v>8</v>
      </c>
      <c r="AF172" t="s">
        <v>8</v>
      </c>
      <c r="AG172" t="s">
        <v>8</v>
      </c>
      <c r="AH172" s="2">
        <v>45805</v>
      </c>
      <c r="AI172" s="2"/>
      <c r="AJ172" t="s">
        <v>8</v>
      </c>
    </row>
    <row r="173" spans="1:36" outlineLevel="2" x14ac:dyDescent="0.25">
      <c r="A173" t="s">
        <v>27</v>
      </c>
      <c r="B173" t="s">
        <v>1</v>
      </c>
      <c r="C173" t="s">
        <v>2</v>
      </c>
      <c r="D173" t="s">
        <v>3</v>
      </c>
      <c r="E173" t="s">
        <v>4</v>
      </c>
      <c r="F173" t="s">
        <v>36</v>
      </c>
      <c r="G173" s="2">
        <v>45856</v>
      </c>
      <c r="H173" s="15">
        <v>1800010770</v>
      </c>
      <c r="I173" t="s">
        <v>75</v>
      </c>
      <c r="J173" s="2">
        <v>45856</v>
      </c>
      <c r="K173" s="2">
        <v>45859</v>
      </c>
      <c r="L173" t="s">
        <v>69</v>
      </c>
      <c r="M173" s="21">
        <v>256779415432</v>
      </c>
      <c r="N173" t="s">
        <v>9</v>
      </c>
      <c r="O173" t="s">
        <v>10</v>
      </c>
      <c r="P173" t="s">
        <v>8</v>
      </c>
      <c r="Q173" t="s">
        <v>65</v>
      </c>
      <c r="R173" t="s">
        <v>26</v>
      </c>
      <c r="S173" s="3">
        <v>296.64</v>
      </c>
      <c r="T173" t="s">
        <v>12</v>
      </c>
      <c r="U173" s="3">
        <v>25511.24</v>
      </c>
      <c r="V173" s="3">
        <f>VLOOKUP(M173,'[1]combined ledger'!$A:$H,8,0)</f>
        <v>25195.788799999998</v>
      </c>
      <c r="W173" s="3">
        <f t="shared" si="2"/>
        <v>315.45120000000315</v>
      </c>
      <c r="X173" s="3"/>
      <c r="Y173" t="s">
        <v>77</v>
      </c>
      <c r="Z173" t="s">
        <v>13</v>
      </c>
      <c r="AA173" t="s">
        <v>8</v>
      </c>
      <c r="AB173" t="s">
        <v>69</v>
      </c>
      <c r="AC173" t="s">
        <v>14</v>
      </c>
      <c r="AD173" t="s">
        <v>473</v>
      </c>
      <c r="AE173" t="s">
        <v>8</v>
      </c>
      <c r="AF173" t="s">
        <v>8</v>
      </c>
      <c r="AG173" t="s">
        <v>8</v>
      </c>
      <c r="AH173" s="2">
        <v>45856</v>
      </c>
      <c r="AI173" s="2"/>
      <c r="AJ173" t="s">
        <v>8</v>
      </c>
    </row>
    <row r="174" spans="1:36" outlineLevel="2" x14ac:dyDescent="0.25">
      <c r="A174" t="s">
        <v>27</v>
      </c>
      <c r="B174" t="s">
        <v>1</v>
      </c>
      <c r="C174" t="s">
        <v>2</v>
      </c>
      <c r="D174" t="s">
        <v>3</v>
      </c>
      <c r="E174" t="s">
        <v>4</v>
      </c>
      <c r="F174" t="s">
        <v>36</v>
      </c>
      <c r="G174" s="2">
        <v>45856</v>
      </c>
      <c r="H174" s="15">
        <v>1800010698</v>
      </c>
      <c r="I174" t="s">
        <v>75</v>
      </c>
      <c r="J174" s="2">
        <v>45856</v>
      </c>
      <c r="K174" s="2">
        <v>45859</v>
      </c>
      <c r="L174" t="s">
        <v>69</v>
      </c>
      <c r="M174" s="21">
        <v>256779415482</v>
      </c>
      <c r="N174" t="s">
        <v>9</v>
      </c>
      <c r="O174" t="s">
        <v>10</v>
      </c>
      <c r="P174" t="s">
        <v>8</v>
      </c>
      <c r="Q174" t="s">
        <v>65</v>
      </c>
      <c r="R174" t="s">
        <v>26</v>
      </c>
      <c r="S174" s="3">
        <v>860.97</v>
      </c>
      <c r="T174" t="s">
        <v>12</v>
      </c>
      <c r="U174" s="3">
        <v>74044</v>
      </c>
      <c r="V174" s="3">
        <f>VLOOKUP(M174,'[1]combined ledger'!$A:$H,8,0)</f>
        <v>71830.685800000007</v>
      </c>
      <c r="W174" s="3">
        <f t="shared" si="2"/>
        <v>2213.3141999999934</v>
      </c>
      <c r="X174" s="3"/>
      <c r="Y174" t="s">
        <v>77</v>
      </c>
      <c r="Z174" t="s">
        <v>13</v>
      </c>
      <c r="AA174" t="s">
        <v>8</v>
      </c>
      <c r="AB174" t="s">
        <v>69</v>
      </c>
      <c r="AC174" t="s">
        <v>14</v>
      </c>
      <c r="AD174" t="s">
        <v>476</v>
      </c>
      <c r="AE174" t="s">
        <v>8</v>
      </c>
      <c r="AF174" t="s">
        <v>8</v>
      </c>
      <c r="AG174" t="s">
        <v>8</v>
      </c>
      <c r="AH174" s="2">
        <v>45856</v>
      </c>
      <c r="AI174" s="2"/>
      <c r="AJ174" t="s">
        <v>8</v>
      </c>
    </row>
    <row r="175" spans="1:36" outlineLevel="2" x14ac:dyDescent="0.25">
      <c r="A175" t="s">
        <v>27</v>
      </c>
      <c r="B175" t="s">
        <v>1</v>
      </c>
      <c r="C175" t="s">
        <v>2</v>
      </c>
      <c r="D175" t="s">
        <v>3</v>
      </c>
      <c r="E175" t="s">
        <v>4</v>
      </c>
      <c r="F175" t="s">
        <v>36</v>
      </c>
      <c r="G175" s="2">
        <v>45856</v>
      </c>
      <c r="H175" s="15">
        <v>1800010740</v>
      </c>
      <c r="I175" t="s">
        <v>75</v>
      </c>
      <c r="J175" s="2">
        <v>45856</v>
      </c>
      <c r="K175" s="2">
        <v>45859</v>
      </c>
      <c r="L175" t="s">
        <v>69</v>
      </c>
      <c r="M175" s="21">
        <v>256779415524</v>
      </c>
      <c r="N175" t="s">
        <v>9</v>
      </c>
      <c r="O175" t="s">
        <v>10</v>
      </c>
      <c r="P175" t="s">
        <v>8</v>
      </c>
      <c r="Q175" t="s">
        <v>65</v>
      </c>
      <c r="R175" t="s">
        <v>26</v>
      </c>
      <c r="S175" s="3">
        <v>73.12</v>
      </c>
      <c r="T175" t="s">
        <v>12</v>
      </c>
      <c r="U175" s="3">
        <v>6288.37</v>
      </c>
      <c r="V175" s="3">
        <f>VLOOKUP(M175,'[1]combined ledger'!$A:$H,8,0)</f>
        <v>6162.3689999999997</v>
      </c>
      <c r="W175" s="3">
        <f t="shared" si="2"/>
        <v>126.0010000000002</v>
      </c>
      <c r="X175" s="3"/>
      <c r="Y175" t="s">
        <v>77</v>
      </c>
      <c r="Z175" t="s">
        <v>13</v>
      </c>
      <c r="AA175" t="s">
        <v>8</v>
      </c>
      <c r="AB175" t="s">
        <v>69</v>
      </c>
      <c r="AC175" t="s">
        <v>14</v>
      </c>
      <c r="AD175" t="s">
        <v>479</v>
      </c>
      <c r="AE175" t="s">
        <v>8</v>
      </c>
      <c r="AF175" t="s">
        <v>8</v>
      </c>
      <c r="AG175" t="s">
        <v>8</v>
      </c>
      <c r="AH175" s="2">
        <v>45856</v>
      </c>
      <c r="AI175" s="2"/>
      <c r="AJ175" t="s">
        <v>8</v>
      </c>
    </row>
    <row r="176" spans="1:36" outlineLevel="2" x14ac:dyDescent="0.25">
      <c r="A176" t="s">
        <v>27</v>
      </c>
      <c r="B176" t="s">
        <v>1</v>
      </c>
      <c r="C176" t="s">
        <v>2</v>
      </c>
      <c r="D176" t="s">
        <v>3</v>
      </c>
      <c r="E176" t="s">
        <v>4</v>
      </c>
      <c r="F176" t="s">
        <v>36</v>
      </c>
      <c r="G176" s="2">
        <v>45856</v>
      </c>
      <c r="H176" s="15">
        <v>1800010941</v>
      </c>
      <c r="I176" t="s">
        <v>75</v>
      </c>
      <c r="J176" s="2">
        <v>45856</v>
      </c>
      <c r="K176" s="2">
        <v>45859</v>
      </c>
      <c r="L176" t="s">
        <v>69</v>
      </c>
      <c r="M176" s="21">
        <v>256779415701</v>
      </c>
      <c r="N176" t="s">
        <v>9</v>
      </c>
      <c r="O176" t="s">
        <v>10</v>
      </c>
      <c r="P176" t="s">
        <v>8</v>
      </c>
      <c r="Q176" t="s">
        <v>65</v>
      </c>
      <c r="R176" t="s">
        <v>26</v>
      </c>
      <c r="S176" s="3">
        <v>660</v>
      </c>
      <c r="T176" t="s">
        <v>12</v>
      </c>
      <c r="U176" s="3">
        <v>56760.44</v>
      </c>
      <c r="V176" s="3">
        <f>VLOOKUP(M176,'[1]combined ledger'!$A:$H,8,0)</f>
        <v>56058.2</v>
      </c>
      <c r="W176" s="3">
        <f t="shared" si="2"/>
        <v>702.24000000000524</v>
      </c>
      <c r="X176" s="3"/>
      <c r="Y176" t="s">
        <v>77</v>
      </c>
      <c r="Z176" t="s">
        <v>13</v>
      </c>
      <c r="AA176" t="s">
        <v>8</v>
      </c>
      <c r="AB176" t="s">
        <v>69</v>
      </c>
      <c r="AC176" t="s">
        <v>14</v>
      </c>
      <c r="AD176" t="s">
        <v>482</v>
      </c>
      <c r="AE176" t="s">
        <v>8</v>
      </c>
      <c r="AF176" t="s">
        <v>8</v>
      </c>
      <c r="AG176" t="s">
        <v>8</v>
      </c>
      <c r="AH176" s="2">
        <v>45856</v>
      </c>
      <c r="AI176" s="2"/>
      <c r="AJ176" t="s">
        <v>8</v>
      </c>
    </row>
    <row r="177" spans="1:36" outlineLevel="2" x14ac:dyDescent="0.25">
      <c r="A177" t="s">
        <v>27</v>
      </c>
      <c r="B177" t="s">
        <v>1</v>
      </c>
      <c r="C177" t="s">
        <v>2</v>
      </c>
      <c r="D177" t="s">
        <v>3</v>
      </c>
      <c r="E177" t="s">
        <v>4</v>
      </c>
      <c r="F177" t="s">
        <v>36</v>
      </c>
      <c r="G177" s="2">
        <v>45856</v>
      </c>
      <c r="H177" s="15">
        <v>1800011042</v>
      </c>
      <c r="I177" t="s">
        <v>75</v>
      </c>
      <c r="J177" s="2">
        <v>45856</v>
      </c>
      <c r="K177" s="2">
        <v>45859</v>
      </c>
      <c r="L177" t="s">
        <v>69</v>
      </c>
      <c r="M177" s="21">
        <v>256779415802</v>
      </c>
      <c r="N177" t="s">
        <v>9</v>
      </c>
      <c r="O177" t="s">
        <v>10</v>
      </c>
      <c r="P177" t="s">
        <v>8</v>
      </c>
      <c r="Q177" t="s">
        <v>65</v>
      </c>
      <c r="R177" t="s">
        <v>26</v>
      </c>
      <c r="S177" s="3">
        <v>860.97</v>
      </c>
      <c r="T177" t="s">
        <v>12</v>
      </c>
      <c r="U177" s="3">
        <v>74044</v>
      </c>
      <c r="V177" s="3" t="e">
        <f>VLOOKUP(M177,'[1]combined ledger'!$A:$H,8,0)</f>
        <v>#N/A</v>
      </c>
      <c r="W177" s="3" t="e">
        <f t="shared" si="2"/>
        <v>#N/A</v>
      </c>
      <c r="X177" s="3"/>
      <c r="Y177" t="s">
        <v>77</v>
      </c>
      <c r="Z177" t="s">
        <v>13</v>
      </c>
      <c r="AA177" t="s">
        <v>8</v>
      </c>
      <c r="AB177" t="s">
        <v>69</v>
      </c>
      <c r="AC177" t="s">
        <v>14</v>
      </c>
      <c r="AD177" t="s">
        <v>476</v>
      </c>
      <c r="AE177" t="s">
        <v>8</v>
      </c>
      <c r="AF177" t="s">
        <v>8</v>
      </c>
      <c r="AG177" t="s">
        <v>8</v>
      </c>
      <c r="AH177" s="2">
        <v>45856</v>
      </c>
      <c r="AI177" s="2"/>
      <c r="AJ177" t="s">
        <v>8</v>
      </c>
    </row>
    <row r="178" spans="1:36" outlineLevel="2" x14ac:dyDescent="0.25">
      <c r="A178" t="s">
        <v>27</v>
      </c>
      <c r="B178" t="s">
        <v>1</v>
      </c>
      <c r="C178" t="s">
        <v>2</v>
      </c>
      <c r="D178" t="s">
        <v>3</v>
      </c>
      <c r="E178" t="s">
        <v>4</v>
      </c>
      <c r="F178" t="s">
        <v>49</v>
      </c>
      <c r="G178" s="2">
        <v>45729</v>
      </c>
      <c r="H178" s="15">
        <v>1800001469</v>
      </c>
      <c r="I178" t="s">
        <v>75</v>
      </c>
      <c r="J178" s="2">
        <v>45729</v>
      </c>
      <c r="K178" s="2">
        <v>45733</v>
      </c>
      <c r="L178" t="s">
        <v>69</v>
      </c>
      <c r="M178" s="21">
        <v>246779411301</v>
      </c>
      <c r="N178" t="s">
        <v>9</v>
      </c>
      <c r="O178" t="s">
        <v>10</v>
      </c>
      <c r="P178" t="s">
        <v>8</v>
      </c>
      <c r="Q178" t="s">
        <v>65</v>
      </c>
      <c r="R178" t="s">
        <v>26</v>
      </c>
      <c r="S178" s="3">
        <v>85</v>
      </c>
      <c r="T178" t="s">
        <v>12</v>
      </c>
      <c r="U178" s="3">
        <v>7368.76</v>
      </c>
      <c r="V178" s="3">
        <f>VLOOKUP(M178,'[1]combined ledger'!$A:$H,8,0)</f>
        <v>7129.3</v>
      </c>
      <c r="W178" s="3">
        <f t="shared" si="2"/>
        <v>239.46000000000004</v>
      </c>
      <c r="X178" s="3"/>
      <c r="Y178" t="s">
        <v>77</v>
      </c>
      <c r="Z178" t="s">
        <v>13</v>
      </c>
      <c r="AA178" t="s">
        <v>8</v>
      </c>
      <c r="AB178" t="s">
        <v>69</v>
      </c>
      <c r="AC178" t="s">
        <v>14</v>
      </c>
      <c r="AD178" t="s">
        <v>487</v>
      </c>
      <c r="AE178" t="s">
        <v>8</v>
      </c>
      <c r="AF178" t="s">
        <v>8</v>
      </c>
      <c r="AG178" t="s">
        <v>8</v>
      </c>
      <c r="AH178" s="2">
        <v>45729</v>
      </c>
      <c r="AI178" s="2"/>
      <c r="AJ178" t="s">
        <v>8</v>
      </c>
    </row>
    <row r="179" spans="1:36" outlineLevel="2" x14ac:dyDescent="0.25">
      <c r="A179" t="s">
        <v>27</v>
      </c>
      <c r="B179" t="s">
        <v>1</v>
      </c>
      <c r="C179" t="s">
        <v>2</v>
      </c>
      <c r="D179" t="s">
        <v>3</v>
      </c>
      <c r="E179" t="s">
        <v>4</v>
      </c>
      <c r="F179" t="s">
        <v>49</v>
      </c>
      <c r="G179" s="2">
        <v>45729</v>
      </c>
      <c r="H179" s="15">
        <v>1800001451</v>
      </c>
      <c r="I179" t="s">
        <v>75</v>
      </c>
      <c r="J179" s="2">
        <v>45729</v>
      </c>
      <c r="K179" s="2">
        <v>45733</v>
      </c>
      <c r="L179" t="s">
        <v>69</v>
      </c>
      <c r="M179" s="21">
        <v>246779411315</v>
      </c>
      <c r="N179" t="s">
        <v>9</v>
      </c>
      <c r="O179" t="s">
        <v>10</v>
      </c>
      <c r="P179" t="s">
        <v>8</v>
      </c>
      <c r="Q179" t="s">
        <v>65</v>
      </c>
      <c r="R179" t="s">
        <v>26</v>
      </c>
      <c r="S179" s="3">
        <v>35</v>
      </c>
      <c r="T179" t="s">
        <v>12</v>
      </c>
      <c r="U179" s="3">
        <v>3034.19</v>
      </c>
      <c r="V179" s="3">
        <f>VLOOKUP(M179,'[1]combined ledger'!$A:$H,8,0)</f>
        <v>2935.3</v>
      </c>
      <c r="W179" s="3">
        <f t="shared" si="2"/>
        <v>98.889999999999873</v>
      </c>
      <c r="X179" s="3"/>
      <c r="Y179" t="s">
        <v>77</v>
      </c>
      <c r="Z179" t="s">
        <v>13</v>
      </c>
      <c r="AA179" t="s">
        <v>8</v>
      </c>
      <c r="AB179" t="s">
        <v>69</v>
      </c>
      <c r="AC179" t="s">
        <v>14</v>
      </c>
      <c r="AD179" t="s">
        <v>490</v>
      </c>
      <c r="AE179" t="s">
        <v>8</v>
      </c>
      <c r="AF179" t="s">
        <v>8</v>
      </c>
      <c r="AG179" t="s">
        <v>8</v>
      </c>
      <c r="AH179" s="2">
        <v>45729</v>
      </c>
      <c r="AI179" s="2"/>
      <c r="AJ179" t="s">
        <v>8</v>
      </c>
    </row>
    <row r="180" spans="1:36" outlineLevel="2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49</v>
      </c>
      <c r="G180" s="2">
        <v>45729</v>
      </c>
      <c r="H180" s="15">
        <v>1800001411</v>
      </c>
      <c r="I180" t="s">
        <v>75</v>
      </c>
      <c r="J180" s="2">
        <v>45729</v>
      </c>
      <c r="K180" s="2">
        <v>45731</v>
      </c>
      <c r="L180" t="s">
        <v>69</v>
      </c>
      <c r="M180" s="21">
        <v>246779411279</v>
      </c>
      <c r="N180" t="s">
        <v>9</v>
      </c>
      <c r="O180" t="s">
        <v>10</v>
      </c>
      <c r="P180" t="s">
        <v>8</v>
      </c>
      <c r="Q180" t="s">
        <v>65</v>
      </c>
      <c r="R180" t="s">
        <v>26</v>
      </c>
      <c r="S180" s="3">
        <v>35</v>
      </c>
      <c r="T180" t="s">
        <v>12</v>
      </c>
      <c r="U180" s="3">
        <v>3034.19</v>
      </c>
      <c r="V180" s="3">
        <f>VLOOKUP(M180,'[1]combined ledger'!$A:$H,8,0)</f>
        <v>2935.3</v>
      </c>
      <c r="W180" s="3">
        <f t="shared" si="2"/>
        <v>98.889999999999873</v>
      </c>
      <c r="X180" s="3"/>
      <c r="Y180" t="s">
        <v>77</v>
      </c>
      <c r="Z180" t="s">
        <v>13</v>
      </c>
      <c r="AA180" t="s">
        <v>8</v>
      </c>
      <c r="AB180" t="s">
        <v>69</v>
      </c>
      <c r="AC180" t="s">
        <v>14</v>
      </c>
      <c r="AD180" t="s">
        <v>493</v>
      </c>
      <c r="AE180" t="s">
        <v>8</v>
      </c>
      <c r="AF180" t="s">
        <v>8</v>
      </c>
      <c r="AG180" t="s">
        <v>8</v>
      </c>
      <c r="AH180" s="2">
        <v>45729</v>
      </c>
      <c r="AI180" s="2">
        <v>45887</v>
      </c>
      <c r="AJ180" t="s">
        <v>24</v>
      </c>
    </row>
    <row r="181" spans="1:36" outlineLevel="2" x14ac:dyDescent="0.25">
      <c r="A181" t="s">
        <v>27</v>
      </c>
      <c r="B181" t="s">
        <v>1</v>
      </c>
      <c r="C181" t="s">
        <v>2</v>
      </c>
      <c r="D181" t="s">
        <v>3</v>
      </c>
      <c r="E181" t="s">
        <v>4</v>
      </c>
      <c r="F181" t="s">
        <v>49</v>
      </c>
      <c r="G181" s="2">
        <v>45736</v>
      </c>
      <c r="H181" s="15">
        <v>1800003929</v>
      </c>
      <c r="I181" t="s">
        <v>75</v>
      </c>
      <c r="J181" s="2">
        <v>45736</v>
      </c>
      <c r="K181" s="2">
        <v>45736</v>
      </c>
      <c r="L181" t="s">
        <v>69</v>
      </c>
      <c r="M181" s="21">
        <v>246779413797</v>
      </c>
      <c r="N181" t="s">
        <v>9</v>
      </c>
      <c r="O181" t="s">
        <v>10</v>
      </c>
      <c r="P181" t="s">
        <v>8</v>
      </c>
      <c r="Q181" t="s">
        <v>65</v>
      </c>
      <c r="R181" t="s">
        <v>26</v>
      </c>
      <c r="S181" s="3">
        <v>1750</v>
      </c>
      <c r="T181" t="s">
        <v>12</v>
      </c>
      <c r="U181" s="3">
        <v>151709.71</v>
      </c>
      <c r="V181" s="3">
        <f>VLOOKUP(M181,'[1]combined ledger'!$A:$H,8,0)</f>
        <v>147112</v>
      </c>
      <c r="W181" s="3">
        <f t="shared" si="2"/>
        <v>4597.7099999999919</v>
      </c>
      <c r="X181" s="3"/>
      <c r="Y181" t="s">
        <v>77</v>
      </c>
      <c r="Z181" t="s">
        <v>13</v>
      </c>
      <c r="AA181" t="s">
        <v>8</v>
      </c>
      <c r="AB181" t="s">
        <v>69</v>
      </c>
      <c r="AC181" t="s">
        <v>14</v>
      </c>
      <c r="AD181" t="s">
        <v>496</v>
      </c>
      <c r="AE181" t="s">
        <v>8</v>
      </c>
      <c r="AF181" t="s">
        <v>8</v>
      </c>
      <c r="AG181" t="s">
        <v>8</v>
      </c>
      <c r="AH181" s="2">
        <v>45736</v>
      </c>
      <c r="AI181" s="2"/>
      <c r="AJ181" t="s">
        <v>8</v>
      </c>
    </row>
    <row r="182" spans="1:36" outlineLevel="2" x14ac:dyDescent="0.25">
      <c r="A182" t="s">
        <v>27</v>
      </c>
      <c r="B182" t="s">
        <v>1</v>
      </c>
      <c r="C182" t="s">
        <v>2</v>
      </c>
      <c r="D182" t="s">
        <v>3</v>
      </c>
      <c r="E182" t="s">
        <v>4</v>
      </c>
      <c r="F182" t="s">
        <v>49</v>
      </c>
      <c r="G182" s="2">
        <v>45736</v>
      </c>
      <c r="H182" s="15">
        <v>1800003940</v>
      </c>
      <c r="I182" t="s">
        <v>75</v>
      </c>
      <c r="J182" s="2">
        <v>45736</v>
      </c>
      <c r="K182" s="2">
        <v>45736</v>
      </c>
      <c r="L182" t="s">
        <v>69</v>
      </c>
      <c r="M182" s="21">
        <v>246779413808</v>
      </c>
      <c r="N182" t="s">
        <v>9</v>
      </c>
      <c r="O182" t="s">
        <v>10</v>
      </c>
      <c r="P182" t="s">
        <v>8</v>
      </c>
      <c r="Q182" t="s">
        <v>65</v>
      </c>
      <c r="R182" t="s">
        <v>26</v>
      </c>
      <c r="S182" s="3">
        <v>1600</v>
      </c>
      <c r="T182" t="s">
        <v>12</v>
      </c>
      <c r="U182" s="3">
        <v>138706.01999999999</v>
      </c>
      <c r="V182" s="3">
        <f>VLOOKUP(M182,'[1]combined ledger'!$A:$H,8,0)</f>
        <v>134532</v>
      </c>
      <c r="W182" s="3">
        <f t="shared" si="2"/>
        <v>4174.0199999999895</v>
      </c>
      <c r="X182" s="3"/>
      <c r="Y182" t="s">
        <v>77</v>
      </c>
      <c r="Z182" t="s">
        <v>13</v>
      </c>
      <c r="AA182" t="s">
        <v>8</v>
      </c>
      <c r="AB182" t="s">
        <v>69</v>
      </c>
      <c r="AC182" t="s">
        <v>14</v>
      </c>
      <c r="AD182" t="s">
        <v>499</v>
      </c>
      <c r="AE182" t="s">
        <v>8</v>
      </c>
      <c r="AF182" t="s">
        <v>8</v>
      </c>
      <c r="AG182" t="s">
        <v>8</v>
      </c>
      <c r="AH182" s="2">
        <v>45736</v>
      </c>
      <c r="AI182" s="2"/>
      <c r="AJ182" t="s">
        <v>8</v>
      </c>
    </row>
    <row r="183" spans="1:36" outlineLevel="2" x14ac:dyDescent="0.25">
      <c r="A183" t="s">
        <v>27</v>
      </c>
      <c r="B183" t="s">
        <v>1</v>
      </c>
      <c r="C183" t="s">
        <v>2</v>
      </c>
      <c r="D183" t="s">
        <v>3</v>
      </c>
      <c r="E183" t="s">
        <v>4</v>
      </c>
      <c r="F183" t="s">
        <v>49</v>
      </c>
      <c r="G183" s="2">
        <v>45736</v>
      </c>
      <c r="H183" s="15">
        <v>1800003961</v>
      </c>
      <c r="I183" t="s">
        <v>75</v>
      </c>
      <c r="J183" s="2">
        <v>45736</v>
      </c>
      <c r="K183" s="2">
        <v>45737</v>
      </c>
      <c r="L183" t="s">
        <v>69</v>
      </c>
      <c r="M183" s="21">
        <v>246779413817</v>
      </c>
      <c r="N183" t="s">
        <v>9</v>
      </c>
      <c r="O183" t="s">
        <v>10</v>
      </c>
      <c r="P183" t="s">
        <v>8</v>
      </c>
      <c r="Q183" t="s">
        <v>65</v>
      </c>
      <c r="R183" t="s">
        <v>26</v>
      </c>
      <c r="S183" s="3">
        <v>50</v>
      </c>
      <c r="T183" t="s">
        <v>12</v>
      </c>
      <c r="U183" s="3">
        <v>4334.5600000000004</v>
      </c>
      <c r="V183" s="3">
        <f>VLOOKUP(M183,'[1]combined ledger'!$A:$H,8,0)</f>
        <v>4193</v>
      </c>
      <c r="W183" s="3">
        <f t="shared" si="2"/>
        <v>141.5600000000004</v>
      </c>
      <c r="X183" s="3"/>
      <c r="Y183" t="s">
        <v>77</v>
      </c>
      <c r="Z183" t="s">
        <v>13</v>
      </c>
      <c r="AA183" t="s">
        <v>8</v>
      </c>
      <c r="AB183" t="s">
        <v>69</v>
      </c>
      <c r="AC183" t="s">
        <v>14</v>
      </c>
      <c r="AD183" t="s">
        <v>502</v>
      </c>
      <c r="AE183" t="s">
        <v>8</v>
      </c>
      <c r="AF183" t="s">
        <v>8</v>
      </c>
      <c r="AG183" t="s">
        <v>8</v>
      </c>
      <c r="AH183" s="2">
        <v>45736</v>
      </c>
      <c r="AI183" s="2"/>
      <c r="AJ183" t="s">
        <v>8</v>
      </c>
    </row>
    <row r="184" spans="1:36" outlineLevel="2" x14ac:dyDescent="0.25">
      <c r="A184" t="s">
        <v>27</v>
      </c>
      <c r="B184" t="s">
        <v>1</v>
      </c>
      <c r="C184" t="s">
        <v>2</v>
      </c>
      <c r="D184" t="s">
        <v>3</v>
      </c>
      <c r="E184" t="s">
        <v>4</v>
      </c>
      <c r="F184" t="s">
        <v>49</v>
      </c>
      <c r="G184" s="2">
        <v>45736</v>
      </c>
      <c r="H184" s="15">
        <v>1800003972</v>
      </c>
      <c r="I184" t="s">
        <v>75</v>
      </c>
      <c r="J184" s="2">
        <v>45736</v>
      </c>
      <c r="K184" s="2">
        <v>45737</v>
      </c>
      <c r="L184" t="s">
        <v>69</v>
      </c>
      <c r="M184" s="21">
        <v>246779413828</v>
      </c>
      <c r="N184" t="s">
        <v>9</v>
      </c>
      <c r="O184" t="s">
        <v>10</v>
      </c>
      <c r="P184" t="s">
        <v>8</v>
      </c>
      <c r="Q184" t="s">
        <v>65</v>
      </c>
      <c r="R184" t="s">
        <v>26</v>
      </c>
      <c r="S184" s="3">
        <v>50</v>
      </c>
      <c r="T184" t="s">
        <v>12</v>
      </c>
      <c r="U184" s="3">
        <v>4334.5600000000004</v>
      </c>
      <c r="V184" s="3">
        <f>VLOOKUP(M184,'[1]combined ledger'!$A:$H,8,0)</f>
        <v>4193</v>
      </c>
      <c r="W184" s="3">
        <f t="shared" si="2"/>
        <v>141.5600000000004</v>
      </c>
      <c r="X184" s="3"/>
      <c r="Y184" t="s">
        <v>77</v>
      </c>
      <c r="Z184" t="s">
        <v>13</v>
      </c>
      <c r="AA184" t="s">
        <v>8</v>
      </c>
      <c r="AB184" t="s">
        <v>69</v>
      </c>
      <c r="AC184" t="s">
        <v>14</v>
      </c>
      <c r="AD184" t="s">
        <v>505</v>
      </c>
      <c r="AE184" t="s">
        <v>8</v>
      </c>
      <c r="AF184" t="s">
        <v>8</v>
      </c>
      <c r="AG184" t="s">
        <v>8</v>
      </c>
      <c r="AH184" s="2">
        <v>45736</v>
      </c>
      <c r="AI184" s="2"/>
      <c r="AJ184" t="s">
        <v>8</v>
      </c>
    </row>
    <row r="185" spans="1:36" outlineLevel="2" x14ac:dyDescent="0.25">
      <c r="A185" t="s">
        <v>27</v>
      </c>
      <c r="B185" t="s">
        <v>1</v>
      </c>
      <c r="C185" t="s">
        <v>2</v>
      </c>
      <c r="D185" t="s">
        <v>3</v>
      </c>
      <c r="E185" t="s">
        <v>4</v>
      </c>
      <c r="F185" t="s">
        <v>49</v>
      </c>
      <c r="G185" s="2">
        <v>45736</v>
      </c>
      <c r="H185" s="15">
        <v>1800004049</v>
      </c>
      <c r="I185" t="s">
        <v>75</v>
      </c>
      <c r="J185" s="2">
        <v>45736</v>
      </c>
      <c r="K185" s="2">
        <v>45737</v>
      </c>
      <c r="L185" t="s">
        <v>69</v>
      </c>
      <c r="M185" s="21">
        <v>246779413905</v>
      </c>
      <c r="N185" t="s">
        <v>9</v>
      </c>
      <c r="O185" t="s">
        <v>10</v>
      </c>
      <c r="P185" t="s">
        <v>8</v>
      </c>
      <c r="Q185" t="s">
        <v>65</v>
      </c>
      <c r="R185" t="s">
        <v>26</v>
      </c>
      <c r="S185" s="3">
        <v>4.4000000000000004</v>
      </c>
      <c r="T185" t="s">
        <v>12</v>
      </c>
      <c r="U185" s="3">
        <v>381.44</v>
      </c>
      <c r="V185" s="3">
        <f>VLOOKUP(M185,'[1]combined ledger'!$A:$H,8,0)</f>
        <v>368.55200000000002</v>
      </c>
      <c r="W185" s="3">
        <f t="shared" si="2"/>
        <v>12.887999999999977</v>
      </c>
      <c r="X185" s="3"/>
      <c r="Y185" t="s">
        <v>77</v>
      </c>
      <c r="Z185" t="s">
        <v>13</v>
      </c>
      <c r="AA185" t="s">
        <v>8</v>
      </c>
      <c r="AB185" t="s">
        <v>69</v>
      </c>
      <c r="AC185" t="s">
        <v>14</v>
      </c>
      <c r="AD185" t="s">
        <v>508</v>
      </c>
      <c r="AE185" t="s">
        <v>8</v>
      </c>
      <c r="AF185" t="s">
        <v>8</v>
      </c>
      <c r="AG185" t="s">
        <v>8</v>
      </c>
      <c r="AH185" s="2">
        <v>45736</v>
      </c>
      <c r="AI185" s="2"/>
      <c r="AJ185" t="s">
        <v>8</v>
      </c>
    </row>
    <row r="186" spans="1:36" outlineLevel="2" x14ac:dyDescent="0.25">
      <c r="A186" t="s">
        <v>27</v>
      </c>
      <c r="B186" t="s">
        <v>1</v>
      </c>
      <c r="C186" t="s">
        <v>2</v>
      </c>
      <c r="D186" t="s">
        <v>3</v>
      </c>
      <c r="E186" t="s">
        <v>4</v>
      </c>
      <c r="F186" t="s">
        <v>49</v>
      </c>
      <c r="G186" s="2">
        <v>45736</v>
      </c>
      <c r="H186" s="15">
        <v>1800004275</v>
      </c>
      <c r="I186" t="s">
        <v>75</v>
      </c>
      <c r="J186" s="2">
        <v>45736</v>
      </c>
      <c r="K186" s="2">
        <v>45737</v>
      </c>
      <c r="L186" t="s">
        <v>69</v>
      </c>
      <c r="M186" s="21">
        <v>246779414143</v>
      </c>
      <c r="N186" t="s">
        <v>9</v>
      </c>
      <c r="O186" t="s">
        <v>10</v>
      </c>
      <c r="P186" t="s">
        <v>8</v>
      </c>
      <c r="Q186" t="s">
        <v>65</v>
      </c>
      <c r="R186" t="s">
        <v>26</v>
      </c>
      <c r="S186" s="3">
        <v>566.11</v>
      </c>
      <c r="T186" t="s">
        <v>12</v>
      </c>
      <c r="U186" s="3">
        <v>49076.79</v>
      </c>
      <c r="V186" s="3">
        <f>VLOOKUP(M186,'[1]combined ledger'!$A:$H,8,0)</f>
        <v>47478.693800000001</v>
      </c>
      <c r="W186" s="3">
        <f t="shared" si="2"/>
        <v>1598.0962</v>
      </c>
      <c r="X186" s="3"/>
      <c r="Y186" t="s">
        <v>77</v>
      </c>
      <c r="Z186" t="s">
        <v>13</v>
      </c>
      <c r="AA186" t="s">
        <v>8</v>
      </c>
      <c r="AB186" t="s">
        <v>69</v>
      </c>
      <c r="AC186" t="s">
        <v>14</v>
      </c>
      <c r="AD186" t="s">
        <v>511</v>
      </c>
      <c r="AE186" t="s">
        <v>8</v>
      </c>
      <c r="AF186" t="s">
        <v>8</v>
      </c>
      <c r="AG186" t="s">
        <v>8</v>
      </c>
      <c r="AH186" s="2">
        <v>45736</v>
      </c>
      <c r="AI186" s="2"/>
      <c r="AJ186" t="s">
        <v>8</v>
      </c>
    </row>
    <row r="187" spans="1:36" outlineLevel="2" x14ac:dyDescent="0.25">
      <c r="A187" t="s">
        <v>27</v>
      </c>
      <c r="B187" t="s">
        <v>1</v>
      </c>
      <c r="C187" t="s">
        <v>2</v>
      </c>
      <c r="D187" t="s">
        <v>3</v>
      </c>
      <c r="E187" t="s">
        <v>4</v>
      </c>
      <c r="F187" t="s">
        <v>49</v>
      </c>
      <c r="G187" s="2">
        <v>45736</v>
      </c>
      <c r="H187" s="15">
        <v>1800004276</v>
      </c>
      <c r="I187" t="s">
        <v>75</v>
      </c>
      <c r="J187" s="2">
        <v>45736</v>
      </c>
      <c r="K187" s="2">
        <v>45737</v>
      </c>
      <c r="L187" t="s">
        <v>69</v>
      </c>
      <c r="M187" s="21">
        <v>246779414144</v>
      </c>
      <c r="N187" t="s">
        <v>9</v>
      </c>
      <c r="O187" t="s">
        <v>10</v>
      </c>
      <c r="P187" t="s">
        <v>8</v>
      </c>
      <c r="Q187" t="s">
        <v>65</v>
      </c>
      <c r="R187" t="s">
        <v>26</v>
      </c>
      <c r="S187" s="3">
        <v>126</v>
      </c>
      <c r="T187" t="s">
        <v>12</v>
      </c>
      <c r="U187" s="3">
        <v>10923.1</v>
      </c>
      <c r="V187" s="3">
        <f>VLOOKUP(M187,'[1]combined ledger'!$A:$H,8,0)</f>
        <v>10567.08</v>
      </c>
      <c r="W187" s="3">
        <f t="shared" si="2"/>
        <v>356.02000000000044</v>
      </c>
      <c r="X187" s="3"/>
      <c r="Y187" t="s">
        <v>77</v>
      </c>
      <c r="Z187" t="s">
        <v>13</v>
      </c>
      <c r="AA187" t="s">
        <v>8</v>
      </c>
      <c r="AB187" t="s">
        <v>69</v>
      </c>
      <c r="AC187" t="s">
        <v>14</v>
      </c>
      <c r="AD187" t="s">
        <v>514</v>
      </c>
      <c r="AE187" t="s">
        <v>8</v>
      </c>
      <c r="AF187" t="s">
        <v>8</v>
      </c>
      <c r="AG187" t="s">
        <v>8</v>
      </c>
      <c r="AH187" s="2">
        <v>45736</v>
      </c>
      <c r="AI187" s="2"/>
      <c r="AJ187" t="s">
        <v>8</v>
      </c>
    </row>
    <row r="188" spans="1:36" outlineLevel="2" x14ac:dyDescent="0.25">
      <c r="A188" t="s">
        <v>27</v>
      </c>
      <c r="B188" t="s">
        <v>1</v>
      </c>
      <c r="C188" t="s">
        <v>2</v>
      </c>
      <c r="D188" t="s">
        <v>3</v>
      </c>
      <c r="E188" t="s">
        <v>4</v>
      </c>
      <c r="F188" t="s">
        <v>49</v>
      </c>
      <c r="G188" s="2">
        <v>45736</v>
      </c>
      <c r="H188" s="15">
        <v>1800004277</v>
      </c>
      <c r="I188" t="s">
        <v>75</v>
      </c>
      <c r="J188" s="2">
        <v>45736</v>
      </c>
      <c r="K188" s="2">
        <v>45737</v>
      </c>
      <c r="L188" t="s">
        <v>69</v>
      </c>
      <c r="M188" s="21">
        <v>246779414145</v>
      </c>
      <c r="N188" t="s">
        <v>9</v>
      </c>
      <c r="O188" t="s">
        <v>10</v>
      </c>
      <c r="P188" t="s">
        <v>8</v>
      </c>
      <c r="Q188" t="s">
        <v>65</v>
      </c>
      <c r="R188" t="s">
        <v>26</v>
      </c>
      <c r="S188" s="3">
        <v>150</v>
      </c>
      <c r="T188" t="s">
        <v>12</v>
      </c>
      <c r="U188" s="3">
        <v>13003.69</v>
      </c>
      <c r="V188" s="3">
        <f>VLOOKUP(M188,'[1]combined ledger'!$A:$H,8,0)</f>
        <v>12580</v>
      </c>
      <c r="W188" s="3">
        <f t="shared" si="2"/>
        <v>423.69000000000051</v>
      </c>
      <c r="X188" s="3"/>
      <c r="Y188" t="s">
        <v>77</v>
      </c>
      <c r="Z188" t="s">
        <v>13</v>
      </c>
      <c r="AA188" t="s">
        <v>8</v>
      </c>
      <c r="AB188" t="s">
        <v>69</v>
      </c>
      <c r="AC188" t="s">
        <v>14</v>
      </c>
      <c r="AD188" t="s">
        <v>517</v>
      </c>
      <c r="AE188" t="s">
        <v>8</v>
      </c>
      <c r="AF188" t="s">
        <v>8</v>
      </c>
      <c r="AG188" t="s">
        <v>8</v>
      </c>
      <c r="AH188" s="2">
        <v>45736</v>
      </c>
      <c r="AI188" s="2"/>
      <c r="AJ188" t="s">
        <v>8</v>
      </c>
    </row>
    <row r="189" spans="1:36" outlineLevel="2" x14ac:dyDescent="0.25">
      <c r="A189" t="s">
        <v>27</v>
      </c>
      <c r="B189" t="s">
        <v>1</v>
      </c>
      <c r="C189" t="s">
        <v>2</v>
      </c>
      <c r="D189" t="s">
        <v>3</v>
      </c>
      <c r="E189" t="s">
        <v>4</v>
      </c>
      <c r="F189" t="s">
        <v>49</v>
      </c>
      <c r="G189" s="2">
        <v>45736</v>
      </c>
      <c r="H189" s="15">
        <v>1800004278</v>
      </c>
      <c r="I189" t="s">
        <v>75</v>
      </c>
      <c r="J189" s="2">
        <v>45736</v>
      </c>
      <c r="K189" s="2">
        <v>45737</v>
      </c>
      <c r="L189" t="s">
        <v>69</v>
      </c>
      <c r="M189" s="21">
        <v>246779414146</v>
      </c>
      <c r="N189" t="s">
        <v>9</v>
      </c>
      <c r="O189" t="s">
        <v>10</v>
      </c>
      <c r="P189" t="s">
        <v>8</v>
      </c>
      <c r="Q189" t="s">
        <v>65</v>
      </c>
      <c r="R189" t="s">
        <v>26</v>
      </c>
      <c r="S189" s="3">
        <v>19.350000000000001</v>
      </c>
      <c r="T189" t="s">
        <v>12</v>
      </c>
      <c r="U189" s="3">
        <v>1677.48</v>
      </c>
      <c r="V189" s="3">
        <f>VLOOKUP(M189,'[1]combined ledger'!$A:$H,8,0)</f>
        <v>1489.973</v>
      </c>
      <c r="W189" s="3">
        <f t="shared" si="2"/>
        <v>187.50700000000006</v>
      </c>
      <c r="X189" s="3"/>
      <c r="Y189" t="s">
        <v>77</v>
      </c>
      <c r="Z189" t="s">
        <v>13</v>
      </c>
      <c r="AA189" t="s">
        <v>8</v>
      </c>
      <c r="AB189" t="s">
        <v>69</v>
      </c>
      <c r="AC189" t="s">
        <v>14</v>
      </c>
      <c r="AD189" t="s">
        <v>520</v>
      </c>
      <c r="AE189" t="s">
        <v>8</v>
      </c>
      <c r="AF189" t="s">
        <v>8</v>
      </c>
      <c r="AG189" t="s">
        <v>8</v>
      </c>
      <c r="AH189" s="2">
        <v>45736</v>
      </c>
      <c r="AI189" s="2"/>
      <c r="AJ189" t="s">
        <v>8</v>
      </c>
    </row>
    <row r="190" spans="1:36" outlineLevel="2" x14ac:dyDescent="0.25">
      <c r="A190" t="s">
        <v>27</v>
      </c>
      <c r="B190" t="s">
        <v>1</v>
      </c>
      <c r="C190" t="s">
        <v>2</v>
      </c>
      <c r="D190" t="s">
        <v>3</v>
      </c>
      <c r="E190" t="s">
        <v>4</v>
      </c>
      <c r="F190" t="s">
        <v>49</v>
      </c>
      <c r="G190" s="2">
        <v>45736</v>
      </c>
      <c r="H190" s="15">
        <v>1800004354</v>
      </c>
      <c r="I190" t="s">
        <v>75</v>
      </c>
      <c r="J190" s="2">
        <v>45736</v>
      </c>
      <c r="K190" s="2">
        <v>45737</v>
      </c>
      <c r="L190" t="s">
        <v>69</v>
      </c>
      <c r="M190" s="21">
        <v>246779414222</v>
      </c>
      <c r="N190" t="s">
        <v>9</v>
      </c>
      <c r="O190" t="s">
        <v>10</v>
      </c>
      <c r="P190" t="s">
        <v>8</v>
      </c>
      <c r="Q190" t="s">
        <v>65</v>
      </c>
      <c r="R190" t="s">
        <v>26</v>
      </c>
      <c r="S190" s="3">
        <v>196.78</v>
      </c>
      <c r="T190" t="s">
        <v>12</v>
      </c>
      <c r="U190" s="3">
        <v>17059.11</v>
      </c>
      <c r="V190" s="3">
        <f>VLOOKUP(M190,'[1]combined ledger'!$A:$H,8,0)</f>
        <v>16503.432400000002</v>
      </c>
      <c r="W190" s="3">
        <f t="shared" si="2"/>
        <v>555.67759999999907</v>
      </c>
      <c r="X190" s="3"/>
      <c r="Y190" t="s">
        <v>77</v>
      </c>
      <c r="Z190" t="s">
        <v>13</v>
      </c>
      <c r="AA190" t="s">
        <v>8</v>
      </c>
      <c r="AB190" t="s">
        <v>69</v>
      </c>
      <c r="AC190" t="s">
        <v>14</v>
      </c>
      <c r="AD190" t="s">
        <v>523</v>
      </c>
      <c r="AE190" t="s">
        <v>8</v>
      </c>
      <c r="AF190" t="s">
        <v>8</v>
      </c>
      <c r="AG190" t="s">
        <v>8</v>
      </c>
      <c r="AH190" s="2">
        <v>45736</v>
      </c>
      <c r="AI190" s="2"/>
      <c r="AJ190" t="s">
        <v>8</v>
      </c>
    </row>
    <row r="191" spans="1:36" outlineLevel="2" x14ac:dyDescent="0.25">
      <c r="A191" t="s">
        <v>27</v>
      </c>
      <c r="B191" t="s">
        <v>1</v>
      </c>
      <c r="C191" t="s">
        <v>2</v>
      </c>
      <c r="D191" t="s">
        <v>3</v>
      </c>
      <c r="E191" t="s">
        <v>4</v>
      </c>
      <c r="F191" t="s">
        <v>49</v>
      </c>
      <c r="G191" s="2">
        <v>45736</v>
      </c>
      <c r="H191" s="15">
        <v>1800004529</v>
      </c>
      <c r="I191" t="s">
        <v>75</v>
      </c>
      <c r="J191" s="2">
        <v>45736</v>
      </c>
      <c r="K191" s="2">
        <v>45737</v>
      </c>
      <c r="L191" t="s">
        <v>69</v>
      </c>
      <c r="M191" s="21">
        <v>246779414397</v>
      </c>
      <c r="N191" t="s">
        <v>9</v>
      </c>
      <c r="O191" t="s">
        <v>10</v>
      </c>
      <c r="P191" t="s">
        <v>8</v>
      </c>
      <c r="Q191" t="s">
        <v>65</v>
      </c>
      <c r="R191" t="s">
        <v>26</v>
      </c>
      <c r="S191" s="3">
        <v>7.03</v>
      </c>
      <c r="T191" t="s">
        <v>12</v>
      </c>
      <c r="U191" s="3">
        <v>609.44000000000005</v>
      </c>
      <c r="V191" s="3">
        <f>VLOOKUP(M191,'[1]combined ledger'!$A:$H,8,0)</f>
        <v>589.62739999999997</v>
      </c>
      <c r="W191" s="3">
        <f t="shared" si="2"/>
        <v>19.812600000000089</v>
      </c>
      <c r="X191" s="3"/>
      <c r="Y191" t="s">
        <v>77</v>
      </c>
      <c r="Z191" t="s">
        <v>13</v>
      </c>
      <c r="AA191" t="s">
        <v>8</v>
      </c>
      <c r="AB191" t="s">
        <v>69</v>
      </c>
      <c r="AC191" t="s">
        <v>14</v>
      </c>
      <c r="AD191" t="s">
        <v>526</v>
      </c>
      <c r="AE191" t="s">
        <v>8</v>
      </c>
      <c r="AF191" t="s">
        <v>8</v>
      </c>
      <c r="AG191" t="s">
        <v>8</v>
      </c>
      <c r="AH191" s="2">
        <v>45736</v>
      </c>
      <c r="AI191" s="2"/>
      <c r="AJ191" t="s">
        <v>8</v>
      </c>
    </row>
    <row r="192" spans="1:36" outlineLevel="2" x14ac:dyDescent="0.25">
      <c r="A192" t="s">
        <v>27</v>
      </c>
      <c r="B192" t="s">
        <v>1</v>
      </c>
      <c r="C192" t="s">
        <v>2</v>
      </c>
      <c r="D192" t="s">
        <v>3</v>
      </c>
      <c r="E192" t="s">
        <v>4</v>
      </c>
      <c r="F192" t="s">
        <v>49</v>
      </c>
      <c r="G192" s="2">
        <v>45736</v>
      </c>
      <c r="H192" s="15">
        <v>1800004530</v>
      </c>
      <c r="I192" t="s">
        <v>75</v>
      </c>
      <c r="J192" s="2">
        <v>45736</v>
      </c>
      <c r="K192" s="2">
        <v>45737</v>
      </c>
      <c r="L192" t="s">
        <v>69</v>
      </c>
      <c r="M192" s="21">
        <v>246779414398</v>
      </c>
      <c r="N192" t="s">
        <v>9</v>
      </c>
      <c r="O192" t="s">
        <v>10</v>
      </c>
      <c r="P192" t="s">
        <v>8</v>
      </c>
      <c r="Q192" t="s">
        <v>65</v>
      </c>
      <c r="R192" t="s">
        <v>26</v>
      </c>
      <c r="S192" s="3">
        <v>32.380000000000003</v>
      </c>
      <c r="T192" t="s">
        <v>12</v>
      </c>
      <c r="U192" s="3">
        <v>2807.06</v>
      </c>
      <c r="V192" s="3">
        <f>VLOOKUP(M192,'[1]combined ledger'!$A:$H,8,0)</f>
        <v>2716.0803999999998</v>
      </c>
      <c r="W192" s="3">
        <f t="shared" si="2"/>
        <v>90.979600000000119</v>
      </c>
      <c r="X192" s="3"/>
      <c r="Y192" t="s">
        <v>77</v>
      </c>
      <c r="Z192" t="s">
        <v>13</v>
      </c>
      <c r="AA192" t="s">
        <v>8</v>
      </c>
      <c r="AB192" t="s">
        <v>69</v>
      </c>
      <c r="AC192" t="s">
        <v>14</v>
      </c>
      <c r="AD192" t="s">
        <v>529</v>
      </c>
      <c r="AE192" t="s">
        <v>8</v>
      </c>
      <c r="AF192" t="s">
        <v>8</v>
      </c>
      <c r="AG192" t="s">
        <v>8</v>
      </c>
      <c r="AH192" s="2">
        <v>45736</v>
      </c>
      <c r="AI192" s="2"/>
      <c r="AJ192" t="s">
        <v>8</v>
      </c>
    </row>
    <row r="193" spans="1:36" outlineLevel="2" x14ac:dyDescent="0.25">
      <c r="A193" t="s">
        <v>27</v>
      </c>
      <c r="B193" t="s">
        <v>1</v>
      </c>
      <c r="C193" t="s">
        <v>2</v>
      </c>
      <c r="D193" t="s">
        <v>3</v>
      </c>
      <c r="E193" t="s">
        <v>4</v>
      </c>
      <c r="F193" t="s">
        <v>49</v>
      </c>
      <c r="G193" s="2">
        <v>45736</v>
      </c>
      <c r="H193" s="15">
        <v>1800004531</v>
      </c>
      <c r="I193" t="s">
        <v>75</v>
      </c>
      <c r="J193" s="2">
        <v>45736</v>
      </c>
      <c r="K193" s="2">
        <v>45737</v>
      </c>
      <c r="L193" t="s">
        <v>69</v>
      </c>
      <c r="M193" s="21">
        <v>246779414399</v>
      </c>
      <c r="N193" t="s">
        <v>9</v>
      </c>
      <c r="O193" t="s">
        <v>10</v>
      </c>
      <c r="P193" t="s">
        <v>8</v>
      </c>
      <c r="Q193" t="s">
        <v>65</v>
      </c>
      <c r="R193" t="s">
        <v>26</v>
      </c>
      <c r="S193" s="3">
        <v>77.040000000000006</v>
      </c>
      <c r="T193" t="s">
        <v>12</v>
      </c>
      <c r="U193" s="3">
        <v>6678.69</v>
      </c>
      <c r="V193" s="3">
        <f>VLOOKUP(M193,'[1]combined ledger'!$A:$H,8,0)</f>
        <v>6461.0832</v>
      </c>
      <c r="W193" s="3">
        <f t="shared" si="2"/>
        <v>217.60679999999957</v>
      </c>
      <c r="X193" s="3"/>
      <c r="Y193" t="s">
        <v>77</v>
      </c>
      <c r="Z193" t="s">
        <v>13</v>
      </c>
      <c r="AA193" t="s">
        <v>8</v>
      </c>
      <c r="AB193" t="s">
        <v>69</v>
      </c>
      <c r="AC193" t="s">
        <v>14</v>
      </c>
      <c r="AD193" t="s">
        <v>532</v>
      </c>
      <c r="AE193" t="s">
        <v>8</v>
      </c>
      <c r="AF193" t="s">
        <v>8</v>
      </c>
      <c r="AG193" t="s">
        <v>8</v>
      </c>
      <c r="AH193" s="2">
        <v>45736</v>
      </c>
      <c r="AI193" s="2"/>
      <c r="AJ193" t="s">
        <v>8</v>
      </c>
    </row>
    <row r="194" spans="1:36" outlineLevel="2" x14ac:dyDescent="0.25">
      <c r="A194" t="s">
        <v>27</v>
      </c>
      <c r="B194" t="s">
        <v>1</v>
      </c>
      <c r="C194" t="s">
        <v>2</v>
      </c>
      <c r="D194" t="s">
        <v>3</v>
      </c>
      <c r="E194" t="s">
        <v>4</v>
      </c>
      <c r="F194" t="s">
        <v>49</v>
      </c>
      <c r="G194" s="2">
        <v>45736</v>
      </c>
      <c r="H194" s="15">
        <v>1800004867</v>
      </c>
      <c r="I194" t="s">
        <v>75</v>
      </c>
      <c r="J194" s="2">
        <v>45736</v>
      </c>
      <c r="K194" s="2">
        <v>45737</v>
      </c>
      <c r="L194" t="s">
        <v>69</v>
      </c>
      <c r="M194" s="21">
        <v>246779414735</v>
      </c>
      <c r="N194" t="s">
        <v>9</v>
      </c>
      <c r="O194" t="s">
        <v>10</v>
      </c>
      <c r="P194" t="s">
        <v>8</v>
      </c>
      <c r="Q194" t="s">
        <v>65</v>
      </c>
      <c r="R194" t="s">
        <v>26</v>
      </c>
      <c r="S194" s="3">
        <v>97.4</v>
      </c>
      <c r="T194" t="s">
        <v>12</v>
      </c>
      <c r="U194" s="3">
        <v>8443.73</v>
      </c>
      <c r="V194" s="3">
        <f>VLOOKUP(M194,'[1]combined ledger'!$A:$H,8,0)</f>
        <v>8168.4920000000002</v>
      </c>
      <c r="W194" s="3">
        <f t="shared" si="2"/>
        <v>275.23799999999937</v>
      </c>
      <c r="X194" s="3"/>
      <c r="Y194" t="s">
        <v>77</v>
      </c>
      <c r="Z194" t="s">
        <v>13</v>
      </c>
      <c r="AA194" t="s">
        <v>8</v>
      </c>
      <c r="AB194" t="s">
        <v>69</v>
      </c>
      <c r="AC194" t="s">
        <v>14</v>
      </c>
      <c r="AD194" t="s">
        <v>535</v>
      </c>
      <c r="AE194" t="s">
        <v>8</v>
      </c>
      <c r="AF194" t="s">
        <v>8</v>
      </c>
      <c r="AG194" t="s">
        <v>8</v>
      </c>
      <c r="AH194" s="2">
        <v>45736</v>
      </c>
      <c r="AI194" s="2"/>
      <c r="AJ194" t="s">
        <v>8</v>
      </c>
    </row>
    <row r="195" spans="1:36" outlineLevel="2" x14ac:dyDescent="0.25">
      <c r="A195" t="s">
        <v>27</v>
      </c>
      <c r="B195" t="s">
        <v>1</v>
      </c>
      <c r="C195" t="s">
        <v>2</v>
      </c>
      <c r="D195" t="s">
        <v>3</v>
      </c>
      <c r="E195" t="s">
        <v>4</v>
      </c>
      <c r="F195" t="s">
        <v>49</v>
      </c>
      <c r="G195" s="2">
        <v>45736</v>
      </c>
      <c r="H195" s="15">
        <v>1800005018</v>
      </c>
      <c r="I195" t="s">
        <v>75</v>
      </c>
      <c r="J195" s="2">
        <v>45736</v>
      </c>
      <c r="K195" s="2">
        <v>45737</v>
      </c>
      <c r="L195" t="s">
        <v>69</v>
      </c>
      <c r="M195" s="21">
        <v>246779414886</v>
      </c>
      <c r="N195" t="s">
        <v>9</v>
      </c>
      <c r="O195" t="s">
        <v>10</v>
      </c>
      <c r="P195" t="s">
        <v>8</v>
      </c>
      <c r="Q195" t="s">
        <v>65</v>
      </c>
      <c r="R195" t="s">
        <v>26</v>
      </c>
      <c r="S195" s="3">
        <v>30.8</v>
      </c>
      <c r="T195" t="s">
        <v>12</v>
      </c>
      <c r="U195" s="3">
        <v>2670.09</v>
      </c>
      <c r="V195" s="3">
        <f>VLOOKUP(M195,'[1]combined ledger'!$A:$H,8,0)</f>
        <v>2582.864</v>
      </c>
      <c r="W195" s="3">
        <f t="shared" si="2"/>
        <v>87.226000000000113</v>
      </c>
      <c r="X195" s="3"/>
      <c r="Y195" t="s">
        <v>77</v>
      </c>
      <c r="Z195" t="s">
        <v>13</v>
      </c>
      <c r="AA195" t="s">
        <v>8</v>
      </c>
      <c r="AB195" t="s">
        <v>69</v>
      </c>
      <c r="AC195" t="s">
        <v>14</v>
      </c>
      <c r="AD195" t="s">
        <v>535</v>
      </c>
      <c r="AE195" t="s">
        <v>8</v>
      </c>
      <c r="AF195" t="s">
        <v>8</v>
      </c>
      <c r="AG195" t="s">
        <v>8</v>
      </c>
      <c r="AH195" s="2">
        <v>45736</v>
      </c>
      <c r="AI195" s="2"/>
      <c r="AJ195" t="s">
        <v>8</v>
      </c>
    </row>
    <row r="196" spans="1:36" outlineLevel="2" x14ac:dyDescent="0.25">
      <c r="A196" t="s">
        <v>27</v>
      </c>
      <c r="B196" t="s">
        <v>1</v>
      </c>
      <c r="C196" t="s">
        <v>2</v>
      </c>
      <c r="D196" t="s">
        <v>3</v>
      </c>
      <c r="E196" t="s">
        <v>4</v>
      </c>
      <c r="F196" t="s">
        <v>49</v>
      </c>
      <c r="G196" s="2">
        <v>45736</v>
      </c>
      <c r="H196" s="15">
        <v>1800005019</v>
      </c>
      <c r="I196" t="s">
        <v>75</v>
      </c>
      <c r="J196" s="2">
        <v>45736</v>
      </c>
      <c r="K196" s="2">
        <v>45737</v>
      </c>
      <c r="L196" t="s">
        <v>69</v>
      </c>
      <c r="M196" s="21">
        <v>246779414887</v>
      </c>
      <c r="N196" t="s">
        <v>9</v>
      </c>
      <c r="O196" t="s">
        <v>10</v>
      </c>
      <c r="P196" t="s">
        <v>8</v>
      </c>
      <c r="Q196" t="s">
        <v>65</v>
      </c>
      <c r="R196" t="s">
        <v>26</v>
      </c>
      <c r="S196" s="3">
        <v>7.27</v>
      </c>
      <c r="T196" t="s">
        <v>12</v>
      </c>
      <c r="U196" s="3">
        <v>630.25</v>
      </c>
      <c r="V196" s="3">
        <f>VLOOKUP(M196,'[1]combined ledger'!$A:$H,8,0)</f>
        <v>610.16660000000002</v>
      </c>
      <c r="W196" s="3">
        <f t="shared" si="2"/>
        <v>20.083399999999983</v>
      </c>
      <c r="X196" s="3"/>
      <c r="Y196" t="s">
        <v>77</v>
      </c>
      <c r="Z196" t="s">
        <v>13</v>
      </c>
      <c r="AA196" t="s">
        <v>8</v>
      </c>
      <c r="AB196" t="s">
        <v>69</v>
      </c>
      <c r="AC196" t="s">
        <v>14</v>
      </c>
      <c r="AD196" t="s">
        <v>535</v>
      </c>
      <c r="AE196" t="s">
        <v>8</v>
      </c>
      <c r="AF196" t="s">
        <v>8</v>
      </c>
      <c r="AG196" t="s">
        <v>8</v>
      </c>
      <c r="AH196" s="2">
        <v>45736</v>
      </c>
      <c r="AI196" s="2"/>
      <c r="AJ196" t="s">
        <v>8</v>
      </c>
    </row>
    <row r="197" spans="1:36" outlineLevel="2" x14ac:dyDescent="0.25">
      <c r="A197" t="s">
        <v>27</v>
      </c>
      <c r="B197" t="s">
        <v>1</v>
      </c>
      <c r="C197" t="s">
        <v>2</v>
      </c>
      <c r="D197" t="s">
        <v>3</v>
      </c>
      <c r="E197" t="s">
        <v>4</v>
      </c>
      <c r="F197" t="s">
        <v>49</v>
      </c>
      <c r="G197" s="2">
        <v>45736</v>
      </c>
      <c r="H197" s="15">
        <v>1800005020</v>
      </c>
      <c r="I197" t="s">
        <v>75</v>
      </c>
      <c r="J197" s="2">
        <v>45736</v>
      </c>
      <c r="K197" s="2">
        <v>45737</v>
      </c>
      <c r="L197" t="s">
        <v>69</v>
      </c>
      <c r="M197" s="21">
        <v>246779414888</v>
      </c>
      <c r="N197" t="s">
        <v>9</v>
      </c>
      <c r="O197" t="s">
        <v>10</v>
      </c>
      <c r="P197" t="s">
        <v>8</v>
      </c>
      <c r="Q197" t="s">
        <v>65</v>
      </c>
      <c r="R197" t="s">
        <v>26</v>
      </c>
      <c r="S197" s="3">
        <v>10.91</v>
      </c>
      <c r="T197" t="s">
        <v>12</v>
      </c>
      <c r="U197" s="3">
        <v>945.8</v>
      </c>
      <c r="V197" s="3" t="e">
        <f>VLOOKUP(M197,'[1]combined ledger'!$A:$H,8,0)</f>
        <v>#N/A</v>
      </c>
      <c r="W197" s="3" t="e">
        <f t="shared" si="2"/>
        <v>#N/A</v>
      </c>
      <c r="X197" s="3"/>
      <c r="Y197" t="s">
        <v>77</v>
      </c>
      <c r="Z197" t="s">
        <v>13</v>
      </c>
      <c r="AA197" t="s">
        <v>8</v>
      </c>
      <c r="AB197" t="s">
        <v>69</v>
      </c>
      <c r="AC197" t="s">
        <v>14</v>
      </c>
      <c r="AD197" t="s">
        <v>535</v>
      </c>
      <c r="AE197" t="s">
        <v>8</v>
      </c>
      <c r="AF197" t="s">
        <v>8</v>
      </c>
      <c r="AG197" t="s">
        <v>8</v>
      </c>
      <c r="AH197" s="2">
        <v>45736</v>
      </c>
      <c r="AI197" s="2"/>
      <c r="AJ197" t="s">
        <v>8</v>
      </c>
    </row>
    <row r="198" spans="1:36" outlineLevel="2" x14ac:dyDescent="0.25">
      <c r="A198" t="s">
        <v>27</v>
      </c>
      <c r="B198" t="s">
        <v>1</v>
      </c>
      <c r="C198" t="s">
        <v>2</v>
      </c>
      <c r="D198" t="s">
        <v>3</v>
      </c>
      <c r="E198" t="s">
        <v>4</v>
      </c>
      <c r="F198" t="s">
        <v>49</v>
      </c>
      <c r="G198" s="2">
        <v>45736</v>
      </c>
      <c r="H198" s="15">
        <v>1800005021</v>
      </c>
      <c r="I198" t="s">
        <v>75</v>
      </c>
      <c r="J198" s="2">
        <v>45736</v>
      </c>
      <c r="K198" s="2">
        <v>45737</v>
      </c>
      <c r="L198" t="s">
        <v>69</v>
      </c>
      <c r="M198" s="21">
        <v>246779414889</v>
      </c>
      <c r="N198" t="s">
        <v>9</v>
      </c>
      <c r="O198" t="s">
        <v>10</v>
      </c>
      <c r="P198" t="s">
        <v>8</v>
      </c>
      <c r="Q198" t="s">
        <v>65</v>
      </c>
      <c r="R198" t="s">
        <v>26</v>
      </c>
      <c r="S198" s="3">
        <v>2.52</v>
      </c>
      <c r="T198" t="s">
        <v>12</v>
      </c>
      <c r="U198" s="3">
        <v>218.46</v>
      </c>
      <c r="V198" s="3">
        <f>VLOOKUP(M198,'[1]combined ledger'!$A:$H,8,0)</f>
        <v>211.66159999999999</v>
      </c>
      <c r="W198" s="3">
        <f t="shared" si="2"/>
        <v>6.7984000000000151</v>
      </c>
      <c r="X198" s="3"/>
      <c r="Y198" t="s">
        <v>77</v>
      </c>
      <c r="Z198" t="s">
        <v>13</v>
      </c>
      <c r="AA198" t="s">
        <v>8</v>
      </c>
      <c r="AB198" t="s">
        <v>69</v>
      </c>
      <c r="AC198" t="s">
        <v>14</v>
      </c>
      <c r="AD198" t="s">
        <v>535</v>
      </c>
      <c r="AE198" t="s">
        <v>8</v>
      </c>
      <c r="AF198" t="s">
        <v>8</v>
      </c>
      <c r="AG198" t="s">
        <v>8</v>
      </c>
      <c r="AH198" s="2">
        <v>45736</v>
      </c>
      <c r="AI198" s="2"/>
      <c r="AJ198" t="s">
        <v>8</v>
      </c>
    </row>
    <row r="199" spans="1:36" outlineLevel="2" x14ac:dyDescent="0.25">
      <c r="A199" t="s">
        <v>27</v>
      </c>
      <c r="B199" t="s">
        <v>1</v>
      </c>
      <c r="C199" t="s">
        <v>2</v>
      </c>
      <c r="D199" t="s">
        <v>3</v>
      </c>
      <c r="E199" t="s">
        <v>4</v>
      </c>
      <c r="F199" t="s">
        <v>49</v>
      </c>
      <c r="G199" s="2">
        <v>45736</v>
      </c>
      <c r="H199" s="15">
        <v>1800005022</v>
      </c>
      <c r="I199" t="s">
        <v>75</v>
      </c>
      <c r="J199" s="2">
        <v>45736</v>
      </c>
      <c r="K199" s="2">
        <v>45737</v>
      </c>
      <c r="L199" t="s">
        <v>69</v>
      </c>
      <c r="M199" s="21">
        <v>246779414890</v>
      </c>
      <c r="N199" t="s">
        <v>9</v>
      </c>
      <c r="O199" t="s">
        <v>10</v>
      </c>
      <c r="P199" t="s">
        <v>8</v>
      </c>
      <c r="Q199" t="s">
        <v>65</v>
      </c>
      <c r="R199" t="s">
        <v>26</v>
      </c>
      <c r="S199" s="3">
        <v>44</v>
      </c>
      <c r="T199" t="s">
        <v>12</v>
      </c>
      <c r="U199" s="3">
        <v>3814.42</v>
      </c>
      <c r="V199" s="3">
        <f>VLOOKUP(M199,'[1]combined ledger'!$A:$H,8,0)</f>
        <v>3690.52</v>
      </c>
      <c r="W199" s="3">
        <f t="shared" si="2"/>
        <v>123.90000000000009</v>
      </c>
      <c r="X199" s="3"/>
      <c r="Y199" t="s">
        <v>77</v>
      </c>
      <c r="Z199" t="s">
        <v>13</v>
      </c>
      <c r="AA199" t="s">
        <v>8</v>
      </c>
      <c r="AB199" t="s">
        <v>69</v>
      </c>
      <c r="AC199" t="s">
        <v>14</v>
      </c>
      <c r="AD199" t="s">
        <v>535</v>
      </c>
      <c r="AE199" t="s">
        <v>8</v>
      </c>
      <c r="AF199" t="s">
        <v>8</v>
      </c>
      <c r="AG199" t="s">
        <v>8</v>
      </c>
      <c r="AH199" s="2">
        <v>45736</v>
      </c>
      <c r="AI199" s="2"/>
      <c r="AJ199" t="s">
        <v>8</v>
      </c>
    </row>
    <row r="200" spans="1:36" outlineLevel="2" x14ac:dyDescent="0.25">
      <c r="A200" t="s">
        <v>27</v>
      </c>
      <c r="B200" t="s">
        <v>1</v>
      </c>
      <c r="C200" t="s">
        <v>2</v>
      </c>
      <c r="D200" t="s">
        <v>3</v>
      </c>
      <c r="E200" t="s">
        <v>4</v>
      </c>
      <c r="F200" t="s">
        <v>49</v>
      </c>
      <c r="G200" s="2">
        <v>45736</v>
      </c>
      <c r="H200" s="15">
        <v>1800004600</v>
      </c>
      <c r="I200" t="s">
        <v>75</v>
      </c>
      <c r="J200" s="2">
        <v>45736</v>
      </c>
      <c r="K200" s="2">
        <v>45737</v>
      </c>
      <c r="L200" t="s">
        <v>69</v>
      </c>
      <c r="M200" s="21">
        <v>246779414468</v>
      </c>
      <c r="N200" t="s">
        <v>9</v>
      </c>
      <c r="O200" t="s">
        <v>10</v>
      </c>
      <c r="P200" t="s">
        <v>8</v>
      </c>
      <c r="Q200" t="s">
        <v>65</v>
      </c>
      <c r="R200" t="s">
        <v>26</v>
      </c>
      <c r="S200" s="3">
        <v>92.22</v>
      </c>
      <c r="T200" t="s">
        <v>12</v>
      </c>
      <c r="U200" s="3">
        <v>7994.67</v>
      </c>
      <c r="V200" s="3">
        <f>VLOOKUP(M200,'[1]combined ledger'!$A:$H,8,0)</f>
        <v>7734.1876000000002</v>
      </c>
      <c r="W200" s="3">
        <f t="shared" si="2"/>
        <v>260.48239999999987</v>
      </c>
      <c r="X200" s="3"/>
      <c r="Y200" t="s">
        <v>77</v>
      </c>
      <c r="Z200" t="s">
        <v>13</v>
      </c>
      <c r="AA200" t="s">
        <v>8</v>
      </c>
      <c r="AB200" t="s">
        <v>69</v>
      </c>
      <c r="AC200" t="s">
        <v>14</v>
      </c>
      <c r="AD200" t="s">
        <v>548</v>
      </c>
      <c r="AE200" t="s">
        <v>8</v>
      </c>
      <c r="AF200" t="s">
        <v>8</v>
      </c>
      <c r="AG200" t="s">
        <v>8</v>
      </c>
      <c r="AH200" s="2">
        <v>45736</v>
      </c>
      <c r="AI200" s="2"/>
      <c r="AJ200" t="s">
        <v>8</v>
      </c>
    </row>
    <row r="201" spans="1:36" outlineLevel="2" x14ac:dyDescent="0.25">
      <c r="A201" t="s">
        <v>27</v>
      </c>
      <c r="B201" t="s">
        <v>1</v>
      </c>
      <c r="C201" t="s">
        <v>2</v>
      </c>
      <c r="D201" t="s">
        <v>3</v>
      </c>
      <c r="E201" t="s">
        <v>4</v>
      </c>
      <c r="F201" t="s">
        <v>49</v>
      </c>
      <c r="G201" s="2">
        <v>45736</v>
      </c>
      <c r="H201" s="15">
        <v>1800004736</v>
      </c>
      <c r="I201" t="s">
        <v>75</v>
      </c>
      <c r="J201" s="2">
        <v>45736</v>
      </c>
      <c r="K201" s="2">
        <v>45737</v>
      </c>
      <c r="L201" t="s">
        <v>69</v>
      </c>
      <c r="M201" s="21">
        <v>246779414604</v>
      </c>
      <c r="N201" t="s">
        <v>9</v>
      </c>
      <c r="O201" t="s">
        <v>10</v>
      </c>
      <c r="P201" t="s">
        <v>8</v>
      </c>
      <c r="Q201" t="s">
        <v>65</v>
      </c>
      <c r="R201" t="s">
        <v>26</v>
      </c>
      <c r="S201" s="3">
        <v>458.06</v>
      </c>
      <c r="T201" t="s">
        <v>12</v>
      </c>
      <c r="U201" s="3">
        <v>39709.800000000003</v>
      </c>
      <c r="V201" s="3">
        <f>VLOOKUP(M201,'[1]combined ledger'!$A:$H,8,0)</f>
        <v>38416.774799999999</v>
      </c>
      <c r="W201" s="3">
        <f t="shared" si="2"/>
        <v>1293.0252000000037</v>
      </c>
      <c r="X201" s="3"/>
      <c r="Y201" t="s">
        <v>77</v>
      </c>
      <c r="Z201" t="s">
        <v>13</v>
      </c>
      <c r="AA201" t="s">
        <v>8</v>
      </c>
      <c r="AB201" t="s">
        <v>69</v>
      </c>
      <c r="AC201" t="s">
        <v>14</v>
      </c>
      <c r="AD201" t="s">
        <v>551</v>
      </c>
      <c r="AE201" t="s">
        <v>8</v>
      </c>
      <c r="AF201" t="s">
        <v>8</v>
      </c>
      <c r="AG201" t="s">
        <v>8</v>
      </c>
      <c r="AH201" s="2">
        <v>45736</v>
      </c>
      <c r="AI201" s="2"/>
      <c r="AJ201" t="s">
        <v>8</v>
      </c>
    </row>
    <row r="202" spans="1:36" outlineLevel="2" x14ac:dyDescent="0.25">
      <c r="A202" t="s">
        <v>27</v>
      </c>
      <c r="B202" t="s">
        <v>1</v>
      </c>
      <c r="C202" t="s">
        <v>2</v>
      </c>
      <c r="D202" t="s">
        <v>3</v>
      </c>
      <c r="E202" t="s">
        <v>4</v>
      </c>
      <c r="F202" t="s">
        <v>49</v>
      </c>
      <c r="G202" s="2">
        <v>45736</v>
      </c>
      <c r="H202" s="15">
        <v>1800004814</v>
      </c>
      <c r="I202" t="s">
        <v>75</v>
      </c>
      <c r="J202" s="2">
        <v>45736</v>
      </c>
      <c r="K202" s="2">
        <v>45737</v>
      </c>
      <c r="L202" t="s">
        <v>69</v>
      </c>
      <c r="M202" s="21">
        <v>246779414682</v>
      </c>
      <c r="N202" t="s">
        <v>9</v>
      </c>
      <c r="O202" t="s">
        <v>10</v>
      </c>
      <c r="P202" t="s">
        <v>8</v>
      </c>
      <c r="Q202" t="s">
        <v>65</v>
      </c>
      <c r="R202" t="s">
        <v>26</v>
      </c>
      <c r="S202" s="3">
        <v>90.86</v>
      </c>
      <c r="T202" t="s">
        <v>12</v>
      </c>
      <c r="U202" s="3">
        <v>7876.77</v>
      </c>
      <c r="V202" s="3">
        <f>VLOOKUP(M202,'[1]combined ledger'!$A:$H,8,0)</f>
        <v>7619.7987999999996</v>
      </c>
      <c r="W202" s="3">
        <f t="shared" si="2"/>
        <v>256.97120000000086</v>
      </c>
      <c r="X202" s="3"/>
      <c r="Y202" t="s">
        <v>77</v>
      </c>
      <c r="Z202" t="s">
        <v>13</v>
      </c>
      <c r="AA202" t="s">
        <v>8</v>
      </c>
      <c r="AB202" t="s">
        <v>69</v>
      </c>
      <c r="AC202" t="s">
        <v>14</v>
      </c>
      <c r="AD202" t="s">
        <v>554</v>
      </c>
      <c r="AE202" t="s">
        <v>8</v>
      </c>
      <c r="AF202" t="s">
        <v>8</v>
      </c>
      <c r="AG202" t="s">
        <v>8</v>
      </c>
      <c r="AH202" s="2">
        <v>45736</v>
      </c>
      <c r="AI202" s="2"/>
      <c r="AJ202" t="s">
        <v>8</v>
      </c>
    </row>
    <row r="203" spans="1:36" outlineLevel="2" x14ac:dyDescent="0.25">
      <c r="A203" t="s">
        <v>27</v>
      </c>
      <c r="B203" t="s">
        <v>1</v>
      </c>
      <c r="C203" t="s">
        <v>2</v>
      </c>
      <c r="D203" t="s">
        <v>3</v>
      </c>
      <c r="E203" t="s">
        <v>4</v>
      </c>
      <c r="F203" t="s">
        <v>17</v>
      </c>
      <c r="G203" s="2">
        <v>45708</v>
      </c>
      <c r="H203" s="15">
        <v>1800000101</v>
      </c>
      <c r="I203" t="s">
        <v>75</v>
      </c>
      <c r="J203" s="2">
        <v>45708</v>
      </c>
      <c r="K203" s="2">
        <v>45708</v>
      </c>
      <c r="L203" t="s">
        <v>69</v>
      </c>
      <c r="M203" s="21">
        <v>246779410029</v>
      </c>
      <c r="N203" t="s">
        <v>9</v>
      </c>
      <c r="O203" t="s">
        <v>10</v>
      </c>
      <c r="P203" t="s">
        <v>8</v>
      </c>
      <c r="Q203" t="s">
        <v>65</v>
      </c>
      <c r="R203" t="s">
        <v>26</v>
      </c>
      <c r="S203" s="3">
        <v>1190.48</v>
      </c>
      <c r="T203" t="s">
        <v>12</v>
      </c>
      <c r="U203" s="3">
        <v>102742.78</v>
      </c>
      <c r="V203" s="3">
        <f>VLOOKUP(M203,'[1]combined ledger'!$A:$H,8,0)</f>
        <v>91693.278399999996</v>
      </c>
      <c r="W203" s="3">
        <f t="shared" si="2"/>
        <v>11049.501600000003</v>
      </c>
      <c r="X203" s="3"/>
      <c r="Y203" t="s">
        <v>77</v>
      </c>
      <c r="Z203" t="s">
        <v>13</v>
      </c>
      <c r="AA203" t="s">
        <v>8</v>
      </c>
      <c r="AB203" t="s">
        <v>69</v>
      </c>
      <c r="AC203" t="s">
        <v>14</v>
      </c>
      <c r="AD203" t="s">
        <v>557</v>
      </c>
      <c r="AE203" t="s">
        <v>8</v>
      </c>
      <c r="AF203" t="s">
        <v>8</v>
      </c>
      <c r="AG203" t="s">
        <v>8</v>
      </c>
      <c r="AH203" s="2">
        <v>45708</v>
      </c>
      <c r="AI203" s="2"/>
      <c r="AJ203" t="s">
        <v>8</v>
      </c>
    </row>
    <row r="204" spans="1:36" outlineLevel="2" x14ac:dyDescent="0.25">
      <c r="A204" t="s">
        <v>27</v>
      </c>
      <c r="B204" t="s">
        <v>1</v>
      </c>
      <c r="C204" t="s">
        <v>2</v>
      </c>
      <c r="D204" t="s">
        <v>3</v>
      </c>
      <c r="E204" t="s">
        <v>4</v>
      </c>
      <c r="F204" t="s">
        <v>17</v>
      </c>
      <c r="G204" s="2">
        <v>45708</v>
      </c>
      <c r="H204" s="15">
        <v>1800000127</v>
      </c>
      <c r="I204" t="s">
        <v>75</v>
      </c>
      <c r="J204" s="2">
        <v>45708</v>
      </c>
      <c r="K204" s="2">
        <v>45708</v>
      </c>
      <c r="L204" t="s">
        <v>69</v>
      </c>
      <c r="M204" s="21">
        <v>246779410055</v>
      </c>
      <c r="N204" t="s">
        <v>9</v>
      </c>
      <c r="O204" t="s">
        <v>10</v>
      </c>
      <c r="P204" t="s">
        <v>8</v>
      </c>
      <c r="Q204" t="s">
        <v>65</v>
      </c>
      <c r="R204" t="s">
        <v>26</v>
      </c>
      <c r="S204" s="3">
        <v>416.67</v>
      </c>
      <c r="T204" t="s">
        <v>12</v>
      </c>
      <c r="U204" s="3">
        <v>35960.15</v>
      </c>
      <c r="V204" s="3" t="e">
        <f>VLOOKUP(M204,'[1]combined ledger'!$A:$H,8,0)</f>
        <v>#N/A</v>
      </c>
      <c r="W204" s="3" t="e">
        <f t="shared" si="2"/>
        <v>#N/A</v>
      </c>
      <c r="X204" s="3"/>
      <c r="Y204" t="s">
        <v>77</v>
      </c>
      <c r="Z204" t="s">
        <v>13</v>
      </c>
      <c r="AA204" t="s">
        <v>8</v>
      </c>
      <c r="AB204" t="s">
        <v>69</v>
      </c>
      <c r="AC204" t="s">
        <v>14</v>
      </c>
      <c r="AD204" t="s">
        <v>560</v>
      </c>
      <c r="AE204" t="s">
        <v>8</v>
      </c>
      <c r="AF204" t="s">
        <v>8</v>
      </c>
      <c r="AG204" t="s">
        <v>8</v>
      </c>
      <c r="AH204" s="2">
        <v>45708</v>
      </c>
      <c r="AI204" s="2"/>
      <c r="AJ204" t="s">
        <v>8</v>
      </c>
    </row>
    <row r="205" spans="1:36" outlineLevel="2" x14ac:dyDescent="0.25">
      <c r="A205" t="s">
        <v>27</v>
      </c>
      <c r="B205" t="s">
        <v>1</v>
      </c>
      <c r="C205" t="s">
        <v>2</v>
      </c>
      <c r="D205" t="s">
        <v>3</v>
      </c>
      <c r="E205" t="s">
        <v>4</v>
      </c>
      <c r="F205" t="s">
        <v>17</v>
      </c>
      <c r="G205" s="2">
        <v>45708</v>
      </c>
      <c r="H205" s="15">
        <v>1800000170</v>
      </c>
      <c r="I205" t="s">
        <v>75</v>
      </c>
      <c r="J205" s="2">
        <v>45708</v>
      </c>
      <c r="K205" s="2">
        <v>45708</v>
      </c>
      <c r="L205" t="s">
        <v>69</v>
      </c>
      <c r="M205" s="21">
        <v>246779410097</v>
      </c>
      <c r="N205" t="s">
        <v>9</v>
      </c>
      <c r="O205" t="s">
        <v>10</v>
      </c>
      <c r="P205" t="s">
        <v>8</v>
      </c>
      <c r="Q205" t="s">
        <v>65</v>
      </c>
      <c r="R205" t="s">
        <v>26</v>
      </c>
      <c r="S205" s="3">
        <v>1190.48</v>
      </c>
      <c r="T205" t="s">
        <v>12</v>
      </c>
      <c r="U205" s="3">
        <v>102742.78</v>
      </c>
      <c r="V205" s="3">
        <f>VLOOKUP(M205,'[1]combined ledger'!$A:$H,8,0)</f>
        <v>91693.278399999996</v>
      </c>
      <c r="W205" s="3">
        <f t="shared" si="2"/>
        <v>11049.501600000003</v>
      </c>
      <c r="X205" s="3"/>
      <c r="Y205" t="s">
        <v>77</v>
      </c>
      <c r="Z205" t="s">
        <v>13</v>
      </c>
      <c r="AA205" t="s">
        <v>8</v>
      </c>
      <c r="AB205" t="s">
        <v>69</v>
      </c>
      <c r="AC205" t="s">
        <v>14</v>
      </c>
      <c r="AD205" t="s">
        <v>563</v>
      </c>
      <c r="AE205" t="s">
        <v>8</v>
      </c>
      <c r="AF205" t="s">
        <v>8</v>
      </c>
      <c r="AG205" t="s">
        <v>8</v>
      </c>
      <c r="AH205" s="2">
        <v>45708</v>
      </c>
      <c r="AI205" s="2"/>
      <c r="AJ205" t="s">
        <v>8</v>
      </c>
    </row>
    <row r="206" spans="1:36" outlineLevel="2" x14ac:dyDescent="0.25">
      <c r="A206" t="s">
        <v>27</v>
      </c>
      <c r="B206" t="s">
        <v>1</v>
      </c>
      <c r="C206" t="s">
        <v>2</v>
      </c>
      <c r="D206" t="s">
        <v>3</v>
      </c>
      <c r="E206" t="s">
        <v>4</v>
      </c>
      <c r="F206" t="s">
        <v>17</v>
      </c>
      <c r="G206" s="2">
        <v>45708</v>
      </c>
      <c r="H206" s="15">
        <v>1800000196</v>
      </c>
      <c r="I206" t="s">
        <v>75</v>
      </c>
      <c r="J206" s="2">
        <v>45708</v>
      </c>
      <c r="K206" s="2">
        <v>45708</v>
      </c>
      <c r="L206" t="s">
        <v>69</v>
      </c>
      <c r="M206" s="21">
        <v>246779410123</v>
      </c>
      <c r="N206" t="s">
        <v>9</v>
      </c>
      <c r="O206" t="s">
        <v>10</v>
      </c>
      <c r="P206" t="s">
        <v>8</v>
      </c>
      <c r="Q206" t="s">
        <v>65</v>
      </c>
      <c r="R206" t="s">
        <v>26</v>
      </c>
      <c r="S206" s="3">
        <v>416.67</v>
      </c>
      <c r="T206" t="s">
        <v>12</v>
      </c>
      <c r="U206" s="3">
        <v>35960.15</v>
      </c>
      <c r="V206" s="3">
        <f>VLOOKUP(M206,'[1]combined ledger'!$A:$H,8,0)</f>
        <v>34945.618600000002</v>
      </c>
      <c r="W206" s="3">
        <f t="shared" si="2"/>
        <v>1014.5313999999998</v>
      </c>
      <c r="X206" s="3"/>
      <c r="Y206" t="s">
        <v>77</v>
      </c>
      <c r="Z206" t="s">
        <v>13</v>
      </c>
      <c r="AA206" t="s">
        <v>8</v>
      </c>
      <c r="AB206" t="s">
        <v>69</v>
      </c>
      <c r="AC206" t="s">
        <v>14</v>
      </c>
      <c r="AD206" t="s">
        <v>566</v>
      </c>
      <c r="AE206" t="s">
        <v>8</v>
      </c>
      <c r="AF206" t="s">
        <v>8</v>
      </c>
      <c r="AG206" t="s">
        <v>8</v>
      </c>
      <c r="AH206" s="2">
        <v>45708</v>
      </c>
      <c r="AI206" s="2"/>
      <c r="AJ206" t="s">
        <v>8</v>
      </c>
    </row>
    <row r="207" spans="1:36" outlineLevel="2" x14ac:dyDescent="0.25">
      <c r="A207" t="s">
        <v>27</v>
      </c>
      <c r="B207" t="s">
        <v>1</v>
      </c>
      <c r="C207" t="s">
        <v>2</v>
      </c>
      <c r="D207" t="s">
        <v>3</v>
      </c>
      <c r="E207" t="s">
        <v>4</v>
      </c>
      <c r="F207" t="s">
        <v>17</v>
      </c>
      <c r="G207" s="2">
        <v>45708</v>
      </c>
      <c r="H207" s="15">
        <v>1800000213</v>
      </c>
      <c r="I207" t="s">
        <v>75</v>
      </c>
      <c r="J207" s="2">
        <v>45708</v>
      </c>
      <c r="K207" s="2">
        <v>45708</v>
      </c>
      <c r="L207" t="s">
        <v>69</v>
      </c>
      <c r="M207" s="21">
        <v>246779410140</v>
      </c>
      <c r="N207" t="s">
        <v>9</v>
      </c>
      <c r="O207" t="s">
        <v>10</v>
      </c>
      <c r="P207" t="s">
        <v>8</v>
      </c>
      <c r="Q207" t="s">
        <v>65</v>
      </c>
      <c r="R207" t="s">
        <v>26</v>
      </c>
      <c r="S207" s="3">
        <v>1190.48</v>
      </c>
      <c r="T207" t="s">
        <v>12</v>
      </c>
      <c r="U207" s="3">
        <v>102742.78</v>
      </c>
      <c r="V207" s="3">
        <f>VLOOKUP(M207,'[1]combined ledger'!$A:$H,8,0)</f>
        <v>91693.278399999996</v>
      </c>
      <c r="W207" s="3">
        <f t="shared" si="2"/>
        <v>11049.501600000003</v>
      </c>
      <c r="X207" s="3"/>
      <c r="Y207" t="s">
        <v>77</v>
      </c>
      <c r="Z207" t="s">
        <v>13</v>
      </c>
      <c r="AA207" t="s">
        <v>8</v>
      </c>
      <c r="AB207" t="s">
        <v>69</v>
      </c>
      <c r="AC207" t="s">
        <v>14</v>
      </c>
      <c r="AD207" t="s">
        <v>569</v>
      </c>
      <c r="AE207" t="s">
        <v>8</v>
      </c>
      <c r="AF207" t="s">
        <v>8</v>
      </c>
      <c r="AG207" t="s">
        <v>8</v>
      </c>
      <c r="AH207" s="2">
        <v>45708</v>
      </c>
      <c r="AI207" s="2"/>
      <c r="AJ207" t="s">
        <v>8</v>
      </c>
    </row>
    <row r="208" spans="1:36" outlineLevel="2" x14ac:dyDescent="0.25">
      <c r="A208" t="s">
        <v>27</v>
      </c>
      <c r="B208" t="s">
        <v>1</v>
      </c>
      <c r="C208" t="s">
        <v>2</v>
      </c>
      <c r="D208" t="s">
        <v>3</v>
      </c>
      <c r="E208" t="s">
        <v>4</v>
      </c>
      <c r="F208" t="s">
        <v>17</v>
      </c>
      <c r="G208" s="2">
        <v>45708</v>
      </c>
      <c r="H208" s="15">
        <v>1800000239</v>
      </c>
      <c r="I208" t="s">
        <v>75</v>
      </c>
      <c r="J208" s="2">
        <v>45708</v>
      </c>
      <c r="K208" s="2">
        <v>45708</v>
      </c>
      <c r="L208" t="s">
        <v>69</v>
      </c>
      <c r="M208" s="21">
        <v>246779410166</v>
      </c>
      <c r="N208" t="s">
        <v>9</v>
      </c>
      <c r="O208" t="s">
        <v>10</v>
      </c>
      <c r="P208" t="s">
        <v>8</v>
      </c>
      <c r="Q208" t="s">
        <v>65</v>
      </c>
      <c r="R208" t="s">
        <v>26</v>
      </c>
      <c r="S208" s="3">
        <v>416.67</v>
      </c>
      <c r="T208" t="s">
        <v>12</v>
      </c>
      <c r="U208" s="3">
        <v>35960.15</v>
      </c>
      <c r="V208" s="3">
        <f>VLOOKUP(M208,'[1]combined ledger'!$A:$H,8,0)</f>
        <v>34945.618600000002</v>
      </c>
      <c r="W208" s="3">
        <f t="shared" si="2"/>
        <v>1014.5313999999998</v>
      </c>
      <c r="X208" s="3"/>
      <c r="Y208" t="s">
        <v>77</v>
      </c>
      <c r="Z208" t="s">
        <v>13</v>
      </c>
      <c r="AA208" t="s">
        <v>8</v>
      </c>
      <c r="AB208" t="s">
        <v>69</v>
      </c>
      <c r="AC208" t="s">
        <v>14</v>
      </c>
      <c r="AD208" t="s">
        <v>572</v>
      </c>
      <c r="AE208" t="s">
        <v>8</v>
      </c>
      <c r="AF208" t="s">
        <v>8</v>
      </c>
      <c r="AG208" t="s">
        <v>8</v>
      </c>
      <c r="AH208" s="2">
        <v>45708</v>
      </c>
      <c r="AI208" s="2"/>
      <c r="AJ208" t="s">
        <v>8</v>
      </c>
    </row>
    <row r="209" spans="1:36" outlineLevel="2" x14ac:dyDescent="0.25">
      <c r="A209" t="s">
        <v>27</v>
      </c>
      <c r="B209" t="s">
        <v>1</v>
      </c>
      <c r="C209" t="s">
        <v>2</v>
      </c>
      <c r="D209" t="s">
        <v>3</v>
      </c>
      <c r="E209" t="s">
        <v>4</v>
      </c>
      <c r="F209" t="s">
        <v>17</v>
      </c>
      <c r="G209" s="2">
        <v>45708</v>
      </c>
      <c r="H209" s="15">
        <v>1800000256</v>
      </c>
      <c r="I209" t="s">
        <v>75</v>
      </c>
      <c r="J209" s="2">
        <v>45708</v>
      </c>
      <c r="K209" s="2">
        <v>45708</v>
      </c>
      <c r="L209" t="s">
        <v>69</v>
      </c>
      <c r="M209" s="21">
        <v>246779410183</v>
      </c>
      <c r="N209" t="s">
        <v>9</v>
      </c>
      <c r="O209" t="s">
        <v>10</v>
      </c>
      <c r="P209" t="s">
        <v>8</v>
      </c>
      <c r="Q209" t="s">
        <v>65</v>
      </c>
      <c r="R209" t="s">
        <v>26</v>
      </c>
      <c r="S209" s="3">
        <v>1166.5899999999999</v>
      </c>
      <c r="T209" t="s">
        <v>12</v>
      </c>
      <c r="U209" s="3">
        <v>100680.99</v>
      </c>
      <c r="V209" s="3" t="e">
        <f>VLOOKUP(M209,'[1]combined ledger'!$A:$H,8,0)</f>
        <v>#N/A</v>
      </c>
      <c r="W209" s="3" t="e">
        <f t="shared" si="2"/>
        <v>#N/A</v>
      </c>
      <c r="X209" s="3"/>
      <c r="Y209" t="s">
        <v>77</v>
      </c>
      <c r="Z209" t="s">
        <v>13</v>
      </c>
      <c r="AA209" t="s">
        <v>8</v>
      </c>
      <c r="AB209" t="s">
        <v>69</v>
      </c>
      <c r="AC209" t="s">
        <v>14</v>
      </c>
      <c r="AD209" t="s">
        <v>575</v>
      </c>
      <c r="AE209" t="s">
        <v>8</v>
      </c>
      <c r="AF209" t="s">
        <v>8</v>
      </c>
      <c r="AG209" t="s">
        <v>8</v>
      </c>
      <c r="AH209" s="2">
        <v>45708</v>
      </c>
      <c r="AI209" s="2"/>
      <c r="AJ209" t="s">
        <v>8</v>
      </c>
    </row>
    <row r="210" spans="1:36" outlineLevel="2" x14ac:dyDescent="0.25">
      <c r="A210" t="s">
        <v>27</v>
      </c>
      <c r="B210" t="s">
        <v>1</v>
      </c>
      <c r="C210" t="s">
        <v>2</v>
      </c>
      <c r="D210" t="s">
        <v>3</v>
      </c>
      <c r="E210" t="s">
        <v>4</v>
      </c>
      <c r="F210" t="s">
        <v>17</v>
      </c>
      <c r="G210" s="2">
        <v>45708</v>
      </c>
      <c r="H210" s="15">
        <v>1800000282</v>
      </c>
      <c r="I210" t="s">
        <v>75</v>
      </c>
      <c r="J210" s="2">
        <v>45708</v>
      </c>
      <c r="K210" s="2">
        <v>45708</v>
      </c>
      <c r="L210" t="s">
        <v>69</v>
      </c>
      <c r="M210" s="21">
        <v>246779410209</v>
      </c>
      <c r="N210" t="s">
        <v>9</v>
      </c>
      <c r="O210" t="s">
        <v>10</v>
      </c>
      <c r="P210" t="s">
        <v>8</v>
      </c>
      <c r="Q210" t="s">
        <v>65</v>
      </c>
      <c r="R210" t="s">
        <v>26</v>
      </c>
      <c r="S210" s="3">
        <v>408.31</v>
      </c>
      <c r="T210" t="s">
        <v>12</v>
      </c>
      <c r="U210" s="3">
        <v>35238.65</v>
      </c>
      <c r="V210" s="3">
        <f>VLOOKUP(M210,'[1]combined ledger'!$A:$H,8,0)</f>
        <v>89852.772200000007</v>
      </c>
      <c r="W210" s="3">
        <f t="shared" si="2"/>
        <v>-54614.122200000005</v>
      </c>
      <c r="X210" s="3"/>
      <c r="Y210" t="s">
        <v>77</v>
      </c>
      <c r="Z210" t="s">
        <v>13</v>
      </c>
      <c r="AA210" t="s">
        <v>8</v>
      </c>
      <c r="AB210" t="s">
        <v>69</v>
      </c>
      <c r="AC210" t="s">
        <v>14</v>
      </c>
      <c r="AD210" t="s">
        <v>578</v>
      </c>
      <c r="AE210" t="s">
        <v>8</v>
      </c>
      <c r="AF210" t="s">
        <v>8</v>
      </c>
      <c r="AG210" t="s">
        <v>8</v>
      </c>
      <c r="AH210" s="2">
        <v>45708</v>
      </c>
      <c r="AI210" s="2"/>
      <c r="AJ210" t="s">
        <v>8</v>
      </c>
    </row>
    <row r="211" spans="1:36" outlineLevel="2" x14ac:dyDescent="0.25">
      <c r="A211" t="s">
        <v>27</v>
      </c>
      <c r="B211" t="s">
        <v>1</v>
      </c>
      <c r="C211" t="s">
        <v>2</v>
      </c>
      <c r="D211" t="s">
        <v>3</v>
      </c>
      <c r="E211" t="s">
        <v>4</v>
      </c>
      <c r="F211" t="s">
        <v>17</v>
      </c>
      <c r="G211" s="2">
        <v>45708</v>
      </c>
      <c r="H211" s="15">
        <v>1800000299</v>
      </c>
      <c r="I211" t="s">
        <v>75</v>
      </c>
      <c r="J211" s="2">
        <v>45708</v>
      </c>
      <c r="K211" s="2">
        <v>45708</v>
      </c>
      <c r="L211" t="s">
        <v>69</v>
      </c>
      <c r="M211" s="21">
        <v>246779410226</v>
      </c>
      <c r="N211" t="s">
        <v>9</v>
      </c>
      <c r="O211" t="s">
        <v>10</v>
      </c>
      <c r="P211" t="s">
        <v>8</v>
      </c>
      <c r="Q211" t="s">
        <v>65</v>
      </c>
      <c r="R211" t="s">
        <v>26</v>
      </c>
      <c r="S211" s="3">
        <v>1143.1199999999999</v>
      </c>
      <c r="T211" t="s">
        <v>12</v>
      </c>
      <c r="U211" s="3">
        <v>98655.44</v>
      </c>
      <c r="V211" s="3">
        <f>VLOOKUP(M211,'[1]combined ledger'!$A:$H,8,0)</f>
        <v>88045.209600000002</v>
      </c>
      <c r="W211" s="3">
        <f t="shared" si="2"/>
        <v>10610.2304</v>
      </c>
      <c r="X211" s="3"/>
      <c r="Y211" t="s">
        <v>77</v>
      </c>
      <c r="Z211" t="s">
        <v>13</v>
      </c>
      <c r="AA211" t="s">
        <v>8</v>
      </c>
      <c r="AB211" t="s">
        <v>69</v>
      </c>
      <c r="AC211" t="s">
        <v>14</v>
      </c>
      <c r="AD211" t="s">
        <v>581</v>
      </c>
      <c r="AE211" t="s">
        <v>8</v>
      </c>
      <c r="AF211" t="s">
        <v>8</v>
      </c>
      <c r="AG211" t="s">
        <v>8</v>
      </c>
      <c r="AH211" s="2">
        <v>45708</v>
      </c>
      <c r="AI211" s="2"/>
      <c r="AJ211" t="s">
        <v>8</v>
      </c>
    </row>
    <row r="212" spans="1:36" outlineLevel="2" x14ac:dyDescent="0.25">
      <c r="A212" t="s">
        <v>27</v>
      </c>
      <c r="B212" t="s">
        <v>1</v>
      </c>
      <c r="C212" t="s">
        <v>2</v>
      </c>
      <c r="D212" t="s">
        <v>3</v>
      </c>
      <c r="E212" t="s">
        <v>4</v>
      </c>
      <c r="F212" t="s">
        <v>17</v>
      </c>
      <c r="G212" s="2">
        <v>45708</v>
      </c>
      <c r="H212" s="15">
        <v>1800000325</v>
      </c>
      <c r="I212" t="s">
        <v>75</v>
      </c>
      <c r="J212" s="2">
        <v>45708</v>
      </c>
      <c r="K212" s="2">
        <v>45708</v>
      </c>
      <c r="L212" t="s">
        <v>69</v>
      </c>
      <c r="M212" s="21">
        <v>246779410252</v>
      </c>
      <c r="N212" t="s">
        <v>9</v>
      </c>
      <c r="O212" t="s">
        <v>10</v>
      </c>
      <c r="P212" t="s">
        <v>8</v>
      </c>
      <c r="Q212" t="s">
        <v>65</v>
      </c>
      <c r="R212" t="s">
        <v>26</v>
      </c>
      <c r="S212" s="3">
        <v>400.09</v>
      </c>
      <c r="T212" t="s">
        <v>12</v>
      </c>
      <c r="U212" s="3">
        <v>34529.230000000003</v>
      </c>
      <c r="V212" s="3">
        <f>VLOOKUP(M212,'[1]combined ledger'!$A:$H,8,0)</f>
        <v>33554.7022</v>
      </c>
      <c r="W212" s="3">
        <f t="shared" si="2"/>
        <v>974.52780000000348</v>
      </c>
      <c r="X212" s="3"/>
      <c r="Y212" t="s">
        <v>77</v>
      </c>
      <c r="Z212" t="s">
        <v>13</v>
      </c>
      <c r="AA212" t="s">
        <v>8</v>
      </c>
      <c r="AB212" t="s">
        <v>69</v>
      </c>
      <c r="AC212" t="s">
        <v>14</v>
      </c>
      <c r="AD212" t="s">
        <v>584</v>
      </c>
      <c r="AE212" t="s">
        <v>8</v>
      </c>
      <c r="AF212" t="s">
        <v>8</v>
      </c>
      <c r="AG212" t="s">
        <v>8</v>
      </c>
      <c r="AH212" s="2">
        <v>45708</v>
      </c>
      <c r="AI212" s="2"/>
      <c r="AJ212" t="s">
        <v>8</v>
      </c>
    </row>
    <row r="213" spans="1:36" outlineLevel="2" x14ac:dyDescent="0.25">
      <c r="A213" t="s">
        <v>27</v>
      </c>
      <c r="B213" t="s">
        <v>1</v>
      </c>
      <c r="C213" t="s">
        <v>2</v>
      </c>
      <c r="D213" t="s">
        <v>3</v>
      </c>
      <c r="E213" t="s">
        <v>4</v>
      </c>
      <c r="F213" t="s">
        <v>17</v>
      </c>
      <c r="G213" s="2">
        <v>45708</v>
      </c>
      <c r="H213" s="15">
        <v>1800000070</v>
      </c>
      <c r="I213" t="s">
        <v>75</v>
      </c>
      <c r="J213" s="2">
        <v>45708</v>
      </c>
      <c r="K213" s="2">
        <v>45709</v>
      </c>
      <c r="L213" t="s">
        <v>69</v>
      </c>
      <c r="M213" s="21">
        <v>246779410276</v>
      </c>
      <c r="N213" t="s">
        <v>9</v>
      </c>
      <c r="O213" t="s">
        <v>10</v>
      </c>
      <c r="P213" t="s">
        <v>8</v>
      </c>
      <c r="Q213" t="s">
        <v>65</v>
      </c>
      <c r="R213" t="s">
        <v>26</v>
      </c>
      <c r="S213" s="3">
        <v>1190.48</v>
      </c>
      <c r="T213" t="s">
        <v>12</v>
      </c>
      <c r="U213" s="3">
        <v>102742.78</v>
      </c>
      <c r="V213" s="3">
        <f>VLOOKUP(M213,'[1]combined ledger'!$A:$H,8,0)</f>
        <v>91693.278399999996</v>
      </c>
      <c r="W213" s="3">
        <f t="shared" si="2"/>
        <v>11049.501600000003</v>
      </c>
      <c r="X213" s="3"/>
      <c r="Y213" t="s">
        <v>77</v>
      </c>
      <c r="Z213" t="s">
        <v>13</v>
      </c>
      <c r="AA213" t="s">
        <v>8</v>
      </c>
      <c r="AB213" t="s">
        <v>69</v>
      </c>
      <c r="AC213" t="s">
        <v>14</v>
      </c>
      <c r="AD213" t="s">
        <v>587</v>
      </c>
      <c r="AE213" t="s">
        <v>8</v>
      </c>
      <c r="AF213" t="s">
        <v>8</v>
      </c>
      <c r="AG213" t="s">
        <v>8</v>
      </c>
      <c r="AH213" s="2">
        <v>45708</v>
      </c>
      <c r="AI213" s="2"/>
      <c r="AJ213" t="s">
        <v>8</v>
      </c>
    </row>
    <row r="214" spans="1:36" outlineLevel="2" x14ac:dyDescent="0.25">
      <c r="A214" t="s">
        <v>27</v>
      </c>
      <c r="B214" t="s">
        <v>1</v>
      </c>
      <c r="C214" t="s">
        <v>2</v>
      </c>
      <c r="D214" t="s">
        <v>3</v>
      </c>
      <c r="E214" t="s">
        <v>4</v>
      </c>
      <c r="F214" t="s">
        <v>17</v>
      </c>
      <c r="G214" s="2">
        <v>45708</v>
      </c>
      <c r="H214" s="15">
        <v>1800000141</v>
      </c>
      <c r="I214" t="s">
        <v>75</v>
      </c>
      <c r="J214" s="2">
        <v>45708</v>
      </c>
      <c r="K214" s="2">
        <v>45709</v>
      </c>
      <c r="L214" t="s">
        <v>69</v>
      </c>
      <c r="M214" s="21">
        <v>246779410308</v>
      </c>
      <c r="N214" t="s">
        <v>9</v>
      </c>
      <c r="O214" t="s">
        <v>10</v>
      </c>
      <c r="P214" t="s">
        <v>8</v>
      </c>
      <c r="Q214" t="s">
        <v>65</v>
      </c>
      <c r="R214" t="s">
        <v>26</v>
      </c>
      <c r="S214" s="3">
        <v>416.67</v>
      </c>
      <c r="T214" t="s">
        <v>12</v>
      </c>
      <c r="U214" s="3">
        <v>35960.15</v>
      </c>
      <c r="V214" s="3">
        <f>VLOOKUP(M214,'[1]combined ledger'!$A:$H,8,0)</f>
        <v>34945.618600000002</v>
      </c>
      <c r="W214" s="3">
        <f t="shared" si="2"/>
        <v>1014.5313999999998</v>
      </c>
      <c r="X214" s="3"/>
      <c r="Y214" t="s">
        <v>77</v>
      </c>
      <c r="Z214" t="s">
        <v>13</v>
      </c>
      <c r="AA214" t="s">
        <v>8</v>
      </c>
      <c r="AB214" t="s">
        <v>69</v>
      </c>
      <c r="AC214" t="s">
        <v>14</v>
      </c>
      <c r="AD214" t="s">
        <v>590</v>
      </c>
      <c r="AE214" t="s">
        <v>8</v>
      </c>
      <c r="AF214" t="s">
        <v>8</v>
      </c>
      <c r="AG214" t="s">
        <v>8</v>
      </c>
      <c r="AH214" s="2">
        <v>45708</v>
      </c>
      <c r="AI214" s="2"/>
      <c r="AJ214" t="s">
        <v>8</v>
      </c>
    </row>
    <row r="215" spans="1:36" outlineLevel="2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17</v>
      </c>
      <c r="G215" s="2">
        <v>45708</v>
      </c>
      <c r="H215" s="15">
        <v>1800000040</v>
      </c>
      <c r="I215" t="s">
        <v>75</v>
      </c>
      <c r="J215" s="2">
        <v>45708</v>
      </c>
      <c r="K215" s="2">
        <v>45708</v>
      </c>
      <c r="L215" t="s">
        <v>69</v>
      </c>
      <c r="M215" s="21">
        <v>246779410077</v>
      </c>
      <c r="N215" t="s">
        <v>9</v>
      </c>
      <c r="O215" t="s">
        <v>10</v>
      </c>
      <c r="P215" t="s">
        <v>8</v>
      </c>
      <c r="Q215" t="s">
        <v>65</v>
      </c>
      <c r="R215" t="s">
        <v>26</v>
      </c>
      <c r="S215" s="3">
        <v>416.67</v>
      </c>
      <c r="T215" t="s">
        <v>12</v>
      </c>
      <c r="U215" s="3">
        <v>35960.15</v>
      </c>
      <c r="V215" s="3">
        <f>VLOOKUP(M215,'[1]combined ledger'!$A:$H,8,0)</f>
        <v>34945.618600000002</v>
      </c>
      <c r="W215" s="3">
        <f t="shared" si="2"/>
        <v>1014.5313999999998</v>
      </c>
      <c r="X215" s="3"/>
      <c r="Y215" t="s">
        <v>77</v>
      </c>
      <c r="Z215" t="s">
        <v>13</v>
      </c>
      <c r="AA215" t="s">
        <v>8</v>
      </c>
      <c r="AB215" t="s">
        <v>69</v>
      </c>
      <c r="AC215" t="s">
        <v>14</v>
      </c>
      <c r="AD215" t="s">
        <v>593</v>
      </c>
      <c r="AE215" t="s">
        <v>8</v>
      </c>
      <c r="AF215" t="s">
        <v>8</v>
      </c>
      <c r="AG215" t="s">
        <v>8</v>
      </c>
      <c r="AH215" s="2">
        <v>45708</v>
      </c>
      <c r="AI215" s="2">
        <v>45887</v>
      </c>
      <c r="AJ215" t="s">
        <v>24</v>
      </c>
    </row>
    <row r="216" spans="1:36" outlineLevel="2" x14ac:dyDescent="0.25">
      <c r="A216" t="s">
        <v>27</v>
      </c>
      <c r="B216" t="s">
        <v>1</v>
      </c>
      <c r="C216" t="s">
        <v>2</v>
      </c>
      <c r="D216" t="s">
        <v>3</v>
      </c>
      <c r="E216" t="s">
        <v>4</v>
      </c>
      <c r="F216" t="s">
        <v>23</v>
      </c>
      <c r="G216" s="2">
        <v>45889</v>
      </c>
      <c r="H216" s="15">
        <v>1800012185</v>
      </c>
      <c r="I216" t="s">
        <v>75</v>
      </c>
      <c r="J216" s="2">
        <v>45889</v>
      </c>
      <c r="K216" s="2">
        <v>45891</v>
      </c>
      <c r="L216" t="s">
        <v>69</v>
      </c>
      <c r="M216" s="21">
        <v>256779416817</v>
      </c>
      <c r="N216" t="s">
        <v>9</v>
      </c>
      <c r="O216" t="s">
        <v>10</v>
      </c>
      <c r="P216" t="s">
        <v>8</v>
      </c>
      <c r="Q216" t="s">
        <v>65</v>
      </c>
      <c r="R216" t="s">
        <v>26</v>
      </c>
      <c r="S216" s="3">
        <v>180</v>
      </c>
      <c r="T216" t="s">
        <v>12</v>
      </c>
      <c r="U216" s="3">
        <v>15485.42</v>
      </c>
      <c r="V216" s="3">
        <f>VLOOKUP(M216,'[1]combined ledger'!$A:$H,8,0)</f>
        <v>15641.6</v>
      </c>
      <c r="W216" s="3">
        <f t="shared" si="2"/>
        <v>-156.18000000000029</v>
      </c>
      <c r="X216" s="3"/>
      <c r="Y216" t="s">
        <v>77</v>
      </c>
      <c r="Z216" t="s">
        <v>13</v>
      </c>
      <c r="AA216" t="s">
        <v>8</v>
      </c>
      <c r="AB216" t="s">
        <v>69</v>
      </c>
      <c r="AC216" t="s">
        <v>14</v>
      </c>
      <c r="AD216" t="s">
        <v>596</v>
      </c>
      <c r="AE216" t="s">
        <v>8</v>
      </c>
      <c r="AF216" t="s">
        <v>8</v>
      </c>
      <c r="AG216" t="s">
        <v>8</v>
      </c>
      <c r="AH216" s="2">
        <v>45889</v>
      </c>
      <c r="AI216" s="2"/>
      <c r="AJ216" t="s">
        <v>8</v>
      </c>
    </row>
    <row r="217" spans="1:36" outlineLevel="2" x14ac:dyDescent="0.25">
      <c r="A217" t="s">
        <v>27</v>
      </c>
      <c r="B217" t="s">
        <v>1</v>
      </c>
      <c r="C217" t="s">
        <v>2</v>
      </c>
      <c r="D217" t="s">
        <v>3</v>
      </c>
      <c r="E217" t="s">
        <v>4</v>
      </c>
      <c r="F217" t="s">
        <v>23</v>
      </c>
      <c r="G217" s="2">
        <v>45889</v>
      </c>
      <c r="H217" s="15">
        <v>1800012249</v>
      </c>
      <c r="I217" t="s">
        <v>75</v>
      </c>
      <c r="J217" s="2">
        <v>45889</v>
      </c>
      <c r="K217" s="2">
        <v>45891</v>
      </c>
      <c r="L217" t="s">
        <v>69</v>
      </c>
      <c r="M217" s="21">
        <v>256779416845</v>
      </c>
      <c r="N217" t="s">
        <v>9</v>
      </c>
      <c r="O217" t="s">
        <v>10</v>
      </c>
      <c r="P217" t="s">
        <v>8</v>
      </c>
      <c r="Q217" t="s">
        <v>65</v>
      </c>
      <c r="R217" t="s">
        <v>26</v>
      </c>
      <c r="S217" s="3">
        <v>492.48</v>
      </c>
      <c r="T217" t="s">
        <v>12</v>
      </c>
      <c r="U217" s="3">
        <v>42368.11</v>
      </c>
      <c r="V217" s="3">
        <f>VLOOKUP(M217,'[1]combined ledger'!$A:$H,8,0)</f>
        <v>42795.2016</v>
      </c>
      <c r="W217" s="3">
        <f t="shared" si="2"/>
        <v>-427.09159999999974</v>
      </c>
      <c r="X217" s="3"/>
      <c r="Y217" t="s">
        <v>77</v>
      </c>
      <c r="Z217" t="s">
        <v>13</v>
      </c>
      <c r="AA217" t="s">
        <v>8</v>
      </c>
      <c r="AB217" t="s">
        <v>69</v>
      </c>
      <c r="AC217" t="s">
        <v>14</v>
      </c>
      <c r="AD217" t="s">
        <v>599</v>
      </c>
      <c r="AE217" t="s">
        <v>8</v>
      </c>
      <c r="AF217" t="s">
        <v>8</v>
      </c>
      <c r="AG217" t="s">
        <v>8</v>
      </c>
      <c r="AH217" s="2">
        <v>45889</v>
      </c>
      <c r="AI217" s="2"/>
      <c r="AJ217" t="s">
        <v>8</v>
      </c>
    </row>
    <row r="218" spans="1:36" outlineLevel="2" x14ac:dyDescent="0.25">
      <c r="A218" t="s">
        <v>27</v>
      </c>
      <c r="B218" t="s">
        <v>1</v>
      </c>
      <c r="C218" t="s">
        <v>2</v>
      </c>
      <c r="D218" t="s">
        <v>3</v>
      </c>
      <c r="E218" t="s">
        <v>4</v>
      </c>
      <c r="F218" t="s">
        <v>23</v>
      </c>
      <c r="G218" s="2">
        <v>45889</v>
      </c>
      <c r="H218" s="15">
        <v>1800012217</v>
      </c>
      <c r="I218" t="s">
        <v>75</v>
      </c>
      <c r="J218" s="2">
        <v>45889</v>
      </c>
      <c r="K218" s="2">
        <v>45891</v>
      </c>
      <c r="L218" t="s">
        <v>69</v>
      </c>
      <c r="M218" s="21">
        <v>256779416879</v>
      </c>
      <c r="N218" t="s">
        <v>9</v>
      </c>
      <c r="O218" t="s">
        <v>10</v>
      </c>
      <c r="P218" t="s">
        <v>8</v>
      </c>
      <c r="Q218" t="s">
        <v>65</v>
      </c>
      <c r="R218" t="s">
        <v>26</v>
      </c>
      <c r="S218" s="3">
        <v>84.14</v>
      </c>
      <c r="T218" t="s">
        <v>12</v>
      </c>
      <c r="U218" s="3">
        <v>7238.57</v>
      </c>
      <c r="V218" s="3">
        <f>VLOOKUP(M218,'[1]combined ledger'!$A:$H,8,0)</f>
        <v>7311.6938</v>
      </c>
      <c r="W218" s="3">
        <f t="shared" si="2"/>
        <v>-73.123800000000301</v>
      </c>
      <c r="X218" s="3"/>
      <c r="Y218" t="s">
        <v>77</v>
      </c>
      <c r="Z218" t="s">
        <v>13</v>
      </c>
      <c r="AA218" t="s">
        <v>8</v>
      </c>
      <c r="AB218" t="s">
        <v>69</v>
      </c>
      <c r="AC218" t="s">
        <v>14</v>
      </c>
      <c r="AD218" t="s">
        <v>602</v>
      </c>
      <c r="AE218" t="s">
        <v>8</v>
      </c>
      <c r="AF218" t="s">
        <v>8</v>
      </c>
      <c r="AG218" t="s">
        <v>8</v>
      </c>
      <c r="AH218" s="2">
        <v>45889</v>
      </c>
      <c r="AI218" s="2"/>
      <c r="AJ218" t="s">
        <v>8</v>
      </c>
    </row>
    <row r="219" spans="1:36" outlineLevel="2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17</v>
      </c>
      <c r="G219" s="2">
        <v>45707</v>
      </c>
      <c r="H219" s="15">
        <v>1800000016</v>
      </c>
      <c r="I219" t="s">
        <v>75</v>
      </c>
      <c r="J219" s="2">
        <v>45707</v>
      </c>
      <c r="K219" s="2">
        <v>45708</v>
      </c>
      <c r="L219" t="s">
        <v>69</v>
      </c>
      <c r="M219" s="21">
        <v>246779410009</v>
      </c>
      <c r="N219" t="s">
        <v>9</v>
      </c>
      <c r="O219" t="s">
        <v>10</v>
      </c>
      <c r="P219" t="s">
        <v>8</v>
      </c>
      <c r="Q219" t="s">
        <v>65</v>
      </c>
      <c r="R219" t="s">
        <v>26</v>
      </c>
      <c r="S219" s="3">
        <v>1190.48</v>
      </c>
      <c r="T219" t="s">
        <v>12</v>
      </c>
      <c r="U219" s="3">
        <v>102742.78</v>
      </c>
      <c r="V219" s="3">
        <f>VLOOKUP(M219,'[1]combined ledger'!$A:$H,8,0)</f>
        <v>91693.278399999996</v>
      </c>
      <c r="W219" s="3">
        <f t="shared" si="2"/>
        <v>11049.501600000003</v>
      </c>
      <c r="X219" s="3"/>
      <c r="Y219" t="s">
        <v>77</v>
      </c>
      <c r="Z219" t="s">
        <v>13</v>
      </c>
      <c r="AA219" t="s">
        <v>8</v>
      </c>
      <c r="AB219" t="s">
        <v>69</v>
      </c>
      <c r="AC219" t="s">
        <v>14</v>
      </c>
      <c r="AD219" t="s">
        <v>605</v>
      </c>
      <c r="AE219" t="s">
        <v>8</v>
      </c>
      <c r="AF219" t="s">
        <v>8</v>
      </c>
      <c r="AG219" t="s">
        <v>8</v>
      </c>
      <c r="AH219" s="2">
        <v>45707</v>
      </c>
      <c r="AI219" s="2">
        <v>45887</v>
      </c>
      <c r="AJ219" t="s">
        <v>24</v>
      </c>
    </row>
    <row r="220" spans="1:36" outlineLevel="2" x14ac:dyDescent="0.25">
      <c r="A220" t="s">
        <v>27</v>
      </c>
      <c r="B220" t="s">
        <v>1</v>
      </c>
      <c r="C220" t="s">
        <v>2</v>
      </c>
      <c r="D220" t="s">
        <v>3</v>
      </c>
      <c r="E220" t="s">
        <v>4</v>
      </c>
      <c r="F220" t="s">
        <v>18</v>
      </c>
      <c r="G220" s="2">
        <v>45923</v>
      </c>
      <c r="H220" s="15">
        <v>1600002318</v>
      </c>
      <c r="I220" t="s">
        <v>118</v>
      </c>
      <c r="J220" s="2">
        <v>45923</v>
      </c>
      <c r="K220" s="2">
        <v>45923</v>
      </c>
      <c r="L220" t="s">
        <v>69</v>
      </c>
      <c r="M220" s="21">
        <v>256779421873</v>
      </c>
      <c r="N220" t="s">
        <v>9</v>
      </c>
      <c r="O220" t="s">
        <v>10</v>
      </c>
      <c r="P220" t="s">
        <v>8</v>
      </c>
      <c r="Q220" t="s">
        <v>54</v>
      </c>
      <c r="R220" t="s">
        <v>26</v>
      </c>
      <c r="S220" s="3">
        <v>-260.79000000000002</v>
      </c>
      <c r="T220" t="s">
        <v>12</v>
      </c>
      <c r="U220" s="3">
        <v>-22423.69</v>
      </c>
      <c r="V220" s="3" t="e">
        <f>VLOOKUP(M220,'[1]combined ledger'!$A:$H,8,0)</f>
        <v>#N/A</v>
      </c>
      <c r="W220" s="3" t="e">
        <f t="shared" si="2"/>
        <v>#N/A</v>
      </c>
      <c r="X220" s="3"/>
      <c r="Y220" t="s">
        <v>77</v>
      </c>
      <c r="Z220" t="s">
        <v>13</v>
      </c>
      <c r="AA220" t="s">
        <v>8</v>
      </c>
      <c r="AB220" t="s">
        <v>608</v>
      </c>
      <c r="AC220" t="s">
        <v>14</v>
      </c>
      <c r="AD220" t="s">
        <v>609</v>
      </c>
      <c r="AE220" t="s">
        <v>8</v>
      </c>
      <c r="AF220" t="s">
        <v>8</v>
      </c>
      <c r="AG220" t="s">
        <v>8</v>
      </c>
      <c r="AH220" s="2">
        <v>45923</v>
      </c>
      <c r="AI220" s="2"/>
      <c r="AJ220" t="s">
        <v>8</v>
      </c>
    </row>
    <row r="221" spans="1:36" outlineLevel="2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79</v>
      </c>
      <c r="G221" s="2">
        <v>45821</v>
      </c>
      <c r="H221" s="15">
        <v>1800009577</v>
      </c>
      <c r="I221" t="s">
        <v>75</v>
      </c>
      <c r="J221" s="2">
        <v>45821</v>
      </c>
      <c r="K221" s="2">
        <v>45825</v>
      </c>
      <c r="L221" t="s">
        <v>69</v>
      </c>
      <c r="M221" s="21">
        <v>256779414341</v>
      </c>
      <c r="N221" t="s">
        <v>9</v>
      </c>
      <c r="O221" t="s">
        <v>10</v>
      </c>
      <c r="P221" t="s">
        <v>8</v>
      </c>
      <c r="Q221" t="s">
        <v>65</v>
      </c>
      <c r="R221" t="s">
        <v>26</v>
      </c>
      <c r="S221" s="3">
        <v>200</v>
      </c>
      <c r="T221" t="s">
        <v>12</v>
      </c>
      <c r="U221" s="3">
        <v>17098.16</v>
      </c>
      <c r="V221" s="3">
        <f>VLOOKUP(M221,'[1]combined ledger'!$A:$H,8,0)</f>
        <v>16823</v>
      </c>
      <c r="W221" s="3">
        <f t="shared" si="2"/>
        <v>275.15999999999985</v>
      </c>
      <c r="X221" s="3"/>
      <c r="Y221" t="s">
        <v>77</v>
      </c>
      <c r="Z221" t="s">
        <v>13</v>
      </c>
      <c r="AA221" t="s">
        <v>8</v>
      </c>
      <c r="AB221" t="s">
        <v>69</v>
      </c>
      <c r="AC221" t="s">
        <v>14</v>
      </c>
      <c r="AD221" t="s">
        <v>612</v>
      </c>
      <c r="AE221" t="s">
        <v>8</v>
      </c>
      <c r="AF221" t="s">
        <v>8</v>
      </c>
      <c r="AG221" t="s">
        <v>8</v>
      </c>
      <c r="AH221" s="2">
        <v>45821</v>
      </c>
      <c r="AI221" s="2">
        <v>45888</v>
      </c>
      <c r="AJ221" t="s">
        <v>50</v>
      </c>
    </row>
    <row r="222" spans="1:36" outlineLevel="2" x14ac:dyDescent="0.25">
      <c r="A222" t="s">
        <v>27</v>
      </c>
      <c r="B222" t="s">
        <v>1</v>
      </c>
      <c r="C222" t="s">
        <v>2</v>
      </c>
      <c r="D222" t="s">
        <v>3</v>
      </c>
      <c r="E222" t="s">
        <v>4</v>
      </c>
      <c r="F222" t="s">
        <v>73</v>
      </c>
      <c r="G222" s="2">
        <v>45797</v>
      </c>
      <c r="H222" s="15">
        <v>1800008723</v>
      </c>
      <c r="I222" t="s">
        <v>75</v>
      </c>
      <c r="J222" s="2">
        <v>45797</v>
      </c>
      <c r="K222" s="2">
        <v>45805</v>
      </c>
      <c r="L222" t="s">
        <v>69</v>
      </c>
      <c r="M222" s="21">
        <v>256779413487</v>
      </c>
      <c r="N222" t="s">
        <v>9</v>
      </c>
      <c r="O222" t="s">
        <v>10</v>
      </c>
      <c r="P222" t="s">
        <v>8</v>
      </c>
      <c r="Q222" t="s">
        <v>65</v>
      </c>
      <c r="R222" t="s">
        <v>26</v>
      </c>
      <c r="S222" s="3">
        <v>97.9</v>
      </c>
      <c r="T222" t="s">
        <v>12</v>
      </c>
      <c r="U222" s="3">
        <v>8417.7999999999993</v>
      </c>
      <c r="V222" s="3">
        <f>VLOOKUP(M222,'[1]combined ledger'!$A:$H,8,0)</f>
        <v>8506.7929999999997</v>
      </c>
      <c r="W222" s="3">
        <f t="shared" si="2"/>
        <v>-88.993000000000393</v>
      </c>
      <c r="X222" s="3"/>
      <c r="Y222" t="s">
        <v>77</v>
      </c>
      <c r="Z222" t="s">
        <v>13</v>
      </c>
      <c r="AA222" t="s">
        <v>8</v>
      </c>
      <c r="AB222" t="s">
        <v>69</v>
      </c>
      <c r="AC222" t="s">
        <v>14</v>
      </c>
      <c r="AD222" t="s">
        <v>615</v>
      </c>
      <c r="AE222" t="s">
        <v>8</v>
      </c>
      <c r="AF222" t="s">
        <v>8</v>
      </c>
      <c r="AG222" t="s">
        <v>8</v>
      </c>
      <c r="AH222" s="2">
        <v>45797</v>
      </c>
      <c r="AI222" s="2"/>
      <c r="AJ222" t="s">
        <v>8</v>
      </c>
    </row>
    <row r="223" spans="1:36" outlineLevel="2" x14ac:dyDescent="0.25">
      <c r="A223" t="s">
        <v>27</v>
      </c>
      <c r="B223" t="s">
        <v>1</v>
      </c>
      <c r="C223" t="s">
        <v>2</v>
      </c>
      <c r="D223" t="s">
        <v>3</v>
      </c>
      <c r="E223" t="s">
        <v>4</v>
      </c>
      <c r="F223" t="s">
        <v>73</v>
      </c>
      <c r="G223" s="2">
        <v>45797</v>
      </c>
      <c r="H223" s="15">
        <v>1800009122</v>
      </c>
      <c r="I223" t="s">
        <v>75</v>
      </c>
      <c r="J223" s="2">
        <v>45797</v>
      </c>
      <c r="K223" s="2">
        <v>45805</v>
      </c>
      <c r="L223" t="s">
        <v>69</v>
      </c>
      <c r="M223" s="21">
        <v>256779413886</v>
      </c>
      <c r="N223" t="s">
        <v>9</v>
      </c>
      <c r="O223" t="s">
        <v>10</v>
      </c>
      <c r="P223" t="s">
        <v>8</v>
      </c>
      <c r="Q223" t="s">
        <v>65</v>
      </c>
      <c r="R223" t="s">
        <v>26</v>
      </c>
      <c r="S223" s="3">
        <v>260.79000000000002</v>
      </c>
      <c r="T223" t="s">
        <v>12</v>
      </c>
      <c r="U223" s="3">
        <v>22423.69</v>
      </c>
      <c r="V223" s="3" t="e">
        <f>VLOOKUP(M223,'[1]combined ledger'!$A:$H,8,0)</f>
        <v>#N/A</v>
      </c>
      <c r="W223" s="3" t="e">
        <f t="shared" si="2"/>
        <v>#N/A</v>
      </c>
      <c r="X223" s="3"/>
      <c r="Y223" t="s">
        <v>77</v>
      </c>
      <c r="Z223" t="s">
        <v>13</v>
      </c>
      <c r="AA223" t="s">
        <v>8</v>
      </c>
      <c r="AB223" t="s">
        <v>69</v>
      </c>
      <c r="AC223" t="s">
        <v>14</v>
      </c>
      <c r="AD223" t="s">
        <v>618</v>
      </c>
      <c r="AE223" t="s">
        <v>8</v>
      </c>
      <c r="AF223" t="s">
        <v>8</v>
      </c>
      <c r="AG223" t="s">
        <v>8</v>
      </c>
      <c r="AH223" s="2">
        <v>45797</v>
      </c>
      <c r="AI223" s="2"/>
      <c r="AJ223" t="s">
        <v>8</v>
      </c>
    </row>
    <row r="224" spans="1:36" outlineLevel="2" x14ac:dyDescent="0.25">
      <c r="A224" t="s">
        <v>27</v>
      </c>
      <c r="B224" t="s">
        <v>1</v>
      </c>
      <c r="C224" t="s">
        <v>2</v>
      </c>
      <c r="D224" t="s">
        <v>3</v>
      </c>
      <c r="E224" t="s">
        <v>4</v>
      </c>
      <c r="F224" t="s">
        <v>23</v>
      </c>
      <c r="G224" s="2">
        <v>45873</v>
      </c>
      <c r="H224" s="15">
        <v>1800011380</v>
      </c>
      <c r="I224" t="s">
        <v>75</v>
      </c>
      <c r="J224" s="2">
        <v>45873</v>
      </c>
      <c r="K224" s="2">
        <v>45873</v>
      </c>
      <c r="L224" t="s">
        <v>69</v>
      </c>
      <c r="M224" s="21">
        <v>256779416064</v>
      </c>
      <c r="N224" t="s">
        <v>9</v>
      </c>
      <c r="O224" t="s">
        <v>10</v>
      </c>
      <c r="P224" t="s">
        <v>8</v>
      </c>
      <c r="Q224" t="s">
        <v>65</v>
      </c>
      <c r="R224" t="s">
        <v>26</v>
      </c>
      <c r="S224" s="3">
        <v>2006</v>
      </c>
      <c r="T224" t="s">
        <v>12</v>
      </c>
      <c r="U224" s="3">
        <v>172517.34</v>
      </c>
      <c r="V224" s="3" t="e">
        <f>VLOOKUP(M224,'[1]combined ledger'!$A:$H,8,0)</f>
        <v>#N/A</v>
      </c>
      <c r="W224" s="3" t="e">
        <f t="shared" ref="W224:W287" si="3">U224-V224</f>
        <v>#N/A</v>
      </c>
      <c r="X224" s="3"/>
      <c r="Y224" t="s">
        <v>621</v>
      </c>
      <c r="Z224" t="s">
        <v>13</v>
      </c>
      <c r="AA224" t="s">
        <v>8</v>
      </c>
      <c r="AB224" t="s">
        <v>69</v>
      </c>
      <c r="AC224" t="s">
        <v>14</v>
      </c>
      <c r="AD224" t="s">
        <v>622</v>
      </c>
      <c r="AE224" t="s">
        <v>8</v>
      </c>
      <c r="AF224" t="s">
        <v>8</v>
      </c>
      <c r="AG224" t="s">
        <v>8</v>
      </c>
      <c r="AH224" s="2">
        <v>45873</v>
      </c>
      <c r="AI224" s="2"/>
      <c r="AJ224" t="s">
        <v>8</v>
      </c>
    </row>
    <row r="225" spans="1:36" outlineLevel="2" x14ac:dyDescent="0.25">
      <c r="A225" t="s">
        <v>27</v>
      </c>
      <c r="B225" t="s">
        <v>1</v>
      </c>
      <c r="C225" t="s">
        <v>2</v>
      </c>
      <c r="D225" t="s">
        <v>3</v>
      </c>
      <c r="E225" t="s">
        <v>4</v>
      </c>
      <c r="F225" t="s">
        <v>23</v>
      </c>
      <c r="G225" s="2">
        <v>45873</v>
      </c>
      <c r="H225" s="15">
        <v>1800011381</v>
      </c>
      <c r="I225" t="s">
        <v>75</v>
      </c>
      <c r="J225" s="2">
        <v>45873</v>
      </c>
      <c r="K225" s="2">
        <v>45873</v>
      </c>
      <c r="L225" t="s">
        <v>69</v>
      </c>
      <c r="M225" s="21">
        <v>256779416065</v>
      </c>
      <c r="N225" t="s">
        <v>9</v>
      </c>
      <c r="O225" t="s">
        <v>10</v>
      </c>
      <c r="P225" t="s">
        <v>8</v>
      </c>
      <c r="Q225" t="s">
        <v>65</v>
      </c>
      <c r="R225" t="s">
        <v>26</v>
      </c>
      <c r="S225" s="3">
        <v>2065</v>
      </c>
      <c r="T225" t="s">
        <v>12</v>
      </c>
      <c r="U225" s="3">
        <v>177591.38</v>
      </c>
      <c r="V225" s="3" t="e">
        <f>VLOOKUP(M225,'[1]combined ledger'!$A:$H,8,0)</f>
        <v>#N/A</v>
      </c>
      <c r="W225" s="3" t="e">
        <f t="shared" si="3"/>
        <v>#N/A</v>
      </c>
      <c r="X225" s="3"/>
      <c r="Y225" t="s">
        <v>621</v>
      </c>
      <c r="Z225" t="s">
        <v>13</v>
      </c>
      <c r="AA225" t="s">
        <v>8</v>
      </c>
      <c r="AB225" t="s">
        <v>69</v>
      </c>
      <c r="AC225" t="s">
        <v>14</v>
      </c>
      <c r="AD225" t="s">
        <v>625</v>
      </c>
      <c r="AE225" t="s">
        <v>8</v>
      </c>
      <c r="AF225" t="s">
        <v>8</v>
      </c>
      <c r="AG225" t="s">
        <v>8</v>
      </c>
      <c r="AH225" s="2">
        <v>45873</v>
      </c>
      <c r="AI225" s="2"/>
      <c r="AJ225" t="s">
        <v>8</v>
      </c>
    </row>
    <row r="226" spans="1:36" outlineLevel="2" x14ac:dyDescent="0.25">
      <c r="A226" t="s">
        <v>27</v>
      </c>
      <c r="B226" t="s">
        <v>1</v>
      </c>
      <c r="C226" t="s">
        <v>2</v>
      </c>
      <c r="D226" t="s">
        <v>3</v>
      </c>
      <c r="E226" t="s">
        <v>4</v>
      </c>
      <c r="F226" t="s">
        <v>23</v>
      </c>
      <c r="G226" s="2">
        <v>45873</v>
      </c>
      <c r="H226" s="15">
        <v>1800011382</v>
      </c>
      <c r="I226" t="s">
        <v>75</v>
      </c>
      <c r="J226" s="2">
        <v>45873</v>
      </c>
      <c r="K226" s="2">
        <v>45873</v>
      </c>
      <c r="L226" t="s">
        <v>69</v>
      </c>
      <c r="M226" s="21">
        <v>256779416066</v>
      </c>
      <c r="N226" t="s">
        <v>9</v>
      </c>
      <c r="O226" t="s">
        <v>10</v>
      </c>
      <c r="P226" t="s">
        <v>8</v>
      </c>
      <c r="Q226" t="s">
        <v>65</v>
      </c>
      <c r="R226" t="s">
        <v>26</v>
      </c>
      <c r="S226" s="3">
        <v>2006</v>
      </c>
      <c r="T226" t="s">
        <v>12</v>
      </c>
      <c r="U226" s="3">
        <v>172517.34</v>
      </c>
      <c r="V226" s="3" t="e">
        <f>VLOOKUP(M226,'[1]combined ledger'!$A:$H,8,0)</f>
        <v>#N/A</v>
      </c>
      <c r="W226" s="3" t="e">
        <f t="shared" si="3"/>
        <v>#N/A</v>
      </c>
      <c r="X226" s="3"/>
      <c r="Y226" t="s">
        <v>621</v>
      </c>
      <c r="Z226" t="s">
        <v>13</v>
      </c>
      <c r="AA226" t="s">
        <v>8</v>
      </c>
      <c r="AB226" t="s">
        <v>69</v>
      </c>
      <c r="AC226" t="s">
        <v>14</v>
      </c>
      <c r="AD226" t="s">
        <v>628</v>
      </c>
      <c r="AE226" t="s">
        <v>8</v>
      </c>
      <c r="AF226" t="s">
        <v>8</v>
      </c>
      <c r="AG226" t="s">
        <v>8</v>
      </c>
      <c r="AH226" s="2">
        <v>45873</v>
      </c>
      <c r="AI226" s="2"/>
      <c r="AJ226" t="s">
        <v>8</v>
      </c>
    </row>
    <row r="227" spans="1:36" outlineLevel="2" x14ac:dyDescent="0.25">
      <c r="A227" t="s">
        <v>27</v>
      </c>
      <c r="B227" t="s">
        <v>1</v>
      </c>
      <c r="C227" t="s">
        <v>2</v>
      </c>
      <c r="D227" t="s">
        <v>3</v>
      </c>
      <c r="E227" t="s">
        <v>4</v>
      </c>
      <c r="F227" t="s">
        <v>23</v>
      </c>
      <c r="G227" s="2">
        <v>45873</v>
      </c>
      <c r="H227" s="15">
        <v>1800011383</v>
      </c>
      <c r="I227" t="s">
        <v>75</v>
      </c>
      <c r="J227" s="2">
        <v>45873</v>
      </c>
      <c r="K227" s="2">
        <v>45873</v>
      </c>
      <c r="L227" t="s">
        <v>69</v>
      </c>
      <c r="M227" s="21">
        <v>256779416067</v>
      </c>
      <c r="N227" t="s">
        <v>9</v>
      </c>
      <c r="O227" t="s">
        <v>10</v>
      </c>
      <c r="P227" t="s">
        <v>8</v>
      </c>
      <c r="Q227" t="s">
        <v>65</v>
      </c>
      <c r="R227" t="s">
        <v>26</v>
      </c>
      <c r="S227" s="3">
        <v>2065</v>
      </c>
      <c r="T227" t="s">
        <v>12</v>
      </c>
      <c r="U227" s="3">
        <v>177591.38</v>
      </c>
      <c r="V227" s="3" t="e">
        <f>VLOOKUP(M227,'[1]combined ledger'!$A:$H,8,0)</f>
        <v>#N/A</v>
      </c>
      <c r="W227" s="3" t="e">
        <f t="shared" si="3"/>
        <v>#N/A</v>
      </c>
      <c r="X227" s="3"/>
      <c r="Y227" t="s">
        <v>621</v>
      </c>
      <c r="Z227" t="s">
        <v>13</v>
      </c>
      <c r="AA227" t="s">
        <v>8</v>
      </c>
      <c r="AB227" t="s">
        <v>69</v>
      </c>
      <c r="AC227" t="s">
        <v>14</v>
      </c>
      <c r="AD227" t="s">
        <v>631</v>
      </c>
      <c r="AE227" t="s">
        <v>8</v>
      </c>
      <c r="AF227" t="s">
        <v>8</v>
      </c>
      <c r="AG227" t="s">
        <v>8</v>
      </c>
      <c r="AH227" s="2">
        <v>45873</v>
      </c>
      <c r="AI227" s="2"/>
      <c r="AJ227" t="s">
        <v>8</v>
      </c>
    </row>
    <row r="228" spans="1:36" outlineLevel="2" x14ac:dyDescent="0.25">
      <c r="A228" t="s">
        <v>27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45750</v>
      </c>
      <c r="H228" s="15">
        <v>1800005190</v>
      </c>
      <c r="I228" t="s">
        <v>75</v>
      </c>
      <c r="J228" s="2">
        <v>45750</v>
      </c>
      <c r="K228" s="2">
        <v>45752</v>
      </c>
      <c r="L228" t="s">
        <v>69</v>
      </c>
      <c r="M228" s="21">
        <v>256779410136</v>
      </c>
      <c r="N228" t="s">
        <v>9</v>
      </c>
      <c r="O228" t="s">
        <v>10</v>
      </c>
      <c r="P228" t="s">
        <v>8</v>
      </c>
      <c r="Q228" t="s">
        <v>65</v>
      </c>
      <c r="R228" t="s">
        <v>26</v>
      </c>
      <c r="S228" s="3">
        <v>9.85</v>
      </c>
      <c r="T228" t="s">
        <v>12</v>
      </c>
      <c r="U228" s="3">
        <v>856.18</v>
      </c>
      <c r="V228" s="3">
        <f>VLOOKUP(M228,'[1]combined ledger'!$A:$H,8,0)</f>
        <v>838.37400000000002</v>
      </c>
      <c r="W228" s="3">
        <f t="shared" si="3"/>
        <v>17.805999999999926</v>
      </c>
      <c r="X228" s="3"/>
      <c r="Y228" t="s">
        <v>77</v>
      </c>
      <c r="Z228" t="s">
        <v>8</v>
      </c>
      <c r="AA228" t="s">
        <v>8</v>
      </c>
      <c r="AB228" t="s">
        <v>69</v>
      </c>
      <c r="AC228" t="s">
        <v>14</v>
      </c>
      <c r="AD228" t="s">
        <v>634</v>
      </c>
      <c r="AE228" t="s">
        <v>8</v>
      </c>
      <c r="AF228" t="s">
        <v>8</v>
      </c>
      <c r="AG228" t="s">
        <v>8</v>
      </c>
      <c r="AH228" s="2">
        <v>45750</v>
      </c>
      <c r="AI228" s="2"/>
      <c r="AJ228" t="s">
        <v>8</v>
      </c>
    </row>
    <row r="229" spans="1:36" outlineLevel="2" x14ac:dyDescent="0.25">
      <c r="A229" t="s">
        <v>27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s="2">
        <v>45750</v>
      </c>
      <c r="H229" s="15">
        <v>1800005364</v>
      </c>
      <c r="I229" t="s">
        <v>75</v>
      </c>
      <c r="J229" s="2">
        <v>45750</v>
      </c>
      <c r="K229" s="2">
        <v>45752</v>
      </c>
      <c r="L229" t="s">
        <v>69</v>
      </c>
      <c r="M229" s="21">
        <v>256779410256</v>
      </c>
      <c r="N229" t="s">
        <v>9</v>
      </c>
      <c r="O229" t="s">
        <v>10</v>
      </c>
      <c r="P229" t="s">
        <v>8</v>
      </c>
      <c r="Q229" t="s">
        <v>65</v>
      </c>
      <c r="R229" t="s">
        <v>26</v>
      </c>
      <c r="S229" s="3">
        <v>408.31</v>
      </c>
      <c r="T229" t="s">
        <v>12</v>
      </c>
      <c r="U229" s="3">
        <v>35491.050000000003</v>
      </c>
      <c r="V229" s="3" t="e">
        <f>VLOOKUP(M229,'[1]combined ledger'!$A:$H,8,0)</f>
        <v>#N/A</v>
      </c>
      <c r="W229" s="3" t="e">
        <f t="shared" si="3"/>
        <v>#N/A</v>
      </c>
      <c r="X229" s="3"/>
      <c r="Y229" t="s">
        <v>77</v>
      </c>
      <c r="Z229" t="s">
        <v>8</v>
      </c>
      <c r="AA229" t="s">
        <v>8</v>
      </c>
      <c r="AB229" t="s">
        <v>69</v>
      </c>
      <c r="AC229" t="s">
        <v>14</v>
      </c>
      <c r="AD229" t="s">
        <v>578</v>
      </c>
      <c r="AE229" t="s">
        <v>8</v>
      </c>
      <c r="AF229" t="s">
        <v>8</v>
      </c>
      <c r="AG229" t="s">
        <v>8</v>
      </c>
      <c r="AH229" s="2">
        <v>45750</v>
      </c>
      <c r="AI229" s="2"/>
      <c r="AJ229" t="s">
        <v>8</v>
      </c>
    </row>
    <row r="230" spans="1:36" outlineLevel="2" x14ac:dyDescent="0.25">
      <c r="A230" t="s">
        <v>27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s="2">
        <v>45750</v>
      </c>
      <c r="H230" s="15">
        <v>1800005405</v>
      </c>
      <c r="I230" t="s">
        <v>75</v>
      </c>
      <c r="J230" s="2">
        <v>45750</v>
      </c>
      <c r="K230" s="2">
        <v>45752</v>
      </c>
      <c r="L230" t="s">
        <v>69</v>
      </c>
      <c r="M230" s="21">
        <v>256779410297</v>
      </c>
      <c r="N230" t="s">
        <v>9</v>
      </c>
      <c r="O230" t="s">
        <v>10</v>
      </c>
      <c r="P230" t="s">
        <v>8</v>
      </c>
      <c r="Q230" t="s">
        <v>65</v>
      </c>
      <c r="R230" t="s">
        <v>26</v>
      </c>
      <c r="S230" s="3">
        <v>400.09</v>
      </c>
      <c r="T230" t="s">
        <v>12</v>
      </c>
      <c r="U230" s="3">
        <v>34776.550000000003</v>
      </c>
      <c r="V230" s="3" t="e">
        <f>VLOOKUP(M230,'[1]combined ledger'!$A:$H,8,0)</f>
        <v>#N/A</v>
      </c>
      <c r="W230" s="3" t="e">
        <f t="shared" si="3"/>
        <v>#N/A</v>
      </c>
      <c r="X230" s="3"/>
      <c r="Y230" t="s">
        <v>77</v>
      </c>
      <c r="Z230" t="s">
        <v>8</v>
      </c>
      <c r="AA230" t="s">
        <v>8</v>
      </c>
      <c r="AB230" t="s">
        <v>69</v>
      </c>
      <c r="AC230" t="s">
        <v>14</v>
      </c>
      <c r="AD230" t="s">
        <v>584</v>
      </c>
      <c r="AE230" t="s">
        <v>8</v>
      </c>
      <c r="AF230" t="s">
        <v>8</v>
      </c>
      <c r="AG230" t="s">
        <v>8</v>
      </c>
      <c r="AH230" s="2">
        <v>45750</v>
      </c>
      <c r="AI230" s="2"/>
      <c r="AJ230" t="s">
        <v>8</v>
      </c>
    </row>
    <row r="231" spans="1:36" outlineLevel="2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s="2">
        <v>45750</v>
      </c>
      <c r="H231" s="15">
        <v>1800005338</v>
      </c>
      <c r="I231" t="s">
        <v>75</v>
      </c>
      <c r="J231" s="2">
        <v>45750</v>
      </c>
      <c r="K231" s="2">
        <v>45752</v>
      </c>
      <c r="L231" t="s">
        <v>69</v>
      </c>
      <c r="M231" s="21">
        <v>256779410230</v>
      </c>
      <c r="N231" t="s">
        <v>9</v>
      </c>
      <c r="O231" t="s">
        <v>10</v>
      </c>
      <c r="P231" t="s">
        <v>8</v>
      </c>
      <c r="Q231" t="s">
        <v>65</v>
      </c>
      <c r="R231" t="s">
        <v>26</v>
      </c>
      <c r="S231" s="3">
        <v>1166.5899999999999</v>
      </c>
      <c r="T231" t="s">
        <v>12</v>
      </c>
      <c r="U231" s="3">
        <v>101402.13</v>
      </c>
      <c r="V231" s="3" t="e">
        <f>VLOOKUP(M231,'[1]combined ledger'!$A:$H,8,0)</f>
        <v>#N/A</v>
      </c>
      <c r="W231" s="3" t="e">
        <f t="shared" si="3"/>
        <v>#N/A</v>
      </c>
      <c r="X231" s="3"/>
      <c r="Y231" t="s">
        <v>77</v>
      </c>
      <c r="Z231" t="s">
        <v>8</v>
      </c>
      <c r="AA231" t="s">
        <v>8</v>
      </c>
      <c r="AB231" t="s">
        <v>69</v>
      </c>
      <c r="AC231" t="s">
        <v>14</v>
      </c>
      <c r="AD231" t="s">
        <v>575</v>
      </c>
      <c r="AE231" t="s">
        <v>8</v>
      </c>
      <c r="AF231" t="s">
        <v>8</v>
      </c>
      <c r="AG231" t="s">
        <v>8</v>
      </c>
      <c r="AH231" s="2">
        <v>45750</v>
      </c>
      <c r="AI231" s="2">
        <v>45842</v>
      </c>
      <c r="AJ231" t="s">
        <v>71</v>
      </c>
    </row>
    <row r="232" spans="1:36" outlineLevel="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s="2">
        <v>45750</v>
      </c>
      <c r="H232" s="15">
        <v>1800005379</v>
      </c>
      <c r="I232" t="s">
        <v>75</v>
      </c>
      <c r="J232" s="2">
        <v>45750</v>
      </c>
      <c r="K232" s="2">
        <v>45752</v>
      </c>
      <c r="L232" t="s">
        <v>69</v>
      </c>
      <c r="M232" s="21">
        <v>256779410271</v>
      </c>
      <c r="N232" t="s">
        <v>9</v>
      </c>
      <c r="O232" t="s">
        <v>10</v>
      </c>
      <c r="P232" t="s">
        <v>8</v>
      </c>
      <c r="Q232" t="s">
        <v>65</v>
      </c>
      <c r="R232" t="s">
        <v>26</v>
      </c>
      <c r="S232" s="3">
        <v>1143.1199999999999</v>
      </c>
      <c r="T232" t="s">
        <v>12</v>
      </c>
      <c r="U232" s="3">
        <v>99362.07</v>
      </c>
      <c r="V232" s="3" t="e">
        <f>VLOOKUP(M232,'[1]combined ledger'!$A:$H,8,0)</f>
        <v>#N/A</v>
      </c>
      <c r="W232" s="3" t="e">
        <f t="shared" si="3"/>
        <v>#N/A</v>
      </c>
      <c r="X232" s="3"/>
      <c r="Y232" t="s">
        <v>77</v>
      </c>
      <c r="Z232" t="s">
        <v>8</v>
      </c>
      <c r="AA232" t="s">
        <v>8</v>
      </c>
      <c r="AB232" t="s">
        <v>69</v>
      </c>
      <c r="AC232" t="s">
        <v>14</v>
      </c>
      <c r="AD232" t="s">
        <v>581</v>
      </c>
      <c r="AE232" t="s">
        <v>8</v>
      </c>
      <c r="AF232" t="s">
        <v>8</v>
      </c>
      <c r="AG232" t="s">
        <v>8</v>
      </c>
      <c r="AH232" s="2">
        <v>45750</v>
      </c>
      <c r="AI232" s="2">
        <v>45842</v>
      </c>
      <c r="AJ232" t="s">
        <v>72</v>
      </c>
    </row>
    <row r="233" spans="1:36" outlineLevel="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s="2">
        <v>45750</v>
      </c>
      <c r="H233" s="15">
        <v>1800005060</v>
      </c>
      <c r="I233" t="s">
        <v>75</v>
      </c>
      <c r="J233" s="2">
        <v>45750</v>
      </c>
      <c r="K233" s="2">
        <v>45752</v>
      </c>
      <c r="L233" t="s">
        <v>69</v>
      </c>
      <c r="M233" s="21">
        <v>256779410006</v>
      </c>
      <c r="N233" t="s">
        <v>9</v>
      </c>
      <c r="O233" t="s">
        <v>10</v>
      </c>
      <c r="P233" t="s">
        <v>8</v>
      </c>
      <c r="Q233" t="s">
        <v>65</v>
      </c>
      <c r="R233" t="s">
        <v>26</v>
      </c>
      <c r="S233" s="3">
        <v>1700</v>
      </c>
      <c r="T233" t="s">
        <v>12</v>
      </c>
      <c r="U233" s="3">
        <v>147767.09</v>
      </c>
      <c r="V233" s="3">
        <f>VLOOKUP(M233,'[1]combined ledger'!$A:$H,8,0)</f>
        <v>143269</v>
      </c>
      <c r="W233" s="3">
        <f t="shared" si="3"/>
        <v>4498.0899999999965</v>
      </c>
      <c r="X233" s="3"/>
      <c r="Y233" t="s">
        <v>77</v>
      </c>
      <c r="Z233" t="s">
        <v>8</v>
      </c>
      <c r="AA233" t="s">
        <v>8</v>
      </c>
      <c r="AB233" t="s">
        <v>69</v>
      </c>
      <c r="AC233" t="s">
        <v>14</v>
      </c>
      <c r="AD233" t="s">
        <v>170</v>
      </c>
      <c r="AE233" t="s">
        <v>8</v>
      </c>
      <c r="AF233" t="s">
        <v>8</v>
      </c>
      <c r="AG233" t="s">
        <v>8</v>
      </c>
      <c r="AH233" s="2">
        <v>45750</v>
      </c>
      <c r="AI233" s="2">
        <v>45902</v>
      </c>
      <c r="AJ233" t="s">
        <v>19</v>
      </c>
    </row>
    <row r="234" spans="1:36" outlineLevel="2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s="2">
        <v>45750</v>
      </c>
      <c r="H234" s="15">
        <v>1800005066</v>
      </c>
      <c r="I234" t="s">
        <v>75</v>
      </c>
      <c r="J234" s="2">
        <v>45750</v>
      </c>
      <c r="K234" s="2">
        <v>45752</v>
      </c>
      <c r="L234" t="s">
        <v>69</v>
      </c>
      <c r="M234" s="21">
        <v>256779410012</v>
      </c>
      <c r="N234" t="s">
        <v>9</v>
      </c>
      <c r="O234" t="s">
        <v>10</v>
      </c>
      <c r="P234" t="s">
        <v>8</v>
      </c>
      <c r="Q234" t="s">
        <v>65</v>
      </c>
      <c r="R234" t="s">
        <v>26</v>
      </c>
      <c r="S234" s="3">
        <v>1750</v>
      </c>
      <c r="T234" t="s">
        <v>12</v>
      </c>
      <c r="U234" s="3">
        <v>152113.19</v>
      </c>
      <c r="V234" s="3">
        <f>VLOOKUP(M234,'[1]combined ledger'!$A:$H,8,0)</f>
        <v>147473.5</v>
      </c>
      <c r="W234" s="3">
        <f t="shared" si="3"/>
        <v>4639.6900000000023</v>
      </c>
      <c r="X234" s="3"/>
      <c r="Y234" t="s">
        <v>77</v>
      </c>
      <c r="Z234" t="s">
        <v>8</v>
      </c>
      <c r="AA234" t="s">
        <v>8</v>
      </c>
      <c r="AB234" t="s">
        <v>69</v>
      </c>
      <c r="AC234" t="s">
        <v>14</v>
      </c>
      <c r="AD234" t="s">
        <v>170</v>
      </c>
      <c r="AE234" t="s">
        <v>8</v>
      </c>
      <c r="AF234" t="s">
        <v>8</v>
      </c>
      <c r="AG234" t="s">
        <v>8</v>
      </c>
      <c r="AH234" s="2">
        <v>45750</v>
      </c>
      <c r="AI234" s="2">
        <v>45902</v>
      </c>
      <c r="AJ234" t="s">
        <v>19</v>
      </c>
    </row>
    <row r="235" spans="1:36" outlineLevel="2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s="2">
        <v>45750</v>
      </c>
      <c r="H235" s="15">
        <v>1800005069</v>
      </c>
      <c r="I235" t="s">
        <v>75</v>
      </c>
      <c r="J235" s="2">
        <v>45750</v>
      </c>
      <c r="K235" s="2">
        <v>45752</v>
      </c>
      <c r="L235" t="s">
        <v>69</v>
      </c>
      <c r="M235" s="21">
        <v>256779410015</v>
      </c>
      <c r="N235" t="s">
        <v>9</v>
      </c>
      <c r="O235" t="s">
        <v>10</v>
      </c>
      <c r="P235" t="s">
        <v>8</v>
      </c>
      <c r="Q235" t="s">
        <v>65</v>
      </c>
      <c r="R235" t="s">
        <v>26</v>
      </c>
      <c r="S235" s="3">
        <v>1700</v>
      </c>
      <c r="T235" t="s">
        <v>12</v>
      </c>
      <c r="U235" s="3">
        <v>147767.09</v>
      </c>
      <c r="V235" s="3">
        <f>VLOOKUP(M235,'[1]combined ledger'!$A:$H,8,0)</f>
        <v>143269</v>
      </c>
      <c r="W235" s="3">
        <f t="shared" si="3"/>
        <v>4498.0899999999965</v>
      </c>
      <c r="X235" s="3"/>
      <c r="Y235" t="s">
        <v>77</v>
      </c>
      <c r="Z235" t="s">
        <v>8</v>
      </c>
      <c r="AA235" t="s">
        <v>8</v>
      </c>
      <c r="AB235" t="s">
        <v>69</v>
      </c>
      <c r="AC235" t="s">
        <v>14</v>
      </c>
      <c r="AD235" t="s">
        <v>170</v>
      </c>
      <c r="AE235" t="s">
        <v>8</v>
      </c>
      <c r="AF235" t="s">
        <v>8</v>
      </c>
      <c r="AG235" t="s">
        <v>8</v>
      </c>
      <c r="AH235" s="2">
        <v>45750</v>
      </c>
      <c r="AI235" s="2">
        <v>45902</v>
      </c>
      <c r="AJ235" t="s">
        <v>19</v>
      </c>
    </row>
    <row r="236" spans="1:36" outlineLevel="2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s="2">
        <v>45750</v>
      </c>
      <c r="H236" s="15">
        <v>1800005332</v>
      </c>
      <c r="I236" t="s">
        <v>75</v>
      </c>
      <c r="J236" s="2">
        <v>45750</v>
      </c>
      <c r="K236" s="2">
        <v>45752</v>
      </c>
      <c r="L236" t="s">
        <v>69</v>
      </c>
      <c r="M236" s="21">
        <v>256779410224</v>
      </c>
      <c r="N236" t="s">
        <v>9</v>
      </c>
      <c r="O236" t="s">
        <v>10</v>
      </c>
      <c r="P236" t="s">
        <v>8</v>
      </c>
      <c r="Q236" t="s">
        <v>65</v>
      </c>
      <c r="R236" t="s">
        <v>26</v>
      </c>
      <c r="S236" s="3">
        <v>1750</v>
      </c>
      <c r="T236" t="s">
        <v>12</v>
      </c>
      <c r="U236" s="3">
        <v>152113.19</v>
      </c>
      <c r="V236" s="3">
        <f>VLOOKUP(M236,'[1]combined ledger'!$A:$H,8,0)</f>
        <v>146940</v>
      </c>
      <c r="W236" s="3">
        <f t="shared" si="3"/>
        <v>5173.1900000000023</v>
      </c>
      <c r="X236" s="3"/>
      <c r="Y236" t="s">
        <v>77</v>
      </c>
      <c r="Z236" t="s">
        <v>8</v>
      </c>
      <c r="AA236" t="s">
        <v>8</v>
      </c>
      <c r="AB236" t="s">
        <v>69</v>
      </c>
      <c r="AC236" t="s">
        <v>14</v>
      </c>
      <c r="AD236" t="s">
        <v>170</v>
      </c>
      <c r="AE236" t="s">
        <v>8</v>
      </c>
      <c r="AF236" t="s">
        <v>8</v>
      </c>
      <c r="AG236" t="s">
        <v>8</v>
      </c>
      <c r="AH236" s="2">
        <v>45750</v>
      </c>
      <c r="AI236" s="2">
        <v>45902</v>
      </c>
      <c r="AJ236" t="s">
        <v>19</v>
      </c>
    </row>
    <row r="237" spans="1:36" outlineLevel="2" x14ac:dyDescent="0.25">
      <c r="A237" t="s">
        <v>27</v>
      </c>
      <c r="B237" t="s">
        <v>1</v>
      </c>
      <c r="C237" t="s">
        <v>2</v>
      </c>
      <c r="D237" t="s">
        <v>3</v>
      </c>
      <c r="E237" t="s">
        <v>4</v>
      </c>
      <c r="F237" t="s">
        <v>28</v>
      </c>
      <c r="G237" s="2">
        <v>45950</v>
      </c>
      <c r="H237" s="15">
        <v>1800014014</v>
      </c>
      <c r="I237" t="s">
        <v>75</v>
      </c>
      <c r="J237" s="2">
        <v>45950</v>
      </c>
      <c r="K237" s="2">
        <v>45951</v>
      </c>
      <c r="L237" t="s">
        <v>69</v>
      </c>
      <c r="M237" s="21">
        <v>256779418621</v>
      </c>
      <c r="N237" t="s">
        <v>9</v>
      </c>
      <c r="O237" t="s">
        <v>10</v>
      </c>
      <c r="P237" t="s">
        <v>8</v>
      </c>
      <c r="Q237" t="s">
        <v>65</v>
      </c>
      <c r="R237" t="s">
        <v>26</v>
      </c>
      <c r="S237" s="3">
        <v>850</v>
      </c>
      <c r="T237" t="s">
        <v>12</v>
      </c>
      <c r="U237" s="3">
        <v>74962.149999999994</v>
      </c>
      <c r="V237" s="3">
        <f>VLOOKUP(M237,'[1]combined ledger'!$A:$H,8,0)</f>
        <v>64819.5</v>
      </c>
      <c r="W237" s="3">
        <f t="shared" si="3"/>
        <v>10142.649999999994</v>
      </c>
      <c r="X237" s="3"/>
      <c r="Y237" t="s">
        <v>77</v>
      </c>
      <c r="Z237" t="s">
        <v>13</v>
      </c>
      <c r="AA237" t="s">
        <v>8</v>
      </c>
      <c r="AB237" t="s">
        <v>653</v>
      </c>
      <c r="AC237" t="s">
        <v>14</v>
      </c>
      <c r="AD237" t="s">
        <v>654</v>
      </c>
      <c r="AE237" t="s">
        <v>8</v>
      </c>
      <c r="AF237" t="s">
        <v>8</v>
      </c>
      <c r="AG237" t="s">
        <v>8</v>
      </c>
      <c r="AH237" s="2">
        <v>45950</v>
      </c>
      <c r="AI237" s="2"/>
      <c r="AJ237" t="s">
        <v>8</v>
      </c>
    </row>
    <row r="238" spans="1:36" outlineLevel="2" x14ac:dyDescent="0.25">
      <c r="A238" t="s">
        <v>27</v>
      </c>
      <c r="B238" t="s">
        <v>1</v>
      </c>
      <c r="C238" t="s">
        <v>2</v>
      </c>
      <c r="D238" t="s">
        <v>3</v>
      </c>
      <c r="E238" t="s">
        <v>4</v>
      </c>
      <c r="F238" t="s">
        <v>28</v>
      </c>
      <c r="G238" s="2">
        <v>45950</v>
      </c>
      <c r="H238" s="15">
        <v>1800013815</v>
      </c>
      <c r="I238" t="s">
        <v>75</v>
      </c>
      <c r="J238" s="2">
        <v>45950</v>
      </c>
      <c r="K238" s="2">
        <v>45951</v>
      </c>
      <c r="L238" t="s">
        <v>69</v>
      </c>
      <c r="M238" s="21">
        <v>256779418633</v>
      </c>
      <c r="N238" t="s">
        <v>9</v>
      </c>
      <c r="O238" t="s">
        <v>10</v>
      </c>
      <c r="P238" t="s">
        <v>8</v>
      </c>
      <c r="Q238" t="s">
        <v>65</v>
      </c>
      <c r="R238" t="s">
        <v>26</v>
      </c>
      <c r="S238" s="3">
        <v>35</v>
      </c>
      <c r="T238" t="s">
        <v>12</v>
      </c>
      <c r="U238" s="3">
        <v>3086.68</v>
      </c>
      <c r="V238" s="3">
        <f>VLOOKUP(M238,'[1]combined ledger'!$A:$H,8,0)</f>
        <v>3024.65</v>
      </c>
      <c r="W238" s="3">
        <f t="shared" si="3"/>
        <v>62.029999999999745</v>
      </c>
      <c r="X238" s="3"/>
      <c r="Y238" t="s">
        <v>77</v>
      </c>
      <c r="Z238" t="s">
        <v>13</v>
      </c>
      <c r="AA238" t="s">
        <v>8</v>
      </c>
      <c r="AB238" t="s">
        <v>657</v>
      </c>
      <c r="AC238" t="s">
        <v>14</v>
      </c>
      <c r="AD238" t="s">
        <v>658</v>
      </c>
      <c r="AE238" t="s">
        <v>8</v>
      </c>
      <c r="AF238" t="s">
        <v>8</v>
      </c>
      <c r="AG238" t="s">
        <v>8</v>
      </c>
      <c r="AH238" s="2">
        <v>45950</v>
      </c>
      <c r="AI238" s="2"/>
      <c r="AJ238" t="s">
        <v>8</v>
      </c>
    </row>
    <row r="239" spans="1:36" outlineLevel="2" x14ac:dyDescent="0.25">
      <c r="A239" t="s">
        <v>27</v>
      </c>
      <c r="B239" t="s">
        <v>1</v>
      </c>
      <c r="C239" t="s">
        <v>2</v>
      </c>
      <c r="D239" t="s">
        <v>3</v>
      </c>
      <c r="E239" t="s">
        <v>4</v>
      </c>
      <c r="F239" t="s">
        <v>28</v>
      </c>
      <c r="G239" s="2">
        <v>45950</v>
      </c>
      <c r="H239" s="15">
        <v>1800013845</v>
      </c>
      <c r="I239" t="s">
        <v>75</v>
      </c>
      <c r="J239" s="2">
        <v>45950</v>
      </c>
      <c r="K239" s="2">
        <v>45951</v>
      </c>
      <c r="L239" t="s">
        <v>69</v>
      </c>
      <c r="M239" s="21">
        <v>256779418663</v>
      </c>
      <c r="N239" t="s">
        <v>9</v>
      </c>
      <c r="O239" t="s">
        <v>10</v>
      </c>
      <c r="P239" t="s">
        <v>8</v>
      </c>
      <c r="Q239" t="s">
        <v>65</v>
      </c>
      <c r="R239" t="s">
        <v>26</v>
      </c>
      <c r="S239" s="3">
        <v>293.89</v>
      </c>
      <c r="T239" t="s">
        <v>12</v>
      </c>
      <c r="U239" s="3">
        <v>25918.39</v>
      </c>
      <c r="V239" s="3">
        <f>VLOOKUP(M239,'[1]combined ledger'!$A:$H,8,0)</f>
        <v>25400.159100000001</v>
      </c>
      <c r="W239" s="3">
        <f t="shared" si="3"/>
        <v>518.23089999999866</v>
      </c>
      <c r="X239" s="3"/>
      <c r="Y239" t="s">
        <v>77</v>
      </c>
      <c r="Z239" t="s">
        <v>13</v>
      </c>
      <c r="AA239" t="s">
        <v>8</v>
      </c>
      <c r="AB239" t="s">
        <v>661</v>
      </c>
      <c r="AC239" t="s">
        <v>14</v>
      </c>
      <c r="AD239" t="s">
        <v>662</v>
      </c>
      <c r="AE239" t="s">
        <v>8</v>
      </c>
      <c r="AF239" t="s">
        <v>8</v>
      </c>
      <c r="AG239" t="s">
        <v>8</v>
      </c>
      <c r="AH239" s="2">
        <v>45950</v>
      </c>
      <c r="AI239" s="2"/>
      <c r="AJ239" t="s">
        <v>8</v>
      </c>
    </row>
    <row r="240" spans="1:36" outlineLevel="2" x14ac:dyDescent="0.25">
      <c r="A240" t="s">
        <v>27</v>
      </c>
      <c r="B240" t="s">
        <v>1</v>
      </c>
      <c r="C240" t="s">
        <v>2</v>
      </c>
      <c r="D240" t="s">
        <v>3</v>
      </c>
      <c r="E240" t="s">
        <v>4</v>
      </c>
      <c r="F240" t="s">
        <v>28</v>
      </c>
      <c r="G240" s="2">
        <v>45950</v>
      </c>
      <c r="H240" s="15">
        <v>1800013926</v>
      </c>
      <c r="I240" t="s">
        <v>75</v>
      </c>
      <c r="J240" s="2">
        <v>45950</v>
      </c>
      <c r="K240" s="2">
        <v>45951</v>
      </c>
      <c r="L240" t="s">
        <v>69</v>
      </c>
      <c r="M240" s="21">
        <v>256779418703</v>
      </c>
      <c r="N240" t="s">
        <v>9</v>
      </c>
      <c r="O240" t="s">
        <v>10</v>
      </c>
      <c r="P240" t="s">
        <v>8</v>
      </c>
      <c r="Q240" t="s">
        <v>65</v>
      </c>
      <c r="R240" t="s">
        <v>26</v>
      </c>
      <c r="S240" s="3">
        <v>9.83</v>
      </c>
      <c r="T240" t="s">
        <v>12</v>
      </c>
      <c r="U240" s="3">
        <v>866.92</v>
      </c>
      <c r="V240" s="3">
        <f>VLOOKUP(M240,'[1]combined ledger'!$A:$H,8,0)</f>
        <v>849.90769999999998</v>
      </c>
      <c r="W240" s="3">
        <f t="shared" si="3"/>
        <v>17.012299999999982</v>
      </c>
      <c r="X240" s="3"/>
      <c r="Y240" t="s">
        <v>77</v>
      </c>
      <c r="Z240" t="s">
        <v>13</v>
      </c>
      <c r="AA240" t="s">
        <v>8</v>
      </c>
      <c r="AB240" t="s">
        <v>665</v>
      </c>
      <c r="AC240" t="s">
        <v>14</v>
      </c>
      <c r="AD240" t="s">
        <v>666</v>
      </c>
      <c r="AE240" t="s">
        <v>8</v>
      </c>
      <c r="AF240" t="s">
        <v>8</v>
      </c>
      <c r="AG240" t="s">
        <v>8</v>
      </c>
      <c r="AH240" s="2">
        <v>45950</v>
      </c>
      <c r="AI240" s="2"/>
      <c r="AJ240" t="s">
        <v>8</v>
      </c>
    </row>
    <row r="241" spans="1:36" outlineLevel="2" x14ac:dyDescent="0.25">
      <c r="A241" t="s">
        <v>27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s="2">
        <v>45768</v>
      </c>
      <c r="H241" s="15">
        <v>1800007251</v>
      </c>
      <c r="I241" t="s">
        <v>75</v>
      </c>
      <c r="J241" s="2">
        <v>45768</v>
      </c>
      <c r="K241" s="2">
        <v>45769</v>
      </c>
      <c r="L241" t="s">
        <v>69</v>
      </c>
      <c r="M241" s="21">
        <v>256779412142</v>
      </c>
      <c r="N241" t="s">
        <v>9</v>
      </c>
      <c r="O241" t="s">
        <v>10</v>
      </c>
      <c r="P241" t="s">
        <v>8</v>
      </c>
      <c r="Q241" t="s">
        <v>65</v>
      </c>
      <c r="R241" t="s">
        <v>26</v>
      </c>
      <c r="S241" s="3">
        <v>1165.3699999999999</v>
      </c>
      <c r="T241" t="s">
        <v>12</v>
      </c>
      <c r="U241" s="3">
        <v>100000.4</v>
      </c>
      <c r="V241" s="3">
        <f>VLOOKUP(M241,'[1]combined ledger'!$A:$H,8,0)</f>
        <v>89979.092300000004</v>
      </c>
      <c r="W241" s="3">
        <f t="shared" si="3"/>
        <v>10021.30769999999</v>
      </c>
      <c r="X241" s="3"/>
      <c r="Y241" t="s">
        <v>77</v>
      </c>
      <c r="Z241" t="s">
        <v>13</v>
      </c>
      <c r="AA241" t="s">
        <v>8</v>
      </c>
      <c r="AB241" t="s">
        <v>69</v>
      </c>
      <c r="AC241" t="s">
        <v>14</v>
      </c>
      <c r="AD241" t="s">
        <v>669</v>
      </c>
      <c r="AE241" t="s">
        <v>8</v>
      </c>
      <c r="AF241" t="s">
        <v>8</v>
      </c>
      <c r="AG241" t="s">
        <v>8</v>
      </c>
      <c r="AH241" s="2">
        <v>45768</v>
      </c>
      <c r="AI241" s="2"/>
      <c r="AJ241" t="s">
        <v>8</v>
      </c>
    </row>
    <row r="242" spans="1:36" outlineLevel="2" x14ac:dyDescent="0.25">
      <c r="A242" t="s">
        <v>27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s="2">
        <v>45768</v>
      </c>
      <c r="H242" s="15">
        <v>1800007286</v>
      </c>
      <c r="I242" t="s">
        <v>75</v>
      </c>
      <c r="J242" s="2">
        <v>45768</v>
      </c>
      <c r="K242" s="2">
        <v>45769</v>
      </c>
      <c r="L242" t="s">
        <v>69</v>
      </c>
      <c r="M242" s="21">
        <v>256779412177</v>
      </c>
      <c r="N242" t="s">
        <v>9</v>
      </c>
      <c r="O242" t="s">
        <v>10</v>
      </c>
      <c r="P242" t="s">
        <v>8</v>
      </c>
      <c r="Q242" t="s">
        <v>65</v>
      </c>
      <c r="R242" t="s">
        <v>26</v>
      </c>
      <c r="S242" s="3">
        <v>407.88</v>
      </c>
      <c r="T242" t="s">
        <v>12</v>
      </c>
      <c r="U242" s="3">
        <v>35000.18</v>
      </c>
      <c r="V242" s="3">
        <f>VLOOKUP(M242,'[1]combined ledger'!$A:$H,8,0)</f>
        <v>34292.025199999996</v>
      </c>
      <c r="W242" s="3">
        <f t="shared" si="3"/>
        <v>708.15480000000389</v>
      </c>
      <c r="X242" s="3"/>
      <c r="Y242" t="s">
        <v>77</v>
      </c>
      <c r="Z242" t="s">
        <v>13</v>
      </c>
      <c r="AA242" t="s">
        <v>8</v>
      </c>
      <c r="AB242" t="s">
        <v>69</v>
      </c>
      <c r="AC242" t="s">
        <v>14</v>
      </c>
      <c r="AD242" t="s">
        <v>669</v>
      </c>
      <c r="AE242" t="s">
        <v>8</v>
      </c>
      <c r="AF242" t="s">
        <v>8</v>
      </c>
      <c r="AG242" t="s">
        <v>8</v>
      </c>
      <c r="AH242" s="2">
        <v>45768</v>
      </c>
      <c r="AI242" s="2"/>
      <c r="AJ242" t="s">
        <v>8</v>
      </c>
    </row>
    <row r="243" spans="1:36" outlineLevel="2" x14ac:dyDescent="0.25">
      <c r="A243" t="s">
        <v>27</v>
      </c>
      <c r="B243" t="s">
        <v>1</v>
      </c>
      <c r="C243" t="s">
        <v>2</v>
      </c>
      <c r="D243" t="s">
        <v>3</v>
      </c>
      <c r="E243" t="s">
        <v>4</v>
      </c>
      <c r="F243" t="s">
        <v>36</v>
      </c>
      <c r="G243" s="2">
        <v>45862</v>
      </c>
      <c r="H243" s="15">
        <v>1600001839</v>
      </c>
      <c r="I243" t="s">
        <v>118</v>
      </c>
      <c r="J243" s="2">
        <v>45862</v>
      </c>
      <c r="K243" s="2">
        <v>45862</v>
      </c>
      <c r="L243" t="s">
        <v>69</v>
      </c>
      <c r="M243" s="21">
        <v>256779421459</v>
      </c>
      <c r="N243" t="s">
        <v>9</v>
      </c>
      <c r="O243" t="s">
        <v>10</v>
      </c>
      <c r="P243" t="s">
        <v>8</v>
      </c>
      <c r="Q243" t="s">
        <v>54</v>
      </c>
      <c r="R243" t="s">
        <v>26</v>
      </c>
      <c r="S243" s="3">
        <v>-1700</v>
      </c>
      <c r="T243" t="s">
        <v>12</v>
      </c>
      <c r="U243" s="3">
        <v>-146201.14000000001</v>
      </c>
      <c r="V243" s="3" t="e">
        <f>VLOOKUP(M243,'[1]combined ledger'!$A:$H,8,0)</f>
        <v>#N/A</v>
      </c>
      <c r="W243" s="3" t="e">
        <f t="shared" si="3"/>
        <v>#N/A</v>
      </c>
      <c r="X243" s="3"/>
      <c r="Y243" t="s">
        <v>77</v>
      </c>
      <c r="Z243" t="s">
        <v>13</v>
      </c>
      <c r="AA243" t="s">
        <v>8</v>
      </c>
      <c r="AB243" t="s">
        <v>69</v>
      </c>
      <c r="AC243" t="s">
        <v>14</v>
      </c>
      <c r="AD243" t="s">
        <v>674</v>
      </c>
      <c r="AE243" t="s">
        <v>8</v>
      </c>
      <c r="AF243" t="s">
        <v>8</v>
      </c>
      <c r="AG243" t="s">
        <v>8</v>
      </c>
      <c r="AH243" s="2">
        <v>45862</v>
      </c>
      <c r="AI243" s="2"/>
      <c r="AJ243" t="s">
        <v>8</v>
      </c>
    </row>
    <row r="244" spans="1:36" outlineLevel="2" x14ac:dyDescent="0.25">
      <c r="A244" t="s">
        <v>27</v>
      </c>
      <c r="B244" t="s">
        <v>1</v>
      </c>
      <c r="C244" t="s">
        <v>2</v>
      </c>
      <c r="D244" t="s">
        <v>3</v>
      </c>
      <c r="E244" t="s">
        <v>4</v>
      </c>
      <c r="F244" t="s">
        <v>36</v>
      </c>
      <c r="G244" s="2">
        <v>45862</v>
      </c>
      <c r="H244" s="15">
        <v>1600001840</v>
      </c>
      <c r="I244" t="s">
        <v>118</v>
      </c>
      <c r="J244" s="2">
        <v>45862</v>
      </c>
      <c r="K244" s="2">
        <v>45862</v>
      </c>
      <c r="L244" t="s">
        <v>69</v>
      </c>
      <c r="M244" s="21">
        <v>256779421460</v>
      </c>
      <c r="N244" t="s">
        <v>9</v>
      </c>
      <c r="O244" t="s">
        <v>10</v>
      </c>
      <c r="P244" t="s">
        <v>8</v>
      </c>
      <c r="Q244" t="s">
        <v>54</v>
      </c>
      <c r="R244" t="s">
        <v>26</v>
      </c>
      <c r="S244" s="3">
        <v>-1750</v>
      </c>
      <c r="T244" t="s">
        <v>12</v>
      </c>
      <c r="U244" s="3">
        <v>-150501.17000000001</v>
      </c>
      <c r="V244" s="3" t="e">
        <f>VLOOKUP(M244,'[1]combined ledger'!$A:$H,8,0)</f>
        <v>#N/A</v>
      </c>
      <c r="W244" s="3" t="e">
        <f t="shared" si="3"/>
        <v>#N/A</v>
      </c>
      <c r="X244" s="3"/>
      <c r="Y244" t="s">
        <v>77</v>
      </c>
      <c r="Z244" t="s">
        <v>13</v>
      </c>
      <c r="AA244" t="s">
        <v>8</v>
      </c>
      <c r="AB244" t="s">
        <v>69</v>
      </c>
      <c r="AC244" t="s">
        <v>14</v>
      </c>
      <c r="AD244" t="s">
        <v>677</v>
      </c>
      <c r="AE244" t="s">
        <v>8</v>
      </c>
      <c r="AF244" t="s">
        <v>8</v>
      </c>
      <c r="AG244" t="s">
        <v>8</v>
      </c>
      <c r="AH244" s="2">
        <v>45862</v>
      </c>
      <c r="AI244" s="2"/>
      <c r="AJ244" t="s">
        <v>8</v>
      </c>
    </row>
    <row r="245" spans="1:36" outlineLevel="2" x14ac:dyDescent="0.25">
      <c r="A245" t="s">
        <v>27</v>
      </c>
      <c r="B245" t="s">
        <v>1</v>
      </c>
      <c r="C245" t="s">
        <v>2</v>
      </c>
      <c r="D245" t="s">
        <v>3</v>
      </c>
      <c r="E245" t="s">
        <v>4</v>
      </c>
      <c r="F245" t="s">
        <v>36</v>
      </c>
      <c r="G245" s="2">
        <v>45862</v>
      </c>
      <c r="H245" s="15">
        <v>1600001841</v>
      </c>
      <c r="I245" t="s">
        <v>118</v>
      </c>
      <c r="J245" s="2">
        <v>45862</v>
      </c>
      <c r="K245" s="2">
        <v>45862</v>
      </c>
      <c r="L245" t="s">
        <v>69</v>
      </c>
      <c r="M245" s="21">
        <v>256779421461</v>
      </c>
      <c r="N245" t="s">
        <v>9</v>
      </c>
      <c r="O245" t="s">
        <v>10</v>
      </c>
      <c r="P245" t="s">
        <v>8</v>
      </c>
      <c r="Q245" t="s">
        <v>54</v>
      </c>
      <c r="R245" t="s">
        <v>26</v>
      </c>
      <c r="S245" s="3">
        <v>-1700</v>
      </c>
      <c r="T245" t="s">
        <v>12</v>
      </c>
      <c r="U245" s="3">
        <v>-146201.14000000001</v>
      </c>
      <c r="V245" s="3" t="e">
        <f>VLOOKUP(M245,'[1]combined ledger'!$A:$H,8,0)</f>
        <v>#N/A</v>
      </c>
      <c r="W245" s="3" t="e">
        <f t="shared" si="3"/>
        <v>#N/A</v>
      </c>
      <c r="X245" s="3"/>
      <c r="Y245" t="s">
        <v>77</v>
      </c>
      <c r="Z245" t="s">
        <v>13</v>
      </c>
      <c r="AA245" t="s">
        <v>8</v>
      </c>
      <c r="AB245" t="s">
        <v>69</v>
      </c>
      <c r="AC245" t="s">
        <v>14</v>
      </c>
      <c r="AD245" t="s">
        <v>680</v>
      </c>
      <c r="AE245" t="s">
        <v>8</v>
      </c>
      <c r="AF245" t="s">
        <v>8</v>
      </c>
      <c r="AG245" t="s">
        <v>8</v>
      </c>
      <c r="AH245" s="2">
        <v>45862</v>
      </c>
      <c r="AI245" s="2"/>
      <c r="AJ245" t="s">
        <v>8</v>
      </c>
    </row>
    <row r="246" spans="1:36" outlineLevel="2" x14ac:dyDescent="0.25">
      <c r="A246" t="s">
        <v>27</v>
      </c>
      <c r="B246" t="s">
        <v>1</v>
      </c>
      <c r="C246" t="s">
        <v>2</v>
      </c>
      <c r="D246" t="s">
        <v>3</v>
      </c>
      <c r="E246" t="s">
        <v>4</v>
      </c>
      <c r="F246" t="s">
        <v>36</v>
      </c>
      <c r="G246" s="2">
        <v>45862</v>
      </c>
      <c r="H246" s="15">
        <v>1600001842</v>
      </c>
      <c r="I246" t="s">
        <v>118</v>
      </c>
      <c r="J246" s="2">
        <v>45862</v>
      </c>
      <c r="K246" s="2">
        <v>45862</v>
      </c>
      <c r="L246" t="s">
        <v>69</v>
      </c>
      <c r="M246" s="21">
        <v>256779421462</v>
      </c>
      <c r="N246" t="s">
        <v>9</v>
      </c>
      <c r="O246" t="s">
        <v>10</v>
      </c>
      <c r="P246" t="s">
        <v>8</v>
      </c>
      <c r="Q246" t="s">
        <v>54</v>
      </c>
      <c r="R246" t="s">
        <v>26</v>
      </c>
      <c r="S246" s="3">
        <v>-1750</v>
      </c>
      <c r="T246" t="s">
        <v>12</v>
      </c>
      <c r="U246" s="3">
        <v>-150501.17000000001</v>
      </c>
      <c r="V246" s="3" t="e">
        <f>VLOOKUP(M246,'[1]combined ledger'!$A:$H,8,0)</f>
        <v>#N/A</v>
      </c>
      <c r="W246" s="3" t="e">
        <f t="shared" si="3"/>
        <v>#N/A</v>
      </c>
      <c r="X246" s="3"/>
      <c r="Y246" t="s">
        <v>77</v>
      </c>
      <c r="Z246" t="s">
        <v>13</v>
      </c>
      <c r="AA246" t="s">
        <v>8</v>
      </c>
      <c r="AB246" t="s">
        <v>69</v>
      </c>
      <c r="AC246" t="s">
        <v>14</v>
      </c>
      <c r="AD246" t="s">
        <v>683</v>
      </c>
      <c r="AE246" t="s">
        <v>8</v>
      </c>
      <c r="AF246" t="s">
        <v>8</v>
      </c>
      <c r="AG246" t="s">
        <v>8</v>
      </c>
      <c r="AH246" s="2">
        <v>45862</v>
      </c>
      <c r="AI246" s="2"/>
      <c r="AJ246" t="s">
        <v>8</v>
      </c>
    </row>
    <row r="247" spans="1:36" outlineLevel="2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36</v>
      </c>
      <c r="G247" s="2">
        <v>45862</v>
      </c>
      <c r="H247" s="15">
        <v>1600001862</v>
      </c>
      <c r="I247" t="s">
        <v>118</v>
      </c>
      <c r="J247" s="2">
        <v>45862</v>
      </c>
      <c r="K247" s="2">
        <v>45862</v>
      </c>
      <c r="L247" t="s">
        <v>69</v>
      </c>
      <c r="M247" s="21">
        <v>256779421482</v>
      </c>
      <c r="N247" t="s">
        <v>9</v>
      </c>
      <c r="O247" t="s">
        <v>10</v>
      </c>
      <c r="P247" t="s">
        <v>8</v>
      </c>
      <c r="Q247" t="s">
        <v>54</v>
      </c>
      <c r="R247" t="s">
        <v>26</v>
      </c>
      <c r="S247" s="3">
        <v>-1190.48</v>
      </c>
      <c r="T247" t="s">
        <v>12</v>
      </c>
      <c r="U247" s="3">
        <v>-102382.08</v>
      </c>
      <c r="V247" s="3" t="e">
        <f>VLOOKUP(M247,'[1]combined ledger'!$A:$H,8,0)</f>
        <v>#N/A</v>
      </c>
      <c r="W247" s="3" t="e">
        <f t="shared" si="3"/>
        <v>#N/A</v>
      </c>
      <c r="X247" s="3"/>
      <c r="Y247" t="s">
        <v>77</v>
      </c>
      <c r="Z247" t="s">
        <v>13</v>
      </c>
      <c r="AA247" t="s">
        <v>8</v>
      </c>
      <c r="AB247" t="s">
        <v>69</v>
      </c>
      <c r="AC247" t="s">
        <v>14</v>
      </c>
      <c r="AD247" t="s">
        <v>686</v>
      </c>
      <c r="AE247" t="s">
        <v>8</v>
      </c>
      <c r="AF247" t="s">
        <v>8</v>
      </c>
      <c r="AG247" t="s">
        <v>8</v>
      </c>
      <c r="AH247" s="2">
        <v>45862</v>
      </c>
      <c r="AI247" s="2">
        <v>45902</v>
      </c>
      <c r="AJ247" t="s">
        <v>19</v>
      </c>
    </row>
    <row r="248" spans="1:36" outlineLevel="2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36</v>
      </c>
      <c r="G248" s="2">
        <v>45862</v>
      </c>
      <c r="H248" s="15">
        <v>1600001884</v>
      </c>
      <c r="I248" t="s">
        <v>118</v>
      </c>
      <c r="J248" s="2">
        <v>45862</v>
      </c>
      <c r="K248" s="2">
        <v>45862</v>
      </c>
      <c r="L248" t="s">
        <v>69</v>
      </c>
      <c r="M248" s="21">
        <v>256779421504</v>
      </c>
      <c r="N248" t="s">
        <v>9</v>
      </c>
      <c r="O248" t="s">
        <v>10</v>
      </c>
      <c r="P248" t="s">
        <v>8</v>
      </c>
      <c r="Q248" t="s">
        <v>54</v>
      </c>
      <c r="R248" t="s">
        <v>26</v>
      </c>
      <c r="S248" s="3">
        <v>-1190.48</v>
      </c>
      <c r="T248" t="s">
        <v>12</v>
      </c>
      <c r="U248" s="3">
        <v>-102382.08</v>
      </c>
      <c r="V248" s="3" t="e">
        <f>VLOOKUP(M248,'[1]combined ledger'!$A:$H,8,0)</f>
        <v>#N/A</v>
      </c>
      <c r="W248" s="3" t="e">
        <f t="shared" si="3"/>
        <v>#N/A</v>
      </c>
      <c r="X248" s="3"/>
      <c r="Y248" t="s">
        <v>77</v>
      </c>
      <c r="Z248" t="s">
        <v>13</v>
      </c>
      <c r="AA248" t="s">
        <v>8</v>
      </c>
      <c r="AB248" t="s">
        <v>69</v>
      </c>
      <c r="AC248" t="s">
        <v>14</v>
      </c>
      <c r="AD248" t="s">
        <v>689</v>
      </c>
      <c r="AE248" t="s">
        <v>8</v>
      </c>
      <c r="AF248" t="s">
        <v>8</v>
      </c>
      <c r="AG248" t="s">
        <v>8</v>
      </c>
      <c r="AH248" s="2">
        <v>45862</v>
      </c>
      <c r="AI248" s="2">
        <v>45902</v>
      </c>
      <c r="AJ248" t="s">
        <v>19</v>
      </c>
    </row>
    <row r="249" spans="1:36" outlineLevel="2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36</v>
      </c>
      <c r="G249" s="2">
        <v>45862</v>
      </c>
      <c r="H249" s="15">
        <v>1600001885</v>
      </c>
      <c r="I249" t="s">
        <v>118</v>
      </c>
      <c r="J249" s="2">
        <v>45862</v>
      </c>
      <c r="K249" s="2">
        <v>45862</v>
      </c>
      <c r="L249" t="s">
        <v>69</v>
      </c>
      <c r="M249" s="21">
        <v>256779421505</v>
      </c>
      <c r="N249" t="s">
        <v>9</v>
      </c>
      <c r="O249" t="s">
        <v>10</v>
      </c>
      <c r="P249" t="s">
        <v>8</v>
      </c>
      <c r="Q249" t="s">
        <v>54</v>
      </c>
      <c r="R249" t="s">
        <v>26</v>
      </c>
      <c r="S249" s="3">
        <v>-416.67</v>
      </c>
      <c r="T249" t="s">
        <v>12</v>
      </c>
      <c r="U249" s="3">
        <v>-35833.9</v>
      </c>
      <c r="V249" s="3" t="e">
        <f>VLOOKUP(M249,'[1]combined ledger'!$A:$H,8,0)</f>
        <v>#N/A</v>
      </c>
      <c r="W249" s="3" t="e">
        <f t="shared" si="3"/>
        <v>#N/A</v>
      </c>
      <c r="X249" s="3"/>
      <c r="Y249" t="s">
        <v>77</v>
      </c>
      <c r="Z249" t="s">
        <v>13</v>
      </c>
      <c r="AA249" t="s">
        <v>8</v>
      </c>
      <c r="AB249" t="s">
        <v>69</v>
      </c>
      <c r="AC249" t="s">
        <v>14</v>
      </c>
      <c r="AD249" t="s">
        <v>692</v>
      </c>
      <c r="AE249" t="s">
        <v>8</v>
      </c>
      <c r="AF249" t="s">
        <v>8</v>
      </c>
      <c r="AG249" t="s">
        <v>8</v>
      </c>
      <c r="AH249" s="2">
        <v>45862</v>
      </c>
      <c r="AI249" s="2">
        <v>45902</v>
      </c>
      <c r="AJ249" t="s">
        <v>19</v>
      </c>
    </row>
    <row r="250" spans="1:36" outlineLevel="2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36</v>
      </c>
      <c r="G250" s="2">
        <v>45862</v>
      </c>
      <c r="H250" s="15">
        <v>1600001912</v>
      </c>
      <c r="I250" t="s">
        <v>118</v>
      </c>
      <c r="J250" s="2">
        <v>45862</v>
      </c>
      <c r="K250" s="2">
        <v>45862</v>
      </c>
      <c r="L250" t="s">
        <v>69</v>
      </c>
      <c r="M250" s="21">
        <v>256779421532</v>
      </c>
      <c r="N250" t="s">
        <v>9</v>
      </c>
      <c r="O250" t="s">
        <v>10</v>
      </c>
      <c r="P250" t="s">
        <v>8</v>
      </c>
      <c r="Q250" t="s">
        <v>54</v>
      </c>
      <c r="R250" t="s">
        <v>26</v>
      </c>
      <c r="S250" s="3">
        <v>-408.31</v>
      </c>
      <c r="T250" t="s">
        <v>12</v>
      </c>
      <c r="U250" s="3">
        <v>-35114.93</v>
      </c>
      <c r="V250" s="3" t="e">
        <f>VLOOKUP(M250,'[1]combined ledger'!$A:$H,8,0)</f>
        <v>#N/A</v>
      </c>
      <c r="W250" s="3" t="e">
        <f t="shared" si="3"/>
        <v>#N/A</v>
      </c>
      <c r="X250" s="3"/>
      <c r="Y250" t="s">
        <v>77</v>
      </c>
      <c r="Z250" t="s">
        <v>13</v>
      </c>
      <c r="AA250" t="s">
        <v>8</v>
      </c>
      <c r="AB250" t="s">
        <v>69</v>
      </c>
      <c r="AC250" t="s">
        <v>14</v>
      </c>
      <c r="AD250" t="s">
        <v>695</v>
      </c>
      <c r="AE250" t="s">
        <v>8</v>
      </c>
      <c r="AF250" t="s">
        <v>8</v>
      </c>
      <c r="AG250" t="s">
        <v>8</v>
      </c>
      <c r="AH250" s="2">
        <v>45862</v>
      </c>
      <c r="AI250" s="2">
        <v>45902</v>
      </c>
      <c r="AJ250" t="s">
        <v>19</v>
      </c>
    </row>
    <row r="251" spans="1:36" outlineLevel="2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36</v>
      </c>
      <c r="G251" s="2">
        <v>45862</v>
      </c>
      <c r="H251" s="15">
        <v>1600001928</v>
      </c>
      <c r="I251" t="s">
        <v>118</v>
      </c>
      <c r="J251" s="2">
        <v>45862</v>
      </c>
      <c r="K251" s="2">
        <v>45862</v>
      </c>
      <c r="L251" t="s">
        <v>69</v>
      </c>
      <c r="M251" s="21">
        <v>256779421548</v>
      </c>
      <c r="N251" t="s">
        <v>9</v>
      </c>
      <c r="O251" t="s">
        <v>10</v>
      </c>
      <c r="P251" t="s">
        <v>8</v>
      </c>
      <c r="Q251" t="s">
        <v>54</v>
      </c>
      <c r="R251" t="s">
        <v>26</v>
      </c>
      <c r="S251" s="3">
        <v>-400.09</v>
      </c>
      <c r="T251" t="s">
        <v>12</v>
      </c>
      <c r="U251" s="3">
        <v>-34408.01</v>
      </c>
      <c r="V251" s="3" t="e">
        <f>VLOOKUP(M251,'[1]combined ledger'!$A:$H,8,0)</f>
        <v>#N/A</v>
      </c>
      <c r="W251" s="3" t="e">
        <f t="shared" si="3"/>
        <v>#N/A</v>
      </c>
      <c r="X251" s="3"/>
      <c r="Y251" t="s">
        <v>77</v>
      </c>
      <c r="Z251" t="s">
        <v>13</v>
      </c>
      <c r="AA251" t="s">
        <v>8</v>
      </c>
      <c r="AB251" t="s">
        <v>69</v>
      </c>
      <c r="AC251" t="s">
        <v>14</v>
      </c>
      <c r="AD251" t="s">
        <v>698</v>
      </c>
      <c r="AE251" t="s">
        <v>8</v>
      </c>
      <c r="AF251" t="s">
        <v>8</v>
      </c>
      <c r="AG251" t="s">
        <v>8</v>
      </c>
      <c r="AH251" s="2">
        <v>45862</v>
      </c>
      <c r="AI251" s="2">
        <v>45902</v>
      </c>
      <c r="AJ251" t="s">
        <v>19</v>
      </c>
    </row>
    <row r="252" spans="1:36" outlineLevel="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79</v>
      </c>
      <c r="G252" s="2">
        <v>45826</v>
      </c>
      <c r="H252" s="15">
        <v>1800009650</v>
      </c>
      <c r="I252" t="s">
        <v>75</v>
      </c>
      <c r="J252" s="2">
        <v>45826</v>
      </c>
      <c r="K252" s="2">
        <v>45827</v>
      </c>
      <c r="L252" t="s">
        <v>69</v>
      </c>
      <c r="M252" s="21">
        <v>256779414414</v>
      </c>
      <c r="N252" t="s">
        <v>9</v>
      </c>
      <c r="O252" t="s">
        <v>10</v>
      </c>
      <c r="P252" t="s">
        <v>8</v>
      </c>
      <c r="Q252" t="s">
        <v>65</v>
      </c>
      <c r="R252" t="s">
        <v>26</v>
      </c>
      <c r="S252" s="3">
        <v>1190.48</v>
      </c>
      <c r="T252" t="s">
        <v>12</v>
      </c>
      <c r="U252" s="3">
        <v>101775.06</v>
      </c>
      <c r="V252" s="3" t="e">
        <f>VLOOKUP(M252,'[1]combined ledger'!$A:$H,8,0)</f>
        <v>#N/A</v>
      </c>
      <c r="W252" s="3" t="e">
        <f t="shared" si="3"/>
        <v>#N/A</v>
      </c>
      <c r="X252" s="3"/>
      <c r="Y252" t="s">
        <v>77</v>
      </c>
      <c r="Z252" t="s">
        <v>13</v>
      </c>
      <c r="AA252" t="s">
        <v>8</v>
      </c>
      <c r="AB252" t="s">
        <v>69</v>
      </c>
      <c r="AC252" t="s">
        <v>14</v>
      </c>
      <c r="AD252" t="s">
        <v>563</v>
      </c>
      <c r="AE252" t="s">
        <v>8</v>
      </c>
      <c r="AF252" t="s">
        <v>8</v>
      </c>
      <c r="AG252" t="s">
        <v>8</v>
      </c>
      <c r="AH252" s="2">
        <v>45826</v>
      </c>
      <c r="AI252" s="2">
        <v>45902</v>
      </c>
      <c r="AJ252" t="s">
        <v>19</v>
      </c>
    </row>
    <row r="253" spans="1:36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79</v>
      </c>
      <c r="G253" s="2">
        <v>45826</v>
      </c>
      <c r="H253" s="15">
        <v>1800009673</v>
      </c>
      <c r="I253" t="s">
        <v>75</v>
      </c>
      <c r="J253" s="2">
        <v>45826</v>
      </c>
      <c r="K253" s="2">
        <v>45827</v>
      </c>
      <c r="L253" t="s">
        <v>69</v>
      </c>
      <c r="M253" s="21">
        <v>256779414437</v>
      </c>
      <c r="N253" t="s">
        <v>9</v>
      </c>
      <c r="O253" t="s">
        <v>10</v>
      </c>
      <c r="P253" t="s">
        <v>8</v>
      </c>
      <c r="Q253" t="s">
        <v>65</v>
      </c>
      <c r="R253" t="s">
        <v>26</v>
      </c>
      <c r="S253" s="3">
        <v>1190.48</v>
      </c>
      <c r="T253" t="s">
        <v>12</v>
      </c>
      <c r="U253" s="3">
        <v>101775.06</v>
      </c>
      <c r="V253" s="3" t="e">
        <f>VLOOKUP(M253,'[1]combined ledger'!$A:$H,8,0)</f>
        <v>#N/A</v>
      </c>
      <c r="W253" s="3" t="e">
        <f t="shared" si="3"/>
        <v>#N/A</v>
      </c>
      <c r="X253" s="3"/>
      <c r="Y253" t="s">
        <v>77</v>
      </c>
      <c r="Z253" t="s">
        <v>13</v>
      </c>
      <c r="AA253" t="s">
        <v>8</v>
      </c>
      <c r="AB253" t="s">
        <v>69</v>
      </c>
      <c r="AC253" t="s">
        <v>14</v>
      </c>
      <c r="AD253" t="s">
        <v>569</v>
      </c>
      <c r="AE253" t="s">
        <v>8</v>
      </c>
      <c r="AF253" t="s">
        <v>8</v>
      </c>
      <c r="AG253" t="s">
        <v>8</v>
      </c>
      <c r="AH253" s="2">
        <v>45826</v>
      </c>
      <c r="AI253" s="2">
        <v>45902</v>
      </c>
      <c r="AJ253" t="s">
        <v>19</v>
      </c>
    </row>
    <row r="254" spans="1:36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79</v>
      </c>
      <c r="G254" s="2">
        <v>45826</v>
      </c>
      <c r="H254" s="15">
        <v>1800009674</v>
      </c>
      <c r="I254" t="s">
        <v>75</v>
      </c>
      <c r="J254" s="2">
        <v>45826</v>
      </c>
      <c r="K254" s="2">
        <v>45827</v>
      </c>
      <c r="L254" t="s">
        <v>69</v>
      </c>
      <c r="M254" s="21">
        <v>256779414438</v>
      </c>
      <c r="N254" t="s">
        <v>9</v>
      </c>
      <c r="O254" t="s">
        <v>10</v>
      </c>
      <c r="P254" t="s">
        <v>8</v>
      </c>
      <c r="Q254" t="s">
        <v>65</v>
      </c>
      <c r="R254" t="s">
        <v>26</v>
      </c>
      <c r="S254" s="3">
        <v>416.67</v>
      </c>
      <c r="T254" t="s">
        <v>12</v>
      </c>
      <c r="U254" s="3">
        <v>35621.440000000002</v>
      </c>
      <c r="V254" s="3" t="e">
        <f>VLOOKUP(M254,'[1]combined ledger'!$A:$H,8,0)</f>
        <v>#N/A</v>
      </c>
      <c r="W254" s="3" t="e">
        <f t="shared" si="3"/>
        <v>#N/A</v>
      </c>
      <c r="X254" s="3"/>
      <c r="Y254" t="s">
        <v>77</v>
      </c>
      <c r="Z254" t="s">
        <v>13</v>
      </c>
      <c r="AA254" t="s">
        <v>8</v>
      </c>
      <c r="AB254" t="s">
        <v>69</v>
      </c>
      <c r="AC254" t="s">
        <v>14</v>
      </c>
      <c r="AD254" t="s">
        <v>572</v>
      </c>
      <c r="AE254" t="s">
        <v>8</v>
      </c>
      <c r="AF254" t="s">
        <v>8</v>
      </c>
      <c r="AG254" t="s">
        <v>8</v>
      </c>
      <c r="AH254" s="2">
        <v>45826</v>
      </c>
      <c r="AI254" s="2">
        <v>45902</v>
      </c>
      <c r="AJ254" t="s">
        <v>19</v>
      </c>
    </row>
    <row r="255" spans="1:36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79</v>
      </c>
      <c r="G255" s="2">
        <v>45826</v>
      </c>
      <c r="H255" s="15">
        <v>1800009701</v>
      </c>
      <c r="I255" t="s">
        <v>75</v>
      </c>
      <c r="J255" s="2">
        <v>45826</v>
      </c>
      <c r="K255" s="2">
        <v>45827</v>
      </c>
      <c r="L255" t="s">
        <v>69</v>
      </c>
      <c r="M255" s="21">
        <v>256779414465</v>
      </c>
      <c r="N255" t="s">
        <v>9</v>
      </c>
      <c r="O255" t="s">
        <v>10</v>
      </c>
      <c r="P255" t="s">
        <v>8</v>
      </c>
      <c r="Q255" t="s">
        <v>65</v>
      </c>
      <c r="R255" t="s">
        <v>26</v>
      </c>
      <c r="S255" s="3">
        <v>408.31</v>
      </c>
      <c r="T255" t="s">
        <v>12</v>
      </c>
      <c r="U255" s="3">
        <v>34906.74</v>
      </c>
      <c r="V255" s="3" t="e">
        <f>VLOOKUP(M255,'[1]combined ledger'!$A:$H,8,0)</f>
        <v>#N/A</v>
      </c>
      <c r="W255" s="3" t="e">
        <f t="shared" si="3"/>
        <v>#N/A</v>
      </c>
      <c r="X255" s="3"/>
      <c r="Y255" t="s">
        <v>77</v>
      </c>
      <c r="Z255" t="s">
        <v>13</v>
      </c>
      <c r="AA255" t="s">
        <v>8</v>
      </c>
      <c r="AB255" t="s">
        <v>69</v>
      </c>
      <c r="AC255" t="s">
        <v>14</v>
      </c>
      <c r="AD255" t="s">
        <v>578</v>
      </c>
      <c r="AE255" t="s">
        <v>8</v>
      </c>
      <c r="AF255" t="s">
        <v>8</v>
      </c>
      <c r="AG255" t="s">
        <v>8</v>
      </c>
      <c r="AH255" s="2">
        <v>45826</v>
      </c>
      <c r="AI255" s="2">
        <v>45902</v>
      </c>
      <c r="AJ255" t="s">
        <v>19</v>
      </c>
    </row>
    <row r="256" spans="1:36" outlineLevel="2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79</v>
      </c>
      <c r="G256" s="2">
        <v>45826</v>
      </c>
      <c r="H256" s="15">
        <v>1800009717</v>
      </c>
      <c r="I256" t="s">
        <v>75</v>
      </c>
      <c r="J256" s="2">
        <v>45826</v>
      </c>
      <c r="K256" s="2">
        <v>45827</v>
      </c>
      <c r="L256" t="s">
        <v>69</v>
      </c>
      <c r="M256" s="21">
        <v>256779414481</v>
      </c>
      <c r="N256" t="s">
        <v>9</v>
      </c>
      <c r="O256" t="s">
        <v>10</v>
      </c>
      <c r="P256" t="s">
        <v>8</v>
      </c>
      <c r="Q256" t="s">
        <v>65</v>
      </c>
      <c r="R256" t="s">
        <v>26</v>
      </c>
      <c r="S256" s="3">
        <v>400.09</v>
      </c>
      <c r="T256" t="s">
        <v>12</v>
      </c>
      <c r="U256" s="3">
        <v>34204.01</v>
      </c>
      <c r="V256" s="3" t="e">
        <f>VLOOKUP(M256,'[1]combined ledger'!$A:$H,8,0)</f>
        <v>#N/A</v>
      </c>
      <c r="W256" s="3" t="e">
        <f t="shared" si="3"/>
        <v>#N/A</v>
      </c>
      <c r="X256" s="3"/>
      <c r="Y256" t="s">
        <v>77</v>
      </c>
      <c r="Z256" t="s">
        <v>13</v>
      </c>
      <c r="AA256" t="s">
        <v>8</v>
      </c>
      <c r="AB256" t="s">
        <v>69</v>
      </c>
      <c r="AC256" t="s">
        <v>14</v>
      </c>
      <c r="AD256" t="s">
        <v>584</v>
      </c>
      <c r="AE256" t="s">
        <v>8</v>
      </c>
      <c r="AF256" t="s">
        <v>8</v>
      </c>
      <c r="AG256" t="s">
        <v>8</v>
      </c>
      <c r="AH256" s="2">
        <v>45826</v>
      </c>
      <c r="AI256" s="2">
        <v>45902</v>
      </c>
      <c r="AJ256" t="s">
        <v>19</v>
      </c>
    </row>
    <row r="257" spans="1:36" outlineLevel="2" x14ac:dyDescent="0.25">
      <c r="A257" t="s">
        <v>27</v>
      </c>
      <c r="B257" t="s">
        <v>1</v>
      </c>
      <c r="C257" t="s">
        <v>2</v>
      </c>
      <c r="D257" t="s">
        <v>3</v>
      </c>
      <c r="E257" t="s">
        <v>4</v>
      </c>
      <c r="F257" t="s">
        <v>49</v>
      </c>
      <c r="G257" s="2">
        <v>45735</v>
      </c>
      <c r="H257" s="15">
        <v>1800003114</v>
      </c>
      <c r="I257" t="s">
        <v>75</v>
      </c>
      <c r="J257" s="2">
        <v>45735</v>
      </c>
      <c r="K257" s="2">
        <v>45736</v>
      </c>
      <c r="L257" t="s">
        <v>69</v>
      </c>
      <c r="M257" s="21">
        <v>246779412981</v>
      </c>
      <c r="N257" t="s">
        <v>9</v>
      </c>
      <c r="O257" t="s">
        <v>10</v>
      </c>
      <c r="P257" t="s">
        <v>8</v>
      </c>
      <c r="Q257" t="s">
        <v>65</v>
      </c>
      <c r="R257" t="s">
        <v>26</v>
      </c>
      <c r="S257" s="3">
        <v>1148.6300000000001</v>
      </c>
      <c r="T257" t="s">
        <v>12</v>
      </c>
      <c r="U257" s="3">
        <v>99576.18</v>
      </c>
      <c r="V257" s="3">
        <f>VLOOKUP(M257,'[1]combined ledger'!$A:$H,8,0)</f>
        <v>88469.755399999995</v>
      </c>
      <c r="W257" s="3">
        <f t="shared" si="3"/>
        <v>11106.424599999998</v>
      </c>
      <c r="X257" s="3"/>
      <c r="Y257" t="s">
        <v>77</v>
      </c>
      <c r="Z257" t="s">
        <v>13</v>
      </c>
      <c r="AA257" t="s">
        <v>8</v>
      </c>
      <c r="AB257" t="s">
        <v>69</v>
      </c>
      <c r="AC257" t="s">
        <v>14</v>
      </c>
      <c r="AD257" t="s">
        <v>711</v>
      </c>
      <c r="AE257" t="s">
        <v>8</v>
      </c>
      <c r="AF257" t="s">
        <v>8</v>
      </c>
      <c r="AG257" t="s">
        <v>8</v>
      </c>
      <c r="AH257" s="2">
        <v>45735</v>
      </c>
      <c r="AI257" s="2"/>
      <c r="AJ257" t="s">
        <v>8</v>
      </c>
    </row>
    <row r="258" spans="1:36" outlineLevel="2" x14ac:dyDescent="0.25">
      <c r="A258" t="s">
        <v>27</v>
      </c>
      <c r="B258" t="s">
        <v>1</v>
      </c>
      <c r="C258" t="s">
        <v>2</v>
      </c>
      <c r="D258" t="s">
        <v>3</v>
      </c>
      <c r="E258" t="s">
        <v>4</v>
      </c>
      <c r="F258" t="s">
        <v>49</v>
      </c>
      <c r="G258" s="2">
        <v>45735</v>
      </c>
      <c r="H258" s="15">
        <v>1800003222</v>
      </c>
      <c r="I258" t="s">
        <v>75</v>
      </c>
      <c r="J258" s="2">
        <v>45735</v>
      </c>
      <c r="K258" s="2">
        <v>45736</v>
      </c>
      <c r="L258" t="s">
        <v>69</v>
      </c>
      <c r="M258" s="21">
        <v>246779413089</v>
      </c>
      <c r="N258" t="s">
        <v>9</v>
      </c>
      <c r="O258" t="s">
        <v>10</v>
      </c>
      <c r="P258" t="s">
        <v>8</v>
      </c>
      <c r="Q258" t="s">
        <v>65</v>
      </c>
      <c r="R258" t="s">
        <v>26</v>
      </c>
      <c r="S258" s="3">
        <v>79.05</v>
      </c>
      <c r="T258" t="s">
        <v>12</v>
      </c>
      <c r="U258" s="3">
        <v>6852.94</v>
      </c>
      <c r="V258" s="3">
        <f>VLOOKUP(M258,'[1]combined ledger'!$A:$H,8,0)</f>
        <v>6630.0990000000002</v>
      </c>
      <c r="W258" s="3">
        <f t="shared" si="3"/>
        <v>222.84099999999944</v>
      </c>
      <c r="X258" s="3"/>
      <c r="Y258" t="s">
        <v>77</v>
      </c>
      <c r="Z258" t="s">
        <v>13</v>
      </c>
      <c r="AA258" t="s">
        <v>8</v>
      </c>
      <c r="AB258" t="s">
        <v>69</v>
      </c>
      <c r="AC258" t="s">
        <v>14</v>
      </c>
      <c r="AD258" t="s">
        <v>714</v>
      </c>
      <c r="AE258" t="s">
        <v>8</v>
      </c>
      <c r="AF258" t="s">
        <v>8</v>
      </c>
      <c r="AG258" t="s">
        <v>8</v>
      </c>
      <c r="AH258" s="2">
        <v>45735</v>
      </c>
      <c r="AI258" s="2"/>
      <c r="AJ258" t="s">
        <v>8</v>
      </c>
    </row>
    <row r="259" spans="1:36" outlineLevel="2" x14ac:dyDescent="0.25">
      <c r="A259" t="s">
        <v>27</v>
      </c>
      <c r="B259" t="s">
        <v>1</v>
      </c>
      <c r="C259" t="s">
        <v>2</v>
      </c>
      <c r="D259" t="s">
        <v>3</v>
      </c>
      <c r="E259" t="s">
        <v>4</v>
      </c>
      <c r="F259" t="s">
        <v>49</v>
      </c>
      <c r="G259" s="2">
        <v>45735</v>
      </c>
      <c r="H259" s="15">
        <v>1800003347</v>
      </c>
      <c r="I259" t="s">
        <v>75</v>
      </c>
      <c r="J259" s="2">
        <v>45735</v>
      </c>
      <c r="K259" s="2">
        <v>45736</v>
      </c>
      <c r="L259" t="s">
        <v>69</v>
      </c>
      <c r="M259" s="21">
        <v>246779413214</v>
      </c>
      <c r="N259" t="s">
        <v>9</v>
      </c>
      <c r="O259" t="s">
        <v>10</v>
      </c>
      <c r="P259" t="s">
        <v>8</v>
      </c>
      <c r="Q259" t="s">
        <v>65</v>
      </c>
      <c r="R259" t="s">
        <v>26</v>
      </c>
      <c r="S259" s="3">
        <v>78.12</v>
      </c>
      <c r="T259" t="s">
        <v>12</v>
      </c>
      <c r="U259" s="3">
        <v>6772.32</v>
      </c>
      <c r="V259" s="3">
        <f>VLOOKUP(M259,'[1]combined ledger'!$A:$H,8,0)</f>
        <v>6551.5096000000003</v>
      </c>
      <c r="W259" s="3">
        <f t="shared" si="3"/>
        <v>220.81039999999939</v>
      </c>
      <c r="X259" s="3"/>
      <c r="Y259" t="s">
        <v>77</v>
      </c>
      <c r="Z259" t="s">
        <v>13</v>
      </c>
      <c r="AA259" t="s">
        <v>8</v>
      </c>
      <c r="AB259" t="s">
        <v>69</v>
      </c>
      <c r="AC259" t="s">
        <v>14</v>
      </c>
      <c r="AD259" t="s">
        <v>717</v>
      </c>
      <c r="AE259" t="s">
        <v>8</v>
      </c>
      <c r="AF259" t="s">
        <v>8</v>
      </c>
      <c r="AG259" t="s">
        <v>8</v>
      </c>
      <c r="AH259" s="2">
        <v>45735</v>
      </c>
      <c r="AI259" s="2"/>
      <c r="AJ259" t="s">
        <v>8</v>
      </c>
    </row>
    <row r="260" spans="1:36" outlineLevel="2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49</v>
      </c>
      <c r="G260" s="2">
        <v>45735</v>
      </c>
      <c r="H260" s="15">
        <v>1800003149</v>
      </c>
      <c r="I260" t="s">
        <v>75</v>
      </c>
      <c r="J260" s="2">
        <v>45735</v>
      </c>
      <c r="K260" s="2">
        <v>45736</v>
      </c>
      <c r="L260" t="s">
        <v>69</v>
      </c>
      <c r="M260" s="21">
        <v>246779413016</v>
      </c>
      <c r="N260" t="s">
        <v>9</v>
      </c>
      <c r="O260" t="s">
        <v>10</v>
      </c>
      <c r="P260" t="s">
        <v>8</v>
      </c>
      <c r="Q260" t="s">
        <v>65</v>
      </c>
      <c r="R260" t="s">
        <v>26</v>
      </c>
      <c r="S260" s="3">
        <v>402.02</v>
      </c>
      <c r="T260" t="s">
        <v>12</v>
      </c>
      <c r="U260" s="3">
        <v>34851.620000000003</v>
      </c>
      <c r="V260" s="3">
        <f>VLOOKUP(M260,'[1]combined ledger'!$A:$H,8,0)</f>
        <v>30964.871599999999</v>
      </c>
      <c r="W260" s="3">
        <f t="shared" si="3"/>
        <v>3886.748400000004</v>
      </c>
      <c r="X260" s="3"/>
      <c r="Y260" t="s">
        <v>77</v>
      </c>
      <c r="Z260" t="s">
        <v>13</v>
      </c>
      <c r="AA260" t="s">
        <v>8</v>
      </c>
      <c r="AB260" t="s">
        <v>69</v>
      </c>
      <c r="AC260" t="s">
        <v>14</v>
      </c>
      <c r="AD260" t="s">
        <v>711</v>
      </c>
      <c r="AE260" t="s">
        <v>8</v>
      </c>
      <c r="AF260" t="s">
        <v>8</v>
      </c>
      <c r="AG260" t="s">
        <v>8</v>
      </c>
      <c r="AH260" s="2">
        <v>45735</v>
      </c>
      <c r="AI260" s="2">
        <v>45888</v>
      </c>
      <c r="AJ260" t="s">
        <v>50</v>
      </c>
    </row>
    <row r="261" spans="1:36" outlineLevel="2" x14ac:dyDescent="0.25">
      <c r="A261" t="s">
        <v>27</v>
      </c>
      <c r="B261" t="s">
        <v>1</v>
      </c>
      <c r="C261" t="s">
        <v>2</v>
      </c>
      <c r="D261" t="s">
        <v>3</v>
      </c>
      <c r="E261" t="s">
        <v>4</v>
      </c>
      <c r="F261" t="s">
        <v>18</v>
      </c>
      <c r="G261" s="2">
        <v>45924</v>
      </c>
      <c r="H261" s="15">
        <v>1800013202</v>
      </c>
      <c r="I261" t="s">
        <v>75</v>
      </c>
      <c r="J261" s="2">
        <v>45924</v>
      </c>
      <c r="K261" s="2">
        <v>45924</v>
      </c>
      <c r="L261" t="s">
        <v>69</v>
      </c>
      <c r="M261" s="21">
        <v>256779417818</v>
      </c>
      <c r="N261" t="s">
        <v>9</v>
      </c>
      <c r="O261" t="s">
        <v>10</v>
      </c>
      <c r="P261" t="s">
        <v>8</v>
      </c>
      <c r="Q261" t="s">
        <v>65</v>
      </c>
      <c r="R261" t="s">
        <v>26</v>
      </c>
      <c r="S261" s="3">
        <v>260.79000000000002</v>
      </c>
      <c r="T261" t="s">
        <v>12</v>
      </c>
      <c r="U261" s="3">
        <v>22423.69</v>
      </c>
      <c r="V261" s="3">
        <f>VLOOKUP(M261,'[1]combined ledger'!$A:$H,8,0)</f>
        <v>20344.044699999999</v>
      </c>
      <c r="W261" s="3">
        <f t="shared" si="3"/>
        <v>2079.6453000000001</v>
      </c>
      <c r="X261" s="3"/>
      <c r="Y261" t="s">
        <v>77</v>
      </c>
      <c r="Z261" t="s">
        <v>13</v>
      </c>
      <c r="AA261" t="s">
        <v>8</v>
      </c>
      <c r="AB261" t="s">
        <v>722</v>
      </c>
      <c r="AC261" t="s">
        <v>14</v>
      </c>
      <c r="AD261" t="s">
        <v>723</v>
      </c>
      <c r="AE261" t="s">
        <v>8</v>
      </c>
      <c r="AF261" t="s">
        <v>8</v>
      </c>
      <c r="AG261" t="s">
        <v>8</v>
      </c>
      <c r="AH261" s="2">
        <v>45924</v>
      </c>
      <c r="AI261" s="2"/>
      <c r="AJ261" t="s">
        <v>8</v>
      </c>
    </row>
    <row r="262" spans="1:36" outlineLevel="2" x14ac:dyDescent="0.25">
      <c r="A262" t="s">
        <v>27</v>
      </c>
      <c r="B262" t="s">
        <v>1</v>
      </c>
      <c r="C262" t="s">
        <v>2</v>
      </c>
      <c r="D262" t="s">
        <v>3</v>
      </c>
      <c r="E262" t="s">
        <v>4</v>
      </c>
      <c r="F262" t="s">
        <v>54</v>
      </c>
      <c r="G262" s="2">
        <v>45981</v>
      </c>
      <c r="H262" s="15">
        <v>1800015045</v>
      </c>
      <c r="I262" t="s">
        <v>75</v>
      </c>
      <c r="J262" s="2">
        <v>45981</v>
      </c>
      <c r="K262" s="2">
        <v>45985</v>
      </c>
      <c r="L262" t="s">
        <v>69</v>
      </c>
      <c r="M262" s="21">
        <v>256779419558</v>
      </c>
      <c r="N262" t="s">
        <v>9</v>
      </c>
      <c r="O262" t="s">
        <v>10</v>
      </c>
      <c r="P262" t="s">
        <v>8</v>
      </c>
      <c r="Q262" t="s">
        <v>65</v>
      </c>
      <c r="R262" t="s">
        <v>26</v>
      </c>
      <c r="S262" s="3">
        <v>850</v>
      </c>
      <c r="T262" t="s">
        <v>12</v>
      </c>
      <c r="U262" s="3">
        <v>74802.880000000005</v>
      </c>
      <c r="V262" s="3">
        <f>VLOOKUP(M262,'[1]combined ledger'!$A:$H,8,0)</f>
        <v>7920.3389999999999</v>
      </c>
      <c r="W262" s="3">
        <f t="shared" si="3"/>
        <v>66882.540999999997</v>
      </c>
      <c r="X262" s="3"/>
      <c r="Y262" t="s">
        <v>77</v>
      </c>
      <c r="Z262" t="s">
        <v>13</v>
      </c>
      <c r="AA262" t="s">
        <v>8</v>
      </c>
      <c r="AB262" t="s">
        <v>726</v>
      </c>
      <c r="AC262" t="s">
        <v>14</v>
      </c>
      <c r="AD262" t="s">
        <v>727</v>
      </c>
      <c r="AE262" t="s">
        <v>8</v>
      </c>
      <c r="AF262" t="s">
        <v>8</v>
      </c>
      <c r="AG262" t="s">
        <v>8</v>
      </c>
      <c r="AH262" s="2">
        <v>45981</v>
      </c>
      <c r="AI262" s="2"/>
      <c r="AJ262" t="s">
        <v>8</v>
      </c>
    </row>
    <row r="263" spans="1:36" outlineLevel="2" x14ac:dyDescent="0.25">
      <c r="A263" t="s">
        <v>27</v>
      </c>
      <c r="B263" t="s">
        <v>1</v>
      </c>
      <c r="C263" t="s">
        <v>2</v>
      </c>
      <c r="D263" t="s">
        <v>3</v>
      </c>
      <c r="E263" t="s">
        <v>4</v>
      </c>
      <c r="F263" t="s">
        <v>54</v>
      </c>
      <c r="G263" s="2">
        <v>45981</v>
      </c>
      <c r="H263" s="15">
        <v>1800015077</v>
      </c>
      <c r="I263" t="s">
        <v>75</v>
      </c>
      <c r="J263" s="2">
        <v>45981</v>
      </c>
      <c r="K263" s="2">
        <v>45985</v>
      </c>
      <c r="L263" t="s">
        <v>69</v>
      </c>
      <c r="M263" s="21">
        <v>256779419590</v>
      </c>
      <c r="N263" t="s">
        <v>9</v>
      </c>
      <c r="O263" t="s">
        <v>10</v>
      </c>
      <c r="P263" t="s">
        <v>8</v>
      </c>
      <c r="Q263" t="s">
        <v>65</v>
      </c>
      <c r="R263" t="s">
        <v>26</v>
      </c>
      <c r="S263" s="3">
        <v>331.5</v>
      </c>
      <c r="T263" t="s">
        <v>12</v>
      </c>
      <c r="U263" s="3">
        <v>29173.119999999999</v>
      </c>
      <c r="V263" s="3">
        <f>VLOOKUP(M263,'[1]combined ledger'!$A:$H,8,0)</f>
        <v>28590.123800000001</v>
      </c>
      <c r="W263" s="3">
        <f t="shared" si="3"/>
        <v>582.99619999999777</v>
      </c>
      <c r="X263" s="3"/>
      <c r="Y263" t="s">
        <v>77</v>
      </c>
      <c r="Z263" t="s">
        <v>13</v>
      </c>
      <c r="AA263" t="s">
        <v>8</v>
      </c>
      <c r="AB263" t="s">
        <v>730</v>
      </c>
      <c r="AC263" t="s">
        <v>14</v>
      </c>
      <c r="AD263" t="s">
        <v>731</v>
      </c>
      <c r="AE263" t="s">
        <v>8</v>
      </c>
      <c r="AF263" t="s">
        <v>8</v>
      </c>
      <c r="AG263" t="s">
        <v>8</v>
      </c>
      <c r="AH263" s="2">
        <v>45981</v>
      </c>
      <c r="AI263" s="2"/>
      <c r="AJ263" t="s">
        <v>8</v>
      </c>
    </row>
    <row r="264" spans="1:36" outlineLevel="2" x14ac:dyDescent="0.25">
      <c r="A264" t="s">
        <v>27</v>
      </c>
      <c r="B264" t="s">
        <v>1</v>
      </c>
      <c r="C264" t="s">
        <v>2</v>
      </c>
      <c r="D264" t="s">
        <v>3</v>
      </c>
      <c r="E264" t="s">
        <v>4</v>
      </c>
      <c r="F264" t="s">
        <v>54</v>
      </c>
      <c r="G264" s="2">
        <v>45981</v>
      </c>
      <c r="H264" s="15">
        <v>1800015131</v>
      </c>
      <c r="I264" t="s">
        <v>75</v>
      </c>
      <c r="J264" s="2">
        <v>45981</v>
      </c>
      <c r="K264" s="2">
        <v>45985</v>
      </c>
      <c r="L264" t="s">
        <v>69</v>
      </c>
      <c r="M264" s="21">
        <v>256779419630</v>
      </c>
      <c r="N264" t="s">
        <v>9</v>
      </c>
      <c r="O264" t="s">
        <v>10</v>
      </c>
      <c r="P264" t="s">
        <v>8</v>
      </c>
      <c r="Q264" t="s">
        <v>65</v>
      </c>
      <c r="R264" t="s">
        <v>26</v>
      </c>
      <c r="S264" s="3">
        <v>112.58</v>
      </c>
      <c r="T264" t="s">
        <v>12</v>
      </c>
      <c r="U264" s="3">
        <v>9907.42</v>
      </c>
      <c r="V264" s="3">
        <f>VLOOKUP(M264,'[1]combined ledger'!$A:$H,8,0)</f>
        <v>9709.4215999999997</v>
      </c>
      <c r="W264" s="3">
        <f t="shared" si="3"/>
        <v>197.9984000000004</v>
      </c>
      <c r="X264" s="3"/>
      <c r="Y264" t="s">
        <v>77</v>
      </c>
      <c r="Z264" t="s">
        <v>13</v>
      </c>
      <c r="AA264" t="s">
        <v>8</v>
      </c>
      <c r="AB264" t="s">
        <v>734</v>
      </c>
      <c r="AC264" t="s">
        <v>14</v>
      </c>
      <c r="AD264" t="s">
        <v>735</v>
      </c>
      <c r="AE264" t="s">
        <v>8</v>
      </c>
      <c r="AF264" t="s">
        <v>8</v>
      </c>
      <c r="AG264" t="s">
        <v>8</v>
      </c>
      <c r="AH264" s="2">
        <v>45981</v>
      </c>
      <c r="AI264" s="2"/>
      <c r="AJ264" t="s">
        <v>8</v>
      </c>
    </row>
    <row r="265" spans="1:36" outlineLevel="2" x14ac:dyDescent="0.25">
      <c r="A265" t="s">
        <v>27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45769</v>
      </c>
      <c r="H265" s="15">
        <v>1800007659</v>
      </c>
      <c r="I265" t="s">
        <v>75</v>
      </c>
      <c r="J265" s="2">
        <v>45769</v>
      </c>
      <c r="K265" s="2">
        <v>45770</v>
      </c>
      <c r="L265" t="s">
        <v>69</v>
      </c>
      <c r="M265" s="21">
        <v>256779412550</v>
      </c>
      <c r="N265" t="s">
        <v>9</v>
      </c>
      <c r="O265" t="s">
        <v>10</v>
      </c>
      <c r="P265" t="s">
        <v>8</v>
      </c>
      <c r="Q265" t="s">
        <v>65</v>
      </c>
      <c r="R265" t="s">
        <v>26</v>
      </c>
      <c r="S265" s="3">
        <v>87.2</v>
      </c>
      <c r="T265" t="s">
        <v>12</v>
      </c>
      <c r="U265" s="3">
        <v>7579.58</v>
      </c>
      <c r="V265" s="3">
        <f>VLOOKUP(M265,'[1]combined ledger'!$A:$H,8,0)</f>
        <v>7304.8559999999998</v>
      </c>
      <c r="W265" s="3">
        <f t="shared" si="3"/>
        <v>274.72400000000016</v>
      </c>
      <c r="X265" s="3"/>
      <c r="Y265" t="s">
        <v>77</v>
      </c>
      <c r="Z265" t="s">
        <v>13</v>
      </c>
      <c r="AA265" t="s">
        <v>8</v>
      </c>
      <c r="AB265" t="s">
        <v>69</v>
      </c>
      <c r="AC265" t="s">
        <v>14</v>
      </c>
      <c r="AD265" t="s">
        <v>738</v>
      </c>
      <c r="AE265" t="s">
        <v>8</v>
      </c>
      <c r="AF265" t="s">
        <v>8</v>
      </c>
      <c r="AG265" t="s">
        <v>8</v>
      </c>
      <c r="AH265" s="2">
        <v>45769</v>
      </c>
      <c r="AI265" s="2"/>
      <c r="AJ265" t="s">
        <v>8</v>
      </c>
    </row>
    <row r="266" spans="1:36" outlineLevel="2" x14ac:dyDescent="0.25">
      <c r="A266" t="s">
        <v>27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s="2">
        <v>45769</v>
      </c>
      <c r="H266" s="15">
        <v>1800007691</v>
      </c>
      <c r="I266" t="s">
        <v>75</v>
      </c>
      <c r="J266" s="2">
        <v>45769</v>
      </c>
      <c r="K266" s="2">
        <v>45770</v>
      </c>
      <c r="L266" t="s">
        <v>69</v>
      </c>
      <c r="M266" s="21">
        <v>256779412582</v>
      </c>
      <c r="N266" t="s">
        <v>9</v>
      </c>
      <c r="O266" t="s">
        <v>10</v>
      </c>
      <c r="P266" t="s">
        <v>8</v>
      </c>
      <c r="Q266" t="s">
        <v>65</v>
      </c>
      <c r="R266" t="s">
        <v>26</v>
      </c>
      <c r="S266" s="3">
        <v>56.95</v>
      </c>
      <c r="T266" t="s">
        <v>12</v>
      </c>
      <c r="U266" s="3">
        <v>4950.2</v>
      </c>
      <c r="V266" s="3">
        <f>VLOOKUP(M266,'[1]combined ledger'!$A:$H,8,0)</f>
        <v>4771.0860000000002</v>
      </c>
      <c r="W266" s="3">
        <f t="shared" si="3"/>
        <v>179.11399999999958</v>
      </c>
      <c r="X266" s="3"/>
      <c r="Y266" t="s">
        <v>77</v>
      </c>
      <c r="Z266" t="s">
        <v>13</v>
      </c>
      <c r="AA266" t="s">
        <v>8</v>
      </c>
      <c r="AB266" t="s">
        <v>69</v>
      </c>
      <c r="AC266" t="s">
        <v>14</v>
      </c>
      <c r="AD266" t="s">
        <v>738</v>
      </c>
      <c r="AE266" t="s">
        <v>8</v>
      </c>
      <c r="AF266" t="s">
        <v>8</v>
      </c>
      <c r="AG266" t="s">
        <v>8</v>
      </c>
      <c r="AH266" s="2">
        <v>45769</v>
      </c>
      <c r="AI266" s="2"/>
      <c r="AJ266" t="s">
        <v>8</v>
      </c>
    </row>
    <row r="267" spans="1:36" outlineLevel="2" x14ac:dyDescent="0.25">
      <c r="A267" t="s">
        <v>27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s="2">
        <v>45769</v>
      </c>
      <c r="H267" s="15">
        <v>1800007724</v>
      </c>
      <c r="I267" t="s">
        <v>75</v>
      </c>
      <c r="J267" s="2">
        <v>45769</v>
      </c>
      <c r="K267" s="2">
        <v>45770</v>
      </c>
      <c r="L267" t="s">
        <v>69</v>
      </c>
      <c r="M267" s="21">
        <v>256779412615</v>
      </c>
      <c r="N267" t="s">
        <v>9</v>
      </c>
      <c r="O267" t="s">
        <v>10</v>
      </c>
      <c r="P267" t="s">
        <v>8</v>
      </c>
      <c r="Q267" t="s">
        <v>65</v>
      </c>
      <c r="R267" t="s">
        <v>26</v>
      </c>
      <c r="S267" s="3">
        <v>87.2</v>
      </c>
      <c r="T267" t="s">
        <v>12</v>
      </c>
      <c r="U267" s="3">
        <v>7579.58</v>
      </c>
      <c r="V267" s="3">
        <f>VLOOKUP(M267,'[1]combined ledger'!$A:$H,8,0)</f>
        <v>7330.8879999999999</v>
      </c>
      <c r="W267" s="3">
        <f t="shared" si="3"/>
        <v>248.69200000000001</v>
      </c>
      <c r="X267" s="3"/>
      <c r="Y267" t="s">
        <v>77</v>
      </c>
      <c r="Z267" t="s">
        <v>13</v>
      </c>
      <c r="AA267" t="s">
        <v>8</v>
      </c>
      <c r="AB267" t="s">
        <v>69</v>
      </c>
      <c r="AC267" t="s">
        <v>14</v>
      </c>
      <c r="AD267" t="s">
        <v>743</v>
      </c>
      <c r="AE267" t="s">
        <v>8</v>
      </c>
      <c r="AF267" t="s">
        <v>8</v>
      </c>
      <c r="AG267" t="s">
        <v>8</v>
      </c>
      <c r="AH267" s="2">
        <v>45769</v>
      </c>
      <c r="AI267" s="2"/>
      <c r="AJ267" t="s">
        <v>8</v>
      </c>
    </row>
    <row r="268" spans="1:36" outlineLevel="2" x14ac:dyDescent="0.25">
      <c r="A268" t="s">
        <v>27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s="2">
        <v>45769</v>
      </c>
      <c r="H268" s="15">
        <v>1800007766</v>
      </c>
      <c r="I268" t="s">
        <v>75</v>
      </c>
      <c r="J268" s="2">
        <v>45769</v>
      </c>
      <c r="K268" s="2">
        <v>45770</v>
      </c>
      <c r="L268" t="s">
        <v>69</v>
      </c>
      <c r="M268" s="21">
        <v>256779412657</v>
      </c>
      <c r="N268" t="s">
        <v>9</v>
      </c>
      <c r="O268" t="s">
        <v>10</v>
      </c>
      <c r="P268" t="s">
        <v>8</v>
      </c>
      <c r="Q268" t="s">
        <v>65</v>
      </c>
      <c r="R268" t="s">
        <v>26</v>
      </c>
      <c r="S268" s="3">
        <v>4.93</v>
      </c>
      <c r="T268" t="s">
        <v>12</v>
      </c>
      <c r="U268" s="3">
        <v>428.52</v>
      </c>
      <c r="V268" s="3">
        <f>VLOOKUP(M268,'[1]combined ledger'!$A:$H,8,0)</f>
        <v>414.94470000000001</v>
      </c>
      <c r="W268" s="3">
        <f t="shared" si="3"/>
        <v>13.57529999999997</v>
      </c>
      <c r="X268" s="3"/>
      <c r="Y268" t="s">
        <v>77</v>
      </c>
      <c r="Z268" t="s">
        <v>13</v>
      </c>
      <c r="AA268" t="s">
        <v>8</v>
      </c>
      <c r="AB268" t="s">
        <v>69</v>
      </c>
      <c r="AC268" t="s">
        <v>14</v>
      </c>
      <c r="AD268" t="s">
        <v>746</v>
      </c>
      <c r="AE268" t="s">
        <v>8</v>
      </c>
      <c r="AF268" t="s">
        <v>8</v>
      </c>
      <c r="AG268" t="s">
        <v>8</v>
      </c>
      <c r="AH268" s="2">
        <v>45769</v>
      </c>
      <c r="AI268" s="2"/>
      <c r="AJ268" t="s">
        <v>8</v>
      </c>
    </row>
    <row r="269" spans="1:36" outlineLevel="2" x14ac:dyDescent="0.25">
      <c r="A269" t="s">
        <v>27</v>
      </c>
      <c r="B269" t="s">
        <v>1</v>
      </c>
      <c r="C269" t="s">
        <v>2</v>
      </c>
      <c r="D269" t="s">
        <v>3</v>
      </c>
      <c r="E269" t="s">
        <v>4</v>
      </c>
      <c r="F269" t="s">
        <v>18</v>
      </c>
      <c r="G269" s="2">
        <v>45918</v>
      </c>
      <c r="H269" s="15">
        <v>1800012815</v>
      </c>
      <c r="I269" t="s">
        <v>75</v>
      </c>
      <c r="J269" s="2">
        <v>45918</v>
      </c>
      <c r="K269" s="2">
        <v>45922</v>
      </c>
      <c r="L269" t="s">
        <v>69</v>
      </c>
      <c r="M269" s="21">
        <v>256779417420</v>
      </c>
      <c r="N269" t="s">
        <v>9</v>
      </c>
      <c r="O269" t="s">
        <v>10</v>
      </c>
      <c r="P269" t="s">
        <v>8</v>
      </c>
      <c r="Q269" t="s">
        <v>65</v>
      </c>
      <c r="R269" t="s">
        <v>26</v>
      </c>
      <c r="S269" s="3">
        <v>35</v>
      </c>
      <c r="T269" t="s">
        <v>12</v>
      </c>
      <c r="U269" s="3">
        <v>3063</v>
      </c>
      <c r="V269" s="3">
        <f>VLOOKUP(M269,'[1]combined ledger'!$A:$H,8,0)</f>
        <v>3002.0016000000001</v>
      </c>
      <c r="W269" s="3">
        <f t="shared" si="3"/>
        <v>60.998399999999947</v>
      </c>
      <c r="X269" s="3"/>
      <c r="Y269" t="s">
        <v>77</v>
      </c>
      <c r="Z269" t="s">
        <v>13</v>
      </c>
      <c r="AA269" t="s">
        <v>8</v>
      </c>
      <c r="AB269" t="s">
        <v>749</v>
      </c>
      <c r="AC269" t="s">
        <v>14</v>
      </c>
      <c r="AD269" t="s">
        <v>750</v>
      </c>
      <c r="AE269" t="s">
        <v>8</v>
      </c>
      <c r="AF269" t="s">
        <v>8</v>
      </c>
      <c r="AG269" t="s">
        <v>8</v>
      </c>
      <c r="AH269" s="2">
        <v>45918</v>
      </c>
      <c r="AI269" s="2"/>
      <c r="AJ269" t="s">
        <v>8</v>
      </c>
    </row>
    <row r="270" spans="1:36" outlineLevel="2" x14ac:dyDescent="0.25">
      <c r="A270" t="s">
        <v>27</v>
      </c>
      <c r="B270" t="s">
        <v>1</v>
      </c>
      <c r="C270" t="s">
        <v>2</v>
      </c>
      <c r="D270" t="s">
        <v>3</v>
      </c>
      <c r="E270" t="s">
        <v>4</v>
      </c>
      <c r="F270" t="s">
        <v>18</v>
      </c>
      <c r="G270" s="2">
        <v>45918</v>
      </c>
      <c r="H270" s="15">
        <v>1800012872</v>
      </c>
      <c r="I270" t="s">
        <v>75</v>
      </c>
      <c r="J270" s="2">
        <v>45918</v>
      </c>
      <c r="K270" s="2">
        <v>45922</v>
      </c>
      <c r="L270" t="s">
        <v>69</v>
      </c>
      <c r="M270" s="21">
        <v>256779417490</v>
      </c>
      <c r="N270" t="s">
        <v>9</v>
      </c>
      <c r="O270" t="s">
        <v>10</v>
      </c>
      <c r="P270" t="s">
        <v>8</v>
      </c>
      <c r="Q270" t="s">
        <v>65</v>
      </c>
      <c r="R270" t="s">
        <v>26</v>
      </c>
      <c r="S270" s="3">
        <v>850</v>
      </c>
      <c r="T270" t="s">
        <v>12</v>
      </c>
      <c r="U270" s="3">
        <v>74387.179999999993</v>
      </c>
      <c r="V270" s="3">
        <f>VLOOKUP(M270,'[1]combined ledger'!$A:$H,8,0)</f>
        <v>7876.433</v>
      </c>
      <c r="W270" s="3">
        <f t="shared" si="3"/>
        <v>66510.746999999988</v>
      </c>
      <c r="X270" s="3"/>
      <c r="Y270" t="s">
        <v>77</v>
      </c>
      <c r="Z270" t="s">
        <v>13</v>
      </c>
      <c r="AA270" t="s">
        <v>8</v>
      </c>
      <c r="AB270" t="s">
        <v>753</v>
      </c>
      <c r="AC270" t="s">
        <v>14</v>
      </c>
      <c r="AD270" t="s">
        <v>754</v>
      </c>
      <c r="AE270" t="s">
        <v>8</v>
      </c>
      <c r="AF270" t="s">
        <v>8</v>
      </c>
      <c r="AG270" t="s">
        <v>8</v>
      </c>
      <c r="AH270" s="2">
        <v>45918</v>
      </c>
      <c r="AI270" s="2"/>
      <c r="AJ270" t="s">
        <v>8</v>
      </c>
    </row>
    <row r="271" spans="1:36" outlineLevel="2" x14ac:dyDescent="0.25">
      <c r="A271" t="s">
        <v>27</v>
      </c>
      <c r="B271" t="s">
        <v>1</v>
      </c>
      <c r="C271" t="s">
        <v>2</v>
      </c>
      <c r="D271" t="s">
        <v>3</v>
      </c>
      <c r="E271" t="s">
        <v>4</v>
      </c>
      <c r="F271" t="s">
        <v>18</v>
      </c>
      <c r="G271" s="2">
        <v>45918</v>
      </c>
      <c r="H271" s="15">
        <v>1800012991</v>
      </c>
      <c r="I271" t="s">
        <v>75</v>
      </c>
      <c r="J271" s="2">
        <v>45918</v>
      </c>
      <c r="K271" s="2">
        <v>45922</v>
      </c>
      <c r="L271" t="s">
        <v>69</v>
      </c>
      <c r="M271" s="21">
        <v>256779417526</v>
      </c>
      <c r="N271" t="s">
        <v>9</v>
      </c>
      <c r="O271" t="s">
        <v>10</v>
      </c>
      <c r="P271" t="s">
        <v>8</v>
      </c>
      <c r="Q271" t="s">
        <v>65</v>
      </c>
      <c r="R271" t="s">
        <v>26</v>
      </c>
      <c r="S271" s="3">
        <v>22.43</v>
      </c>
      <c r="T271" t="s">
        <v>12</v>
      </c>
      <c r="U271" s="3">
        <v>1962.95</v>
      </c>
      <c r="V271" s="3">
        <f>VLOOKUP(M271,'[1]combined ledger'!$A:$H,8,0)</f>
        <v>1923.9464</v>
      </c>
      <c r="W271" s="3">
        <f t="shared" si="3"/>
        <v>39.003600000000006</v>
      </c>
      <c r="X271" s="3"/>
      <c r="Y271" t="s">
        <v>77</v>
      </c>
      <c r="Z271" t="s">
        <v>13</v>
      </c>
      <c r="AA271" t="s">
        <v>8</v>
      </c>
      <c r="AB271" t="s">
        <v>757</v>
      </c>
      <c r="AC271" t="s">
        <v>14</v>
      </c>
      <c r="AD271" t="s">
        <v>758</v>
      </c>
      <c r="AE271" t="s">
        <v>8</v>
      </c>
      <c r="AF271" t="s">
        <v>8</v>
      </c>
      <c r="AG271" t="s">
        <v>8</v>
      </c>
      <c r="AH271" s="2">
        <v>45918</v>
      </c>
      <c r="AI271" s="2"/>
      <c r="AJ271" t="s">
        <v>8</v>
      </c>
    </row>
    <row r="272" spans="1:36" outlineLevel="2" x14ac:dyDescent="0.25">
      <c r="A272" t="s">
        <v>27</v>
      </c>
      <c r="B272" t="s">
        <v>1</v>
      </c>
      <c r="C272" t="s">
        <v>2</v>
      </c>
      <c r="D272" t="s">
        <v>3</v>
      </c>
      <c r="E272" t="s">
        <v>4</v>
      </c>
      <c r="F272" t="s">
        <v>18</v>
      </c>
      <c r="G272" s="2">
        <v>45918</v>
      </c>
      <c r="H272" s="15">
        <v>1800012929</v>
      </c>
      <c r="I272" t="s">
        <v>75</v>
      </c>
      <c r="J272" s="2">
        <v>45918</v>
      </c>
      <c r="K272" s="2">
        <v>45922</v>
      </c>
      <c r="L272" t="s">
        <v>69</v>
      </c>
      <c r="M272" s="21">
        <v>256779417568</v>
      </c>
      <c r="N272" t="s">
        <v>9</v>
      </c>
      <c r="O272" t="s">
        <v>10</v>
      </c>
      <c r="P272" t="s">
        <v>8</v>
      </c>
      <c r="Q272" t="s">
        <v>65</v>
      </c>
      <c r="R272" t="s">
        <v>26</v>
      </c>
      <c r="S272" s="3">
        <v>293.89</v>
      </c>
      <c r="T272" t="s">
        <v>12</v>
      </c>
      <c r="U272" s="3">
        <v>25719.59</v>
      </c>
      <c r="V272" s="3">
        <f>VLOOKUP(M272,'[1]combined ledger'!$A:$H,8,0)</f>
        <v>25205.5864</v>
      </c>
      <c r="W272" s="3">
        <f t="shared" si="3"/>
        <v>514.00360000000001</v>
      </c>
      <c r="X272" s="3"/>
      <c r="Y272" t="s">
        <v>77</v>
      </c>
      <c r="Z272" t="s">
        <v>13</v>
      </c>
      <c r="AA272" t="s">
        <v>8</v>
      </c>
      <c r="AB272" t="s">
        <v>761</v>
      </c>
      <c r="AC272" t="s">
        <v>14</v>
      </c>
      <c r="AD272" t="s">
        <v>762</v>
      </c>
      <c r="AE272" t="s">
        <v>8</v>
      </c>
      <c r="AF272" t="s">
        <v>8</v>
      </c>
      <c r="AG272" t="s">
        <v>8</v>
      </c>
      <c r="AH272" s="2">
        <v>45918</v>
      </c>
      <c r="AI272" s="2"/>
      <c r="AJ272" t="s">
        <v>8</v>
      </c>
    </row>
    <row r="273" spans="1:36" outlineLevel="2" x14ac:dyDescent="0.25">
      <c r="A273" t="s">
        <v>27</v>
      </c>
      <c r="B273" t="s">
        <v>1</v>
      </c>
      <c r="C273" t="s">
        <v>2</v>
      </c>
      <c r="D273" t="s">
        <v>3</v>
      </c>
      <c r="E273" t="s">
        <v>4</v>
      </c>
      <c r="F273" t="s">
        <v>97</v>
      </c>
      <c r="G273" s="2">
        <v>45996</v>
      </c>
      <c r="H273" s="15">
        <v>1800015347</v>
      </c>
      <c r="I273" t="s">
        <v>75</v>
      </c>
      <c r="J273" s="2">
        <v>45996</v>
      </c>
      <c r="K273" s="2">
        <v>46000</v>
      </c>
      <c r="L273" t="s">
        <v>69</v>
      </c>
      <c r="M273" s="21">
        <v>256779419796</v>
      </c>
      <c r="N273" t="s">
        <v>9</v>
      </c>
      <c r="O273" t="s">
        <v>10</v>
      </c>
      <c r="P273" t="s">
        <v>8</v>
      </c>
      <c r="Q273" t="s">
        <v>65</v>
      </c>
      <c r="R273" t="s">
        <v>26</v>
      </c>
      <c r="S273" s="3">
        <v>850</v>
      </c>
      <c r="T273" t="s">
        <v>12</v>
      </c>
      <c r="U273" s="3">
        <v>75395.12</v>
      </c>
      <c r="V273" s="3">
        <f>VLOOKUP(M273,'[1]combined ledger'!$A:$H,8,0)</f>
        <v>7983</v>
      </c>
      <c r="W273" s="3">
        <f t="shared" si="3"/>
        <v>67412.12</v>
      </c>
      <c r="X273" s="3"/>
      <c r="Y273" t="s">
        <v>77</v>
      </c>
      <c r="Z273" t="s">
        <v>13</v>
      </c>
      <c r="AA273" t="s">
        <v>8</v>
      </c>
      <c r="AB273" t="s">
        <v>765</v>
      </c>
      <c r="AC273" t="s">
        <v>14</v>
      </c>
      <c r="AD273" t="s">
        <v>766</v>
      </c>
      <c r="AE273" t="s">
        <v>8</v>
      </c>
      <c r="AF273" t="s">
        <v>8</v>
      </c>
      <c r="AG273" t="s">
        <v>8</v>
      </c>
      <c r="AH273" s="2">
        <v>45996</v>
      </c>
      <c r="AI273" s="2"/>
      <c r="AJ273" t="s">
        <v>8</v>
      </c>
    </row>
    <row r="274" spans="1:36" outlineLevel="2" x14ac:dyDescent="0.25">
      <c r="A274" t="s">
        <v>27</v>
      </c>
      <c r="B274" t="s">
        <v>1</v>
      </c>
      <c r="C274" t="s">
        <v>2</v>
      </c>
      <c r="D274" t="s">
        <v>3</v>
      </c>
      <c r="E274" t="s">
        <v>4</v>
      </c>
      <c r="F274" t="s">
        <v>97</v>
      </c>
      <c r="G274" s="2">
        <v>45996</v>
      </c>
      <c r="H274" s="15">
        <v>1800015289</v>
      </c>
      <c r="I274" t="s">
        <v>75</v>
      </c>
      <c r="J274" s="2">
        <v>45996</v>
      </c>
      <c r="K274" s="2">
        <v>46000</v>
      </c>
      <c r="L274" t="s">
        <v>69</v>
      </c>
      <c r="M274" s="21">
        <v>256779419918</v>
      </c>
      <c r="N274" t="s">
        <v>9</v>
      </c>
      <c r="O274" t="s">
        <v>10</v>
      </c>
      <c r="P274" t="s">
        <v>8</v>
      </c>
      <c r="Q274" t="s">
        <v>65</v>
      </c>
      <c r="R274" t="s">
        <v>26</v>
      </c>
      <c r="S274" s="3">
        <v>111.4</v>
      </c>
      <c r="T274" t="s">
        <v>12</v>
      </c>
      <c r="U274" s="3">
        <v>9881.2000000000007</v>
      </c>
      <c r="V274" s="3">
        <f>VLOOKUP(M274,'[1]combined ledger'!$A:$H,8,0)</f>
        <v>9607.5776000000005</v>
      </c>
      <c r="W274" s="3">
        <f t="shared" si="3"/>
        <v>273.6224000000002</v>
      </c>
      <c r="X274" s="3"/>
      <c r="Y274" t="s">
        <v>77</v>
      </c>
      <c r="Z274" t="s">
        <v>13</v>
      </c>
      <c r="AA274" t="s">
        <v>8</v>
      </c>
      <c r="AB274" t="s">
        <v>769</v>
      </c>
      <c r="AC274" t="s">
        <v>14</v>
      </c>
      <c r="AD274" t="s">
        <v>770</v>
      </c>
      <c r="AE274" t="s">
        <v>8</v>
      </c>
      <c r="AF274" t="s">
        <v>8</v>
      </c>
      <c r="AG274" t="s">
        <v>8</v>
      </c>
      <c r="AH274" s="2">
        <v>45996</v>
      </c>
      <c r="AI274" s="2"/>
      <c r="AJ274" t="s">
        <v>8</v>
      </c>
    </row>
    <row r="275" spans="1:36" outlineLevel="2" x14ac:dyDescent="0.25">
      <c r="A275" t="s">
        <v>27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45770</v>
      </c>
      <c r="H275" s="15">
        <v>1800008037</v>
      </c>
      <c r="I275" t="s">
        <v>75</v>
      </c>
      <c r="J275" s="2">
        <v>45770</v>
      </c>
      <c r="K275" s="2">
        <v>45776</v>
      </c>
      <c r="L275" t="s">
        <v>69</v>
      </c>
      <c r="M275" s="21">
        <v>256779412928</v>
      </c>
      <c r="N275" t="s">
        <v>9</v>
      </c>
      <c r="O275" t="s">
        <v>10</v>
      </c>
      <c r="P275" t="s">
        <v>8</v>
      </c>
      <c r="Q275" t="s">
        <v>65</v>
      </c>
      <c r="R275" t="s">
        <v>26</v>
      </c>
      <c r="S275" s="3">
        <v>12.12</v>
      </c>
      <c r="T275" t="s">
        <v>12</v>
      </c>
      <c r="U275" s="3">
        <v>1053.49</v>
      </c>
      <c r="V275" s="3">
        <f>VLOOKUP(M275,'[1]combined ledger'!$A:$H,8,0)</f>
        <v>1031.5008</v>
      </c>
      <c r="W275" s="3">
        <f t="shared" si="3"/>
        <v>21.989199999999983</v>
      </c>
      <c r="X275" s="3"/>
      <c r="Y275" t="s">
        <v>77</v>
      </c>
      <c r="Z275" t="s">
        <v>13</v>
      </c>
      <c r="AA275" t="s">
        <v>8</v>
      </c>
      <c r="AB275" t="s">
        <v>69</v>
      </c>
      <c r="AC275" t="s">
        <v>14</v>
      </c>
      <c r="AD275" t="s">
        <v>773</v>
      </c>
      <c r="AE275" t="s">
        <v>8</v>
      </c>
      <c r="AF275" t="s">
        <v>8</v>
      </c>
      <c r="AG275" t="s">
        <v>8</v>
      </c>
      <c r="AH275" s="2">
        <v>45770</v>
      </c>
      <c r="AI275" s="2"/>
      <c r="AJ275" t="s">
        <v>8</v>
      </c>
    </row>
    <row r="276" spans="1:36" outlineLevel="2" x14ac:dyDescent="0.25">
      <c r="A276" t="s">
        <v>27</v>
      </c>
      <c r="B276" t="s">
        <v>1</v>
      </c>
      <c r="C276" t="s">
        <v>2</v>
      </c>
      <c r="D276" t="s">
        <v>3</v>
      </c>
      <c r="E276" t="s">
        <v>4</v>
      </c>
      <c r="F276" t="s">
        <v>49</v>
      </c>
      <c r="G276" s="2">
        <v>45737</v>
      </c>
      <c r="H276" s="15">
        <v>1800004450</v>
      </c>
      <c r="I276" t="s">
        <v>75</v>
      </c>
      <c r="J276" s="2">
        <v>45737</v>
      </c>
      <c r="K276" s="2">
        <v>45737</v>
      </c>
      <c r="L276" t="s">
        <v>69</v>
      </c>
      <c r="M276" s="21">
        <v>246779414318</v>
      </c>
      <c r="N276" t="s">
        <v>9</v>
      </c>
      <c r="O276" t="s">
        <v>10</v>
      </c>
      <c r="P276" t="s">
        <v>8</v>
      </c>
      <c r="Q276" t="s">
        <v>65</v>
      </c>
      <c r="R276" t="s">
        <v>26</v>
      </c>
      <c r="S276" s="3">
        <v>45.74</v>
      </c>
      <c r="T276" t="s">
        <v>12</v>
      </c>
      <c r="U276" s="3">
        <v>3965.26</v>
      </c>
      <c r="V276" s="3">
        <f>VLOOKUP(M276,'[1]combined ledger'!$A:$H,8,0)</f>
        <v>3836.4292</v>
      </c>
      <c r="W276" s="3">
        <f t="shared" si="3"/>
        <v>128.83080000000018</v>
      </c>
      <c r="X276" s="3"/>
      <c r="Y276" t="s">
        <v>77</v>
      </c>
      <c r="Z276" t="s">
        <v>13</v>
      </c>
      <c r="AA276" t="s">
        <v>8</v>
      </c>
      <c r="AB276" t="s">
        <v>69</v>
      </c>
      <c r="AC276" t="s">
        <v>14</v>
      </c>
      <c r="AD276" t="s">
        <v>776</v>
      </c>
      <c r="AE276" t="s">
        <v>8</v>
      </c>
      <c r="AF276" t="s">
        <v>8</v>
      </c>
      <c r="AG276" t="s">
        <v>8</v>
      </c>
      <c r="AH276" s="2">
        <v>45737</v>
      </c>
      <c r="AI276" s="2"/>
      <c r="AJ276" t="s">
        <v>8</v>
      </c>
    </row>
    <row r="277" spans="1:36" outlineLevel="2" x14ac:dyDescent="0.25">
      <c r="A277" t="s">
        <v>27</v>
      </c>
      <c r="B277" t="s">
        <v>1</v>
      </c>
      <c r="C277" t="s">
        <v>2</v>
      </c>
      <c r="D277" t="s">
        <v>3</v>
      </c>
      <c r="E277" t="s">
        <v>4</v>
      </c>
      <c r="F277" t="s">
        <v>28</v>
      </c>
      <c r="G277" s="2">
        <v>45937</v>
      </c>
      <c r="H277" s="15">
        <v>1800013759</v>
      </c>
      <c r="I277" t="s">
        <v>75</v>
      </c>
      <c r="J277" s="2">
        <v>45937</v>
      </c>
      <c r="K277" s="2">
        <v>45939</v>
      </c>
      <c r="L277" t="s">
        <v>69</v>
      </c>
      <c r="M277" s="21">
        <v>256779418180</v>
      </c>
      <c r="N277" t="s">
        <v>9</v>
      </c>
      <c r="O277" t="s">
        <v>10</v>
      </c>
      <c r="P277" t="s">
        <v>8</v>
      </c>
      <c r="Q277" t="s">
        <v>65</v>
      </c>
      <c r="R277" t="s">
        <v>26</v>
      </c>
      <c r="S277" s="3">
        <v>173.22</v>
      </c>
      <c r="T277" t="s">
        <v>12</v>
      </c>
      <c r="U277" s="3">
        <v>15276.41</v>
      </c>
      <c r="V277" s="3">
        <f>VLOOKUP(M277,'[1]combined ledger'!$A:$H,8,0)</f>
        <v>14970.2718</v>
      </c>
      <c r="W277" s="3">
        <f t="shared" si="3"/>
        <v>306.13819999999942</v>
      </c>
      <c r="X277" s="3"/>
      <c r="Y277" t="s">
        <v>77</v>
      </c>
      <c r="Z277" t="s">
        <v>13</v>
      </c>
      <c r="AA277" t="s">
        <v>8</v>
      </c>
      <c r="AB277" t="s">
        <v>164</v>
      </c>
      <c r="AC277" t="s">
        <v>14</v>
      </c>
      <c r="AD277" t="s">
        <v>779</v>
      </c>
      <c r="AE277" t="s">
        <v>8</v>
      </c>
      <c r="AF277" t="s">
        <v>8</v>
      </c>
      <c r="AG277" t="s">
        <v>8</v>
      </c>
      <c r="AH277" s="2">
        <v>45937</v>
      </c>
      <c r="AI277" s="2"/>
      <c r="AJ277" t="s">
        <v>8</v>
      </c>
    </row>
    <row r="278" spans="1:36" outlineLevel="2" x14ac:dyDescent="0.25">
      <c r="A278" t="s">
        <v>27</v>
      </c>
      <c r="B278" t="s">
        <v>1</v>
      </c>
      <c r="C278" t="s">
        <v>2</v>
      </c>
      <c r="D278" t="s">
        <v>3</v>
      </c>
      <c r="E278" t="s">
        <v>4</v>
      </c>
      <c r="F278" t="s">
        <v>73</v>
      </c>
      <c r="G278" s="2">
        <v>45787</v>
      </c>
      <c r="H278" s="15">
        <v>1800008302</v>
      </c>
      <c r="I278" t="s">
        <v>75</v>
      </c>
      <c r="J278" s="2">
        <v>45787</v>
      </c>
      <c r="K278" s="2">
        <v>45792</v>
      </c>
      <c r="L278" t="s">
        <v>69</v>
      </c>
      <c r="M278" s="21">
        <v>256779413185</v>
      </c>
      <c r="N278" t="s">
        <v>9</v>
      </c>
      <c r="O278" t="s">
        <v>10</v>
      </c>
      <c r="P278" t="s">
        <v>8</v>
      </c>
      <c r="Q278" t="s">
        <v>65</v>
      </c>
      <c r="R278" t="s">
        <v>26</v>
      </c>
      <c r="S278" s="3">
        <v>200</v>
      </c>
      <c r="T278" t="s">
        <v>12</v>
      </c>
      <c r="U278" s="3">
        <v>17196.740000000002</v>
      </c>
      <c r="V278" s="3">
        <f>VLOOKUP(M278,'[1]combined ledger'!$A:$H,8,0)</f>
        <v>15442</v>
      </c>
      <c r="W278" s="3">
        <f t="shared" si="3"/>
        <v>1754.7400000000016</v>
      </c>
      <c r="X278" s="3"/>
      <c r="Y278" t="s">
        <v>77</v>
      </c>
      <c r="Z278" t="s">
        <v>13</v>
      </c>
      <c r="AA278" t="s">
        <v>8</v>
      </c>
      <c r="AB278" t="s">
        <v>69</v>
      </c>
      <c r="AC278" t="s">
        <v>14</v>
      </c>
      <c r="AD278" t="s">
        <v>782</v>
      </c>
      <c r="AE278" t="s">
        <v>8</v>
      </c>
      <c r="AF278" t="s">
        <v>8</v>
      </c>
      <c r="AG278" t="s">
        <v>8</v>
      </c>
      <c r="AH278" s="2">
        <v>45787</v>
      </c>
      <c r="AI278" s="2"/>
      <c r="AJ278" t="s">
        <v>8</v>
      </c>
    </row>
    <row r="279" spans="1:36" outlineLevel="2" x14ac:dyDescent="0.25">
      <c r="A279" t="s">
        <v>27</v>
      </c>
      <c r="B279" t="s">
        <v>1</v>
      </c>
      <c r="C279" t="s">
        <v>2</v>
      </c>
      <c r="D279" t="s">
        <v>3</v>
      </c>
      <c r="E279" t="s">
        <v>4</v>
      </c>
      <c r="F279" t="s">
        <v>73</v>
      </c>
      <c r="G279" s="2">
        <v>45787</v>
      </c>
      <c r="H279" s="15">
        <v>1800008361</v>
      </c>
      <c r="I279" t="s">
        <v>75</v>
      </c>
      <c r="J279" s="2">
        <v>45787</v>
      </c>
      <c r="K279" s="2">
        <v>45792</v>
      </c>
      <c r="L279" t="s">
        <v>69</v>
      </c>
      <c r="M279" s="21">
        <v>256779413244</v>
      </c>
      <c r="N279" t="s">
        <v>9</v>
      </c>
      <c r="O279" t="s">
        <v>10</v>
      </c>
      <c r="P279" t="s">
        <v>8</v>
      </c>
      <c r="Q279" t="s">
        <v>65</v>
      </c>
      <c r="R279" t="s">
        <v>26</v>
      </c>
      <c r="S279" s="3">
        <v>401.24</v>
      </c>
      <c r="T279" t="s">
        <v>12</v>
      </c>
      <c r="U279" s="3">
        <v>34500.1</v>
      </c>
      <c r="V279" s="3">
        <f>VLOOKUP(M279,'[1]combined ledger'!$A:$H,8,0)</f>
        <v>33734.3796</v>
      </c>
      <c r="W279" s="3">
        <f t="shared" si="3"/>
        <v>765.72039999999834</v>
      </c>
      <c r="X279" s="3"/>
      <c r="Y279" t="s">
        <v>77</v>
      </c>
      <c r="Z279" t="s">
        <v>13</v>
      </c>
      <c r="AA279" t="s">
        <v>8</v>
      </c>
      <c r="AB279" t="s">
        <v>69</v>
      </c>
      <c r="AC279" t="s">
        <v>14</v>
      </c>
      <c r="AD279" t="s">
        <v>785</v>
      </c>
      <c r="AE279" t="s">
        <v>8</v>
      </c>
      <c r="AF279" t="s">
        <v>8</v>
      </c>
      <c r="AG279" t="s">
        <v>8</v>
      </c>
      <c r="AH279" s="2">
        <v>45787</v>
      </c>
      <c r="AI279" s="2"/>
      <c r="AJ279" t="s">
        <v>8</v>
      </c>
    </row>
    <row r="280" spans="1:36" outlineLevel="2" x14ac:dyDescent="0.25">
      <c r="A280" t="s">
        <v>27</v>
      </c>
      <c r="B280" t="s">
        <v>1</v>
      </c>
      <c r="C280" t="s">
        <v>2</v>
      </c>
      <c r="D280" t="s">
        <v>3</v>
      </c>
      <c r="E280" t="s">
        <v>4</v>
      </c>
      <c r="F280" t="s">
        <v>97</v>
      </c>
      <c r="G280" s="2">
        <v>45997</v>
      </c>
      <c r="H280" s="15">
        <v>1800015454</v>
      </c>
      <c r="I280" t="s">
        <v>75</v>
      </c>
      <c r="J280" s="2">
        <v>45997</v>
      </c>
      <c r="K280" s="2">
        <v>46000</v>
      </c>
      <c r="L280" t="s">
        <v>69</v>
      </c>
      <c r="M280" s="21">
        <v>256779419955</v>
      </c>
      <c r="N280" t="s">
        <v>9</v>
      </c>
      <c r="O280" t="s">
        <v>10</v>
      </c>
      <c r="P280" t="s">
        <v>8</v>
      </c>
      <c r="Q280" t="s">
        <v>65</v>
      </c>
      <c r="R280" t="s">
        <v>26</v>
      </c>
      <c r="S280" s="3">
        <v>61.99</v>
      </c>
      <c r="T280" t="s">
        <v>12</v>
      </c>
      <c r="U280" s="3">
        <v>5498.52</v>
      </c>
      <c r="V280" s="3">
        <f>VLOOKUP(M280,'[1]combined ledger'!$A:$H,8,0)</f>
        <v>5388.5217000000002</v>
      </c>
      <c r="W280" s="3">
        <f t="shared" si="3"/>
        <v>109.9983000000002</v>
      </c>
      <c r="X280" s="3"/>
      <c r="Y280" t="s">
        <v>77</v>
      </c>
      <c r="Z280" t="s">
        <v>13</v>
      </c>
      <c r="AA280" t="s">
        <v>8</v>
      </c>
      <c r="AB280" t="s">
        <v>788</v>
      </c>
      <c r="AC280" t="s">
        <v>14</v>
      </c>
      <c r="AD280" t="s">
        <v>789</v>
      </c>
      <c r="AE280" t="s">
        <v>8</v>
      </c>
      <c r="AF280" t="s">
        <v>8</v>
      </c>
      <c r="AG280" t="s">
        <v>8</v>
      </c>
      <c r="AH280" s="2">
        <v>45997</v>
      </c>
      <c r="AI280" s="2"/>
      <c r="AJ280" t="s">
        <v>8</v>
      </c>
    </row>
    <row r="281" spans="1:36" outlineLevel="2" x14ac:dyDescent="0.25">
      <c r="A281" t="s">
        <v>27</v>
      </c>
      <c r="B281" t="s">
        <v>1</v>
      </c>
      <c r="C281" t="s">
        <v>2</v>
      </c>
      <c r="D281" t="s">
        <v>3</v>
      </c>
      <c r="E281" t="s">
        <v>4</v>
      </c>
      <c r="F281" t="s">
        <v>97</v>
      </c>
      <c r="G281" s="2">
        <v>45997</v>
      </c>
      <c r="H281" s="15">
        <v>1800015475</v>
      </c>
      <c r="I281" t="s">
        <v>75</v>
      </c>
      <c r="J281" s="2">
        <v>45997</v>
      </c>
      <c r="K281" s="2">
        <v>46000</v>
      </c>
      <c r="L281" t="s">
        <v>69</v>
      </c>
      <c r="M281" s="21">
        <v>256779419992</v>
      </c>
      <c r="N281" t="s">
        <v>9</v>
      </c>
      <c r="O281" t="s">
        <v>10</v>
      </c>
      <c r="P281" t="s">
        <v>8</v>
      </c>
      <c r="Q281" t="s">
        <v>65</v>
      </c>
      <c r="R281" t="s">
        <v>26</v>
      </c>
      <c r="S281" s="3">
        <v>124.11</v>
      </c>
      <c r="T281" t="s">
        <v>12</v>
      </c>
      <c r="U281" s="3">
        <v>11008.57</v>
      </c>
      <c r="V281" s="3">
        <f>VLOOKUP(M281,'[1]combined ledger'!$A:$H,8,0)</f>
        <v>10788.5744</v>
      </c>
      <c r="W281" s="3">
        <f t="shared" si="3"/>
        <v>219.99560000000019</v>
      </c>
      <c r="X281" s="3"/>
      <c r="Y281" t="s">
        <v>77</v>
      </c>
      <c r="Z281" t="s">
        <v>13</v>
      </c>
      <c r="AA281" t="s">
        <v>8</v>
      </c>
      <c r="AB281" t="s">
        <v>792</v>
      </c>
      <c r="AC281" t="s">
        <v>14</v>
      </c>
      <c r="AD281" t="s">
        <v>793</v>
      </c>
      <c r="AE281" t="s">
        <v>8</v>
      </c>
      <c r="AF281" t="s">
        <v>8</v>
      </c>
      <c r="AG281" t="s">
        <v>8</v>
      </c>
      <c r="AH281" s="2">
        <v>45997</v>
      </c>
      <c r="AI281" s="2"/>
      <c r="AJ281" t="s">
        <v>8</v>
      </c>
    </row>
    <row r="282" spans="1:36" outlineLevel="2" x14ac:dyDescent="0.25">
      <c r="A282" t="s">
        <v>27</v>
      </c>
      <c r="B282" t="s">
        <v>1</v>
      </c>
      <c r="C282" t="s">
        <v>2</v>
      </c>
      <c r="D282" t="s">
        <v>3</v>
      </c>
      <c r="E282" t="s">
        <v>4</v>
      </c>
      <c r="F282" t="s">
        <v>79</v>
      </c>
      <c r="G282" s="2">
        <v>45815</v>
      </c>
      <c r="H282" s="15">
        <v>1800009476</v>
      </c>
      <c r="I282" t="s">
        <v>75</v>
      </c>
      <c r="J282" s="2">
        <v>45815</v>
      </c>
      <c r="K282" s="2">
        <v>45817</v>
      </c>
      <c r="L282" t="s">
        <v>69</v>
      </c>
      <c r="M282" s="21">
        <v>256779414240</v>
      </c>
      <c r="N282" t="s">
        <v>9</v>
      </c>
      <c r="O282" t="s">
        <v>10</v>
      </c>
      <c r="P282" t="s">
        <v>8</v>
      </c>
      <c r="Q282" t="s">
        <v>65</v>
      </c>
      <c r="R282" t="s">
        <v>26</v>
      </c>
      <c r="S282" s="3">
        <v>1339</v>
      </c>
      <c r="T282" t="s">
        <v>12</v>
      </c>
      <c r="U282" s="3">
        <v>114472.15</v>
      </c>
      <c r="V282" s="3">
        <f>VLOOKUP(M282,'[1]combined ledger'!$A:$H,8,0)</f>
        <v>103047.89</v>
      </c>
      <c r="W282" s="3">
        <f t="shared" si="3"/>
        <v>11424.259999999995</v>
      </c>
      <c r="X282" s="3"/>
      <c r="Y282" t="s">
        <v>77</v>
      </c>
      <c r="Z282" t="s">
        <v>13</v>
      </c>
      <c r="AA282" t="s">
        <v>8</v>
      </c>
      <c r="AB282" t="s">
        <v>69</v>
      </c>
      <c r="AC282" t="s">
        <v>14</v>
      </c>
      <c r="AD282" t="s">
        <v>796</v>
      </c>
      <c r="AE282" t="s">
        <v>8</v>
      </c>
      <c r="AF282" t="s">
        <v>8</v>
      </c>
      <c r="AG282" t="s">
        <v>8</v>
      </c>
      <c r="AH282" s="2">
        <v>45815</v>
      </c>
      <c r="AI282" s="2"/>
      <c r="AJ282" t="s">
        <v>8</v>
      </c>
    </row>
    <row r="283" spans="1:36" outlineLevel="2" x14ac:dyDescent="0.25">
      <c r="A283" t="s">
        <v>27</v>
      </c>
      <c r="B283" t="s">
        <v>1</v>
      </c>
      <c r="C283" t="s">
        <v>2</v>
      </c>
      <c r="D283" t="s">
        <v>3</v>
      </c>
      <c r="E283" t="s">
        <v>4</v>
      </c>
      <c r="F283" t="s">
        <v>28</v>
      </c>
      <c r="G283" s="2">
        <v>45936</v>
      </c>
      <c r="H283" s="15">
        <v>1800013275</v>
      </c>
      <c r="I283" t="s">
        <v>75</v>
      </c>
      <c r="J283" s="2">
        <v>45936</v>
      </c>
      <c r="K283" s="2">
        <v>45937</v>
      </c>
      <c r="L283" t="s">
        <v>69</v>
      </c>
      <c r="M283" s="21">
        <v>256779418011</v>
      </c>
      <c r="N283" t="s">
        <v>9</v>
      </c>
      <c r="O283" t="s">
        <v>10</v>
      </c>
      <c r="P283" t="s">
        <v>8</v>
      </c>
      <c r="Q283" t="s">
        <v>65</v>
      </c>
      <c r="R283" t="s">
        <v>26</v>
      </c>
      <c r="S283" s="3">
        <v>930.14</v>
      </c>
      <c r="T283" t="s">
        <v>12</v>
      </c>
      <c r="U283" s="3">
        <v>82029.759999999995</v>
      </c>
      <c r="V283" s="3">
        <f>VLOOKUP(M283,'[1]combined ledger'!$A:$H,8,0)</f>
        <v>73826.046600000001</v>
      </c>
      <c r="W283" s="3">
        <f t="shared" si="3"/>
        <v>8203.7133999999933</v>
      </c>
      <c r="X283" s="3"/>
      <c r="Y283" t="s">
        <v>77</v>
      </c>
      <c r="Z283" t="s">
        <v>13</v>
      </c>
      <c r="AA283" t="s">
        <v>8</v>
      </c>
      <c r="AB283" t="s">
        <v>799</v>
      </c>
      <c r="AC283" t="s">
        <v>14</v>
      </c>
      <c r="AD283" t="s">
        <v>800</v>
      </c>
      <c r="AE283" t="s">
        <v>8</v>
      </c>
      <c r="AF283" t="s">
        <v>8</v>
      </c>
      <c r="AG283" t="s">
        <v>8</v>
      </c>
      <c r="AH283" s="2">
        <v>45936</v>
      </c>
      <c r="AI283" s="2"/>
      <c r="AJ283" t="s">
        <v>8</v>
      </c>
    </row>
    <row r="284" spans="1:36" outlineLevel="2" x14ac:dyDescent="0.25">
      <c r="A284" t="s">
        <v>27</v>
      </c>
      <c r="B284" t="s">
        <v>1</v>
      </c>
      <c r="C284" t="s">
        <v>2</v>
      </c>
      <c r="D284" t="s">
        <v>3</v>
      </c>
      <c r="E284" t="s">
        <v>4</v>
      </c>
      <c r="F284" t="s">
        <v>28</v>
      </c>
      <c r="G284" s="2">
        <v>45935</v>
      </c>
      <c r="H284" s="15">
        <v>1800013306</v>
      </c>
      <c r="I284" t="s">
        <v>75</v>
      </c>
      <c r="J284" s="2">
        <v>45935</v>
      </c>
      <c r="K284" s="2">
        <v>45937</v>
      </c>
      <c r="L284" t="s">
        <v>69</v>
      </c>
      <c r="M284" s="21">
        <v>256779417902</v>
      </c>
      <c r="N284" t="s">
        <v>9</v>
      </c>
      <c r="O284" t="s">
        <v>10</v>
      </c>
      <c r="P284" t="s">
        <v>8</v>
      </c>
      <c r="Q284" t="s">
        <v>65</v>
      </c>
      <c r="R284" t="s">
        <v>26</v>
      </c>
      <c r="S284" s="3">
        <v>28.15</v>
      </c>
      <c r="T284" t="s">
        <v>12</v>
      </c>
      <c r="U284" s="3">
        <v>2482.5700000000002</v>
      </c>
      <c r="V284" s="3">
        <f>VLOOKUP(M284,'[1]combined ledger'!$A:$H,8,0)</f>
        <v>2432.5484999999999</v>
      </c>
      <c r="W284" s="3">
        <f t="shared" si="3"/>
        <v>50.021500000000287</v>
      </c>
      <c r="X284" s="3"/>
      <c r="Y284" t="s">
        <v>77</v>
      </c>
      <c r="Z284" t="s">
        <v>13</v>
      </c>
      <c r="AA284" t="s">
        <v>8</v>
      </c>
      <c r="AB284" t="s">
        <v>803</v>
      </c>
      <c r="AC284" t="s">
        <v>14</v>
      </c>
      <c r="AD284" t="s">
        <v>804</v>
      </c>
      <c r="AE284" t="s">
        <v>8</v>
      </c>
      <c r="AF284" t="s">
        <v>8</v>
      </c>
      <c r="AG284" t="s">
        <v>8</v>
      </c>
      <c r="AH284" s="2">
        <v>45935</v>
      </c>
      <c r="AI284" s="2"/>
      <c r="AJ284" t="s">
        <v>8</v>
      </c>
    </row>
    <row r="285" spans="1:36" outlineLevel="2" x14ac:dyDescent="0.25">
      <c r="A285" t="s">
        <v>27</v>
      </c>
      <c r="B285" t="s">
        <v>1</v>
      </c>
      <c r="C285" t="s">
        <v>2</v>
      </c>
      <c r="D285" t="s">
        <v>3</v>
      </c>
      <c r="E285" t="s">
        <v>4</v>
      </c>
      <c r="F285" t="s">
        <v>28</v>
      </c>
      <c r="G285" s="2">
        <v>45935</v>
      </c>
      <c r="H285" s="15">
        <v>1800013344</v>
      </c>
      <c r="I285" t="s">
        <v>75</v>
      </c>
      <c r="J285" s="2">
        <v>45935</v>
      </c>
      <c r="K285" s="2">
        <v>45937</v>
      </c>
      <c r="L285" t="s">
        <v>69</v>
      </c>
      <c r="M285" s="21">
        <v>256779417940</v>
      </c>
      <c r="N285" t="s">
        <v>9</v>
      </c>
      <c r="O285" t="s">
        <v>10</v>
      </c>
      <c r="P285" t="s">
        <v>8</v>
      </c>
      <c r="Q285" t="s">
        <v>65</v>
      </c>
      <c r="R285" t="s">
        <v>26</v>
      </c>
      <c r="S285" s="3">
        <v>331.5</v>
      </c>
      <c r="T285" t="s">
        <v>12</v>
      </c>
      <c r="U285" s="3">
        <v>29235.24</v>
      </c>
      <c r="V285" s="3">
        <f>VLOOKUP(M285,'[1]combined ledger'!$A:$H,8,0)</f>
        <v>28649.985000000001</v>
      </c>
      <c r="W285" s="3">
        <f t="shared" si="3"/>
        <v>585.25500000000102</v>
      </c>
      <c r="X285" s="3"/>
      <c r="Y285" t="s">
        <v>77</v>
      </c>
      <c r="Z285" t="s">
        <v>13</v>
      </c>
      <c r="AA285" t="s">
        <v>8</v>
      </c>
      <c r="AB285" t="s">
        <v>69</v>
      </c>
      <c r="AC285" t="s">
        <v>14</v>
      </c>
      <c r="AD285" t="s">
        <v>807</v>
      </c>
      <c r="AE285" t="s">
        <v>8</v>
      </c>
      <c r="AF285" t="s">
        <v>8</v>
      </c>
      <c r="AG285" t="s">
        <v>8</v>
      </c>
      <c r="AH285" s="2">
        <v>45935</v>
      </c>
      <c r="AI285" s="2"/>
      <c r="AJ285" t="s">
        <v>8</v>
      </c>
    </row>
    <row r="286" spans="1:36" outlineLevel="2" x14ac:dyDescent="0.25">
      <c r="A286" t="s">
        <v>27</v>
      </c>
      <c r="B286" t="s">
        <v>1</v>
      </c>
      <c r="C286" t="s">
        <v>2</v>
      </c>
      <c r="D286" t="s">
        <v>3</v>
      </c>
      <c r="E286" t="s">
        <v>4</v>
      </c>
      <c r="F286" t="s">
        <v>28</v>
      </c>
      <c r="G286" s="2">
        <v>45935</v>
      </c>
      <c r="H286" s="15">
        <v>1800013429</v>
      </c>
      <c r="I286" t="s">
        <v>75</v>
      </c>
      <c r="J286" s="2">
        <v>45935</v>
      </c>
      <c r="K286" s="2">
        <v>45937</v>
      </c>
      <c r="L286" t="s">
        <v>69</v>
      </c>
      <c r="M286" s="21">
        <v>256779418076</v>
      </c>
      <c r="N286" t="s">
        <v>9</v>
      </c>
      <c r="O286" t="s">
        <v>10</v>
      </c>
      <c r="P286" t="s">
        <v>8</v>
      </c>
      <c r="Q286" t="s">
        <v>65</v>
      </c>
      <c r="R286" t="s">
        <v>26</v>
      </c>
      <c r="S286" s="3">
        <v>136.47999999999999</v>
      </c>
      <c r="T286" t="s">
        <v>12</v>
      </c>
      <c r="U286" s="3">
        <v>12036.28</v>
      </c>
      <c r="V286" s="3" t="e">
        <f>VLOOKUP(M286,'[1]combined ledger'!$A:$H,8,0)</f>
        <v>#N/A</v>
      </c>
      <c r="W286" s="3" t="e">
        <f t="shared" si="3"/>
        <v>#N/A</v>
      </c>
      <c r="X286" s="3"/>
      <c r="Y286" t="s">
        <v>77</v>
      </c>
      <c r="Z286" t="s">
        <v>13</v>
      </c>
      <c r="AA286" t="s">
        <v>8</v>
      </c>
      <c r="AB286" t="s">
        <v>810</v>
      </c>
      <c r="AC286" t="s">
        <v>14</v>
      </c>
      <c r="AD286" t="s">
        <v>811</v>
      </c>
      <c r="AE286" t="s">
        <v>8</v>
      </c>
      <c r="AF286" t="s">
        <v>8</v>
      </c>
      <c r="AG286" t="s">
        <v>8</v>
      </c>
      <c r="AH286" s="2">
        <v>45935</v>
      </c>
      <c r="AI286" s="2"/>
      <c r="AJ286" t="s">
        <v>8</v>
      </c>
    </row>
    <row r="287" spans="1:36" outlineLevel="2" x14ac:dyDescent="0.25">
      <c r="A287" t="s">
        <v>27</v>
      </c>
      <c r="B287" t="s">
        <v>1</v>
      </c>
      <c r="C287" t="s">
        <v>2</v>
      </c>
      <c r="D287" t="s">
        <v>3</v>
      </c>
      <c r="E287" t="s">
        <v>4</v>
      </c>
      <c r="F287" t="s">
        <v>28</v>
      </c>
      <c r="G287" s="2">
        <v>45935</v>
      </c>
      <c r="H287" s="15">
        <v>1800013510</v>
      </c>
      <c r="I287" t="s">
        <v>75</v>
      </c>
      <c r="J287" s="2">
        <v>45935</v>
      </c>
      <c r="K287" s="2">
        <v>45940</v>
      </c>
      <c r="L287" t="s">
        <v>69</v>
      </c>
      <c r="M287" s="21">
        <v>256779418400</v>
      </c>
      <c r="N287" t="s">
        <v>9</v>
      </c>
      <c r="O287" t="s">
        <v>10</v>
      </c>
      <c r="P287" t="s">
        <v>8</v>
      </c>
      <c r="Q287" t="s">
        <v>65</v>
      </c>
      <c r="R287" t="s">
        <v>26</v>
      </c>
      <c r="S287" s="3">
        <v>293.3</v>
      </c>
      <c r="T287" t="s">
        <v>12</v>
      </c>
      <c r="U287" s="3">
        <v>25866.35</v>
      </c>
      <c r="V287" s="3">
        <f>VLOOKUP(M287,'[1]combined ledger'!$A:$H,8,0)</f>
        <v>25349.127</v>
      </c>
      <c r="W287" s="3">
        <f t="shared" si="3"/>
        <v>517.22299999999814</v>
      </c>
      <c r="X287" s="3"/>
      <c r="Y287" t="s">
        <v>77</v>
      </c>
      <c r="Z287" t="s">
        <v>13</v>
      </c>
      <c r="AA287" t="s">
        <v>8</v>
      </c>
      <c r="AB287" t="s">
        <v>814</v>
      </c>
      <c r="AC287" t="s">
        <v>14</v>
      </c>
      <c r="AD287" t="s">
        <v>815</v>
      </c>
      <c r="AE287" t="s">
        <v>8</v>
      </c>
      <c r="AF287" t="s">
        <v>8</v>
      </c>
      <c r="AG287" t="s">
        <v>8</v>
      </c>
      <c r="AH287" s="2">
        <v>45935</v>
      </c>
      <c r="AI287" s="2"/>
      <c r="AJ287" t="s">
        <v>8</v>
      </c>
    </row>
    <row r="288" spans="1:36" outlineLevel="2" x14ac:dyDescent="0.25">
      <c r="A288" t="s">
        <v>27</v>
      </c>
      <c r="B288" t="s">
        <v>1</v>
      </c>
      <c r="C288" t="s">
        <v>2</v>
      </c>
      <c r="D288" t="s">
        <v>3</v>
      </c>
      <c r="E288" t="s">
        <v>4</v>
      </c>
      <c r="F288" t="s">
        <v>18</v>
      </c>
      <c r="G288" s="2">
        <v>45906</v>
      </c>
      <c r="H288" s="15">
        <v>1800012474</v>
      </c>
      <c r="I288" t="s">
        <v>75</v>
      </c>
      <c r="J288" s="2">
        <v>45906</v>
      </c>
      <c r="K288" s="2">
        <v>45909</v>
      </c>
      <c r="L288" t="s">
        <v>69</v>
      </c>
      <c r="M288" s="21">
        <v>256779417082</v>
      </c>
      <c r="N288" t="s">
        <v>9</v>
      </c>
      <c r="O288" t="s">
        <v>10</v>
      </c>
      <c r="P288" t="s">
        <v>8</v>
      </c>
      <c r="Q288" t="s">
        <v>65</v>
      </c>
      <c r="R288" t="s">
        <v>26</v>
      </c>
      <c r="S288" s="3">
        <v>1664.01</v>
      </c>
      <c r="T288" t="s">
        <v>12</v>
      </c>
      <c r="U288" s="3">
        <v>145624.72</v>
      </c>
      <c r="V288" s="3">
        <f>VLOOKUP(M288,'[1]combined ledger'!$A:$H,8,0)</f>
        <v>131062.7203</v>
      </c>
      <c r="W288" s="3">
        <f t="shared" ref="W288:W291" si="4">U288-V288</f>
        <v>14561.9997</v>
      </c>
      <c r="X288" s="3"/>
      <c r="Y288" t="s">
        <v>77</v>
      </c>
      <c r="Z288" t="s">
        <v>13</v>
      </c>
      <c r="AA288" t="s">
        <v>8</v>
      </c>
      <c r="AB288" t="s">
        <v>69</v>
      </c>
      <c r="AC288" t="s">
        <v>14</v>
      </c>
      <c r="AD288" t="s">
        <v>818</v>
      </c>
      <c r="AE288" t="s">
        <v>8</v>
      </c>
      <c r="AF288" t="s">
        <v>8</v>
      </c>
      <c r="AG288" t="s">
        <v>8</v>
      </c>
      <c r="AH288" s="2">
        <v>45906</v>
      </c>
      <c r="AI288" s="2"/>
      <c r="AJ288" t="s">
        <v>8</v>
      </c>
    </row>
    <row r="289" spans="1:36" outlineLevel="2" x14ac:dyDescent="0.25">
      <c r="A289" t="s">
        <v>27</v>
      </c>
      <c r="B289" t="s">
        <v>1</v>
      </c>
      <c r="C289" t="s">
        <v>2</v>
      </c>
      <c r="D289" t="s">
        <v>3</v>
      </c>
      <c r="E289" t="s">
        <v>819</v>
      </c>
      <c r="F289" t="s">
        <v>14</v>
      </c>
      <c r="G289" s="2">
        <v>46024</v>
      </c>
      <c r="H289" s="15">
        <v>1800015678</v>
      </c>
      <c r="I289" t="s">
        <v>75</v>
      </c>
      <c r="J289" s="2">
        <v>46024</v>
      </c>
      <c r="K289" s="2">
        <v>46024</v>
      </c>
      <c r="L289" t="s">
        <v>69</v>
      </c>
      <c r="M289" s="21">
        <v>256779440011</v>
      </c>
      <c r="N289" t="s">
        <v>9</v>
      </c>
      <c r="O289" t="s">
        <v>10</v>
      </c>
      <c r="P289" t="s">
        <v>8</v>
      </c>
      <c r="Q289" t="s">
        <v>65</v>
      </c>
      <c r="R289" t="s">
        <v>26</v>
      </c>
      <c r="S289" s="3">
        <v>464.42</v>
      </c>
      <c r="T289" t="s">
        <v>12</v>
      </c>
      <c r="U289" s="3">
        <v>42142.93</v>
      </c>
      <c r="V289" s="3" t="e">
        <f>VLOOKUP(M289,'[1]combined ledger'!$A:$H,8,0)</f>
        <v>#N/A</v>
      </c>
      <c r="W289" s="3" t="e">
        <f t="shared" si="4"/>
        <v>#N/A</v>
      </c>
      <c r="X289" s="3"/>
      <c r="Y289" t="s">
        <v>77</v>
      </c>
      <c r="Z289" t="s">
        <v>13</v>
      </c>
      <c r="AA289" t="s">
        <v>8</v>
      </c>
      <c r="AB289" t="s">
        <v>822</v>
      </c>
      <c r="AC289" t="s">
        <v>14</v>
      </c>
      <c r="AD289" t="s">
        <v>823</v>
      </c>
      <c r="AE289" t="s">
        <v>8</v>
      </c>
      <c r="AF289" t="s">
        <v>8</v>
      </c>
      <c r="AG289" t="s">
        <v>8</v>
      </c>
      <c r="AH289" s="2">
        <v>46024</v>
      </c>
      <c r="AI289" s="2"/>
      <c r="AJ289" t="s">
        <v>8</v>
      </c>
    </row>
    <row r="290" spans="1:36" outlineLevel="2" x14ac:dyDescent="0.25">
      <c r="A290" t="s">
        <v>27</v>
      </c>
      <c r="B290" t="s">
        <v>1</v>
      </c>
      <c r="C290" t="s">
        <v>2</v>
      </c>
      <c r="D290" t="s">
        <v>3</v>
      </c>
      <c r="E290" t="s">
        <v>819</v>
      </c>
      <c r="F290" t="s">
        <v>14</v>
      </c>
      <c r="G290" s="2">
        <v>46027</v>
      </c>
      <c r="H290" s="15">
        <v>1800015802</v>
      </c>
      <c r="I290" t="s">
        <v>75</v>
      </c>
      <c r="J290" s="2">
        <v>46027</v>
      </c>
      <c r="K290" s="2">
        <v>46027</v>
      </c>
      <c r="L290" t="s">
        <v>69</v>
      </c>
      <c r="M290" s="21">
        <v>256779440052</v>
      </c>
      <c r="N290" t="s">
        <v>9</v>
      </c>
      <c r="O290" t="s">
        <v>10</v>
      </c>
      <c r="P290" t="s">
        <v>8</v>
      </c>
      <c r="Q290" t="s">
        <v>65</v>
      </c>
      <c r="R290" t="s">
        <v>26</v>
      </c>
      <c r="S290" s="3">
        <v>846.77</v>
      </c>
      <c r="T290" t="s">
        <v>12</v>
      </c>
      <c r="U290" s="3">
        <v>76838.570000000007</v>
      </c>
      <c r="V290" s="3">
        <f>VLOOKUP(M290,'[1]combined ledger'!$A:$H,8,0)</f>
        <v>7902.9098000000004</v>
      </c>
      <c r="W290" s="3">
        <f t="shared" si="4"/>
        <v>68935.660200000013</v>
      </c>
      <c r="X290" s="3"/>
      <c r="Y290" t="s">
        <v>77</v>
      </c>
      <c r="Z290" t="s">
        <v>13</v>
      </c>
      <c r="AA290" t="s">
        <v>8</v>
      </c>
      <c r="AB290" t="s">
        <v>826</v>
      </c>
      <c r="AC290" t="s">
        <v>14</v>
      </c>
      <c r="AD290" t="s">
        <v>827</v>
      </c>
      <c r="AE290" t="s">
        <v>8</v>
      </c>
      <c r="AF290" t="s">
        <v>8</v>
      </c>
      <c r="AG290" t="s">
        <v>8</v>
      </c>
      <c r="AH290" s="2">
        <v>46027</v>
      </c>
      <c r="AI290" s="2"/>
      <c r="AJ290" t="s">
        <v>8</v>
      </c>
    </row>
    <row r="291" spans="1:36" outlineLevel="2" x14ac:dyDescent="0.25">
      <c r="A291" t="s">
        <v>27</v>
      </c>
      <c r="B291" t="s">
        <v>1</v>
      </c>
      <c r="C291" t="s">
        <v>2</v>
      </c>
      <c r="D291" t="s">
        <v>3</v>
      </c>
      <c r="E291" t="s">
        <v>819</v>
      </c>
      <c r="F291" t="s">
        <v>14</v>
      </c>
      <c r="G291" s="2">
        <v>46027</v>
      </c>
      <c r="H291" s="15">
        <v>1800015965</v>
      </c>
      <c r="I291" t="s">
        <v>75</v>
      </c>
      <c r="J291" s="2">
        <v>46027</v>
      </c>
      <c r="K291" s="2">
        <v>46027</v>
      </c>
      <c r="L291" t="s">
        <v>829</v>
      </c>
      <c r="M291" s="21">
        <v>256779440081</v>
      </c>
      <c r="N291" t="s">
        <v>9</v>
      </c>
      <c r="O291" t="s">
        <v>10</v>
      </c>
      <c r="P291" t="s">
        <v>8</v>
      </c>
      <c r="Q291" t="s">
        <v>65</v>
      </c>
      <c r="R291" t="s">
        <v>26</v>
      </c>
      <c r="S291" s="3">
        <v>3.45</v>
      </c>
      <c r="T291" t="s">
        <v>12</v>
      </c>
      <c r="U291" s="3">
        <v>313.06</v>
      </c>
      <c r="V291" s="3">
        <f>VLOOKUP(M291,'[1]combined ledger'!$A:$H,8,0)</f>
        <v>307.053</v>
      </c>
      <c r="W291" s="3">
        <f t="shared" si="4"/>
        <v>6.007000000000005</v>
      </c>
      <c r="X291" s="3"/>
      <c r="Y291" t="s">
        <v>77</v>
      </c>
      <c r="Z291" t="s">
        <v>13</v>
      </c>
      <c r="AA291" t="s">
        <v>8</v>
      </c>
      <c r="AB291" t="s">
        <v>69</v>
      </c>
      <c r="AC291" t="s">
        <v>14</v>
      </c>
      <c r="AD291" t="s">
        <v>831</v>
      </c>
      <c r="AE291" t="s">
        <v>8</v>
      </c>
      <c r="AF291" t="s">
        <v>8</v>
      </c>
      <c r="AG291" t="s">
        <v>8</v>
      </c>
      <c r="AH291" s="2">
        <v>46027</v>
      </c>
      <c r="AI291" s="2"/>
      <c r="AJ291" t="s">
        <v>8</v>
      </c>
    </row>
    <row r="292" spans="1:36" outlineLevel="2" x14ac:dyDescent="0.25">
      <c r="A292" t="s">
        <v>0</v>
      </c>
      <c r="B292" t="s">
        <v>1</v>
      </c>
      <c r="C292" t="s">
        <v>2</v>
      </c>
      <c r="D292" t="s">
        <v>3</v>
      </c>
      <c r="E292" t="s">
        <v>819</v>
      </c>
      <c r="F292" t="s">
        <v>14</v>
      </c>
      <c r="G292" s="2">
        <v>46029</v>
      </c>
      <c r="H292" s="15">
        <v>1400002371</v>
      </c>
      <c r="I292" t="s">
        <v>25</v>
      </c>
      <c r="J292" s="2">
        <v>46029</v>
      </c>
      <c r="K292" s="2">
        <v>46029</v>
      </c>
      <c r="L292" t="s">
        <v>833</v>
      </c>
      <c r="M292" s="21" t="s">
        <v>8</v>
      </c>
      <c r="N292" t="s">
        <v>9</v>
      </c>
      <c r="O292" t="s">
        <v>10</v>
      </c>
      <c r="P292" t="s">
        <v>8</v>
      </c>
      <c r="Q292" t="s">
        <v>48</v>
      </c>
      <c r="R292" t="s">
        <v>26</v>
      </c>
      <c r="S292" s="3">
        <v>1530.78</v>
      </c>
      <c r="T292" t="s">
        <v>12</v>
      </c>
      <c r="U292" s="3">
        <v>135000</v>
      </c>
      <c r="V292" s="3"/>
      <c r="W292" s="3"/>
      <c r="X292" s="3"/>
      <c r="Y292" t="s">
        <v>8</v>
      </c>
      <c r="Z292" t="s">
        <v>13</v>
      </c>
      <c r="AA292" t="s">
        <v>8</v>
      </c>
      <c r="AB292" t="s">
        <v>8</v>
      </c>
      <c r="AC292" t="s">
        <v>73</v>
      </c>
      <c r="AD292" t="s">
        <v>833</v>
      </c>
      <c r="AE292" t="s">
        <v>8</v>
      </c>
      <c r="AF292" t="s">
        <v>8</v>
      </c>
      <c r="AG292" t="s">
        <v>8</v>
      </c>
      <c r="AH292" s="2">
        <v>46029</v>
      </c>
      <c r="AI292" s="2">
        <v>46029</v>
      </c>
      <c r="AJ292" t="s">
        <v>832</v>
      </c>
    </row>
    <row r="293" spans="1:36" outlineLevel="2" x14ac:dyDescent="0.25">
      <c r="A293" t="s">
        <v>0</v>
      </c>
      <c r="B293" t="s">
        <v>1</v>
      </c>
      <c r="C293" t="s">
        <v>2</v>
      </c>
      <c r="D293" t="s">
        <v>3</v>
      </c>
      <c r="E293" t="s">
        <v>819</v>
      </c>
      <c r="F293" t="s">
        <v>14</v>
      </c>
      <c r="G293" s="2">
        <v>46029</v>
      </c>
      <c r="H293" s="15">
        <v>1400002371</v>
      </c>
      <c r="I293" t="s">
        <v>25</v>
      </c>
      <c r="J293" s="2">
        <v>46029</v>
      </c>
      <c r="K293" s="2">
        <v>46029</v>
      </c>
      <c r="L293" t="s">
        <v>833</v>
      </c>
      <c r="M293" s="21" t="s">
        <v>8</v>
      </c>
      <c r="N293" t="s">
        <v>9</v>
      </c>
      <c r="O293" t="s">
        <v>10</v>
      </c>
      <c r="P293" t="s">
        <v>8</v>
      </c>
      <c r="Q293" t="s">
        <v>48</v>
      </c>
      <c r="R293" t="s">
        <v>26</v>
      </c>
      <c r="S293" s="3">
        <v>986.48</v>
      </c>
      <c r="T293" t="s">
        <v>12</v>
      </c>
      <c r="U293" s="3">
        <v>86998.43</v>
      </c>
      <c r="V293" s="3"/>
      <c r="W293" s="3"/>
      <c r="X293" s="3"/>
      <c r="Y293" t="s">
        <v>8</v>
      </c>
      <c r="Z293" t="s">
        <v>13</v>
      </c>
      <c r="AA293" t="s">
        <v>8</v>
      </c>
      <c r="AB293" t="s">
        <v>8</v>
      </c>
      <c r="AC293" t="s">
        <v>79</v>
      </c>
      <c r="AD293" t="s">
        <v>833</v>
      </c>
      <c r="AE293" t="s">
        <v>8</v>
      </c>
      <c r="AF293" t="s">
        <v>8</v>
      </c>
      <c r="AG293" t="s">
        <v>8</v>
      </c>
      <c r="AH293" s="2">
        <v>46029</v>
      </c>
      <c r="AI293" s="2">
        <v>46029</v>
      </c>
      <c r="AJ293" t="s">
        <v>832</v>
      </c>
    </row>
    <row r="294" spans="1:36" outlineLevel="2" x14ac:dyDescent="0.25">
      <c r="A294" t="s">
        <v>0</v>
      </c>
      <c r="B294" t="s">
        <v>1</v>
      </c>
      <c r="C294" t="s">
        <v>2</v>
      </c>
      <c r="D294" t="s">
        <v>3</v>
      </c>
      <c r="E294" t="s">
        <v>819</v>
      </c>
      <c r="F294" t="s">
        <v>14</v>
      </c>
      <c r="G294" s="2">
        <v>46029</v>
      </c>
      <c r="H294" s="15">
        <v>1400002370</v>
      </c>
      <c r="I294" t="s">
        <v>25</v>
      </c>
      <c r="J294" s="2">
        <v>46029</v>
      </c>
      <c r="K294" s="2">
        <v>46029</v>
      </c>
      <c r="L294" t="s">
        <v>833</v>
      </c>
      <c r="M294" s="21" t="s">
        <v>8</v>
      </c>
      <c r="N294" t="s">
        <v>9</v>
      </c>
      <c r="O294" t="s">
        <v>10</v>
      </c>
      <c r="P294" t="s">
        <v>8</v>
      </c>
      <c r="Q294" t="s">
        <v>22</v>
      </c>
      <c r="R294" t="s">
        <v>26</v>
      </c>
      <c r="S294" s="3">
        <v>-1530.78</v>
      </c>
      <c r="T294" t="s">
        <v>12</v>
      </c>
      <c r="U294" s="3">
        <v>-135000</v>
      </c>
      <c r="V294" s="3"/>
      <c r="W294" s="3"/>
      <c r="X294" s="3"/>
      <c r="Y294" t="s">
        <v>8</v>
      </c>
      <c r="Z294" t="s">
        <v>13</v>
      </c>
      <c r="AA294" t="s">
        <v>8</v>
      </c>
      <c r="AB294" t="s">
        <v>8</v>
      </c>
      <c r="AC294" t="s">
        <v>73</v>
      </c>
      <c r="AD294" t="s">
        <v>833</v>
      </c>
      <c r="AE294" t="s">
        <v>8</v>
      </c>
      <c r="AF294" t="s">
        <v>8</v>
      </c>
      <c r="AG294" t="s">
        <v>8</v>
      </c>
      <c r="AH294" s="2">
        <v>46029</v>
      </c>
      <c r="AI294" s="2">
        <v>46029</v>
      </c>
      <c r="AJ294" t="s">
        <v>832</v>
      </c>
    </row>
    <row r="295" spans="1:36" outlineLevel="2" x14ac:dyDescent="0.25">
      <c r="A295" t="s">
        <v>0</v>
      </c>
      <c r="B295" t="s">
        <v>1</v>
      </c>
      <c r="C295" t="s">
        <v>2</v>
      </c>
      <c r="D295" t="s">
        <v>3</v>
      </c>
      <c r="E295" t="s">
        <v>819</v>
      </c>
      <c r="F295" t="s">
        <v>14</v>
      </c>
      <c r="G295" s="2">
        <v>46029</v>
      </c>
      <c r="H295" s="15">
        <v>1400002370</v>
      </c>
      <c r="I295" t="s">
        <v>25</v>
      </c>
      <c r="J295" s="2">
        <v>46029</v>
      </c>
      <c r="K295" s="2">
        <v>46029</v>
      </c>
      <c r="L295" t="s">
        <v>833</v>
      </c>
      <c r="M295" s="21" t="s">
        <v>8</v>
      </c>
      <c r="N295" t="s">
        <v>9</v>
      </c>
      <c r="O295" t="s">
        <v>10</v>
      </c>
      <c r="P295" t="s">
        <v>8</v>
      </c>
      <c r="Q295" t="s">
        <v>22</v>
      </c>
      <c r="R295" t="s">
        <v>26</v>
      </c>
      <c r="S295" s="3">
        <v>-986.48</v>
      </c>
      <c r="T295" t="s">
        <v>12</v>
      </c>
      <c r="U295" s="3">
        <v>-86998.43</v>
      </c>
      <c r="V295" s="3"/>
      <c r="W295" s="3"/>
      <c r="X295" s="3"/>
      <c r="Y295" t="s">
        <v>8</v>
      </c>
      <c r="Z295" t="s">
        <v>13</v>
      </c>
      <c r="AA295" t="s">
        <v>8</v>
      </c>
      <c r="AB295" t="s">
        <v>8</v>
      </c>
      <c r="AC295" t="s">
        <v>79</v>
      </c>
      <c r="AD295" t="s">
        <v>833</v>
      </c>
      <c r="AE295" t="s">
        <v>8</v>
      </c>
      <c r="AF295" t="s">
        <v>8</v>
      </c>
      <c r="AG295" t="s">
        <v>8</v>
      </c>
      <c r="AH295" s="2">
        <v>46029</v>
      </c>
      <c r="AI295" s="2">
        <v>46029</v>
      </c>
      <c r="AJ295" t="s">
        <v>832</v>
      </c>
    </row>
    <row r="296" spans="1:36" outlineLevel="2" x14ac:dyDescent="0.25">
      <c r="A296" t="s">
        <v>0</v>
      </c>
      <c r="B296" t="s">
        <v>1</v>
      </c>
      <c r="C296" t="s">
        <v>2</v>
      </c>
      <c r="D296" t="s">
        <v>3</v>
      </c>
      <c r="E296" t="s">
        <v>819</v>
      </c>
      <c r="F296" t="s">
        <v>14</v>
      </c>
      <c r="G296" s="2">
        <v>46029</v>
      </c>
      <c r="H296" s="15">
        <v>1400002372</v>
      </c>
      <c r="I296" t="s">
        <v>25</v>
      </c>
      <c r="J296" s="2">
        <v>46029</v>
      </c>
      <c r="K296" s="2">
        <v>46029</v>
      </c>
      <c r="L296" t="s">
        <v>833</v>
      </c>
      <c r="M296" s="21" t="s">
        <v>8</v>
      </c>
      <c r="N296" t="s">
        <v>9</v>
      </c>
      <c r="O296" t="s">
        <v>10</v>
      </c>
      <c r="P296" t="s">
        <v>8</v>
      </c>
      <c r="Q296" t="s">
        <v>22</v>
      </c>
      <c r="R296" t="s">
        <v>26</v>
      </c>
      <c r="S296" s="3">
        <v>-1530.78</v>
      </c>
      <c r="T296" t="s">
        <v>12</v>
      </c>
      <c r="U296" s="3">
        <v>-135000</v>
      </c>
      <c r="V296" s="3"/>
      <c r="W296" s="3"/>
      <c r="X296" s="3"/>
      <c r="Y296" t="s">
        <v>8</v>
      </c>
      <c r="Z296" t="s">
        <v>13</v>
      </c>
      <c r="AA296" t="s">
        <v>8</v>
      </c>
      <c r="AB296" t="s">
        <v>8</v>
      </c>
      <c r="AC296" t="s">
        <v>5</v>
      </c>
      <c r="AD296" t="s">
        <v>833</v>
      </c>
      <c r="AE296" t="s">
        <v>8</v>
      </c>
      <c r="AF296" t="s">
        <v>8</v>
      </c>
      <c r="AG296" t="s">
        <v>8</v>
      </c>
      <c r="AH296" s="2">
        <v>46029</v>
      </c>
      <c r="AI296" s="2">
        <v>46029</v>
      </c>
      <c r="AJ296" t="s">
        <v>835</v>
      </c>
    </row>
    <row r="297" spans="1:36" outlineLevel="2" x14ac:dyDescent="0.25">
      <c r="A297" t="s">
        <v>0</v>
      </c>
      <c r="B297" t="s">
        <v>1</v>
      </c>
      <c r="C297" t="s">
        <v>2</v>
      </c>
      <c r="D297" t="s">
        <v>3</v>
      </c>
      <c r="E297" t="s">
        <v>819</v>
      </c>
      <c r="F297" t="s">
        <v>14</v>
      </c>
      <c r="G297" s="2">
        <v>46029</v>
      </c>
      <c r="H297" s="15">
        <v>1400002372</v>
      </c>
      <c r="I297" t="s">
        <v>25</v>
      </c>
      <c r="J297" s="2">
        <v>46029</v>
      </c>
      <c r="K297" s="2">
        <v>46029</v>
      </c>
      <c r="L297" t="s">
        <v>833</v>
      </c>
      <c r="M297" s="21" t="s">
        <v>8</v>
      </c>
      <c r="N297" t="s">
        <v>9</v>
      </c>
      <c r="O297" t="s">
        <v>10</v>
      </c>
      <c r="P297" t="s">
        <v>8</v>
      </c>
      <c r="Q297" t="s">
        <v>22</v>
      </c>
      <c r="R297" t="s">
        <v>26</v>
      </c>
      <c r="S297" s="3">
        <v>-986.48</v>
      </c>
      <c r="T297" t="s">
        <v>12</v>
      </c>
      <c r="U297" s="3">
        <v>-86998.43</v>
      </c>
      <c r="V297" s="3"/>
      <c r="W297" s="3"/>
      <c r="X297" s="3"/>
      <c r="Y297" t="s">
        <v>8</v>
      </c>
      <c r="Z297" t="s">
        <v>13</v>
      </c>
      <c r="AA297" t="s">
        <v>8</v>
      </c>
      <c r="AB297" t="s">
        <v>8</v>
      </c>
      <c r="AC297" t="s">
        <v>73</v>
      </c>
      <c r="AD297" t="s">
        <v>833</v>
      </c>
      <c r="AE297" t="s">
        <v>8</v>
      </c>
      <c r="AF297" t="s">
        <v>8</v>
      </c>
      <c r="AG297" t="s">
        <v>8</v>
      </c>
      <c r="AH297" s="2">
        <v>46029</v>
      </c>
      <c r="AI297" s="2">
        <v>46029</v>
      </c>
      <c r="AJ297" t="s">
        <v>835</v>
      </c>
    </row>
    <row r="298" spans="1:36" outlineLevel="2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28</v>
      </c>
      <c r="G298" s="2">
        <v>45935</v>
      </c>
      <c r="H298" s="15">
        <v>1800013253</v>
      </c>
      <c r="I298" t="s">
        <v>75</v>
      </c>
      <c r="J298" s="2">
        <v>45935</v>
      </c>
      <c r="K298" s="2">
        <v>45937</v>
      </c>
      <c r="L298" t="s">
        <v>69</v>
      </c>
      <c r="M298" s="21">
        <v>256779417873</v>
      </c>
      <c r="N298" t="s">
        <v>9</v>
      </c>
      <c r="O298" t="s">
        <v>10</v>
      </c>
      <c r="P298" t="s">
        <v>8</v>
      </c>
      <c r="Q298" t="s">
        <v>65</v>
      </c>
      <c r="R298" t="s">
        <v>12</v>
      </c>
      <c r="S298" s="3">
        <v>100000</v>
      </c>
      <c r="T298" t="s">
        <v>12</v>
      </c>
      <c r="U298" s="3">
        <v>100000</v>
      </c>
      <c r="V298" s="3">
        <f>VLOOKUP(M298,'[1]combined ledger'!$A:$H,8,0)</f>
        <v>89999.522899999996</v>
      </c>
      <c r="W298" s="3">
        <f t="shared" ref="W298:W321" si="5">U298-V298</f>
        <v>10000.477100000004</v>
      </c>
      <c r="X298" s="3"/>
      <c r="Y298" t="s">
        <v>77</v>
      </c>
      <c r="Z298" t="s">
        <v>13</v>
      </c>
      <c r="AA298" t="s">
        <v>8</v>
      </c>
      <c r="AB298" t="s">
        <v>838</v>
      </c>
      <c r="AC298" t="s">
        <v>14</v>
      </c>
      <c r="AD298" t="s">
        <v>839</v>
      </c>
      <c r="AE298" t="s">
        <v>8</v>
      </c>
      <c r="AF298" t="s">
        <v>8</v>
      </c>
      <c r="AG298" t="s">
        <v>8</v>
      </c>
      <c r="AH298" s="2">
        <v>45935</v>
      </c>
      <c r="AI298" s="2">
        <v>46029</v>
      </c>
      <c r="AJ298" t="s">
        <v>835</v>
      </c>
    </row>
    <row r="299" spans="1:36" outlineLevel="2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28</v>
      </c>
      <c r="G299" s="2">
        <v>45935</v>
      </c>
      <c r="H299" s="15">
        <v>1800013254</v>
      </c>
      <c r="I299" t="s">
        <v>75</v>
      </c>
      <c r="J299" s="2">
        <v>45935</v>
      </c>
      <c r="K299" s="2">
        <v>45937</v>
      </c>
      <c r="L299" t="s">
        <v>69</v>
      </c>
      <c r="M299" s="21">
        <v>256779417874</v>
      </c>
      <c r="N299" t="s">
        <v>9</v>
      </c>
      <c r="O299" t="s">
        <v>10</v>
      </c>
      <c r="P299" t="s">
        <v>8</v>
      </c>
      <c r="Q299" t="s">
        <v>65</v>
      </c>
      <c r="R299" t="s">
        <v>12</v>
      </c>
      <c r="S299" s="3">
        <v>35000</v>
      </c>
      <c r="T299" t="s">
        <v>12</v>
      </c>
      <c r="U299" s="3">
        <v>35000</v>
      </c>
      <c r="V299" s="3">
        <f>VLOOKUP(M299,'[1]combined ledger'!$A:$H,8,0)</f>
        <v>34299.965300000003</v>
      </c>
      <c r="W299" s="3">
        <f t="shared" si="5"/>
        <v>700.03469999999652</v>
      </c>
      <c r="X299" s="3"/>
      <c r="Y299" t="s">
        <v>77</v>
      </c>
      <c r="Z299" t="s">
        <v>13</v>
      </c>
      <c r="AA299" t="s">
        <v>8</v>
      </c>
      <c r="AB299" t="s">
        <v>838</v>
      </c>
      <c r="AC299" t="s">
        <v>14</v>
      </c>
      <c r="AD299" t="s">
        <v>839</v>
      </c>
      <c r="AE299" t="s">
        <v>8</v>
      </c>
      <c r="AF299" t="s">
        <v>8</v>
      </c>
      <c r="AG299" t="s">
        <v>8</v>
      </c>
      <c r="AH299" s="2">
        <v>45935</v>
      </c>
      <c r="AI299" s="2">
        <v>46029</v>
      </c>
      <c r="AJ299" t="s">
        <v>835</v>
      </c>
    </row>
    <row r="300" spans="1:36" outlineLevel="2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28</v>
      </c>
      <c r="G300" s="2">
        <v>45935</v>
      </c>
      <c r="H300" s="15">
        <v>1800013383</v>
      </c>
      <c r="I300" t="s">
        <v>75</v>
      </c>
      <c r="J300" s="2">
        <v>45935</v>
      </c>
      <c r="K300" s="2">
        <v>45937</v>
      </c>
      <c r="L300" t="s">
        <v>69</v>
      </c>
      <c r="M300" s="21">
        <v>256779417979</v>
      </c>
      <c r="N300" t="s">
        <v>9</v>
      </c>
      <c r="O300" t="s">
        <v>10</v>
      </c>
      <c r="P300" t="s">
        <v>8</v>
      </c>
      <c r="Q300" t="s">
        <v>65</v>
      </c>
      <c r="R300" t="s">
        <v>26</v>
      </c>
      <c r="S300" s="3">
        <v>136.47999999999999</v>
      </c>
      <c r="T300" t="s">
        <v>12</v>
      </c>
      <c r="U300" s="3">
        <v>12036.28</v>
      </c>
      <c r="V300" s="3">
        <f>VLOOKUP(M300,'[1]combined ledger'!$A:$H,8,0)</f>
        <v>11795.171200000001</v>
      </c>
      <c r="W300" s="3">
        <f t="shared" si="5"/>
        <v>241.10879999999997</v>
      </c>
      <c r="X300" s="3"/>
      <c r="Y300" t="s">
        <v>77</v>
      </c>
      <c r="Z300" t="s">
        <v>13</v>
      </c>
      <c r="AA300" t="s">
        <v>8</v>
      </c>
      <c r="AB300" t="s">
        <v>844</v>
      </c>
      <c r="AC300" t="s">
        <v>14</v>
      </c>
      <c r="AD300" t="s">
        <v>811</v>
      </c>
      <c r="AE300" t="s">
        <v>8</v>
      </c>
      <c r="AF300" t="s">
        <v>8</v>
      </c>
      <c r="AG300" t="s">
        <v>8</v>
      </c>
      <c r="AH300" s="2">
        <v>45935</v>
      </c>
      <c r="AI300" s="2">
        <v>46029</v>
      </c>
      <c r="AJ300" t="s">
        <v>835</v>
      </c>
    </row>
    <row r="301" spans="1:36" outlineLevel="2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28</v>
      </c>
      <c r="G301" s="2">
        <v>45935</v>
      </c>
      <c r="H301" s="15">
        <v>1800013479</v>
      </c>
      <c r="I301" t="s">
        <v>75</v>
      </c>
      <c r="J301" s="2">
        <v>45935</v>
      </c>
      <c r="K301" s="2">
        <v>45937</v>
      </c>
      <c r="L301" t="s">
        <v>69</v>
      </c>
      <c r="M301" s="21">
        <v>256779418095</v>
      </c>
      <c r="N301" t="s">
        <v>9</v>
      </c>
      <c r="O301" t="s">
        <v>10</v>
      </c>
      <c r="P301" t="s">
        <v>8</v>
      </c>
      <c r="Q301" t="s">
        <v>65</v>
      </c>
      <c r="R301" t="s">
        <v>26</v>
      </c>
      <c r="S301" s="3">
        <v>850</v>
      </c>
      <c r="T301" t="s">
        <v>12</v>
      </c>
      <c r="U301" s="3">
        <v>74962.149999999994</v>
      </c>
      <c r="V301" s="3">
        <f>VLOOKUP(M301,'[1]combined ledger'!$A:$H,8,0)</f>
        <v>7937</v>
      </c>
      <c r="W301" s="3">
        <f t="shared" si="5"/>
        <v>67025.149999999994</v>
      </c>
      <c r="X301" s="3"/>
      <c r="Y301" t="s">
        <v>77</v>
      </c>
      <c r="Z301" t="s">
        <v>13</v>
      </c>
      <c r="AA301" t="s">
        <v>8</v>
      </c>
      <c r="AB301" t="s">
        <v>847</v>
      </c>
      <c r="AC301" t="s">
        <v>14</v>
      </c>
      <c r="AD301" t="s">
        <v>848</v>
      </c>
      <c r="AE301" t="s">
        <v>8</v>
      </c>
      <c r="AF301" t="s">
        <v>8</v>
      </c>
      <c r="AG301" t="s">
        <v>8</v>
      </c>
      <c r="AH301" s="2">
        <v>45935</v>
      </c>
      <c r="AI301" s="2">
        <v>46029</v>
      </c>
      <c r="AJ301" t="s">
        <v>835</v>
      </c>
    </row>
    <row r="302" spans="1:36" outlineLevel="2" x14ac:dyDescent="0.25">
      <c r="A302" t="s">
        <v>27</v>
      </c>
      <c r="B302" t="s">
        <v>1</v>
      </c>
      <c r="C302" t="s">
        <v>2</v>
      </c>
      <c r="D302" t="s">
        <v>3</v>
      </c>
      <c r="E302" t="s">
        <v>819</v>
      </c>
      <c r="F302" t="s">
        <v>14</v>
      </c>
      <c r="G302" s="2">
        <v>46034</v>
      </c>
      <c r="H302" s="15">
        <v>1800016315</v>
      </c>
      <c r="I302" t="s">
        <v>75</v>
      </c>
      <c r="J302" s="2">
        <v>46034</v>
      </c>
      <c r="K302" s="2">
        <v>46034</v>
      </c>
      <c r="L302" t="s">
        <v>850</v>
      </c>
      <c r="M302" s="21">
        <v>256779440168</v>
      </c>
      <c r="N302" t="s">
        <v>9</v>
      </c>
      <c r="O302" t="s">
        <v>10</v>
      </c>
      <c r="P302" t="s">
        <v>8</v>
      </c>
      <c r="Q302" t="s">
        <v>65</v>
      </c>
      <c r="R302" t="s">
        <v>26</v>
      </c>
      <c r="S302" s="3">
        <v>903.23</v>
      </c>
      <c r="T302" t="s">
        <v>12</v>
      </c>
      <c r="U302" s="3">
        <v>81961.929999999993</v>
      </c>
      <c r="V302" s="3" t="e">
        <f>VLOOKUP(M302,'[1]combined ledger'!$A:$H,8,0)</f>
        <v>#N/A</v>
      </c>
      <c r="W302" s="3" t="e">
        <f t="shared" si="5"/>
        <v>#N/A</v>
      </c>
      <c r="X302" s="3"/>
      <c r="Y302" t="s">
        <v>77</v>
      </c>
      <c r="Z302" t="s">
        <v>13</v>
      </c>
      <c r="AA302" t="s">
        <v>8</v>
      </c>
      <c r="AB302" t="s">
        <v>69</v>
      </c>
      <c r="AC302" t="s">
        <v>14</v>
      </c>
      <c r="AD302" t="s">
        <v>852</v>
      </c>
      <c r="AE302" t="s">
        <v>8</v>
      </c>
      <c r="AF302" t="s">
        <v>8</v>
      </c>
      <c r="AG302" t="s">
        <v>8</v>
      </c>
      <c r="AH302" s="2">
        <v>46034</v>
      </c>
      <c r="AI302" s="2"/>
      <c r="AJ302" t="s">
        <v>8</v>
      </c>
    </row>
    <row r="303" spans="1:36" outlineLevel="2" x14ac:dyDescent="0.25">
      <c r="A303" t="s">
        <v>27</v>
      </c>
      <c r="B303" t="s">
        <v>1</v>
      </c>
      <c r="C303" t="s">
        <v>2</v>
      </c>
      <c r="D303" t="s">
        <v>3</v>
      </c>
      <c r="E303" t="s">
        <v>819</v>
      </c>
      <c r="F303" t="s">
        <v>14</v>
      </c>
      <c r="G303" s="2">
        <v>46028</v>
      </c>
      <c r="H303" s="15">
        <v>1800016504</v>
      </c>
      <c r="I303" t="s">
        <v>75</v>
      </c>
      <c r="J303" s="2">
        <v>46028</v>
      </c>
      <c r="K303" s="2">
        <v>46034</v>
      </c>
      <c r="L303" t="s">
        <v>854</v>
      </c>
      <c r="M303" s="21">
        <v>256779440211</v>
      </c>
      <c r="N303" t="s">
        <v>9</v>
      </c>
      <c r="O303" t="s">
        <v>10</v>
      </c>
      <c r="P303" t="s">
        <v>8</v>
      </c>
      <c r="Q303" t="s">
        <v>65</v>
      </c>
      <c r="R303" t="s">
        <v>26</v>
      </c>
      <c r="S303" s="3">
        <v>26.97</v>
      </c>
      <c r="T303" t="s">
        <v>12</v>
      </c>
      <c r="U303" s="3">
        <v>2447.34</v>
      </c>
      <c r="V303" s="3" t="e">
        <f>VLOOKUP(M303,'[1]combined ledger'!$A:$H,8,0)</f>
        <v>#N/A</v>
      </c>
      <c r="W303" s="3" t="e">
        <f t="shared" si="5"/>
        <v>#N/A</v>
      </c>
      <c r="X303" s="3"/>
      <c r="Y303" t="s">
        <v>77</v>
      </c>
      <c r="Z303" t="s">
        <v>13</v>
      </c>
      <c r="AA303" t="s">
        <v>8</v>
      </c>
      <c r="AB303" t="s">
        <v>69</v>
      </c>
      <c r="AC303" t="s">
        <v>14</v>
      </c>
      <c r="AD303" t="s">
        <v>856</v>
      </c>
      <c r="AE303" t="s">
        <v>8</v>
      </c>
      <c r="AF303" t="s">
        <v>8</v>
      </c>
      <c r="AG303" t="s">
        <v>8</v>
      </c>
      <c r="AH303" s="2">
        <v>46028</v>
      </c>
      <c r="AI303" s="2"/>
      <c r="AJ303" t="s">
        <v>8</v>
      </c>
    </row>
    <row r="304" spans="1:36" outlineLevel="2" x14ac:dyDescent="0.25">
      <c r="A304" t="s">
        <v>27</v>
      </c>
      <c r="B304" t="s">
        <v>1</v>
      </c>
      <c r="C304" t="s">
        <v>2</v>
      </c>
      <c r="D304" t="s">
        <v>3</v>
      </c>
      <c r="E304" t="s">
        <v>819</v>
      </c>
      <c r="F304" t="s">
        <v>14</v>
      </c>
      <c r="G304" s="2">
        <v>46034</v>
      </c>
      <c r="H304" s="15">
        <v>1800016419</v>
      </c>
      <c r="I304" t="s">
        <v>75</v>
      </c>
      <c r="J304" s="2">
        <v>46034</v>
      </c>
      <c r="K304" s="2">
        <v>46034</v>
      </c>
      <c r="L304" t="s">
        <v>858</v>
      </c>
      <c r="M304" s="21">
        <v>256779440230</v>
      </c>
      <c r="N304" t="s">
        <v>9</v>
      </c>
      <c r="O304" t="s">
        <v>10</v>
      </c>
      <c r="P304" t="s">
        <v>8</v>
      </c>
      <c r="Q304" t="s">
        <v>65</v>
      </c>
      <c r="R304" t="s">
        <v>26</v>
      </c>
      <c r="S304" s="3">
        <v>40.56</v>
      </c>
      <c r="T304" t="s">
        <v>12</v>
      </c>
      <c r="U304" s="3">
        <v>3680.54</v>
      </c>
      <c r="V304" s="3" t="e">
        <f>VLOOKUP(M304,'[1]combined ledger'!$A:$H,8,0)</f>
        <v>#N/A</v>
      </c>
      <c r="W304" s="3" t="e">
        <f t="shared" si="5"/>
        <v>#N/A</v>
      </c>
      <c r="X304" s="3"/>
      <c r="Y304" t="s">
        <v>77</v>
      </c>
      <c r="Z304" t="s">
        <v>13</v>
      </c>
      <c r="AA304" t="s">
        <v>8</v>
      </c>
      <c r="AB304" t="s">
        <v>69</v>
      </c>
      <c r="AC304" t="s">
        <v>14</v>
      </c>
      <c r="AD304" t="s">
        <v>860</v>
      </c>
      <c r="AE304" t="s">
        <v>8</v>
      </c>
      <c r="AF304" t="s">
        <v>8</v>
      </c>
      <c r="AG304" t="s">
        <v>8</v>
      </c>
      <c r="AH304" s="2">
        <v>46034</v>
      </c>
      <c r="AI304" s="2"/>
      <c r="AJ304" t="s">
        <v>8</v>
      </c>
    </row>
    <row r="305" spans="1:36" outlineLevel="2" x14ac:dyDescent="0.25">
      <c r="A305" t="s">
        <v>27</v>
      </c>
      <c r="B305" t="s">
        <v>1</v>
      </c>
      <c r="C305" t="s">
        <v>2</v>
      </c>
      <c r="D305" t="s">
        <v>3</v>
      </c>
      <c r="E305" t="s">
        <v>819</v>
      </c>
      <c r="F305" t="s">
        <v>14</v>
      </c>
      <c r="G305" s="2">
        <v>46028</v>
      </c>
      <c r="H305" s="15">
        <v>1800016509</v>
      </c>
      <c r="I305" t="s">
        <v>75</v>
      </c>
      <c r="J305" s="2">
        <v>46028</v>
      </c>
      <c r="K305" s="2">
        <v>46035</v>
      </c>
      <c r="L305" t="s">
        <v>862</v>
      </c>
      <c r="M305" s="21">
        <v>256779440262</v>
      </c>
      <c r="N305" t="s">
        <v>9</v>
      </c>
      <c r="O305" t="s">
        <v>10</v>
      </c>
      <c r="P305" t="s">
        <v>8</v>
      </c>
      <c r="Q305" t="s">
        <v>65</v>
      </c>
      <c r="R305" t="s">
        <v>26</v>
      </c>
      <c r="S305" s="3">
        <v>100</v>
      </c>
      <c r="T305" t="s">
        <v>12</v>
      </c>
      <c r="U305" s="3">
        <v>9074.31</v>
      </c>
      <c r="V305" s="3" t="e">
        <f>VLOOKUP(M305,'[1]combined ledger'!$A:$H,8,0)</f>
        <v>#N/A</v>
      </c>
      <c r="W305" s="3" t="e">
        <f t="shared" si="5"/>
        <v>#N/A</v>
      </c>
      <c r="X305" s="3"/>
      <c r="Y305" t="s">
        <v>77</v>
      </c>
      <c r="Z305" t="s">
        <v>13</v>
      </c>
      <c r="AA305" t="s">
        <v>8</v>
      </c>
      <c r="AB305" t="s">
        <v>69</v>
      </c>
      <c r="AC305" t="s">
        <v>14</v>
      </c>
      <c r="AD305" t="s">
        <v>864</v>
      </c>
      <c r="AE305" t="s">
        <v>8</v>
      </c>
      <c r="AF305" t="s">
        <v>8</v>
      </c>
      <c r="AG305" t="s">
        <v>8</v>
      </c>
      <c r="AH305" s="2">
        <v>46028</v>
      </c>
      <c r="AI305" s="2"/>
      <c r="AJ305" t="s">
        <v>8</v>
      </c>
    </row>
    <row r="306" spans="1:36" outlineLevel="2" x14ac:dyDescent="0.25">
      <c r="A306" t="s">
        <v>27</v>
      </c>
      <c r="B306" t="s">
        <v>1</v>
      </c>
      <c r="C306" t="s">
        <v>2</v>
      </c>
      <c r="D306" t="s">
        <v>3</v>
      </c>
      <c r="E306" t="s">
        <v>819</v>
      </c>
      <c r="F306" t="s">
        <v>14</v>
      </c>
      <c r="G306" s="2">
        <v>46028</v>
      </c>
      <c r="H306" s="15">
        <v>1800016510</v>
      </c>
      <c r="I306" t="s">
        <v>75</v>
      </c>
      <c r="J306" s="2">
        <v>46028</v>
      </c>
      <c r="K306" s="2">
        <v>46035</v>
      </c>
      <c r="L306" t="s">
        <v>862</v>
      </c>
      <c r="M306" s="21">
        <v>256779440263</v>
      </c>
      <c r="N306" t="s">
        <v>9</v>
      </c>
      <c r="O306" t="s">
        <v>10</v>
      </c>
      <c r="P306" t="s">
        <v>8</v>
      </c>
      <c r="Q306" t="s">
        <v>65</v>
      </c>
      <c r="R306" t="s">
        <v>26</v>
      </c>
      <c r="S306" s="3">
        <v>100</v>
      </c>
      <c r="T306" t="s">
        <v>12</v>
      </c>
      <c r="U306" s="3">
        <v>9074.31</v>
      </c>
      <c r="V306" s="3" t="e">
        <f>VLOOKUP(M306,'[1]combined ledger'!$A:$H,8,0)</f>
        <v>#N/A</v>
      </c>
      <c r="W306" s="3" t="e">
        <f t="shared" si="5"/>
        <v>#N/A</v>
      </c>
      <c r="X306" s="3"/>
      <c r="Y306" t="s">
        <v>77</v>
      </c>
      <c r="Z306" t="s">
        <v>13</v>
      </c>
      <c r="AA306" t="s">
        <v>8</v>
      </c>
      <c r="AB306" t="s">
        <v>69</v>
      </c>
      <c r="AC306" t="s">
        <v>14</v>
      </c>
      <c r="AD306" t="s">
        <v>864</v>
      </c>
      <c r="AE306" t="s">
        <v>8</v>
      </c>
      <c r="AF306" t="s">
        <v>8</v>
      </c>
      <c r="AG306" t="s">
        <v>8</v>
      </c>
      <c r="AH306" s="2">
        <v>46028</v>
      </c>
      <c r="AI306" s="2"/>
      <c r="AJ306" t="s">
        <v>8</v>
      </c>
    </row>
    <row r="307" spans="1:36" outlineLevel="2" x14ac:dyDescent="0.25">
      <c r="A307" t="s">
        <v>27</v>
      </c>
      <c r="B307" t="s">
        <v>1</v>
      </c>
      <c r="C307" t="s">
        <v>2</v>
      </c>
      <c r="D307" t="s">
        <v>3</v>
      </c>
      <c r="E307" t="s">
        <v>819</v>
      </c>
      <c r="F307" t="s">
        <v>14</v>
      </c>
      <c r="G307" s="2">
        <v>46028</v>
      </c>
      <c r="H307" s="15">
        <v>1800016511</v>
      </c>
      <c r="I307" t="s">
        <v>75</v>
      </c>
      <c r="J307" s="2">
        <v>46028</v>
      </c>
      <c r="K307" s="2">
        <v>46035</v>
      </c>
      <c r="L307" t="s">
        <v>862</v>
      </c>
      <c r="M307" s="21">
        <v>256779440264</v>
      </c>
      <c r="N307" t="s">
        <v>9</v>
      </c>
      <c r="O307" t="s">
        <v>10</v>
      </c>
      <c r="P307" t="s">
        <v>8</v>
      </c>
      <c r="Q307" t="s">
        <v>65</v>
      </c>
      <c r="R307" t="s">
        <v>26</v>
      </c>
      <c r="S307" s="3">
        <v>100</v>
      </c>
      <c r="T307" t="s">
        <v>12</v>
      </c>
      <c r="U307" s="3">
        <v>9074.31</v>
      </c>
      <c r="V307" s="3" t="e">
        <f>VLOOKUP(M307,'[1]combined ledger'!$A:$H,8,0)</f>
        <v>#N/A</v>
      </c>
      <c r="W307" s="3" t="e">
        <f t="shared" si="5"/>
        <v>#N/A</v>
      </c>
      <c r="X307" s="3"/>
      <c r="Y307" t="s">
        <v>77</v>
      </c>
      <c r="Z307" t="s">
        <v>13</v>
      </c>
      <c r="AA307" t="s">
        <v>8</v>
      </c>
      <c r="AB307" t="s">
        <v>69</v>
      </c>
      <c r="AC307" t="s">
        <v>14</v>
      </c>
      <c r="AD307" t="s">
        <v>864</v>
      </c>
      <c r="AE307" t="s">
        <v>8</v>
      </c>
      <c r="AF307" t="s">
        <v>8</v>
      </c>
      <c r="AG307" t="s">
        <v>8</v>
      </c>
      <c r="AH307" s="2">
        <v>46028</v>
      </c>
      <c r="AI307" s="2"/>
      <c r="AJ307" t="s">
        <v>8</v>
      </c>
    </row>
    <row r="308" spans="1:36" outlineLevel="2" x14ac:dyDescent="0.25">
      <c r="A308" t="s">
        <v>27</v>
      </c>
      <c r="B308" t="s">
        <v>1</v>
      </c>
      <c r="C308" t="s">
        <v>2</v>
      </c>
      <c r="D308" t="s">
        <v>3</v>
      </c>
      <c r="E308" t="s">
        <v>819</v>
      </c>
      <c r="F308" t="s">
        <v>14</v>
      </c>
      <c r="G308" s="2">
        <v>46028</v>
      </c>
      <c r="H308" s="15">
        <v>1800016512</v>
      </c>
      <c r="I308" t="s">
        <v>75</v>
      </c>
      <c r="J308" s="2">
        <v>46028</v>
      </c>
      <c r="K308" s="2">
        <v>46035</v>
      </c>
      <c r="L308" t="s">
        <v>862</v>
      </c>
      <c r="M308" s="21">
        <v>256779440265</v>
      </c>
      <c r="N308" t="s">
        <v>9</v>
      </c>
      <c r="O308" t="s">
        <v>10</v>
      </c>
      <c r="P308" t="s">
        <v>8</v>
      </c>
      <c r="Q308" t="s">
        <v>65</v>
      </c>
      <c r="R308" t="s">
        <v>26</v>
      </c>
      <c r="S308" s="3">
        <v>100</v>
      </c>
      <c r="T308" t="s">
        <v>12</v>
      </c>
      <c r="U308" s="3">
        <v>9074.31</v>
      </c>
      <c r="V308" s="3" t="e">
        <f>VLOOKUP(M308,'[1]combined ledger'!$A:$H,8,0)</f>
        <v>#N/A</v>
      </c>
      <c r="W308" s="3" t="e">
        <f t="shared" si="5"/>
        <v>#N/A</v>
      </c>
      <c r="X308" s="3"/>
      <c r="Y308" t="s">
        <v>77</v>
      </c>
      <c r="Z308" t="s">
        <v>13</v>
      </c>
      <c r="AA308" t="s">
        <v>8</v>
      </c>
      <c r="AB308" t="s">
        <v>69</v>
      </c>
      <c r="AC308" t="s">
        <v>14</v>
      </c>
      <c r="AD308" t="s">
        <v>864</v>
      </c>
      <c r="AE308" t="s">
        <v>8</v>
      </c>
      <c r="AF308" t="s">
        <v>8</v>
      </c>
      <c r="AG308" t="s">
        <v>8</v>
      </c>
      <c r="AH308" s="2">
        <v>46028</v>
      </c>
      <c r="AI308" s="2"/>
      <c r="AJ308" t="s">
        <v>8</v>
      </c>
    </row>
    <row r="309" spans="1:36" outlineLevel="2" x14ac:dyDescent="0.25">
      <c r="A309" t="s">
        <v>27</v>
      </c>
      <c r="B309" t="s">
        <v>1</v>
      </c>
      <c r="C309" t="s">
        <v>2</v>
      </c>
      <c r="D309" t="s">
        <v>3</v>
      </c>
      <c r="E309" t="s">
        <v>819</v>
      </c>
      <c r="F309" t="s">
        <v>14</v>
      </c>
      <c r="G309" s="2">
        <v>46028</v>
      </c>
      <c r="H309" s="15">
        <v>1800016545</v>
      </c>
      <c r="I309" t="s">
        <v>75</v>
      </c>
      <c r="J309" s="2">
        <v>46028</v>
      </c>
      <c r="K309" s="2">
        <v>46035</v>
      </c>
      <c r="L309" t="s">
        <v>872</v>
      </c>
      <c r="M309" s="21">
        <v>256779440307</v>
      </c>
      <c r="N309" t="s">
        <v>9</v>
      </c>
      <c r="O309" t="s">
        <v>10</v>
      </c>
      <c r="P309" t="s">
        <v>8</v>
      </c>
      <c r="Q309" t="s">
        <v>65</v>
      </c>
      <c r="R309" t="s">
        <v>12</v>
      </c>
      <c r="S309" s="3">
        <v>100000</v>
      </c>
      <c r="T309" t="s">
        <v>12</v>
      </c>
      <c r="U309" s="3">
        <v>100000</v>
      </c>
      <c r="V309" s="3" t="e">
        <f>VLOOKUP(M309,'[1]combined ledger'!$A:$H,8,0)</f>
        <v>#N/A</v>
      </c>
      <c r="W309" s="3" t="e">
        <f t="shared" si="5"/>
        <v>#N/A</v>
      </c>
      <c r="X309" s="3"/>
      <c r="Y309" t="s">
        <v>77</v>
      </c>
      <c r="Z309" t="s">
        <v>13</v>
      </c>
      <c r="AA309" t="s">
        <v>8</v>
      </c>
      <c r="AB309" t="s">
        <v>69</v>
      </c>
      <c r="AC309" t="s">
        <v>14</v>
      </c>
      <c r="AD309" t="s">
        <v>874</v>
      </c>
      <c r="AE309" t="s">
        <v>8</v>
      </c>
      <c r="AF309" t="s">
        <v>8</v>
      </c>
      <c r="AG309" t="s">
        <v>8</v>
      </c>
      <c r="AH309" s="2">
        <v>46028</v>
      </c>
      <c r="AI309" s="2"/>
      <c r="AJ309" t="s">
        <v>8</v>
      </c>
    </row>
    <row r="310" spans="1:36" outlineLevel="2" x14ac:dyDescent="0.25">
      <c r="A310" t="s">
        <v>27</v>
      </c>
      <c r="B310" t="s">
        <v>1</v>
      </c>
      <c r="C310" t="s">
        <v>2</v>
      </c>
      <c r="D310" t="s">
        <v>3</v>
      </c>
      <c r="E310" t="s">
        <v>819</v>
      </c>
      <c r="F310" t="s">
        <v>14</v>
      </c>
      <c r="G310" s="2">
        <v>46028</v>
      </c>
      <c r="H310" s="15">
        <v>1800016546</v>
      </c>
      <c r="I310" t="s">
        <v>75</v>
      </c>
      <c r="J310" s="2">
        <v>46028</v>
      </c>
      <c r="K310" s="2">
        <v>46035</v>
      </c>
      <c r="L310" t="s">
        <v>872</v>
      </c>
      <c r="M310" s="21">
        <v>256779440308</v>
      </c>
      <c r="N310" t="s">
        <v>9</v>
      </c>
      <c r="O310" t="s">
        <v>10</v>
      </c>
      <c r="P310" t="s">
        <v>8</v>
      </c>
      <c r="Q310" t="s">
        <v>65</v>
      </c>
      <c r="R310" t="s">
        <v>12</v>
      </c>
      <c r="S310" s="3">
        <v>35000</v>
      </c>
      <c r="T310" t="s">
        <v>12</v>
      </c>
      <c r="U310" s="3">
        <v>35000</v>
      </c>
      <c r="V310" s="3" t="e">
        <f>VLOOKUP(M310,'[1]combined ledger'!$A:$H,8,0)</f>
        <v>#N/A</v>
      </c>
      <c r="W310" s="3" t="e">
        <f t="shared" si="5"/>
        <v>#N/A</v>
      </c>
      <c r="X310" s="3"/>
      <c r="Y310" t="s">
        <v>77</v>
      </c>
      <c r="Z310" t="s">
        <v>13</v>
      </c>
      <c r="AA310" t="s">
        <v>8</v>
      </c>
      <c r="AB310" t="s">
        <v>69</v>
      </c>
      <c r="AC310" t="s">
        <v>14</v>
      </c>
      <c r="AD310" t="s">
        <v>877</v>
      </c>
      <c r="AE310" t="s">
        <v>8</v>
      </c>
      <c r="AF310" t="s">
        <v>8</v>
      </c>
      <c r="AG310" t="s">
        <v>8</v>
      </c>
      <c r="AH310" s="2">
        <v>46028</v>
      </c>
      <c r="AI310" s="2"/>
      <c r="AJ310" t="s">
        <v>8</v>
      </c>
    </row>
    <row r="311" spans="1:36" outlineLevel="2" x14ac:dyDescent="0.25">
      <c r="A311" t="s">
        <v>27</v>
      </c>
      <c r="B311" t="s">
        <v>1</v>
      </c>
      <c r="C311" t="s">
        <v>2</v>
      </c>
      <c r="D311" t="s">
        <v>3</v>
      </c>
      <c r="E311" t="s">
        <v>819</v>
      </c>
      <c r="F311" t="s">
        <v>14</v>
      </c>
      <c r="G311" s="2">
        <v>46035</v>
      </c>
      <c r="H311" s="15">
        <v>1800016771</v>
      </c>
      <c r="I311" t="s">
        <v>75</v>
      </c>
      <c r="J311" s="2">
        <v>46035</v>
      </c>
      <c r="K311" s="2">
        <v>46035</v>
      </c>
      <c r="L311" t="s">
        <v>69</v>
      </c>
      <c r="M311" s="21">
        <v>256779440358</v>
      </c>
      <c r="N311" t="s">
        <v>9</v>
      </c>
      <c r="O311" t="s">
        <v>10</v>
      </c>
      <c r="P311" t="s">
        <v>8</v>
      </c>
      <c r="Q311" t="s">
        <v>65</v>
      </c>
      <c r="R311" t="s">
        <v>26</v>
      </c>
      <c r="S311" s="3">
        <v>100</v>
      </c>
      <c r="T311" t="s">
        <v>12</v>
      </c>
      <c r="U311" s="3">
        <v>9074.31</v>
      </c>
      <c r="V311" s="3" t="e">
        <f>VLOOKUP(M311,'[1]combined ledger'!$A:$H,8,0)</f>
        <v>#N/A</v>
      </c>
      <c r="W311" s="3" t="e">
        <f t="shared" si="5"/>
        <v>#N/A</v>
      </c>
      <c r="X311" s="3"/>
      <c r="Y311" t="s">
        <v>77</v>
      </c>
      <c r="Z311" t="s">
        <v>13</v>
      </c>
      <c r="AA311" t="s">
        <v>8</v>
      </c>
      <c r="AB311" t="s">
        <v>880</v>
      </c>
      <c r="AC311" t="s">
        <v>14</v>
      </c>
      <c r="AD311" t="s">
        <v>881</v>
      </c>
      <c r="AE311" t="s">
        <v>8</v>
      </c>
      <c r="AF311" t="s">
        <v>8</v>
      </c>
      <c r="AG311" t="s">
        <v>8</v>
      </c>
      <c r="AH311" s="2">
        <v>46035</v>
      </c>
      <c r="AI311" s="2"/>
      <c r="AJ311" t="s">
        <v>8</v>
      </c>
    </row>
    <row r="312" spans="1:36" outlineLevel="2" x14ac:dyDescent="0.25">
      <c r="A312" t="s">
        <v>27</v>
      </c>
      <c r="B312" t="s">
        <v>1</v>
      </c>
      <c r="C312" t="s">
        <v>2</v>
      </c>
      <c r="D312" t="s">
        <v>3</v>
      </c>
      <c r="E312" t="s">
        <v>819</v>
      </c>
      <c r="F312" t="s">
        <v>14</v>
      </c>
      <c r="G312" s="2">
        <v>46035</v>
      </c>
      <c r="H312" s="15">
        <v>1800016778</v>
      </c>
      <c r="I312" t="s">
        <v>75</v>
      </c>
      <c r="J312" s="2">
        <v>46035</v>
      </c>
      <c r="K312" s="2">
        <v>46035</v>
      </c>
      <c r="L312" t="s">
        <v>69</v>
      </c>
      <c r="M312" s="21">
        <v>256779440365</v>
      </c>
      <c r="N312" t="s">
        <v>9</v>
      </c>
      <c r="O312" t="s">
        <v>10</v>
      </c>
      <c r="P312" t="s">
        <v>8</v>
      </c>
      <c r="Q312" t="s">
        <v>65</v>
      </c>
      <c r="R312" t="s">
        <v>26</v>
      </c>
      <c r="S312" s="3">
        <v>38.229999999999997</v>
      </c>
      <c r="T312" t="s">
        <v>12</v>
      </c>
      <c r="U312" s="3">
        <v>3469.11</v>
      </c>
      <c r="V312" s="3" t="e">
        <f>VLOOKUP(M312,'[1]combined ledger'!$A:$H,8,0)</f>
        <v>#N/A</v>
      </c>
      <c r="W312" s="3" t="e">
        <f t="shared" si="5"/>
        <v>#N/A</v>
      </c>
      <c r="X312" s="3"/>
      <c r="Y312" t="s">
        <v>77</v>
      </c>
      <c r="Z312" t="s">
        <v>13</v>
      </c>
      <c r="AA312" t="s">
        <v>8</v>
      </c>
      <c r="AB312" t="s">
        <v>880</v>
      </c>
      <c r="AC312" t="s">
        <v>14</v>
      </c>
      <c r="AD312" t="s">
        <v>884</v>
      </c>
      <c r="AE312" t="s">
        <v>8</v>
      </c>
      <c r="AF312" t="s">
        <v>8</v>
      </c>
      <c r="AG312" t="s">
        <v>8</v>
      </c>
      <c r="AH312" s="2">
        <v>46035</v>
      </c>
      <c r="AI312" s="2"/>
      <c r="AJ312" t="s">
        <v>8</v>
      </c>
    </row>
    <row r="313" spans="1:36" outlineLevel="2" x14ac:dyDescent="0.25">
      <c r="A313" t="s">
        <v>27</v>
      </c>
      <c r="B313" t="s">
        <v>1</v>
      </c>
      <c r="C313" t="s">
        <v>2</v>
      </c>
      <c r="D313" t="s">
        <v>3</v>
      </c>
      <c r="E313" t="s">
        <v>819</v>
      </c>
      <c r="F313" t="s">
        <v>14</v>
      </c>
      <c r="G313" s="2">
        <v>46044</v>
      </c>
      <c r="H313" s="15">
        <v>1800017005</v>
      </c>
      <c r="I313" t="s">
        <v>75</v>
      </c>
      <c r="J313" s="2">
        <v>46044</v>
      </c>
      <c r="K313" s="2">
        <v>46049</v>
      </c>
      <c r="L313" t="s">
        <v>886</v>
      </c>
      <c r="M313" s="21">
        <v>256779440395</v>
      </c>
      <c r="N313" t="s">
        <v>9</v>
      </c>
      <c r="O313" t="s">
        <v>10</v>
      </c>
      <c r="P313" t="s">
        <v>8</v>
      </c>
      <c r="Q313" t="s">
        <v>65</v>
      </c>
      <c r="R313" t="s">
        <v>26</v>
      </c>
      <c r="S313" s="3">
        <v>846.77</v>
      </c>
      <c r="T313" t="s">
        <v>12</v>
      </c>
      <c r="U313" s="3">
        <v>76838.570000000007</v>
      </c>
      <c r="V313" s="3" t="e">
        <f>VLOOKUP(M313,'[1]combined ledger'!$A:$H,8,0)</f>
        <v>#N/A</v>
      </c>
      <c r="W313" s="3" t="e">
        <f t="shared" si="5"/>
        <v>#N/A</v>
      </c>
      <c r="X313" s="3"/>
      <c r="Y313" t="s">
        <v>77</v>
      </c>
      <c r="Z313" t="s">
        <v>13</v>
      </c>
      <c r="AA313" t="s">
        <v>8</v>
      </c>
      <c r="AB313" t="s">
        <v>69</v>
      </c>
      <c r="AC313" t="s">
        <v>14</v>
      </c>
      <c r="AD313" t="s">
        <v>888</v>
      </c>
      <c r="AE313" t="s">
        <v>8</v>
      </c>
      <c r="AF313" t="s">
        <v>8</v>
      </c>
      <c r="AG313" t="s">
        <v>8</v>
      </c>
      <c r="AH313" s="2">
        <v>46044</v>
      </c>
      <c r="AI313" s="2"/>
      <c r="AJ313" t="s">
        <v>8</v>
      </c>
    </row>
    <row r="314" spans="1:36" outlineLevel="2" x14ac:dyDescent="0.25">
      <c r="A314" t="s">
        <v>27</v>
      </c>
      <c r="B314" t="s">
        <v>1</v>
      </c>
      <c r="C314" t="s">
        <v>2</v>
      </c>
      <c r="D314" t="s">
        <v>3</v>
      </c>
      <c r="E314" t="s">
        <v>819</v>
      </c>
      <c r="F314" t="s">
        <v>14</v>
      </c>
      <c r="G314" s="2">
        <v>46045</v>
      </c>
      <c r="H314" s="15">
        <v>1800017065</v>
      </c>
      <c r="I314" t="s">
        <v>75</v>
      </c>
      <c r="J314" s="2">
        <v>46045</v>
      </c>
      <c r="K314" s="2">
        <v>46049</v>
      </c>
      <c r="L314" t="s">
        <v>890</v>
      </c>
      <c r="M314" s="21">
        <v>256779440414</v>
      </c>
      <c r="N314" t="s">
        <v>9</v>
      </c>
      <c r="O314" t="s">
        <v>10</v>
      </c>
      <c r="P314" t="s">
        <v>8</v>
      </c>
      <c r="Q314" t="s">
        <v>65</v>
      </c>
      <c r="R314" t="s">
        <v>26</v>
      </c>
      <c r="S314" s="3">
        <v>82.3</v>
      </c>
      <c r="T314" t="s">
        <v>12</v>
      </c>
      <c r="U314" s="3">
        <v>7468.16</v>
      </c>
      <c r="V314" s="3" t="e">
        <f>VLOOKUP(M314,'[1]combined ledger'!$A:$H,8,0)</f>
        <v>#N/A</v>
      </c>
      <c r="W314" s="3" t="e">
        <f t="shared" si="5"/>
        <v>#N/A</v>
      </c>
      <c r="X314" s="3"/>
      <c r="Y314" t="s">
        <v>77</v>
      </c>
      <c r="Z314" t="s">
        <v>13</v>
      </c>
      <c r="AA314" t="s">
        <v>8</v>
      </c>
      <c r="AB314" t="s">
        <v>69</v>
      </c>
      <c r="AC314" t="s">
        <v>14</v>
      </c>
      <c r="AD314" t="s">
        <v>892</v>
      </c>
      <c r="AE314" t="s">
        <v>8</v>
      </c>
      <c r="AF314" t="s">
        <v>8</v>
      </c>
      <c r="AG314" t="s">
        <v>8</v>
      </c>
      <c r="AH314" s="2">
        <v>46045</v>
      </c>
      <c r="AI314" s="2"/>
      <c r="AJ314" t="s">
        <v>8</v>
      </c>
    </row>
    <row r="315" spans="1:36" outlineLevel="2" x14ac:dyDescent="0.25">
      <c r="A315" t="s">
        <v>27</v>
      </c>
      <c r="B315" t="s">
        <v>1</v>
      </c>
      <c r="C315" t="s">
        <v>2</v>
      </c>
      <c r="D315" t="s">
        <v>3</v>
      </c>
      <c r="E315" t="s">
        <v>819</v>
      </c>
      <c r="F315" t="s">
        <v>14</v>
      </c>
      <c r="G315" s="2">
        <v>46045</v>
      </c>
      <c r="H315" s="15">
        <v>1800017110</v>
      </c>
      <c r="I315" t="s">
        <v>75</v>
      </c>
      <c r="J315" s="2">
        <v>46045</v>
      </c>
      <c r="K315" s="2">
        <v>46049</v>
      </c>
      <c r="L315" t="s">
        <v>894</v>
      </c>
      <c r="M315" s="21">
        <v>256779440430</v>
      </c>
      <c r="N315" t="s">
        <v>9</v>
      </c>
      <c r="O315" t="s">
        <v>10</v>
      </c>
      <c r="P315" t="s">
        <v>8</v>
      </c>
      <c r="Q315" t="s">
        <v>65</v>
      </c>
      <c r="R315" t="s">
        <v>26</v>
      </c>
      <c r="S315" s="3">
        <v>23.82</v>
      </c>
      <c r="T315" t="s">
        <v>12</v>
      </c>
      <c r="U315" s="3">
        <v>2161.5</v>
      </c>
      <c r="V315" s="3" t="e">
        <f>VLOOKUP(M315,'[1]combined ledger'!$A:$H,8,0)</f>
        <v>#N/A</v>
      </c>
      <c r="W315" s="3" t="e">
        <f t="shared" si="5"/>
        <v>#N/A</v>
      </c>
      <c r="X315" s="3"/>
      <c r="Y315" t="s">
        <v>77</v>
      </c>
      <c r="Z315" t="s">
        <v>13</v>
      </c>
      <c r="AA315" t="s">
        <v>8</v>
      </c>
      <c r="AB315" t="s">
        <v>69</v>
      </c>
      <c r="AC315" t="s">
        <v>14</v>
      </c>
      <c r="AD315" t="s">
        <v>896</v>
      </c>
      <c r="AE315" t="s">
        <v>8</v>
      </c>
      <c r="AF315" t="s">
        <v>8</v>
      </c>
      <c r="AG315" t="s">
        <v>8</v>
      </c>
      <c r="AH315" s="2">
        <v>46045</v>
      </c>
      <c r="AI315" s="2"/>
      <c r="AJ315" t="s">
        <v>8</v>
      </c>
    </row>
    <row r="316" spans="1:36" outlineLevel="2" x14ac:dyDescent="0.25">
      <c r="A316" t="s">
        <v>27</v>
      </c>
      <c r="B316" t="s">
        <v>1</v>
      </c>
      <c r="C316" t="s">
        <v>2</v>
      </c>
      <c r="D316" t="s">
        <v>3</v>
      </c>
      <c r="E316" t="s">
        <v>819</v>
      </c>
      <c r="F316" t="s">
        <v>14</v>
      </c>
      <c r="G316" s="2">
        <v>46049</v>
      </c>
      <c r="H316" s="15">
        <v>1800017153</v>
      </c>
      <c r="I316" t="s">
        <v>75</v>
      </c>
      <c r="J316" s="2">
        <v>46049</v>
      </c>
      <c r="K316" s="2">
        <v>46049</v>
      </c>
      <c r="L316" t="s">
        <v>898</v>
      </c>
      <c r="M316" s="21">
        <v>256779440446</v>
      </c>
      <c r="N316" t="s">
        <v>9</v>
      </c>
      <c r="O316" t="s">
        <v>10</v>
      </c>
      <c r="P316" t="s">
        <v>8</v>
      </c>
      <c r="Q316" t="s">
        <v>65</v>
      </c>
      <c r="R316" t="s">
        <v>26</v>
      </c>
      <c r="S316" s="3">
        <v>96.71</v>
      </c>
      <c r="T316" t="s">
        <v>12</v>
      </c>
      <c r="U316" s="3">
        <v>8775.77</v>
      </c>
      <c r="V316" s="3" t="e">
        <f>VLOOKUP(M316,'[1]combined ledger'!$A:$H,8,0)</f>
        <v>#N/A</v>
      </c>
      <c r="W316" s="3" t="e">
        <f t="shared" si="5"/>
        <v>#N/A</v>
      </c>
      <c r="X316" s="3"/>
      <c r="Y316" t="s">
        <v>77</v>
      </c>
      <c r="Z316" t="s">
        <v>13</v>
      </c>
      <c r="AA316" t="s">
        <v>8</v>
      </c>
      <c r="AB316" t="s">
        <v>69</v>
      </c>
      <c r="AC316" t="s">
        <v>14</v>
      </c>
      <c r="AD316" t="s">
        <v>900</v>
      </c>
      <c r="AE316" t="s">
        <v>8</v>
      </c>
      <c r="AF316" t="s">
        <v>8</v>
      </c>
      <c r="AG316" t="s">
        <v>8</v>
      </c>
      <c r="AH316" s="2">
        <v>46049</v>
      </c>
      <c r="AI316" s="2"/>
      <c r="AJ316" t="s">
        <v>8</v>
      </c>
    </row>
    <row r="317" spans="1:36" outlineLevel="2" x14ac:dyDescent="0.25">
      <c r="A317" t="s">
        <v>27</v>
      </c>
      <c r="B317" t="s">
        <v>1</v>
      </c>
      <c r="C317" t="s">
        <v>2</v>
      </c>
      <c r="D317" t="s">
        <v>3</v>
      </c>
      <c r="E317" t="s">
        <v>819</v>
      </c>
      <c r="F317" t="s">
        <v>17</v>
      </c>
      <c r="G317" s="2">
        <v>46055</v>
      </c>
      <c r="H317" s="15">
        <v>1600002768</v>
      </c>
      <c r="I317" t="s">
        <v>118</v>
      </c>
      <c r="J317" s="2">
        <v>46055</v>
      </c>
      <c r="K317" s="2">
        <v>46055</v>
      </c>
      <c r="L317" t="s">
        <v>902</v>
      </c>
      <c r="M317" s="21">
        <v>256779422238</v>
      </c>
      <c r="N317" t="s">
        <v>9</v>
      </c>
      <c r="O317" t="s">
        <v>10</v>
      </c>
      <c r="P317" t="s">
        <v>8</v>
      </c>
      <c r="Q317" t="s">
        <v>54</v>
      </c>
      <c r="R317" t="s">
        <v>26</v>
      </c>
      <c r="S317" s="3">
        <v>-17.48</v>
      </c>
      <c r="T317" t="s">
        <v>12</v>
      </c>
      <c r="U317" s="3">
        <v>-1579.06</v>
      </c>
      <c r="V317" s="3" t="e">
        <f>VLOOKUP(M317,'[1]combined ledger'!$A:$H,8,0)</f>
        <v>#N/A</v>
      </c>
      <c r="W317" s="3" t="e">
        <f t="shared" si="5"/>
        <v>#N/A</v>
      </c>
      <c r="X317" s="3"/>
      <c r="Y317" t="s">
        <v>77</v>
      </c>
      <c r="Z317" t="s">
        <v>13</v>
      </c>
      <c r="AA317" t="s">
        <v>8</v>
      </c>
      <c r="AB317" t="s">
        <v>69</v>
      </c>
      <c r="AC317" t="s">
        <v>14</v>
      </c>
      <c r="AD317" t="s">
        <v>904</v>
      </c>
      <c r="AE317" t="s">
        <v>8</v>
      </c>
      <c r="AF317" t="s">
        <v>8</v>
      </c>
      <c r="AG317" t="s">
        <v>8</v>
      </c>
      <c r="AH317" s="2">
        <v>46055</v>
      </c>
      <c r="AI317" s="2"/>
      <c r="AJ317" t="s">
        <v>8</v>
      </c>
    </row>
    <row r="318" spans="1:36" outlineLevel="2" x14ac:dyDescent="0.25">
      <c r="A318" t="s">
        <v>27</v>
      </c>
      <c r="B318" t="s">
        <v>1</v>
      </c>
      <c r="C318" t="s">
        <v>2</v>
      </c>
      <c r="D318" t="s">
        <v>3</v>
      </c>
      <c r="E318" t="s">
        <v>819</v>
      </c>
      <c r="F318" t="s">
        <v>17</v>
      </c>
      <c r="G318" s="2">
        <v>46055</v>
      </c>
      <c r="H318" s="15">
        <v>1600002769</v>
      </c>
      <c r="I318" t="s">
        <v>118</v>
      </c>
      <c r="J318" s="2">
        <v>46055</v>
      </c>
      <c r="K318" s="2">
        <v>46055</v>
      </c>
      <c r="L318" t="s">
        <v>902</v>
      </c>
      <c r="M318" s="21">
        <v>256779422239</v>
      </c>
      <c r="N318" t="s">
        <v>9</v>
      </c>
      <c r="O318" t="s">
        <v>10</v>
      </c>
      <c r="P318" t="s">
        <v>8</v>
      </c>
      <c r="Q318" t="s">
        <v>54</v>
      </c>
      <c r="R318" t="s">
        <v>26</v>
      </c>
      <c r="S318" s="3">
        <v>-101.23</v>
      </c>
      <c r="T318" t="s">
        <v>12</v>
      </c>
      <c r="U318" s="3">
        <v>-9144.6299999999992</v>
      </c>
      <c r="V318" s="3" t="e">
        <f>VLOOKUP(M318,'[1]combined ledger'!$A:$H,8,0)</f>
        <v>#N/A</v>
      </c>
      <c r="W318" s="3" t="e">
        <f t="shared" si="5"/>
        <v>#N/A</v>
      </c>
      <c r="X318" s="3"/>
      <c r="Y318" t="s">
        <v>77</v>
      </c>
      <c r="Z318" t="s">
        <v>13</v>
      </c>
      <c r="AA318" t="s">
        <v>8</v>
      </c>
      <c r="AB318" t="s">
        <v>69</v>
      </c>
      <c r="AC318" t="s">
        <v>14</v>
      </c>
      <c r="AD318" t="s">
        <v>907</v>
      </c>
      <c r="AE318" t="s">
        <v>8</v>
      </c>
      <c r="AF318" t="s">
        <v>8</v>
      </c>
      <c r="AG318" t="s">
        <v>8</v>
      </c>
      <c r="AH318" s="2">
        <v>46055</v>
      </c>
      <c r="AI318" s="2"/>
      <c r="AJ318" t="s">
        <v>8</v>
      </c>
    </row>
    <row r="319" spans="1:36" outlineLevel="2" x14ac:dyDescent="0.25">
      <c r="A319" t="s">
        <v>27</v>
      </c>
      <c r="B319" t="s">
        <v>1</v>
      </c>
      <c r="C319" t="s">
        <v>2</v>
      </c>
      <c r="D319" t="s">
        <v>3</v>
      </c>
      <c r="E319" t="s">
        <v>819</v>
      </c>
      <c r="F319" t="s">
        <v>17</v>
      </c>
      <c r="G319" s="2">
        <v>46055</v>
      </c>
      <c r="H319" s="15">
        <v>1600002770</v>
      </c>
      <c r="I319" t="s">
        <v>118</v>
      </c>
      <c r="J319" s="2">
        <v>46055</v>
      </c>
      <c r="K319" s="2">
        <v>46055</v>
      </c>
      <c r="L319" t="s">
        <v>902</v>
      </c>
      <c r="M319" s="21">
        <v>256779422240</v>
      </c>
      <c r="N319" t="s">
        <v>9</v>
      </c>
      <c r="O319" t="s">
        <v>10</v>
      </c>
      <c r="P319" t="s">
        <v>8</v>
      </c>
      <c r="Q319" t="s">
        <v>54</v>
      </c>
      <c r="R319" t="s">
        <v>26</v>
      </c>
      <c r="S319" s="3">
        <v>-303.16000000000003</v>
      </c>
      <c r="T319" t="s">
        <v>12</v>
      </c>
      <c r="U319" s="3">
        <v>-27386.02</v>
      </c>
      <c r="V319" s="3" t="e">
        <f>VLOOKUP(M319,'[1]combined ledger'!$A:$H,8,0)</f>
        <v>#N/A</v>
      </c>
      <c r="W319" s="3" t="e">
        <f t="shared" si="5"/>
        <v>#N/A</v>
      </c>
      <c r="X319" s="3"/>
      <c r="Y319" t="s">
        <v>77</v>
      </c>
      <c r="Z319" t="s">
        <v>13</v>
      </c>
      <c r="AA319" t="s">
        <v>8</v>
      </c>
      <c r="AB319" t="s">
        <v>69</v>
      </c>
      <c r="AC319" t="s">
        <v>14</v>
      </c>
      <c r="AD319" t="s">
        <v>910</v>
      </c>
      <c r="AE319" t="s">
        <v>8</v>
      </c>
      <c r="AF319" t="s">
        <v>8</v>
      </c>
      <c r="AG319" t="s">
        <v>8</v>
      </c>
      <c r="AH319" s="2">
        <v>46055</v>
      </c>
      <c r="AI319" s="2"/>
      <c r="AJ319" t="s">
        <v>8</v>
      </c>
    </row>
    <row r="320" spans="1:36" outlineLevel="2" x14ac:dyDescent="0.25">
      <c r="A320" t="s">
        <v>27</v>
      </c>
      <c r="B320" t="s">
        <v>1</v>
      </c>
      <c r="C320" t="s">
        <v>2</v>
      </c>
      <c r="D320" t="s">
        <v>3</v>
      </c>
      <c r="E320" t="s">
        <v>819</v>
      </c>
      <c r="F320" t="s">
        <v>17</v>
      </c>
      <c r="G320" s="2">
        <v>46055</v>
      </c>
      <c r="H320" s="15">
        <v>1600002771</v>
      </c>
      <c r="I320" t="s">
        <v>118</v>
      </c>
      <c r="J320" s="2">
        <v>46055</v>
      </c>
      <c r="K320" s="2">
        <v>46055</v>
      </c>
      <c r="L320" t="s">
        <v>902</v>
      </c>
      <c r="M320" s="21">
        <v>256779422241</v>
      </c>
      <c r="N320" t="s">
        <v>9</v>
      </c>
      <c r="O320" t="s">
        <v>10</v>
      </c>
      <c r="P320" t="s">
        <v>8</v>
      </c>
      <c r="Q320" t="s">
        <v>54</v>
      </c>
      <c r="R320" t="s">
        <v>26</v>
      </c>
      <c r="S320" s="3">
        <v>-87.28</v>
      </c>
      <c r="T320" t="s">
        <v>12</v>
      </c>
      <c r="U320" s="3">
        <v>-7884.46</v>
      </c>
      <c r="V320" s="3" t="e">
        <f>VLOOKUP(M320,'[1]combined ledger'!$A:$H,8,0)</f>
        <v>#N/A</v>
      </c>
      <c r="W320" s="3" t="e">
        <f t="shared" si="5"/>
        <v>#N/A</v>
      </c>
      <c r="X320" s="3"/>
      <c r="Y320" t="s">
        <v>77</v>
      </c>
      <c r="Z320" t="s">
        <v>13</v>
      </c>
      <c r="AA320" t="s">
        <v>8</v>
      </c>
      <c r="AB320" t="s">
        <v>69</v>
      </c>
      <c r="AC320" t="s">
        <v>14</v>
      </c>
      <c r="AD320" t="s">
        <v>913</v>
      </c>
      <c r="AE320" t="s">
        <v>8</v>
      </c>
      <c r="AF320" t="s">
        <v>8</v>
      </c>
      <c r="AG320" t="s">
        <v>8</v>
      </c>
      <c r="AH320" s="2">
        <v>46055</v>
      </c>
      <c r="AI320" s="2"/>
      <c r="AJ320" t="s">
        <v>8</v>
      </c>
    </row>
    <row r="321" spans="1:36" outlineLevel="2" x14ac:dyDescent="0.25">
      <c r="A321" t="s">
        <v>27</v>
      </c>
      <c r="B321" t="s">
        <v>1</v>
      </c>
      <c r="C321" t="s">
        <v>2</v>
      </c>
      <c r="D321" t="s">
        <v>3</v>
      </c>
      <c r="E321" t="s">
        <v>819</v>
      </c>
      <c r="F321" t="s">
        <v>17</v>
      </c>
      <c r="G321" s="2">
        <v>46055</v>
      </c>
      <c r="H321" s="15">
        <v>1800017178</v>
      </c>
      <c r="I321" t="s">
        <v>75</v>
      </c>
      <c r="J321" s="2">
        <v>46055</v>
      </c>
      <c r="K321" s="2">
        <v>46055</v>
      </c>
      <c r="L321" t="s">
        <v>915</v>
      </c>
      <c r="M321" s="21">
        <v>256779440457</v>
      </c>
      <c r="N321" t="s">
        <v>9</v>
      </c>
      <c r="O321" t="s">
        <v>10</v>
      </c>
      <c r="P321" t="s">
        <v>8</v>
      </c>
      <c r="Q321" t="s">
        <v>65</v>
      </c>
      <c r="R321" t="s">
        <v>26</v>
      </c>
      <c r="S321" s="3">
        <v>938.8</v>
      </c>
      <c r="T321" t="s">
        <v>12</v>
      </c>
      <c r="U321" s="3">
        <v>84806.69</v>
      </c>
      <c r="V321" s="3" t="e">
        <f>VLOOKUP(M321,'[1]combined ledger'!$A:$H,8,0)</f>
        <v>#N/A</v>
      </c>
      <c r="W321" s="3" t="e">
        <f t="shared" si="5"/>
        <v>#N/A</v>
      </c>
      <c r="X321" s="3"/>
      <c r="Y321" t="s">
        <v>77</v>
      </c>
      <c r="Z321" t="s">
        <v>13</v>
      </c>
      <c r="AA321" t="s">
        <v>8</v>
      </c>
      <c r="AB321" t="s">
        <v>69</v>
      </c>
      <c r="AC321" t="s">
        <v>14</v>
      </c>
      <c r="AD321" t="s">
        <v>800</v>
      </c>
      <c r="AE321" t="s">
        <v>8</v>
      </c>
      <c r="AF321" t="s">
        <v>8</v>
      </c>
      <c r="AG321" t="s">
        <v>8</v>
      </c>
      <c r="AH321" s="2">
        <v>46055</v>
      </c>
      <c r="AI321" s="2"/>
      <c r="AJ321" t="s">
        <v>8</v>
      </c>
    </row>
  </sheetData>
  <autoFilter ref="A2:AJ321" xr:uid="{D13F27BB-84FF-46ED-AEAE-0FCAB144D5B4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pivot</vt:lpstr>
      <vt:lpstr>Workings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2026-03-27T14:21:27Z</dcterms:modified>
  <cp:category/>
</cp:coreProperties>
</file>