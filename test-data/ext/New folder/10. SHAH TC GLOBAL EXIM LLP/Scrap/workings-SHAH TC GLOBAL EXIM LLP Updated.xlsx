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0. SHAH TC GLOBAL EXIM LLP\"/>
    </mc:Choice>
  </mc:AlternateContent>
  <xr:revisionPtr revIDLastSave="0" documentId="13_ncr:1_{13EDB09A-DBCC-45CF-AE95-16EDA301C2F2}" xr6:coauthVersionLast="47" xr6:coauthVersionMax="47" xr10:uidLastSave="{00000000-0000-0000-0000-000000000000}"/>
  <bookViews>
    <workbookView xWindow="-110" yWindow="-110" windowWidth="21820" windowHeight="14020" activeTab="1" xr2:uid="{A55F3552-1E02-4383-BEE4-5923FA5F2E81}"/>
  </bookViews>
  <sheets>
    <sheet name="Summary" sheetId="4" r:id="rId1"/>
    <sheet name="CL Ledger" sheetId="1" r:id="rId2"/>
    <sheet name="Customer Ledger" sheetId="3" r:id="rId3"/>
  </sheets>
  <externalReferences>
    <externalReference r:id="rId4"/>
  </externalReferences>
  <definedNames>
    <definedName name="_xlnm._FilterDatabase" localSheetId="1" hidden="1">'CL Ledger'!$A$1:$S$355</definedName>
    <definedName name="_xlnm._FilterDatabase" localSheetId="2" hidden="1">'Customer Ledger'!$A$2:$J$280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4" l="1"/>
  <c r="B8" i="4"/>
  <c r="B7" i="4"/>
  <c r="B6" i="4"/>
  <c r="B5" i="4"/>
  <c r="B4" i="4"/>
  <c r="B3" i="4"/>
  <c r="B9" i="4" l="1"/>
  <c r="B12" i="4" s="1"/>
  <c r="F1" i="3"/>
  <c r="E1" i="3"/>
  <c r="G1" i="3" l="1"/>
</calcChain>
</file>

<file path=xl/sharedStrings.xml><?xml version="1.0" encoding="utf-8"?>
<sst xmlns="http://schemas.openxmlformats.org/spreadsheetml/2006/main" count="7120" uniqueCount="476">
  <si>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</si>
  <si>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</si>
  <si>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</si>
  <si>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</si>
  <si>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</si>
  <si>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</si>
  <si>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</si>
  <si>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</si>
  <si>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</si>
  <si>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</si>
  <si>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</si>
  <si>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</si>
  <si>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</si>
  <si>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</si>
  <si>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</si>
  <si>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</si>
  <si>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</si>
  <si>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</si>
  <si>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</si>
  <si>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</si>
  <si>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</si>
  <si>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</si>
  <si>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</si>
  <si>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</si>
  <si>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</si>
  <si>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</si>
  <si>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DY</t>
  </si>
  <si>
    <t/>
  </si>
  <si>
    <t>212100</t>
  </si>
  <si>
    <t>Trade Debtors (Ctrl)</t>
  </si>
  <si>
    <t>08</t>
  </si>
  <si>
    <t>INR</t>
  </si>
  <si>
    <t>6779224500</t>
  </si>
  <si>
    <t>1</t>
  </si>
  <si>
    <t>1400001110</t>
  </si>
  <si>
    <t>15</t>
  </si>
  <si>
    <t>2</t>
  </si>
  <si>
    <t>DZ</t>
  </si>
  <si>
    <t>USD</t>
  </si>
  <si>
    <t>4</t>
  </si>
  <si>
    <t>1400000854</t>
  </si>
  <si>
    <t>0758767253FS</t>
  </si>
  <si>
    <t>6779220000</t>
  </si>
  <si>
    <t>T54SWIC264904</t>
  </si>
  <si>
    <t>1810304156FS</t>
  </si>
  <si>
    <t>1400000149</t>
  </si>
  <si>
    <t>8113643156FS</t>
  </si>
  <si>
    <t>1171852164FS</t>
  </si>
  <si>
    <t>4989824164FS</t>
  </si>
  <si>
    <t>05</t>
  </si>
  <si>
    <t>3</t>
  </si>
  <si>
    <t>8681446219FS</t>
  </si>
  <si>
    <t>1400000864</t>
  </si>
  <si>
    <t>4568362253FS</t>
  </si>
  <si>
    <t>T54SWIC278972</t>
  </si>
  <si>
    <t>T54SWIC279192</t>
  </si>
  <si>
    <t>5940256259FS</t>
  </si>
  <si>
    <t>T54SWIC279194</t>
  </si>
  <si>
    <t>NA</t>
  </si>
  <si>
    <t>KNOCK OFF ENTRY</t>
  </si>
  <si>
    <t>1400000213</t>
  </si>
  <si>
    <t>1400000214</t>
  </si>
  <si>
    <t>1400000215</t>
  </si>
  <si>
    <t>DR</t>
  </si>
  <si>
    <t>01</t>
  </si>
  <si>
    <t>O0</t>
  </si>
  <si>
    <t>Fixed Storage Charges fo MAY 2025</t>
  </si>
  <si>
    <t>Fixed Storage Charges fo JULY 2025</t>
  </si>
  <si>
    <t>Fixed Storage Charges for August 2025</t>
  </si>
  <si>
    <t>2097261</t>
  </si>
  <si>
    <t>Fixed Storage Charges for September 2025</t>
  </si>
  <si>
    <t>2123158</t>
  </si>
  <si>
    <t>Fixed Storage Charges for November 2025</t>
  </si>
  <si>
    <t>2139804</t>
  </si>
  <si>
    <t>Fixed Storage Charges for December 2025</t>
  </si>
  <si>
    <t>Fixed Mangement FEE for December 2025</t>
  </si>
  <si>
    <t>DG</t>
  </si>
  <si>
    <t>11</t>
  </si>
  <si>
    <t>CN issued towards D &amp; D</t>
  </si>
  <si>
    <t>DN issued towards D &amp; D 256779421709</t>
  </si>
  <si>
    <t>Intra Unit Transfer Charges Month Of December,2024</t>
  </si>
  <si>
    <t>Intra Unit Transfer 16-30 April 25</t>
  </si>
  <si>
    <t>Unit to Unit, 1-15 May 25</t>
  </si>
  <si>
    <t>Unit to Unit 16-31 May 25</t>
  </si>
  <si>
    <t>Intra Unit Transfer Charges Month Of August,2024</t>
  </si>
  <si>
    <t>Unit to Unit 1-15 June 25</t>
  </si>
  <si>
    <t>2102531</t>
  </si>
  <si>
    <t>Intra SEZ -1-15 Sept-25</t>
  </si>
  <si>
    <t>2110802</t>
  </si>
  <si>
    <t>Intra - SEZ-16-30 Sept 25</t>
  </si>
  <si>
    <t>CY Longstanding container Ground Rent charges for</t>
  </si>
  <si>
    <t>Storage Charges for the month of November, 2024 Ex</t>
  </si>
  <si>
    <t>Storage Charges for the month of December, 2024 Ex</t>
  </si>
  <si>
    <t>2112591</t>
  </si>
  <si>
    <t>CN issued against 256779418011</t>
  </si>
  <si>
    <t>Storage Charges for the month of August, 2024</t>
  </si>
  <si>
    <t>Storage  for the month of Sept  2024</t>
  </si>
  <si>
    <t>Storage for the month of Oct 2024</t>
  </si>
  <si>
    <t>VAS Activity Charges for the month of September, 2</t>
  </si>
  <si>
    <t>VAS Activity Charges for the month of October, 24</t>
  </si>
  <si>
    <t>VAS Activity Charges for the month of December, 24</t>
  </si>
  <si>
    <t>VAS Activity Charges for the month of November, 24</t>
  </si>
  <si>
    <t>Empty Transportation August 2024</t>
  </si>
  <si>
    <t>LCL Charges August 2024</t>
  </si>
  <si>
    <t>Inbound Handling for August 24</t>
  </si>
  <si>
    <t>Outbound Handling Charges Aug 2024</t>
  </si>
  <si>
    <t>2117487</t>
  </si>
  <si>
    <t>Credit note raised against 256779418076</t>
  </si>
  <si>
    <t>Outbound Handling charges for Dec 2024</t>
  </si>
  <si>
    <t>CAAU5283880-Port SSR Shifting Mar 2025. Exch rate</t>
  </si>
  <si>
    <t>VAS Activity - Jan 25, Ex Rate. 86.64</t>
  </si>
  <si>
    <t>VAS Activity - Mar 25, 16-31, Ex Rate. 85.58</t>
  </si>
  <si>
    <t>Storage Charges Mar, 25 Exch Rate 85.58</t>
  </si>
  <si>
    <t>VAS 16-31 May 25 Ex.85.48</t>
  </si>
  <si>
    <t>VAS Activity Charges for the month of August, 24</t>
  </si>
  <si>
    <t>VAS -16-31 Aug 25</t>
  </si>
  <si>
    <t>CY Refer Pluging Chgs - 01 - 31 May 25</t>
  </si>
  <si>
    <t>CY Refer Pluging Chgs - 01 - 30 Jun 25</t>
  </si>
  <si>
    <t>CY Ground rent Chgs - 01 - 31 July 25</t>
  </si>
  <si>
    <t>CY Ground rent Chgs - 01 - 31 Aug 25</t>
  </si>
  <si>
    <t>Empty Lolo Chgs - 01 - 31 AUG 25</t>
  </si>
  <si>
    <t>PORT SSR Chgs Aug 25</t>
  </si>
  <si>
    <t>Transportation In Chgs - 16 - 31 AUG 25</t>
  </si>
  <si>
    <t>2096996</t>
  </si>
  <si>
    <t>Outbound chgs - 16 - 31 Aug 25</t>
  </si>
  <si>
    <t>2100473</t>
  </si>
  <si>
    <t>CN Issued towards bill no. 256779417178</t>
  </si>
  <si>
    <t>CN Issued towards bill no. 256779417179</t>
  </si>
  <si>
    <t>CN Issued towards bill no. 256779417180</t>
  </si>
  <si>
    <t>CN Issued towards bill no. 256779417181</t>
  </si>
  <si>
    <t>Transportation In Chgs - 01 - 15 Jun 25</t>
  </si>
  <si>
    <t>Outbound chgs - 01 - 15 Jun 25</t>
  </si>
  <si>
    <t>Transportation In Chgs - 16 - 30 JUN 25</t>
  </si>
  <si>
    <t>CY Ground rent Chgs - 01 - 30 June 25</t>
  </si>
  <si>
    <t>Empty Lolo Chgs - 01 - 30 JUN 25</t>
  </si>
  <si>
    <t>Empty Cont Out Chgs - 01 - 15 May 25</t>
  </si>
  <si>
    <t>Outbound chgs - 16 - 30 Jun 25</t>
  </si>
  <si>
    <t>Unit Storage - 1-30 June 25</t>
  </si>
  <si>
    <t>VAS - 16-30 June 25</t>
  </si>
  <si>
    <t>CN against 256779410006</t>
  </si>
  <si>
    <t>CN against 256779410012</t>
  </si>
  <si>
    <t>CN against 256779410015</t>
  </si>
  <si>
    <t>CN against 256779410224</t>
  </si>
  <si>
    <t>2123387</t>
  </si>
  <si>
    <t>VAS-16 -31 Oct 25</t>
  </si>
  <si>
    <t>2123390</t>
  </si>
  <si>
    <t>Unit Storage - 1-31 Oct 2025</t>
  </si>
  <si>
    <t>2123404</t>
  </si>
  <si>
    <t>CY Ground rent Chgs - 16 - 31 Oct 25</t>
  </si>
  <si>
    <t>2123410</t>
  </si>
  <si>
    <t>Outbound chgs - 16 - 31 Oct 25</t>
  </si>
  <si>
    <t>2123415</t>
  </si>
  <si>
    <t>Empty Lolo Chgs - 01 - 31 OCT 25</t>
  </si>
  <si>
    <t>2123630</t>
  </si>
  <si>
    <t>PORT SSR Chgs Oct 25</t>
  </si>
  <si>
    <t>Unit Storage - 1-31 July 25</t>
  </si>
  <si>
    <t>Scanning  Chgs - 16 - 31 Jul 25</t>
  </si>
  <si>
    <t>Empty Lolo Chgs - 01 - 31 JUL 25</t>
  </si>
  <si>
    <t>Transportation In Chgs - 16 - 31 JUL 25</t>
  </si>
  <si>
    <t>Outbound chgs - 16 - 31 Jul 25</t>
  </si>
  <si>
    <t>VAS 16-31 July 25</t>
  </si>
  <si>
    <t>PORT SSR Chgs July 25</t>
  </si>
  <si>
    <t>Outbound chgs - 16 - 31 MAY 25</t>
  </si>
  <si>
    <t>Credit note against 246779412238</t>
  </si>
  <si>
    <t>Credit note against 256779410230</t>
  </si>
  <si>
    <t>Credit note against 256779410271</t>
  </si>
  <si>
    <t>LCL Chgs - 16 - 30 Apr 25</t>
  </si>
  <si>
    <t>Outbound chgs - 16 - 30 Apr 25</t>
  </si>
  <si>
    <t>Storage Chgs - 01 - 31 Apr 25</t>
  </si>
  <si>
    <t>PORT SSR Chgs Apr to June 25</t>
  </si>
  <si>
    <t>Transportation In Chgs - 01 - 15 JUL 25</t>
  </si>
  <si>
    <t>Outbound chgs - 01 - 15 Jul 25</t>
  </si>
  <si>
    <t>Transportation In Chgs - 01 - 15 Jul 25</t>
  </si>
  <si>
    <t>Scanning Charges for the month of September, 2024</t>
  </si>
  <si>
    <t>Scanning Charges for the month of October, 2024</t>
  </si>
  <si>
    <t>Scanning Charges for the month of August, 2024</t>
  </si>
  <si>
    <t>Ground Rent Jan 25</t>
  </si>
  <si>
    <t>Ground Rent Feb 25</t>
  </si>
  <si>
    <t>Scanning Charges for the month of Feb 2025</t>
  </si>
  <si>
    <t>Scanning Charges for the month of Jan 2025</t>
  </si>
  <si>
    <t>Outbound Handling charges for Feb 2025</t>
  </si>
  <si>
    <t>Inbound Handling charges for  Sep 2024</t>
  </si>
  <si>
    <t>LCL charges for Sep 2024</t>
  </si>
  <si>
    <t>Reefer Plugin charges for Sep 2024</t>
  </si>
  <si>
    <t>Ground Rent charges for Sep 2024</t>
  </si>
  <si>
    <t>Outbound Handling charges for Sep 2024</t>
  </si>
  <si>
    <t>Loose handling Charges for Nov 2024</t>
  </si>
  <si>
    <t>Inbound Handling charges for Nov 2024</t>
  </si>
  <si>
    <t>LCL Movement Charges for Nov 2024</t>
  </si>
  <si>
    <t>Outbound Handling charges for Jan 2025</t>
  </si>
  <si>
    <t>Inbound Handling charges for Jan 2025</t>
  </si>
  <si>
    <t>Outbound Handling charges for Oct 2024</t>
  </si>
  <si>
    <t>Outbound Handling charges for Nov 2024</t>
  </si>
  <si>
    <t>Fixed Rental charges for Sept 2024</t>
  </si>
  <si>
    <t>Management Fees for Sept 2024</t>
  </si>
  <si>
    <t>Fixed Rental charges for Nov 2024</t>
  </si>
  <si>
    <t>Management Fees for Nov 2024</t>
  </si>
  <si>
    <t>Fixed Rental charges for Dec 2024</t>
  </si>
  <si>
    <t>Management Fees for Dec 2024</t>
  </si>
  <si>
    <t>Fixed Rental charges for Jan 2025</t>
  </si>
  <si>
    <t>Management Fees for Jan 2025</t>
  </si>
  <si>
    <t>Fixed Rental charges for Feb 2025</t>
  </si>
  <si>
    <t>Management Fees for Feb 2025</t>
  </si>
  <si>
    <t>Fixed Rental charges for Oct 2024</t>
  </si>
  <si>
    <t>Management Fees for Oct 2024</t>
  </si>
  <si>
    <t>Management Fees - Aug 2024</t>
  </si>
  <si>
    <t>Transportation In Chgs - 01 - 15 Aug 25</t>
  </si>
  <si>
    <t>Transportation In Chgs - 01 - 15 AUG 25</t>
  </si>
  <si>
    <t>Outbound chgs - 01 - 15 Aug 25</t>
  </si>
  <si>
    <t>Fixed Rental charges for Aug 2024</t>
  </si>
  <si>
    <t>2104190</t>
  </si>
  <si>
    <t>Credit Note Raised against INV_256779413886</t>
  </si>
  <si>
    <t>CY Longstanding - March 25,16-31</t>
  </si>
  <si>
    <t>Outbound chgs - 01 - 15 MAY 25</t>
  </si>
  <si>
    <t>LCL Chgs - 01-15 MAY 25</t>
  </si>
  <si>
    <t>O2</t>
  </si>
  <si>
    <t>Debit note raised against 256779421172</t>
  </si>
  <si>
    <t>Debit note raised against 256779421173</t>
  </si>
  <si>
    <t>Debit note raised against 256779421174</t>
  </si>
  <si>
    <t>Debit note raised against 256779421175</t>
  </si>
  <si>
    <t>Outbound Handling charges for Mar 25</t>
  </si>
  <si>
    <t>2114877</t>
  </si>
  <si>
    <t>CY Ground rent Chgs - 01 - 15 Oct 25</t>
  </si>
  <si>
    <t>2114880</t>
  </si>
  <si>
    <t>Scanning  Chgs - 01 - 15 Oct 25</t>
  </si>
  <si>
    <t>2114881</t>
  </si>
  <si>
    <t>Transportation In Chgs - 01 - 15 OCT 25</t>
  </si>
  <si>
    <t>2114883</t>
  </si>
  <si>
    <t>Outbound chgs - 01 - 15 Oct 25</t>
  </si>
  <si>
    <t>Fixed Storage Charges for April 2025</t>
  </si>
  <si>
    <t>Credit note raised against 256779410006</t>
  </si>
  <si>
    <t>Credit note raised against 256779410012</t>
  </si>
  <si>
    <t>Credit note raised against 256779410015</t>
  </si>
  <si>
    <t>Credit note raised against 256779410224</t>
  </si>
  <si>
    <t>Credit note raised against 256779414414</t>
  </si>
  <si>
    <t>Credit note raised against 256779414437</t>
  </si>
  <si>
    <t>Credit note raised against 256779414438</t>
  </si>
  <si>
    <t>Credit note raised against 256779414465</t>
  </si>
  <si>
    <t>Credit note raised against 256779414481</t>
  </si>
  <si>
    <t>Fixed Storage Charges for Mar 2025</t>
  </si>
  <si>
    <t>Port SSR Charges - Shifting for Aug to Dec,24.</t>
  </si>
  <si>
    <t>TIIU6358742-Port SSR Shifting Jan 2025. Exch rate</t>
  </si>
  <si>
    <t>2104588</t>
  </si>
  <si>
    <t>LCL Chgs - 01-15 MAY 25 ( BOE9705814 / 9824060 / 9</t>
  </si>
  <si>
    <t>2130610</t>
  </si>
  <si>
    <t>CY Ground rent Chgs - 01 - 15 Nov 25</t>
  </si>
  <si>
    <t>2130611</t>
  </si>
  <si>
    <t>Inbound chgs - 01 - 15 NOV 25</t>
  </si>
  <si>
    <t>2130612</t>
  </si>
  <si>
    <t>Outbound chgs - 01 - 15 Nov 25</t>
  </si>
  <si>
    <t>Inbound Handling charges for Feb 2025</t>
  </si>
  <si>
    <t>Inbound Handling charges for 31 Mar 2025</t>
  </si>
  <si>
    <t>Outbound Handling charges for 31 Mar 25</t>
  </si>
  <si>
    <t>2102479</t>
  </si>
  <si>
    <t>Scanning  Chgs - 01 - 15 Sep 25</t>
  </si>
  <si>
    <t>2102476</t>
  </si>
  <si>
    <t>CY Ground rent Chgs - 01 - 15 Sep 25</t>
  </si>
  <si>
    <t>2102483</t>
  </si>
  <si>
    <t>Outbound chgs - 01 - 15 Sep 25</t>
  </si>
  <si>
    <t>2102480</t>
  </si>
  <si>
    <t>Transportation In Chgs - 01 - 15 SEP 25</t>
  </si>
  <si>
    <t>2140068</t>
  </si>
  <si>
    <t>CY Ground rent Chgs - 16 - 30 Nov 25</t>
  </si>
  <si>
    <t>2140088</t>
  </si>
  <si>
    <t>Outbound chgs - 16 - 30 Nov 25</t>
  </si>
  <si>
    <t>Outbound chgs - 01 - 15 Apr 25</t>
  </si>
  <si>
    <t>Inbound Handling charges for Oct 2024</t>
  </si>
  <si>
    <t>VAS-16-30 Sept 25</t>
  </si>
  <si>
    <t>CY Ground rent Chgs - 01 - 30 Apr 25</t>
  </si>
  <si>
    <t>VAS - 16-30 April 25, Ex.Rate-85.05</t>
  </si>
  <si>
    <t>2140456</t>
  </si>
  <si>
    <t>Empty Lolo Chgs - 01 - 31 NOV 25</t>
  </si>
  <si>
    <t>2140458</t>
  </si>
  <si>
    <t>PORT SSR Chgs Nov 25</t>
  </si>
  <si>
    <t>2110511</t>
  </si>
  <si>
    <t>Unit Storage - 1-30 Sept 2025</t>
  </si>
  <si>
    <t>2110493</t>
  </si>
  <si>
    <t>Empty Lolo Chgs - 01 - 30 SEP 25</t>
  </si>
  <si>
    <t>Transportation In Chgs - 16 - 30 SEP 25</t>
  </si>
  <si>
    <t>2110503</t>
  </si>
  <si>
    <t>Outbound chgs - 16 - 30 Sep 25</t>
  </si>
  <si>
    <t>2110981</t>
  </si>
  <si>
    <t>PORT SSR Chgs Sep 25</t>
  </si>
  <si>
    <t>Unit-Storage-1-31 Aug 25</t>
  </si>
  <si>
    <t>2139799</t>
  </si>
  <si>
    <t>Unit Storage - 1-30 Nov 2025</t>
  </si>
  <si>
    <t>2156176</t>
  </si>
  <si>
    <t>CY Ground rent Chgs - 01 - 15 Dec 25</t>
  </si>
  <si>
    <t>2156419</t>
  </si>
  <si>
    <t>Outbound chgs - 01 - 15 Dec 25</t>
  </si>
  <si>
    <t>T54SWIC285279</t>
  </si>
  <si>
    <t>5</t>
  </si>
  <si>
    <t>1400002371</t>
  </si>
  <si>
    <t>6</t>
  </si>
  <si>
    <t>1400002372</t>
  </si>
  <si>
    <t>2110507</t>
  </si>
  <si>
    <t>Fixed Storage Charges for October 2025</t>
  </si>
  <si>
    <t>2110504</t>
  </si>
  <si>
    <t>2110489</t>
  </si>
  <si>
    <t>CY Ground rent Chgs - 16 - 30 Sep 25</t>
  </si>
  <si>
    <t>2158392</t>
  </si>
  <si>
    <t>CY Ground rent Chgs - 16 - 31 Dec 25</t>
  </si>
  <si>
    <t>2158404</t>
  </si>
  <si>
    <t>LCL Chgs - 16 - 31 DEC 25</t>
  </si>
  <si>
    <t>2158406</t>
  </si>
  <si>
    <t>Outbound chgs - 16 - 31 Dec 25</t>
  </si>
  <si>
    <t>2158636</t>
  </si>
  <si>
    <t>Intra-Dec 25 - 16-31</t>
  </si>
  <si>
    <t>2158669</t>
  </si>
  <si>
    <t>Fixed Storage Charges for January 2026</t>
  </si>
  <si>
    <t>Fixed Mangement FEE for January 2026</t>
  </si>
  <si>
    <t>2159214</t>
  </si>
  <si>
    <t>INTRA  -NOV 25,16-30</t>
  </si>
  <si>
    <t>VAS - NOV 25,16-30</t>
  </si>
  <si>
    <t>2163135</t>
  </si>
  <si>
    <t>CY Ground rent Chgs - 01 - 15 Jan 26</t>
  </si>
  <si>
    <t>2163146</t>
  </si>
  <si>
    <t>LCL Chgs - 01 - 15 JAN 26</t>
  </si>
  <si>
    <t>2163152</t>
  </si>
  <si>
    <t>Outbound chgs - 01 - 15 JAN 26</t>
  </si>
  <si>
    <t>2163426</t>
  </si>
  <si>
    <t>VAS-1-15 Jan 2026</t>
  </si>
  <si>
    <t>2168972</t>
  </si>
  <si>
    <t>CN issued against - 256779415196</t>
  </si>
  <si>
    <t>CN issued against - 256779416078</t>
  </si>
  <si>
    <t>CN issued against - 256779414240</t>
  </si>
  <si>
    <t>CN issued against - 256779417082</t>
  </si>
  <si>
    <t>2168973</t>
  </si>
  <si>
    <t>003MISC260310029</t>
  </si>
  <si>
    <t>2172703</t>
  </si>
  <si>
    <t>Fixed Storage Charges for February 2026</t>
  </si>
  <si>
    <t>Fixed Mangement FEE for February 2026</t>
  </si>
  <si>
    <t>2173091</t>
  </si>
  <si>
    <t>CY Ground rent Chgs - 16 - 31 Jan 26</t>
  </si>
  <si>
    <t>2173096</t>
  </si>
  <si>
    <t>6779224501</t>
  </si>
  <si>
    <t>Outbound chgs - 16 - 31 JAN 26</t>
  </si>
  <si>
    <t>2173092</t>
  </si>
  <si>
    <t>Empty Lolo Chgs - 01 - 31 JAN 26</t>
  </si>
  <si>
    <t>2173095</t>
  </si>
  <si>
    <t>LCL Chgs - 16 - 31 JAN 26</t>
  </si>
  <si>
    <t>9422978156FS</t>
  </si>
  <si>
    <t>1400002758</t>
  </si>
  <si>
    <t>T54SWIC264896</t>
  </si>
  <si>
    <t>2175414</t>
  </si>
  <si>
    <t>CY Ground rent Chgs - 01 - 15 Feb 26</t>
  </si>
  <si>
    <t>2175417</t>
  </si>
  <si>
    <t>Transportation In Chgs - 01 - 15 Feb 26</t>
  </si>
  <si>
    <t>2175421</t>
  </si>
  <si>
    <t>Scanning  Chgs - 01 - 15 Feb 26</t>
  </si>
  <si>
    <t>2175463</t>
  </si>
  <si>
    <t>SEZ-INTRA-1-15 Feb 2026</t>
  </si>
  <si>
    <t>VAS-1-15 Feb 2026</t>
  </si>
  <si>
    <t>2175423</t>
  </si>
  <si>
    <t>Transportation In Chgs - 01 - 15 FEB 26</t>
  </si>
  <si>
    <t>2175570</t>
  </si>
  <si>
    <t>Outbound chgs - 01 - 15 FEB 26</t>
  </si>
  <si>
    <t>T54SWIC268990</t>
  </si>
  <si>
    <t>1400002859</t>
  </si>
  <si>
    <t>Transportation In Chgs - 16 - 30 Apr 25</t>
  </si>
  <si>
    <t>Scanning  Chgs - 16 - 31 Apr 25</t>
  </si>
  <si>
    <t>Unit storage -1-31 May 25</t>
  </si>
  <si>
    <t>Empty Lolo Chgs - 01 - 31 MAY 25</t>
  </si>
  <si>
    <t>LCL Chgs - 16-31 MAY 25</t>
  </si>
  <si>
    <t>Fixed Storage Charges fo JUNE 2025</t>
  </si>
  <si>
    <t>2123409</t>
  </si>
  <si>
    <t>LCL Chgs - 16 - 31 OCT 25</t>
  </si>
  <si>
    <t>T54SWIC291025</t>
  </si>
  <si>
    <t>2184076</t>
  </si>
  <si>
    <t>Fixed Storage Charges for March 2026</t>
  </si>
  <si>
    <t>Fixed Mangement FEE for March 2026</t>
  </si>
  <si>
    <t>2184226</t>
  </si>
  <si>
    <t>Transportation In Chgs - 16 - 28 FEB 26</t>
  </si>
  <si>
    <t>2184502</t>
  </si>
  <si>
    <t>Unit Storage 1-28 Feb 2026</t>
  </si>
  <si>
    <t>2185684</t>
  </si>
  <si>
    <t>CY Ground rent Chgs - 16 - 28 Feb 26</t>
  </si>
  <si>
    <t>2185685</t>
  </si>
  <si>
    <t>Transportation In Chgs -16 - 28 Feb 26</t>
  </si>
  <si>
    <t>2185688</t>
  </si>
  <si>
    <t>Empty Lolo Chgs - 01 - 28 FEB 26</t>
  </si>
  <si>
    <t>2185692</t>
  </si>
  <si>
    <t>PORT SSR Chgs FEB 26</t>
  </si>
  <si>
    <t>2185928</t>
  </si>
  <si>
    <t>2185946</t>
  </si>
  <si>
    <t>Outbound chgs - 16 - 28 FEB 26</t>
  </si>
  <si>
    <t>2186848</t>
  </si>
  <si>
    <t>CN against Duplicate - 256779452463</t>
  </si>
  <si>
    <t>2189915</t>
  </si>
  <si>
    <t>Scanning  Chgs - 01 - 15 Mar 26</t>
  </si>
  <si>
    <t>2190160</t>
  </si>
  <si>
    <t>VAS-1-15 March 2026</t>
  </si>
  <si>
    <t>T54SWIC293023</t>
  </si>
  <si>
    <t>CY Ground rent Chgs - 01 - 15 Mar 26</t>
  </si>
  <si>
    <t>Transportation In Chgs - 01 - 15 MAR 26</t>
  </si>
  <si>
    <t>Outbound chgs - 01 - 15 MAR 26</t>
  </si>
  <si>
    <t>2191936</t>
  </si>
  <si>
    <t>CN against Duplicate - 256779452815</t>
  </si>
  <si>
    <t>Ref. 2 (Header)</t>
  </si>
  <si>
    <t>Remarks</t>
  </si>
  <si>
    <t>Offset Acct Name</t>
  </si>
  <si>
    <t>Debit (LC)</t>
  </si>
  <si>
    <t>Credit (LC)</t>
  </si>
  <si>
    <t>Cumulative Balance (LC)</t>
  </si>
  <si>
    <t>Debit (FC)</t>
  </si>
  <si>
    <t>Credit (FC)</t>
  </si>
  <si>
    <t>Cumulative Balance (FC)</t>
  </si>
  <si>
    <t>A/P Invoices - VD0304</t>
  </si>
  <si>
    <t>Rent - Ascendas</t>
  </si>
  <si>
    <t>Handeling &amp; Agency Charges</t>
  </si>
  <si>
    <t>Management Fees (Ascendas)</t>
  </si>
  <si>
    <t>Vos Miscellaneous Charges</t>
  </si>
  <si>
    <t>Ground Rent (Container)</t>
  </si>
  <si>
    <t>Being TDS deduction on 246779413797 ascendas</t>
  </si>
  <si>
    <t>Tds Payable- 94Ib - Rent</t>
  </si>
  <si>
    <t>Being TDS deduction on 246779413797 ascendas(Reversal) - 7619</t>
  </si>
  <si>
    <t>Being TDS deduction on 246779413808 ascendas</t>
  </si>
  <si>
    <t>Reefer Plug In</t>
  </si>
  <si>
    <t>LCL CHARGES</t>
  </si>
  <si>
    <t>A/P Invoice - Cancellation - VD0304</t>
  </si>
  <si>
    <t>Being TDS deduction on 246779413797 ascendas(Reversal) - 7646</t>
  </si>
  <si>
    <t>Being tds deduction for rent against bill no.-256779410224 dated-03-04-2025.</t>
  </si>
  <si>
    <t>Outgoing Payments - VD0304, Being Amount paid to ascendas against bank ref. no-003MISC251560088 dated 5-6-2025.</t>
  </si>
  <si>
    <t>YES BANK - 038784600000486 - CC A/c(SGE)</t>
  </si>
  <si>
    <t>Outgoing Payments - VD0304,Being Amount paid to ascendas against bank ref. no-003MISC251560102 dated 5-6-2025.</t>
  </si>
  <si>
    <t>Outgoing Payments - VD0304,Being Amount paid to ascendas against bank ref. no-003MISC251560090 dated 5-6-2025.</t>
  </si>
  <si>
    <t>Being TDS entry passed for the ground rent charges against bill no. 256779410006 dated 03-04-2025.</t>
  </si>
  <si>
    <t>Being Ground rent charges tds booked against bill no. 256779410015 dated 03-04-2025.</t>
  </si>
  <si>
    <t>BEing Ground Rent Charges tds booked against bill no 256779410012 dated 03-04-2025.</t>
  </si>
  <si>
    <t>Outgoing Payments - VD0304,Being Amount paid to ascendas against bank ref. no-003FT01251640051 dated 13-6-2025.</t>
  </si>
  <si>
    <t>HDFC Bank - INR</t>
  </si>
  <si>
    <t>Outgoing Payments - VD0304,Being Amount paid to ascendas against bank ref. no-003FT01251640038 dated 13-6-2025.</t>
  </si>
  <si>
    <t>Reverse Entry for Payment No. 7360143</t>
  </si>
  <si>
    <t>Being $3.4008 less paid in this bill because in summary sheet 2% tds deduscted instead of 10%</t>
  </si>
  <si>
    <t>Reverse Entry for Payment No. 7360144</t>
  </si>
  <si>
    <t>Transportation (Inbound)</t>
  </si>
  <si>
    <t>Outgoing Payments - VD0304,Being payment done against USD 3798.9858   ASCENDAS PANVEL FTWZ PRIVATE LIMITED, Bank ref no.-  003MISC251990131 dated-18-07-2025.</t>
  </si>
  <si>
    <t>YES BANK - USD</t>
  </si>
  <si>
    <t>Reverse Entry for Payment No. 7360316</t>
  </si>
  <si>
    <t>Empty Return - Outward</t>
  </si>
  <si>
    <t>Inbound &amp; Outbound Handling</t>
  </si>
  <si>
    <t>Empty Lolo (Empty Yard)</t>
  </si>
  <si>
    <t>Outgoing Payments - VD0304,Being payment done against USD 1007.82   ASCENDAS PANVEL FTWZ PRIVATE LIMITED, Bank ref no.- 003MISC252190104 dated-07-08-2025.</t>
  </si>
  <si>
    <t>Outgoing Payments - VD0304,Being payment done against USD 4800.34   ASCENDAS PANVEL FTWZ PRIVATE LIMITED, Bank ref no.-  003MISC252200121 dated-08-08-2025.</t>
  </si>
  <si>
    <t>Outgoing Payments - VD0304,Being payment done against USD 2954.34 ASCENDAS PANVEL FTWZ PRIVATE LIMITED, Bank ref no.- 003MISC252530130 dated-10-09-2025.</t>
  </si>
  <si>
    <t>Outgoing Payments - VD0304,Being payment done against USD 4740.75 ASCENDAS PANVEL FTWZ PRIVATE LIMITED, Bank ref no.- 003MISC252530128 dated-10-09-2025.</t>
  </si>
  <si>
    <t>Outgoing Payments - VD0304,Being payment done against USD 5041.57  ASCENDAS PANVEL FTWZ PRIVATE LIMITED, Bank ref no.- 003MISC252590125 dated-16-09-2025.</t>
  </si>
  <si>
    <t>Outgoing Payments - VD0304,Being payment done against USD 3327.77  ASCENDAS PANVEL FTWZ PRIVATE LIMITED, Bank ref no.- 003MISC252590125 dated-16-09-2025.</t>
  </si>
  <si>
    <t>A/P Credit Memos - VD0304</t>
  </si>
  <si>
    <t>A/P Credit Memo - Cancellation - VD0304</t>
  </si>
  <si>
    <t>Intra SEZ charges</t>
  </si>
  <si>
    <t>Outgoing Payments - VD0304,Being payment done against USD 1752.77 ASCENDAS PANVEL FTWZ PRIVATE LIMITED, Bank ref no.- 003MISC253020092 dated-29-10-2025.</t>
  </si>
  <si>
    <t>Outgoing Payments - VD0304,Being $1989.94 paid to ASCENDAS PANVEL FTWZ PRIVATE LIMITED  against bank ref. no.-003MISC253040153 dated-31-10-2025.</t>
  </si>
  <si>
    <t>Outgoing Payments - VD0304,Being $10502.1628 paid to ASCENDAS PANVEL FTWZ PRIVATE LIMITED  against bank ref. no.-003MISC253040148 dated-31-10-2025.</t>
  </si>
  <si>
    <t>Outgoing Payments - VD0304,Being $2328.2000 paid to ASCENDAS PANVEL FTWZ PRIVATE LIMITED  against bank ref. no.-003MISC253650039 dated-31-12-2025.</t>
  </si>
  <si>
    <t>Yes Bank (Dollar)</t>
  </si>
  <si>
    <t>Being debit note recieved from Ascendas Panvel FTWZ Private Limited against debit note no-256779421715 dated-14-08-2025.</t>
  </si>
  <si>
    <t>Reconciliation of Ledger as on 31st January 2026</t>
  </si>
  <si>
    <t>Particulars</t>
  </si>
  <si>
    <t>Amount</t>
  </si>
  <si>
    <t>Balance as per Shah TC Exim LLP</t>
  </si>
  <si>
    <t>Add: TDS recorded by customer but not in our books</t>
  </si>
  <si>
    <t>&gt;&gt; to be knocked against Payment</t>
  </si>
  <si>
    <t>Add: Invoices / CN not recorded in customer books</t>
  </si>
  <si>
    <t>&gt;&gt; to be confirmed by customer</t>
  </si>
  <si>
    <t>Add: Bank Charges and Foreign Exchange gain/loss</t>
  </si>
  <si>
    <t>&gt;&gt; to be confirmed by CL team</t>
  </si>
  <si>
    <t>Less: Invoices under recorded in Ascendus books</t>
  </si>
  <si>
    <t>Less: Invoices in Customers books and not in Ascendus books</t>
  </si>
  <si>
    <t>Derived balance</t>
  </si>
  <si>
    <t>Balance as per Ascendus</t>
  </si>
  <si>
    <t>Difference</t>
  </si>
  <si>
    <t>Row Labels</t>
  </si>
  <si>
    <t>Sum of Debit (FC)</t>
  </si>
  <si>
    <t>Sum of Credit (FC)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</si>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</sst>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4" fontId="0" fillId="0" borderId="1" xfId="0" applyNumberFormat="1" applyBorder="1" applyAlignment="1">
      <alignment horizontal="right"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right" vertical="top" wrapText="1"/>
    </xf>
    <xf numFmtId="4" fontId="0" fillId="0" borderId="0" xfId="0" applyNumberFormat="1" applyAlignment="1">
      <alignment horizontal="right" vertical="top" wrapText="1"/>
    </xf>
    <xf numFmtId="0" fontId="0" fillId="3" borderId="1" xfId="0" applyFill="1" applyBorder="1" applyAlignment="1">
      <alignment vertical="top" wrapText="1"/>
    </xf>
    <xf numFmtId="14" fontId="0" fillId="3" borderId="1" xfId="0" applyNumberFormat="1" applyFill="1" applyBorder="1" applyAlignment="1">
      <alignment horizontal="right" vertical="top" wrapText="1"/>
    </xf>
    <xf numFmtId="4" fontId="0" fillId="3" borderId="1" xfId="0" applyNumberFormat="1" applyFill="1" applyBorder="1" applyAlignment="1">
      <alignment horizontal="right" vertical="top" wrapText="1"/>
    </xf>
    <xf numFmtId="3" fontId="0" fillId="3" borderId="1" xfId="0" applyNumberFormat="1" applyFill="1" applyBorder="1" applyAlignment="1">
      <alignment horizontal="right" vertical="top" wrapText="1"/>
    </xf>
    <xf numFmtId="0" fontId="0" fillId="4" borderId="1" xfId="0" applyFill="1" applyBorder="1" applyAlignment="1">
      <alignment vertical="top" wrapText="1"/>
    </xf>
    <xf numFmtId="14" fontId="0" fillId="4" borderId="1" xfId="0" applyNumberFormat="1" applyFill="1" applyBorder="1" applyAlignment="1">
      <alignment horizontal="right" vertical="top" wrapText="1"/>
    </xf>
    <xf numFmtId="4" fontId="0" fillId="4" borderId="1" xfId="0" applyNumberFormat="1" applyFill="1" applyBorder="1" applyAlignment="1">
      <alignment horizontal="right" vertical="top" wrapText="1"/>
    </xf>
    <xf numFmtId="3" fontId="0" fillId="4" borderId="1" xfId="0" applyNumberFormat="1" applyFill="1" applyBorder="1" applyAlignment="1">
      <alignment horizontal="right" vertical="top" wrapText="1"/>
    </xf>
    <xf numFmtId="0" fontId="2" fillId="0" borderId="0" xfId="0" applyFont="1"/>
    <xf numFmtId="1" fontId="0" fillId="0" borderId="0" xfId="0" applyNumberFormat="1"/>
    <xf numFmtId="14" fontId="0" fillId="0" borderId="0" xfId="0" applyNumberFormat="1"/>
    <xf numFmtId="43" fontId="0" fillId="0" borderId="0" xfId="1" applyFont="1"/>
    <xf numFmtId="14" fontId="0" fillId="5" borderId="0" xfId="0" applyNumberFormat="1" applyFill="1"/>
    <xf numFmtId="1" fontId="0" fillId="6" borderId="0" xfId="0" applyNumberFormat="1" applyFill="1"/>
    <xf numFmtId="43" fontId="2" fillId="0" borderId="0" xfId="1" applyFont="1"/>
    <xf numFmtId="43" fontId="3" fillId="0" borderId="2" xfId="1" applyFont="1" applyBorder="1" applyAlignment="1"/>
    <xf numFmtId="43" fontId="3" fillId="0" borderId="4" xfId="1" applyFont="1" applyBorder="1" applyAlignment="1"/>
    <xf numFmtId="43" fontId="4" fillId="0" borderId="5" xfId="1" applyFont="1" applyBorder="1" applyAlignment="1"/>
    <xf numFmtId="43" fontId="4" fillId="0" borderId="6" xfId="1" applyFont="1" applyBorder="1" applyAlignment="1"/>
    <xf numFmtId="43" fontId="4" fillId="0" borderId="7" xfId="1" applyFont="1" applyBorder="1" applyAlignment="1"/>
    <xf numFmtId="43" fontId="4" fillId="0" borderId="8" xfId="1" applyFont="1" applyBorder="1" applyAlignment="1"/>
    <xf numFmtId="43" fontId="4" fillId="0" borderId="9" xfId="1" applyFont="1" applyBorder="1" applyAlignment="1"/>
    <xf numFmtId="43" fontId="0" fillId="0" borderId="1" xfId="1" applyFont="1" applyBorder="1"/>
    <xf numFmtId="1" fontId="0" fillId="0" borderId="1" xfId="0" applyNumberFormat="1" applyBorder="1"/>
    <xf numFmtId="1" fontId="0" fillId="2" borderId="1" xfId="0" applyNumberFormat="1" applyFill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kings-SHAH%20TC%20GLOBAL%20EXIM%20LL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yment Reco Updated"/>
      <sheetName val="Ascendus Data"/>
      <sheetName val="Payment Reco"/>
      <sheetName val="Difference in Invoice Amount"/>
      <sheetName val="Invoice not in Customer books"/>
      <sheetName val="CN not in Customer Books"/>
      <sheetName val="TDS Deducted"/>
      <sheetName val="Sheet2"/>
      <sheetName val="Customer Data Vlookup"/>
      <sheetName val="Sheet3"/>
      <sheetName val="Updated Ascendus ledger"/>
      <sheetName val="Customer Data"/>
      <sheetName val="Sheet4"/>
      <sheetName val="Sheet1"/>
    </sheetNames>
    <sheetDataSet>
      <sheetData sheetId="0"/>
      <sheetData sheetId="1">
        <row r="19">
          <cell r="L19">
            <v>-255.55000000000075</v>
          </cell>
          <cell r="M19">
            <v>616.54</v>
          </cell>
          <cell r="N19">
            <v>29.229999999999634</v>
          </cell>
        </row>
      </sheetData>
      <sheetData sheetId="2">
        <row r="1">
          <cell r="G1">
            <v>25229.422137931029</v>
          </cell>
        </row>
      </sheetData>
      <sheetData sheetId="3"/>
      <sheetData sheetId="4">
        <row r="4">
          <cell r="M4">
            <v>-96.01480000000015</v>
          </cell>
        </row>
      </sheetData>
      <sheetData sheetId="5">
        <row r="1">
          <cell r="I1">
            <v>7523.3641379310393</v>
          </cell>
        </row>
      </sheetData>
      <sheetData sheetId="6"/>
      <sheetData sheetId="7">
        <row r="1">
          <cell r="O1">
            <v>4732.532799999999</v>
          </cell>
        </row>
      </sheetData>
      <sheetData sheetId="8"/>
      <sheetData sheetId="9">
        <row r="11">
          <cell r="S11">
            <v>131.57180000000002</v>
          </cell>
        </row>
      </sheetData>
      <sheetData sheetId="10"/>
      <sheetData sheetId="11"/>
      <sheetData sheetId="12">
        <row r="279">
          <cell r="L279">
            <v>-13591.3318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C106-6D4D-4BDB-9FBC-CD525CF5250A}">
  <dimension ref="A1:C12"/>
  <sheetViews>
    <sheetView workbookViewId="0">
      <selection activeCell="B5" sqref="B5"/>
    </sheetView>
  </sheetViews>
  <sheetFormatPr defaultRowHeight="14.5" x14ac:dyDescent="0.35"/>
  <cols>
    <col min="1" max="1" width="84.08984375" style="19" bestFit="1" customWidth="1"/>
    <col min="2" max="2" width="13.90625" style="19" bestFit="1" customWidth="1"/>
    <col min="3" max="3" width="29.453125" bestFit="1" customWidth="1"/>
  </cols>
  <sheetData>
    <row r="1" spans="1:3" ht="15" thickBot="1" x14ac:dyDescent="0.4">
      <c r="A1" s="37" t="s">
        <v>457</v>
      </c>
      <c r="B1" s="38"/>
    </row>
    <row r="2" spans="1:3" ht="15" thickBot="1" x14ac:dyDescent="0.4">
      <c r="A2" s="23" t="s">
        <v>458</v>
      </c>
      <c r="B2" s="24" t="s">
        <v>459</v>
      </c>
    </row>
    <row r="3" spans="1:3" x14ac:dyDescent="0.35">
      <c r="A3" s="25" t="s">
        <v>460</v>
      </c>
      <c r="B3" s="26">
        <f>-'[1]Customer Data'!L279</f>
        <v>13591.3318</v>
      </c>
    </row>
    <row r="4" spans="1:3" x14ac:dyDescent="0.35">
      <c r="A4" s="25" t="s">
        <v>461</v>
      </c>
      <c r="B4" s="26">
        <f>'[1]TDS Deducted'!O1-'[1]Payment Reco Updated'!M19</f>
        <v>4115.9927999999991</v>
      </c>
      <c r="C4" t="s">
        <v>462</v>
      </c>
    </row>
    <row r="5" spans="1:3" x14ac:dyDescent="0.35">
      <c r="A5" s="25" t="s">
        <v>463</v>
      </c>
      <c r="B5" s="27">
        <f>'[1]Invoice not in Customer books'!I1</f>
        <v>7523.3641379310393</v>
      </c>
      <c r="C5" t="s">
        <v>464</v>
      </c>
    </row>
    <row r="6" spans="1:3" x14ac:dyDescent="0.35">
      <c r="A6" s="25" t="s">
        <v>465</v>
      </c>
      <c r="B6" s="27">
        <f>-('[1]Payment Reco Updated'!L19+'[1]Payment Reco Updated'!N19)</f>
        <v>226.32000000000113</v>
      </c>
      <c r="C6" t="s">
        <v>466</v>
      </c>
    </row>
    <row r="7" spans="1:3" x14ac:dyDescent="0.35">
      <c r="A7" s="25" t="s">
        <v>467</v>
      </c>
      <c r="B7" s="27">
        <f>'[1]Difference in Invoice Amount'!M4</f>
        <v>-96.01480000000015</v>
      </c>
      <c r="C7" t="s">
        <v>466</v>
      </c>
    </row>
    <row r="8" spans="1:3" x14ac:dyDescent="0.35">
      <c r="A8" s="25" t="s">
        <v>468</v>
      </c>
      <c r="B8" s="27">
        <f>-'[1]Customer Data Vlookup'!S11</f>
        <v>-131.57180000000002</v>
      </c>
      <c r="C8" t="s">
        <v>466</v>
      </c>
    </row>
    <row r="9" spans="1:3" x14ac:dyDescent="0.35">
      <c r="A9" s="25" t="s">
        <v>469</v>
      </c>
      <c r="B9" s="27">
        <f>SUM(B3:B8)</f>
        <v>25229.422137931037</v>
      </c>
    </row>
    <row r="10" spans="1:3" x14ac:dyDescent="0.35">
      <c r="A10" s="25" t="s">
        <v>470</v>
      </c>
      <c r="B10" s="27">
        <f>'[1]Ascendus Data'!G1</f>
        <v>25229.422137931029</v>
      </c>
    </row>
    <row r="11" spans="1:3" ht="15" thickBot="1" x14ac:dyDescent="0.4">
      <c r="A11" s="28"/>
      <c r="B11" s="29"/>
    </row>
    <row r="12" spans="1:3" ht="15" thickBot="1" x14ac:dyDescent="0.4">
      <c r="A12" s="23" t="s">
        <v>471</v>
      </c>
      <c r="B12" s="24">
        <f>B9-B10-B11</f>
        <v>7.2759576141834259E-12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0C5A-1DE6-4C73-87D0-5ADE64AFB31D}">
  <dimension ref="A1:AC360"/>
  <sheetViews>
    <sheetView tabSelected="1" topLeftCell="A93" workbookViewId="0">
      <selection activeCell="D125" sqref="D125"/>
    </sheetView>
  </sheetViews>
  <sheetFormatPr defaultRowHeight="14.5" x14ac:dyDescent="0.35"/>
  <cols>
    <col min="1" max="1" width="11.36328125" customWidth="1"/>
    <col min="2" max="2" width="4.453125" customWidth="1"/>
    <col min="3" max="3" width="10.1796875" customWidth="1"/>
    <col min="4" max="4" width="10.08984375" bestFit="1" customWidth="1"/>
    <col min="5" max="5" width="14.6328125" customWidth="1"/>
    <col min="6" max="6" width="16.08984375" style="17" bestFit="1" customWidth="1"/>
    <col min="7" max="7" width="10.90625" hidden="1" customWidth="1"/>
    <col min="8" max="8" width="20.54296875" hidden="1" customWidth="1"/>
    <col min="9" max="9" width="13.7265625" hidden="1" customWidth="1"/>
    <col min="10" max="10" width="10.1796875" hidden="1" customWidth="1"/>
    <col min="11" max="11" width="8.26953125" bestFit="1" customWidth="1"/>
    <col min="12" max="12" width="11.26953125" bestFit="1" customWidth="1"/>
    <col min="14" max="14" width="11.90625" bestFit="1" customWidth="1"/>
    <col min="15" max="15" width="8.453125" hidden="1" customWidth="1"/>
    <col min="16" max="16" width="11.36328125" hidden="1" customWidth="1"/>
    <col min="17" max="17" width="17.26953125" hidden="1" customWidth="1"/>
    <col min="18" max="18" width="10.453125" hidden="1" customWidth="1"/>
    <col min="19" max="19" width="4.6328125" hidden="1" customWidth="1"/>
    <col min="20" max="22" width="0" hidden="1" customWidth="1"/>
    <col min="23" max="23" width="46.08984375" bestFit="1" customWidth="1"/>
    <col min="24" max="26" width="14.08984375" hidden="1" customWidth="1"/>
    <col min="27" max="27" width="19" hidden="1" customWidth="1"/>
    <col min="28" max="28" width="11.90625" hidden="1" customWidth="1"/>
    <col min="29" max="29" width="16.7265625" bestFit="1" customWidth="1"/>
  </cols>
  <sheetData>
    <row r="1" spans="1:29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x14ac:dyDescent="0.35">
      <c r="A2" s="2">
        <v>1400001110</v>
      </c>
      <c r="B2" s="2" t="s">
        <v>26</v>
      </c>
      <c r="C2" s="3">
        <v>45902</v>
      </c>
      <c r="D2" s="3">
        <v>45902</v>
      </c>
      <c r="E2" s="2" t="s">
        <v>27</v>
      </c>
      <c r="F2" s="33" t="s">
        <v>27</v>
      </c>
      <c r="G2" s="2" t="s">
        <v>28</v>
      </c>
      <c r="H2" s="2" t="s">
        <v>29</v>
      </c>
      <c r="I2" s="2" t="s">
        <v>27</v>
      </c>
      <c r="J2" s="2" t="s">
        <v>30</v>
      </c>
      <c r="K2" s="2" t="s">
        <v>31</v>
      </c>
      <c r="L2" s="4">
        <v>6940.7917241379309</v>
      </c>
      <c r="M2" s="2" t="s">
        <v>31</v>
      </c>
      <c r="N2" s="4">
        <v>595243.31000000006</v>
      </c>
      <c r="O2" s="2" t="s">
        <v>27</v>
      </c>
      <c r="P2" s="2" t="s">
        <v>32</v>
      </c>
      <c r="Q2" s="2" t="s">
        <v>27</v>
      </c>
      <c r="R2" s="2" t="s">
        <v>27</v>
      </c>
      <c r="S2" s="2" t="s">
        <v>33</v>
      </c>
      <c r="T2" s="2"/>
      <c r="U2" s="2"/>
      <c r="V2" s="2"/>
      <c r="W2" s="2" t="s">
        <v>27</v>
      </c>
      <c r="X2" s="2" t="s">
        <v>27</v>
      </c>
      <c r="Y2" s="2" t="s">
        <v>27</v>
      </c>
      <c r="Z2" s="2" t="s">
        <v>27</v>
      </c>
      <c r="AA2" s="3">
        <v>45902</v>
      </c>
      <c r="AB2" s="3">
        <v>45902</v>
      </c>
      <c r="AC2" s="2" t="s">
        <v>34</v>
      </c>
    </row>
    <row r="3" spans="1:29" x14ac:dyDescent="0.35">
      <c r="A3" s="2">
        <v>1400001110</v>
      </c>
      <c r="B3" s="2" t="s">
        <v>26</v>
      </c>
      <c r="C3" s="3">
        <v>45902</v>
      </c>
      <c r="D3" s="3">
        <v>45902</v>
      </c>
      <c r="E3" s="2" t="s">
        <v>27</v>
      </c>
      <c r="F3" s="33" t="s">
        <v>27</v>
      </c>
      <c r="G3" s="2" t="s">
        <v>28</v>
      </c>
      <c r="H3" s="2" t="s">
        <v>29</v>
      </c>
      <c r="I3" s="2" t="s">
        <v>27</v>
      </c>
      <c r="J3" s="2" t="s">
        <v>35</v>
      </c>
      <c r="K3" s="2" t="s">
        <v>31</v>
      </c>
      <c r="L3" s="4">
        <v>-6940.7917241379309</v>
      </c>
      <c r="M3" s="2" t="s">
        <v>31</v>
      </c>
      <c r="N3" s="4">
        <v>-599760.56000000006</v>
      </c>
      <c r="O3" s="2" t="s">
        <v>27</v>
      </c>
      <c r="P3" s="2" t="s">
        <v>32</v>
      </c>
      <c r="Q3" s="2" t="s">
        <v>27</v>
      </c>
      <c r="R3" s="2" t="s">
        <v>27</v>
      </c>
      <c r="S3" s="2" t="s">
        <v>36</v>
      </c>
      <c r="T3" s="2"/>
      <c r="U3" s="2"/>
      <c r="V3" s="2"/>
      <c r="W3" s="2" t="s">
        <v>27</v>
      </c>
      <c r="X3" s="2" t="s">
        <v>27</v>
      </c>
      <c r="Y3" s="2" t="s">
        <v>27</v>
      </c>
      <c r="Z3" s="2" t="s">
        <v>27</v>
      </c>
      <c r="AA3" s="3">
        <v>45902</v>
      </c>
      <c r="AB3" s="3">
        <v>45902</v>
      </c>
      <c r="AC3" s="2" t="s">
        <v>34</v>
      </c>
    </row>
    <row r="4" spans="1:29" x14ac:dyDescent="0.35">
      <c r="A4" s="2">
        <v>1400000854</v>
      </c>
      <c r="B4" s="2" t="s">
        <v>37</v>
      </c>
      <c r="C4" s="3">
        <v>45887</v>
      </c>
      <c r="D4" s="3">
        <v>45887</v>
      </c>
      <c r="E4" s="2" t="s">
        <v>27</v>
      </c>
      <c r="F4" s="33" t="s">
        <v>27</v>
      </c>
      <c r="G4" s="2" t="s">
        <v>28</v>
      </c>
      <c r="H4" s="2" t="s">
        <v>29</v>
      </c>
      <c r="I4" s="2" t="s">
        <v>27</v>
      </c>
      <c r="J4" s="2" t="s">
        <v>35</v>
      </c>
      <c r="K4" s="2" t="s">
        <v>38</v>
      </c>
      <c r="L4" s="4">
        <v>-700.45</v>
      </c>
      <c r="M4" s="2" t="s">
        <v>31</v>
      </c>
      <c r="N4" s="4">
        <v>-60884.42</v>
      </c>
      <c r="O4" s="2" t="s">
        <v>27</v>
      </c>
      <c r="P4" s="2" t="s">
        <v>27</v>
      </c>
      <c r="Q4" s="2" t="s">
        <v>27</v>
      </c>
      <c r="R4" s="2" t="s">
        <v>27</v>
      </c>
      <c r="S4" s="2" t="s">
        <v>39</v>
      </c>
      <c r="T4" s="2"/>
      <c r="U4" s="2"/>
      <c r="V4" s="2"/>
      <c r="W4" s="2" t="s">
        <v>27</v>
      </c>
      <c r="X4" s="2" t="s">
        <v>27</v>
      </c>
      <c r="Y4" s="2" t="s">
        <v>27</v>
      </c>
      <c r="Z4" s="2" t="s">
        <v>27</v>
      </c>
      <c r="AA4" s="3">
        <v>45887</v>
      </c>
      <c r="AB4" s="3">
        <v>45887</v>
      </c>
      <c r="AC4" s="2" t="s">
        <v>40</v>
      </c>
    </row>
    <row r="5" spans="1:29" x14ac:dyDescent="0.35">
      <c r="A5" s="2">
        <v>1400001231</v>
      </c>
      <c r="B5" s="2" t="s">
        <v>37</v>
      </c>
      <c r="C5" s="3">
        <v>45931</v>
      </c>
      <c r="D5" s="3">
        <v>45925</v>
      </c>
      <c r="E5" s="2" t="s">
        <v>41</v>
      </c>
      <c r="F5" s="33" t="s">
        <v>27</v>
      </c>
      <c r="G5" s="2" t="s">
        <v>28</v>
      </c>
      <c r="H5" s="2" t="s">
        <v>29</v>
      </c>
      <c r="I5" s="2" t="s">
        <v>27</v>
      </c>
      <c r="J5" s="2" t="s">
        <v>35</v>
      </c>
      <c r="K5" s="2" t="s">
        <v>38</v>
      </c>
      <c r="L5" s="4">
        <v>-4719.25</v>
      </c>
      <c r="M5" s="2" t="s">
        <v>31</v>
      </c>
      <c r="N5" s="4">
        <v>-413002</v>
      </c>
      <c r="O5" s="2" t="s">
        <v>27</v>
      </c>
      <c r="P5" s="2" t="s">
        <v>42</v>
      </c>
      <c r="Q5" s="2" t="s">
        <v>27</v>
      </c>
      <c r="R5" s="2" t="s">
        <v>27</v>
      </c>
      <c r="S5" s="2" t="s">
        <v>36</v>
      </c>
      <c r="T5" s="2"/>
      <c r="U5" s="2"/>
      <c r="V5" s="2"/>
      <c r="W5" s="2" t="s">
        <v>27</v>
      </c>
      <c r="X5" s="2" t="s">
        <v>27</v>
      </c>
      <c r="Y5" s="2" t="s">
        <v>27</v>
      </c>
      <c r="Z5" s="2" t="s">
        <v>27</v>
      </c>
      <c r="AA5" s="3">
        <v>45931</v>
      </c>
      <c r="AB5" s="3"/>
      <c r="AC5" s="2" t="s">
        <v>27</v>
      </c>
    </row>
    <row r="6" spans="1:29" x14ac:dyDescent="0.35">
      <c r="A6" s="2">
        <v>1400000977</v>
      </c>
      <c r="B6" s="2" t="s">
        <v>37</v>
      </c>
      <c r="C6" s="3">
        <v>45890</v>
      </c>
      <c r="D6" s="3">
        <v>45890</v>
      </c>
      <c r="E6" s="2" t="s">
        <v>43</v>
      </c>
      <c r="F6" s="33" t="s">
        <v>27</v>
      </c>
      <c r="G6" s="2" t="s">
        <v>28</v>
      </c>
      <c r="H6" s="2" t="s">
        <v>29</v>
      </c>
      <c r="I6" s="2" t="s">
        <v>27</v>
      </c>
      <c r="J6" s="2" t="s">
        <v>35</v>
      </c>
      <c r="K6" s="2" t="s">
        <v>38</v>
      </c>
      <c r="L6" s="4">
        <v>-3663.7</v>
      </c>
      <c r="M6" s="2" t="s">
        <v>31</v>
      </c>
      <c r="N6" s="4">
        <v>-313212.57</v>
      </c>
      <c r="O6" s="2" t="s">
        <v>27</v>
      </c>
      <c r="P6" s="2" t="s">
        <v>42</v>
      </c>
      <c r="Q6" s="2" t="s">
        <v>27</v>
      </c>
      <c r="R6" s="2" t="s">
        <v>27</v>
      </c>
      <c r="S6" s="2" t="s">
        <v>36</v>
      </c>
      <c r="T6" s="2"/>
      <c r="U6" s="2"/>
      <c r="V6" s="2"/>
      <c r="W6" s="2" t="s">
        <v>27</v>
      </c>
      <c r="X6" s="2" t="s">
        <v>27</v>
      </c>
      <c r="Y6" s="2" t="s">
        <v>27</v>
      </c>
      <c r="Z6" s="2" t="s">
        <v>27</v>
      </c>
      <c r="AA6" s="3">
        <v>45890</v>
      </c>
      <c r="AB6" s="3"/>
      <c r="AC6" s="2" t="s">
        <v>27</v>
      </c>
    </row>
    <row r="7" spans="1:29" x14ac:dyDescent="0.35">
      <c r="A7" s="2">
        <v>1400000126</v>
      </c>
      <c r="B7" s="2" t="s">
        <v>37</v>
      </c>
      <c r="C7" s="3">
        <v>45832</v>
      </c>
      <c r="D7" s="3">
        <v>45832</v>
      </c>
      <c r="E7" s="2" t="s">
        <v>44</v>
      </c>
      <c r="F7" s="33" t="s">
        <v>27</v>
      </c>
      <c r="G7" s="2" t="s">
        <v>28</v>
      </c>
      <c r="H7" s="2" t="s">
        <v>29</v>
      </c>
      <c r="I7" s="2" t="s">
        <v>27</v>
      </c>
      <c r="J7" s="2" t="s">
        <v>35</v>
      </c>
      <c r="K7" s="2" t="s">
        <v>38</v>
      </c>
      <c r="L7" s="4">
        <v>-3663.7</v>
      </c>
      <c r="M7" s="2" t="s">
        <v>31</v>
      </c>
      <c r="N7" s="4">
        <v>-3663.7</v>
      </c>
      <c r="O7" s="2" t="s">
        <v>27</v>
      </c>
      <c r="P7" s="2" t="s">
        <v>42</v>
      </c>
      <c r="Q7" s="2" t="s">
        <v>27</v>
      </c>
      <c r="R7" s="2" t="s">
        <v>27</v>
      </c>
      <c r="S7" s="2" t="s">
        <v>36</v>
      </c>
      <c r="T7" s="2"/>
      <c r="U7" s="2"/>
      <c r="V7" s="2"/>
      <c r="W7" s="2" t="s">
        <v>27</v>
      </c>
      <c r="X7" s="2" t="s">
        <v>27</v>
      </c>
      <c r="Y7" s="2" t="s">
        <v>27</v>
      </c>
      <c r="Z7" s="2" t="s">
        <v>27</v>
      </c>
      <c r="AA7" s="3">
        <v>45832</v>
      </c>
      <c r="AB7" s="3">
        <v>45839</v>
      </c>
      <c r="AC7" s="2" t="s">
        <v>45</v>
      </c>
    </row>
    <row r="8" spans="1:29" x14ac:dyDescent="0.35">
      <c r="A8" s="2">
        <v>1400000128</v>
      </c>
      <c r="B8" s="2" t="s">
        <v>37</v>
      </c>
      <c r="C8" s="3">
        <v>45832</v>
      </c>
      <c r="D8" s="3">
        <v>45832</v>
      </c>
      <c r="E8" s="2" t="s">
        <v>46</v>
      </c>
      <c r="F8" s="33" t="s">
        <v>27</v>
      </c>
      <c r="G8" s="2" t="s">
        <v>28</v>
      </c>
      <c r="H8" s="2" t="s">
        <v>29</v>
      </c>
      <c r="I8" s="2" t="s">
        <v>27</v>
      </c>
      <c r="J8" s="2" t="s">
        <v>35</v>
      </c>
      <c r="K8" s="2" t="s">
        <v>38</v>
      </c>
      <c r="L8" s="4">
        <v>-3145.98</v>
      </c>
      <c r="M8" s="2" t="s">
        <v>31</v>
      </c>
      <c r="N8" s="4">
        <v>-3145.98</v>
      </c>
      <c r="O8" s="2" t="s">
        <v>27</v>
      </c>
      <c r="P8" s="2" t="s">
        <v>42</v>
      </c>
      <c r="Q8" s="2" t="s">
        <v>27</v>
      </c>
      <c r="R8" s="2" t="s">
        <v>27</v>
      </c>
      <c r="S8" s="2" t="s">
        <v>36</v>
      </c>
      <c r="T8" s="2"/>
      <c r="U8" s="2"/>
      <c r="V8" s="2"/>
      <c r="W8" s="2" t="s">
        <v>27</v>
      </c>
      <c r="X8" s="2" t="s">
        <v>27</v>
      </c>
      <c r="Y8" s="2" t="s">
        <v>27</v>
      </c>
      <c r="Z8" s="2" t="s">
        <v>27</v>
      </c>
      <c r="AA8" s="3">
        <v>45832</v>
      </c>
      <c r="AB8" s="3"/>
      <c r="AC8" s="2" t="s">
        <v>27</v>
      </c>
    </row>
    <row r="9" spans="1:29" x14ac:dyDescent="0.35">
      <c r="A9" s="2">
        <v>1400000133</v>
      </c>
      <c r="B9" s="2" t="s">
        <v>37</v>
      </c>
      <c r="C9" s="3">
        <v>45832</v>
      </c>
      <c r="D9" s="3">
        <v>45832</v>
      </c>
      <c r="E9" s="2" t="s">
        <v>47</v>
      </c>
      <c r="F9" s="33" t="s">
        <v>27</v>
      </c>
      <c r="G9" s="2" t="s">
        <v>28</v>
      </c>
      <c r="H9" s="2" t="s">
        <v>29</v>
      </c>
      <c r="I9" s="2" t="s">
        <v>27</v>
      </c>
      <c r="J9" s="2" t="s">
        <v>35</v>
      </c>
      <c r="K9" s="2" t="s">
        <v>38</v>
      </c>
      <c r="L9" s="4">
        <v>-12549.36</v>
      </c>
      <c r="M9" s="2" t="s">
        <v>31</v>
      </c>
      <c r="N9" s="4">
        <v>-12549.36</v>
      </c>
      <c r="O9" s="2" t="s">
        <v>27</v>
      </c>
      <c r="P9" s="2" t="s">
        <v>42</v>
      </c>
      <c r="Q9" s="2" t="s">
        <v>27</v>
      </c>
      <c r="R9" s="2" t="s">
        <v>27</v>
      </c>
      <c r="S9" s="2" t="s">
        <v>36</v>
      </c>
      <c r="T9" s="2"/>
      <c r="U9" s="2"/>
      <c r="V9" s="2"/>
      <c r="W9" s="2" t="s">
        <v>27</v>
      </c>
      <c r="X9" s="2" t="s">
        <v>27</v>
      </c>
      <c r="Y9" s="2" t="s">
        <v>27</v>
      </c>
      <c r="Z9" s="2" t="s">
        <v>27</v>
      </c>
      <c r="AA9" s="3">
        <v>45832</v>
      </c>
      <c r="AB9" s="3"/>
      <c r="AC9" s="2" t="s">
        <v>27</v>
      </c>
    </row>
    <row r="10" spans="1:29" x14ac:dyDescent="0.35">
      <c r="A10" s="2">
        <v>1400000134</v>
      </c>
      <c r="B10" s="2" t="s">
        <v>37</v>
      </c>
      <c r="C10" s="3">
        <v>45832</v>
      </c>
      <c r="D10" s="3">
        <v>45832</v>
      </c>
      <c r="E10" s="2" t="s">
        <v>48</v>
      </c>
      <c r="F10" s="33" t="s">
        <v>27</v>
      </c>
      <c r="G10" s="2" t="s">
        <v>28</v>
      </c>
      <c r="H10" s="2" t="s">
        <v>29</v>
      </c>
      <c r="I10" s="2" t="s">
        <v>27</v>
      </c>
      <c r="J10" s="2" t="s">
        <v>35</v>
      </c>
      <c r="K10" s="2" t="s">
        <v>38</v>
      </c>
      <c r="L10" s="4">
        <v>-4228.22</v>
      </c>
      <c r="M10" s="2" t="s">
        <v>31</v>
      </c>
      <c r="N10" s="4">
        <v>-4228.22</v>
      </c>
      <c r="O10" s="2" t="s">
        <v>27</v>
      </c>
      <c r="P10" s="2" t="s">
        <v>42</v>
      </c>
      <c r="Q10" s="2" t="s">
        <v>27</v>
      </c>
      <c r="R10" s="2" t="s">
        <v>27</v>
      </c>
      <c r="S10" s="2" t="s">
        <v>36</v>
      </c>
      <c r="T10" s="2"/>
      <c r="U10" s="2"/>
      <c r="V10" s="2"/>
      <c r="W10" s="2" t="s">
        <v>27</v>
      </c>
      <c r="X10" s="2" t="s">
        <v>27</v>
      </c>
      <c r="Y10" s="2" t="s">
        <v>27</v>
      </c>
      <c r="Z10" s="2" t="s">
        <v>27</v>
      </c>
      <c r="AA10" s="3">
        <v>45832</v>
      </c>
      <c r="AB10" s="3"/>
      <c r="AC10" s="2" t="s">
        <v>27</v>
      </c>
    </row>
    <row r="11" spans="1:29" x14ac:dyDescent="0.35">
      <c r="A11" s="2">
        <v>1400000149</v>
      </c>
      <c r="B11" s="2" t="s">
        <v>37</v>
      </c>
      <c r="C11" s="3">
        <v>45832</v>
      </c>
      <c r="D11" s="3">
        <v>45835</v>
      </c>
      <c r="E11" s="2" t="s">
        <v>44</v>
      </c>
      <c r="F11" s="33" t="s">
        <v>27</v>
      </c>
      <c r="G11" s="2" t="s">
        <v>28</v>
      </c>
      <c r="H11" s="2" t="s">
        <v>29</v>
      </c>
      <c r="I11" s="2" t="s">
        <v>27</v>
      </c>
      <c r="J11" s="2" t="s">
        <v>49</v>
      </c>
      <c r="K11" s="2" t="s">
        <v>38</v>
      </c>
      <c r="L11" s="4">
        <v>3663.7</v>
      </c>
      <c r="M11" s="2" t="s">
        <v>31</v>
      </c>
      <c r="N11" s="4">
        <v>3663.7</v>
      </c>
      <c r="O11" s="2" t="s">
        <v>27</v>
      </c>
      <c r="P11" s="2" t="s">
        <v>42</v>
      </c>
      <c r="Q11" s="2" t="s">
        <v>27</v>
      </c>
      <c r="R11" s="2" t="s">
        <v>27</v>
      </c>
      <c r="S11" s="2" t="s">
        <v>36</v>
      </c>
      <c r="T11" s="2"/>
      <c r="U11" s="2"/>
      <c r="V11" s="2"/>
      <c r="W11" s="2" t="s">
        <v>27</v>
      </c>
      <c r="X11" s="2" t="s">
        <v>27</v>
      </c>
      <c r="Y11" s="2" t="s">
        <v>27</v>
      </c>
      <c r="Z11" s="2" t="s">
        <v>27</v>
      </c>
      <c r="AA11" s="3">
        <v>45832</v>
      </c>
      <c r="AB11" s="3">
        <v>45839</v>
      </c>
      <c r="AC11" s="2" t="s">
        <v>45</v>
      </c>
    </row>
    <row r="12" spans="1:29" x14ac:dyDescent="0.35">
      <c r="A12" s="2">
        <v>1400000854</v>
      </c>
      <c r="B12" s="2" t="s">
        <v>37</v>
      </c>
      <c r="C12" s="3">
        <v>45887</v>
      </c>
      <c r="D12" s="3">
        <v>45887</v>
      </c>
      <c r="E12" s="2" t="s">
        <v>27</v>
      </c>
      <c r="F12" s="33" t="s">
        <v>27</v>
      </c>
      <c r="G12" s="2" t="s">
        <v>28</v>
      </c>
      <c r="H12" s="2" t="s">
        <v>29</v>
      </c>
      <c r="I12" s="2" t="s">
        <v>27</v>
      </c>
      <c r="J12" s="2" t="s">
        <v>35</v>
      </c>
      <c r="K12" s="2" t="s">
        <v>38</v>
      </c>
      <c r="L12" s="4">
        <v>-4437.8999999999996</v>
      </c>
      <c r="M12" s="2" t="s">
        <v>31</v>
      </c>
      <c r="N12" s="4">
        <v>-383425.92</v>
      </c>
      <c r="O12" s="2" t="s">
        <v>27</v>
      </c>
      <c r="P12" s="2" t="s">
        <v>32</v>
      </c>
      <c r="Q12" s="2" t="s">
        <v>27</v>
      </c>
      <c r="R12" s="2" t="s">
        <v>27</v>
      </c>
      <c r="S12" s="2" t="s">
        <v>50</v>
      </c>
      <c r="T12" s="2"/>
      <c r="U12" s="2"/>
      <c r="V12" s="2"/>
      <c r="W12" s="2" t="s">
        <v>27</v>
      </c>
      <c r="X12" s="2" t="s">
        <v>27</v>
      </c>
      <c r="Y12" s="2" t="s">
        <v>27</v>
      </c>
      <c r="Z12" s="2" t="s">
        <v>27</v>
      </c>
      <c r="AA12" s="3">
        <v>45887</v>
      </c>
      <c r="AB12" s="3">
        <v>45887</v>
      </c>
      <c r="AC12" s="2" t="s">
        <v>40</v>
      </c>
    </row>
    <row r="13" spans="1:29" x14ac:dyDescent="0.35">
      <c r="A13" s="2">
        <v>1400000864</v>
      </c>
      <c r="B13" s="2" t="s">
        <v>37</v>
      </c>
      <c r="C13" s="3">
        <v>45888</v>
      </c>
      <c r="D13" s="3">
        <v>45888</v>
      </c>
      <c r="E13" s="2" t="s">
        <v>51</v>
      </c>
      <c r="F13" s="33" t="s">
        <v>27</v>
      </c>
      <c r="G13" s="2" t="s">
        <v>28</v>
      </c>
      <c r="H13" s="2" t="s">
        <v>29</v>
      </c>
      <c r="I13" s="2" t="s">
        <v>27</v>
      </c>
      <c r="J13" s="2" t="s">
        <v>35</v>
      </c>
      <c r="K13" s="2" t="s">
        <v>38</v>
      </c>
      <c r="L13" s="4">
        <v>-1102.02</v>
      </c>
      <c r="M13" s="2" t="s">
        <v>31</v>
      </c>
      <c r="N13" s="4">
        <v>-94695.18</v>
      </c>
      <c r="O13" s="2" t="s">
        <v>27</v>
      </c>
      <c r="P13" s="2" t="s">
        <v>32</v>
      </c>
      <c r="Q13" s="2" t="s">
        <v>27</v>
      </c>
      <c r="R13" s="2" t="s">
        <v>27</v>
      </c>
      <c r="S13" s="2" t="s">
        <v>39</v>
      </c>
      <c r="T13" s="2"/>
      <c r="U13" s="2"/>
      <c r="V13" s="2"/>
      <c r="W13" s="2" t="s">
        <v>51</v>
      </c>
      <c r="X13" s="2" t="s">
        <v>27</v>
      </c>
      <c r="Y13" s="2" t="s">
        <v>27</v>
      </c>
      <c r="Z13" s="2" t="s">
        <v>27</v>
      </c>
      <c r="AA13" s="3">
        <v>45888</v>
      </c>
      <c r="AB13" s="3">
        <v>45888</v>
      </c>
      <c r="AC13" s="2" t="s">
        <v>52</v>
      </c>
    </row>
    <row r="14" spans="1:29" x14ac:dyDescent="0.35">
      <c r="A14" s="2">
        <v>1400001221</v>
      </c>
      <c r="B14" s="2" t="s">
        <v>37</v>
      </c>
      <c r="C14" s="3">
        <v>45924</v>
      </c>
      <c r="D14" s="3">
        <v>45924</v>
      </c>
      <c r="E14" s="2" t="s">
        <v>53</v>
      </c>
      <c r="F14" s="33" t="s">
        <v>27</v>
      </c>
      <c r="G14" s="2" t="s">
        <v>28</v>
      </c>
      <c r="H14" s="2" t="s">
        <v>29</v>
      </c>
      <c r="I14" s="2" t="s">
        <v>27</v>
      </c>
      <c r="J14" s="2" t="s">
        <v>35</v>
      </c>
      <c r="K14" s="2" t="s">
        <v>38</v>
      </c>
      <c r="L14" s="4">
        <v>-2932.84</v>
      </c>
      <c r="M14" s="2" t="s">
        <v>31</v>
      </c>
      <c r="N14" s="4">
        <v>-256665.53</v>
      </c>
      <c r="O14" s="2" t="s">
        <v>27</v>
      </c>
      <c r="P14" s="2" t="s">
        <v>42</v>
      </c>
      <c r="Q14" s="2" t="s">
        <v>27</v>
      </c>
      <c r="R14" s="2" t="s">
        <v>27</v>
      </c>
      <c r="S14" s="2" t="s">
        <v>36</v>
      </c>
      <c r="T14" s="2"/>
      <c r="U14" s="2"/>
      <c r="V14" s="2"/>
      <c r="W14" s="2" t="s">
        <v>27</v>
      </c>
      <c r="X14" s="2" t="s">
        <v>27</v>
      </c>
      <c r="Y14" s="2" t="s">
        <v>27</v>
      </c>
      <c r="Z14" s="2" t="s">
        <v>27</v>
      </c>
      <c r="AA14" s="3">
        <v>45924</v>
      </c>
      <c r="AB14" s="3"/>
      <c r="AC14" s="2" t="s">
        <v>27</v>
      </c>
    </row>
    <row r="15" spans="1:29" x14ac:dyDescent="0.35">
      <c r="A15" s="2">
        <v>1400001598</v>
      </c>
      <c r="B15" s="2" t="s">
        <v>37</v>
      </c>
      <c r="C15" s="3">
        <v>45964</v>
      </c>
      <c r="D15" s="3">
        <v>45964</v>
      </c>
      <c r="E15" s="2" t="s">
        <v>54</v>
      </c>
      <c r="F15" s="33" t="s">
        <v>27</v>
      </c>
      <c r="G15" s="2" t="s">
        <v>28</v>
      </c>
      <c r="H15" s="2" t="s">
        <v>29</v>
      </c>
      <c r="I15" s="2" t="s">
        <v>27</v>
      </c>
      <c r="J15" s="2" t="s">
        <v>35</v>
      </c>
      <c r="K15" s="2" t="s">
        <v>38</v>
      </c>
      <c r="L15" s="4">
        <v>-1731.27</v>
      </c>
      <c r="M15" s="2" t="s">
        <v>31</v>
      </c>
      <c r="N15" s="4">
        <v>-152682.03</v>
      </c>
      <c r="O15" s="2" t="s">
        <v>27</v>
      </c>
      <c r="P15" s="2" t="s">
        <v>42</v>
      </c>
      <c r="Q15" s="2" t="s">
        <v>27</v>
      </c>
      <c r="R15" s="2" t="s">
        <v>27</v>
      </c>
      <c r="S15" s="2" t="s">
        <v>36</v>
      </c>
      <c r="T15" s="2"/>
      <c r="U15" s="2"/>
      <c r="V15" s="2"/>
      <c r="W15" s="2" t="s">
        <v>27</v>
      </c>
      <c r="X15" s="2" t="s">
        <v>27</v>
      </c>
      <c r="Y15" s="2" t="s">
        <v>27</v>
      </c>
      <c r="Z15" s="2" t="s">
        <v>27</v>
      </c>
      <c r="AA15" s="3">
        <v>45964</v>
      </c>
      <c r="AB15" s="3"/>
      <c r="AC15" s="2" t="s">
        <v>27</v>
      </c>
    </row>
    <row r="16" spans="1:29" x14ac:dyDescent="0.35">
      <c r="A16" s="2">
        <v>1400001618</v>
      </c>
      <c r="B16" s="2" t="s">
        <v>37</v>
      </c>
      <c r="C16" s="3">
        <v>45972</v>
      </c>
      <c r="D16" s="3">
        <v>45972</v>
      </c>
      <c r="E16" s="2" t="s">
        <v>55</v>
      </c>
      <c r="F16" s="33" t="s">
        <v>27</v>
      </c>
      <c r="G16" s="2" t="s">
        <v>28</v>
      </c>
      <c r="H16" s="2" t="s">
        <v>29</v>
      </c>
      <c r="I16" s="2" t="s">
        <v>27</v>
      </c>
      <c r="J16" s="2" t="s">
        <v>35</v>
      </c>
      <c r="K16" s="2" t="s">
        <v>38</v>
      </c>
      <c r="L16" s="4">
        <v>-1968.44</v>
      </c>
      <c r="M16" s="2" t="s">
        <v>31</v>
      </c>
      <c r="N16" s="4">
        <v>-173229.39</v>
      </c>
      <c r="O16" s="2" t="s">
        <v>27</v>
      </c>
      <c r="P16" s="2" t="s">
        <v>42</v>
      </c>
      <c r="Q16" s="2" t="s">
        <v>27</v>
      </c>
      <c r="R16" s="2" t="s">
        <v>27</v>
      </c>
      <c r="S16" s="2" t="s">
        <v>36</v>
      </c>
      <c r="T16" s="2"/>
      <c r="U16" s="2"/>
      <c r="V16" s="2"/>
      <c r="W16" s="2" t="s">
        <v>27</v>
      </c>
      <c r="X16" s="2" t="s">
        <v>27</v>
      </c>
      <c r="Y16" s="2" t="s">
        <v>27</v>
      </c>
      <c r="Z16" s="2" t="s">
        <v>27</v>
      </c>
      <c r="AA16" s="3">
        <v>45972</v>
      </c>
      <c r="AB16" s="3"/>
      <c r="AC16" s="2" t="s">
        <v>27</v>
      </c>
    </row>
    <row r="17" spans="1:29" x14ac:dyDescent="0.35">
      <c r="A17" s="2">
        <v>1400001620</v>
      </c>
      <c r="B17" s="2" t="s">
        <v>37</v>
      </c>
      <c r="C17" s="3">
        <v>45972</v>
      </c>
      <c r="D17" s="3">
        <v>45972</v>
      </c>
      <c r="E17" s="2" t="s">
        <v>56</v>
      </c>
      <c r="F17" s="33" t="s">
        <v>27</v>
      </c>
      <c r="G17" s="2" t="s">
        <v>28</v>
      </c>
      <c r="H17" s="2" t="s">
        <v>29</v>
      </c>
      <c r="I17" s="2" t="s">
        <v>27</v>
      </c>
      <c r="J17" s="2" t="s">
        <v>35</v>
      </c>
      <c r="K17" s="2" t="s">
        <v>38</v>
      </c>
      <c r="L17" s="4">
        <v>-8339.84</v>
      </c>
      <c r="M17" s="2" t="s">
        <v>31</v>
      </c>
      <c r="N17" s="4">
        <v>-729855.51</v>
      </c>
      <c r="O17" s="2" t="s">
        <v>27</v>
      </c>
      <c r="P17" s="2" t="s">
        <v>42</v>
      </c>
      <c r="Q17" s="2" t="s">
        <v>27</v>
      </c>
      <c r="R17" s="2" t="s">
        <v>27</v>
      </c>
      <c r="S17" s="2" t="s">
        <v>36</v>
      </c>
      <c r="T17" s="2"/>
      <c r="U17" s="2"/>
      <c r="V17" s="2"/>
      <c r="W17" s="2" t="s">
        <v>27</v>
      </c>
      <c r="X17" s="2" t="s">
        <v>27</v>
      </c>
      <c r="Y17" s="2" t="s">
        <v>27</v>
      </c>
      <c r="Z17" s="2" t="s">
        <v>27</v>
      </c>
      <c r="AA17" s="3">
        <v>45972</v>
      </c>
      <c r="AB17" s="3"/>
      <c r="AC17" s="2" t="s">
        <v>27</v>
      </c>
    </row>
    <row r="18" spans="1:29" x14ac:dyDescent="0.35">
      <c r="A18" s="2">
        <v>1400001622</v>
      </c>
      <c r="B18" s="2" t="s">
        <v>37</v>
      </c>
      <c r="C18" s="3">
        <v>45972</v>
      </c>
      <c r="D18" s="3">
        <v>45972</v>
      </c>
      <c r="E18" s="2" t="s">
        <v>57</v>
      </c>
      <c r="F18" s="33" t="s">
        <v>27</v>
      </c>
      <c r="G18" s="2" t="s">
        <v>28</v>
      </c>
      <c r="H18" s="2" t="s">
        <v>29</v>
      </c>
      <c r="I18" s="2" t="s">
        <v>27</v>
      </c>
      <c r="J18" s="2" t="s">
        <v>35</v>
      </c>
      <c r="K18" s="2" t="s">
        <v>38</v>
      </c>
      <c r="L18" s="4">
        <v>-10455.66</v>
      </c>
      <c r="M18" s="2" t="s">
        <v>31</v>
      </c>
      <c r="N18" s="4">
        <v>-920133.52</v>
      </c>
      <c r="O18" s="2" t="s">
        <v>27</v>
      </c>
      <c r="P18" s="2" t="s">
        <v>42</v>
      </c>
      <c r="Q18" s="2" t="s">
        <v>27</v>
      </c>
      <c r="R18" s="2" t="s">
        <v>27</v>
      </c>
      <c r="S18" s="2" t="s">
        <v>36</v>
      </c>
      <c r="T18" s="2"/>
      <c r="U18" s="2"/>
      <c r="V18" s="2"/>
      <c r="W18" s="2" t="s">
        <v>27</v>
      </c>
      <c r="X18" s="2" t="s">
        <v>27</v>
      </c>
      <c r="Y18" s="2" t="s">
        <v>27</v>
      </c>
      <c r="Z18" s="2" t="s">
        <v>27</v>
      </c>
      <c r="AA18" s="3">
        <v>45972</v>
      </c>
      <c r="AB18" s="3"/>
      <c r="AC18" s="2" t="s">
        <v>27</v>
      </c>
    </row>
    <row r="19" spans="1:29" x14ac:dyDescent="0.35">
      <c r="A19" s="2">
        <v>1400000213</v>
      </c>
      <c r="B19" s="2" t="s">
        <v>26</v>
      </c>
      <c r="C19" s="3">
        <v>45842</v>
      </c>
      <c r="D19" s="3">
        <v>45842</v>
      </c>
      <c r="E19" s="2" t="s">
        <v>58</v>
      </c>
      <c r="F19" s="33" t="s">
        <v>59</v>
      </c>
      <c r="G19" s="2" t="s">
        <v>28</v>
      </c>
      <c r="H19" s="2" t="s">
        <v>29</v>
      </c>
      <c r="I19" s="2" t="s">
        <v>27</v>
      </c>
      <c r="J19" s="2" t="s">
        <v>35</v>
      </c>
      <c r="K19" s="2" t="s">
        <v>38</v>
      </c>
      <c r="L19" s="4">
        <v>0</v>
      </c>
      <c r="M19" s="2" t="s">
        <v>31</v>
      </c>
      <c r="N19" s="4">
        <v>0</v>
      </c>
      <c r="O19" s="2" t="s">
        <v>27</v>
      </c>
      <c r="P19" s="2" t="s">
        <v>32</v>
      </c>
      <c r="Q19" s="2" t="s">
        <v>27</v>
      </c>
      <c r="R19" s="2" t="s">
        <v>27</v>
      </c>
      <c r="S19" s="2" t="s">
        <v>33</v>
      </c>
      <c r="T19" s="2"/>
      <c r="U19" s="2"/>
      <c r="V19" s="2"/>
      <c r="W19" s="2" t="s">
        <v>27</v>
      </c>
      <c r="X19" s="2" t="s">
        <v>27</v>
      </c>
      <c r="Y19" s="2" t="s">
        <v>27</v>
      </c>
      <c r="Z19" s="2" t="s">
        <v>27</v>
      </c>
      <c r="AA19" s="3">
        <v>45842</v>
      </c>
      <c r="AB19" s="3">
        <v>45842</v>
      </c>
      <c r="AC19" s="2" t="s">
        <v>60</v>
      </c>
    </row>
    <row r="20" spans="1:29" x14ac:dyDescent="0.35">
      <c r="A20" s="2">
        <v>1400000214</v>
      </c>
      <c r="B20" s="2" t="s">
        <v>26</v>
      </c>
      <c r="C20" s="3">
        <v>45842</v>
      </c>
      <c r="D20" s="3">
        <v>45842</v>
      </c>
      <c r="E20" s="2" t="s">
        <v>58</v>
      </c>
      <c r="F20" s="33" t="s">
        <v>59</v>
      </c>
      <c r="G20" s="2" t="s">
        <v>28</v>
      </c>
      <c r="H20" s="2" t="s">
        <v>29</v>
      </c>
      <c r="I20" s="2" t="s">
        <v>27</v>
      </c>
      <c r="J20" s="2" t="s">
        <v>30</v>
      </c>
      <c r="K20" s="2" t="s">
        <v>38</v>
      </c>
      <c r="L20" s="4">
        <v>1166.5899999999999</v>
      </c>
      <c r="M20" s="2" t="s">
        <v>31</v>
      </c>
      <c r="N20" s="4">
        <v>101402.13</v>
      </c>
      <c r="O20" s="2" t="s">
        <v>27</v>
      </c>
      <c r="P20" s="2" t="s">
        <v>32</v>
      </c>
      <c r="Q20" s="2" t="s">
        <v>27</v>
      </c>
      <c r="R20" s="2" t="s">
        <v>27</v>
      </c>
      <c r="S20" s="2" t="s">
        <v>33</v>
      </c>
      <c r="T20" s="2"/>
      <c r="U20" s="2"/>
      <c r="V20" s="2"/>
      <c r="W20" s="2" t="s">
        <v>27</v>
      </c>
      <c r="X20" s="2" t="s">
        <v>27</v>
      </c>
      <c r="Y20" s="2" t="s">
        <v>27</v>
      </c>
      <c r="Z20" s="2" t="s">
        <v>27</v>
      </c>
      <c r="AA20" s="3">
        <v>45842</v>
      </c>
      <c r="AB20" s="3">
        <v>45842</v>
      </c>
      <c r="AC20" s="2" t="s">
        <v>61</v>
      </c>
    </row>
    <row r="21" spans="1:29" x14ac:dyDescent="0.35">
      <c r="A21" s="2">
        <v>1400000214</v>
      </c>
      <c r="B21" s="2" t="s">
        <v>26</v>
      </c>
      <c r="C21" s="3">
        <v>45842</v>
      </c>
      <c r="D21" s="3">
        <v>45842</v>
      </c>
      <c r="E21" s="2" t="s">
        <v>58</v>
      </c>
      <c r="F21" s="33" t="s">
        <v>59</v>
      </c>
      <c r="G21" s="2" t="s">
        <v>28</v>
      </c>
      <c r="H21" s="2" t="s">
        <v>29</v>
      </c>
      <c r="I21" s="2" t="s">
        <v>27</v>
      </c>
      <c r="J21" s="2" t="s">
        <v>35</v>
      </c>
      <c r="K21" s="2" t="s">
        <v>38</v>
      </c>
      <c r="L21" s="4">
        <v>-1166.5899999999999</v>
      </c>
      <c r="M21" s="2" t="s">
        <v>31</v>
      </c>
      <c r="N21" s="4">
        <v>-101402.13</v>
      </c>
      <c r="O21" s="2" t="s">
        <v>27</v>
      </c>
      <c r="P21" s="2" t="s">
        <v>32</v>
      </c>
      <c r="Q21" s="2" t="s">
        <v>27</v>
      </c>
      <c r="R21" s="2" t="s">
        <v>27</v>
      </c>
      <c r="S21" s="2" t="s">
        <v>36</v>
      </c>
      <c r="T21" s="2"/>
      <c r="U21" s="2"/>
      <c r="V21" s="2"/>
      <c r="W21" s="2" t="s">
        <v>27</v>
      </c>
      <c r="X21" s="2" t="s">
        <v>27</v>
      </c>
      <c r="Y21" s="2" t="s">
        <v>27</v>
      </c>
      <c r="Z21" s="2" t="s">
        <v>27</v>
      </c>
      <c r="AA21" s="3">
        <v>45842</v>
      </c>
      <c r="AB21" s="3">
        <v>45842</v>
      </c>
      <c r="AC21" s="2" t="s">
        <v>61</v>
      </c>
    </row>
    <row r="22" spans="1:29" x14ac:dyDescent="0.35">
      <c r="A22" s="2">
        <v>1400000215</v>
      </c>
      <c r="B22" s="2" t="s">
        <v>26</v>
      </c>
      <c r="C22" s="3">
        <v>45842</v>
      </c>
      <c r="D22" s="3">
        <v>45842</v>
      </c>
      <c r="E22" s="2" t="s">
        <v>58</v>
      </c>
      <c r="F22" s="33" t="s">
        <v>59</v>
      </c>
      <c r="G22" s="2" t="s">
        <v>28</v>
      </c>
      <c r="H22" s="2" t="s">
        <v>29</v>
      </c>
      <c r="I22" s="2" t="s">
        <v>27</v>
      </c>
      <c r="J22" s="2" t="s">
        <v>30</v>
      </c>
      <c r="K22" s="2" t="s">
        <v>38</v>
      </c>
      <c r="L22" s="4">
        <v>1143.1199999999999</v>
      </c>
      <c r="M22" s="2" t="s">
        <v>31</v>
      </c>
      <c r="N22" s="4">
        <v>99362.07</v>
      </c>
      <c r="O22" s="2" t="s">
        <v>27</v>
      </c>
      <c r="P22" s="2" t="s">
        <v>32</v>
      </c>
      <c r="Q22" s="2" t="s">
        <v>27</v>
      </c>
      <c r="R22" s="2" t="s">
        <v>27</v>
      </c>
      <c r="S22" s="2" t="s">
        <v>33</v>
      </c>
      <c r="T22" s="2"/>
      <c r="U22" s="2"/>
      <c r="V22" s="2"/>
      <c r="W22" s="2" t="s">
        <v>27</v>
      </c>
      <c r="X22" s="2" t="s">
        <v>27</v>
      </c>
      <c r="Y22" s="2" t="s">
        <v>27</v>
      </c>
      <c r="Z22" s="2" t="s">
        <v>27</v>
      </c>
      <c r="AA22" s="3">
        <v>45842</v>
      </c>
      <c r="AB22" s="3">
        <v>45842</v>
      </c>
      <c r="AC22" s="2" t="s">
        <v>62</v>
      </c>
    </row>
    <row r="23" spans="1:29" x14ac:dyDescent="0.35">
      <c r="A23" s="2">
        <v>1400000215</v>
      </c>
      <c r="B23" s="2" t="s">
        <v>26</v>
      </c>
      <c r="C23" s="3">
        <v>45842</v>
      </c>
      <c r="D23" s="3">
        <v>45842</v>
      </c>
      <c r="E23" s="2" t="s">
        <v>58</v>
      </c>
      <c r="F23" s="33" t="s">
        <v>59</v>
      </c>
      <c r="G23" s="2" t="s">
        <v>28</v>
      </c>
      <c r="H23" s="2" t="s">
        <v>29</v>
      </c>
      <c r="I23" s="2" t="s">
        <v>27</v>
      </c>
      <c r="J23" s="2" t="s">
        <v>35</v>
      </c>
      <c r="K23" s="2" t="s">
        <v>38</v>
      </c>
      <c r="L23" s="4">
        <v>-1143.1199999999999</v>
      </c>
      <c r="M23" s="2" t="s">
        <v>31</v>
      </c>
      <c r="N23" s="4">
        <v>-99362.07</v>
      </c>
      <c r="O23" s="2" t="s">
        <v>27</v>
      </c>
      <c r="P23" s="2" t="s">
        <v>32</v>
      </c>
      <c r="Q23" s="2" t="s">
        <v>27</v>
      </c>
      <c r="R23" s="2" t="s">
        <v>27</v>
      </c>
      <c r="S23" s="2" t="s">
        <v>36</v>
      </c>
      <c r="T23" s="2"/>
      <c r="U23" s="2"/>
      <c r="V23" s="2"/>
      <c r="W23" s="2" t="s">
        <v>27</v>
      </c>
      <c r="X23" s="2" t="s">
        <v>27</v>
      </c>
      <c r="Y23" s="2" t="s">
        <v>27</v>
      </c>
      <c r="Z23" s="2" t="s">
        <v>27</v>
      </c>
      <c r="AA23" s="3">
        <v>45842</v>
      </c>
      <c r="AB23" s="3">
        <v>45842</v>
      </c>
      <c r="AC23" s="2" t="s">
        <v>62</v>
      </c>
    </row>
    <row r="24" spans="1:29" x14ac:dyDescent="0.35">
      <c r="A24" s="2">
        <v>1800008260</v>
      </c>
      <c r="B24" s="2" t="s">
        <v>63</v>
      </c>
      <c r="C24" s="3">
        <v>45787</v>
      </c>
      <c r="D24" s="3">
        <v>45791</v>
      </c>
      <c r="E24" s="2" t="s">
        <v>58</v>
      </c>
      <c r="F24" s="33">
        <v>256779413144</v>
      </c>
      <c r="G24" s="2" t="s">
        <v>28</v>
      </c>
      <c r="H24" s="2" t="s">
        <v>29</v>
      </c>
      <c r="I24" s="2" t="s">
        <v>27</v>
      </c>
      <c r="J24" s="2" t="s">
        <v>64</v>
      </c>
      <c r="K24" s="2" t="s">
        <v>31</v>
      </c>
      <c r="L24" s="4">
        <v>1163.0111111111112</v>
      </c>
      <c r="M24" s="2" t="s">
        <v>31</v>
      </c>
      <c r="N24" s="4">
        <v>100000</v>
      </c>
      <c r="O24" s="2" t="s">
        <v>65</v>
      </c>
      <c r="P24" s="2" t="s">
        <v>32</v>
      </c>
      <c r="Q24" s="2" t="s">
        <v>27</v>
      </c>
      <c r="R24" s="2" t="s">
        <v>58</v>
      </c>
      <c r="S24" s="2" t="s">
        <v>33</v>
      </c>
      <c r="T24" s="2"/>
      <c r="U24" s="2"/>
      <c r="V24" s="2"/>
      <c r="W24" s="2" t="s">
        <v>66</v>
      </c>
      <c r="X24" s="2" t="s">
        <v>27</v>
      </c>
      <c r="Y24" s="2" t="s">
        <v>27</v>
      </c>
      <c r="Z24" s="2" t="s">
        <v>27</v>
      </c>
      <c r="AA24" s="3">
        <v>45787</v>
      </c>
      <c r="AB24" s="3"/>
      <c r="AC24" s="2" t="s">
        <v>27</v>
      </c>
    </row>
    <row r="25" spans="1:29" x14ac:dyDescent="0.35">
      <c r="A25" s="2">
        <v>1800010154</v>
      </c>
      <c r="B25" s="2" t="s">
        <v>63</v>
      </c>
      <c r="C25" s="3">
        <v>45842</v>
      </c>
      <c r="D25" s="3">
        <v>45847</v>
      </c>
      <c r="E25" s="2" t="s">
        <v>58</v>
      </c>
      <c r="F25" s="33">
        <v>256779414914</v>
      </c>
      <c r="G25" s="2" t="s">
        <v>28</v>
      </c>
      <c r="H25" s="2" t="s">
        <v>29</v>
      </c>
      <c r="I25" s="2" t="s">
        <v>27</v>
      </c>
      <c r="J25" s="2" t="s">
        <v>64</v>
      </c>
      <c r="K25" s="2" t="s">
        <v>31</v>
      </c>
      <c r="L25" s="4">
        <v>1169.72</v>
      </c>
      <c r="M25" s="2" t="s">
        <v>31</v>
      </c>
      <c r="N25" s="4">
        <v>100000</v>
      </c>
      <c r="O25" s="2" t="s">
        <v>65</v>
      </c>
      <c r="P25" s="2" t="s">
        <v>32</v>
      </c>
      <c r="Q25" s="2" t="s">
        <v>27</v>
      </c>
      <c r="R25" s="2" t="s">
        <v>58</v>
      </c>
      <c r="S25" s="2" t="s">
        <v>33</v>
      </c>
      <c r="T25" s="2"/>
      <c r="U25" s="2"/>
      <c r="V25" s="2"/>
      <c r="W25" s="2" t="s">
        <v>67</v>
      </c>
      <c r="X25" s="2" t="s">
        <v>27</v>
      </c>
      <c r="Y25" s="2" t="s">
        <v>27</v>
      </c>
      <c r="Z25" s="2" t="s">
        <v>27</v>
      </c>
      <c r="AA25" s="3">
        <v>45842</v>
      </c>
      <c r="AB25" s="3"/>
      <c r="AC25" s="2" t="s">
        <v>27</v>
      </c>
    </row>
    <row r="26" spans="1:29" x14ac:dyDescent="0.35">
      <c r="A26" s="2">
        <v>1800011360</v>
      </c>
      <c r="B26" s="2" t="s">
        <v>63</v>
      </c>
      <c r="C26" s="3">
        <v>45870</v>
      </c>
      <c r="D26" s="3">
        <v>45873</v>
      </c>
      <c r="E26" s="2" t="s">
        <v>58</v>
      </c>
      <c r="F26" s="33">
        <v>256779416026</v>
      </c>
      <c r="G26" s="2" t="s">
        <v>28</v>
      </c>
      <c r="H26" s="2" t="s">
        <v>29</v>
      </c>
      <c r="I26" s="2" t="s">
        <v>27</v>
      </c>
      <c r="J26" s="2" t="s">
        <v>64</v>
      </c>
      <c r="K26" s="2" t="s">
        <v>31</v>
      </c>
      <c r="L26" s="4">
        <v>1162.78</v>
      </c>
      <c r="M26" s="2" t="s">
        <v>31</v>
      </c>
      <c r="N26" s="4">
        <v>100000</v>
      </c>
      <c r="O26" s="2" t="s">
        <v>65</v>
      </c>
      <c r="P26" s="2" t="s">
        <v>32</v>
      </c>
      <c r="Q26" s="2" t="s">
        <v>27</v>
      </c>
      <c r="R26" s="2" t="s">
        <v>58</v>
      </c>
      <c r="S26" s="2" t="s">
        <v>33</v>
      </c>
      <c r="T26" s="2"/>
      <c r="U26" s="2"/>
      <c r="V26" s="2"/>
      <c r="W26" s="2" t="s">
        <v>68</v>
      </c>
      <c r="X26" s="2" t="s">
        <v>27</v>
      </c>
      <c r="Y26" s="2" t="s">
        <v>27</v>
      </c>
      <c r="Z26" s="2" t="s">
        <v>27</v>
      </c>
      <c r="AA26" s="3">
        <v>45870</v>
      </c>
      <c r="AB26" s="3"/>
      <c r="AC26" s="2" t="s">
        <v>27</v>
      </c>
    </row>
    <row r="27" spans="1:29" x14ac:dyDescent="0.35">
      <c r="A27" s="2">
        <v>1800012712</v>
      </c>
      <c r="B27" s="2" t="s">
        <v>63</v>
      </c>
      <c r="C27" s="3">
        <v>45904</v>
      </c>
      <c r="D27" s="3">
        <v>45909</v>
      </c>
      <c r="E27" s="2" t="s">
        <v>58</v>
      </c>
      <c r="F27" s="33">
        <v>256779417346</v>
      </c>
      <c r="G27" s="2" t="s">
        <v>28</v>
      </c>
      <c r="H27" s="2" t="s">
        <v>29</v>
      </c>
      <c r="I27" s="2" t="s">
        <v>27</v>
      </c>
      <c r="J27" s="2" t="s">
        <v>64</v>
      </c>
      <c r="K27" s="2" t="s">
        <v>31</v>
      </c>
      <c r="L27" s="4">
        <v>1162.377777777778</v>
      </c>
      <c r="M27" s="2" t="s">
        <v>31</v>
      </c>
      <c r="N27" s="4">
        <v>100000</v>
      </c>
      <c r="O27" s="2" t="s">
        <v>65</v>
      </c>
      <c r="P27" s="2" t="s">
        <v>32</v>
      </c>
      <c r="Q27" s="2" t="s">
        <v>27</v>
      </c>
      <c r="R27" s="2" t="s">
        <v>69</v>
      </c>
      <c r="S27" s="2" t="s">
        <v>33</v>
      </c>
      <c r="T27" s="2"/>
      <c r="U27" s="2"/>
      <c r="V27" s="2"/>
      <c r="W27" s="2" t="s">
        <v>70</v>
      </c>
      <c r="X27" s="2" t="s">
        <v>27</v>
      </c>
      <c r="Y27" s="2" t="s">
        <v>27</v>
      </c>
      <c r="Z27" s="2" t="s">
        <v>27</v>
      </c>
      <c r="AA27" s="3">
        <v>45904</v>
      </c>
      <c r="AB27" s="3"/>
      <c r="AC27" s="2" t="s">
        <v>27</v>
      </c>
    </row>
    <row r="28" spans="1:29" x14ac:dyDescent="0.35">
      <c r="A28" s="2">
        <v>1800014235</v>
      </c>
      <c r="B28" s="2" t="s">
        <v>63</v>
      </c>
      <c r="C28" s="3">
        <v>45966</v>
      </c>
      <c r="D28" s="3">
        <v>45966</v>
      </c>
      <c r="E28" s="2" t="s">
        <v>58</v>
      </c>
      <c r="F28" s="33">
        <v>256779418775</v>
      </c>
      <c r="G28" s="2" t="s">
        <v>28</v>
      </c>
      <c r="H28" s="2" t="s">
        <v>29</v>
      </c>
      <c r="I28" s="2" t="s">
        <v>27</v>
      </c>
      <c r="J28" s="2" t="s">
        <v>64</v>
      </c>
      <c r="K28" s="2" t="s">
        <v>31</v>
      </c>
      <c r="L28" s="4">
        <v>1142.67</v>
      </c>
      <c r="M28" s="2" t="s">
        <v>31</v>
      </c>
      <c r="N28" s="4">
        <v>100000</v>
      </c>
      <c r="O28" s="2" t="s">
        <v>65</v>
      </c>
      <c r="P28" s="2" t="s">
        <v>32</v>
      </c>
      <c r="Q28" s="2" t="s">
        <v>27</v>
      </c>
      <c r="R28" s="2" t="s">
        <v>71</v>
      </c>
      <c r="S28" s="2" t="s">
        <v>33</v>
      </c>
      <c r="T28" s="2"/>
      <c r="U28" s="2"/>
      <c r="V28" s="2"/>
      <c r="W28" s="2" t="s">
        <v>72</v>
      </c>
      <c r="X28" s="2" t="s">
        <v>27</v>
      </c>
      <c r="Y28" s="2" t="s">
        <v>27</v>
      </c>
      <c r="Z28" s="2" t="s">
        <v>27</v>
      </c>
      <c r="AA28" s="3">
        <v>45966</v>
      </c>
      <c r="AB28" s="3"/>
      <c r="AC28" s="2" t="s">
        <v>27</v>
      </c>
    </row>
    <row r="29" spans="1:29" x14ac:dyDescent="0.35">
      <c r="A29" s="2">
        <v>1800015484</v>
      </c>
      <c r="B29" s="2" t="s">
        <v>63</v>
      </c>
      <c r="C29" s="3">
        <v>45995</v>
      </c>
      <c r="D29" s="3">
        <v>46000</v>
      </c>
      <c r="E29" s="2" t="s">
        <v>58</v>
      </c>
      <c r="F29" s="33">
        <v>256779419968</v>
      </c>
      <c r="G29" s="2" t="s">
        <v>28</v>
      </c>
      <c r="H29" s="2" t="s">
        <v>29</v>
      </c>
      <c r="I29" s="2" t="s">
        <v>27</v>
      </c>
      <c r="J29" s="2" t="s">
        <v>64</v>
      </c>
      <c r="K29" s="2" t="s">
        <v>31</v>
      </c>
      <c r="L29" s="4">
        <v>1136.32</v>
      </c>
      <c r="M29" s="2" t="s">
        <v>31</v>
      </c>
      <c r="N29" s="4">
        <v>100000</v>
      </c>
      <c r="O29" s="2" t="s">
        <v>65</v>
      </c>
      <c r="P29" s="2" t="s">
        <v>32</v>
      </c>
      <c r="Q29" s="2" t="s">
        <v>27</v>
      </c>
      <c r="R29" s="2" t="s">
        <v>73</v>
      </c>
      <c r="S29" s="2" t="s">
        <v>33</v>
      </c>
      <c r="T29" s="2"/>
      <c r="U29" s="2"/>
      <c r="V29" s="2"/>
      <c r="W29" s="2" t="s">
        <v>74</v>
      </c>
      <c r="X29" s="2" t="s">
        <v>27</v>
      </c>
      <c r="Y29" s="2" t="s">
        <v>27</v>
      </c>
      <c r="Z29" s="2" t="s">
        <v>27</v>
      </c>
      <c r="AA29" s="3">
        <v>45995</v>
      </c>
      <c r="AB29" s="3"/>
      <c r="AC29" s="2" t="s">
        <v>27</v>
      </c>
    </row>
    <row r="30" spans="1:29" x14ac:dyDescent="0.35">
      <c r="A30" s="2">
        <v>1800008261</v>
      </c>
      <c r="B30" s="2" t="s">
        <v>63</v>
      </c>
      <c r="C30" s="3">
        <v>45787</v>
      </c>
      <c r="D30" s="3">
        <v>45791</v>
      </c>
      <c r="E30" s="2" t="s">
        <v>58</v>
      </c>
      <c r="F30" s="33">
        <v>256779413145</v>
      </c>
      <c r="G30" s="2" t="s">
        <v>28</v>
      </c>
      <c r="H30" s="2" t="s">
        <v>29</v>
      </c>
      <c r="I30" s="2" t="s">
        <v>27</v>
      </c>
      <c r="J30" s="2" t="s">
        <v>64</v>
      </c>
      <c r="K30" s="2" t="s">
        <v>31</v>
      </c>
      <c r="L30" s="4">
        <v>1127.3899999999999</v>
      </c>
      <c r="M30" s="2" t="s">
        <v>31</v>
      </c>
      <c r="N30" s="4">
        <v>35000</v>
      </c>
      <c r="O30" s="2" t="s">
        <v>65</v>
      </c>
      <c r="P30" s="2" t="s">
        <v>32</v>
      </c>
      <c r="Q30" s="2" t="s">
        <v>27</v>
      </c>
      <c r="R30" s="2" t="s">
        <v>58</v>
      </c>
      <c r="S30" s="2" t="s">
        <v>33</v>
      </c>
      <c r="T30" s="2"/>
      <c r="U30" s="2"/>
      <c r="V30" s="2"/>
      <c r="W30" s="2" t="s">
        <v>66</v>
      </c>
      <c r="X30" s="2" t="s">
        <v>27</v>
      </c>
      <c r="Y30" s="2" t="s">
        <v>27</v>
      </c>
      <c r="Z30" s="2" t="s">
        <v>27</v>
      </c>
      <c r="AA30" s="3">
        <v>45787</v>
      </c>
      <c r="AB30" s="3"/>
      <c r="AC30" s="2" t="s">
        <v>27</v>
      </c>
    </row>
    <row r="31" spans="1:29" x14ac:dyDescent="0.35">
      <c r="A31" s="2">
        <v>1800010155</v>
      </c>
      <c r="B31" s="2" t="s">
        <v>63</v>
      </c>
      <c r="C31" s="3">
        <v>45842</v>
      </c>
      <c r="D31" s="3">
        <v>45847</v>
      </c>
      <c r="E31" s="2" t="s">
        <v>58</v>
      </c>
      <c r="F31" s="33">
        <v>256779414915</v>
      </c>
      <c r="G31" s="2" t="s">
        <v>28</v>
      </c>
      <c r="H31" s="2" t="s">
        <v>29</v>
      </c>
      <c r="I31" s="2" t="s">
        <v>27</v>
      </c>
      <c r="J31" s="2" t="s">
        <v>64</v>
      </c>
      <c r="K31" s="2" t="s">
        <v>31</v>
      </c>
      <c r="L31" s="4">
        <v>407.05</v>
      </c>
      <c r="M31" s="2" t="s">
        <v>31</v>
      </c>
      <c r="N31" s="4">
        <v>35000</v>
      </c>
      <c r="O31" s="2" t="s">
        <v>65</v>
      </c>
      <c r="P31" s="2" t="s">
        <v>32</v>
      </c>
      <c r="Q31" s="2" t="s">
        <v>27</v>
      </c>
      <c r="R31" s="2" t="s">
        <v>58</v>
      </c>
      <c r="S31" s="2" t="s">
        <v>33</v>
      </c>
      <c r="T31" s="2"/>
      <c r="U31" s="2"/>
      <c r="V31" s="2"/>
      <c r="W31" s="2" t="s">
        <v>67</v>
      </c>
      <c r="X31" s="2" t="s">
        <v>27</v>
      </c>
      <c r="Y31" s="2" t="s">
        <v>27</v>
      </c>
      <c r="Z31" s="2" t="s">
        <v>27</v>
      </c>
      <c r="AA31" s="3">
        <v>45842</v>
      </c>
      <c r="AB31" s="3"/>
      <c r="AC31" s="2" t="s">
        <v>27</v>
      </c>
    </row>
    <row r="32" spans="1:29" x14ac:dyDescent="0.35">
      <c r="A32" s="2">
        <v>1800011361</v>
      </c>
      <c r="B32" s="2" t="s">
        <v>63</v>
      </c>
      <c r="C32" s="3">
        <v>45870</v>
      </c>
      <c r="D32" s="3">
        <v>45873</v>
      </c>
      <c r="E32" s="2" t="s">
        <v>58</v>
      </c>
      <c r="F32" s="33">
        <v>256779416027</v>
      </c>
      <c r="G32" s="2" t="s">
        <v>28</v>
      </c>
      <c r="H32" s="2" t="s">
        <v>29</v>
      </c>
      <c r="I32" s="2" t="s">
        <v>27</v>
      </c>
      <c r="J32" s="2" t="s">
        <v>64</v>
      </c>
      <c r="K32" s="2" t="s">
        <v>31</v>
      </c>
      <c r="L32" s="4">
        <v>409.4</v>
      </c>
      <c r="M32" s="2" t="s">
        <v>31</v>
      </c>
      <c r="N32" s="4">
        <v>35000</v>
      </c>
      <c r="O32" s="2" t="s">
        <v>65</v>
      </c>
      <c r="P32" s="2" t="s">
        <v>32</v>
      </c>
      <c r="Q32" s="2" t="s">
        <v>27</v>
      </c>
      <c r="R32" s="2" t="s">
        <v>58</v>
      </c>
      <c r="S32" s="2" t="s">
        <v>33</v>
      </c>
      <c r="T32" s="2"/>
      <c r="U32" s="2"/>
      <c r="V32" s="2"/>
      <c r="W32" s="2" t="s">
        <v>68</v>
      </c>
      <c r="X32" s="2" t="s">
        <v>27</v>
      </c>
      <c r="Y32" s="2" t="s">
        <v>27</v>
      </c>
      <c r="Z32" s="2" t="s">
        <v>27</v>
      </c>
      <c r="AA32" s="3">
        <v>45870</v>
      </c>
      <c r="AB32" s="3"/>
      <c r="AC32" s="2" t="s">
        <v>27</v>
      </c>
    </row>
    <row r="33" spans="1:29" x14ac:dyDescent="0.35">
      <c r="A33" s="2">
        <v>1800012713</v>
      </c>
      <c r="B33" s="2" t="s">
        <v>63</v>
      </c>
      <c r="C33" s="3">
        <v>45904</v>
      </c>
      <c r="D33" s="3">
        <v>45909</v>
      </c>
      <c r="E33" s="2" t="s">
        <v>58</v>
      </c>
      <c r="F33" s="33">
        <v>256779417347</v>
      </c>
      <c r="G33" s="2" t="s">
        <v>28</v>
      </c>
      <c r="H33" s="2" t="s">
        <v>29</v>
      </c>
      <c r="I33" s="2" t="s">
        <v>27</v>
      </c>
      <c r="J33" s="2" t="s">
        <v>64</v>
      </c>
      <c r="K33" s="2" t="s">
        <v>31</v>
      </c>
      <c r="L33" s="4">
        <v>443.14511111111108</v>
      </c>
      <c r="M33" s="2" t="s">
        <v>31</v>
      </c>
      <c r="N33" s="4">
        <v>35000</v>
      </c>
      <c r="O33" s="2" t="s">
        <v>65</v>
      </c>
      <c r="P33" s="2" t="s">
        <v>32</v>
      </c>
      <c r="Q33" s="2" t="s">
        <v>27</v>
      </c>
      <c r="R33" s="2" t="s">
        <v>69</v>
      </c>
      <c r="S33" s="2" t="s">
        <v>33</v>
      </c>
      <c r="T33" s="2"/>
      <c r="U33" s="2"/>
      <c r="V33" s="2"/>
      <c r="W33" s="2" t="s">
        <v>70</v>
      </c>
      <c r="X33" s="2" t="s">
        <v>27</v>
      </c>
      <c r="Y33" s="2" t="s">
        <v>27</v>
      </c>
      <c r="Z33" s="2" t="s">
        <v>27</v>
      </c>
      <c r="AA33" s="3">
        <v>45904</v>
      </c>
      <c r="AB33" s="3"/>
      <c r="AC33" s="2" t="s">
        <v>27</v>
      </c>
    </row>
    <row r="34" spans="1:29" x14ac:dyDescent="0.35">
      <c r="A34" s="2">
        <v>1800014236</v>
      </c>
      <c r="B34" s="2" t="s">
        <v>63</v>
      </c>
      <c r="C34" s="3">
        <v>45966</v>
      </c>
      <c r="D34" s="3">
        <v>45966</v>
      </c>
      <c r="E34" s="2" t="s">
        <v>58</v>
      </c>
      <c r="F34" s="33">
        <v>256779418776</v>
      </c>
      <c r="G34" s="2" t="s">
        <v>28</v>
      </c>
      <c r="H34" s="2" t="s">
        <v>29</v>
      </c>
      <c r="I34" s="2" t="s">
        <v>27</v>
      </c>
      <c r="J34" s="2" t="s">
        <v>64</v>
      </c>
      <c r="K34" s="2" t="s">
        <v>31</v>
      </c>
      <c r="L34" s="4">
        <v>442.98888888888888</v>
      </c>
      <c r="M34" s="2" t="s">
        <v>31</v>
      </c>
      <c r="N34" s="4">
        <v>35000</v>
      </c>
      <c r="O34" s="2" t="s">
        <v>65</v>
      </c>
      <c r="P34" s="2" t="s">
        <v>32</v>
      </c>
      <c r="Q34" s="2" t="s">
        <v>27</v>
      </c>
      <c r="R34" s="2" t="s">
        <v>71</v>
      </c>
      <c r="S34" s="2" t="s">
        <v>33</v>
      </c>
      <c r="T34" s="2"/>
      <c r="U34" s="2"/>
      <c r="V34" s="2"/>
      <c r="W34" s="2" t="s">
        <v>72</v>
      </c>
      <c r="X34" s="2" t="s">
        <v>27</v>
      </c>
      <c r="Y34" s="2" t="s">
        <v>27</v>
      </c>
      <c r="Z34" s="2" t="s">
        <v>27</v>
      </c>
      <c r="AA34" s="3">
        <v>45966</v>
      </c>
      <c r="AB34" s="3"/>
      <c r="AC34" s="2" t="s">
        <v>27</v>
      </c>
    </row>
    <row r="35" spans="1:29" x14ac:dyDescent="0.35">
      <c r="A35" s="2">
        <v>1800015485</v>
      </c>
      <c r="B35" s="2" t="s">
        <v>63</v>
      </c>
      <c r="C35" s="3">
        <v>45995</v>
      </c>
      <c r="D35" s="3">
        <v>46000</v>
      </c>
      <c r="E35" s="2" t="s">
        <v>58</v>
      </c>
      <c r="F35" s="33">
        <v>256779419969</v>
      </c>
      <c r="G35" s="2" t="s">
        <v>28</v>
      </c>
      <c r="H35" s="2" t="s">
        <v>29</v>
      </c>
      <c r="I35" s="2" t="s">
        <v>27</v>
      </c>
      <c r="J35" s="2" t="s">
        <v>64</v>
      </c>
      <c r="K35" s="2" t="s">
        <v>31</v>
      </c>
      <c r="L35" s="4">
        <v>399.93</v>
      </c>
      <c r="M35" s="2" t="s">
        <v>31</v>
      </c>
      <c r="N35" s="4">
        <v>35000</v>
      </c>
      <c r="O35" s="2" t="s">
        <v>65</v>
      </c>
      <c r="P35" s="2" t="s">
        <v>32</v>
      </c>
      <c r="Q35" s="2" t="s">
        <v>27</v>
      </c>
      <c r="R35" s="2" t="s">
        <v>73</v>
      </c>
      <c r="S35" s="2" t="s">
        <v>33</v>
      </c>
      <c r="T35" s="2"/>
      <c r="U35" s="2"/>
      <c r="V35" s="2"/>
      <c r="W35" s="2" t="s">
        <v>75</v>
      </c>
      <c r="X35" s="2" t="s">
        <v>27</v>
      </c>
      <c r="Y35" s="2" t="s">
        <v>27</v>
      </c>
      <c r="Z35" s="2" t="s">
        <v>27</v>
      </c>
      <c r="AA35" s="3">
        <v>45995</v>
      </c>
      <c r="AB35" s="3"/>
      <c r="AC35" s="2" t="s">
        <v>27</v>
      </c>
    </row>
    <row r="36" spans="1:29" x14ac:dyDescent="0.35">
      <c r="A36" s="2">
        <v>1600002145</v>
      </c>
      <c r="B36" s="2" t="s">
        <v>76</v>
      </c>
      <c r="C36" s="3">
        <v>45890</v>
      </c>
      <c r="D36" s="3">
        <v>45890</v>
      </c>
      <c r="E36" s="2" t="s">
        <v>58</v>
      </c>
      <c r="F36" s="33">
        <v>256779421709</v>
      </c>
      <c r="G36" s="2" t="s">
        <v>28</v>
      </c>
      <c r="H36" s="2" t="s">
        <v>29</v>
      </c>
      <c r="I36" s="2" t="s">
        <v>27</v>
      </c>
      <c r="J36" s="2" t="s">
        <v>77</v>
      </c>
      <c r="K36" s="2" t="s">
        <v>31</v>
      </c>
      <c r="L36" s="4">
        <v>433.06200000000001</v>
      </c>
      <c r="M36" s="2" t="s">
        <v>31</v>
      </c>
      <c r="N36" s="4">
        <v>-200000</v>
      </c>
      <c r="O36" s="2" t="s">
        <v>65</v>
      </c>
      <c r="P36" s="2" t="s">
        <v>32</v>
      </c>
      <c r="Q36" s="2" t="s">
        <v>27</v>
      </c>
      <c r="R36" s="2" t="s">
        <v>58</v>
      </c>
      <c r="S36" s="2" t="s">
        <v>33</v>
      </c>
      <c r="T36" s="2"/>
      <c r="U36" s="2"/>
      <c r="V36" s="2"/>
      <c r="W36" s="2" t="s">
        <v>78</v>
      </c>
      <c r="X36" s="2" t="s">
        <v>27</v>
      </c>
      <c r="Y36" s="2" t="s">
        <v>27</v>
      </c>
      <c r="Z36" s="2" t="s">
        <v>27</v>
      </c>
      <c r="AA36" s="3">
        <v>45890</v>
      </c>
      <c r="AB36" s="3"/>
      <c r="AC36" s="2" t="s">
        <v>27</v>
      </c>
    </row>
    <row r="37" spans="1:29" x14ac:dyDescent="0.35">
      <c r="A37" s="2">
        <v>1800012258</v>
      </c>
      <c r="B37" s="2" t="s">
        <v>63</v>
      </c>
      <c r="C37" s="3">
        <v>45883</v>
      </c>
      <c r="D37" s="3">
        <v>45891</v>
      </c>
      <c r="E37" s="2" t="s">
        <v>58</v>
      </c>
      <c r="F37" s="33">
        <v>256779416887</v>
      </c>
      <c r="G37" s="2" t="s">
        <v>28</v>
      </c>
      <c r="H37" s="2" t="s">
        <v>29</v>
      </c>
      <c r="I37" s="2" t="s">
        <v>27</v>
      </c>
      <c r="J37" s="2" t="s">
        <v>64</v>
      </c>
      <c r="K37" s="2" t="s">
        <v>31</v>
      </c>
      <c r="L37" s="4">
        <v>429.66466666666662</v>
      </c>
      <c r="M37" s="2" t="s">
        <v>31</v>
      </c>
      <c r="N37" s="4">
        <v>200000</v>
      </c>
      <c r="O37" s="2" t="s">
        <v>65</v>
      </c>
      <c r="P37" s="2" t="s">
        <v>32</v>
      </c>
      <c r="Q37" s="2" t="s">
        <v>27</v>
      </c>
      <c r="R37" s="2" t="s">
        <v>58</v>
      </c>
      <c r="S37" s="2" t="s">
        <v>33</v>
      </c>
      <c r="T37" s="2"/>
      <c r="U37" s="2"/>
      <c r="V37" s="2"/>
      <c r="W37" s="2" t="s">
        <v>79</v>
      </c>
      <c r="X37" s="2" t="s">
        <v>27</v>
      </c>
      <c r="Y37" s="2" t="s">
        <v>27</v>
      </c>
      <c r="Z37" s="2" t="s">
        <v>27</v>
      </c>
      <c r="AA37" s="3">
        <v>45883</v>
      </c>
      <c r="AB37" s="3"/>
      <c r="AC37" s="2" t="s">
        <v>27</v>
      </c>
    </row>
    <row r="38" spans="1:29" x14ac:dyDescent="0.35">
      <c r="A38" s="2">
        <v>1800002451</v>
      </c>
      <c r="B38" s="2" t="s">
        <v>63</v>
      </c>
      <c r="C38" s="3">
        <v>45733</v>
      </c>
      <c r="D38" s="3">
        <v>45734</v>
      </c>
      <c r="E38" s="2" t="s">
        <v>58</v>
      </c>
      <c r="F38" s="33">
        <v>246779412116</v>
      </c>
      <c r="G38" s="2" t="s">
        <v>28</v>
      </c>
      <c r="H38" s="2" t="s">
        <v>29</v>
      </c>
      <c r="I38" s="2" t="s">
        <v>27</v>
      </c>
      <c r="J38" s="2" t="s">
        <v>64</v>
      </c>
      <c r="K38" s="2" t="s">
        <v>38</v>
      </c>
      <c r="L38" s="4">
        <v>100</v>
      </c>
      <c r="M38" s="2" t="s">
        <v>31</v>
      </c>
      <c r="N38" s="4">
        <v>8669.1299999999992</v>
      </c>
      <c r="O38" s="2" t="s">
        <v>65</v>
      </c>
      <c r="P38" s="2" t="s">
        <v>32</v>
      </c>
      <c r="Q38" s="2" t="s">
        <v>27</v>
      </c>
      <c r="R38" s="2" t="s">
        <v>58</v>
      </c>
      <c r="S38" s="2" t="s">
        <v>33</v>
      </c>
      <c r="T38" s="2"/>
      <c r="U38" s="2"/>
      <c r="V38" s="2"/>
      <c r="W38" s="2" t="s">
        <v>80</v>
      </c>
      <c r="X38" s="2" t="s">
        <v>27</v>
      </c>
      <c r="Y38" s="2" t="s">
        <v>27</v>
      </c>
      <c r="Z38" s="2" t="s">
        <v>27</v>
      </c>
      <c r="AA38" s="3">
        <v>45733</v>
      </c>
      <c r="AB38" s="3"/>
      <c r="AC38" s="2" t="s">
        <v>27</v>
      </c>
    </row>
    <row r="39" spans="1:29" x14ac:dyDescent="0.35">
      <c r="A39" s="2">
        <v>1800002454</v>
      </c>
      <c r="B39" s="2" t="s">
        <v>63</v>
      </c>
      <c r="C39" s="3">
        <v>45733</v>
      </c>
      <c r="D39" s="3">
        <v>45734</v>
      </c>
      <c r="E39" s="2" t="s">
        <v>58</v>
      </c>
      <c r="F39" s="33">
        <v>246779412119</v>
      </c>
      <c r="G39" s="2" t="s">
        <v>28</v>
      </c>
      <c r="H39" s="2" t="s">
        <v>29</v>
      </c>
      <c r="I39" s="2" t="s">
        <v>27</v>
      </c>
      <c r="J39" s="2" t="s">
        <v>64</v>
      </c>
      <c r="K39" s="2" t="s">
        <v>38</v>
      </c>
      <c r="L39" s="4">
        <v>100</v>
      </c>
      <c r="M39" s="2" t="s">
        <v>31</v>
      </c>
      <c r="N39" s="4">
        <v>8669.1299999999992</v>
      </c>
      <c r="O39" s="2" t="s">
        <v>65</v>
      </c>
      <c r="P39" s="2" t="s">
        <v>32</v>
      </c>
      <c r="Q39" s="2" t="s">
        <v>27</v>
      </c>
      <c r="R39" s="2" t="s">
        <v>58</v>
      </c>
      <c r="S39" s="2" t="s">
        <v>33</v>
      </c>
      <c r="T39" s="2"/>
      <c r="U39" s="2"/>
      <c r="V39" s="2"/>
      <c r="W39" s="2" t="s">
        <v>80</v>
      </c>
      <c r="X39" s="2" t="s">
        <v>27</v>
      </c>
      <c r="Y39" s="2" t="s">
        <v>27</v>
      </c>
      <c r="Z39" s="2" t="s">
        <v>27</v>
      </c>
      <c r="AA39" s="3">
        <v>45733</v>
      </c>
      <c r="AB39" s="3"/>
      <c r="AC39" s="2" t="s">
        <v>27</v>
      </c>
    </row>
    <row r="40" spans="1:29" x14ac:dyDescent="0.35">
      <c r="A40" s="2">
        <v>1800002456</v>
      </c>
      <c r="B40" s="2" t="s">
        <v>63</v>
      </c>
      <c r="C40" s="3">
        <v>45733</v>
      </c>
      <c r="D40" s="3">
        <v>45734</v>
      </c>
      <c r="E40" s="2" t="s">
        <v>58</v>
      </c>
      <c r="F40" s="33">
        <v>246779412121</v>
      </c>
      <c r="G40" s="2" t="s">
        <v>28</v>
      </c>
      <c r="H40" s="2" t="s">
        <v>29</v>
      </c>
      <c r="I40" s="2" t="s">
        <v>27</v>
      </c>
      <c r="J40" s="2" t="s">
        <v>64</v>
      </c>
      <c r="K40" s="2" t="s">
        <v>38</v>
      </c>
      <c r="L40" s="4">
        <v>100</v>
      </c>
      <c r="M40" s="2" t="s">
        <v>31</v>
      </c>
      <c r="N40" s="4">
        <v>8669.1299999999992</v>
      </c>
      <c r="O40" s="2" t="s">
        <v>65</v>
      </c>
      <c r="P40" s="2" t="s">
        <v>32</v>
      </c>
      <c r="Q40" s="2" t="s">
        <v>27</v>
      </c>
      <c r="R40" s="2" t="s">
        <v>58</v>
      </c>
      <c r="S40" s="2" t="s">
        <v>33</v>
      </c>
      <c r="T40" s="2"/>
      <c r="U40" s="2"/>
      <c r="V40" s="2"/>
      <c r="W40" s="2" t="s">
        <v>80</v>
      </c>
      <c r="X40" s="2" t="s">
        <v>27</v>
      </c>
      <c r="Y40" s="2" t="s">
        <v>27</v>
      </c>
      <c r="Z40" s="2" t="s">
        <v>27</v>
      </c>
      <c r="AA40" s="3">
        <v>45733</v>
      </c>
      <c r="AB40" s="3"/>
      <c r="AC40" s="2" t="s">
        <v>27</v>
      </c>
    </row>
    <row r="41" spans="1:29" x14ac:dyDescent="0.35">
      <c r="A41" s="2">
        <v>1800008348</v>
      </c>
      <c r="B41" s="2" t="s">
        <v>63</v>
      </c>
      <c r="C41" s="3">
        <v>45787</v>
      </c>
      <c r="D41" s="3">
        <v>45792</v>
      </c>
      <c r="E41" s="2" t="s">
        <v>58</v>
      </c>
      <c r="F41" s="33">
        <v>256779413231</v>
      </c>
      <c r="G41" s="2" t="s">
        <v>28</v>
      </c>
      <c r="H41" s="2" t="s">
        <v>29</v>
      </c>
      <c r="I41" s="2" t="s">
        <v>27</v>
      </c>
      <c r="J41" s="2" t="s">
        <v>64</v>
      </c>
      <c r="K41" s="2" t="s">
        <v>38</v>
      </c>
      <c r="L41" s="4">
        <v>100</v>
      </c>
      <c r="M41" s="2" t="s">
        <v>31</v>
      </c>
      <c r="N41" s="4">
        <v>8598.3700000000008</v>
      </c>
      <c r="O41" s="2" t="s">
        <v>65</v>
      </c>
      <c r="P41" s="2" t="s">
        <v>32</v>
      </c>
      <c r="Q41" s="2" t="s">
        <v>27</v>
      </c>
      <c r="R41" s="2" t="s">
        <v>58</v>
      </c>
      <c r="S41" s="2" t="s">
        <v>33</v>
      </c>
      <c r="T41" s="2"/>
      <c r="U41" s="2"/>
      <c r="V41" s="2"/>
      <c r="W41" s="2" t="s">
        <v>81</v>
      </c>
      <c r="X41" s="2" t="s">
        <v>27</v>
      </c>
      <c r="Y41" s="2" t="s">
        <v>27</v>
      </c>
      <c r="Z41" s="2" t="s">
        <v>27</v>
      </c>
      <c r="AA41" s="3">
        <v>45787</v>
      </c>
      <c r="AB41" s="3"/>
      <c r="AC41" s="2" t="s">
        <v>27</v>
      </c>
    </row>
    <row r="42" spans="1:29" x14ac:dyDescent="0.35">
      <c r="A42" s="2">
        <v>1800009077</v>
      </c>
      <c r="B42" s="2" t="s">
        <v>63</v>
      </c>
      <c r="C42" s="3">
        <v>45797</v>
      </c>
      <c r="D42" s="3">
        <v>45805</v>
      </c>
      <c r="E42" s="2" t="s">
        <v>58</v>
      </c>
      <c r="F42" s="33">
        <v>256779413841</v>
      </c>
      <c r="G42" s="2" t="s">
        <v>28</v>
      </c>
      <c r="H42" s="2" t="s">
        <v>29</v>
      </c>
      <c r="I42" s="2" t="s">
        <v>27</v>
      </c>
      <c r="J42" s="2" t="s">
        <v>64</v>
      </c>
      <c r="K42" s="2" t="s">
        <v>38</v>
      </c>
      <c r="L42" s="4">
        <v>100</v>
      </c>
      <c r="M42" s="2" t="s">
        <v>31</v>
      </c>
      <c r="N42" s="4">
        <v>8598.3700000000008</v>
      </c>
      <c r="O42" s="2" t="s">
        <v>65</v>
      </c>
      <c r="P42" s="2" t="s">
        <v>32</v>
      </c>
      <c r="Q42" s="2" t="s">
        <v>27</v>
      </c>
      <c r="R42" s="2" t="s">
        <v>27</v>
      </c>
      <c r="S42" s="2" t="s">
        <v>33</v>
      </c>
      <c r="T42" s="2"/>
      <c r="U42" s="2"/>
      <c r="V42" s="2"/>
      <c r="W42" s="2" t="s">
        <v>82</v>
      </c>
      <c r="X42" s="2" t="s">
        <v>27</v>
      </c>
      <c r="Y42" s="2" t="s">
        <v>27</v>
      </c>
      <c r="Z42" s="2" t="s">
        <v>27</v>
      </c>
      <c r="AA42" s="3">
        <v>45797</v>
      </c>
      <c r="AB42" s="3"/>
      <c r="AC42" s="2" t="s">
        <v>27</v>
      </c>
    </row>
    <row r="43" spans="1:29" x14ac:dyDescent="0.35">
      <c r="A43" s="2">
        <v>1800009083</v>
      </c>
      <c r="B43" s="2" t="s">
        <v>63</v>
      </c>
      <c r="C43" s="3">
        <v>45797</v>
      </c>
      <c r="D43" s="3">
        <v>45805</v>
      </c>
      <c r="E43" s="2" t="s">
        <v>58</v>
      </c>
      <c r="F43" s="33">
        <v>256779413847</v>
      </c>
      <c r="G43" s="2" t="s">
        <v>28</v>
      </c>
      <c r="H43" s="2" t="s">
        <v>29</v>
      </c>
      <c r="I43" s="2" t="s">
        <v>27</v>
      </c>
      <c r="J43" s="2" t="s">
        <v>64</v>
      </c>
      <c r="K43" s="2" t="s">
        <v>38</v>
      </c>
      <c r="L43" s="4">
        <v>100</v>
      </c>
      <c r="M43" s="2" t="s">
        <v>31</v>
      </c>
      <c r="N43" s="4">
        <v>8598.3700000000008</v>
      </c>
      <c r="O43" s="2" t="s">
        <v>65</v>
      </c>
      <c r="P43" s="2" t="s">
        <v>32</v>
      </c>
      <c r="Q43" s="2" t="s">
        <v>27</v>
      </c>
      <c r="R43" s="2" t="s">
        <v>27</v>
      </c>
      <c r="S43" s="2" t="s">
        <v>33</v>
      </c>
      <c r="T43" s="2"/>
      <c r="U43" s="2"/>
      <c r="V43" s="2"/>
      <c r="W43" s="2" t="s">
        <v>82</v>
      </c>
      <c r="X43" s="2" t="s">
        <v>27</v>
      </c>
      <c r="Y43" s="2" t="s">
        <v>27</v>
      </c>
      <c r="Z43" s="2" t="s">
        <v>27</v>
      </c>
      <c r="AA43" s="3">
        <v>45797</v>
      </c>
      <c r="AB43" s="3"/>
      <c r="AC43" s="2" t="s">
        <v>27</v>
      </c>
    </row>
    <row r="44" spans="1:29" x14ac:dyDescent="0.35">
      <c r="A44" s="2">
        <v>1800009084</v>
      </c>
      <c r="B44" s="2" t="s">
        <v>63</v>
      </c>
      <c r="C44" s="3">
        <v>45797</v>
      </c>
      <c r="D44" s="3">
        <v>45805</v>
      </c>
      <c r="E44" s="2" t="s">
        <v>58</v>
      </c>
      <c r="F44" s="33">
        <v>256779413848</v>
      </c>
      <c r="G44" s="2" t="s">
        <v>28</v>
      </c>
      <c r="H44" s="2" t="s">
        <v>29</v>
      </c>
      <c r="I44" s="2" t="s">
        <v>27</v>
      </c>
      <c r="J44" s="2" t="s">
        <v>64</v>
      </c>
      <c r="K44" s="2" t="s">
        <v>38</v>
      </c>
      <c r="L44" s="4">
        <v>100</v>
      </c>
      <c r="M44" s="2" t="s">
        <v>31</v>
      </c>
      <c r="N44" s="4">
        <v>8598.3700000000008</v>
      </c>
      <c r="O44" s="2" t="s">
        <v>65</v>
      </c>
      <c r="P44" s="2" t="s">
        <v>32</v>
      </c>
      <c r="Q44" s="2" t="s">
        <v>27</v>
      </c>
      <c r="R44" s="2" t="s">
        <v>27</v>
      </c>
      <c r="S44" s="2" t="s">
        <v>33</v>
      </c>
      <c r="T44" s="2"/>
      <c r="U44" s="2"/>
      <c r="V44" s="2"/>
      <c r="W44" s="2" t="s">
        <v>82</v>
      </c>
      <c r="X44" s="2" t="s">
        <v>27</v>
      </c>
      <c r="Y44" s="2" t="s">
        <v>27</v>
      </c>
      <c r="Z44" s="2" t="s">
        <v>27</v>
      </c>
      <c r="AA44" s="3">
        <v>45797</v>
      </c>
      <c r="AB44" s="3"/>
      <c r="AC44" s="2" t="s">
        <v>27</v>
      </c>
    </row>
    <row r="45" spans="1:29" x14ac:dyDescent="0.35">
      <c r="A45" s="2">
        <v>1800011280</v>
      </c>
      <c r="B45" s="2" t="s">
        <v>63</v>
      </c>
      <c r="C45" s="3">
        <v>45863</v>
      </c>
      <c r="D45" s="3">
        <v>45863</v>
      </c>
      <c r="E45" s="2" t="s">
        <v>58</v>
      </c>
      <c r="F45" s="33">
        <v>256779416012</v>
      </c>
      <c r="G45" s="2" t="s">
        <v>28</v>
      </c>
      <c r="H45" s="2" t="s">
        <v>29</v>
      </c>
      <c r="I45" s="2" t="s">
        <v>27</v>
      </c>
      <c r="J45" s="2" t="s">
        <v>64</v>
      </c>
      <c r="K45" s="2" t="s">
        <v>38</v>
      </c>
      <c r="L45" s="4">
        <v>100</v>
      </c>
      <c r="M45" s="2" t="s">
        <v>31</v>
      </c>
      <c r="N45" s="4">
        <v>8600.07</v>
      </c>
      <c r="O45" s="2" t="s">
        <v>65</v>
      </c>
      <c r="P45" s="2" t="s">
        <v>32</v>
      </c>
      <c r="Q45" s="2" t="s">
        <v>27</v>
      </c>
      <c r="R45" s="2" t="s">
        <v>27</v>
      </c>
      <c r="S45" s="2" t="s">
        <v>33</v>
      </c>
      <c r="T45" s="2"/>
      <c r="U45" s="2"/>
      <c r="V45" s="2"/>
      <c r="W45" s="2" t="s">
        <v>83</v>
      </c>
      <c r="X45" s="2" t="s">
        <v>27</v>
      </c>
      <c r="Y45" s="2" t="s">
        <v>27</v>
      </c>
      <c r="Z45" s="2" t="s">
        <v>27</v>
      </c>
      <c r="AA45" s="3">
        <v>45863</v>
      </c>
      <c r="AB45" s="3"/>
      <c r="AC45" s="2" t="s">
        <v>27</v>
      </c>
    </row>
    <row r="46" spans="1:29" x14ac:dyDescent="0.35">
      <c r="A46" s="2">
        <v>1800001850</v>
      </c>
      <c r="B46" s="2" t="s">
        <v>63</v>
      </c>
      <c r="C46" s="3">
        <v>45730</v>
      </c>
      <c r="D46" s="3">
        <v>45733</v>
      </c>
      <c r="E46" s="2" t="s">
        <v>58</v>
      </c>
      <c r="F46" s="33">
        <v>246779411515</v>
      </c>
      <c r="G46" s="2" t="s">
        <v>28</v>
      </c>
      <c r="H46" s="2" t="s">
        <v>29</v>
      </c>
      <c r="I46" s="2" t="s">
        <v>27</v>
      </c>
      <c r="J46" s="2" t="s">
        <v>64</v>
      </c>
      <c r="K46" s="2" t="s">
        <v>38</v>
      </c>
      <c r="L46" s="4">
        <v>100</v>
      </c>
      <c r="M46" s="2" t="s">
        <v>31</v>
      </c>
      <c r="N46" s="4">
        <v>8669.1299999999992</v>
      </c>
      <c r="O46" s="2" t="s">
        <v>65</v>
      </c>
      <c r="P46" s="2" t="s">
        <v>32</v>
      </c>
      <c r="Q46" s="2" t="s">
        <v>27</v>
      </c>
      <c r="R46" s="2" t="s">
        <v>58</v>
      </c>
      <c r="S46" s="2" t="s">
        <v>33</v>
      </c>
      <c r="T46" s="2"/>
      <c r="U46" s="2"/>
      <c r="V46" s="2"/>
      <c r="W46" s="2" t="s">
        <v>84</v>
      </c>
      <c r="X46" s="2" t="s">
        <v>27</v>
      </c>
      <c r="Y46" s="2" t="s">
        <v>27</v>
      </c>
      <c r="Z46" s="2" t="s">
        <v>27</v>
      </c>
      <c r="AA46" s="3">
        <v>45730</v>
      </c>
      <c r="AB46" s="3">
        <v>45887</v>
      </c>
      <c r="AC46" s="2" t="s">
        <v>40</v>
      </c>
    </row>
    <row r="47" spans="1:29" x14ac:dyDescent="0.35">
      <c r="A47" s="2">
        <v>1800009967</v>
      </c>
      <c r="B47" s="2" t="s">
        <v>63</v>
      </c>
      <c r="C47" s="3">
        <v>45827</v>
      </c>
      <c r="D47" s="3">
        <v>45829</v>
      </c>
      <c r="E47" s="2" t="s">
        <v>58</v>
      </c>
      <c r="F47" s="33">
        <v>256779414731</v>
      </c>
      <c r="G47" s="2" t="s">
        <v>28</v>
      </c>
      <c r="H47" s="2" t="s">
        <v>29</v>
      </c>
      <c r="I47" s="2" t="s">
        <v>27</v>
      </c>
      <c r="J47" s="2" t="s">
        <v>64</v>
      </c>
      <c r="K47" s="2" t="s">
        <v>38</v>
      </c>
      <c r="L47" s="4">
        <v>100</v>
      </c>
      <c r="M47" s="2" t="s">
        <v>31</v>
      </c>
      <c r="N47" s="4">
        <v>8549.08</v>
      </c>
      <c r="O47" s="2" t="s">
        <v>65</v>
      </c>
      <c r="P47" s="2" t="s">
        <v>32</v>
      </c>
      <c r="Q47" s="2" t="s">
        <v>27</v>
      </c>
      <c r="R47" s="2" t="s">
        <v>58</v>
      </c>
      <c r="S47" s="2" t="s">
        <v>33</v>
      </c>
      <c r="T47" s="2"/>
      <c r="U47" s="2"/>
      <c r="V47" s="2"/>
      <c r="W47" s="2" t="s">
        <v>85</v>
      </c>
      <c r="X47" s="2" t="s">
        <v>27</v>
      </c>
      <c r="Y47" s="2" t="s">
        <v>27</v>
      </c>
      <c r="Z47" s="2" t="s">
        <v>27</v>
      </c>
      <c r="AA47" s="3">
        <v>45827</v>
      </c>
      <c r="AB47" s="3">
        <v>45888</v>
      </c>
      <c r="AC47" s="2" t="s">
        <v>52</v>
      </c>
    </row>
    <row r="48" spans="1:29" x14ac:dyDescent="0.35">
      <c r="A48" s="2">
        <v>1800009968</v>
      </c>
      <c r="B48" s="2" t="s">
        <v>63</v>
      </c>
      <c r="C48" s="3">
        <v>45827</v>
      </c>
      <c r="D48" s="3">
        <v>45829</v>
      </c>
      <c r="E48" s="2" t="s">
        <v>58</v>
      </c>
      <c r="F48" s="33">
        <v>256779414732</v>
      </c>
      <c r="G48" s="2" t="s">
        <v>28</v>
      </c>
      <c r="H48" s="2" t="s">
        <v>29</v>
      </c>
      <c r="I48" s="2" t="s">
        <v>27</v>
      </c>
      <c r="J48" s="2" t="s">
        <v>64</v>
      </c>
      <c r="K48" s="2" t="s">
        <v>38</v>
      </c>
      <c r="L48" s="4">
        <v>100</v>
      </c>
      <c r="M48" s="2" t="s">
        <v>31</v>
      </c>
      <c r="N48" s="4">
        <v>8549.08</v>
      </c>
      <c r="O48" s="2" t="s">
        <v>65</v>
      </c>
      <c r="P48" s="2" t="s">
        <v>32</v>
      </c>
      <c r="Q48" s="2" t="s">
        <v>27</v>
      </c>
      <c r="R48" s="2" t="s">
        <v>58</v>
      </c>
      <c r="S48" s="2" t="s">
        <v>33</v>
      </c>
      <c r="T48" s="2"/>
      <c r="U48" s="2"/>
      <c r="V48" s="2"/>
      <c r="W48" s="2" t="s">
        <v>85</v>
      </c>
      <c r="X48" s="2" t="s">
        <v>27</v>
      </c>
      <c r="Y48" s="2" t="s">
        <v>27</v>
      </c>
      <c r="Z48" s="2" t="s">
        <v>27</v>
      </c>
      <c r="AA48" s="3">
        <v>45827</v>
      </c>
      <c r="AB48" s="3">
        <v>45888</v>
      </c>
      <c r="AC48" s="2" t="s">
        <v>52</v>
      </c>
    </row>
    <row r="49" spans="1:29" x14ac:dyDescent="0.35">
      <c r="A49" s="2">
        <v>1800009969</v>
      </c>
      <c r="B49" s="2" t="s">
        <v>63</v>
      </c>
      <c r="C49" s="3">
        <v>45827</v>
      </c>
      <c r="D49" s="3">
        <v>45829</v>
      </c>
      <c r="E49" s="2" t="s">
        <v>58</v>
      </c>
      <c r="F49" s="33">
        <v>256779414733</v>
      </c>
      <c r="G49" s="2" t="s">
        <v>28</v>
      </c>
      <c r="H49" s="2" t="s">
        <v>29</v>
      </c>
      <c r="I49" s="2" t="s">
        <v>27</v>
      </c>
      <c r="J49" s="2" t="s">
        <v>64</v>
      </c>
      <c r="K49" s="2" t="s">
        <v>38</v>
      </c>
      <c r="L49" s="4">
        <v>100</v>
      </c>
      <c r="M49" s="2" t="s">
        <v>31</v>
      </c>
      <c r="N49" s="4">
        <v>8549.08</v>
      </c>
      <c r="O49" s="2" t="s">
        <v>65</v>
      </c>
      <c r="P49" s="2" t="s">
        <v>32</v>
      </c>
      <c r="Q49" s="2" t="s">
        <v>27</v>
      </c>
      <c r="R49" s="2" t="s">
        <v>58</v>
      </c>
      <c r="S49" s="2" t="s">
        <v>33</v>
      </c>
      <c r="T49" s="2"/>
      <c r="U49" s="2"/>
      <c r="V49" s="2"/>
      <c r="W49" s="2" t="s">
        <v>85</v>
      </c>
      <c r="X49" s="2" t="s">
        <v>27</v>
      </c>
      <c r="Y49" s="2" t="s">
        <v>27</v>
      </c>
      <c r="Z49" s="2" t="s">
        <v>27</v>
      </c>
      <c r="AA49" s="3">
        <v>45827</v>
      </c>
      <c r="AB49" s="3">
        <v>45888</v>
      </c>
      <c r="AC49" s="2" t="s">
        <v>52</v>
      </c>
    </row>
    <row r="50" spans="1:29" x14ac:dyDescent="0.35">
      <c r="A50" s="2">
        <v>1800009970</v>
      </c>
      <c r="B50" s="2" t="s">
        <v>63</v>
      </c>
      <c r="C50" s="3">
        <v>45827</v>
      </c>
      <c r="D50" s="3">
        <v>45829</v>
      </c>
      <c r="E50" s="2" t="s">
        <v>58</v>
      </c>
      <c r="F50" s="33">
        <v>256779414734</v>
      </c>
      <c r="G50" s="2" t="s">
        <v>28</v>
      </c>
      <c r="H50" s="2" t="s">
        <v>29</v>
      </c>
      <c r="I50" s="2" t="s">
        <v>27</v>
      </c>
      <c r="J50" s="2" t="s">
        <v>64</v>
      </c>
      <c r="K50" s="2" t="s">
        <v>38</v>
      </c>
      <c r="L50" s="4">
        <v>100</v>
      </c>
      <c r="M50" s="2" t="s">
        <v>31</v>
      </c>
      <c r="N50" s="4">
        <v>8549.08</v>
      </c>
      <c r="O50" s="2" t="s">
        <v>65</v>
      </c>
      <c r="P50" s="2" t="s">
        <v>32</v>
      </c>
      <c r="Q50" s="2" t="s">
        <v>27</v>
      </c>
      <c r="R50" s="2" t="s">
        <v>58</v>
      </c>
      <c r="S50" s="2" t="s">
        <v>33</v>
      </c>
      <c r="T50" s="2"/>
      <c r="U50" s="2"/>
      <c r="V50" s="2"/>
      <c r="W50" s="2" t="s">
        <v>85</v>
      </c>
      <c r="X50" s="2" t="s">
        <v>27</v>
      </c>
      <c r="Y50" s="2" t="s">
        <v>27</v>
      </c>
      <c r="Z50" s="2" t="s">
        <v>27</v>
      </c>
      <c r="AA50" s="3">
        <v>45827</v>
      </c>
      <c r="AB50" s="3">
        <v>45888</v>
      </c>
      <c r="AC50" s="2" t="s">
        <v>52</v>
      </c>
    </row>
    <row r="51" spans="1:29" x14ac:dyDescent="0.35">
      <c r="A51" s="2">
        <v>1800009971</v>
      </c>
      <c r="B51" s="2" t="s">
        <v>63</v>
      </c>
      <c r="C51" s="3">
        <v>45827</v>
      </c>
      <c r="D51" s="3">
        <v>45829</v>
      </c>
      <c r="E51" s="2" t="s">
        <v>58</v>
      </c>
      <c r="F51" s="33">
        <v>256779414735</v>
      </c>
      <c r="G51" s="2" t="s">
        <v>28</v>
      </c>
      <c r="H51" s="2" t="s">
        <v>29</v>
      </c>
      <c r="I51" s="2" t="s">
        <v>27</v>
      </c>
      <c r="J51" s="2" t="s">
        <v>64</v>
      </c>
      <c r="K51" s="2" t="s">
        <v>38</v>
      </c>
      <c r="L51" s="4">
        <v>100</v>
      </c>
      <c r="M51" s="2" t="s">
        <v>31</v>
      </c>
      <c r="N51" s="4">
        <v>8549.08</v>
      </c>
      <c r="O51" s="2" t="s">
        <v>65</v>
      </c>
      <c r="P51" s="2" t="s">
        <v>32</v>
      </c>
      <c r="Q51" s="2" t="s">
        <v>27</v>
      </c>
      <c r="R51" s="2" t="s">
        <v>58</v>
      </c>
      <c r="S51" s="2" t="s">
        <v>33</v>
      </c>
      <c r="T51" s="2"/>
      <c r="U51" s="2"/>
      <c r="V51" s="2"/>
      <c r="W51" s="2" t="s">
        <v>85</v>
      </c>
      <c r="X51" s="2" t="s">
        <v>27</v>
      </c>
      <c r="Y51" s="2" t="s">
        <v>27</v>
      </c>
      <c r="Z51" s="2" t="s">
        <v>27</v>
      </c>
      <c r="AA51" s="3">
        <v>45827</v>
      </c>
      <c r="AB51" s="3">
        <v>45888</v>
      </c>
      <c r="AC51" s="2" t="s">
        <v>52</v>
      </c>
    </row>
    <row r="52" spans="1:29" x14ac:dyDescent="0.35">
      <c r="A52" s="2">
        <v>1800012780</v>
      </c>
      <c r="B52" s="2" t="s">
        <v>63</v>
      </c>
      <c r="C52" s="3">
        <v>45917</v>
      </c>
      <c r="D52" s="3">
        <v>45922</v>
      </c>
      <c r="E52" s="2" t="s">
        <v>58</v>
      </c>
      <c r="F52" s="33">
        <v>256779417434</v>
      </c>
      <c r="G52" s="2" t="s">
        <v>28</v>
      </c>
      <c r="H52" s="2" t="s">
        <v>29</v>
      </c>
      <c r="I52" s="2" t="s">
        <v>27</v>
      </c>
      <c r="J52" s="2" t="s">
        <v>64</v>
      </c>
      <c r="K52" s="2" t="s">
        <v>38</v>
      </c>
      <c r="L52" s="4">
        <v>100</v>
      </c>
      <c r="M52" s="2" t="s">
        <v>31</v>
      </c>
      <c r="N52" s="4">
        <v>8751.43</v>
      </c>
      <c r="O52" s="2" t="s">
        <v>65</v>
      </c>
      <c r="P52" s="2" t="s">
        <v>32</v>
      </c>
      <c r="Q52" s="2" t="s">
        <v>27</v>
      </c>
      <c r="R52" s="2" t="s">
        <v>86</v>
      </c>
      <c r="S52" s="2" t="s">
        <v>33</v>
      </c>
      <c r="T52" s="2"/>
      <c r="U52" s="2"/>
      <c r="V52" s="2"/>
      <c r="W52" s="2" t="s">
        <v>87</v>
      </c>
      <c r="X52" s="2" t="s">
        <v>27</v>
      </c>
      <c r="Y52" s="2" t="s">
        <v>27</v>
      </c>
      <c r="Z52" s="2" t="s">
        <v>27</v>
      </c>
      <c r="AA52" s="3">
        <v>45917</v>
      </c>
      <c r="AB52" s="3"/>
      <c r="AC52" s="2" t="s">
        <v>27</v>
      </c>
    </row>
    <row r="53" spans="1:29" x14ac:dyDescent="0.35">
      <c r="A53" s="2">
        <v>1800013748</v>
      </c>
      <c r="B53" s="2" t="s">
        <v>63</v>
      </c>
      <c r="C53" s="3">
        <v>45937</v>
      </c>
      <c r="D53" s="3">
        <v>45939</v>
      </c>
      <c r="E53" s="2" t="s">
        <v>58</v>
      </c>
      <c r="F53" s="33">
        <v>256779418169</v>
      </c>
      <c r="G53" s="2" t="s">
        <v>28</v>
      </c>
      <c r="H53" s="2" t="s">
        <v>29</v>
      </c>
      <c r="I53" s="2" t="s">
        <v>27</v>
      </c>
      <c r="J53" s="2" t="s">
        <v>64</v>
      </c>
      <c r="K53" s="2" t="s">
        <v>38</v>
      </c>
      <c r="L53" s="4">
        <v>100</v>
      </c>
      <c r="M53" s="2" t="s">
        <v>31</v>
      </c>
      <c r="N53" s="4">
        <v>8819.08</v>
      </c>
      <c r="O53" s="2" t="s">
        <v>65</v>
      </c>
      <c r="P53" s="2" t="s">
        <v>32</v>
      </c>
      <c r="Q53" s="2" t="s">
        <v>27</v>
      </c>
      <c r="R53" s="2" t="s">
        <v>88</v>
      </c>
      <c r="S53" s="2" t="s">
        <v>33</v>
      </c>
      <c r="T53" s="2"/>
      <c r="U53" s="2"/>
      <c r="V53" s="2"/>
      <c r="W53" s="2" t="s">
        <v>89</v>
      </c>
      <c r="X53" s="2" t="s">
        <v>27</v>
      </c>
      <c r="Y53" s="2" t="s">
        <v>27</v>
      </c>
      <c r="Z53" s="2" t="s">
        <v>27</v>
      </c>
      <c r="AA53" s="3">
        <v>45937</v>
      </c>
      <c r="AB53" s="3"/>
      <c r="AC53" s="2" t="s">
        <v>27</v>
      </c>
    </row>
    <row r="54" spans="1:29" x14ac:dyDescent="0.35">
      <c r="A54" s="2">
        <v>1800013749</v>
      </c>
      <c r="B54" s="2" t="s">
        <v>63</v>
      </c>
      <c r="C54" s="3">
        <v>45937</v>
      </c>
      <c r="D54" s="3">
        <v>45939</v>
      </c>
      <c r="E54" s="2" t="s">
        <v>58</v>
      </c>
      <c r="F54" s="33">
        <v>256779418170</v>
      </c>
      <c r="G54" s="2" t="s">
        <v>28</v>
      </c>
      <c r="H54" s="2" t="s">
        <v>29</v>
      </c>
      <c r="I54" s="2" t="s">
        <v>27</v>
      </c>
      <c r="J54" s="2" t="s">
        <v>64</v>
      </c>
      <c r="K54" s="2" t="s">
        <v>38</v>
      </c>
      <c r="L54" s="4">
        <v>100</v>
      </c>
      <c r="M54" s="2" t="s">
        <v>31</v>
      </c>
      <c r="N54" s="4">
        <v>8819.08</v>
      </c>
      <c r="O54" s="2" t="s">
        <v>65</v>
      </c>
      <c r="P54" s="2" t="s">
        <v>32</v>
      </c>
      <c r="Q54" s="2" t="s">
        <v>27</v>
      </c>
      <c r="R54" s="2" t="s">
        <v>88</v>
      </c>
      <c r="S54" s="2" t="s">
        <v>33</v>
      </c>
      <c r="T54" s="2"/>
      <c r="U54" s="2"/>
      <c r="V54" s="2"/>
      <c r="W54" s="2" t="s">
        <v>89</v>
      </c>
      <c r="X54" s="2" t="s">
        <v>27</v>
      </c>
      <c r="Y54" s="2" t="s">
        <v>27</v>
      </c>
      <c r="Z54" s="2" t="s">
        <v>27</v>
      </c>
      <c r="AA54" s="3">
        <v>45937</v>
      </c>
      <c r="AB54" s="3"/>
      <c r="AC54" s="2" t="s">
        <v>27</v>
      </c>
    </row>
    <row r="55" spans="1:29" x14ac:dyDescent="0.35">
      <c r="A55" s="2">
        <v>1800000374</v>
      </c>
      <c r="B55" s="2" t="s">
        <v>63</v>
      </c>
      <c r="C55" s="3">
        <v>45716</v>
      </c>
      <c r="D55" s="3">
        <v>45716</v>
      </c>
      <c r="E55" s="2" t="s">
        <v>58</v>
      </c>
      <c r="F55" s="33">
        <v>246779410343</v>
      </c>
      <c r="G55" s="2" t="s">
        <v>28</v>
      </c>
      <c r="H55" s="2" t="s">
        <v>29</v>
      </c>
      <c r="I55" s="2" t="s">
        <v>27</v>
      </c>
      <c r="J55" s="2" t="s">
        <v>64</v>
      </c>
      <c r="K55" s="2" t="s">
        <v>38</v>
      </c>
      <c r="L55" s="4">
        <v>1700</v>
      </c>
      <c r="M55" s="2" t="s">
        <v>31</v>
      </c>
      <c r="N55" s="4">
        <v>146716.22</v>
      </c>
      <c r="O55" s="2" t="s">
        <v>65</v>
      </c>
      <c r="P55" s="2" t="s">
        <v>32</v>
      </c>
      <c r="Q55" s="2" t="s">
        <v>27</v>
      </c>
      <c r="R55" s="2" t="s">
        <v>58</v>
      </c>
      <c r="S55" s="2" t="s">
        <v>33</v>
      </c>
      <c r="T55" s="2"/>
      <c r="U55" s="2"/>
      <c r="V55" s="2"/>
      <c r="W55" s="2" t="s">
        <v>90</v>
      </c>
      <c r="X55" s="2" t="s">
        <v>27</v>
      </c>
      <c r="Y55" s="2" t="s">
        <v>27</v>
      </c>
      <c r="Z55" s="2" t="s">
        <v>27</v>
      </c>
      <c r="AA55" s="3">
        <v>45716</v>
      </c>
      <c r="AB55" s="3"/>
      <c r="AC55" s="2" t="s">
        <v>27</v>
      </c>
    </row>
    <row r="56" spans="1:29" x14ac:dyDescent="0.35">
      <c r="A56" s="2">
        <v>1800000381</v>
      </c>
      <c r="B56" s="2" t="s">
        <v>63</v>
      </c>
      <c r="C56" s="3">
        <v>45716</v>
      </c>
      <c r="D56" s="3">
        <v>45716</v>
      </c>
      <c r="E56" s="2" t="s">
        <v>58</v>
      </c>
      <c r="F56" s="33">
        <v>246779410350</v>
      </c>
      <c r="G56" s="2" t="s">
        <v>28</v>
      </c>
      <c r="H56" s="2" t="s">
        <v>29</v>
      </c>
      <c r="I56" s="2" t="s">
        <v>27</v>
      </c>
      <c r="J56" s="2" t="s">
        <v>64</v>
      </c>
      <c r="K56" s="2" t="s">
        <v>38</v>
      </c>
      <c r="L56" s="4">
        <v>1750</v>
      </c>
      <c r="M56" s="2" t="s">
        <v>31</v>
      </c>
      <c r="N56" s="4">
        <v>151031.41</v>
      </c>
      <c r="O56" s="2" t="s">
        <v>65</v>
      </c>
      <c r="P56" s="2" t="s">
        <v>32</v>
      </c>
      <c r="Q56" s="2" t="s">
        <v>27</v>
      </c>
      <c r="R56" s="2" t="s">
        <v>58</v>
      </c>
      <c r="S56" s="2" t="s">
        <v>33</v>
      </c>
      <c r="T56" s="2"/>
      <c r="U56" s="2"/>
      <c r="V56" s="2"/>
      <c r="W56" s="2" t="s">
        <v>90</v>
      </c>
      <c r="X56" s="2" t="s">
        <v>27</v>
      </c>
      <c r="Y56" s="2" t="s">
        <v>27</v>
      </c>
      <c r="Z56" s="2" t="s">
        <v>27</v>
      </c>
      <c r="AA56" s="3">
        <v>45716</v>
      </c>
      <c r="AB56" s="3"/>
      <c r="AC56" s="2" t="s">
        <v>27</v>
      </c>
    </row>
    <row r="57" spans="1:29" x14ac:dyDescent="0.35">
      <c r="A57" s="2">
        <v>1800000387</v>
      </c>
      <c r="B57" s="2" t="s">
        <v>63</v>
      </c>
      <c r="C57" s="3">
        <v>45716</v>
      </c>
      <c r="D57" s="3">
        <v>45716</v>
      </c>
      <c r="E57" s="2" t="s">
        <v>58</v>
      </c>
      <c r="F57" s="33">
        <v>246779410356</v>
      </c>
      <c r="G57" s="2" t="s">
        <v>28</v>
      </c>
      <c r="H57" s="2" t="s">
        <v>29</v>
      </c>
      <c r="I57" s="2" t="s">
        <v>27</v>
      </c>
      <c r="J57" s="2" t="s">
        <v>64</v>
      </c>
      <c r="K57" s="2" t="s">
        <v>38</v>
      </c>
      <c r="L57" s="4">
        <v>1750</v>
      </c>
      <c r="M57" s="2" t="s">
        <v>31</v>
      </c>
      <c r="N57" s="4">
        <v>151031.41</v>
      </c>
      <c r="O57" s="2" t="s">
        <v>65</v>
      </c>
      <c r="P57" s="2" t="s">
        <v>32</v>
      </c>
      <c r="Q57" s="2" t="s">
        <v>27</v>
      </c>
      <c r="R57" s="2" t="s">
        <v>58</v>
      </c>
      <c r="S57" s="2" t="s">
        <v>33</v>
      </c>
      <c r="T57" s="2"/>
      <c r="U57" s="2"/>
      <c r="V57" s="2"/>
      <c r="W57" s="2" t="s">
        <v>90</v>
      </c>
      <c r="X57" s="2" t="s">
        <v>27</v>
      </c>
      <c r="Y57" s="2" t="s">
        <v>27</v>
      </c>
      <c r="Z57" s="2" t="s">
        <v>27</v>
      </c>
      <c r="AA57" s="3">
        <v>45716</v>
      </c>
      <c r="AB57" s="3"/>
      <c r="AC57" s="2" t="s">
        <v>27</v>
      </c>
    </row>
    <row r="58" spans="1:29" x14ac:dyDescent="0.35">
      <c r="A58" s="2">
        <v>1800000393</v>
      </c>
      <c r="B58" s="2" t="s">
        <v>63</v>
      </c>
      <c r="C58" s="3">
        <v>45716</v>
      </c>
      <c r="D58" s="3">
        <v>45716</v>
      </c>
      <c r="E58" s="2" t="s">
        <v>58</v>
      </c>
      <c r="F58" s="33">
        <v>246779410362</v>
      </c>
      <c r="G58" s="2" t="s">
        <v>28</v>
      </c>
      <c r="H58" s="2" t="s">
        <v>29</v>
      </c>
      <c r="I58" s="2" t="s">
        <v>27</v>
      </c>
      <c r="J58" s="2" t="s">
        <v>64</v>
      </c>
      <c r="K58" s="2" t="s">
        <v>38</v>
      </c>
      <c r="L58" s="4">
        <v>1700</v>
      </c>
      <c r="M58" s="2" t="s">
        <v>31</v>
      </c>
      <c r="N58" s="4">
        <v>146716.22</v>
      </c>
      <c r="O58" s="2" t="s">
        <v>65</v>
      </c>
      <c r="P58" s="2" t="s">
        <v>32</v>
      </c>
      <c r="Q58" s="2" t="s">
        <v>27</v>
      </c>
      <c r="R58" s="2" t="s">
        <v>58</v>
      </c>
      <c r="S58" s="2" t="s">
        <v>33</v>
      </c>
      <c r="T58" s="2"/>
      <c r="U58" s="2"/>
      <c r="V58" s="2"/>
      <c r="W58" s="2" t="s">
        <v>90</v>
      </c>
      <c r="X58" s="2" t="s">
        <v>27</v>
      </c>
      <c r="Y58" s="2" t="s">
        <v>27</v>
      </c>
      <c r="Z58" s="2" t="s">
        <v>27</v>
      </c>
      <c r="AA58" s="3">
        <v>45716</v>
      </c>
      <c r="AB58" s="3"/>
      <c r="AC58" s="2" t="s">
        <v>27</v>
      </c>
    </row>
    <row r="59" spans="1:29" x14ac:dyDescent="0.35">
      <c r="A59" s="2">
        <v>1800000931</v>
      </c>
      <c r="B59" s="2" t="s">
        <v>63</v>
      </c>
      <c r="C59" s="3">
        <v>45722</v>
      </c>
      <c r="D59" s="3">
        <v>45722</v>
      </c>
      <c r="E59" s="2" t="s">
        <v>58</v>
      </c>
      <c r="F59" s="33">
        <v>246779410871</v>
      </c>
      <c r="G59" s="2" t="s">
        <v>28</v>
      </c>
      <c r="H59" s="2" t="s">
        <v>29</v>
      </c>
      <c r="I59" s="2" t="s">
        <v>27</v>
      </c>
      <c r="J59" s="2" t="s">
        <v>64</v>
      </c>
      <c r="K59" s="2" t="s">
        <v>38</v>
      </c>
      <c r="L59" s="4">
        <v>42.51</v>
      </c>
      <c r="M59" s="2" t="s">
        <v>31</v>
      </c>
      <c r="N59" s="4">
        <v>3685.25</v>
      </c>
      <c r="O59" s="2" t="s">
        <v>65</v>
      </c>
      <c r="P59" s="2" t="s">
        <v>32</v>
      </c>
      <c r="Q59" s="2" t="s">
        <v>27</v>
      </c>
      <c r="R59" s="2" t="s">
        <v>58</v>
      </c>
      <c r="S59" s="2" t="s">
        <v>33</v>
      </c>
      <c r="T59" s="2"/>
      <c r="U59" s="2"/>
      <c r="V59" s="2"/>
      <c r="W59" s="2" t="s">
        <v>91</v>
      </c>
      <c r="X59" s="2" t="s">
        <v>27</v>
      </c>
      <c r="Y59" s="2" t="s">
        <v>27</v>
      </c>
      <c r="Z59" s="2" t="s">
        <v>27</v>
      </c>
      <c r="AA59" s="3">
        <v>45722</v>
      </c>
      <c r="AB59" s="3"/>
      <c r="AC59" s="2" t="s">
        <v>27</v>
      </c>
    </row>
    <row r="60" spans="1:29" x14ac:dyDescent="0.35">
      <c r="A60" s="2">
        <v>1800000953</v>
      </c>
      <c r="B60" s="2" t="s">
        <v>63</v>
      </c>
      <c r="C60" s="3">
        <v>45722</v>
      </c>
      <c r="D60" s="3">
        <v>45722</v>
      </c>
      <c r="E60" s="2" t="s">
        <v>58</v>
      </c>
      <c r="F60" s="33">
        <v>246779410893</v>
      </c>
      <c r="G60" s="2" t="s">
        <v>28</v>
      </c>
      <c r="H60" s="2" t="s">
        <v>29</v>
      </c>
      <c r="I60" s="2" t="s">
        <v>27</v>
      </c>
      <c r="J60" s="2" t="s">
        <v>64</v>
      </c>
      <c r="K60" s="2" t="s">
        <v>38</v>
      </c>
      <c r="L60" s="4">
        <v>177.18</v>
      </c>
      <c r="M60" s="2" t="s">
        <v>31</v>
      </c>
      <c r="N60" s="4">
        <v>15359.96</v>
      </c>
      <c r="O60" s="2" t="s">
        <v>65</v>
      </c>
      <c r="P60" s="2" t="s">
        <v>32</v>
      </c>
      <c r="Q60" s="2" t="s">
        <v>27</v>
      </c>
      <c r="R60" s="2" t="s">
        <v>58</v>
      </c>
      <c r="S60" s="2" t="s">
        <v>33</v>
      </c>
      <c r="T60" s="2"/>
      <c r="U60" s="2"/>
      <c r="V60" s="2"/>
      <c r="W60" s="2" t="s">
        <v>92</v>
      </c>
      <c r="X60" s="2" t="s">
        <v>27</v>
      </c>
      <c r="Y60" s="2" t="s">
        <v>27</v>
      </c>
      <c r="Z60" s="2" t="s">
        <v>27</v>
      </c>
      <c r="AA60" s="3">
        <v>45722</v>
      </c>
      <c r="AB60" s="3"/>
      <c r="AC60" s="2" t="s">
        <v>27</v>
      </c>
    </row>
    <row r="61" spans="1:29" x14ac:dyDescent="0.35">
      <c r="A61" s="2">
        <v>1600002439</v>
      </c>
      <c r="B61" s="2" t="s">
        <v>76</v>
      </c>
      <c r="C61" s="3">
        <v>45943</v>
      </c>
      <c r="D61" s="3">
        <v>45944</v>
      </c>
      <c r="E61" s="2" t="s">
        <v>58</v>
      </c>
      <c r="F61" s="33">
        <v>256779421983</v>
      </c>
      <c r="G61" s="2" t="s">
        <v>28</v>
      </c>
      <c r="H61" s="2" t="s">
        <v>29</v>
      </c>
      <c r="I61" s="2" t="s">
        <v>27</v>
      </c>
      <c r="J61" s="2" t="s">
        <v>77</v>
      </c>
      <c r="K61" s="2" t="s">
        <v>38</v>
      </c>
      <c r="L61" s="4">
        <v>-930.14</v>
      </c>
      <c r="M61" s="2" t="s">
        <v>31</v>
      </c>
      <c r="N61" s="4">
        <v>-82029.759999999995</v>
      </c>
      <c r="O61" s="2" t="s">
        <v>65</v>
      </c>
      <c r="P61" s="2" t="s">
        <v>32</v>
      </c>
      <c r="Q61" s="2" t="s">
        <v>27</v>
      </c>
      <c r="R61" s="2" t="s">
        <v>93</v>
      </c>
      <c r="S61" s="2" t="s">
        <v>33</v>
      </c>
      <c r="T61" s="2"/>
      <c r="U61" s="2"/>
      <c r="V61" s="2"/>
      <c r="W61" s="2" t="s">
        <v>94</v>
      </c>
      <c r="X61" s="2" t="s">
        <v>27</v>
      </c>
      <c r="Y61" s="2" t="s">
        <v>27</v>
      </c>
      <c r="Z61" s="2" t="s">
        <v>27</v>
      </c>
      <c r="AA61" s="3">
        <v>45943</v>
      </c>
      <c r="AB61" s="3"/>
      <c r="AC61" s="2" t="s">
        <v>27</v>
      </c>
    </row>
    <row r="62" spans="1:29" x14ac:dyDescent="0.35">
      <c r="A62" s="2">
        <v>1800000414</v>
      </c>
      <c r="B62" s="2" t="s">
        <v>63</v>
      </c>
      <c r="C62" s="3">
        <v>45719</v>
      </c>
      <c r="D62" s="3">
        <v>45719</v>
      </c>
      <c r="E62" s="2" t="s">
        <v>58</v>
      </c>
      <c r="F62" s="33">
        <v>246779410376</v>
      </c>
      <c r="G62" s="2" t="s">
        <v>28</v>
      </c>
      <c r="H62" s="2" t="s">
        <v>29</v>
      </c>
      <c r="I62" s="2" t="s">
        <v>27</v>
      </c>
      <c r="J62" s="2" t="s">
        <v>64</v>
      </c>
      <c r="K62" s="2" t="s">
        <v>38</v>
      </c>
      <c r="L62" s="4">
        <v>711.35</v>
      </c>
      <c r="M62" s="2" t="s">
        <v>31</v>
      </c>
      <c r="N62" s="4">
        <v>61667.83</v>
      </c>
      <c r="O62" s="2" t="s">
        <v>65</v>
      </c>
      <c r="P62" s="2" t="s">
        <v>32</v>
      </c>
      <c r="Q62" s="2" t="s">
        <v>27</v>
      </c>
      <c r="R62" s="2" t="s">
        <v>58</v>
      </c>
      <c r="S62" s="2" t="s">
        <v>33</v>
      </c>
      <c r="T62" s="2"/>
      <c r="U62" s="2"/>
      <c r="V62" s="2"/>
      <c r="W62" s="2" t="s">
        <v>95</v>
      </c>
      <c r="X62" s="2" t="s">
        <v>27</v>
      </c>
      <c r="Y62" s="2" t="s">
        <v>27</v>
      </c>
      <c r="Z62" s="2" t="s">
        <v>27</v>
      </c>
      <c r="AA62" s="3">
        <v>45719</v>
      </c>
      <c r="AB62" s="3"/>
      <c r="AC62" s="2" t="s">
        <v>27</v>
      </c>
    </row>
    <row r="63" spans="1:29" x14ac:dyDescent="0.35">
      <c r="A63" s="2">
        <v>1800000439</v>
      </c>
      <c r="B63" s="2" t="s">
        <v>63</v>
      </c>
      <c r="C63" s="3">
        <v>45719</v>
      </c>
      <c r="D63" s="3">
        <v>45719</v>
      </c>
      <c r="E63" s="2" t="s">
        <v>58</v>
      </c>
      <c r="F63" s="33">
        <v>246779410401</v>
      </c>
      <c r="G63" s="2" t="s">
        <v>28</v>
      </c>
      <c r="H63" s="2" t="s">
        <v>29</v>
      </c>
      <c r="I63" s="2" t="s">
        <v>27</v>
      </c>
      <c r="J63" s="2" t="s">
        <v>64</v>
      </c>
      <c r="K63" s="2" t="s">
        <v>38</v>
      </c>
      <c r="L63" s="4">
        <v>1298.96</v>
      </c>
      <c r="M63" s="2" t="s">
        <v>31</v>
      </c>
      <c r="N63" s="4">
        <v>112608.48</v>
      </c>
      <c r="O63" s="2" t="s">
        <v>65</v>
      </c>
      <c r="P63" s="2" t="s">
        <v>32</v>
      </c>
      <c r="Q63" s="2" t="s">
        <v>27</v>
      </c>
      <c r="R63" s="2" t="s">
        <v>58</v>
      </c>
      <c r="S63" s="2" t="s">
        <v>33</v>
      </c>
      <c r="T63" s="2"/>
      <c r="U63" s="2"/>
      <c r="V63" s="2"/>
      <c r="W63" s="2" t="s">
        <v>96</v>
      </c>
      <c r="X63" s="2" t="s">
        <v>27</v>
      </c>
      <c r="Y63" s="2" t="s">
        <v>27</v>
      </c>
      <c r="Z63" s="2" t="s">
        <v>27</v>
      </c>
      <c r="AA63" s="3">
        <v>45719</v>
      </c>
      <c r="AB63" s="3"/>
      <c r="AC63" s="2" t="s">
        <v>27</v>
      </c>
    </row>
    <row r="64" spans="1:29" x14ac:dyDescent="0.35">
      <c r="A64" s="2">
        <v>1800000463</v>
      </c>
      <c r="B64" s="2" t="s">
        <v>63</v>
      </c>
      <c r="C64" s="3">
        <v>45719</v>
      </c>
      <c r="D64" s="3">
        <v>45719</v>
      </c>
      <c r="E64" s="2" t="s">
        <v>58</v>
      </c>
      <c r="F64" s="33">
        <v>246779410425</v>
      </c>
      <c r="G64" s="2" t="s">
        <v>28</v>
      </c>
      <c r="H64" s="2" t="s">
        <v>29</v>
      </c>
      <c r="I64" s="2" t="s">
        <v>27</v>
      </c>
      <c r="J64" s="2" t="s">
        <v>64</v>
      </c>
      <c r="K64" s="2" t="s">
        <v>38</v>
      </c>
      <c r="L64" s="4">
        <v>1687.21</v>
      </c>
      <c r="M64" s="2" t="s">
        <v>31</v>
      </c>
      <c r="N64" s="4">
        <v>146266.35999999999</v>
      </c>
      <c r="O64" s="2" t="s">
        <v>65</v>
      </c>
      <c r="P64" s="2" t="s">
        <v>32</v>
      </c>
      <c r="Q64" s="2" t="s">
        <v>27</v>
      </c>
      <c r="R64" s="2" t="s">
        <v>58</v>
      </c>
      <c r="S64" s="2" t="s">
        <v>33</v>
      </c>
      <c r="T64" s="2"/>
      <c r="U64" s="2"/>
      <c r="V64" s="2"/>
      <c r="W64" s="2" t="s">
        <v>97</v>
      </c>
      <c r="X64" s="2" t="s">
        <v>27</v>
      </c>
      <c r="Y64" s="2" t="s">
        <v>27</v>
      </c>
      <c r="Z64" s="2" t="s">
        <v>27</v>
      </c>
      <c r="AA64" s="3">
        <v>45719</v>
      </c>
      <c r="AB64" s="3"/>
      <c r="AC64" s="2" t="s">
        <v>27</v>
      </c>
    </row>
    <row r="65" spans="1:29" x14ac:dyDescent="0.35">
      <c r="A65" s="2">
        <v>1800001956</v>
      </c>
      <c r="B65" s="2" t="s">
        <v>63</v>
      </c>
      <c r="C65" s="3">
        <v>45733</v>
      </c>
      <c r="D65" s="3">
        <v>45733</v>
      </c>
      <c r="E65" s="2" t="s">
        <v>58</v>
      </c>
      <c r="F65" s="33">
        <v>246779411621</v>
      </c>
      <c r="G65" s="2" t="s">
        <v>28</v>
      </c>
      <c r="H65" s="2" t="s">
        <v>29</v>
      </c>
      <c r="I65" s="2" t="s">
        <v>27</v>
      </c>
      <c r="J65" s="2" t="s">
        <v>64</v>
      </c>
      <c r="K65" s="2" t="s">
        <v>38</v>
      </c>
      <c r="L65" s="4">
        <v>444.04</v>
      </c>
      <c r="M65" s="2" t="s">
        <v>31</v>
      </c>
      <c r="N65" s="4">
        <v>38494.39</v>
      </c>
      <c r="O65" s="2" t="s">
        <v>65</v>
      </c>
      <c r="P65" s="2" t="s">
        <v>32</v>
      </c>
      <c r="Q65" s="2" t="s">
        <v>27</v>
      </c>
      <c r="R65" s="2" t="s">
        <v>58</v>
      </c>
      <c r="S65" s="2" t="s">
        <v>33</v>
      </c>
      <c r="T65" s="2"/>
      <c r="U65" s="2"/>
      <c r="V65" s="2"/>
      <c r="W65" s="2" t="s">
        <v>98</v>
      </c>
      <c r="X65" s="2" t="s">
        <v>27</v>
      </c>
      <c r="Y65" s="2" t="s">
        <v>27</v>
      </c>
      <c r="Z65" s="2" t="s">
        <v>27</v>
      </c>
      <c r="AA65" s="3">
        <v>45733</v>
      </c>
      <c r="AB65" s="3"/>
      <c r="AC65" s="2" t="s">
        <v>27</v>
      </c>
    </row>
    <row r="66" spans="1:29" x14ac:dyDescent="0.35">
      <c r="A66" s="2">
        <v>1800002095</v>
      </c>
      <c r="B66" s="2" t="s">
        <v>63</v>
      </c>
      <c r="C66" s="3">
        <v>45733</v>
      </c>
      <c r="D66" s="3">
        <v>45734</v>
      </c>
      <c r="E66" s="2" t="s">
        <v>58</v>
      </c>
      <c r="F66" s="33">
        <v>246779411760</v>
      </c>
      <c r="G66" s="2" t="s">
        <v>28</v>
      </c>
      <c r="H66" s="2" t="s">
        <v>29</v>
      </c>
      <c r="I66" s="2" t="s">
        <v>27</v>
      </c>
      <c r="J66" s="2" t="s">
        <v>64</v>
      </c>
      <c r="K66" s="2" t="s">
        <v>38</v>
      </c>
      <c r="L66" s="4">
        <v>520.16999999999996</v>
      </c>
      <c r="M66" s="2" t="s">
        <v>31</v>
      </c>
      <c r="N66" s="4">
        <v>45094.19</v>
      </c>
      <c r="O66" s="2" t="s">
        <v>65</v>
      </c>
      <c r="P66" s="2" t="s">
        <v>32</v>
      </c>
      <c r="Q66" s="2" t="s">
        <v>27</v>
      </c>
      <c r="R66" s="2" t="s">
        <v>58</v>
      </c>
      <c r="S66" s="2" t="s">
        <v>33</v>
      </c>
      <c r="T66" s="2"/>
      <c r="U66" s="2"/>
      <c r="V66" s="2"/>
      <c r="W66" s="2" t="s">
        <v>99</v>
      </c>
      <c r="X66" s="2" t="s">
        <v>27</v>
      </c>
      <c r="Y66" s="2" t="s">
        <v>27</v>
      </c>
      <c r="Z66" s="2" t="s">
        <v>27</v>
      </c>
      <c r="AA66" s="3">
        <v>45733</v>
      </c>
      <c r="AB66" s="3"/>
      <c r="AC66" s="2" t="s">
        <v>27</v>
      </c>
    </row>
    <row r="67" spans="1:29" x14ac:dyDescent="0.35">
      <c r="A67" s="2">
        <v>1800002401</v>
      </c>
      <c r="B67" s="2" t="s">
        <v>63</v>
      </c>
      <c r="C67" s="3">
        <v>45733</v>
      </c>
      <c r="D67" s="3">
        <v>45734</v>
      </c>
      <c r="E67" s="2" t="s">
        <v>58</v>
      </c>
      <c r="F67" s="33">
        <v>246779412066</v>
      </c>
      <c r="G67" s="2" t="s">
        <v>28</v>
      </c>
      <c r="H67" s="2" t="s">
        <v>29</v>
      </c>
      <c r="I67" s="2" t="s">
        <v>27</v>
      </c>
      <c r="J67" s="2" t="s">
        <v>64</v>
      </c>
      <c r="K67" s="2" t="s">
        <v>38</v>
      </c>
      <c r="L67" s="4">
        <v>66.5</v>
      </c>
      <c r="M67" s="2" t="s">
        <v>31</v>
      </c>
      <c r="N67" s="4">
        <v>5764.97</v>
      </c>
      <c r="O67" s="2" t="s">
        <v>65</v>
      </c>
      <c r="P67" s="2" t="s">
        <v>32</v>
      </c>
      <c r="Q67" s="2" t="s">
        <v>27</v>
      </c>
      <c r="R67" s="2" t="s">
        <v>58</v>
      </c>
      <c r="S67" s="2" t="s">
        <v>33</v>
      </c>
      <c r="T67" s="2"/>
      <c r="U67" s="2"/>
      <c r="V67" s="2"/>
      <c r="W67" s="2" t="s">
        <v>100</v>
      </c>
      <c r="X67" s="2" t="s">
        <v>27</v>
      </c>
      <c r="Y67" s="2" t="s">
        <v>27</v>
      </c>
      <c r="Z67" s="2" t="s">
        <v>27</v>
      </c>
      <c r="AA67" s="3">
        <v>45733</v>
      </c>
      <c r="AB67" s="3"/>
      <c r="AC67" s="2" t="s">
        <v>27</v>
      </c>
    </row>
    <row r="68" spans="1:29" x14ac:dyDescent="0.35">
      <c r="A68" s="2">
        <v>1800002272</v>
      </c>
      <c r="B68" s="2" t="s">
        <v>63</v>
      </c>
      <c r="C68" s="3">
        <v>45733</v>
      </c>
      <c r="D68" s="3">
        <v>45734</v>
      </c>
      <c r="E68" s="2" t="s">
        <v>58</v>
      </c>
      <c r="F68" s="33">
        <v>246779411937</v>
      </c>
      <c r="G68" s="2" t="s">
        <v>28</v>
      </c>
      <c r="H68" s="2" t="s">
        <v>29</v>
      </c>
      <c r="I68" s="2" t="s">
        <v>27</v>
      </c>
      <c r="J68" s="2" t="s">
        <v>64</v>
      </c>
      <c r="K68" s="2" t="s">
        <v>38</v>
      </c>
      <c r="L68" s="4">
        <v>7.27</v>
      </c>
      <c r="M68" s="2" t="s">
        <v>31</v>
      </c>
      <c r="N68" s="4">
        <v>630.25</v>
      </c>
      <c r="O68" s="2" t="s">
        <v>65</v>
      </c>
      <c r="P68" s="2" t="s">
        <v>32</v>
      </c>
      <c r="Q68" s="2" t="s">
        <v>27</v>
      </c>
      <c r="R68" s="2" t="s">
        <v>58</v>
      </c>
      <c r="S68" s="2" t="s">
        <v>33</v>
      </c>
      <c r="T68" s="2"/>
      <c r="U68" s="2"/>
      <c r="V68" s="2"/>
      <c r="W68" s="2" t="s">
        <v>101</v>
      </c>
      <c r="X68" s="2" t="s">
        <v>27</v>
      </c>
      <c r="Y68" s="2" t="s">
        <v>27</v>
      </c>
      <c r="Z68" s="2" t="s">
        <v>27</v>
      </c>
      <c r="AA68" s="3">
        <v>45733</v>
      </c>
      <c r="AB68" s="3"/>
      <c r="AC68" s="2" t="s">
        <v>27</v>
      </c>
    </row>
    <row r="69" spans="1:29" x14ac:dyDescent="0.35">
      <c r="A69" s="2">
        <v>1800002273</v>
      </c>
      <c r="B69" s="2" t="s">
        <v>63</v>
      </c>
      <c r="C69" s="3">
        <v>45733</v>
      </c>
      <c r="D69" s="3">
        <v>45734</v>
      </c>
      <c r="E69" s="2" t="s">
        <v>58</v>
      </c>
      <c r="F69" s="33">
        <v>246779411938</v>
      </c>
      <c r="G69" s="2" t="s">
        <v>28</v>
      </c>
      <c r="H69" s="2" t="s">
        <v>29</v>
      </c>
      <c r="I69" s="2" t="s">
        <v>27</v>
      </c>
      <c r="J69" s="2" t="s">
        <v>64</v>
      </c>
      <c r="K69" s="2" t="s">
        <v>38</v>
      </c>
      <c r="L69" s="4">
        <v>53.26</v>
      </c>
      <c r="M69" s="2" t="s">
        <v>31</v>
      </c>
      <c r="N69" s="4">
        <v>4617.18</v>
      </c>
      <c r="O69" s="2" t="s">
        <v>65</v>
      </c>
      <c r="P69" s="2" t="s">
        <v>32</v>
      </c>
      <c r="Q69" s="2" t="s">
        <v>27</v>
      </c>
      <c r="R69" s="2" t="s">
        <v>58</v>
      </c>
      <c r="S69" s="2" t="s">
        <v>33</v>
      </c>
      <c r="T69" s="2"/>
      <c r="U69" s="2"/>
      <c r="V69" s="2"/>
      <c r="W69" s="2" t="s">
        <v>101</v>
      </c>
      <c r="X69" s="2" t="s">
        <v>27</v>
      </c>
      <c r="Y69" s="2" t="s">
        <v>27</v>
      </c>
      <c r="Z69" s="2" t="s">
        <v>27</v>
      </c>
      <c r="AA69" s="3">
        <v>45733</v>
      </c>
      <c r="AB69" s="3"/>
      <c r="AC69" s="2" t="s">
        <v>27</v>
      </c>
    </row>
    <row r="70" spans="1:29" x14ac:dyDescent="0.35">
      <c r="A70" s="2">
        <v>1800002274</v>
      </c>
      <c r="B70" s="2" t="s">
        <v>63</v>
      </c>
      <c r="C70" s="3">
        <v>45733</v>
      </c>
      <c r="D70" s="3">
        <v>45734</v>
      </c>
      <c r="E70" s="2" t="s">
        <v>58</v>
      </c>
      <c r="F70" s="33">
        <v>246779411939</v>
      </c>
      <c r="G70" s="2" t="s">
        <v>28</v>
      </c>
      <c r="H70" s="2" t="s">
        <v>29</v>
      </c>
      <c r="I70" s="2" t="s">
        <v>27</v>
      </c>
      <c r="J70" s="2" t="s">
        <v>64</v>
      </c>
      <c r="K70" s="2" t="s">
        <v>38</v>
      </c>
      <c r="L70" s="4">
        <v>23.08</v>
      </c>
      <c r="M70" s="2" t="s">
        <v>31</v>
      </c>
      <c r="N70" s="4">
        <v>2000.83</v>
      </c>
      <c r="O70" s="2" t="s">
        <v>65</v>
      </c>
      <c r="P70" s="2" t="s">
        <v>32</v>
      </c>
      <c r="Q70" s="2" t="s">
        <v>27</v>
      </c>
      <c r="R70" s="2" t="s">
        <v>58</v>
      </c>
      <c r="S70" s="2" t="s">
        <v>33</v>
      </c>
      <c r="T70" s="2"/>
      <c r="U70" s="2"/>
      <c r="V70" s="2"/>
      <c r="W70" s="2" t="s">
        <v>101</v>
      </c>
      <c r="X70" s="2" t="s">
        <v>27</v>
      </c>
      <c r="Y70" s="2" t="s">
        <v>27</v>
      </c>
      <c r="Z70" s="2" t="s">
        <v>27</v>
      </c>
      <c r="AA70" s="3">
        <v>45733</v>
      </c>
      <c r="AB70" s="3"/>
      <c r="AC70" s="2" t="s">
        <v>27</v>
      </c>
    </row>
    <row r="71" spans="1:29" x14ac:dyDescent="0.35">
      <c r="A71" s="2">
        <v>1800002275</v>
      </c>
      <c r="B71" s="2" t="s">
        <v>63</v>
      </c>
      <c r="C71" s="3">
        <v>45733</v>
      </c>
      <c r="D71" s="3">
        <v>45734</v>
      </c>
      <c r="E71" s="2" t="s">
        <v>58</v>
      </c>
      <c r="F71" s="33">
        <v>246779411940</v>
      </c>
      <c r="G71" s="2" t="s">
        <v>28</v>
      </c>
      <c r="H71" s="2" t="s">
        <v>29</v>
      </c>
      <c r="I71" s="2" t="s">
        <v>27</v>
      </c>
      <c r="J71" s="2" t="s">
        <v>64</v>
      </c>
      <c r="K71" s="2" t="s">
        <v>38</v>
      </c>
      <c r="L71" s="4">
        <v>52.73</v>
      </c>
      <c r="M71" s="2" t="s">
        <v>31</v>
      </c>
      <c r="N71" s="4">
        <v>4571.2299999999996</v>
      </c>
      <c r="O71" s="2" t="s">
        <v>65</v>
      </c>
      <c r="P71" s="2" t="s">
        <v>32</v>
      </c>
      <c r="Q71" s="2" t="s">
        <v>27</v>
      </c>
      <c r="R71" s="2" t="s">
        <v>58</v>
      </c>
      <c r="S71" s="2" t="s">
        <v>33</v>
      </c>
      <c r="T71" s="2"/>
      <c r="U71" s="2"/>
      <c r="V71" s="2"/>
      <c r="W71" s="2" t="s">
        <v>101</v>
      </c>
      <c r="X71" s="2" t="s">
        <v>27</v>
      </c>
      <c r="Y71" s="2" t="s">
        <v>27</v>
      </c>
      <c r="Z71" s="2" t="s">
        <v>27</v>
      </c>
      <c r="AA71" s="3">
        <v>45733</v>
      </c>
      <c r="AB71" s="3"/>
      <c r="AC71" s="2" t="s">
        <v>27</v>
      </c>
    </row>
    <row r="72" spans="1:29" x14ac:dyDescent="0.35">
      <c r="A72" s="2">
        <v>1800002276</v>
      </c>
      <c r="B72" s="2" t="s">
        <v>63</v>
      </c>
      <c r="C72" s="3">
        <v>45733</v>
      </c>
      <c r="D72" s="3">
        <v>45734</v>
      </c>
      <c r="E72" s="2" t="s">
        <v>58</v>
      </c>
      <c r="F72" s="33">
        <v>246779411941</v>
      </c>
      <c r="G72" s="2" t="s">
        <v>28</v>
      </c>
      <c r="H72" s="2" t="s">
        <v>29</v>
      </c>
      <c r="I72" s="2" t="s">
        <v>27</v>
      </c>
      <c r="J72" s="2" t="s">
        <v>64</v>
      </c>
      <c r="K72" s="2" t="s">
        <v>38</v>
      </c>
      <c r="L72" s="4">
        <v>76.02</v>
      </c>
      <c r="M72" s="2" t="s">
        <v>31</v>
      </c>
      <c r="N72" s="4">
        <v>6590.27</v>
      </c>
      <c r="O72" s="2" t="s">
        <v>65</v>
      </c>
      <c r="P72" s="2" t="s">
        <v>32</v>
      </c>
      <c r="Q72" s="2" t="s">
        <v>27</v>
      </c>
      <c r="R72" s="2" t="s">
        <v>58</v>
      </c>
      <c r="S72" s="2" t="s">
        <v>33</v>
      </c>
      <c r="T72" s="2"/>
      <c r="U72" s="2"/>
      <c r="V72" s="2"/>
      <c r="W72" s="2" t="s">
        <v>101</v>
      </c>
      <c r="X72" s="2" t="s">
        <v>27</v>
      </c>
      <c r="Y72" s="2" t="s">
        <v>27</v>
      </c>
      <c r="Z72" s="2" t="s">
        <v>27</v>
      </c>
      <c r="AA72" s="3">
        <v>45733</v>
      </c>
      <c r="AB72" s="3"/>
      <c r="AC72" s="2" t="s">
        <v>27</v>
      </c>
    </row>
    <row r="73" spans="1:29" x14ac:dyDescent="0.35">
      <c r="A73" s="2">
        <v>1800006261</v>
      </c>
      <c r="B73" s="2" t="s">
        <v>63</v>
      </c>
      <c r="C73" s="3">
        <v>45762</v>
      </c>
      <c r="D73" s="3">
        <v>45763</v>
      </c>
      <c r="E73" s="2" t="s">
        <v>58</v>
      </c>
      <c r="F73" s="33">
        <v>256779411152</v>
      </c>
      <c r="G73" s="2" t="s">
        <v>28</v>
      </c>
      <c r="H73" s="2" t="s">
        <v>29</v>
      </c>
      <c r="I73" s="2" t="s">
        <v>27</v>
      </c>
      <c r="J73" s="2" t="s">
        <v>64</v>
      </c>
      <c r="K73" s="2" t="s">
        <v>38</v>
      </c>
      <c r="L73" s="4">
        <v>164.38</v>
      </c>
      <c r="M73" s="2" t="s">
        <v>31</v>
      </c>
      <c r="N73" s="4">
        <v>14288.21</v>
      </c>
      <c r="O73" s="2" t="s">
        <v>65</v>
      </c>
      <c r="P73" s="2" t="s">
        <v>27</v>
      </c>
      <c r="Q73" s="2" t="s">
        <v>27</v>
      </c>
      <c r="R73" s="2" t="s">
        <v>58</v>
      </c>
      <c r="S73" s="2" t="s">
        <v>33</v>
      </c>
      <c r="T73" s="2"/>
      <c r="U73" s="2"/>
      <c r="V73" s="2"/>
      <c r="W73" s="2" t="s">
        <v>102</v>
      </c>
      <c r="X73" s="2" t="s">
        <v>27</v>
      </c>
      <c r="Y73" s="2" t="s">
        <v>27</v>
      </c>
      <c r="Z73" s="2" t="s">
        <v>27</v>
      </c>
      <c r="AA73" s="3">
        <v>45762</v>
      </c>
      <c r="AB73" s="3">
        <v>45887</v>
      </c>
      <c r="AC73" s="2" t="s">
        <v>40</v>
      </c>
    </row>
    <row r="74" spans="1:29" x14ac:dyDescent="0.35">
      <c r="A74" s="2">
        <v>1800006262</v>
      </c>
      <c r="B74" s="2" t="s">
        <v>63</v>
      </c>
      <c r="C74" s="3">
        <v>45762</v>
      </c>
      <c r="D74" s="3">
        <v>45763</v>
      </c>
      <c r="E74" s="2" t="s">
        <v>58</v>
      </c>
      <c r="F74" s="33">
        <v>256779411153</v>
      </c>
      <c r="G74" s="2" t="s">
        <v>28</v>
      </c>
      <c r="H74" s="2" t="s">
        <v>29</v>
      </c>
      <c r="I74" s="2" t="s">
        <v>27</v>
      </c>
      <c r="J74" s="2" t="s">
        <v>64</v>
      </c>
      <c r="K74" s="2" t="s">
        <v>38</v>
      </c>
      <c r="L74" s="4">
        <v>26.54</v>
      </c>
      <c r="M74" s="2" t="s">
        <v>31</v>
      </c>
      <c r="N74" s="4">
        <v>2306.91</v>
      </c>
      <c r="O74" s="2" t="s">
        <v>65</v>
      </c>
      <c r="P74" s="2" t="s">
        <v>27</v>
      </c>
      <c r="Q74" s="2" t="s">
        <v>27</v>
      </c>
      <c r="R74" s="2" t="s">
        <v>58</v>
      </c>
      <c r="S74" s="2" t="s">
        <v>33</v>
      </c>
      <c r="T74" s="2"/>
      <c r="U74" s="2"/>
      <c r="V74" s="2"/>
      <c r="W74" s="2" t="s">
        <v>103</v>
      </c>
      <c r="X74" s="2" t="s">
        <v>27</v>
      </c>
      <c r="Y74" s="2" t="s">
        <v>27</v>
      </c>
      <c r="Z74" s="2" t="s">
        <v>27</v>
      </c>
      <c r="AA74" s="3">
        <v>45762</v>
      </c>
      <c r="AB74" s="3">
        <v>45887</v>
      </c>
      <c r="AC74" s="2" t="s">
        <v>40</v>
      </c>
    </row>
    <row r="75" spans="1:29" x14ac:dyDescent="0.35">
      <c r="A75" s="2">
        <v>1800006263</v>
      </c>
      <c r="B75" s="2" t="s">
        <v>63</v>
      </c>
      <c r="C75" s="3">
        <v>45762</v>
      </c>
      <c r="D75" s="3">
        <v>45763</v>
      </c>
      <c r="E75" s="2" t="s">
        <v>58</v>
      </c>
      <c r="F75" s="33">
        <v>256779411154</v>
      </c>
      <c r="G75" s="2" t="s">
        <v>28</v>
      </c>
      <c r="H75" s="2" t="s">
        <v>29</v>
      </c>
      <c r="I75" s="2" t="s">
        <v>27</v>
      </c>
      <c r="J75" s="2" t="s">
        <v>64</v>
      </c>
      <c r="K75" s="2" t="s">
        <v>38</v>
      </c>
      <c r="L75" s="4">
        <v>84.26</v>
      </c>
      <c r="M75" s="2" t="s">
        <v>31</v>
      </c>
      <c r="N75" s="4">
        <v>7324.03</v>
      </c>
      <c r="O75" s="2" t="s">
        <v>65</v>
      </c>
      <c r="P75" s="2" t="s">
        <v>27</v>
      </c>
      <c r="Q75" s="2" t="s">
        <v>27</v>
      </c>
      <c r="R75" s="2" t="s">
        <v>58</v>
      </c>
      <c r="S75" s="2" t="s">
        <v>33</v>
      </c>
      <c r="T75" s="2"/>
      <c r="U75" s="2"/>
      <c r="V75" s="2"/>
      <c r="W75" s="2" t="s">
        <v>103</v>
      </c>
      <c r="X75" s="2" t="s">
        <v>27</v>
      </c>
      <c r="Y75" s="2" t="s">
        <v>27</v>
      </c>
      <c r="Z75" s="2" t="s">
        <v>27</v>
      </c>
      <c r="AA75" s="3">
        <v>45762</v>
      </c>
      <c r="AB75" s="3">
        <v>45887</v>
      </c>
      <c r="AC75" s="2" t="s">
        <v>40</v>
      </c>
    </row>
    <row r="76" spans="1:29" x14ac:dyDescent="0.35">
      <c r="A76" s="2">
        <v>1800006264</v>
      </c>
      <c r="B76" s="2" t="s">
        <v>63</v>
      </c>
      <c r="C76" s="3">
        <v>45762</v>
      </c>
      <c r="D76" s="3">
        <v>45763</v>
      </c>
      <c r="E76" s="2" t="s">
        <v>58</v>
      </c>
      <c r="F76" s="33">
        <v>256779411155</v>
      </c>
      <c r="G76" s="2" t="s">
        <v>28</v>
      </c>
      <c r="H76" s="2" t="s">
        <v>29</v>
      </c>
      <c r="I76" s="2" t="s">
        <v>27</v>
      </c>
      <c r="J76" s="2" t="s">
        <v>64</v>
      </c>
      <c r="K76" s="2" t="s">
        <v>38</v>
      </c>
      <c r="L76" s="4">
        <v>36.9</v>
      </c>
      <c r="M76" s="2" t="s">
        <v>31</v>
      </c>
      <c r="N76" s="4">
        <v>3207.42</v>
      </c>
      <c r="O76" s="2" t="s">
        <v>65</v>
      </c>
      <c r="P76" s="2" t="s">
        <v>27</v>
      </c>
      <c r="Q76" s="2" t="s">
        <v>27</v>
      </c>
      <c r="R76" s="2" t="s">
        <v>58</v>
      </c>
      <c r="S76" s="2" t="s">
        <v>33</v>
      </c>
      <c r="T76" s="2"/>
      <c r="U76" s="2"/>
      <c r="V76" s="2"/>
      <c r="W76" s="2" t="s">
        <v>104</v>
      </c>
      <c r="X76" s="2" t="s">
        <v>27</v>
      </c>
      <c r="Y76" s="2" t="s">
        <v>27</v>
      </c>
      <c r="Z76" s="2" t="s">
        <v>27</v>
      </c>
      <c r="AA76" s="3">
        <v>45762</v>
      </c>
      <c r="AB76" s="3">
        <v>45887</v>
      </c>
      <c r="AC76" s="2" t="s">
        <v>40</v>
      </c>
    </row>
    <row r="77" spans="1:29" x14ac:dyDescent="0.35">
      <c r="A77" s="2">
        <v>1800006265</v>
      </c>
      <c r="B77" s="2" t="s">
        <v>63</v>
      </c>
      <c r="C77" s="3">
        <v>45762</v>
      </c>
      <c r="D77" s="3">
        <v>45763</v>
      </c>
      <c r="E77" s="2" t="s">
        <v>58</v>
      </c>
      <c r="F77" s="33">
        <v>256779411156</v>
      </c>
      <c r="G77" s="2" t="s">
        <v>28</v>
      </c>
      <c r="H77" s="2" t="s">
        <v>29</v>
      </c>
      <c r="I77" s="2" t="s">
        <v>27</v>
      </c>
      <c r="J77" s="2" t="s">
        <v>64</v>
      </c>
      <c r="K77" s="2" t="s">
        <v>38</v>
      </c>
      <c r="L77" s="4">
        <v>20.23</v>
      </c>
      <c r="M77" s="2" t="s">
        <v>31</v>
      </c>
      <c r="N77" s="4">
        <v>1758.43</v>
      </c>
      <c r="O77" s="2" t="s">
        <v>65</v>
      </c>
      <c r="P77" s="2" t="s">
        <v>27</v>
      </c>
      <c r="Q77" s="2" t="s">
        <v>27</v>
      </c>
      <c r="R77" s="2" t="s">
        <v>58</v>
      </c>
      <c r="S77" s="2" t="s">
        <v>33</v>
      </c>
      <c r="T77" s="2"/>
      <c r="U77" s="2"/>
      <c r="V77" s="2"/>
      <c r="W77" s="2" t="s">
        <v>104</v>
      </c>
      <c r="X77" s="2" t="s">
        <v>27</v>
      </c>
      <c r="Y77" s="2" t="s">
        <v>27</v>
      </c>
      <c r="Z77" s="2" t="s">
        <v>27</v>
      </c>
      <c r="AA77" s="3">
        <v>45762</v>
      </c>
      <c r="AB77" s="3">
        <v>45887</v>
      </c>
      <c r="AC77" s="2" t="s">
        <v>40</v>
      </c>
    </row>
    <row r="78" spans="1:29" x14ac:dyDescent="0.35">
      <c r="A78" s="2">
        <v>1800006266</v>
      </c>
      <c r="B78" s="2" t="s">
        <v>63</v>
      </c>
      <c r="C78" s="3">
        <v>45762</v>
      </c>
      <c r="D78" s="3">
        <v>45763</v>
      </c>
      <c r="E78" s="2" t="s">
        <v>58</v>
      </c>
      <c r="F78" s="33">
        <v>256779411157</v>
      </c>
      <c r="G78" s="2" t="s">
        <v>28</v>
      </c>
      <c r="H78" s="2" t="s">
        <v>29</v>
      </c>
      <c r="I78" s="2" t="s">
        <v>27</v>
      </c>
      <c r="J78" s="2" t="s">
        <v>64</v>
      </c>
      <c r="K78" s="2" t="s">
        <v>38</v>
      </c>
      <c r="L78" s="4">
        <v>116.32</v>
      </c>
      <c r="M78" s="2" t="s">
        <v>31</v>
      </c>
      <c r="N78" s="4">
        <v>10110.75</v>
      </c>
      <c r="O78" s="2" t="s">
        <v>65</v>
      </c>
      <c r="P78" s="2" t="s">
        <v>27</v>
      </c>
      <c r="Q78" s="2" t="s">
        <v>27</v>
      </c>
      <c r="R78" s="2" t="s">
        <v>58</v>
      </c>
      <c r="S78" s="2" t="s">
        <v>33</v>
      </c>
      <c r="T78" s="2"/>
      <c r="U78" s="2"/>
      <c r="V78" s="2"/>
      <c r="W78" s="2" t="s">
        <v>104</v>
      </c>
      <c r="X78" s="2" t="s">
        <v>27</v>
      </c>
      <c r="Y78" s="2" t="s">
        <v>27</v>
      </c>
      <c r="Z78" s="2" t="s">
        <v>27</v>
      </c>
      <c r="AA78" s="3">
        <v>45762</v>
      </c>
      <c r="AB78" s="3">
        <v>45887</v>
      </c>
      <c r="AC78" s="2" t="s">
        <v>40</v>
      </c>
    </row>
    <row r="79" spans="1:29" x14ac:dyDescent="0.35">
      <c r="A79" s="2">
        <v>1800006674</v>
      </c>
      <c r="B79" s="2" t="s">
        <v>63</v>
      </c>
      <c r="C79" s="3">
        <v>45762</v>
      </c>
      <c r="D79" s="3">
        <v>45763</v>
      </c>
      <c r="E79" s="2" t="s">
        <v>58</v>
      </c>
      <c r="F79" s="33">
        <v>256779411565</v>
      </c>
      <c r="G79" s="2" t="s">
        <v>28</v>
      </c>
      <c r="H79" s="2" t="s">
        <v>29</v>
      </c>
      <c r="I79" s="2" t="s">
        <v>27</v>
      </c>
      <c r="J79" s="2" t="s">
        <v>64</v>
      </c>
      <c r="K79" s="2" t="s">
        <v>38</v>
      </c>
      <c r="L79" s="4">
        <v>22</v>
      </c>
      <c r="M79" s="2" t="s">
        <v>31</v>
      </c>
      <c r="N79" s="4">
        <v>1912.28</v>
      </c>
      <c r="O79" s="2" t="s">
        <v>65</v>
      </c>
      <c r="P79" s="2" t="s">
        <v>27</v>
      </c>
      <c r="Q79" s="2" t="s">
        <v>27</v>
      </c>
      <c r="R79" s="2" t="s">
        <v>58</v>
      </c>
      <c r="S79" s="2" t="s">
        <v>33</v>
      </c>
      <c r="T79" s="2"/>
      <c r="U79" s="2"/>
      <c r="V79" s="2"/>
      <c r="W79" s="2" t="s">
        <v>105</v>
      </c>
      <c r="X79" s="2" t="s">
        <v>27</v>
      </c>
      <c r="Y79" s="2" t="s">
        <v>27</v>
      </c>
      <c r="Z79" s="2" t="s">
        <v>27</v>
      </c>
      <c r="AA79" s="3">
        <v>45762</v>
      </c>
      <c r="AB79" s="3">
        <v>45887</v>
      </c>
      <c r="AC79" s="2" t="s">
        <v>40</v>
      </c>
    </row>
    <row r="80" spans="1:29" x14ac:dyDescent="0.35">
      <c r="A80" s="2">
        <v>1800006675</v>
      </c>
      <c r="B80" s="2" t="s">
        <v>63</v>
      </c>
      <c r="C80" s="3">
        <v>45762</v>
      </c>
      <c r="D80" s="3">
        <v>45763</v>
      </c>
      <c r="E80" s="2" t="s">
        <v>58</v>
      </c>
      <c r="F80" s="33">
        <v>256779411566</v>
      </c>
      <c r="G80" s="2" t="s">
        <v>28</v>
      </c>
      <c r="H80" s="2" t="s">
        <v>29</v>
      </c>
      <c r="I80" s="2" t="s">
        <v>27</v>
      </c>
      <c r="J80" s="2" t="s">
        <v>64</v>
      </c>
      <c r="K80" s="2" t="s">
        <v>38</v>
      </c>
      <c r="L80" s="4">
        <v>4.4000000000000004</v>
      </c>
      <c r="M80" s="2" t="s">
        <v>31</v>
      </c>
      <c r="N80" s="4">
        <v>382.46</v>
      </c>
      <c r="O80" s="2" t="s">
        <v>65</v>
      </c>
      <c r="P80" s="2" t="s">
        <v>27</v>
      </c>
      <c r="Q80" s="2" t="s">
        <v>27</v>
      </c>
      <c r="R80" s="2" t="s">
        <v>58</v>
      </c>
      <c r="S80" s="2" t="s">
        <v>33</v>
      </c>
      <c r="T80" s="2"/>
      <c r="U80" s="2"/>
      <c r="V80" s="2"/>
      <c r="W80" s="2" t="s">
        <v>105</v>
      </c>
      <c r="X80" s="2" t="s">
        <v>27</v>
      </c>
      <c r="Y80" s="2" t="s">
        <v>27</v>
      </c>
      <c r="Z80" s="2" t="s">
        <v>27</v>
      </c>
      <c r="AA80" s="3">
        <v>45762</v>
      </c>
      <c r="AB80" s="3">
        <v>45887</v>
      </c>
      <c r="AC80" s="2" t="s">
        <v>40</v>
      </c>
    </row>
    <row r="81" spans="1:29" x14ac:dyDescent="0.35">
      <c r="A81" s="2">
        <v>1800006676</v>
      </c>
      <c r="B81" s="2" t="s">
        <v>63</v>
      </c>
      <c r="C81" s="3">
        <v>45762</v>
      </c>
      <c r="D81" s="3">
        <v>45763</v>
      </c>
      <c r="E81" s="2" t="s">
        <v>58</v>
      </c>
      <c r="F81" s="33">
        <v>256779411567</v>
      </c>
      <c r="G81" s="2" t="s">
        <v>28</v>
      </c>
      <c r="H81" s="2" t="s">
        <v>29</v>
      </c>
      <c r="I81" s="2" t="s">
        <v>27</v>
      </c>
      <c r="J81" s="2" t="s">
        <v>64</v>
      </c>
      <c r="K81" s="2" t="s">
        <v>38</v>
      </c>
      <c r="L81" s="4">
        <v>5.84</v>
      </c>
      <c r="M81" s="2" t="s">
        <v>31</v>
      </c>
      <c r="N81" s="4">
        <v>507.62</v>
      </c>
      <c r="O81" s="2" t="s">
        <v>65</v>
      </c>
      <c r="P81" s="2" t="s">
        <v>27</v>
      </c>
      <c r="Q81" s="2" t="s">
        <v>27</v>
      </c>
      <c r="R81" s="2" t="s">
        <v>58</v>
      </c>
      <c r="S81" s="2" t="s">
        <v>33</v>
      </c>
      <c r="T81" s="2"/>
      <c r="U81" s="2"/>
      <c r="V81" s="2"/>
      <c r="W81" s="2" t="s">
        <v>105</v>
      </c>
      <c r="X81" s="2" t="s">
        <v>27</v>
      </c>
      <c r="Y81" s="2" t="s">
        <v>27</v>
      </c>
      <c r="Z81" s="2" t="s">
        <v>27</v>
      </c>
      <c r="AA81" s="3">
        <v>45762</v>
      </c>
      <c r="AB81" s="3">
        <v>45887</v>
      </c>
      <c r="AC81" s="2" t="s">
        <v>40</v>
      </c>
    </row>
    <row r="82" spans="1:29" x14ac:dyDescent="0.35">
      <c r="A82" s="2">
        <v>1800006677</v>
      </c>
      <c r="B82" s="2" t="s">
        <v>63</v>
      </c>
      <c r="C82" s="3">
        <v>45762</v>
      </c>
      <c r="D82" s="3">
        <v>45763</v>
      </c>
      <c r="E82" s="2" t="s">
        <v>58</v>
      </c>
      <c r="F82" s="33">
        <v>256779411568</v>
      </c>
      <c r="G82" s="2" t="s">
        <v>28</v>
      </c>
      <c r="H82" s="2" t="s">
        <v>29</v>
      </c>
      <c r="I82" s="2" t="s">
        <v>27</v>
      </c>
      <c r="J82" s="2" t="s">
        <v>64</v>
      </c>
      <c r="K82" s="2" t="s">
        <v>38</v>
      </c>
      <c r="L82" s="4">
        <v>0.8</v>
      </c>
      <c r="M82" s="2" t="s">
        <v>31</v>
      </c>
      <c r="N82" s="4">
        <v>69.540000000000006</v>
      </c>
      <c r="O82" s="2" t="s">
        <v>65</v>
      </c>
      <c r="P82" s="2" t="s">
        <v>27</v>
      </c>
      <c r="Q82" s="2" t="s">
        <v>27</v>
      </c>
      <c r="R82" s="2" t="s">
        <v>58</v>
      </c>
      <c r="S82" s="2" t="s">
        <v>33</v>
      </c>
      <c r="T82" s="2"/>
      <c r="U82" s="2"/>
      <c r="V82" s="2"/>
      <c r="W82" s="2" t="s">
        <v>105</v>
      </c>
      <c r="X82" s="2" t="s">
        <v>27</v>
      </c>
      <c r="Y82" s="2" t="s">
        <v>27</v>
      </c>
      <c r="Z82" s="2" t="s">
        <v>27</v>
      </c>
      <c r="AA82" s="3">
        <v>45762</v>
      </c>
      <c r="AB82" s="3">
        <v>45887</v>
      </c>
      <c r="AC82" s="2" t="s">
        <v>40</v>
      </c>
    </row>
    <row r="83" spans="1:29" x14ac:dyDescent="0.35">
      <c r="A83" s="2">
        <v>1800006678</v>
      </c>
      <c r="B83" s="2" t="s">
        <v>63</v>
      </c>
      <c r="C83" s="3">
        <v>45762</v>
      </c>
      <c r="D83" s="3">
        <v>45763</v>
      </c>
      <c r="E83" s="2" t="s">
        <v>58</v>
      </c>
      <c r="F83" s="33">
        <v>256779411569</v>
      </c>
      <c r="G83" s="2" t="s">
        <v>28</v>
      </c>
      <c r="H83" s="2" t="s">
        <v>29</v>
      </c>
      <c r="I83" s="2" t="s">
        <v>27</v>
      </c>
      <c r="J83" s="2" t="s">
        <v>64</v>
      </c>
      <c r="K83" s="2" t="s">
        <v>38</v>
      </c>
      <c r="L83" s="4">
        <v>13.85</v>
      </c>
      <c r="M83" s="2" t="s">
        <v>31</v>
      </c>
      <c r="N83" s="4">
        <v>1203.8699999999999</v>
      </c>
      <c r="O83" s="2" t="s">
        <v>65</v>
      </c>
      <c r="P83" s="2" t="s">
        <v>27</v>
      </c>
      <c r="Q83" s="2" t="s">
        <v>27</v>
      </c>
      <c r="R83" s="2" t="s">
        <v>58</v>
      </c>
      <c r="S83" s="2" t="s">
        <v>33</v>
      </c>
      <c r="T83" s="2"/>
      <c r="U83" s="2"/>
      <c r="V83" s="2"/>
      <c r="W83" s="2" t="s">
        <v>105</v>
      </c>
      <c r="X83" s="2" t="s">
        <v>27</v>
      </c>
      <c r="Y83" s="2" t="s">
        <v>27</v>
      </c>
      <c r="Z83" s="2" t="s">
        <v>27</v>
      </c>
      <c r="AA83" s="3">
        <v>45762</v>
      </c>
      <c r="AB83" s="3">
        <v>45887</v>
      </c>
      <c r="AC83" s="2" t="s">
        <v>40</v>
      </c>
    </row>
    <row r="84" spans="1:29" x14ac:dyDescent="0.35">
      <c r="A84" s="2">
        <v>1800006679</v>
      </c>
      <c r="B84" s="2" t="s">
        <v>63</v>
      </c>
      <c r="C84" s="3">
        <v>45762</v>
      </c>
      <c r="D84" s="3">
        <v>45763</v>
      </c>
      <c r="E84" s="2" t="s">
        <v>58</v>
      </c>
      <c r="F84" s="33">
        <v>256779411570</v>
      </c>
      <c r="G84" s="2" t="s">
        <v>28</v>
      </c>
      <c r="H84" s="2" t="s">
        <v>29</v>
      </c>
      <c r="I84" s="2" t="s">
        <v>27</v>
      </c>
      <c r="J84" s="2" t="s">
        <v>64</v>
      </c>
      <c r="K84" s="2" t="s">
        <v>38</v>
      </c>
      <c r="L84" s="4">
        <v>18.149999999999999</v>
      </c>
      <c r="M84" s="2" t="s">
        <v>31</v>
      </c>
      <c r="N84" s="4">
        <v>1577.63</v>
      </c>
      <c r="O84" s="2" t="s">
        <v>65</v>
      </c>
      <c r="P84" s="2" t="s">
        <v>27</v>
      </c>
      <c r="Q84" s="2" t="s">
        <v>27</v>
      </c>
      <c r="R84" s="2" t="s">
        <v>58</v>
      </c>
      <c r="S84" s="2" t="s">
        <v>33</v>
      </c>
      <c r="T84" s="2"/>
      <c r="U84" s="2"/>
      <c r="V84" s="2"/>
      <c r="W84" s="2" t="s">
        <v>105</v>
      </c>
      <c r="X84" s="2" t="s">
        <v>27</v>
      </c>
      <c r="Y84" s="2" t="s">
        <v>27</v>
      </c>
      <c r="Z84" s="2" t="s">
        <v>27</v>
      </c>
      <c r="AA84" s="3">
        <v>45762</v>
      </c>
      <c r="AB84" s="3">
        <v>45887</v>
      </c>
      <c r="AC84" s="2" t="s">
        <v>40</v>
      </c>
    </row>
    <row r="85" spans="1:29" x14ac:dyDescent="0.35">
      <c r="A85" s="2">
        <v>1800006680</v>
      </c>
      <c r="B85" s="2" t="s">
        <v>63</v>
      </c>
      <c r="C85" s="3">
        <v>45762</v>
      </c>
      <c r="D85" s="3">
        <v>45763</v>
      </c>
      <c r="E85" s="2" t="s">
        <v>58</v>
      </c>
      <c r="F85" s="33">
        <v>256779411571</v>
      </c>
      <c r="G85" s="2" t="s">
        <v>28</v>
      </c>
      <c r="H85" s="2" t="s">
        <v>29</v>
      </c>
      <c r="I85" s="2" t="s">
        <v>27</v>
      </c>
      <c r="J85" s="2" t="s">
        <v>64</v>
      </c>
      <c r="K85" s="2" t="s">
        <v>38</v>
      </c>
      <c r="L85" s="4">
        <v>21.36</v>
      </c>
      <c r="M85" s="2" t="s">
        <v>31</v>
      </c>
      <c r="N85" s="4">
        <v>1856.65</v>
      </c>
      <c r="O85" s="2" t="s">
        <v>65</v>
      </c>
      <c r="P85" s="2" t="s">
        <v>27</v>
      </c>
      <c r="Q85" s="2" t="s">
        <v>27</v>
      </c>
      <c r="R85" s="2" t="s">
        <v>58</v>
      </c>
      <c r="S85" s="2" t="s">
        <v>33</v>
      </c>
      <c r="T85" s="2"/>
      <c r="U85" s="2"/>
      <c r="V85" s="2"/>
      <c r="W85" s="2" t="s">
        <v>105</v>
      </c>
      <c r="X85" s="2" t="s">
        <v>27</v>
      </c>
      <c r="Y85" s="2" t="s">
        <v>27</v>
      </c>
      <c r="Z85" s="2" t="s">
        <v>27</v>
      </c>
      <c r="AA85" s="3">
        <v>45762</v>
      </c>
      <c r="AB85" s="3">
        <v>45887</v>
      </c>
      <c r="AC85" s="2" t="s">
        <v>40</v>
      </c>
    </row>
    <row r="86" spans="1:29" x14ac:dyDescent="0.35">
      <c r="A86" s="2">
        <v>1800006681</v>
      </c>
      <c r="B86" s="2" t="s">
        <v>63</v>
      </c>
      <c r="C86" s="3">
        <v>45762</v>
      </c>
      <c r="D86" s="3">
        <v>45763</v>
      </c>
      <c r="E86" s="2" t="s">
        <v>58</v>
      </c>
      <c r="F86" s="33">
        <v>256779411572</v>
      </c>
      <c r="G86" s="2" t="s">
        <v>28</v>
      </c>
      <c r="H86" s="2" t="s">
        <v>29</v>
      </c>
      <c r="I86" s="2" t="s">
        <v>27</v>
      </c>
      <c r="J86" s="2" t="s">
        <v>64</v>
      </c>
      <c r="K86" s="2" t="s">
        <v>38</v>
      </c>
      <c r="L86" s="4">
        <v>1.97</v>
      </c>
      <c r="M86" s="2" t="s">
        <v>31</v>
      </c>
      <c r="N86" s="4">
        <v>171.24</v>
      </c>
      <c r="O86" s="2" t="s">
        <v>65</v>
      </c>
      <c r="P86" s="2" t="s">
        <v>27</v>
      </c>
      <c r="Q86" s="2" t="s">
        <v>27</v>
      </c>
      <c r="R86" s="2" t="s">
        <v>58</v>
      </c>
      <c r="S86" s="2" t="s">
        <v>33</v>
      </c>
      <c r="T86" s="2"/>
      <c r="U86" s="2"/>
      <c r="V86" s="2"/>
      <c r="W86" s="2" t="s">
        <v>105</v>
      </c>
      <c r="X86" s="2" t="s">
        <v>27</v>
      </c>
      <c r="Y86" s="2" t="s">
        <v>27</v>
      </c>
      <c r="Z86" s="2" t="s">
        <v>27</v>
      </c>
      <c r="AA86" s="3">
        <v>45762</v>
      </c>
      <c r="AB86" s="3">
        <v>45887</v>
      </c>
      <c r="AC86" s="2" t="s">
        <v>40</v>
      </c>
    </row>
    <row r="87" spans="1:29" x14ac:dyDescent="0.35">
      <c r="A87" s="2">
        <v>1800006682</v>
      </c>
      <c r="B87" s="2" t="s">
        <v>63</v>
      </c>
      <c r="C87" s="3">
        <v>45762</v>
      </c>
      <c r="D87" s="3">
        <v>45763</v>
      </c>
      <c r="E87" s="2" t="s">
        <v>58</v>
      </c>
      <c r="F87" s="33">
        <v>256779411573</v>
      </c>
      <c r="G87" s="2" t="s">
        <v>28</v>
      </c>
      <c r="H87" s="2" t="s">
        <v>29</v>
      </c>
      <c r="I87" s="2" t="s">
        <v>27</v>
      </c>
      <c r="J87" s="2" t="s">
        <v>64</v>
      </c>
      <c r="K87" s="2" t="s">
        <v>38</v>
      </c>
      <c r="L87" s="4">
        <v>24.21</v>
      </c>
      <c r="M87" s="2" t="s">
        <v>31</v>
      </c>
      <c r="N87" s="4">
        <v>2104.38</v>
      </c>
      <c r="O87" s="2" t="s">
        <v>65</v>
      </c>
      <c r="P87" s="2" t="s">
        <v>27</v>
      </c>
      <c r="Q87" s="2" t="s">
        <v>27</v>
      </c>
      <c r="R87" s="2" t="s">
        <v>58</v>
      </c>
      <c r="S87" s="2" t="s">
        <v>33</v>
      </c>
      <c r="T87" s="2"/>
      <c r="U87" s="2"/>
      <c r="V87" s="2"/>
      <c r="W87" s="2" t="s">
        <v>105</v>
      </c>
      <c r="X87" s="2" t="s">
        <v>27</v>
      </c>
      <c r="Y87" s="2" t="s">
        <v>27</v>
      </c>
      <c r="Z87" s="2" t="s">
        <v>27</v>
      </c>
      <c r="AA87" s="3">
        <v>45762</v>
      </c>
      <c r="AB87" s="3">
        <v>45887</v>
      </c>
      <c r="AC87" s="2" t="s">
        <v>40</v>
      </c>
    </row>
    <row r="88" spans="1:29" x14ac:dyDescent="0.35">
      <c r="A88" s="2">
        <v>1800006683</v>
      </c>
      <c r="B88" s="2" t="s">
        <v>63</v>
      </c>
      <c r="C88" s="3">
        <v>45762</v>
      </c>
      <c r="D88" s="3">
        <v>45763</v>
      </c>
      <c r="E88" s="2" t="s">
        <v>58</v>
      </c>
      <c r="F88" s="33">
        <v>256779411574</v>
      </c>
      <c r="G88" s="2" t="s">
        <v>28</v>
      </c>
      <c r="H88" s="2" t="s">
        <v>29</v>
      </c>
      <c r="I88" s="2" t="s">
        <v>27</v>
      </c>
      <c r="J88" s="2" t="s">
        <v>64</v>
      </c>
      <c r="K88" s="2" t="s">
        <v>38</v>
      </c>
      <c r="L88" s="4">
        <v>14.7</v>
      </c>
      <c r="M88" s="2" t="s">
        <v>31</v>
      </c>
      <c r="N88" s="4">
        <v>1277.75</v>
      </c>
      <c r="O88" s="2" t="s">
        <v>65</v>
      </c>
      <c r="P88" s="2" t="s">
        <v>27</v>
      </c>
      <c r="Q88" s="2" t="s">
        <v>27</v>
      </c>
      <c r="R88" s="2" t="s">
        <v>58</v>
      </c>
      <c r="S88" s="2" t="s">
        <v>33</v>
      </c>
      <c r="T88" s="2"/>
      <c r="U88" s="2"/>
      <c r="V88" s="2"/>
      <c r="W88" s="2" t="s">
        <v>105</v>
      </c>
      <c r="X88" s="2" t="s">
        <v>27</v>
      </c>
      <c r="Y88" s="2" t="s">
        <v>27</v>
      </c>
      <c r="Z88" s="2" t="s">
        <v>27</v>
      </c>
      <c r="AA88" s="3">
        <v>45762</v>
      </c>
      <c r="AB88" s="3">
        <v>45887</v>
      </c>
      <c r="AC88" s="2" t="s">
        <v>40</v>
      </c>
    </row>
    <row r="89" spans="1:29" x14ac:dyDescent="0.35">
      <c r="A89" s="2">
        <v>1800006684</v>
      </c>
      <c r="B89" s="2" t="s">
        <v>63</v>
      </c>
      <c r="C89" s="3">
        <v>45762</v>
      </c>
      <c r="D89" s="3">
        <v>45763</v>
      </c>
      <c r="E89" s="2" t="s">
        <v>58</v>
      </c>
      <c r="F89" s="33">
        <v>256779411575</v>
      </c>
      <c r="G89" s="2" t="s">
        <v>28</v>
      </c>
      <c r="H89" s="2" t="s">
        <v>29</v>
      </c>
      <c r="I89" s="2" t="s">
        <v>27</v>
      </c>
      <c r="J89" s="2" t="s">
        <v>64</v>
      </c>
      <c r="K89" s="2" t="s">
        <v>38</v>
      </c>
      <c r="L89" s="4">
        <v>22.35</v>
      </c>
      <c r="M89" s="2" t="s">
        <v>31</v>
      </c>
      <c r="N89" s="4">
        <v>1942.7</v>
      </c>
      <c r="O89" s="2" t="s">
        <v>65</v>
      </c>
      <c r="P89" s="2" t="s">
        <v>27</v>
      </c>
      <c r="Q89" s="2" t="s">
        <v>27</v>
      </c>
      <c r="R89" s="2" t="s">
        <v>58</v>
      </c>
      <c r="S89" s="2" t="s">
        <v>33</v>
      </c>
      <c r="T89" s="2"/>
      <c r="U89" s="2"/>
      <c r="V89" s="2"/>
      <c r="W89" s="2" t="s">
        <v>105</v>
      </c>
      <c r="X89" s="2" t="s">
        <v>27</v>
      </c>
      <c r="Y89" s="2" t="s">
        <v>27</v>
      </c>
      <c r="Z89" s="2" t="s">
        <v>27</v>
      </c>
      <c r="AA89" s="3">
        <v>45762</v>
      </c>
      <c r="AB89" s="3">
        <v>45887</v>
      </c>
      <c r="AC89" s="2" t="s">
        <v>40</v>
      </c>
    </row>
    <row r="90" spans="1:29" x14ac:dyDescent="0.35">
      <c r="A90" s="2">
        <v>1800006685</v>
      </c>
      <c r="B90" s="2" t="s">
        <v>63</v>
      </c>
      <c r="C90" s="3">
        <v>45762</v>
      </c>
      <c r="D90" s="3">
        <v>45763</v>
      </c>
      <c r="E90" s="2" t="s">
        <v>58</v>
      </c>
      <c r="F90" s="33">
        <v>256779411576</v>
      </c>
      <c r="G90" s="2" t="s">
        <v>28</v>
      </c>
      <c r="H90" s="2" t="s">
        <v>29</v>
      </c>
      <c r="I90" s="2" t="s">
        <v>27</v>
      </c>
      <c r="J90" s="2" t="s">
        <v>64</v>
      </c>
      <c r="K90" s="2" t="s">
        <v>38</v>
      </c>
      <c r="L90" s="4">
        <v>21.52</v>
      </c>
      <c r="M90" s="2" t="s">
        <v>31</v>
      </c>
      <c r="N90" s="4">
        <v>1870.56</v>
      </c>
      <c r="O90" s="2" t="s">
        <v>65</v>
      </c>
      <c r="P90" s="2" t="s">
        <v>27</v>
      </c>
      <c r="Q90" s="2" t="s">
        <v>27</v>
      </c>
      <c r="R90" s="2" t="s">
        <v>58</v>
      </c>
      <c r="S90" s="2" t="s">
        <v>33</v>
      </c>
      <c r="T90" s="2"/>
      <c r="U90" s="2"/>
      <c r="V90" s="2"/>
      <c r="W90" s="2" t="s">
        <v>105</v>
      </c>
      <c r="X90" s="2" t="s">
        <v>27</v>
      </c>
      <c r="Y90" s="2" t="s">
        <v>27</v>
      </c>
      <c r="Z90" s="2" t="s">
        <v>27</v>
      </c>
      <c r="AA90" s="3">
        <v>45762</v>
      </c>
      <c r="AB90" s="3">
        <v>45887</v>
      </c>
      <c r="AC90" s="2" t="s">
        <v>40</v>
      </c>
    </row>
    <row r="91" spans="1:29" x14ac:dyDescent="0.35">
      <c r="A91" s="2">
        <v>1800006686</v>
      </c>
      <c r="B91" s="2" t="s">
        <v>63</v>
      </c>
      <c r="C91" s="3">
        <v>45762</v>
      </c>
      <c r="D91" s="3">
        <v>45763</v>
      </c>
      <c r="E91" s="2" t="s">
        <v>58</v>
      </c>
      <c r="F91" s="33">
        <v>256779411577</v>
      </c>
      <c r="G91" s="2" t="s">
        <v>28</v>
      </c>
      <c r="H91" s="2" t="s">
        <v>29</v>
      </c>
      <c r="I91" s="2" t="s">
        <v>27</v>
      </c>
      <c r="J91" s="2" t="s">
        <v>64</v>
      </c>
      <c r="K91" s="2" t="s">
        <v>38</v>
      </c>
      <c r="L91" s="4">
        <v>1.54</v>
      </c>
      <c r="M91" s="2" t="s">
        <v>31</v>
      </c>
      <c r="N91" s="4">
        <v>133.86000000000001</v>
      </c>
      <c r="O91" s="2" t="s">
        <v>65</v>
      </c>
      <c r="P91" s="2" t="s">
        <v>27</v>
      </c>
      <c r="Q91" s="2" t="s">
        <v>27</v>
      </c>
      <c r="R91" s="2" t="s">
        <v>58</v>
      </c>
      <c r="S91" s="2" t="s">
        <v>33</v>
      </c>
      <c r="T91" s="2"/>
      <c r="U91" s="2"/>
      <c r="V91" s="2"/>
      <c r="W91" s="2" t="s">
        <v>105</v>
      </c>
      <c r="X91" s="2" t="s">
        <v>27</v>
      </c>
      <c r="Y91" s="2" t="s">
        <v>27</v>
      </c>
      <c r="Z91" s="2" t="s">
        <v>27</v>
      </c>
      <c r="AA91" s="3">
        <v>45762</v>
      </c>
      <c r="AB91" s="3">
        <v>45887</v>
      </c>
      <c r="AC91" s="2" t="s">
        <v>40</v>
      </c>
    </row>
    <row r="92" spans="1:29" x14ac:dyDescent="0.35">
      <c r="A92" s="2">
        <v>1800006687</v>
      </c>
      <c r="B92" s="2" t="s">
        <v>63</v>
      </c>
      <c r="C92" s="3">
        <v>45762</v>
      </c>
      <c r="D92" s="3">
        <v>45763</v>
      </c>
      <c r="E92" s="2" t="s">
        <v>58</v>
      </c>
      <c r="F92" s="33">
        <v>256779411578</v>
      </c>
      <c r="G92" s="2" t="s">
        <v>28</v>
      </c>
      <c r="H92" s="2" t="s">
        <v>29</v>
      </c>
      <c r="I92" s="2" t="s">
        <v>27</v>
      </c>
      <c r="J92" s="2" t="s">
        <v>64</v>
      </c>
      <c r="K92" s="2" t="s">
        <v>38</v>
      </c>
      <c r="L92" s="4">
        <v>7.19</v>
      </c>
      <c r="M92" s="2" t="s">
        <v>31</v>
      </c>
      <c r="N92" s="4">
        <v>624.97</v>
      </c>
      <c r="O92" s="2" t="s">
        <v>65</v>
      </c>
      <c r="P92" s="2" t="s">
        <v>27</v>
      </c>
      <c r="Q92" s="2" t="s">
        <v>27</v>
      </c>
      <c r="R92" s="2" t="s">
        <v>58</v>
      </c>
      <c r="S92" s="2" t="s">
        <v>33</v>
      </c>
      <c r="T92" s="2"/>
      <c r="U92" s="2"/>
      <c r="V92" s="2"/>
      <c r="W92" s="2" t="s">
        <v>105</v>
      </c>
      <c r="X92" s="2" t="s">
        <v>27</v>
      </c>
      <c r="Y92" s="2" t="s">
        <v>27</v>
      </c>
      <c r="Z92" s="2" t="s">
        <v>27</v>
      </c>
      <c r="AA92" s="3">
        <v>45762</v>
      </c>
      <c r="AB92" s="3">
        <v>45887</v>
      </c>
      <c r="AC92" s="2" t="s">
        <v>40</v>
      </c>
    </row>
    <row r="93" spans="1:29" x14ac:dyDescent="0.35">
      <c r="A93" s="2">
        <v>1800006688</v>
      </c>
      <c r="B93" s="2" t="s">
        <v>63</v>
      </c>
      <c r="C93" s="3">
        <v>45762</v>
      </c>
      <c r="D93" s="3">
        <v>45763</v>
      </c>
      <c r="E93" s="2" t="s">
        <v>58</v>
      </c>
      <c r="F93" s="33">
        <v>256779411579</v>
      </c>
      <c r="G93" s="2" t="s">
        <v>28</v>
      </c>
      <c r="H93" s="2" t="s">
        <v>29</v>
      </c>
      <c r="I93" s="2" t="s">
        <v>27</v>
      </c>
      <c r="J93" s="2" t="s">
        <v>64</v>
      </c>
      <c r="K93" s="2" t="s">
        <v>38</v>
      </c>
      <c r="L93" s="4">
        <v>4.8499999999999996</v>
      </c>
      <c r="M93" s="2" t="s">
        <v>31</v>
      </c>
      <c r="N93" s="4">
        <v>421.57</v>
      </c>
      <c r="O93" s="2" t="s">
        <v>65</v>
      </c>
      <c r="P93" s="2" t="s">
        <v>27</v>
      </c>
      <c r="Q93" s="2" t="s">
        <v>27</v>
      </c>
      <c r="R93" s="2" t="s">
        <v>58</v>
      </c>
      <c r="S93" s="2" t="s">
        <v>33</v>
      </c>
      <c r="T93" s="2"/>
      <c r="U93" s="2"/>
      <c r="V93" s="2"/>
      <c r="W93" s="2" t="s">
        <v>105</v>
      </c>
      <c r="X93" s="2" t="s">
        <v>27</v>
      </c>
      <c r="Y93" s="2" t="s">
        <v>27</v>
      </c>
      <c r="Z93" s="2" t="s">
        <v>27</v>
      </c>
      <c r="AA93" s="3">
        <v>45762</v>
      </c>
      <c r="AB93" s="3">
        <v>45887</v>
      </c>
      <c r="AC93" s="2" t="s">
        <v>40</v>
      </c>
    </row>
    <row r="94" spans="1:29" x14ac:dyDescent="0.35">
      <c r="A94" s="2">
        <v>1800006689</v>
      </c>
      <c r="B94" s="2" t="s">
        <v>63</v>
      </c>
      <c r="C94" s="3">
        <v>45762</v>
      </c>
      <c r="D94" s="3">
        <v>45763</v>
      </c>
      <c r="E94" s="2" t="s">
        <v>58</v>
      </c>
      <c r="F94" s="33">
        <v>256779411580</v>
      </c>
      <c r="G94" s="2" t="s">
        <v>28</v>
      </c>
      <c r="H94" s="2" t="s">
        <v>29</v>
      </c>
      <c r="I94" s="2" t="s">
        <v>27</v>
      </c>
      <c r="J94" s="2" t="s">
        <v>64</v>
      </c>
      <c r="K94" s="2" t="s">
        <v>38</v>
      </c>
      <c r="L94" s="4">
        <v>21.76</v>
      </c>
      <c r="M94" s="2" t="s">
        <v>31</v>
      </c>
      <c r="N94" s="4">
        <v>1891.42</v>
      </c>
      <c r="O94" s="2" t="s">
        <v>65</v>
      </c>
      <c r="P94" s="2" t="s">
        <v>27</v>
      </c>
      <c r="Q94" s="2" t="s">
        <v>27</v>
      </c>
      <c r="R94" s="2" t="s">
        <v>58</v>
      </c>
      <c r="S94" s="2" t="s">
        <v>33</v>
      </c>
      <c r="T94" s="2"/>
      <c r="U94" s="2"/>
      <c r="V94" s="2"/>
      <c r="W94" s="2" t="s">
        <v>105</v>
      </c>
      <c r="X94" s="2" t="s">
        <v>27</v>
      </c>
      <c r="Y94" s="2" t="s">
        <v>27</v>
      </c>
      <c r="Z94" s="2" t="s">
        <v>27</v>
      </c>
      <c r="AA94" s="3">
        <v>45762</v>
      </c>
      <c r="AB94" s="3">
        <v>45887</v>
      </c>
      <c r="AC94" s="2" t="s">
        <v>40</v>
      </c>
    </row>
    <row r="95" spans="1:29" x14ac:dyDescent="0.35">
      <c r="A95" s="2">
        <v>1800006690</v>
      </c>
      <c r="B95" s="2" t="s">
        <v>63</v>
      </c>
      <c r="C95" s="3">
        <v>45762</v>
      </c>
      <c r="D95" s="3">
        <v>45763</v>
      </c>
      <c r="E95" s="2" t="s">
        <v>58</v>
      </c>
      <c r="F95" s="33">
        <v>256779411581</v>
      </c>
      <c r="G95" s="2" t="s">
        <v>28</v>
      </c>
      <c r="H95" s="2" t="s">
        <v>29</v>
      </c>
      <c r="I95" s="2" t="s">
        <v>27</v>
      </c>
      <c r="J95" s="2" t="s">
        <v>64</v>
      </c>
      <c r="K95" s="2" t="s">
        <v>38</v>
      </c>
      <c r="L95" s="4">
        <v>2.2000000000000002</v>
      </c>
      <c r="M95" s="2" t="s">
        <v>31</v>
      </c>
      <c r="N95" s="4">
        <v>191.23</v>
      </c>
      <c r="O95" s="2" t="s">
        <v>65</v>
      </c>
      <c r="P95" s="2" t="s">
        <v>27</v>
      </c>
      <c r="Q95" s="2" t="s">
        <v>27</v>
      </c>
      <c r="R95" s="2" t="s">
        <v>58</v>
      </c>
      <c r="S95" s="2" t="s">
        <v>33</v>
      </c>
      <c r="T95" s="2"/>
      <c r="U95" s="2"/>
      <c r="V95" s="2"/>
      <c r="W95" s="2" t="s">
        <v>105</v>
      </c>
      <c r="X95" s="2" t="s">
        <v>27</v>
      </c>
      <c r="Y95" s="2" t="s">
        <v>27</v>
      </c>
      <c r="Z95" s="2" t="s">
        <v>27</v>
      </c>
      <c r="AA95" s="3">
        <v>45762</v>
      </c>
      <c r="AB95" s="3">
        <v>45887</v>
      </c>
      <c r="AC95" s="2" t="s">
        <v>40</v>
      </c>
    </row>
    <row r="96" spans="1:29" x14ac:dyDescent="0.35">
      <c r="A96" s="2">
        <v>1800006691</v>
      </c>
      <c r="B96" s="2" t="s">
        <v>63</v>
      </c>
      <c r="C96" s="3">
        <v>45762</v>
      </c>
      <c r="D96" s="3">
        <v>45763</v>
      </c>
      <c r="E96" s="2" t="s">
        <v>58</v>
      </c>
      <c r="F96" s="33">
        <v>256779411582</v>
      </c>
      <c r="G96" s="2" t="s">
        <v>28</v>
      </c>
      <c r="H96" s="2" t="s">
        <v>29</v>
      </c>
      <c r="I96" s="2" t="s">
        <v>27</v>
      </c>
      <c r="J96" s="2" t="s">
        <v>64</v>
      </c>
      <c r="K96" s="2" t="s">
        <v>38</v>
      </c>
      <c r="L96" s="4">
        <v>1.1100000000000001</v>
      </c>
      <c r="M96" s="2" t="s">
        <v>31</v>
      </c>
      <c r="N96" s="4">
        <v>96.48</v>
      </c>
      <c r="O96" s="2" t="s">
        <v>65</v>
      </c>
      <c r="P96" s="2" t="s">
        <v>27</v>
      </c>
      <c r="Q96" s="2" t="s">
        <v>27</v>
      </c>
      <c r="R96" s="2" t="s">
        <v>58</v>
      </c>
      <c r="S96" s="2" t="s">
        <v>33</v>
      </c>
      <c r="T96" s="2"/>
      <c r="U96" s="2"/>
      <c r="V96" s="2"/>
      <c r="W96" s="2" t="s">
        <v>105</v>
      </c>
      <c r="X96" s="2" t="s">
        <v>27</v>
      </c>
      <c r="Y96" s="2" t="s">
        <v>27</v>
      </c>
      <c r="Z96" s="2" t="s">
        <v>27</v>
      </c>
      <c r="AA96" s="3">
        <v>45762</v>
      </c>
      <c r="AB96" s="3">
        <v>45887</v>
      </c>
      <c r="AC96" s="2" t="s">
        <v>40</v>
      </c>
    </row>
    <row r="97" spans="1:29" x14ac:dyDescent="0.35">
      <c r="A97" s="2">
        <v>1800006692</v>
      </c>
      <c r="B97" s="2" t="s">
        <v>63</v>
      </c>
      <c r="C97" s="3">
        <v>45762</v>
      </c>
      <c r="D97" s="3">
        <v>45763</v>
      </c>
      <c r="E97" s="2" t="s">
        <v>58</v>
      </c>
      <c r="F97" s="33">
        <v>256779411583</v>
      </c>
      <c r="G97" s="2" t="s">
        <v>28</v>
      </c>
      <c r="H97" s="2" t="s">
        <v>29</v>
      </c>
      <c r="I97" s="2" t="s">
        <v>27</v>
      </c>
      <c r="J97" s="2" t="s">
        <v>64</v>
      </c>
      <c r="K97" s="2" t="s">
        <v>38</v>
      </c>
      <c r="L97" s="4">
        <v>11</v>
      </c>
      <c r="M97" s="2" t="s">
        <v>31</v>
      </c>
      <c r="N97" s="4">
        <v>956.14</v>
      </c>
      <c r="O97" s="2" t="s">
        <v>65</v>
      </c>
      <c r="P97" s="2" t="s">
        <v>27</v>
      </c>
      <c r="Q97" s="2" t="s">
        <v>27</v>
      </c>
      <c r="R97" s="2" t="s">
        <v>58</v>
      </c>
      <c r="S97" s="2" t="s">
        <v>33</v>
      </c>
      <c r="T97" s="2"/>
      <c r="U97" s="2"/>
      <c r="V97" s="2"/>
      <c r="W97" s="2" t="s">
        <v>105</v>
      </c>
      <c r="X97" s="2" t="s">
        <v>27</v>
      </c>
      <c r="Y97" s="2" t="s">
        <v>27</v>
      </c>
      <c r="Z97" s="2" t="s">
        <v>27</v>
      </c>
      <c r="AA97" s="3">
        <v>45762</v>
      </c>
      <c r="AB97" s="3">
        <v>45887</v>
      </c>
      <c r="AC97" s="2" t="s">
        <v>40</v>
      </c>
    </row>
    <row r="98" spans="1:29" x14ac:dyDescent="0.35">
      <c r="A98" s="2">
        <v>1800006693</v>
      </c>
      <c r="B98" s="2" t="s">
        <v>63</v>
      </c>
      <c r="C98" s="3">
        <v>45762</v>
      </c>
      <c r="D98" s="3">
        <v>45763</v>
      </c>
      <c r="E98" s="2" t="s">
        <v>58</v>
      </c>
      <c r="F98" s="33">
        <v>256779411584</v>
      </c>
      <c r="G98" s="2" t="s">
        <v>28</v>
      </c>
      <c r="H98" s="2" t="s">
        <v>29</v>
      </c>
      <c r="I98" s="2" t="s">
        <v>27</v>
      </c>
      <c r="J98" s="2" t="s">
        <v>64</v>
      </c>
      <c r="K98" s="2" t="s">
        <v>38</v>
      </c>
      <c r="L98" s="4">
        <v>23.21</v>
      </c>
      <c r="M98" s="2" t="s">
        <v>31</v>
      </c>
      <c r="N98" s="4">
        <v>2017.46</v>
      </c>
      <c r="O98" s="2" t="s">
        <v>65</v>
      </c>
      <c r="P98" s="2" t="s">
        <v>27</v>
      </c>
      <c r="Q98" s="2" t="s">
        <v>27</v>
      </c>
      <c r="R98" s="2" t="s">
        <v>58</v>
      </c>
      <c r="S98" s="2" t="s">
        <v>33</v>
      </c>
      <c r="T98" s="2"/>
      <c r="U98" s="2"/>
      <c r="V98" s="2"/>
      <c r="W98" s="2" t="s">
        <v>105</v>
      </c>
      <c r="X98" s="2" t="s">
        <v>27</v>
      </c>
      <c r="Y98" s="2" t="s">
        <v>27</v>
      </c>
      <c r="Z98" s="2" t="s">
        <v>27</v>
      </c>
      <c r="AA98" s="3">
        <v>45762</v>
      </c>
      <c r="AB98" s="3">
        <v>45887</v>
      </c>
      <c r="AC98" s="2" t="s">
        <v>40</v>
      </c>
    </row>
    <row r="99" spans="1:29" x14ac:dyDescent="0.35">
      <c r="A99" s="2">
        <v>1800006694</v>
      </c>
      <c r="B99" s="2" t="s">
        <v>63</v>
      </c>
      <c r="C99" s="3">
        <v>45762</v>
      </c>
      <c r="D99" s="3">
        <v>45763</v>
      </c>
      <c r="E99" s="2" t="s">
        <v>58</v>
      </c>
      <c r="F99" s="33">
        <v>256779411585</v>
      </c>
      <c r="G99" s="2" t="s">
        <v>28</v>
      </c>
      <c r="H99" s="2" t="s">
        <v>29</v>
      </c>
      <c r="I99" s="2" t="s">
        <v>27</v>
      </c>
      <c r="J99" s="2" t="s">
        <v>64</v>
      </c>
      <c r="K99" s="2" t="s">
        <v>38</v>
      </c>
      <c r="L99" s="4">
        <v>7.81</v>
      </c>
      <c r="M99" s="2" t="s">
        <v>31</v>
      </c>
      <c r="N99" s="4">
        <v>678.86</v>
      </c>
      <c r="O99" s="2" t="s">
        <v>65</v>
      </c>
      <c r="P99" s="2" t="s">
        <v>27</v>
      </c>
      <c r="Q99" s="2" t="s">
        <v>27</v>
      </c>
      <c r="R99" s="2" t="s">
        <v>58</v>
      </c>
      <c r="S99" s="2" t="s">
        <v>33</v>
      </c>
      <c r="T99" s="2"/>
      <c r="U99" s="2"/>
      <c r="V99" s="2"/>
      <c r="W99" s="2" t="s">
        <v>105</v>
      </c>
      <c r="X99" s="2" t="s">
        <v>27</v>
      </c>
      <c r="Y99" s="2" t="s">
        <v>27</v>
      </c>
      <c r="Z99" s="2" t="s">
        <v>27</v>
      </c>
      <c r="AA99" s="3">
        <v>45762</v>
      </c>
      <c r="AB99" s="3">
        <v>45887</v>
      </c>
      <c r="AC99" s="2" t="s">
        <v>40</v>
      </c>
    </row>
    <row r="100" spans="1:29" x14ac:dyDescent="0.35">
      <c r="A100" s="2">
        <v>1600002472</v>
      </c>
      <c r="B100" s="2" t="s">
        <v>76</v>
      </c>
      <c r="C100" s="3">
        <v>45947</v>
      </c>
      <c r="D100" s="3">
        <v>45953</v>
      </c>
      <c r="E100" s="2" t="s">
        <v>58</v>
      </c>
      <c r="F100" s="33">
        <v>256779422014</v>
      </c>
      <c r="G100" s="2" t="s">
        <v>28</v>
      </c>
      <c r="H100" s="2" t="s">
        <v>29</v>
      </c>
      <c r="I100" s="2" t="s">
        <v>27</v>
      </c>
      <c r="J100" s="2" t="s">
        <v>77</v>
      </c>
      <c r="K100" s="2" t="s">
        <v>38</v>
      </c>
      <c r="L100" s="4">
        <v>-136.47999999999999</v>
      </c>
      <c r="M100" s="2" t="s">
        <v>31</v>
      </c>
      <c r="N100" s="4">
        <v>-12036.28</v>
      </c>
      <c r="O100" s="2" t="s">
        <v>65</v>
      </c>
      <c r="P100" s="2" t="s">
        <v>32</v>
      </c>
      <c r="Q100" s="2" t="s">
        <v>27</v>
      </c>
      <c r="R100" s="2" t="s">
        <v>106</v>
      </c>
      <c r="S100" s="2" t="s">
        <v>33</v>
      </c>
      <c r="T100" s="2"/>
      <c r="U100" s="2"/>
      <c r="V100" s="2"/>
      <c r="W100" s="2" t="s">
        <v>107</v>
      </c>
      <c r="X100" s="2" t="s">
        <v>27</v>
      </c>
      <c r="Y100" s="2" t="s">
        <v>27</v>
      </c>
      <c r="Z100" s="2" t="s">
        <v>27</v>
      </c>
      <c r="AA100" s="3">
        <v>45947</v>
      </c>
      <c r="AB100" s="3"/>
      <c r="AC100" s="2" t="s">
        <v>27</v>
      </c>
    </row>
    <row r="101" spans="1:29" x14ac:dyDescent="0.35">
      <c r="A101" s="2">
        <v>1800006996</v>
      </c>
      <c r="B101" s="2" t="s">
        <v>63</v>
      </c>
      <c r="C101" s="3">
        <v>45763</v>
      </c>
      <c r="D101" s="3">
        <v>45764</v>
      </c>
      <c r="E101" s="2" t="s">
        <v>58</v>
      </c>
      <c r="F101" s="33">
        <v>256779411887</v>
      </c>
      <c r="G101" s="2" t="s">
        <v>28</v>
      </c>
      <c r="H101" s="2" t="s">
        <v>29</v>
      </c>
      <c r="I101" s="2" t="s">
        <v>27</v>
      </c>
      <c r="J101" s="2" t="s">
        <v>64</v>
      </c>
      <c r="K101" s="2" t="s">
        <v>38</v>
      </c>
      <c r="L101" s="4">
        <v>71.22</v>
      </c>
      <c r="M101" s="2" t="s">
        <v>31</v>
      </c>
      <c r="N101" s="4">
        <v>6190.57</v>
      </c>
      <c r="O101" s="2" t="s">
        <v>65</v>
      </c>
      <c r="P101" s="2" t="s">
        <v>32</v>
      </c>
      <c r="Q101" s="2" t="s">
        <v>27</v>
      </c>
      <c r="R101" s="2" t="s">
        <v>58</v>
      </c>
      <c r="S101" s="2" t="s">
        <v>33</v>
      </c>
      <c r="T101" s="2"/>
      <c r="U101" s="2"/>
      <c r="V101" s="2"/>
      <c r="W101" s="2" t="s">
        <v>108</v>
      </c>
      <c r="X101" s="2" t="s">
        <v>27</v>
      </c>
      <c r="Y101" s="2" t="s">
        <v>27</v>
      </c>
      <c r="Z101" s="2" t="s">
        <v>27</v>
      </c>
      <c r="AA101" s="3">
        <v>45763</v>
      </c>
      <c r="AB101" s="3"/>
      <c r="AC101" s="2" t="s">
        <v>27</v>
      </c>
    </row>
    <row r="102" spans="1:29" x14ac:dyDescent="0.35">
      <c r="A102" s="2">
        <v>1800007093</v>
      </c>
      <c r="B102" s="2" t="s">
        <v>63</v>
      </c>
      <c r="C102" s="3">
        <v>45763</v>
      </c>
      <c r="D102" s="3">
        <v>45764</v>
      </c>
      <c r="E102" s="2" t="s">
        <v>58</v>
      </c>
      <c r="F102" s="33">
        <v>256779411984</v>
      </c>
      <c r="G102" s="2" t="s">
        <v>28</v>
      </c>
      <c r="H102" s="2" t="s">
        <v>29</v>
      </c>
      <c r="I102" s="2" t="s">
        <v>27</v>
      </c>
      <c r="J102" s="2" t="s">
        <v>64</v>
      </c>
      <c r="K102" s="2" t="s">
        <v>38</v>
      </c>
      <c r="L102" s="4">
        <v>39.54</v>
      </c>
      <c r="M102" s="2" t="s">
        <v>31</v>
      </c>
      <c r="N102" s="4">
        <v>3436.89</v>
      </c>
      <c r="O102" s="2" t="s">
        <v>65</v>
      </c>
      <c r="P102" s="2" t="s">
        <v>32</v>
      </c>
      <c r="Q102" s="2" t="s">
        <v>27</v>
      </c>
      <c r="R102" s="2" t="s">
        <v>58</v>
      </c>
      <c r="S102" s="2" t="s">
        <v>33</v>
      </c>
      <c r="T102" s="2"/>
      <c r="U102" s="2"/>
      <c r="V102" s="2"/>
      <c r="W102" s="2" t="s">
        <v>109</v>
      </c>
      <c r="X102" s="2" t="s">
        <v>27</v>
      </c>
      <c r="Y102" s="2" t="s">
        <v>27</v>
      </c>
      <c r="Z102" s="2" t="s">
        <v>27</v>
      </c>
      <c r="AA102" s="3">
        <v>45763</v>
      </c>
      <c r="AB102" s="3"/>
      <c r="AC102" s="2" t="s">
        <v>27</v>
      </c>
    </row>
    <row r="103" spans="1:29" x14ac:dyDescent="0.35">
      <c r="A103" s="2">
        <v>1800007129</v>
      </c>
      <c r="B103" s="2" t="s">
        <v>63</v>
      </c>
      <c r="C103" s="3">
        <v>45763</v>
      </c>
      <c r="D103" s="3">
        <v>45764</v>
      </c>
      <c r="E103" s="2" t="s">
        <v>58</v>
      </c>
      <c r="F103" s="33">
        <v>256779412020</v>
      </c>
      <c r="G103" s="2" t="s">
        <v>28</v>
      </c>
      <c r="H103" s="2" t="s">
        <v>29</v>
      </c>
      <c r="I103" s="2" t="s">
        <v>27</v>
      </c>
      <c r="J103" s="2" t="s">
        <v>64</v>
      </c>
      <c r="K103" s="2" t="s">
        <v>38</v>
      </c>
      <c r="L103" s="4">
        <v>85.21</v>
      </c>
      <c r="M103" s="2" t="s">
        <v>31</v>
      </c>
      <c r="N103" s="4">
        <v>7406.61</v>
      </c>
      <c r="O103" s="2" t="s">
        <v>65</v>
      </c>
      <c r="P103" s="2" t="s">
        <v>32</v>
      </c>
      <c r="Q103" s="2" t="s">
        <v>27</v>
      </c>
      <c r="R103" s="2" t="s">
        <v>58</v>
      </c>
      <c r="S103" s="2" t="s">
        <v>33</v>
      </c>
      <c r="T103" s="2"/>
      <c r="U103" s="2"/>
      <c r="V103" s="2"/>
      <c r="W103" s="2" t="s">
        <v>110</v>
      </c>
      <c r="X103" s="2" t="s">
        <v>27</v>
      </c>
      <c r="Y103" s="2" t="s">
        <v>27</v>
      </c>
      <c r="Z103" s="2" t="s">
        <v>27</v>
      </c>
      <c r="AA103" s="3">
        <v>45763</v>
      </c>
      <c r="AB103" s="3"/>
      <c r="AC103" s="2" t="s">
        <v>27</v>
      </c>
    </row>
    <row r="104" spans="1:29" x14ac:dyDescent="0.35">
      <c r="A104" s="2">
        <v>1800007210</v>
      </c>
      <c r="B104" s="2" t="s">
        <v>63</v>
      </c>
      <c r="C104" s="3">
        <v>45763</v>
      </c>
      <c r="D104" s="3">
        <v>45764</v>
      </c>
      <c r="E104" s="2" t="s">
        <v>58</v>
      </c>
      <c r="F104" s="33">
        <v>256779412101</v>
      </c>
      <c r="G104" s="2" t="s">
        <v>28</v>
      </c>
      <c r="H104" s="2" t="s">
        <v>29</v>
      </c>
      <c r="I104" s="2" t="s">
        <v>27</v>
      </c>
      <c r="J104" s="2" t="s">
        <v>64</v>
      </c>
      <c r="K104" s="2" t="s">
        <v>38</v>
      </c>
      <c r="L104" s="4">
        <v>171.71</v>
      </c>
      <c r="M104" s="2" t="s">
        <v>31</v>
      </c>
      <c r="N104" s="4">
        <v>14925.35</v>
      </c>
      <c r="O104" s="2" t="s">
        <v>65</v>
      </c>
      <c r="P104" s="2" t="s">
        <v>32</v>
      </c>
      <c r="Q104" s="2" t="s">
        <v>27</v>
      </c>
      <c r="R104" s="2" t="s">
        <v>58</v>
      </c>
      <c r="S104" s="2" t="s">
        <v>33</v>
      </c>
      <c r="T104" s="2"/>
      <c r="U104" s="2"/>
      <c r="V104" s="2"/>
      <c r="W104" s="2" t="s">
        <v>111</v>
      </c>
      <c r="X104" s="2" t="s">
        <v>27</v>
      </c>
      <c r="Y104" s="2" t="s">
        <v>27</v>
      </c>
      <c r="Z104" s="2" t="s">
        <v>27</v>
      </c>
      <c r="AA104" s="3">
        <v>45763</v>
      </c>
      <c r="AB104" s="3"/>
      <c r="AC104" s="2" t="s">
        <v>27</v>
      </c>
    </row>
    <row r="105" spans="1:29" x14ac:dyDescent="0.35">
      <c r="A105" s="2">
        <v>1800007235</v>
      </c>
      <c r="B105" s="2" t="s">
        <v>63</v>
      </c>
      <c r="C105" s="3">
        <v>45763</v>
      </c>
      <c r="D105" s="3">
        <v>45764</v>
      </c>
      <c r="E105" s="2" t="s">
        <v>58</v>
      </c>
      <c r="F105" s="33">
        <v>256779412126</v>
      </c>
      <c r="G105" s="2" t="s">
        <v>28</v>
      </c>
      <c r="H105" s="2" t="s">
        <v>29</v>
      </c>
      <c r="I105" s="2" t="s">
        <v>27</v>
      </c>
      <c r="J105" s="2" t="s">
        <v>64</v>
      </c>
      <c r="K105" s="2" t="s">
        <v>38</v>
      </c>
      <c r="L105" s="4">
        <v>500.58</v>
      </c>
      <c r="M105" s="2" t="s">
        <v>31</v>
      </c>
      <c r="N105" s="4">
        <v>43511.32</v>
      </c>
      <c r="O105" s="2" t="s">
        <v>65</v>
      </c>
      <c r="P105" s="2" t="s">
        <v>32</v>
      </c>
      <c r="Q105" s="2" t="s">
        <v>27</v>
      </c>
      <c r="R105" s="2" t="s">
        <v>58</v>
      </c>
      <c r="S105" s="2" t="s">
        <v>33</v>
      </c>
      <c r="T105" s="2"/>
      <c r="U105" s="2"/>
      <c r="V105" s="2"/>
      <c r="W105" s="2" t="s">
        <v>112</v>
      </c>
      <c r="X105" s="2" t="s">
        <v>27</v>
      </c>
      <c r="Y105" s="2" t="s">
        <v>27</v>
      </c>
      <c r="Z105" s="2" t="s">
        <v>27</v>
      </c>
      <c r="AA105" s="3">
        <v>45763</v>
      </c>
      <c r="AB105" s="3"/>
      <c r="AC105" s="2" t="s">
        <v>27</v>
      </c>
    </row>
    <row r="106" spans="1:29" x14ac:dyDescent="0.35">
      <c r="A106" s="2">
        <v>1800011264</v>
      </c>
      <c r="B106" s="2" t="s">
        <v>63</v>
      </c>
      <c r="C106" s="3">
        <v>45863</v>
      </c>
      <c r="D106" s="3">
        <v>45863</v>
      </c>
      <c r="E106" s="2" t="s">
        <v>58</v>
      </c>
      <c r="F106" s="33">
        <v>256779415996</v>
      </c>
      <c r="G106" s="2" t="s">
        <v>28</v>
      </c>
      <c r="H106" s="2" t="s">
        <v>29</v>
      </c>
      <c r="I106" s="2" t="s">
        <v>27</v>
      </c>
      <c r="J106" s="2" t="s">
        <v>64</v>
      </c>
      <c r="K106" s="2" t="s">
        <v>38</v>
      </c>
      <c r="L106" s="4">
        <v>755.58</v>
      </c>
      <c r="M106" s="2" t="s">
        <v>31</v>
      </c>
      <c r="N106" s="4">
        <v>64980.39</v>
      </c>
      <c r="O106" s="2" t="s">
        <v>65</v>
      </c>
      <c r="P106" s="2" t="s">
        <v>32</v>
      </c>
      <c r="Q106" s="2" t="s">
        <v>27</v>
      </c>
      <c r="R106" s="2" t="s">
        <v>58</v>
      </c>
      <c r="S106" s="2" t="s">
        <v>33</v>
      </c>
      <c r="T106" s="2"/>
      <c r="U106" s="2"/>
      <c r="V106" s="2"/>
      <c r="W106" s="2" t="s">
        <v>113</v>
      </c>
      <c r="X106" s="2" t="s">
        <v>27</v>
      </c>
      <c r="Y106" s="2" t="s">
        <v>27</v>
      </c>
      <c r="Z106" s="2" t="s">
        <v>27</v>
      </c>
      <c r="AA106" s="3">
        <v>45863</v>
      </c>
      <c r="AB106" s="3"/>
      <c r="AC106" s="2" t="s">
        <v>27</v>
      </c>
    </row>
    <row r="107" spans="1:29" x14ac:dyDescent="0.35">
      <c r="A107" s="2">
        <v>1800001581</v>
      </c>
      <c r="B107" s="2" t="s">
        <v>63</v>
      </c>
      <c r="C107" s="3">
        <v>45730</v>
      </c>
      <c r="D107" s="3">
        <v>45735</v>
      </c>
      <c r="E107" s="2" t="s">
        <v>58</v>
      </c>
      <c r="F107" s="33">
        <v>246779412238</v>
      </c>
      <c r="G107" s="2" t="s">
        <v>28</v>
      </c>
      <c r="H107" s="2" t="s">
        <v>29</v>
      </c>
      <c r="I107" s="2" t="s">
        <v>27</v>
      </c>
      <c r="J107" s="2" t="s">
        <v>64</v>
      </c>
      <c r="K107" s="2" t="s">
        <v>38</v>
      </c>
      <c r="L107" s="4">
        <v>945.75</v>
      </c>
      <c r="M107" s="2" t="s">
        <v>31</v>
      </c>
      <c r="N107" s="4">
        <v>81988.259999999995</v>
      </c>
      <c r="O107" s="2" t="s">
        <v>65</v>
      </c>
      <c r="P107" s="2" t="s">
        <v>32</v>
      </c>
      <c r="Q107" s="2" t="s">
        <v>27</v>
      </c>
      <c r="R107" s="2" t="s">
        <v>58</v>
      </c>
      <c r="S107" s="2" t="s">
        <v>33</v>
      </c>
      <c r="T107" s="2"/>
      <c r="U107" s="2"/>
      <c r="V107" s="2"/>
      <c r="W107" s="2" t="s">
        <v>114</v>
      </c>
      <c r="X107" s="2" t="s">
        <v>27</v>
      </c>
      <c r="Y107" s="2" t="s">
        <v>27</v>
      </c>
      <c r="Z107" s="2" t="s">
        <v>27</v>
      </c>
      <c r="AA107" s="3">
        <v>45730</v>
      </c>
      <c r="AB107" s="3">
        <v>45842</v>
      </c>
      <c r="AC107" s="2" t="s">
        <v>60</v>
      </c>
    </row>
    <row r="108" spans="1:29" x14ac:dyDescent="0.35">
      <c r="A108" s="2">
        <v>1800001784</v>
      </c>
      <c r="B108" s="2" t="s">
        <v>63</v>
      </c>
      <c r="C108" s="3">
        <v>45730</v>
      </c>
      <c r="D108" s="3">
        <v>45733</v>
      </c>
      <c r="E108" s="2" t="s">
        <v>58</v>
      </c>
      <c r="F108" s="33">
        <v>246779411449</v>
      </c>
      <c r="G108" s="2" t="s">
        <v>28</v>
      </c>
      <c r="H108" s="2" t="s">
        <v>29</v>
      </c>
      <c r="I108" s="2" t="s">
        <v>27</v>
      </c>
      <c r="J108" s="2" t="s">
        <v>64</v>
      </c>
      <c r="K108" s="2" t="s">
        <v>38</v>
      </c>
      <c r="L108" s="4">
        <v>945.75</v>
      </c>
      <c r="M108" s="2" t="s">
        <v>31</v>
      </c>
      <c r="N108" s="4">
        <v>81988.259999999995</v>
      </c>
      <c r="O108" s="2" t="s">
        <v>65</v>
      </c>
      <c r="P108" s="2" t="s">
        <v>32</v>
      </c>
      <c r="Q108" s="2" t="s">
        <v>27</v>
      </c>
      <c r="R108" s="2" t="s">
        <v>58</v>
      </c>
      <c r="S108" s="2" t="s">
        <v>33</v>
      </c>
      <c r="T108" s="2"/>
      <c r="U108" s="2"/>
      <c r="V108" s="2"/>
      <c r="W108" s="2" t="s">
        <v>114</v>
      </c>
      <c r="X108" s="2" t="s">
        <v>27</v>
      </c>
      <c r="Y108" s="2" t="s">
        <v>27</v>
      </c>
      <c r="Z108" s="2" t="s">
        <v>27</v>
      </c>
      <c r="AA108" s="3">
        <v>45730</v>
      </c>
      <c r="AB108" s="3">
        <v>45887</v>
      </c>
      <c r="AC108" s="2" t="s">
        <v>40</v>
      </c>
    </row>
    <row r="109" spans="1:29" x14ac:dyDescent="0.35">
      <c r="A109" s="2">
        <v>1600002155</v>
      </c>
      <c r="B109" s="2" t="s">
        <v>76</v>
      </c>
      <c r="C109" s="3">
        <v>45883</v>
      </c>
      <c r="D109" s="3">
        <v>45891</v>
      </c>
      <c r="E109" s="2" t="s">
        <v>58</v>
      </c>
      <c r="F109" s="33">
        <v>256779421715</v>
      </c>
      <c r="G109" s="2" t="s">
        <v>28</v>
      </c>
      <c r="H109" s="2" t="s">
        <v>29</v>
      </c>
      <c r="I109" s="2" t="s">
        <v>27</v>
      </c>
      <c r="J109" s="2" t="s">
        <v>77</v>
      </c>
      <c r="K109" s="2" t="s">
        <v>38</v>
      </c>
      <c r="L109" s="4">
        <v>-2324.77</v>
      </c>
      <c r="M109" s="2" t="s">
        <v>31</v>
      </c>
      <c r="N109" s="4">
        <v>-200000.24</v>
      </c>
      <c r="O109" s="2" t="s">
        <v>65</v>
      </c>
      <c r="P109" s="2" t="s">
        <v>32</v>
      </c>
      <c r="Q109" s="2" t="s">
        <v>27</v>
      </c>
      <c r="R109" s="2" t="s">
        <v>58</v>
      </c>
      <c r="S109" s="2" t="s">
        <v>33</v>
      </c>
      <c r="T109" s="2"/>
      <c r="U109" s="2"/>
      <c r="V109" s="2"/>
      <c r="W109" s="2" t="s">
        <v>78</v>
      </c>
      <c r="X109" s="2" t="s">
        <v>27</v>
      </c>
      <c r="Y109" s="2" t="s">
        <v>27</v>
      </c>
      <c r="Z109" s="2" t="s">
        <v>27</v>
      </c>
      <c r="AA109" s="3">
        <v>45883</v>
      </c>
      <c r="AB109" s="3"/>
      <c r="AC109" s="2" t="s">
        <v>27</v>
      </c>
    </row>
    <row r="110" spans="1:29" x14ac:dyDescent="0.35">
      <c r="A110" s="2">
        <v>1800012461</v>
      </c>
      <c r="B110" s="2" t="s">
        <v>63</v>
      </c>
      <c r="C110" s="3">
        <v>45904</v>
      </c>
      <c r="D110" s="3">
        <v>45909</v>
      </c>
      <c r="E110" s="2" t="s">
        <v>58</v>
      </c>
      <c r="F110" s="33">
        <v>256779417161</v>
      </c>
      <c r="G110" s="2" t="s">
        <v>28</v>
      </c>
      <c r="H110" s="2" t="s">
        <v>29</v>
      </c>
      <c r="I110" s="2" t="s">
        <v>27</v>
      </c>
      <c r="J110" s="2" t="s">
        <v>64</v>
      </c>
      <c r="K110" s="2" t="s">
        <v>38</v>
      </c>
      <c r="L110" s="4">
        <v>787.95</v>
      </c>
      <c r="M110" s="2" t="s">
        <v>31</v>
      </c>
      <c r="N110" s="4">
        <v>68956.92</v>
      </c>
      <c r="O110" s="2" t="s">
        <v>65</v>
      </c>
      <c r="P110" s="2" t="s">
        <v>32</v>
      </c>
      <c r="Q110" s="2" t="s">
        <v>27</v>
      </c>
      <c r="R110" s="2" t="s">
        <v>58</v>
      </c>
      <c r="S110" s="2" t="s">
        <v>33</v>
      </c>
      <c r="T110" s="2"/>
      <c r="U110" s="2"/>
      <c r="V110" s="2"/>
      <c r="W110" s="2" t="s">
        <v>115</v>
      </c>
      <c r="X110" s="2" t="s">
        <v>27</v>
      </c>
      <c r="Y110" s="2" t="s">
        <v>27</v>
      </c>
      <c r="Z110" s="2" t="s">
        <v>27</v>
      </c>
      <c r="AA110" s="3">
        <v>45904</v>
      </c>
      <c r="AB110" s="3"/>
      <c r="AC110" s="2" t="s">
        <v>27</v>
      </c>
    </row>
    <row r="111" spans="1:29" x14ac:dyDescent="0.35">
      <c r="A111" s="2">
        <v>1800012559</v>
      </c>
      <c r="B111" s="2" t="s">
        <v>63</v>
      </c>
      <c r="C111" s="3">
        <v>45904</v>
      </c>
      <c r="D111" s="3">
        <v>45909</v>
      </c>
      <c r="E111" s="2" t="s">
        <v>58</v>
      </c>
      <c r="F111" s="33">
        <v>256779417178</v>
      </c>
      <c r="G111" s="2" t="s">
        <v>28</v>
      </c>
      <c r="H111" s="2" t="s">
        <v>29</v>
      </c>
      <c r="I111" s="2" t="s">
        <v>27</v>
      </c>
      <c r="J111" s="2" t="s">
        <v>64</v>
      </c>
      <c r="K111" s="2" t="s">
        <v>38</v>
      </c>
      <c r="L111" s="4">
        <v>1560</v>
      </c>
      <c r="M111" s="2" t="s">
        <v>31</v>
      </c>
      <c r="N111" s="4">
        <v>136522.35</v>
      </c>
      <c r="O111" s="2" t="s">
        <v>65</v>
      </c>
      <c r="P111" s="2" t="s">
        <v>32</v>
      </c>
      <c r="Q111" s="2" t="s">
        <v>27</v>
      </c>
      <c r="R111" s="2" t="s">
        <v>58</v>
      </c>
      <c r="S111" s="2" t="s">
        <v>33</v>
      </c>
      <c r="T111" s="2"/>
      <c r="U111" s="2"/>
      <c r="V111" s="2"/>
      <c r="W111" s="2" t="s">
        <v>116</v>
      </c>
      <c r="X111" s="2" t="s">
        <v>27</v>
      </c>
      <c r="Y111" s="2" t="s">
        <v>27</v>
      </c>
      <c r="Z111" s="2" t="s">
        <v>27</v>
      </c>
      <c r="AA111" s="3">
        <v>45904</v>
      </c>
      <c r="AB111" s="3"/>
      <c r="AC111" s="2" t="s">
        <v>27</v>
      </c>
    </row>
    <row r="112" spans="1:29" x14ac:dyDescent="0.35">
      <c r="A112" s="2">
        <v>1800012560</v>
      </c>
      <c r="B112" s="2" t="s">
        <v>63</v>
      </c>
      <c r="C112" s="3">
        <v>45904</v>
      </c>
      <c r="D112" s="3">
        <v>45909</v>
      </c>
      <c r="E112" s="2" t="s">
        <v>58</v>
      </c>
      <c r="F112" s="33">
        <v>256779417179</v>
      </c>
      <c r="G112" s="2" t="s">
        <v>28</v>
      </c>
      <c r="H112" s="2" t="s">
        <v>29</v>
      </c>
      <c r="I112" s="2" t="s">
        <v>27</v>
      </c>
      <c r="J112" s="2" t="s">
        <v>64</v>
      </c>
      <c r="K112" s="2" t="s">
        <v>38</v>
      </c>
      <c r="L112" s="4">
        <v>1560</v>
      </c>
      <c r="M112" s="2" t="s">
        <v>31</v>
      </c>
      <c r="N112" s="4">
        <v>136522.35</v>
      </c>
      <c r="O112" s="2" t="s">
        <v>65</v>
      </c>
      <c r="P112" s="2" t="s">
        <v>32</v>
      </c>
      <c r="Q112" s="2" t="s">
        <v>27</v>
      </c>
      <c r="R112" s="2" t="s">
        <v>58</v>
      </c>
      <c r="S112" s="2" t="s">
        <v>33</v>
      </c>
      <c r="T112" s="2"/>
      <c r="U112" s="2"/>
      <c r="V112" s="2"/>
      <c r="W112" s="2" t="s">
        <v>117</v>
      </c>
      <c r="X112" s="2" t="s">
        <v>27</v>
      </c>
      <c r="Y112" s="2" t="s">
        <v>27</v>
      </c>
      <c r="Z112" s="2" t="s">
        <v>27</v>
      </c>
      <c r="AA112" s="3">
        <v>45904</v>
      </c>
      <c r="AB112" s="3"/>
      <c r="AC112" s="2" t="s">
        <v>27</v>
      </c>
    </row>
    <row r="113" spans="1:29" x14ac:dyDescent="0.35">
      <c r="A113" s="2">
        <v>1800012561</v>
      </c>
      <c r="B113" s="2" t="s">
        <v>63</v>
      </c>
      <c r="C113" s="3">
        <v>45904</v>
      </c>
      <c r="D113" s="3">
        <v>45909</v>
      </c>
      <c r="E113" s="2" t="s">
        <v>58</v>
      </c>
      <c r="F113" s="33">
        <v>256779417180</v>
      </c>
      <c r="G113" s="2" t="s">
        <v>28</v>
      </c>
      <c r="H113" s="2" t="s">
        <v>29</v>
      </c>
      <c r="I113" s="2" t="s">
        <v>27</v>
      </c>
      <c r="J113" s="2" t="s">
        <v>64</v>
      </c>
      <c r="K113" s="2" t="s">
        <v>38</v>
      </c>
      <c r="L113" s="4">
        <v>1799.1</v>
      </c>
      <c r="M113" s="2" t="s">
        <v>31</v>
      </c>
      <c r="N113" s="4">
        <v>157447.03</v>
      </c>
      <c r="O113" s="2" t="s">
        <v>65</v>
      </c>
      <c r="P113" s="2" t="s">
        <v>32</v>
      </c>
      <c r="Q113" s="2" t="s">
        <v>27</v>
      </c>
      <c r="R113" s="2" t="s">
        <v>58</v>
      </c>
      <c r="S113" s="2" t="s">
        <v>33</v>
      </c>
      <c r="T113" s="2"/>
      <c r="U113" s="2"/>
      <c r="V113" s="2"/>
      <c r="W113" s="2" t="s">
        <v>118</v>
      </c>
      <c r="X113" s="2" t="s">
        <v>27</v>
      </c>
      <c r="Y113" s="2" t="s">
        <v>27</v>
      </c>
      <c r="Z113" s="2" t="s">
        <v>27</v>
      </c>
      <c r="AA113" s="3">
        <v>45904</v>
      </c>
      <c r="AB113" s="3"/>
      <c r="AC113" s="2" t="s">
        <v>27</v>
      </c>
    </row>
    <row r="114" spans="1:29" x14ac:dyDescent="0.35">
      <c r="A114" s="2">
        <v>1800012562</v>
      </c>
      <c r="B114" s="2" t="s">
        <v>63</v>
      </c>
      <c r="C114" s="3">
        <v>45904</v>
      </c>
      <c r="D114" s="3">
        <v>45909</v>
      </c>
      <c r="E114" s="2" t="s">
        <v>58</v>
      </c>
      <c r="F114" s="33">
        <v>256779417181</v>
      </c>
      <c r="G114" s="2" t="s">
        <v>28</v>
      </c>
      <c r="H114" s="2" t="s">
        <v>29</v>
      </c>
      <c r="I114" s="2" t="s">
        <v>27</v>
      </c>
      <c r="J114" s="2" t="s">
        <v>64</v>
      </c>
      <c r="K114" s="2" t="s">
        <v>38</v>
      </c>
      <c r="L114" s="4">
        <v>1812</v>
      </c>
      <c r="M114" s="2" t="s">
        <v>31</v>
      </c>
      <c r="N114" s="4">
        <v>158575.97</v>
      </c>
      <c r="O114" s="2" t="s">
        <v>65</v>
      </c>
      <c r="P114" s="2" t="s">
        <v>32</v>
      </c>
      <c r="Q114" s="2" t="s">
        <v>27</v>
      </c>
      <c r="R114" s="2" t="s">
        <v>58</v>
      </c>
      <c r="S114" s="2" t="s">
        <v>33</v>
      </c>
      <c r="T114" s="2"/>
      <c r="U114" s="2"/>
      <c r="V114" s="2"/>
      <c r="W114" s="2" t="s">
        <v>119</v>
      </c>
      <c r="X114" s="2" t="s">
        <v>27</v>
      </c>
      <c r="Y114" s="2" t="s">
        <v>27</v>
      </c>
      <c r="Z114" s="2" t="s">
        <v>27</v>
      </c>
      <c r="AA114" s="3">
        <v>45904</v>
      </c>
      <c r="AB114" s="3"/>
      <c r="AC114" s="2" t="s">
        <v>27</v>
      </c>
    </row>
    <row r="115" spans="1:29" x14ac:dyDescent="0.35">
      <c r="A115" s="2">
        <v>1800012619</v>
      </c>
      <c r="B115" s="2" t="s">
        <v>63</v>
      </c>
      <c r="C115" s="3">
        <v>45904</v>
      </c>
      <c r="D115" s="3">
        <v>45909</v>
      </c>
      <c r="E115" s="2" t="s">
        <v>58</v>
      </c>
      <c r="F115" s="33">
        <v>256779417206</v>
      </c>
      <c r="G115" s="2" t="s">
        <v>28</v>
      </c>
      <c r="H115" s="2" t="s">
        <v>29</v>
      </c>
      <c r="I115" s="2" t="s">
        <v>27</v>
      </c>
      <c r="J115" s="2" t="s">
        <v>64</v>
      </c>
      <c r="K115" s="2" t="s">
        <v>38</v>
      </c>
      <c r="L115" s="4">
        <v>152.28</v>
      </c>
      <c r="M115" s="2" t="s">
        <v>31</v>
      </c>
      <c r="N115" s="4">
        <v>13326.68</v>
      </c>
      <c r="O115" s="2" t="s">
        <v>65</v>
      </c>
      <c r="P115" s="2" t="s">
        <v>32</v>
      </c>
      <c r="Q115" s="2" t="s">
        <v>27</v>
      </c>
      <c r="R115" s="2" t="s">
        <v>58</v>
      </c>
      <c r="S115" s="2" t="s">
        <v>33</v>
      </c>
      <c r="T115" s="2"/>
      <c r="U115" s="2"/>
      <c r="V115" s="2"/>
      <c r="W115" s="2" t="s">
        <v>120</v>
      </c>
      <c r="X115" s="2" t="s">
        <v>27</v>
      </c>
      <c r="Y115" s="2" t="s">
        <v>27</v>
      </c>
      <c r="Z115" s="2" t="s">
        <v>27</v>
      </c>
      <c r="AA115" s="3">
        <v>45904</v>
      </c>
      <c r="AB115" s="3"/>
      <c r="AC115" s="2" t="s">
        <v>27</v>
      </c>
    </row>
    <row r="116" spans="1:29" x14ac:dyDescent="0.35">
      <c r="A116" s="2">
        <v>1800012587</v>
      </c>
      <c r="B116" s="2" t="s">
        <v>63</v>
      </c>
      <c r="C116" s="3">
        <v>45904</v>
      </c>
      <c r="D116" s="3">
        <v>45909</v>
      </c>
      <c r="E116" s="2" t="s">
        <v>58</v>
      </c>
      <c r="F116" s="33">
        <v>256779417245</v>
      </c>
      <c r="G116" s="2" t="s">
        <v>28</v>
      </c>
      <c r="H116" s="2" t="s">
        <v>29</v>
      </c>
      <c r="I116" s="2" t="s">
        <v>27</v>
      </c>
      <c r="J116" s="2" t="s">
        <v>64</v>
      </c>
      <c r="K116" s="2" t="s">
        <v>38</v>
      </c>
      <c r="L116" s="4">
        <v>83.89</v>
      </c>
      <c r="M116" s="2" t="s">
        <v>31</v>
      </c>
      <c r="N116" s="4">
        <v>7341.58</v>
      </c>
      <c r="O116" s="2" t="s">
        <v>65</v>
      </c>
      <c r="P116" s="2" t="s">
        <v>32</v>
      </c>
      <c r="Q116" s="2" t="s">
        <v>27</v>
      </c>
      <c r="R116" s="2" t="s">
        <v>58</v>
      </c>
      <c r="S116" s="2" t="s">
        <v>33</v>
      </c>
      <c r="T116" s="2"/>
      <c r="U116" s="2"/>
      <c r="V116" s="2"/>
      <c r="W116" s="2" t="s">
        <v>121</v>
      </c>
      <c r="X116" s="2" t="s">
        <v>27</v>
      </c>
      <c r="Y116" s="2" t="s">
        <v>27</v>
      </c>
      <c r="Z116" s="2" t="s">
        <v>27</v>
      </c>
      <c r="AA116" s="3">
        <v>45904</v>
      </c>
      <c r="AB116" s="3"/>
      <c r="AC116" s="2" t="s">
        <v>27</v>
      </c>
    </row>
    <row r="117" spans="1:29" x14ac:dyDescent="0.35">
      <c r="A117" s="2">
        <v>1800012647</v>
      </c>
      <c r="B117" s="2" t="s">
        <v>63</v>
      </c>
      <c r="C117" s="3">
        <v>45904</v>
      </c>
      <c r="D117" s="3">
        <v>45909</v>
      </c>
      <c r="E117" s="2" t="s">
        <v>58</v>
      </c>
      <c r="F117" s="33">
        <v>256779417287</v>
      </c>
      <c r="G117" s="2" t="s">
        <v>28</v>
      </c>
      <c r="H117" s="2" t="s">
        <v>29</v>
      </c>
      <c r="I117" s="2" t="s">
        <v>27</v>
      </c>
      <c r="J117" s="2" t="s">
        <v>64</v>
      </c>
      <c r="K117" s="2" t="s">
        <v>38</v>
      </c>
      <c r="L117" s="4">
        <v>410.58</v>
      </c>
      <c r="M117" s="2" t="s">
        <v>31</v>
      </c>
      <c r="N117" s="4">
        <v>35931.629999999997</v>
      </c>
      <c r="O117" s="2" t="s">
        <v>65</v>
      </c>
      <c r="P117" s="2" t="s">
        <v>32</v>
      </c>
      <c r="Q117" s="2" t="s">
        <v>27</v>
      </c>
      <c r="R117" s="2" t="s">
        <v>58</v>
      </c>
      <c r="S117" s="2" t="s">
        <v>33</v>
      </c>
      <c r="T117" s="2"/>
      <c r="U117" s="2"/>
      <c r="V117" s="2"/>
      <c r="W117" s="2" t="s">
        <v>122</v>
      </c>
      <c r="X117" s="2" t="s">
        <v>27</v>
      </c>
      <c r="Y117" s="2" t="s">
        <v>27</v>
      </c>
      <c r="Z117" s="2" t="s">
        <v>27</v>
      </c>
      <c r="AA117" s="3">
        <v>45904</v>
      </c>
      <c r="AB117" s="3"/>
      <c r="AC117" s="2" t="s">
        <v>27</v>
      </c>
    </row>
    <row r="118" spans="1:29" x14ac:dyDescent="0.35">
      <c r="A118" s="2">
        <v>1800012685</v>
      </c>
      <c r="B118" s="2" t="s">
        <v>63</v>
      </c>
      <c r="C118" s="3">
        <v>45904</v>
      </c>
      <c r="D118" s="3">
        <v>45909</v>
      </c>
      <c r="E118" s="2" t="s">
        <v>58</v>
      </c>
      <c r="F118" s="33">
        <v>256779417325</v>
      </c>
      <c r="G118" s="2" t="s">
        <v>28</v>
      </c>
      <c r="H118" s="2" t="s">
        <v>29</v>
      </c>
      <c r="I118" s="2" t="s">
        <v>27</v>
      </c>
      <c r="J118" s="2" t="s">
        <v>64</v>
      </c>
      <c r="K118" s="2" t="s">
        <v>38</v>
      </c>
      <c r="L118" s="4">
        <v>97.84</v>
      </c>
      <c r="M118" s="2" t="s">
        <v>31</v>
      </c>
      <c r="N118" s="4">
        <v>8562.4</v>
      </c>
      <c r="O118" s="2" t="s">
        <v>65</v>
      </c>
      <c r="P118" s="2" t="s">
        <v>32</v>
      </c>
      <c r="Q118" s="2" t="s">
        <v>27</v>
      </c>
      <c r="R118" s="2" t="s">
        <v>123</v>
      </c>
      <c r="S118" s="2" t="s">
        <v>33</v>
      </c>
      <c r="T118" s="2"/>
      <c r="U118" s="2"/>
      <c r="V118" s="2"/>
      <c r="W118" s="2" t="s">
        <v>124</v>
      </c>
      <c r="X118" s="2" t="s">
        <v>27</v>
      </c>
      <c r="Y118" s="2" t="s">
        <v>27</v>
      </c>
      <c r="Z118" s="2" t="s">
        <v>27</v>
      </c>
      <c r="AA118" s="3">
        <v>45904</v>
      </c>
      <c r="AB118" s="3"/>
      <c r="AC118" s="2" t="s">
        <v>27</v>
      </c>
    </row>
    <row r="119" spans="1:29" x14ac:dyDescent="0.35">
      <c r="A119" s="2">
        <v>1600002212</v>
      </c>
      <c r="B119" s="2" t="s">
        <v>76</v>
      </c>
      <c r="C119" s="3">
        <v>45904</v>
      </c>
      <c r="D119" s="3">
        <v>45915</v>
      </c>
      <c r="E119" s="2" t="s">
        <v>58</v>
      </c>
      <c r="F119" s="33">
        <v>256779421767</v>
      </c>
      <c r="G119" s="2" t="s">
        <v>28</v>
      </c>
      <c r="H119" s="2" t="s">
        <v>29</v>
      </c>
      <c r="I119" s="2" t="s">
        <v>27</v>
      </c>
      <c r="J119" s="2" t="s">
        <v>77</v>
      </c>
      <c r="K119" s="2" t="s">
        <v>38</v>
      </c>
      <c r="L119" s="4">
        <v>-60</v>
      </c>
      <c r="M119" s="2" t="s">
        <v>31</v>
      </c>
      <c r="N119" s="4">
        <v>-5250.86</v>
      </c>
      <c r="O119" s="2" t="s">
        <v>65</v>
      </c>
      <c r="P119" s="2" t="s">
        <v>32</v>
      </c>
      <c r="Q119" s="2" t="s">
        <v>27</v>
      </c>
      <c r="R119" s="2" t="s">
        <v>125</v>
      </c>
      <c r="S119" s="2" t="s">
        <v>33</v>
      </c>
      <c r="T119" s="2"/>
      <c r="U119" s="2"/>
      <c r="V119" s="2"/>
      <c r="W119" s="2" t="s">
        <v>126</v>
      </c>
      <c r="X119" s="2" t="s">
        <v>27</v>
      </c>
      <c r="Y119" s="2" t="s">
        <v>27</v>
      </c>
      <c r="Z119" s="2" t="s">
        <v>27</v>
      </c>
      <c r="AA119" s="3">
        <v>45904</v>
      </c>
      <c r="AB119" s="3"/>
      <c r="AC119" s="2" t="s">
        <v>27</v>
      </c>
    </row>
    <row r="120" spans="1:29" x14ac:dyDescent="0.35">
      <c r="A120" s="2">
        <v>1600002213</v>
      </c>
      <c r="B120" s="2" t="s">
        <v>76</v>
      </c>
      <c r="C120" s="3">
        <v>45904</v>
      </c>
      <c r="D120" s="3">
        <v>45915</v>
      </c>
      <c r="E120" s="2" t="s">
        <v>58</v>
      </c>
      <c r="F120" s="33">
        <v>256779421768</v>
      </c>
      <c r="G120" s="2" t="s">
        <v>28</v>
      </c>
      <c r="H120" s="2" t="s">
        <v>29</v>
      </c>
      <c r="I120" s="2" t="s">
        <v>27</v>
      </c>
      <c r="J120" s="2" t="s">
        <v>77</v>
      </c>
      <c r="K120" s="2" t="s">
        <v>38</v>
      </c>
      <c r="L120" s="4">
        <v>-60</v>
      </c>
      <c r="M120" s="2" t="s">
        <v>31</v>
      </c>
      <c r="N120" s="4">
        <v>-5250.86</v>
      </c>
      <c r="O120" s="2" t="s">
        <v>65</v>
      </c>
      <c r="P120" s="2" t="s">
        <v>32</v>
      </c>
      <c r="Q120" s="2" t="s">
        <v>27</v>
      </c>
      <c r="R120" s="2" t="s">
        <v>125</v>
      </c>
      <c r="S120" s="2" t="s">
        <v>33</v>
      </c>
      <c r="T120" s="2"/>
      <c r="U120" s="2"/>
      <c r="V120" s="2"/>
      <c r="W120" s="2" t="s">
        <v>127</v>
      </c>
      <c r="X120" s="2" t="s">
        <v>27</v>
      </c>
      <c r="Y120" s="2" t="s">
        <v>27</v>
      </c>
      <c r="Z120" s="2" t="s">
        <v>27</v>
      </c>
      <c r="AA120" s="3">
        <v>45904</v>
      </c>
      <c r="AB120" s="3"/>
      <c r="AC120" s="2" t="s">
        <v>27</v>
      </c>
    </row>
    <row r="121" spans="1:29" x14ac:dyDescent="0.35">
      <c r="A121" s="2">
        <v>1600002214</v>
      </c>
      <c r="B121" s="2" t="s">
        <v>76</v>
      </c>
      <c r="C121" s="3">
        <v>45904</v>
      </c>
      <c r="D121" s="3">
        <v>45915</v>
      </c>
      <c r="E121" s="2" t="s">
        <v>58</v>
      </c>
      <c r="F121" s="33">
        <v>256779421769</v>
      </c>
      <c r="G121" s="2" t="s">
        <v>28</v>
      </c>
      <c r="H121" s="2" t="s">
        <v>29</v>
      </c>
      <c r="I121" s="2" t="s">
        <v>27</v>
      </c>
      <c r="J121" s="2" t="s">
        <v>77</v>
      </c>
      <c r="K121" s="2" t="s">
        <v>38</v>
      </c>
      <c r="L121" s="4">
        <v>-62</v>
      </c>
      <c r="M121" s="2" t="s">
        <v>31</v>
      </c>
      <c r="N121" s="4">
        <v>-5425.89</v>
      </c>
      <c r="O121" s="2" t="s">
        <v>65</v>
      </c>
      <c r="P121" s="2" t="s">
        <v>32</v>
      </c>
      <c r="Q121" s="2" t="s">
        <v>27</v>
      </c>
      <c r="R121" s="2" t="s">
        <v>125</v>
      </c>
      <c r="S121" s="2" t="s">
        <v>33</v>
      </c>
      <c r="T121" s="2"/>
      <c r="U121" s="2"/>
      <c r="V121" s="2"/>
      <c r="W121" s="2" t="s">
        <v>128</v>
      </c>
      <c r="X121" s="2" t="s">
        <v>27</v>
      </c>
      <c r="Y121" s="2" t="s">
        <v>27</v>
      </c>
      <c r="Z121" s="2" t="s">
        <v>27</v>
      </c>
      <c r="AA121" s="3">
        <v>45904</v>
      </c>
      <c r="AB121" s="3"/>
      <c r="AC121" s="2" t="s">
        <v>27</v>
      </c>
    </row>
    <row r="122" spans="1:29" x14ac:dyDescent="0.35">
      <c r="A122" s="2">
        <v>1600002215</v>
      </c>
      <c r="B122" s="2" t="s">
        <v>76</v>
      </c>
      <c r="C122" s="3">
        <v>45904</v>
      </c>
      <c r="D122" s="3">
        <v>45915</v>
      </c>
      <c r="E122" s="2" t="s">
        <v>58</v>
      </c>
      <c r="F122" s="33">
        <v>256779421770</v>
      </c>
      <c r="G122" s="2" t="s">
        <v>28</v>
      </c>
      <c r="H122" s="2" t="s">
        <v>29</v>
      </c>
      <c r="I122" s="2" t="s">
        <v>27</v>
      </c>
      <c r="J122" s="2" t="s">
        <v>77</v>
      </c>
      <c r="K122" s="2" t="s">
        <v>38</v>
      </c>
      <c r="L122" s="4">
        <v>-62</v>
      </c>
      <c r="M122" s="2" t="s">
        <v>31</v>
      </c>
      <c r="N122" s="4">
        <v>-5425.89</v>
      </c>
      <c r="O122" s="2" t="s">
        <v>65</v>
      </c>
      <c r="P122" s="2" t="s">
        <v>32</v>
      </c>
      <c r="Q122" s="2" t="s">
        <v>27</v>
      </c>
      <c r="R122" s="2" t="s">
        <v>125</v>
      </c>
      <c r="S122" s="2" t="s">
        <v>33</v>
      </c>
      <c r="T122" s="2"/>
      <c r="U122" s="2"/>
      <c r="V122" s="2"/>
      <c r="W122" s="2" t="s">
        <v>129</v>
      </c>
      <c r="X122" s="2" t="s">
        <v>27</v>
      </c>
      <c r="Y122" s="2" t="s">
        <v>27</v>
      </c>
      <c r="Z122" s="2" t="s">
        <v>27</v>
      </c>
      <c r="AA122" s="3">
        <v>45904</v>
      </c>
      <c r="AB122" s="3"/>
      <c r="AC122" s="2" t="s">
        <v>27</v>
      </c>
    </row>
    <row r="123" spans="1:29" x14ac:dyDescent="0.35">
      <c r="A123" s="2">
        <v>1800010008</v>
      </c>
      <c r="B123" s="2" t="s">
        <v>63</v>
      </c>
      <c r="C123" s="3">
        <v>45842</v>
      </c>
      <c r="D123" s="3">
        <v>45845</v>
      </c>
      <c r="E123" s="2" t="s">
        <v>58</v>
      </c>
      <c r="F123" s="33">
        <v>256779414772</v>
      </c>
      <c r="G123" s="2" t="s">
        <v>28</v>
      </c>
      <c r="H123" s="2" t="s">
        <v>29</v>
      </c>
      <c r="I123" s="2" t="s">
        <v>27</v>
      </c>
      <c r="J123" s="2" t="s">
        <v>64</v>
      </c>
      <c r="K123" s="2" t="s">
        <v>38</v>
      </c>
      <c r="L123" s="4">
        <v>220</v>
      </c>
      <c r="M123" s="2" t="s">
        <v>31</v>
      </c>
      <c r="N123" s="4">
        <v>18920.150000000001</v>
      </c>
      <c r="O123" s="2" t="s">
        <v>65</v>
      </c>
      <c r="P123" s="2" t="s">
        <v>32</v>
      </c>
      <c r="Q123" s="2" t="s">
        <v>27</v>
      </c>
      <c r="R123" s="2" t="s">
        <v>58</v>
      </c>
      <c r="S123" s="2" t="s">
        <v>33</v>
      </c>
      <c r="T123" s="2"/>
      <c r="U123" s="2"/>
      <c r="V123" s="2"/>
      <c r="W123" s="2" t="s">
        <v>130</v>
      </c>
      <c r="X123" s="2" t="s">
        <v>27</v>
      </c>
      <c r="Y123" s="2" t="s">
        <v>27</v>
      </c>
      <c r="Z123" s="2" t="s">
        <v>27</v>
      </c>
      <c r="AA123" s="3">
        <v>45842</v>
      </c>
      <c r="AB123" s="3"/>
      <c r="AC123" s="2" t="s">
        <v>27</v>
      </c>
    </row>
    <row r="124" spans="1:29" x14ac:dyDescent="0.35">
      <c r="A124" s="2">
        <v>1800010066</v>
      </c>
      <c r="B124" s="2" t="s">
        <v>63</v>
      </c>
      <c r="C124" s="3">
        <v>45842</v>
      </c>
      <c r="D124" s="3">
        <v>45845</v>
      </c>
      <c r="E124" s="2" t="s">
        <v>58</v>
      </c>
      <c r="F124" s="33">
        <v>256779414830</v>
      </c>
      <c r="G124" s="2" t="s">
        <v>28</v>
      </c>
      <c r="H124" s="2" t="s">
        <v>29</v>
      </c>
      <c r="I124" s="2" t="s">
        <v>27</v>
      </c>
      <c r="J124" s="2" t="s">
        <v>64</v>
      </c>
      <c r="K124" s="2" t="s">
        <v>38</v>
      </c>
      <c r="L124" s="4">
        <v>142.32</v>
      </c>
      <c r="M124" s="2" t="s">
        <v>31</v>
      </c>
      <c r="N124" s="4">
        <v>12239.62</v>
      </c>
      <c r="O124" s="2" t="s">
        <v>65</v>
      </c>
      <c r="P124" s="2" t="s">
        <v>32</v>
      </c>
      <c r="Q124" s="2" t="s">
        <v>27</v>
      </c>
      <c r="R124" s="2" t="s">
        <v>58</v>
      </c>
      <c r="S124" s="2" t="s">
        <v>33</v>
      </c>
      <c r="T124" s="2"/>
      <c r="U124" s="2"/>
      <c r="V124" s="2"/>
      <c r="W124" s="2" t="s">
        <v>131</v>
      </c>
      <c r="X124" s="2" t="s">
        <v>27</v>
      </c>
      <c r="Y124" s="2" t="s">
        <v>27</v>
      </c>
      <c r="Z124" s="2" t="s">
        <v>27</v>
      </c>
      <c r="AA124" s="3">
        <v>45842</v>
      </c>
      <c r="AB124" s="3"/>
      <c r="AC124" s="2" t="s">
        <v>27</v>
      </c>
    </row>
    <row r="125" spans="1:29" x14ac:dyDescent="0.35">
      <c r="A125" s="2">
        <v>1800010119</v>
      </c>
      <c r="B125" s="2" t="s">
        <v>63</v>
      </c>
      <c r="C125" s="3">
        <v>45842</v>
      </c>
      <c r="D125" s="3">
        <v>45847</v>
      </c>
      <c r="E125" s="2" t="s">
        <v>58</v>
      </c>
      <c r="F125" s="33">
        <v>256779414879</v>
      </c>
      <c r="G125" s="2" t="s">
        <v>28</v>
      </c>
      <c r="H125" s="2" t="s">
        <v>29</v>
      </c>
      <c r="I125" s="2" t="s">
        <v>27</v>
      </c>
      <c r="J125" s="2" t="s">
        <v>64</v>
      </c>
      <c r="K125" s="2" t="s">
        <v>38</v>
      </c>
      <c r="L125" s="4">
        <v>1663.92</v>
      </c>
      <c r="M125" s="2" t="s">
        <v>31</v>
      </c>
      <c r="N125" s="4">
        <v>143098.23000000001</v>
      </c>
      <c r="O125" s="2" t="s">
        <v>65</v>
      </c>
      <c r="P125" s="2" t="s">
        <v>32</v>
      </c>
      <c r="Q125" s="2" t="s">
        <v>27</v>
      </c>
      <c r="R125" s="2" t="s">
        <v>58</v>
      </c>
      <c r="S125" s="2" t="s">
        <v>33</v>
      </c>
      <c r="T125" s="2"/>
      <c r="U125" s="2"/>
      <c r="V125" s="2"/>
      <c r="W125" s="2" t="s">
        <v>132</v>
      </c>
      <c r="X125" s="2" t="s">
        <v>27</v>
      </c>
      <c r="Y125" s="2" t="s">
        <v>27</v>
      </c>
      <c r="Z125" s="2" t="s">
        <v>27</v>
      </c>
      <c r="AA125" s="3">
        <v>45842</v>
      </c>
      <c r="AB125" s="3"/>
      <c r="AC125" s="2" t="s">
        <v>27</v>
      </c>
    </row>
    <row r="126" spans="1:29" x14ac:dyDescent="0.35">
      <c r="A126" s="2">
        <v>1800010131</v>
      </c>
      <c r="B126" s="2" t="s">
        <v>63</v>
      </c>
      <c r="C126" s="3">
        <v>45842</v>
      </c>
      <c r="D126" s="3">
        <v>45847</v>
      </c>
      <c r="E126" s="2" t="s">
        <v>58</v>
      </c>
      <c r="F126" s="33">
        <v>256779414891</v>
      </c>
      <c r="G126" s="2" t="s">
        <v>28</v>
      </c>
      <c r="H126" s="2" t="s">
        <v>29</v>
      </c>
      <c r="I126" s="2" t="s">
        <v>27</v>
      </c>
      <c r="J126" s="2" t="s">
        <v>64</v>
      </c>
      <c r="K126" s="2" t="s">
        <v>38</v>
      </c>
      <c r="L126" s="4">
        <v>413.33</v>
      </c>
      <c r="M126" s="2" t="s">
        <v>31</v>
      </c>
      <c r="N126" s="4">
        <v>35546.660000000003</v>
      </c>
      <c r="O126" s="2" t="s">
        <v>65</v>
      </c>
      <c r="P126" s="2" t="s">
        <v>32</v>
      </c>
      <c r="Q126" s="2" t="s">
        <v>27</v>
      </c>
      <c r="R126" s="2" t="s">
        <v>58</v>
      </c>
      <c r="S126" s="2" t="s">
        <v>33</v>
      </c>
      <c r="T126" s="2"/>
      <c r="U126" s="2"/>
      <c r="V126" s="2"/>
      <c r="W126" s="2" t="s">
        <v>133</v>
      </c>
      <c r="X126" s="2" t="s">
        <v>27</v>
      </c>
      <c r="Y126" s="2" t="s">
        <v>27</v>
      </c>
      <c r="Z126" s="2" t="s">
        <v>27</v>
      </c>
      <c r="AA126" s="3">
        <v>45842</v>
      </c>
      <c r="AB126" s="3"/>
      <c r="AC126" s="2" t="s">
        <v>27</v>
      </c>
    </row>
    <row r="127" spans="1:29" x14ac:dyDescent="0.35">
      <c r="A127" s="2">
        <v>1800010144</v>
      </c>
      <c r="B127" s="2" t="s">
        <v>63</v>
      </c>
      <c r="C127" s="3">
        <v>45842</v>
      </c>
      <c r="D127" s="3">
        <v>45847</v>
      </c>
      <c r="E127" s="2" t="s">
        <v>58</v>
      </c>
      <c r="F127" s="33">
        <v>256779414904</v>
      </c>
      <c r="G127" s="2" t="s">
        <v>28</v>
      </c>
      <c r="H127" s="2" t="s">
        <v>29</v>
      </c>
      <c r="I127" s="2" t="s">
        <v>27</v>
      </c>
      <c r="J127" s="2" t="s">
        <v>64</v>
      </c>
      <c r="K127" s="2" t="s">
        <v>38</v>
      </c>
      <c r="L127" s="4">
        <v>68.97</v>
      </c>
      <c r="M127" s="2" t="s">
        <v>31</v>
      </c>
      <c r="N127" s="4">
        <v>5931.47</v>
      </c>
      <c r="O127" s="2" t="s">
        <v>65</v>
      </c>
      <c r="P127" s="2" t="s">
        <v>32</v>
      </c>
      <c r="Q127" s="2" t="s">
        <v>27</v>
      </c>
      <c r="R127" s="2" t="s">
        <v>58</v>
      </c>
      <c r="S127" s="2" t="s">
        <v>33</v>
      </c>
      <c r="T127" s="2"/>
      <c r="U127" s="2"/>
      <c r="V127" s="2"/>
      <c r="W127" s="2" t="s">
        <v>134</v>
      </c>
      <c r="X127" s="2" t="s">
        <v>27</v>
      </c>
      <c r="Y127" s="2" t="s">
        <v>27</v>
      </c>
      <c r="Z127" s="2" t="s">
        <v>27</v>
      </c>
      <c r="AA127" s="3">
        <v>45842</v>
      </c>
      <c r="AB127" s="3"/>
      <c r="AC127" s="2" t="s">
        <v>27</v>
      </c>
    </row>
    <row r="128" spans="1:29" x14ac:dyDescent="0.35">
      <c r="A128" s="2">
        <v>1800010196</v>
      </c>
      <c r="B128" s="2" t="s">
        <v>63</v>
      </c>
      <c r="C128" s="3">
        <v>45842</v>
      </c>
      <c r="D128" s="3">
        <v>45847</v>
      </c>
      <c r="E128" s="2" t="s">
        <v>58</v>
      </c>
      <c r="F128" s="33">
        <v>256779414956</v>
      </c>
      <c r="G128" s="2" t="s">
        <v>28</v>
      </c>
      <c r="H128" s="2" t="s">
        <v>29</v>
      </c>
      <c r="I128" s="2" t="s">
        <v>27</v>
      </c>
      <c r="J128" s="2" t="s">
        <v>64</v>
      </c>
      <c r="K128" s="2" t="s">
        <v>38</v>
      </c>
      <c r="L128" s="4">
        <v>50</v>
      </c>
      <c r="M128" s="2" t="s">
        <v>31</v>
      </c>
      <c r="N128" s="4">
        <v>4300.03</v>
      </c>
      <c r="O128" s="2" t="s">
        <v>65</v>
      </c>
      <c r="P128" s="2" t="s">
        <v>32</v>
      </c>
      <c r="Q128" s="2" t="s">
        <v>27</v>
      </c>
      <c r="R128" s="2" t="s">
        <v>58</v>
      </c>
      <c r="S128" s="2" t="s">
        <v>33</v>
      </c>
      <c r="T128" s="2"/>
      <c r="U128" s="2"/>
      <c r="V128" s="2"/>
      <c r="W128" s="2" t="s">
        <v>135</v>
      </c>
      <c r="X128" s="2" t="s">
        <v>27</v>
      </c>
      <c r="Y128" s="2" t="s">
        <v>27</v>
      </c>
      <c r="Z128" s="2" t="s">
        <v>27</v>
      </c>
      <c r="AA128" s="3">
        <v>45842</v>
      </c>
      <c r="AB128" s="3"/>
      <c r="AC128" s="2" t="s">
        <v>27</v>
      </c>
    </row>
    <row r="129" spans="1:29" x14ac:dyDescent="0.35">
      <c r="A129" s="2">
        <v>1800010197</v>
      </c>
      <c r="B129" s="2" t="s">
        <v>63</v>
      </c>
      <c r="C129" s="3">
        <v>45842</v>
      </c>
      <c r="D129" s="3">
        <v>45847</v>
      </c>
      <c r="E129" s="2" t="s">
        <v>58</v>
      </c>
      <c r="F129" s="33">
        <v>256779414957</v>
      </c>
      <c r="G129" s="2" t="s">
        <v>28</v>
      </c>
      <c r="H129" s="2" t="s">
        <v>29</v>
      </c>
      <c r="I129" s="2" t="s">
        <v>27</v>
      </c>
      <c r="J129" s="2" t="s">
        <v>64</v>
      </c>
      <c r="K129" s="2" t="s">
        <v>38</v>
      </c>
      <c r="L129" s="4">
        <v>50</v>
      </c>
      <c r="M129" s="2" t="s">
        <v>31</v>
      </c>
      <c r="N129" s="4">
        <v>4300.03</v>
      </c>
      <c r="O129" s="2" t="s">
        <v>65</v>
      </c>
      <c r="P129" s="2" t="s">
        <v>32</v>
      </c>
      <c r="Q129" s="2" t="s">
        <v>27</v>
      </c>
      <c r="R129" s="2" t="s">
        <v>58</v>
      </c>
      <c r="S129" s="2" t="s">
        <v>33</v>
      </c>
      <c r="T129" s="2"/>
      <c r="U129" s="2"/>
      <c r="V129" s="2"/>
      <c r="W129" s="2" t="s">
        <v>135</v>
      </c>
      <c r="X129" s="2" t="s">
        <v>27</v>
      </c>
      <c r="Y129" s="2" t="s">
        <v>27</v>
      </c>
      <c r="Z129" s="2" t="s">
        <v>27</v>
      </c>
      <c r="AA129" s="3">
        <v>45842</v>
      </c>
      <c r="AB129" s="3"/>
      <c r="AC129" s="2" t="s">
        <v>27</v>
      </c>
    </row>
    <row r="130" spans="1:29" x14ac:dyDescent="0.35">
      <c r="A130" s="2">
        <v>1800010257</v>
      </c>
      <c r="B130" s="2" t="s">
        <v>63</v>
      </c>
      <c r="C130" s="3">
        <v>45842</v>
      </c>
      <c r="D130" s="3">
        <v>45847</v>
      </c>
      <c r="E130" s="2" t="s">
        <v>58</v>
      </c>
      <c r="F130" s="33">
        <v>256779415017</v>
      </c>
      <c r="G130" s="2" t="s">
        <v>28</v>
      </c>
      <c r="H130" s="2" t="s">
        <v>29</v>
      </c>
      <c r="I130" s="2" t="s">
        <v>27</v>
      </c>
      <c r="J130" s="2" t="s">
        <v>64</v>
      </c>
      <c r="K130" s="2" t="s">
        <v>38</v>
      </c>
      <c r="L130" s="4">
        <v>349.26</v>
      </c>
      <c r="M130" s="2" t="s">
        <v>31</v>
      </c>
      <c r="N130" s="4">
        <v>30036.59</v>
      </c>
      <c r="O130" s="2" t="s">
        <v>65</v>
      </c>
      <c r="P130" s="2" t="s">
        <v>32</v>
      </c>
      <c r="Q130" s="2" t="s">
        <v>27</v>
      </c>
      <c r="R130" s="2" t="s">
        <v>58</v>
      </c>
      <c r="S130" s="2" t="s">
        <v>33</v>
      </c>
      <c r="T130" s="2"/>
      <c r="U130" s="2"/>
      <c r="V130" s="2"/>
      <c r="W130" s="2" t="s">
        <v>136</v>
      </c>
      <c r="X130" s="2" t="s">
        <v>27</v>
      </c>
      <c r="Y130" s="2" t="s">
        <v>27</v>
      </c>
      <c r="Z130" s="2" t="s">
        <v>27</v>
      </c>
      <c r="AA130" s="3">
        <v>45842</v>
      </c>
      <c r="AB130" s="3"/>
      <c r="AC130" s="2" t="s">
        <v>27</v>
      </c>
    </row>
    <row r="131" spans="1:29" x14ac:dyDescent="0.35">
      <c r="A131" s="2">
        <v>1800010436</v>
      </c>
      <c r="B131" s="2" t="s">
        <v>63</v>
      </c>
      <c r="C131" s="3">
        <v>45842</v>
      </c>
      <c r="D131" s="3">
        <v>45847</v>
      </c>
      <c r="E131" s="2" t="s">
        <v>58</v>
      </c>
      <c r="F131" s="33">
        <v>256779415196</v>
      </c>
      <c r="G131" s="2" t="s">
        <v>28</v>
      </c>
      <c r="H131" s="2" t="s">
        <v>29</v>
      </c>
      <c r="I131" s="2" t="s">
        <v>27</v>
      </c>
      <c r="J131" s="2" t="s">
        <v>64</v>
      </c>
      <c r="K131" s="2" t="s">
        <v>38</v>
      </c>
      <c r="L131" s="4">
        <v>17.48</v>
      </c>
      <c r="M131" s="2" t="s">
        <v>31</v>
      </c>
      <c r="N131" s="4">
        <v>1503.29</v>
      </c>
      <c r="O131" s="2" t="s">
        <v>65</v>
      </c>
      <c r="P131" s="2" t="s">
        <v>32</v>
      </c>
      <c r="Q131" s="2" t="s">
        <v>27</v>
      </c>
      <c r="R131" s="2" t="s">
        <v>58</v>
      </c>
      <c r="S131" s="2" t="s">
        <v>33</v>
      </c>
      <c r="T131" s="2"/>
      <c r="U131" s="2"/>
      <c r="V131" s="2"/>
      <c r="W131" s="2" t="s">
        <v>137</v>
      </c>
      <c r="X131" s="2" t="s">
        <v>27</v>
      </c>
      <c r="Y131" s="2" t="s">
        <v>27</v>
      </c>
      <c r="Z131" s="2" t="s">
        <v>27</v>
      </c>
      <c r="AA131" s="3">
        <v>45842</v>
      </c>
      <c r="AB131" s="3"/>
      <c r="AC131" s="2" t="s">
        <v>27</v>
      </c>
    </row>
    <row r="132" spans="1:29" x14ac:dyDescent="0.35">
      <c r="A132" s="2">
        <v>1800010504</v>
      </c>
      <c r="B132" s="2" t="s">
        <v>63</v>
      </c>
      <c r="C132" s="3">
        <v>45842</v>
      </c>
      <c r="D132" s="3">
        <v>45847</v>
      </c>
      <c r="E132" s="2" t="s">
        <v>58</v>
      </c>
      <c r="F132" s="33">
        <v>256779415264</v>
      </c>
      <c r="G132" s="2" t="s">
        <v>28</v>
      </c>
      <c r="H132" s="2" t="s">
        <v>29</v>
      </c>
      <c r="I132" s="2" t="s">
        <v>27</v>
      </c>
      <c r="J132" s="2" t="s">
        <v>64</v>
      </c>
      <c r="K132" s="2" t="s">
        <v>38</v>
      </c>
      <c r="L132" s="4">
        <v>926.11</v>
      </c>
      <c r="M132" s="2" t="s">
        <v>31</v>
      </c>
      <c r="N132" s="4">
        <v>79646.080000000002</v>
      </c>
      <c r="O132" s="2" t="s">
        <v>65</v>
      </c>
      <c r="P132" s="2" t="s">
        <v>32</v>
      </c>
      <c r="Q132" s="2" t="s">
        <v>27</v>
      </c>
      <c r="R132" s="2" t="s">
        <v>27</v>
      </c>
      <c r="S132" s="2" t="s">
        <v>33</v>
      </c>
      <c r="T132" s="2"/>
      <c r="U132" s="2"/>
      <c r="V132" s="2"/>
      <c r="W132" s="2" t="s">
        <v>138</v>
      </c>
      <c r="X132" s="2" t="s">
        <v>27</v>
      </c>
      <c r="Y132" s="2" t="s">
        <v>27</v>
      </c>
      <c r="Z132" s="2" t="s">
        <v>27</v>
      </c>
      <c r="AA132" s="3">
        <v>45842</v>
      </c>
      <c r="AB132" s="3"/>
      <c r="AC132" s="2" t="s">
        <v>27</v>
      </c>
    </row>
    <row r="133" spans="1:29" x14ac:dyDescent="0.35">
      <c r="A133" s="2">
        <v>1600001539</v>
      </c>
      <c r="B133" s="2" t="s">
        <v>76</v>
      </c>
      <c r="C133" s="3">
        <v>45842</v>
      </c>
      <c r="D133" s="3">
        <v>45846</v>
      </c>
      <c r="E133" s="2" t="s">
        <v>58</v>
      </c>
      <c r="F133" s="33">
        <v>256779421172</v>
      </c>
      <c r="G133" s="2" t="s">
        <v>28</v>
      </c>
      <c r="H133" s="2" t="s">
        <v>29</v>
      </c>
      <c r="I133" s="2" t="s">
        <v>27</v>
      </c>
      <c r="J133" s="2" t="s">
        <v>77</v>
      </c>
      <c r="K133" s="2" t="s">
        <v>38</v>
      </c>
      <c r="L133" s="4">
        <v>-1700</v>
      </c>
      <c r="M133" s="2" t="s">
        <v>31</v>
      </c>
      <c r="N133" s="4">
        <v>-146201.14000000001</v>
      </c>
      <c r="O133" s="2" t="s">
        <v>65</v>
      </c>
      <c r="P133" s="2" t="s">
        <v>32</v>
      </c>
      <c r="Q133" s="2" t="s">
        <v>27</v>
      </c>
      <c r="R133" s="2" t="s">
        <v>58</v>
      </c>
      <c r="S133" s="2" t="s">
        <v>33</v>
      </c>
      <c r="T133" s="2"/>
      <c r="U133" s="2"/>
      <c r="V133" s="2"/>
      <c r="W133" s="2" t="s">
        <v>139</v>
      </c>
      <c r="X133" s="2" t="s">
        <v>27</v>
      </c>
      <c r="Y133" s="2" t="s">
        <v>27</v>
      </c>
      <c r="Z133" s="2" t="s">
        <v>27</v>
      </c>
      <c r="AA133" s="3">
        <v>45842</v>
      </c>
      <c r="AB133" s="3">
        <v>45902</v>
      </c>
      <c r="AC133" s="2" t="s">
        <v>34</v>
      </c>
    </row>
    <row r="134" spans="1:29" x14ac:dyDescent="0.35">
      <c r="A134" s="2">
        <v>1600001540</v>
      </c>
      <c r="B134" s="2" t="s">
        <v>76</v>
      </c>
      <c r="C134" s="3">
        <v>45842</v>
      </c>
      <c r="D134" s="3">
        <v>45846</v>
      </c>
      <c r="E134" s="2" t="s">
        <v>58</v>
      </c>
      <c r="F134" s="33">
        <v>256779421173</v>
      </c>
      <c r="G134" s="2" t="s">
        <v>28</v>
      </c>
      <c r="H134" s="2" t="s">
        <v>29</v>
      </c>
      <c r="I134" s="2" t="s">
        <v>27</v>
      </c>
      <c r="J134" s="2" t="s">
        <v>77</v>
      </c>
      <c r="K134" s="2" t="s">
        <v>38</v>
      </c>
      <c r="L134" s="4">
        <v>-1750</v>
      </c>
      <c r="M134" s="2" t="s">
        <v>31</v>
      </c>
      <c r="N134" s="4">
        <v>-150501.17000000001</v>
      </c>
      <c r="O134" s="2" t="s">
        <v>65</v>
      </c>
      <c r="P134" s="2" t="s">
        <v>32</v>
      </c>
      <c r="Q134" s="2" t="s">
        <v>27</v>
      </c>
      <c r="R134" s="2" t="s">
        <v>58</v>
      </c>
      <c r="S134" s="2" t="s">
        <v>33</v>
      </c>
      <c r="T134" s="2"/>
      <c r="U134" s="2"/>
      <c r="V134" s="2"/>
      <c r="W134" s="2" t="s">
        <v>140</v>
      </c>
      <c r="X134" s="2" t="s">
        <v>27</v>
      </c>
      <c r="Y134" s="2" t="s">
        <v>27</v>
      </c>
      <c r="Z134" s="2" t="s">
        <v>27</v>
      </c>
      <c r="AA134" s="3">
        <v>45842</v>
      </c>
      <c r="AB134" s="3">
        <v>45902</v>
      </c>
      <c r="AC134" s="2" t="s">
        <v>34</v>
      </c>
    </row>
    <row r="135" spans="1:29" x14ac:dyDescent="0.35">
      <c r="A135" s="2">
        <v>1600001541</v>
      </c>
      <c r="B135" s="2" t="s">
        <v>76</v>
      </c>
      <c r="C135" s="3">
        <v>45842</v>
      </c>
      <c r="D135" s="3">
        <v>45846</v>
      </c>
      <c r="E135" s="2" t="s">
        <v>58</v>
      </c>
      <c r="F135" s="33">
        <v>256779421174</v>
      </c>
      <c r="G135" s="2" t="s">
        <v>28</v>
      </c>
      <c r="H135" s="2" t="s">
        <v>29</v>
      </c>
      <c r="I135" s="2" t="s">
        <v>27</v>
      </c>
      <c r="J135" s="2" t="s">
        <v>77</v>
      </c>
      <c r="K135" s="2" t="s">
        <v>38</v>
      </c>
      <c r="L135" s="4">
        <v>-1700</v>
      </c>
      <c r="M135" s="2" t="s">
        <v>31</v>
      </c>
      <c r="N135" s="4">
        <v>-146201.14000000001</v>
      </c>
      <c r="O135" s="2" t="s">
        <v>65</v>
      </c>
      <c r="P135" s="2" t="s">
        <v>32</v>
      </c>
      <c r="Q135" s="2" t="s">
        <v>27</v>
      </c>
      <c r="R135" s="2" t="s">
        <v>58</v>
      </c>
      <c r="S135" s="2" t="s">
        <v>33</v>
      </c>
      <c r="T135" s="2"/>
      <c r="U135" s="2"/>
      <c r="V135" s="2"/>
      <c r="W135" s="2" t="s">
        <v>141</v>
      </c>
      <c r="X135" s="2" t="s">
        <v>27</v>
      </c>
      <c r="Y135" s="2" t="s">
        <v>27</v>
      </c>
      <c r="Z135" s="2" t="s">
        <v>27</v>
      </c>
      <c r="AA135" s="3">
        <v>45842</v>
      </c>
      <c r="AB135" s="3">
        <v>45902</v>
      </c>
      <c r="AC135" s="2" t="s">
        <v>34</v>
      </c>
    </row>
    <row r="136" spans="1:29" x14ac:dyDescent="0.35">
      <c r="A136" s="2">
        <v>1600001542</v>
      </c>
      <c r="B136" s="2" t="s">
        <v>76</v>
      </c>
      <c r="C136" s="3">
        <v>45842</v>
      </c>
      <c r="D136" s="3">
        <v>45846</v>
      </c>
      <c r="E136" s="2" t="s">
        <v>58</v>
      </c>
      <c r="F136" s="33">
        <v>256779421175</v>
      </c>
      <c r="G136" s="2" t="s">
        <v>28</v>
      </c>
      <c r="H136" s="2" t="s">
        <v>29</v>
      </c>
      <c r="I136" s="2" t="s">
        <v>27</v>
      </c>
      <c r="J136" s="2" t="s">
        <v>77</v>
      </c>
      <c r="K136" s="2" t="s">
        <v>38</v>
      </c>
      <c r="L136" s="4">
        <v>-1750</v>
      </c>
      <c r="M136" s="2" t="s">
        <v>31</v>
      </c>
      <c r="N136" s="4">
        <v>-150501.17000000001</v>
      </c>
      <c r="O136" s="2" t="s">
        <v>65</v>
      </c>
      <c r="P136" s="2" t="s">
        <v>32</v>
      </c>
      <c r="Q136" s="2" t="s">
        <v>27</v>
      </c>
      <c r="R136" s="2" t="s">
        <v>58</v>
      </c>
      <c r="S136" s="2" t="s">
        <v>33</v>
      </c>
      <c r="T136" s="2"/>
      <c r="U136" s="2"/>
      <c r="V136" s="2"/>
      <c r="W136" s="2" t="s">
        <v>142</v>
      </c>
      <c r="X136" s="2" t="s">
        <v>27</v>
      </c>
      <c r="Y136" s="2" t="s">
        <v>27</v>
      </c>
      <c r="Z136" s="2" t="s">
        <v>27</v>
      </c>
      <c r="AA136" s="3">
        <v>45842</v>
      </c>
      <c r="AB136" s="3">
        <v>45902</v>
      </c>
      <c r="AC136" s="2" t="s">
        <v>34</v>
      </c>
    </row>
    <row r="137" spans="1:29" x14ac:dyDescent="0.35">
      <c r="A137" s="2">
        <v>1800014283</v>
      </c>
      <c r="B137" s="2" t="s">
        <v>63</v>
      </c>
      <c r="C137" s="3">
        <v>45966</v>
      </c>
      <c r="D137" s="3">
        <v>45967</v>
      </c>
      <c r="E137" s="2" t="s">
        <v>58</v>
      </c>
      <c r="F137" s="33">
        <v>256779418820</v>
      </c>
      <c r="G137" s="2" t="s">
        <v>28</v>
      </c>
      <c r="H137" s="2" t="s">
        <v>29</v>
      </c>
      <c r="I137" s="2" t="s">
        <v>27</v>
      </c>
      <c r="J137" s="2" t="s">
        <v>64</v>
      </c>
      <c r="K137" s="2" t="s">
        <v>38</v>
      </c>
      <c r="L137" s="4">
        <v>351.13</v>
      </c>
      <c r="M137" s="2" t="s">
        <v>31</v>
      </c>
      <c r="N137" s="4">
        <v>30900.63</v>
      </c>
      <c r="O137" s="2" t="s">
        <v>65</v>
      </c>
      <c r="P137" s="2" t="s">
        <v>32</v>
      </c>
      <c r="Q137" s="2" t="s">
        <v>27</v>
      </c>
      <c r="R137" s="2" t="s">
        <v>143</v>
      </c>
      <c r="S137" s="2" t="s">
        <v>33</v>
      </c>
      <c r="T137" s="2"/>
      <c r="U137" s="2"/>
      <c r="V137" s="2"/>
      <c r="W137" s="2" t="s">
        <v>144</v>
      </c>
      <c r="X137" s="2" t="s">
        <v>27</v>
      </c>
      <c r="Y137" s="2" t="s">
        <v>27</v>
      </c>
      <c r="Z137" s="2" t="s">
        <v>27</v>
      </c>
      <c r="AA137" s="3">
        <v>45966</v>
      </c>
      <c r="AB137" s="3"/>
      <c r="AC137" s="2" t="s">
        <v>27</v>
      </c>
    </row>
    <row r="138" spans="1:29" x14ac:dyDescent="0.35">
      <c r="A138" s="2">
        <v>1800014544</v>
      </c>
      <c r="B138" s="2" t="s">
        <v>63</v>
      </c>
      <c r="C138" s="3">
        <v>45966</v>
      </c>
      <c r="D138" s="3">
        <v>45967</v>
      </c>
      <c r="E138" s="2" t="s">
        <v>58</v>
      </c>
      <c r="F138" s="33">
        <v>256779418876</v>
      </c>
      <c r="G138" s="2" t="s">
        <v>28</v>
      </c>
      <c r="H138" s="2" t="s">
        <v>29</v>
      </c>
      <c r="I138" s="2" t="s">
        <v>27</v>
      </c>
      <c r="J138" s="2" t="s">
        <v>64</v>
      </c>
      <c r="K138" s="2" t="s">
        <v>38</v>
      </c>
      <c r="L138" s="4">
        <v>745.97</v>
      </c>
      <c r="M138" s="2" t="s">
        <v>31</v>
      </c>
      <c r="N138" s="4">
        <v>65647.89</v>
      </c>
      <c r="O138" s="2" t="s">
        <v>65</v>
      </c>
      <c r="P138" s="2" t="s">
        <v>32</v>
      </c>
      <c r="Q138" s="2" t="s">
        <v>27</v>
      </c>
      <c r="R138" s="2" t="s">
        <v>145</v>
      </c>
      <c r="S138" s="2" t="s">
        <v>33</v>
      </c>
      <c r="T138" s="2"/>
      <c r="U138" s="2"/>
      <c r="V138" s="2"/>
      <c r="W138" s="2" t="s">
        <v>146</v>
      </c>
      <c r="X138" s="2" t="s">
        <v>27</v>
      </c>
      <c r="Y138" s="2" t="s">
        <v>27</v>
      </c>
      <c r="Z138" s="2" t="s">
        <v>27</v>
      </c>
      <c r="AA138" s="3">
        <v>45966</v>
      </c>
      <c r="AB138" s="3"/>
      <c r="AC138" s="2" t="s">
        <v>27</v>
      </c>
    </row>
    <row r="139" spans="1:29" x14ac:dyDescent="0.35">
      <c r="A139" s="2">
        <v>1800014634</v>
      </c>
      <c r="B139" s="2" t="s">
        <v>63</v>
      </c>
      <c r="C139" s="3">
        <v>45966</v>
      </c>
      <c r="D139" s="3">
        <v>45967</v>
      </c>
      <c r="E139" s="2" t="s">
        <v>58</v>
      </c>
      <c r="F139" s="33">
        <v>256779419077</v>
      </c>
      <c r="G139" s="2" t="s">
        <v>28</v>
      </c>
      <c r="H139" s="2" t="s">
        <v>29</v>
      </c>
      <c r="I139" s="2" t="s">
        <v>27</v>
      </c>
      <c r="J139" s="2" t="s">
        <v>64</v>
      </c>
      <c r="K139" s="2" t="s">
        <v>38</v>
      </c>
      <c r="L139" s="4">
        <v>900</v>
      </c>
      <c r="M139" s="2" t="s">
        <v>31</v>
      </c>
      <c r="N139" s="4">
        <v>79203.05</v>
      </c>
      <c r="O139" s="2" t="s">
        <v>65</v>
      </c>
      <c r="P139" s="2" t="s">
        <v>32</v>
      </c>
      <c r="Q139" s="2" t="s">
        <v>27</v>
      </c>
      <c r="R139" s="2" t="s">
        <v>147</v>
      </c>
      <c r="S139" s="2" t="s">
        <v>33</v>
      </c>
      <c r="T139" s="2"/>
      <c r="U139" s="2"/>
      <c r="V139" s="2"/>
      <c r="W139" s="2" t="s">
        <v>148</v>
      </c>
      <c r="X139" s="2" t="s">
        <v>27</v>
      </c>
      <c r="Y139" s="2" t="s">
        <v>27</v>
      </c>
      <c r="Z139" s="2" t="s">
        <v>27</v>
      </c>
      <c r="AA139" s="3">
        <v>45966</v>
      </c>
      <c r="AB139" s="3"/>
      <c r="AC139" s="2" t="s">
        <v>27</v>
      </c>
    </row>
    <row r="140" spans="1:29" x14ac:dyDescent="0.35">
      <c r="A140" s="2">
        <v>1800014525</v>
      </c>
      <c r="B140" s="2" t="s">
        <v>63</v>
      </c>
      <c r="C140" s="3">
        <v>45966</v>
      </c>
      <c r="D140" s="3">
        <v>45967</v>
      </c>
      <c r="E140" s="2" t="s">
        <v>58</v>
      </c>
      <c r="F140" s="33">
        <v>256779419174</v>
      </c>
      <c r="G140" s="2" t="s">
        <v>28</v>
      </c>
      <c r="H140" s="2" t="s">
        <v>29</v>
      </c>
      <c r="I140" s="2" t="s">
        <v>27</v>
      </c>
      <c r="J140" s="2" t="s">
        <v>64</v>
      </c>
      <c r="K140" s="2" t="s">
        <v>38</v>
      </c>
      <c r="L140" s="4">
        <v>8.2100000000000009</v>
      </c>
      <c r="M140" s="2" t="s">
        <v>31</v>
      </c>
      <c r="N140" s="4">
        <v>722.51</v>
      </c>
      <c r="O140" s="2" t="s">
        <v>65</v>
      </c>
      <c r="P140" s="2" t="s">
        <v>32</v>
      </c>
      <c r="Q140" s="2" t="s">
        <v>27</v>
      </c>
      <c r="R140" s="2" t="s">
        <v>149</v>
      </c>
      <c r="S140" s="2" t="s">
        <v>33</v>
      </c>
      <c r="T140" s="2"/>
      <c r="U140" s="2"/>
      <c r="V140" s="2"/>
      <c r="W140" s="2" t="s">
        <v>150</v>
      </c>
      <c r="X140" s="2" t="s">
        <v>27</v>
      </c>
      <c r="Y140" s="2" t="s">
        <v>27</v>
      </c>
      <c r="Z140" s="2" t="s">
        <v>27</v>
      </c>
      <c r="AA140" s="3">
        <v>45966</v>
      </c>
      <c r="AB140" s="3"/>
      <c r="AC140" s="2" t="s">
        <v>27</v>
      </c>
    </row>
    <row r="141" spans="1:29" x14ac:dyDescent="0.35">
      <c r="A141" s="2">
        <v>1800014618</v>
      </c>
      <c r="B141" s="2" t="s">
        <v>63</v>
      </c>
      <c r="C141" s="3">
        <v>45966</v>
      </c>
      <c r="D141" s="3">
        <v>45967</v>
      </c>
      <c r="E141" s="2" t="s">
        <v>58</v>
      </c>
      <c r="F141" s="33">
        <v>256779419200</v>
      </c>
      <c r="G141" s="2" t="s">
        <v>28</v>
      </c>
      <c r="H141" s="2" t="s">
        <v>29</v>
      </c>
      <c r="I141" s="2" t="s">
        <v>27</v>
      </c>
      <c r="J141" s="2" t="s">
        <v>64</v>
      </c>
      <c r="K141" s="2" t="s">
        <v>38</v>
      </c>
      <c r="L141" s="4">
        <v>152.26</v>
      </c>
      <c r="M141" s="2" t="s">
        <v>31</v>
      </c>
      <c r="N141" s="4">
        <v>13399.4</v>
      </c>
      <c r="O141" s="2" t="s">
        <v>65</v>
      </c>
      <c r="P141" s="2" t="s">
        <v>32</v>
      </c>
      <c r="Q141" s="2" t="s">
        <v>27</v>
      </c>
      <c r="R141" s="2" t="s">
        <v>151</v>
      </c>
      <c r="S141" s="2" t="s">
        <v>33</v>
      </c>
      <c r="T141" s="2"/>
      <c r="U141" s="2"/>
      <c r="V141" s="2"/>
      <c r="W141" s="2" t="s">
        <v>152</v>
      </c>
      <c r="X141" s="2" t="s">
        <v>27</v>
      </c>
      <c r="Y141" s="2" t="s">
        <v>27</v>
      </c>
      <c r="Z141" s="2" t="s">
        <v>27</v>
      </c>
      <c r="AA141" s="3">
        <v>45966</v>
      </c>
      <c r="AB141" s="3"/>
      <c r="AC141" s="2" t="s">
        <v>27</v>
      </c>
    </row>
    <row r="142" spans="1:29" x14ac:dyDescent="0.35">
      <c r="A142" s="2">
        <v>1800014731</v>
      </c>
      <c r="B142" s="2" t="s">
        <v>63</v>
      </c>
      <c r="C142" s="3">
        <v>45966</v>
      </c>
      <c r="D142" s="3">
        <v>45968</v>
      </c>
      <c r="E142" s="2" t="s">
        <v>153</v>
      </c>
      <c r="F142" s="33">
        <v>256779419232</v>
      </c>
      <c r="G142" s="2" t="s">
        <v>28</v>
      </c>
      <c r="H142" s="2" t="s">
        <v>29</v>
      </c>
      <c r="I142" s="2" t="s">
        <v>27</v>
      </c>
      <c r="J142" s="2" t="s">
        <v>64</v>
      </c>
      <c r="K142" s="2" t="s">
        <v>38</v>
      </c>
      <c r="L142" s="4">
        <v>25.69</v>
      </c>
      <c r="M142" s="2" t="s">
        <v>31</v>
      </c>
      <c r="N142" s="4">
        <v>2260.81</v>
      </c>
      <c r="O142" s="2" t="s">
        <v>65</v>
      </c>
      <c r="P142" s="2" t="s">
        <v>32</v>
      </c>
      <c r="Q142" s="2" t="s">
        <v>27</v>
      </c>
      <c r="R142" s="2" t="s">
        <v>58</v>
      </c>
      <c r="S142" s="2" t="s">
        <v>33</v>
      </c>
      <c r="T142" s="2"/>
      <c r="U142" s="2"/>
      <c r="V142" s="2"/>
      <c r="W142" s="2" t="s">
        <v>154</v>
      </c>
      <c r="X142" s="2" t="s">
        <v>27</v>
      </c>
      <c r="Y142" s="2" t="s">
        <v>27</v>
      </c>
      <c r="Z142" s="2" t="s">
        <v>27</v>
      </c>
      <c r="AA142" s="3">
        <v>45966</v>
      </c>
      <c r="AB142" s="3"/>
      <c r="AC142" s="2" t="s">
        <v>27</v>
      </c>
    </row>
    <row r="143" spans="1:29" x14ac:dyDescent="0.35">
      <c r="A143" s="2">
        <v>1800000350</v>
      </c>
      <c r="B143" s="2" t="s">
        <v>63</v>
      </c>
      <c r="C143" s="3">
        <v>45713</v>
      </c>
      <c r="D143" s="3">
        <v>45713</v>
      </c>
      <c r="E143" s="2" t="s">
        <v>58</v>
      </c>
      <c r="F143" s="33">
        <v>246779410324</v>
      </c>
      <c r="G143" s="2" t="s">
        <v>28</v>
      </c>
      <c r="H143" s="2" t="s">
        <v>29</v>
      </c>
      <c r="I143" s="2" t="s">
        <v>27</v>
      </c>
      <c r="J143" s="2" t="s">
        <v>64</v>
      </c>
      <c r="K143" s="2" t="s">
        <v>38</v>
      </c>
      <c r="L143" s="4">
        <v>1750</v>
      </c>
      <c r="M143" s="2" t="s">
        <v>31</v>
      </c>
      <c r="N143" s="4">
        <v>151031.41</v>
      </c>
      <c r="O143" s="2" t="s">
        <v>65</v>
      </c>
      <c r="P143" s="2" t="s">
        <v>32</v>
      </c>
      <c r="Q143" s="2" t="s">
        <v>27</v>
      </c>
      <c r="R143" s="2" t="s">
        <v>58</v>
      </c>
      <c r="S143" s="2" t="s">
        <v>33</v>
      </c>
      <c r="T143" s="2"/>
      <c r="U143" s="2"/>
      <c r="V143" s="2"/>
      <c r="W143" s="2" t="s">
        <v>90</v>
      </c>
      <c r="X143" s="2" t="s">
        <v>27</v>
      </c>
      <c r="Y143" s="2" t="s">
        <v>27</v>
      </c>
      <c r="Z143" s="2" t="s">
        <v>27</v>
      </c>
      <c r="AA143" s="3">
        <v>45713</v>
      </c>
      <c r="AB143" s="3">
        <v>45887</v>
      </c>
      <c r="AC143" s="2" t="s">
        <v>40</v>
      </c>
    </row>
    <row r="144" spans="1:29" x14ac:dyDescent="0.35">
      <c r="A144" s="2">
        <v>1800011648</v>
      </c>
      <c r="B144" s="2" t="s">
        <v>63</v>
      </c>
      <c r="C144" s="3">
        <v>45877</v>
      </c>
      <c r="D144" s="3">
        <v>45877</v>
      </c>
      <c r="E144" s="2" t="s">
        <v>58</v>
      </c>
      <c r="F144" s="33">
        <v>256779416078</v>
      </c>
      <c r="G144" s="2" t="s">
        <v>28</v>
      </c>
      <c r="H144" s="2" t="s">
        <v>29</v>
      </c>
      <c r="I144" s="2" t="s">
        <v>27</v>
      </c>
      <c r="J144" s="2" t="s">
        <v>64</v>
      </c>
      <c r="K144" s="2" t="s">
        <v>38</v>
      </c>
      <c r="L144" s="4">
        <v>1477.42</v>
      </c>
      <c r="M144" s="2" t="s">
        <v>31</v>
      </c>
      <c r="N144" s="4">
        <v>127102.62</v>
      </c>
      <c r="O144" s="2" t="s">
        <v>65</v>
      </c>
      <c r="P144" s="2" t="s">
        <v>32</v>
      </c>
      <c r="Q144" s="2" t="s">
        <v>27</v>
      </c>
      <c r="R144" s="2" t="s">
        <v>58</v>
      </c>
      <c r="S144" s="2" t="s">
        <v>33</v>
      </c>
      <c r="T144" s="2"/>
      <c r="U144" s="2"/>
      <c r="V144" s="2"/>
      <c r="W144" s="2" t="s">
        <v>137</v>
      </c>
      <c r="X144" s="2" t="s">
        <v>27</v>
      </c>
      <c r="Y144" s="2" t="s">
        <v>27</v>
      </c>
      <c r="Z144" s="2" t="s">
        <v>27</v>
      </c>
      <c r="AA144" s="3">
        <v>45877</v>
      </c>
      <c r="AB144" s="3"/>
      <c r="AC144" s="2" t="s">
        <v>27</v>
      </c>
    </row>
    <row r="145" spans="1:29" x14ac:dyDescent="0.35">
      <c r="A145" s="2">
        <v>1800011656</v>
      </c>
      <c r="B145" s="2" t="s">
        <v>63</v>
      </c>
      <c r="C145" s="3">
        <v>45877</v>
      </c>
      <c r="D145" s="3">
        <v>45877</v>
      </c>
      <c r="E145" s="2" t="s">
        <v>58</v>
      </c>
      <c r="F145" s="33">
        <v>256779416086</v>
      </c>
      <c r="G145" s="2" t="s">
        <v>28</v>
      </c>
      <c r="H145" s="2" t="s">
        <v>29</v>
      </c>
      <c r="I145" s="2" t="s">
        <v>27</v>
      </c>
      <c r="J145" s="2" t="s">
        <v>64</v>
      </c>
      <c r="K145" s="2" t="s">
        <v>38</v>
      </c>
      <c r="L145" s="4">
        <v>1449.76</v>
      </c>
      <c r="M145" s="2" t="s">
        <v>31</v>
      </c>
      <c r="N145" s="4">
        <v>124723.03</v>
      </c>
      <c r="O145" s="2" t="s">
        <v>65</v>
      </c>
      <c r="P145" s="2" t="s">
        <v>32</v>
      </c>
      <c r="Q145" s="2" t="s">
        <v>27</v>
      </c>
      <c r="R145" s="2" t="s">
        <v>58</v>
      </c>
      <c r="S145" s="2" t="s">
        <v>33</v>
      </c>
      <c r="T145" s="2"/>
      <c r="U145" s="2"/>
      <c r="V145" s="2"/>
      <c r="W145" s="2" t="s">
        <v>155</v>
      </c>
      <c r="X145" s="2" t="s">
        <v>27</v>
      </c>
      <c r="Y145" s="2" t="s">
        <v>27</v>
      </c>
      <c r="Z145" s="2" t="s">
        <v>27</v>
      </c>
      <c r="AA145" s="3">
        <v>45877</v>
      </c>
      <c r="AB145" s="3"/>
      <c r="AC145" s="2" t="s">
        <v>27</v>
      </c>
    </row>
    <row r="146" spans="1:29" x14ac:dyDescent="0.35">
      <c r="A146" s="2">
        <v>1800011800</v>
      </c>
      <c r="B146" s="2" t="s">
        <v>63</v>
      </c>
      <c r="C146" s="3">
        <v>45877</v>
      </c>
      <c r="D146" s="3">
        <v>45877</v>
      </c>
      <c r="E146" s="2" t="s">
        <v>58</v>
      </c>
      <c r="F146" s="33">
        <v>256779416103</v>
      </c>
      <c r="G146" s="2" t="s">
        <v>28</v>
      </c>
      <c r="H146" s="2" t="s">
        <v>29</v>
      </c>
      <c r="I146" s="2" t="s">
        <v>27</v>
      </c>
      <c r="J146" s="2" t="s">
        <v>64</v>
      </c>
      <c r="K146" s="2" t="s">
        <v>38</v>
      </c>
      <c r="L146" s="4">
        <v>50</v>
      </c>
      <c r="M146" s="2" t="s">
        <v>31</v>
      </c>
      <c r="N146" s="4">
        <v>4301.51</v>
      </c>
      <c r="O146" s="2" t="s">
        <v>65</v>
      </c>
      <c r="P146" s="2" t="s">
        <v>32</v>
      </c>
      <c r="Q146" s="2" t="s">
        <v>27</v>
      </c>
      <c r="R146" s="2" t="s">
        <v>58</v>
      </c>
      <c r="S146" s="2" t="s">
        <v>33</v>
      </c>
      <c r="T146" s="2"/>
      <c r="U146" s="2"/>
      <c r="V146" s="2"/>
      <c r="W146" s="2" t="s">
        <v>156</v>
      </c>
      <c r="X146" s="2" t="s">
        <v>27</v>
      </c>
      <c r="Y146" s="2" t="s">
        <v>27</v>
      </c>
      <c r="Z146" s="2" t="s">
        <v>27</v>
      </c>
      <c r="AA146" s="3">
        <v>45877</v>
      </c>
      <c r="AB146" s="3"/>
      <c r="AC146" s="2" t="s">
        <v>27</v>
      </c>
    </row>
    <row r="147" spans="1:29" x14ac:dyDescent="0.35">
      <c r="A147" s="2">
        <v>1800011832</v>
      </c>
      <c r="B147" s="2" t="s">
        <v>63</v>
      </c>
      <c r="C147" s="3">
        <v>45877</v>
      </c>
      <c r="D147" s="3">
        <v>45877</v>
      </c>
      <c r="E147" s="2" t="s">
        <v>58</v>
      </c>
      <c r="F147" s="33">
        <v>256779416141</v>
      </c>
      <c r="G147" s="2" t="s">
        <v>28</v>
      </c>
      <c r="H147" s="2" t="s">
        <v>29</v>
      </c>
      <c r="I147" s="2" t="s">
        <v>27</v>
      </c>
      <c r="J147" s="2" t="s">
        <v>64</v>
      </c>
      <c r="K147" s="2" t="s">
        <v>38</v>
      </c>
      <c r="L147" s="4">
        <v>299.12</v>
      </c>
      <c r="M147" s="2" t="s">
        <v>31</v>
      </c>
      <c r="N147" s="4">
        <v>25733.33</v>
      </c>
      <c r="O147" s="2" t="s">
        <v>65</v>
      </c>
      <c r="P147" s="2" t="s">
        <v>32</v>
      </c>
      <c r="Q147" s="2" t="s">
        <v>27</v>
      </c>
      <c r="R147" s="2" t="s">
        <v>58</v>
      </c>
      <c r="S147" s="2" t="s">
        <v>33</v>
      </c>
      <c r="T147" s="2"/>
      <c r="U147" s="2"/>
      <c r="V147" s="2"/>
      <c r="W147" s="2" t="s">
        <v>157</v>
      </c>
      <c r="X147" s="2" t="s">
        <v>27</v>
      </c>
      <c r="Y147" s="2" t="s">
        <v>27</v>
      </c>
      <c r="Z147" s="2" t="s">
        <v>27</v>
      </c>
      <c r="AA147" s="3">
        <v>45877</v>
      </c>
      <c r="AB147" s="3"/>
      <c r="AC147" s="2" t="s">
        <v>27</v>
      </c>
    </row>
    <row r="148" spans="1:29" x14ac:dyDescent="0.35">
      <c r="A148" s="2">
        <v>1800011788</v>
      </c>
      <c r="B148" s="2" t="s">
        <v>63</v>
      </c>
      <c r="C148" s="3">
        <v>45877</v>
      </c>
      <c r="D148" s="3">
        <v>45877</v>
      </c>
      <c r="E148" s="2" t="s">
        <v>58</v>
      </c>
      <c r="F148" s="33">
        <v>256779416179</v>
      </c>
      <c r="G148" s="2" t="s">
        <v>28</v>
      </c>
      <c r="H148" s="2" t="s">
        <v>29</v>
      </c>
      <c r="I148" s="2" t="s">
        <v>27</v>
      </c>
      <c r="J148" s="2" t="s">
        <v>64</v>
      </c>
      <c r="K148" s="2" t="s">
        <v>38</v>
      </c>
      <c r="L148" s="4">
        <v>2787.24</v>
      </c>
      <c r="M148" s="2" t="s">
        <v>31</v>
      </c>
      <c r="N148" s="4">
        <v>239786.59</v>
      </c>
      <c r="O148" s="2" t="s">
        <v>65</v>
      </c>
      <c r="P148" s="2" t="s">
        <v>32</v>
      </c>
      <c r="Q148" s="2" t="s">
        <v>27</v>
      </c>
      <c r="R148" s="2" t="s">
        <v>58</v>
      </c>
      <c r="S148" s="2" t="s">
        <v>33</v>
      </c>
      <c r="T148" s="2"/>
      <c r="U148" s="2"/>
      <c r="V148" s="2"/>
      <c r="W148" s="2" t="s">
        <v>158</v>
      </c>
      <c r="X148" s="2" t="s">
        <v>27</v>
      </c>
      <c r="Y148" s="2" t="s">
        <v>27</v>
      </c>
      <c r="Z148" s="2" t="s">
        <v>27</v>
      </c>
      <c r="AA148" s="3">
        <v>45877</v>
      </c>
      <c r="AB148" s="3"/>
      <c r="AC148" s="2" t="s">
        <v>27</v>
      </c>
    </row>
    <row r="149" spans="1:29" x14ac:dyDescent="0.35">
      <c r="A149" s="2">
        <v>1800011706</v>
      </c>
      <c r="B149" s="2" t="s">
        <v>63</v>
      </c>
      <c r="C149" s="3">
        <v>45877</v>
      </c>
      <c r="D149" s="3">
        <v>45877</v>
      </c>
      <c r="E149" s="2" t="s">
        <v>58</v>
      </c>
      <c r="F149" s="33">
        <v>256779416224</v>
      </c>
      <c r="G149" s="2" t="s">
        <v>28</v>
      </c>
      <c r="H149" s="2" t="s">
        <v>29</v>
      </c>
      <c r="I149" s="2" t="s">
        <v>27</v>
      </c>
      <c r="J149" s="2" t="s">
        <v>64</v>
      </c>
      <c r="K149" s="2" t="s">
        <v>38</v>
      </c>
      <c r="L149" s="4">
        <v>304.52999999999997</v>
      </c>
      <c r="M149" s="2" t="s">
        <v>31</v>
      </c>
      <c r="N149" s="4">
        <v>26198.75</v>
      </c>
      <c r="O149" s="2" t="s">
        <v>65</v>
      </c>
      <c r="P149" s="2" t="s">
        <v>32</v>
      </c>
      <c r="Q149" s="2" t="s">
        <v>27</v>
      </c>
      <c r="R149" s="2" t="s">
        <v>58</v>
      </c>
      <c r="S149" s="2" t="s">
        <v>33</v>
      </c>
      <c r="T149" s="2"/>
      <c r="U149" s="2"/>
      <c r="V149" s="2"/>
      <c r="W149" s="2" t="s">
        <v>159</v>
      </c>
      <c r="X149" s="2" t="s">
        <v>27</v>
      </c>
      <c r="Y149" s="2" t="s">
        <v>27</v>
      </c>
      <c r="Z149" s="2" t="s">
        <v>27</v>
      </c>
      <c r="AA149" s="3">
        <v>45877</v>
      </c>
      <c r="AB149" s="3"/>
      <c r="AC149" s="2" t="s">
        <v>27</v>
      </c>
    </row>
    <row r="150" spans="1:29" x14ac:dyDescent="0.35">
      <c r="A150" s="2">
        <v>1800011595</v>
      </c>
      <c r="B150" s="2" t="s">
        <v>63</v>
      </c>
      <c r="C150" s="3">
        <v>45877</v>
      </c>
      <c r="D150" s="3">
        <v>45877</v>
      </c>
      <c r="E150" s="2" t="s">
        <v>58</v>
      </c>
      <c r="F150" s="33">
        <v>256779416445</v>
      </c>
      <c r="G150" s="2" t="s">
        <v>28</v>
      </c>
      <c r="H150" s="2" t="s">
        <v>29</v>
      </c>
      <c r="I150" s="2" t="s">
        <v>27</v>
      </c>
      <c r="J150" s="2" t="s">
        <v>64</v>
      </c>
      <c r="K150" s="2" t="s">
        <v>38</v>
      </c>
      <c r="L150" s="4">
        <v>586.79</v>
      </c>
      <c r="M150" s="2" t="s">
        <v>31</v>
      </c>
      <c r="N150" s="4">
        <v>50481.61</v>
      </c>
      <c r="O150" s="2" t="s">
        <v>65</v>
      </c>
      <c r="P150" s="2" t="s">
        <v>32</v>
      </c>
      <c r="Q150" s="2" t="s">
        <v>27</v>
      </c>
      <c r="R150" s="2" t="s">
        <v>58</v>
      </c>
      <c r="S150" s="2" t="s">
        <v>33</v>
      </c>
      <c r="T150" s="2"/>
      <c r="U150" s="2"/>
      <c r="V150" s="2"/>
      <c r="W150" s="2" t="s">
        <v>160</v>
      </c>
      <c r="X150" s="2" t="s">
        <v>27</v>
      </c>
      <c r="Y150" s="2" t="s">
        <v>27</v>
      </c>
      <c r="Z150" s="2" t="s">
        <v>27</v>
      </c>
      <c r="AA150" s="3">
        <v>45877</v>
      </c>
      <c r="AB150" s="3"/>
      <c r="AC150" s="2" t="s">
        <v>27</v>
      </c>
    </row>
    <row r="151" spans="1:29" x14ac:dyDescent="0.35">
      <c r="A151" s="2">
        <v>1800011864</v>
      </c>
      <c r="B151" s="2" t="s">
        <v>63</v>
      </c>
      <c r="C151" s="3">
        <v>45877</v>
      </c>
      <c r="D151" s="3">
        <v>45877</v>
      </c>
      <c r="E151" s="2" t="s">
        <v>58</v>
      </c>
      <c r="F151" s="33">
        <v>256779416515</v>
      </c>
      <c r="G151" s="2" t="s">
        <v>28</v>
      </c>
      <c r="H151" s="2" t="s">
        <v>29</v>
      </c>
      <c r="I151" s="2" t="s">
        <v>27</v>
      </c>
      <c r="J151" s="2" t="s">
        <v>64</v>
      </c>
      <c r="K151" s="2" t="s">
        <v>38</v>
      </c>
      <c r="L151" s="4">
        <v>396.98</v>
      </c>
      <c r="M151" s="2" t="s">
        <v>31</v>
      </c>
      <c r="N151" s="4">
        <v>34152.239999999998</v>
      </c>
      <c r="O151" s="2" t="s">
        <v>65</v>
      </c>
      <c r="P151" s="2" t="s">
        <v>32</v>
      </c>
      <c r="Q151" s="2" t="s">
        <v>27</v>
      </c>
      <c r="R151" s="2" t="s">
        <v>58</v>
      </c>
      <c r="S151" s="2" t="s">
        <v>33</v>
      </c>
      <c r="T151" s="2"/>
      <c r="U151" s="2"/>
      <c r="V151" s="2"/>
      <c r="W151" s="2" t="s">
        <v>161</v>
      </c>
      <c r="X151" s="2" t="s">
        <v>27</v>
      </c>
      <c r="Y151" s="2" t="s">
        <v>27</v>
      </c>
      <c r="Z151" s="2" t="s">
        <v>27</v>
      </c>
      <c r="AA151" s="3">
        <v>45877</v>
      </c>
      <c r="AB151" s="3"/>
      <c r="AC151" s="2" t="s">
        <v>27</v>
      </c>
    </row>
    <row r="152" spans="1:29" x14ac:dyDescent="0.35">
      <c r="A152" s="2">
        <v>1800009453</v>
      </c>
      <c r="B152" s="2" t="s">
        <v>63</v>
      </c>
      <c r="C152" s="3">
        <v>45812</v>
      </c>
      <c r="D152" s="3">
        <v>45817</v>
      </c>
      <c r="E152" s="2" t="s">
        <v>58</v>
      </c>
      <c r="F152" s="33">
        <v>256779414217</v>
      </c>
      <c r="G152" s="2" t="s">
        <v>28</v>
      </c>
      <c r="H152" s="2" t="s">
        <v>29</v>
      </c>
      <c r="I152" s="2" t="s">
        <v>27</v>
      </c>
      <c r="J152" s="2" t="s">
        <v>64</v>
      </c>
      <c r="K152" s="2" t="s">
        <v>38</v>
      </c>
      <c r="L152" s="4">
        <v>71.760000000000005</v>
      </c>
      <c r="M152" s="2" t="s">
        <v>31</v>
      </c>
      <c r="N152" s="4">
        <v>6134.82</v>
      </c>
      <c r="O152" s="2" t="s">
        <v>65</v>
      </c>
      <c r="P152" s="2" t="s">
        <v>32</v>
      </c>
      <c r="Q152" s="2" t="s">
        <v>27</v>
      </c>
      <c r="R152" s="2" t="s">
        <v>58</v>
      </c>
      <c r="S152" s="2" t="s">
        <v>33</v>
      </c>
      <c r="T152" s="2"/>
      <c r="U152" s="2"/>
      <c r="V152" s="2"/>
      <c r="W152" s="2" t="s">
        <v>162</v>
      </c>
      <c r="X152" s="2" t="s">
        <v>27</v>
      </c>
      <c r="Y152" s="2" t="s">
        <v>27</v>
      </c>
      <c r="Z152" s="2" t="s">
        <v>27</v>
      </c>
      <c r="AA152" s="3">
        <v>45812</v>
      </c>
      <c r="AB152" s="3"/>
      <c r="AC152" s="2" t="s">
        <v>27</v>
      </c>
    </row>
    <row r="153" spans="1:29" x14ac:dyDescent="0.35">
      <c r="A153" s="2">
        <v>1600000596</v>
      </c>
      <c r="B153" s="2" t="s">
        <v>76</v>
      </c>
      <c r="C153" s="3">
        <v>45791</v>
      </c>
      <c r="D153" s="3">
        <v>45793</v>
      </c>
      <c r="E153" s="2" t="s">
        <v>58</v>
      </c>
      <c r="F153" s="33">
        <v>256779420305</v>
      </c>
      <c r="G153" s="2" t="s">
        <v>28</v>
      </c>
      <c r="H153" s="2" t="s">
        <v>29</v>
      </c>
      <c r="I153" s="2" t="s">
        <v>27</v>
      </c>
      <c r="J153" s="2" t="s">
        <v>77</v>
      </c>
      <c r="K153" s="2" t="s">
        <v>38</v>
      </c>
      <c r="L153" s="4">
        <v>-945.75</v>
      </c>
      <c r="M153" s="2" t="s">
        <v>31</v>
      </c>
      <c r="N153" s="4">
        <v>-81988.259999999995</v>
      </c>
      <c r="O153" s="2" t="s">
        <v>65</v>
      </c>
      <c r="P153" s="2" t="s">
        <v>32</v>
      </c>
      <c r="Q153" s="2" t="s">
        <v>27</v>
      </c>
      <c r="R153" s="2" t="s">
        <v>58</v>
      </c>
      <c r="S153" s="2" t="s">
        <v>33</v>
      </c>
      <c r="T153" s="2"/>
      <c r="U153" s="2"/>
      <c r="V153" s="2"/>
      <c r="W153" s="2" t="s">
        <v>163</v>
      </c>
      <c r="X153" s="2" t="s">
        <v>27</v>
      </c>
      <c r="Y153" s="2" t="s">
        <v>27</v>
      </c>
      <c r="Z153" s="2" t="s">
        <v>27</v>
      </c>
      <c r="AA153" s="3">
        <v>45791</v>
      </c>
      <c r="AB153" s="3">
        <v>45842</v>
      </c>
      <c r="AC153" s="2" t="s">
        <v>60</v>
      </c>
    </row>
    <row r="154" spans="1:29" x14ac:dyDescent="0.35">
      <c r="A154" s="2">
        <v>1600000782</v>
      </c>
      <c r="B154" s="2" t="s">
        <v>76</v>
      </c>
      <c r="C154" s="3">
        <v>45791</v>
      </c>
      <c r="D154" s="3">
        <v>45793</v>
      </c>
      <c r="E154" s="2" t="s">
        <v>58</v>
      </c>
      <c r="F154" s="33">
        <v>256779420491</v>
      </c>
      <c r="G154" s="2" t="s">
        <v>28</v>
      </c>
      <c r="H154" s="2" t="s">
        <v>29</v>
      </c>
      <c r="I154" s="2" t="s">
        <v>27</v>
      </c>
      <c r="J154" s="2" t="s">
        <v>77</v>
      </c>
      <c r="K154" s="2" t="s">
        <v>38</v>
      </c>
      <c r="L154" s="4">
        <v>-1166.5899999999999</v>
      </c>
      <c r="M154" s="2" t="s">
        <v>31</v>
      </c>
      <c r="N154" s="4">
        <v>-101402.13</v>
      </c>
      <c r="O154" s="2" t="s">
        <v>65</v>
      </c>
      <c r="P154" s="2" t="s">
        <v>32</v>
      </c>
      <c r="Q154" s="2" t="s">
        <v>27</v>
      </c>
      <c r="R154" s="2" t="s">
        <v>58</v>
      </c>
      <c r="S154" s="2" t="s">
        <v>33</v>
      </c>
      <c r="T154" s="2"/>
      <c r="U154" s="2"/>
      <c r="V154" s="2"/>
      <c r="W154" s="2" t="s">
        <v>164</v>
      </c>
      <c r="X154" s="2" t="s">
        <v>27</v>
      </c>
      <c r="Y154" s="2" t="s">
        <v>27</v>
      </c>
      <c r="Z154" s="2" t="s">
        <v>27</v>
      </c>
      <c r="AA154" s="3">
        <v>45791</v>
      </c>
      <c r="AB154" s="3">
        <v>45842</v>
      </c>
      <c r="AC154" s="2" t="s">
        <v>61</v>
      </c>
    </row>
    <row r="155" spans="1:29" x14ac:dyDescent="0.35">
      <c r="A155" s="2">
        <v>1600000816</v>
      </c>
      <c r="B155" s="2" t="s">
        <v>76</v>
      </c>
      <c r="C155" s="3">
        <v>45791</v>
      </c>
      <c r="D155" s="3">
        <v>45793</v>
      </c>
      <c r="E155" s="2" t="s">
        <v>58</v>
      </c>
      <c r="F155" s="33">
        <v>256779420525</v>
      </c>
      <c r="G155" s="2" t="s">
        <v>28</v>
      </c>
      <c r="H155" s="2" t="s">
        <v>29</v>
      </c>
      <c r="I155" s="2" t="s">
        <v>27</v>
      </c>
      <c r="J155" s="2" t="s">
        <v>77</v>
      </c>
      <c r="K155" s="2" t="s">
        <v>38</v>
      </c>
      <c r="L155" s="4">
        <v>-1143.1199999999999</v>
      </c>
      <c r="M155" s="2" t="s">
        <v>31</v>
      </c>
      <c r="N155" s="4">
        <v>-99362.07</v>
      </c>
      <c r="O155" s="2" t="s">
        <v>65</v>
      </c>
      <c r="P155" s="2" t="s">
        <v>32</v>
      </c>
      <c r="Q155" s="2" t="s">
        <v>27</v>
      </c>
      <c r="R155" s="2" t="s">
        <v>58</v>
      </c>
      <c r="S155" s="2" t="s">
        <v>33</v>
      </c>
      <c r="T155" s="2"/>
      <c r="U155" s="2"/>
      <c r="V155" s="2"/>
      <c r="W155" s="2" t="s">
        <v>165</v>
      </c>
      <c r="X155" s="2" t="s">
        <v>27</v>
      </c>
      <c r="Y155" s="2" t="s">
        <v>27</v>
      </c>
      <c r="Z155" s="2" t="s">
        <v>27</v>
      </c>
      <c r="AA155" s="3">
        <v>45791</v>
      </c>
      <c r="AB155" s="3">
        <v>45842</v>
      </c>
      <c r="AC155" s="2" t="s">
        <v>62</v>
      </c>
    </row>
    <row r="156" spans="1:29" x14ac:dyDescent="0.35">
      <c r="A156" s="2">
        <v>1800008549</v>
      </c>
      <c r="B156" s="2" t="s">
        <v>63</v>
      </c>
      <c r="C156" s="3">
        <v>45793</v>
      </c>
      <c r="D156" s="3">
        <v>45800</v>
      </c>
      <c r="E156" s="2" t="s">
        <v>58</v>
      </c>
      <c r="F156" s="33">
        <v>256779413313</v>
      </c>
      <c r="G156" s="2" t="s">
        <v>28</v>
      </c>
      <c r="H156" s="2" t="s">
        <v>29</v>
      </c>
      <c r="I156" s="2" t="s">
        <v>27</v>
      </c>
      <c r="J156" s="2" t="s">
        <v>64</v>
      </c>
      <c r="K156" s="2" t="s">
        <v>38</v>
      </c>
      <c r="L156" s="4">
        <v>86</v>
      </c>
      <c r="M156" s="2" t="s">
        <v>31</v>
      </c>
      <c r="N156" s="4">
        <v>7394.6</v>
      </c>
      <c r="O156" s="2" t="s">
        <v>65</v>
      </c>
      <c r="P156" s="2" t="s">
        <v>32</v>
      </c>
      <c r="Q156" s="2" t="s">
        <v>27</v>
      </c>
      <c r="R156" s="2" t="s">
        <v>58</v>
      </c>
      <c r="S156" s="2" t="s">
        <v>33</v>
      </c>
      <c r="T156" s="2"/>
      <c r="U156" s="2"/>
      <c r="V156" s="2"/>
      <c r="W156" s="2" t="s">
        <v>166</v>
      </c>
      <c r="X156" s="2" t="s">
        <v>27</v>
      </c>
      <c r="Y156" s="2" t="s">
        <v>27</v>
      </c>
      <c r="Z156" s="2" t="s">
        <v>27</v>
      </c>
      <c r="AA156" s="3">
        <v>45793</v>
      </c>
      <c r="AB156" s="3"/>
      <c r="AC156" s="2" t="s">
        <v>27</v>
      </c>
    </row>
    <row r="157" spans="1:29" x14ac:dyDescent="0.35">
      <c r="A157" s="2">
        <v>1800008594</v>
      </c>
      <c r="B157" s="2" t="s">
        <v>63</v>
      </c>
      <c r="C157" s="3">
        <v>45793</v>
      </c>
      <c r="D157" s="3">
        <v>45800</v>
      </c>
      <c r="E157" s="2" t="s">
        <v>58</v>
      </c>
      <c r="F157" s="33">
        <v>256779413358</v>
      </c>
      <c r="G157" s="2" t="s">
        <v>28</v>
      </c>
      <c r="H157" s="2" t="s">
        <v>29</v>
      </c>
      <c r="I157" s="2" t="s">
        <v>27</v>
      </c>
      <c r="J157" s="2" t="s">
        <v>64</v>
      </c>
      <c r="K157" s="2" t="s">
        <v>38</v>
      </c>
      <c r="L157" s="4">
        <v>20.11</v>
      </c>
      <c r="M157" s="2" t="s">
        <v>31</v>
      </c>
      <c r="N157" s="4">
        <v>1729.13</v>
      </c>
      <c r="O157" s="2" t="s">
        <v>65</v>
      </c>
      <c r="P157" s="2" t="s">
        <v>32</v>
      </c>
      <c r="Q157" s="2" t="s">
        <v>27</v>
      </c>
      <c r="R157" s="2" t="s">
        <v>58</v>
      </c>
      <c r="S157" s="2" t="s">
        <v>33</v>
      </c>
      <c r="T157" s="2"/>
      <c r="U157" s="2"/>
      <c r="V157" s="2"/>
      <c r="W157" s="2" t="s">
        <v>167</v>
      </c>
      <c r="X157" s="2" t="s">
        <v>27</v>
      </c>
      <c r="Y157" s="2" t="s">
        <v>27</v>
      </c>
      <c r="Z157" s="2" t="s">
        <v>27</v>
      </c>
      <c r="AA157" s="3">
        <v>45793</v>
      </c>
      <c r="AB157" s="3"/>
      <c r="AC157" s="2" t="s">
        <v>27</v>
      </c>
    </row>
    <row r="158" spans="1:29" x14ac:dyDescent="0.35">
      <c r="A158" s="2">
        <v>1800009133</v>
      </c>
      <c r="B158" s="2" t="s">
        <v>63</v>
      </c>
      <c r="C158" s="3">
        <v>45805</v>
      </c>
      <c r="D158" s="3">
        <v>45805</v>
      </c>
      <c r="E158" s="2" t="s">
        <v>58</v>
      </c>
      <c r="F158" s="33">
        <v>256779413897</v>
      </c>
      <c r="G158" s="2" t="s">
        <v>28</v>
      </c>
      <c r="H158" s="2" t="s">
        <v>29</v>
      </c>
      <c r="I158" s="2" t="s">
        <v>27</v>
      </c>
      <c r="J158" s="2" t="s">
        <v>64</v>
      </c>
      <c r="K158" s="2" t="s">
        <v>38</v>
      </c>
      <c r="L158" s="4">
        <v>553.24</v>
      </c>
      <c r="M158" s="2" t="s">
        <v>31</v>
      </c>
      <c r="N158" s="4">
        <v>47569.62</v>
      </c>
      <c r="O158" s="2" t="s">
        <v>65</v>
      </c>
      <c r="P158" s="2" t="s">
        <v>32</v>
      </c>
      <c r="Q158" s="2" t="s">
        <v>27</v>
      </c>
      <c r="R158" s="2" t="s">
        <v>58</v>
      </c>
      <c r="S158" s="2" t="s">
        <v>33</v>
      </c>
      <c r="T158" s="2"/>
      <c r="U158" s="2"/>
      <c r="V158" s="2"/>
      <c r="W158" s="2" t="s">
        <v>168</v>
      </c>
      <c r="X158" s="2" t="s">
        <v>27</v>
      </c>
      <c r="Y158" s="2" t="s">
        <v>27</v>
      </c>
      <c r="Z158" s="2" t="s">
        <v>27</v>
      </c>
      <c r="AA158" s="3">
        <v>45805</v>
      </c>
      <c r="AB158" s="3"/>
      <c r="AC158" s="2" t="s">
        <v>27</v>
      </c>
    </row>
    <row r="159" spans="1:29" x14ac:dyDescent="0.35">
      <c r="A159" s="2">
        <v>1800010770</v>
      </c>
      <c r="B159" s="2" t="s">
        <v>63</v>
      </c>
      <c r="C159" s="3">
        <v>45856</v>
      </c>
      <c r="D159" s="3">
        <v>45859</v>
      </c>
      <c r="E159" s="2" t="s">
        <v>58</v>
      </c>
      <c r="F159" s="33">
        <v>256779415432</v>
      </c>
      <c r="G159" s="2" t="s">
        <v>28</v>
      </c>
      <c r="H159" s="2" t="s">
        <v>29</v>
      </c>
      <c r="I159" s="2" t="s">
        <v>27</v>
      </c>
      <c r="J159" s="2" t="s">
        <v>64</v>
      </c>
      <c r="K159" s="2" t="s">
        <v>38</v>
      </c>
      <c r="L159" s="4">
        <v>296.64</v>
      </c>
      <c r="M159" s="2" t="s">
        <v>31</v>
      </c>
      <c r="N159" s="4">
        <v>25511.24</v>
      </c>
      <c r="O159" s="2" t="s">
        <v>65</v>
      </c>
      <c r="P159" s="2" t="s">
        <v>32</v>
      </c>
      <c r="Q159" s="2" t="s">
        <v>27</v>
      </c>
      <c r="R159" s="2" t="s">
        <v>58</v>
      </c>
      <c r="S159" s="2" t="s">
        <v>33</v>
      </c>
      <c r="T159" s="2"/>
      <c r="U159" s="2"/>
      <c r="V159" s="2"/>
      <c r="W159" s="2" t="s">
        <v>169</v>
      </c>
      <c r="X159" s="2" t="s">
        <v>27</v>
      </c>
      <c r="Y159" s="2" t="s">
        <v>27</v>
      </c>
      <c r="Z159" s="2" t="s">
        <v>27</v>
      </c>
      <c r="AA159" s="3">
        <v>45856</v>
      </c>
      <c r="AB159" s="3"/>
      <c r="AC159" s="2" t="s">
        <v>27</v>
      </c>
    </row>
    <row r="160" spans="1:29" x14ac:dyDescent="0.35">
      <c r="A160" s="2">
        <v>1800010698</v>
      </c>
      <c r="B160" s="2" t="s">
        <v>63</v>
      </c>
      <c r="C160" s="3">
        <v>45856</v>
      </c>
      <c r="D160" s="3">
        <v>45859</v>
      </c>
      <c r="E160" s="2" t="s">
        <v>58</v>
      </c>
      <c r="F160" s="33">
        <v>256779415482</v>
      </c>
      <c r="G160" s="2" t="s">
        <v>28</v>
      </c>
      <c r="H160" s="2" t="s">
        <v>29</v>
      </c>
      <c r="I160" s="2" t="s">
        <v>27</v>
      </c>
      <c r="J160" s="2" t="s">
        <v>64</v>
      </c>
      <c r="K160" s="2" t="s">
        <v>38</v>
      </c>
      <c r="L160" s="4">
        <v>860.97</v>
      </c>
      <c r="M160" s="2" t="s">
        <v>31</v>
      </c>
      <c r="N160" s="4">
        <v>74044</v>
      </c>
      <c r="O160" s="2" t="s">
        <v>65</v>
      </c>
      <c r="P160" s="2" t="s">
        <v>32</v>
      </c>
      <c r="Q160" s="2" t="s">
        <v>27</v>
      </c>
      <c r="R160" s="2" t="s">
        <v>58</v>
      </c>
      <c r="S160" s="2" t="s">
        <v>33</v>
      </c>
      <c r="T160" s="2"/>
      <c r="U160" s="2"/>
      <c r="V160" s="2"/>
      <c r="W160" s="2" t="s">
        <v>170</v>
      </c>
      <c r="X160" s="2" t="s">
        <v>27</v>
      </c>
      <c r="Y160" s="2" t="s">
        <v>27</v>
      </c>
      <c r="Z160" s="2" t="s">
        <v>27</v>
      </c>
      <c r="AA160" s="3">
        <v>45856</v>
      </c>
      <c r="AB160" s="3"/>
      <c r="AC160" s="2" t="s">
        <v>27</v>
      </c>
    </row>
    <row r="161" spans="1:29" x14ac:dyDescent="0.35">
      <c r="A161" s="2">
        <v>1800010740</v>
      </c>
      <c r="B161" s="2" t="s">
        <v>63</v>
      </c>
      <c r="C161" s="3">
        <v>45856</v>
      </c>
      <c r="D161" s="3">
        <v>45859</v>
      </c>
      <c r="E161" s="2" t="s">
        <v>58</v>
      </c>
      <c r="F161" s="33">
        <v>256779415524</v>
      </c>
      <c r="G161" s="2" t="s">
        <v>28</v>
      </c>
      <c r="H161" s="2" t="s">
        <v>29</v>
      </c>
      <c r="I161" s="2" t="s">
        <v>27</v>
      </c>
      <c r="J161" s="2" t="s">
        <v>64</v>
      </c>
      <c r="K161" s="2" t="s">
        <v>38</v>
      </c>
      <c r="L161" s="4">
        <v>73.12</v>
      </c>
      <c r="M161" s="2" t="s">
        <v>31</v>
      </c>
      <c r="N161" s="4">
        <v>6288.37</v>
      </c>
      <c r="O161" s="2" t="s">
        <v>65</v>
      </c>
      <c r="P161" s="2" t="s">
        <v>32</v>
      </c>
      <c r="Q161" s="2" t="s">
        <v>27</v>
      </c>
      <c r="R161" s="2" t="s">
        <v>58</v>
      </c>
      <c r="S161" s="2" t="s">
        <v>33</v>
      </c>
      <c r="T161" s="2"/>
      <c r="U161" s="2"/>
      <c r="V161" s="2"/>
      <c r="W161" s="2" t="s">
        <v>171</v>
      </c>
      <c r="X161" s="2" t="s">
        <v>27</v>
      </c>
      <c r="Y161" s="2" t="s">
        <v>27</v>
      </c>
      <c r="Z161" s="2" t="s">
        <v>27</v>
      </c>
      <c r="AA161" s="3">
        <v>45856</v>
      </c>
      <c r="AB161" s="3"/>
      <c r="AC161" s="2" t="s">
        <v>27</v>
      </c>
    </row>
    <row r="162" spans="1:29" x14ac:dyDescent="0.35">
      <c r="A162" s="2">
        <v>1800010941</v>
      </c>
      <c r="B162" s="2" t="s">
        <v>63</v>
      </c>
      <c r="C162" s="3">
        <v>45856</v>
      </c>
      <c r="D162" s="3">
        <v>45859</v>
      </c>
      <c r="E162" s="2" t="s">
        <v>58</v>
      </c>
      <c r="F162" s="33">
        <v>256779415701</v>
      </c>
      <c r="G162" s="2" t="s">
        <v>28</v>
      </c>
      <c r="H162" s="2" t="s">
        <v>29</v>
      </c>
      <c r="I162" s="2" t="s">
        <v>27</v>
      </c>
      <c r="J162" s="2" t="s">
        <v>64</v>
      </c>
      <c r="K162" s="2" t="s">
        <v>38</v>
      </c>
      <c r="L162" s="4">
        <v>660</v>
      </c>
      <c r="M162" s="2" t="s">
        <v>31</v>
      </c>
      <c r="N162" s="4">
        <v>56760.44</v>
      </c>
      <c r="O162" s="2" t="s">
        <v>65</v>
      </c>
      <c r="P162" s="2" t="s">
        <v>32</v>
      </c>
      <c r="Q162" s="2" t="s">
        <v>27</v>
      </c>
      <c r="R162" s="2" t="s">
        <v>58</v>
      </c>
      <c r="S162" s="2" t="s">
        <v>33</v>
      </c>
      <c r="T162" s="2"/>
      <c r="U162" s="2"/>
      <c r="V162" s="2"/>
      <c r="W162" s="2" t="s">
        <v>172</v>
      </c>
      <c r="X162" s="2" t="s">
        <v>27</v>
      </c>
      <c r="Y162" s="2" t="s">
        <v>27</v>
      </c>
      <c r="Z162" s="2" t="s">
        <v>27</v>
      </c>
      <c r="AA162" s="3">
        <v>45856</v>
      </c>
      <c r="AB162" s="3"/>
      <c r="AC162" s="2" t="s">
        <v>27</v>
      </c>
    </row>
    <row r="163" spans="1:29" x14ac:dyDescent="0.35">
      <c r="A163" s="2">
        <v>1800011042</v>
      </c>
      <c r="B163" s="2" t="s">
        <v>63</v>
      </c>
      <c r="C163" s="3">
        <v>45856</v>
      </c>
      <c r="D163" s="3">
        <v>45859</v>
      </c>
      <c r="E163" s="2" t="s">
        <v>58</v>
      </c>
      <c r="F163" s="33">
        <v>256779415802</v>
      </c>
      <c r="G163" s="2" t="s">
        <v>28</v>
      </c>
      <c r="H163" s="2" t="s">
        <v>29</v>
      </c>
      <c r="I163" s="2" t="s">
        <v>27</v>
      </c>
      <c r="J163" s="2" t="s">
        <v>64</v>
      </c>
      <c r="K163" s="2" t="s">
        <v>38</v>
      </c>
      <c r="L163" s="4">
        <v>860.97</v>
      </c>
      <c r="M163" s="2" t="s">
        <v>31</v>
      </c>
      <c r="N163" s="4">
        <v>74044</v>
      </c>
      <c r="O163" s="2" t="s">
        <v>65</v>
      </c>
      <c r="P163" s="2" t="s">
        <v>32</v>
      </c>
      <c r="Q163" s="2" t="s">
        <v>27</v>
      </c>
      <c r="R163" s="2" t="s">
        <v>58</v>
      </c>
      <c r="S163" s="2" t="s">
        <v>33</v>
      </c>
      <c r="T163" s="2"/>
      <c r="U163" s="2"/>
      <c r="V163" s="2"/>
      <c r="W163" s="2" t="s">
        <v>170</v>
      </c>
      <c r="X163" s="2" t="s">
        <v>27</v>
      </c>
      <c r="Y163" s="2" t="s">
        <v>27</v>
      </c>
      <c r="Z163" s="2" t="s">
        <v>27</v>
      </c>
      <c r="AA163" s="3">
        <v>45856</v>
      </c>
      <c r="AB163" s="3"/>
      <c r="AC163" s="2" t="s">
        <v>27</v>
      </c>
    </row>
    <row r="164" spans="1:29" x14ac:dyDescent="0.35">
      <c r="A164" s="2">
        <v>1800001469</v>
      </c>
      <c r="B164" s="2" t="s">
        <v>63</v>
      </c>
      <c r="C164" s="3">
        <v>45729</v>
      </c>
      <c r="D164" s="3">
        <v>45733</v>
      </c>
      <c r="E164" s="2" t="s">
        <v>58</v>
      </c>
      <c r="F164" s="33">
        <v>246779411301</v>
      </c>
      <c r="G164" s="2" t="s">
        <v>28</v>
      </c>
      <c r="H164" s="2" t="s">
        <v>29</v>
      </c>
      <c r="I164" s="2" t="s">
        <v>27</v>
      </c>
      <c r="J164" s="2" t="s">
        <v>64</v>
      </c>
      <c r="K164" s="2" t="s">
        <v>38</v>
      </c>
      <c r="L164" s="4">
        <v>85</v>
      </c>
      <c r="M164" s="2" t="s">
        <v>31</v>
      </c>
      <c r="N164" s="4">
        <v>7368.76</v>
      </c>
      <c r="O164" s="2" t="s">
        <v>65</v>
      </c>
      <c r="P164" s="2" t="s">
        <v>32</v>
      </c>
      <c r="Q164" s="2" t="s">
        <v>27</v>
      </c>
      <c r="R164" s="2" t="s">
        <v>58</v>
      </c>
      <c r="S164" s="2" t="s">
        <v>33</v>
      </c>
      <c r="T164" s="2"/>
      <c r="U164" s="2"/>
      <c r="V164" s="2"/>
      <c r="W164" s="2" t="s">
        <v>173</v>
      </c>
      <c r="X164" s="2" t="s">
        <v>27</v>
      </c>
      <c r="Y164" s="2" t="s">
        <v>27</v>
      </c>
      <c r="Z164" s="2" t="s">
        <v>27</v>
      </c>
      <c r="AA164" s="3">
        <v>45729</v>
      </c>
      <c r="AB164" s="3"/>
      <c r="AC164" s="2" t="s">
        <v>27</v>
      </c>
    </row>
    <row r="165" spans="1:29" x14ac:dyDescent="0.35">
      <c r="A165" s="2">
        <v>1800001451</v>
      </c>
      <c r="B165" s="2" t="s">
        <v>63</v>
      </c>
      <c r="C165" s="3">
        <v>45729</v>
      </c>
      <c r="D165" s="3">
        <v>45733</v>
      </c>
      <c r="E165" s="2" t="s">
        <v>58</v>
      </c>
      <c r="F165" s="33">
        <v>246779411315</v>
      </c>
      <c r="G165" s="2" t="s">
        <v>28</v>
      </c>
      <c r="H165" s="2" t="s">
        <v>29</v>
      </c>
      <c r="I165" s="2" t="s">
        <v>27</v>
      </c>
      <c r="J165" s="2" t="s">
        <v>64</v>
      </c>
      <c r="K165" s="2" t="s">
        <v>38</v>
      </c>
      <c r="L165" s="4">
        <v>35</v>
      </c>
      <c r="M165" s="2" t="s">
        <v>31</v>
      </c>
      <c r="N165" s="4">
        <v>3034.19</v>
      </c>
      <c r="O165" s="2" t="s">
        <v>65</v>
      </c>
      <c r="P165" s="2" t="s">
        <v>32</v>
      </c>
      <c r="Q165" s="2" t="s">
        <v>27</v>
      </c>
      <c r="R165" s="2" t="s">
        <v>58</v>
      </c>
      <c r="S165" s="2" t="s">
        <v>33</v>
      </c>
      <c r="T165" s="2"/>
      <c r="U165" s="2"/>
      <c r="V165" s="2"/>
      <c r="W165" s="2" t="s">
        <v>174</v>
      </c>
      <c r="X165" s="2" t="s">
        <v>27</v>
      </c>
      <c r="Y165" s="2" t="s">
        <v>27</v>
      </c>
      <c r="Z165" s="2" t="s">
        <v>27</v>
      </c>
      <c r="AA165" s="3">
        <v>45729</v>
      </c>
      <c r="AB165" s="3"/>
      <c r="AC165" s="2" t="s">
        <v>27</v>
      </c>
    </row>
    <row r="166" spans="1:29" x14ac:dyDescent="0.35">
      <c r="A166" s="2">
        <v>1800001411</v>
      </c>
      <c r="B166" s="2" t="s">
        <v>63</v>
      </c>
      <c r="C166" s="3">
        <v>45729</v>
      </c>
      <c r="D166" s="3">
        <v>45731</v>
      </c>
      <c r="E166" s="2" t="s">
        <v>58</v>
      </c>
      <c r="F166" s="33">
        <v>246779411279</v>
      </c>
      <c r="G166" s="2" t="s">
        <v>28</v>
      </c>
      <c r="H166" s="2" t="s">
        <v>29</v>
      </c>
      <c r="I166" s="2" t="s">
        <v>27</v>
      </c>
      <c r="J166" s="2" t="s">
        <v>64</v>
      </c>
      <c r="K166" s="2" t="s">
        <v>38</v>
      </c>
      <c r="L166" s="4">
        <v>35</v>
      </c>
      <c r="M166" s="2" t="s">
        <v>31</v>
      </c>
      <c r="N166" s="4">
        <v>3034.19</v>
      </c>
      <c r="O166" s="2" t="s">
        <v>65</v>
      </c>
      <c r="P166" s="2" t="s">
        <v>32</v>
      </c>
      <c r="Q166" s="2" t="s">
        <v>27</v>
      </c>
      <c r="R166" s="2" t="s">
        <v>58</v>
      </c>
      <c r="S166" s="2" t="s">
        <v>33</v>
      </c>
      <c r="T166" s="2"/>
      <c r="U166" s="2"/>
      <c r="V166" s="2"/>
      <c r="W166" s="2" t="s">
        <v>175</v>
      </c>
      <c r="X166" s="2" t="s">
        <v>27</v>
      </c>
      <c r="Y166" s="2" t="s">
        <v>27</v>
      </c>
      <c r="Z166" s="2" t="s">
        <v>27</v>
      </c>
      <c r="AA166" s="3">
        <v>45729</v>
      </c>
      <c r="AB166" s="3">
        <v>45887</v>
      </c>
      <c r="AC166" s="2" t="s">
        <v>40</v>
      </c>
    </row>
    <row r="167" spans="1:29" x14ac:dyDescent="0.35">
      <c r="A167" s="2">
        <v>1800003929</v>
      </c>
      <c r="B167" s="2" t="s">
        <v>63</v>
      </c>
      <c r="C167" s="3">
        <v>45736</v>
      </c>
      <c r="D167" s="3">
        <v>45736</v>
      </c>
      <c r="E167" s="2" t="s">
        <v>58</v>
      </c>
      <c r="F167" s="33">
        <v>246779413797</v>
      </c>
      <c r="G167" s="2" t="s">
        <v>28</v>
      </c>
      <c r="H167" s="2" t="s">
        <v>29</v>
      </c>
      <c r="I167" s="2" t="s">
        <v>27</v>
      </c>
      <c r="J167" s="2" t="s">
        <v>64</v>
      </c>
      <c r="K167" s="2" t="s">
        <v>38</v>
      </c>
      <c r="L167" s="4">
        <v>1750</v>
      </c>
      <c r="M167" s="2" t="s">
        <v>31</v>
      </c>
      <c r="N167" s="4">
        <v>151709.71</v>
      </c>
      <c r="O167" s="2" t="s">
        <v>65</v>
      </c>
      <c r="P167" s="2" t="s">
        <v>32</v>
      </c>
      <c r="Q167" s="2" t="s">
        <v>27</v>
      </c>
      <c r="R167" s="2" t="s">
        <v>58</v>
      </c>
      <c r="S167" s="2" t="s">
        <v>33</v>
      </c>
      <c r="T167" s="2"/>
      <c r="U167" s="2"/>
      <c r="V167" s="2"/>
      <c r="W167" s="2" t="s">
        <v>176</v>
      </c>
      <c r="X167" s="2" t="s">
        <v>27</v>
      </c>
      <c r="Y167" s="2" t="s">
        <v>27</v>
      </c>
      <c r="Z167" s="2" t="s">
        <v>27</v>
      </c>
      <c r="AA167" s="3">
        <v>45736</v>
      </c>
      <c r="AB167" s="3"/>
      <c r="AC167" s="2" t="s">
        <v>27</v>
      </c>
    </row>
    <row r="168" spans="1:29" x14ac:dyDescent="0.35">
      <c r="A168" s="2">
        <v>1800003940</v>
      </c>
      <c r="B168" s="2" t="s">
        <v>63</v>
      </c>
      <c r="C168" s="3">
        <v>45736</v>
      </c>
      <c r="D168" s="3">
        <v>45736</v>
      </c>
      <c r="E168" s="2" t="s">
        <v>58</v>
      </c>
      <c r="F168" s="33">
        <v>246779413808</v>
      </c>
      <c r="G168" s="2" t="s">
        <v>28</v>
      </c>
      <c r="H168" s="2" t="s">
        <v>29</v>
      </c>
      <c r="I168" s="2" t="s">
        <v>27</v>
      </c>
      <c r="J168" s="2" t="s">
        <v>64</v>
      </c>
      <c r="K168" s="2" t="s">
        <v>38</v>
      </c>
      <c r="L168" s="4">
        <v>1600</v>
      </c>
      <c r="M168" s="2" t="s">
        <v>31</v>
      </c>
      <c r="N168" s="4">
        <v>138706.01999999999</v>
      </c>
      <c r="O168" s="2" t="s">
        <v>65</v>
      </c>
      <c r="P168" s="2" t="s">
        <v>32</v>
      </c>
      <c r="Q168" s="2" t="s">
        <v>27</v>
      </c>
      <c r="R168" s="2" t="s">
        <v>58</v>
      </c>
      <c r="S168" s="2" t="s">
        <v>33</v>
      </c>
      <c r="T168" s="2"/>
      <c r="U168" s="2"/>
      <c r="V168" s="2"/>
      <c r="W168" s="2" t="s">
        <v>177</v>
      </c>
      <c r="X168" s="2" t="s">
        <v>27</v>
      </c>
      <c r="Y168" s="2" t="s">
        <v>27</v>
      </c>
      <c r="Z168" s="2" t="s">
        <v>27</v>
      </c>
      <c r="AA168" s="3">
        <v>45736</v>
      </c>
      <c r="AB168" s="3"/>
      <c r="AC168" s="2" t="s">
        <v>27</v>
      </c>
    </row>
    <row r="169" spans="1:29" x14ac:dyDescent="0.35">
      <c r="A169" s="2">
        <v>1800003961</v>
      </c>
      <c r="B169" s="2" t="s">
        <v>63</v>
      </c>
      <c r="C169" s="3">
        <v>45736</v>
      </c>
      <c r="D169" s="3">
        <v>45737</v>
      </c>
      <c r="E169" s="2" t="s">
        <v>58</v>
      </c>
      <c r="F169" s="33">
        <v>246779413817</v>
      </c>
      <c r="G169" s="2" t="s">
        <v>28</v>
      </c>
      <c r="H169" s="2" t="s">
        <v>29</v>
      </c>
      <c r="I169" s="2" t="s">
        <v>27</v>
      </c>
      <c r="J169" s="2" t="s">
        <v>64</v>
      </c>
      <c r="K169" s="2" t="s">
        <v>38</v>
      </c>
      <c r="L169" s="4">
        <v>50</v>
      </c>
      <c r="M169" s="2" t="s">
        <v>31</v>
      </c>
      <c r="N169" s="4">
        <v>4334.5600000000004</v>
      </c>
      <c r="O169" s="2" t="s">
        <v>65</v>
      </c>
      <c r="P169" s="2" t="s">
        <v>32</v>
      </c>
      <c r="Q169" s="2" t="s">
        <v>27</v>
      </c>
      <c r="R169" s="2" t="s">
        <v>58</v>
      </c>
      <c r="S169" s="2" t="s">
        <v>33</v>
      </c>
      <c r="T169" s="2"/>
      <c r="U169" s="2"/>
      <c r="V169" s="2"/>
      <c r="W169" s="2" t="s">
        <v>178</v>
      </c>
      <c r="X169" s="2" t="s">
        <v>27</v>
      </c>
      <c r="Y169" s="2" t="s">
        <v>27</v>
      </c>
      <c r="Z169" s="2" t="s">
        <v>27</v>
      </c>
      <c r="AA169" s="3">
        <v>45736</v>
      </c>
      <c r="AB169" s="3"/>
      <c r="AC169" s="2" t="s">
        <v>27</v>
      </c>
    </row>
    <row r="170" spans="1:29" x14ac:dyDescent="0.35">
      <c r="A170" s="2">
        <v>1800003972</v>
      </c>
      <c r="B170" s="2" t="s">
        <v>63</v>
      </c>
      <c r="C170" s="3">
        <v>45736</v>
      </c>
      <c r="D170" s="3">
        <v>45737</v>
      </c>
      <c r="E170" s="2" t="s">
        <v>58</v>
      </c>
      <c r="F170" s="33">
        <v>246779413828</v>
      </c>
      <c r="G170" s="2" t="s">
        <v>28</v>
      </c>
      <c r="H170" s="2" t="s">
        <v>29</v>
      </c>
      <c r="I170" s="2" t="s">
        <v>27</v>
      </c>
      <c r="J170" s="2" t="s">
        <v>64</v>
      </c>
      <c r="K170" s="2" t="s">
        <v>38</v>
      </c>
      <c r="L170" s="4">
        <v>50</v>
      </c>
      <c r="M170" s="2" t="s">
        <v>31</v>
      </c>
      <c r="N170" s="4">
        <v>4334.5600000000004</v>
      </c>
      <c r="O170" s="2" t="s">
        <v>65</v>
      </c>
      <c r="P170" s="2" t="s">
        <v>32</v>
      </c>
      <c r="Q170" s="2" t="s">
        <v>27</v>
      </c>
      <c r="R170" s="2" t="s">
        <v>58</v>
      </c>
      <c r="S170" s="2" t="s">
        <v>33</v>
      </c>
      <c r="T170" s="2"/>
      <c r="U170" s="2"/>
      <c r="V170" s="2"/>
      <c r="W170" s="2" t="s">
        <v>179</v>
      </c>
      <c r="X170" s="2" t="s">
        <v>27</v>
      </c>
      <c r="Y170" s="2" t="s">
        <v>27</v>
      </c>
      <c r="Z170" s="2" t="s">
        <v>27</v>
      </c>
      <c r="AA170" s="3">
        <v>45736</v>
      </c>
      <c r="AB170" s="3"/>
      <c r="AC170" s="2" t="s">
        <v>27</v>
      </c>
    </row>
    <row r="171" spans="1:29" x14ac:dyDescent="0.35">
      <c r="A171" s="2">
        <v>1800004049</v>
      </c>
      <c r="B171" s="2" t="s">
        <v>63</v>
      </c>
      <c r="C171" s="3">
        <v>45736</v>
      </c>
      <c r="D171" s="3">
        <v>45737</v>
      </c>
      <c r="E171" s="2" t="s">
        <v>58</v>
      </c>
      <c r="F171" s="33">
        <v>246779413905</v>
      </c>
      <c r="G171" s="2" t="s">
        <v>28</v>
      </c>
      <c r="H171" s="2" t="s">
        <v>29</v>
      </c>
      <c r="I171" s="2" t="s">
        <v>27</v>
      </c>
      <c r="J171" s="2" t="s">
        <v>64</v>
      </c>
      <c r="K171" s="2" t="s">
        <v>38</v>
      </c>
      <c r="L171" s="4">
        <v>4.4000000000000004</v>
      </c>
      <c r="M171" s="2" t="s">
        <v>31</v>
      </c>
      <c r="N171" s="4">
        <v>381.44</v>
      </c>
      <c r="O171" s="2" t="s">
        <v>65</v>
      </c>
      <c r="P171" s="2" t="s">
        <v>32</v>
      </c>
      <c r="Q171" s="2" t="s">
        <v>27</v>
      </c>
      <c r="R171" s="2" t="s">
        <v>58</v>
      </c>
      <c r="S171" s="2" t="s">
        <v>33</v>
      </c>
      <c r="T171" s="2"/>
      <c r="U171" s="2"/>
      <c r="V171" s="2"/>
      <c r="W171" s="2" t="s">
        <v>180</v>
      </c>
      <c r="X171" s="2" t="s">
        <v>27</v>
      </c>
      <c r="Y171" s="2" t="s">
        <v>27</v>
      </c>
      <c r="Z171" s="2" t="s">
        <v>27</v>
      </c>
      <c r="AA171" s="3">
        <v>45736</v>
      </c>
      <c r="AB171" s="3"/>
      <c r="AC171" s="2" t="s">
        <v>27</v>
      </c>
    </row>
    <row r="172" spans="1:29" x14ac:dyDescent="0.35">
      <c r="A172" s="2">
        <v>1800004275</v>
      </c>
      <c r="B172" s="2" t="s">
        <v>63</v>
      </c>
      <c r="C172" s="3">
        <v>45736</v>
      </c>
      <c r="D172" s="3">
        <v>45737</v>
      </c>
      <c r="E172" s="2" t="s">
        <v>58</v>
      </c>
      <c r="F172" s="33">
        <v>246779414143</v>
      </c>
      <c r="G172" s="2" t="s">
        <v>28</v>
      </c>
      <c r="H172" s="2" t="s">
        <v>29</v>
      </c>
      <c r="I172" s="2" t="s">
        <v>27</v>
      </c>
      <c r="J172" s="2" t="s">
        <v>64</v>
      </c>
      <c r="K172" s="2" t="s">
        <v>38</v>
      </c>
      <c r="L172" s="4">
        <v>566.11</v>
      </c>
      <c r="M172" s="2" t="s">
        <v>31</v>
      </c>
      <c r="N172" s="4">
        <v>49076.79</v>
      </c>
      <c r="O172" s="2" t="s">
        <v>65</v>
      </c>
      <c r="P172" s="2" t="s">
        <v>32</v>
      </c>
      <c r="Q172" s="2" t="s">
        <v>27</v>
      </c>
      <c r="R172" s="2" t="s">
        <v>58</v>
      </c>
      <c r="S172" s="2" t="s">
        <v>33</v>
      </c>
      <c r="T172" s="2"/>
      <c r="U172" s="2"/>
      <c r="V172" s="2"/>
      <c r="W172" s="2" t="s">
        <v>181</v>
      </c>
      <c r="X172" s="2" t="s">
        <v>27</v>
      </c>
      <c r="Y172" s="2" t="s">
        <v>27</v>
      </c>
      <c r="Z172" s="2" t="s">
        <v>27</v>
      </c>
      <c r="AA172" s="3">
        <v>45736</v>
      </c>
      <c r="AB172" s="3"/>
      <c r="AC172" s="2" t="s">
        <v>27</v>
      </c>
    </row>
    <row r="173" spans="1:29" x14ac:dyDescent="0.35">
      <c r="A173" s="2">
        <v>1800004276</v>
      </c>
      <c r="B173" s="2" t="s">
        <v>63</v>
      </c>
      <c r="C173" s="3">
        <v>45736</v>
      </c>
      <c r="D173" s="3">
        <v>45737</v>
      </c>
      <c r="E173" s="2" t="s">
        <v>58</v>
      </c>
      <c r="F173" s="33">
        <v>246779414144</v>
      </c>
      <c r="G173" s="2" t="s">
        <v>28</v>
      </c>
      <c r="H173" s="2" t="s">
        <v>29</v>
      </c>
      <c r="I173" s="2" t="s">
        <v>27</v>
      </c>
      <c r="J173" s="2" t="s">
        <v>64</v>
      </c>
      <c r="K173" s="2" t="s">
        <v>38</v>
      </c>
      <c r="L173" s="4">
        <v>126</v>
      </c>
      <c r="M173" s="2" t="s">
        <v>31</v>
      </c>
      <c r="N173" s="4">
        <v>10923.1</v>
      </c>
      <c r="O173" s="2" t="s">
        <v>65</v>
      </c>
      <c r="P173" s="2" t="s">
        <v>32</v>
      </c>
      <c r="Q173" s="2" t="s">
        <v>27</v>
      </c>
      <c r="R173" s="2" t="s">
        <v>58</v>
      </c>
      <c r="S173" s="2" t="s">
        <v>33</v>
      </c>
      <c r="T173" s="2"/>
      <c r="U173" s="2"/>
      <c r="V173" s="2"/>
      <c r="W173" s="2" t="s">
        <v>182</v>
      </c>
      <c r="X173" s="2" t="s">
        <v>27</v>
      </c>
      <c r="Y173" s="2" t="s">
        <v>27</v>
      </c>
      <c r="Z173" s="2" t="s">
        <v>27</v>
      </c>
      <c r="AA173" s="3">
        <v>45736</v>
      </c>
      <c r="AB173" s="3"/>
      <c r="AC173" s="2" t="s">
        <v>27</v>
      </c>
    </row>
    <row r="174" spans="1:29" x14ac:dyDescent="0.35">
      <c r="A174" s="2">
        <v>1800004277</v>
      </c>
      <c r="B174" s="2" t="s">
        <v>63</v>
      </c>
      <c r="C174" s="3">
        <v>45736</v>
      </c>
      <c r="D174" s="3">
        <v>45737</v>
      </c>
      <c r="E174" s="2" t="s">
        <v>58</v>
      </c>
      <c r="F174" s="33">
        <v>246779414145</v>
      </c>
      <c r="G174" s="2" t="s">
        <v>28</v>
      </c>
      <c r="H174" s="2" t="s">
        <v>29</v>
      </c>
      <c r="I174" s="2" t="s">
        <v>27</v>
      </c>
      <c r="J174" s="2" t="s">
        <v>64</v>
      </c>
      <c r="K174" s="2" t="s">
        <v>38</v>
      </c>
      <c r="L174" s="4">
        <v>150</v>
      </c>
      <c r="M174" s="2" t="s">
        <v>31</v>
      </c>
      <c r="N174" s="4">
        <v>13003.69</v>
      </c>
      <c r="O174" s="2" t="s">
        <v>65</v>
      </c>
      <c r="P174" s="2" t="s">
        <v>32</v>
      </c>
      <c r="Q174" s="2" t="s">
        <v>27</v>
      </c>
      <c r="R174" s="2" t="s">
        <v>58</v>
      </c>
      <c r="S174" s="2" t="s">
        <v>33</v>
      </c>
      <c r="T174" s="2"/>
      <c r="U174" s="2"/>
      <c r="V174" s="2"/>
      <c r="W174" s="2" t="s">
        <v>183</v>
      </c>
      <c r="X174" s="2" t="s">
        <v>27</v>
      </c>
      <c r="Y174" s="2" t="s">
        <v>27</v>
      </c>
      <c r="Z174" s="2" t="s">
        <v>27</v>
      </c>
      <c r="AA174" s="3">
        <v>45736</v>
      </c>
      <c r="AB174" s="3"/>
      <c r="AC174" s="2" t="s">
        <v>27</v>
      </c>
    </row>
    <row r="175" spans="1:29" x14ac:dyDescent="0.35">
      <c r="A175" s="2">
        <v>1800004278</v>
      </c>
      <c r="B175" s="2" t="s">
        <v>63</v>
      </c>
      <c r="C175" s="3">
        <v>45736</v>
      </c>
      <c r="D175" s="3">
        <v>45737</v>
      </c>
      <c r="E175" s="2" t="s">
        <v>58</v>
      </c>
      <c r="F175" s="33">
        <v>246779414146</v>
      </c>
      <c r="G175" s="2" t="s">
        <v>28</v>
      </c>
      <c r="H175" s="2" t="s">
        <v>29</v>
      </c>
      <c r="I175" s="2" t="s">
        <v>27</v>
      </c>
      <c r="J175" s="2" t="s">
        <v>64</v>
      </c>
      <c r="K175" s="2" t="s">
        <v>38</v>
      </c>
      <c r="L175" s="4">
        <v>19.350000000000001</v>
      </c>
      <c r="M175" s="2" t="s">
        <v>31</v>
      </c>
      <c r="N175" s="4">
        <v>1677.48</v>
      </c>
      <c r="O175" s="2" t="s">
        <v>65</v>
      </c>
      <c r="P175" s="2" t="s">
        <v>32</v>
      </c>
      <c r="Q175" s="2" t="s">
        <v>27</v>
      </c>
      <c r="R175" s="2" t="s">
        <v>58</v>
      </c>
      <c r="S175" s="2" t="s">
        <v>33</v>
      </c>
      <c r="T175" s="2"/>
      <c r="U175" s="2"/>
      <c r="V175" s="2"/>
      <c r="W175" s="2" t="s">
        <v>184</v>
      </c>
      <c r="X175" s="2" t="s">
        <v>27</v>
      </c>
      <c r="Y175" s="2" t="s">
        <v>27</v>
      </c>
      <c r="Z175" s="2" t="s">
        <v>27</v>
      </c>
      <c r="AA175" s="3">
        <v>45736</v>
      </c>
      <c r="AB175" s="3"/>
      <c r="AC175" s="2" t="s">
        <v>27</v>
      </c>
    </row>
    <row r="176" spans="1:29" x14ac:dyDescent="0.35">
      <c r="A176" s="2">
        <v>1800004354</v>
      </c>
      <c r="B176" s="2" t="s">
        <v>63</v>
      </c>
      <c r="C176" s="3">
        <v>45736</v>
      </c>
      <c r="D176" s="3">
        <v>45737</v>
      </c>
      <c r="E176" s="2" t="s">
        <v>58</v>
      </c>
      <c r="F176" s="33">
        <v>246779414222</v>
      </c>
      <c r="G176" s="2" t="s">
        <v>28</v>
      </c>
      <c r="H176" s="2" t="s">
        <v>29</v>
      </c>
      <c r="I176" s="2" t="s">
        <v>27</v>
      </c>
      <c r="J176" s="2" t="s">
        <v>64</v>
      </c>
      <c r="K176" s="2" t="s">
        <v>38</v>
      </c>
      <c r="L176" s="4">
        <v>196.78</v>
      </c>
      <c r="M176" s="2" t="s">
        <v>31</v>
      </c>
      <c r="N176" s="4">
        <v>17059.11</v>
      </c>
      <c r="O176" s="2" t="s">
        <v>65</v>
      </c>
      <c r="P176" s="2" t="s">
        <v>32</v>
      </c>
      <c r="Q176" s="2" t="s">
        <v>27</v>
      </c>
      <c r="R176" s="2" t="s">
        <v>58</v>
      </c>
      <c r="S176" s="2" t="s">
        <v>33</v>
      </c>
      <c r="T176" s="2"/>
      <c r="U176" s="2"/>
      <c r="V176" s="2"/>
      <c r="W176" s="2" t="s">
        <v>185</v>
      </c>
      <c r="X176" s="2" t="s">
        <v>27</v>
      </c>
      <c r="Y176" s="2" t="s">
        <v>27</v>
      </c>
      <c r="Z176" s="2" t="s">
        <v>27</v>
      </c>
      <c r="AA176" s="3">
        <v>45736</v>
      </c>
      <c r="AB176" s="3"/>
      <c r="AC176" s="2" t="s">
        <v>27</v>
      </c>
    </row>
    <row r="177" spans="1:29" x14ac:dyDescent="0.35">
      <c r="A177" s="2">
        <v>1800004529</v>
      </c>
      <c r="B177" s="2" t="s">
        <v>63</v>
      </c>
      <c r="C177" s="3">
        <v>45736</v>
      </c>
      <c r="D177" s="3">
        <v>45737</v>
      </c>
      <c r="E177" s="2" t="s">
        <v>58</v>
      </c>
      <c r="F177" s="33">
        <v>246779414397</v>
      </c>
      <c r="G177" s="2" t="s">
        <v>28</v>
      </c>
      <c r="H177" s="2" t="s">
        <v>29</v>
      </c>
      <c r="I177" s="2" t="s">
        <v>27</v>
      </c>
      <c r="J177" s="2" t="s">
        <v>64</v>
      </c>
      <c r="K177" s="2" t="s">
        <v>38</v>
      </c>
      <c r="L177" s="4">
        <v>7.03</v>
      </c>
      <c r="M177" s="2" t="s">
        <v>31</v>
      </c>
      <c r="N177" s="4">
        <v>609.44000000000005</v>
      </c>
      <c r="O177" s="2" t="s">
        <v>65</v>
      </c>
      <c r="P177" s="2" t="s">
        <v>32</v>
      </c>
      <c r="Q177" s="2" t="s">
        <v>27</v>
      </c>
      <c r="R177" s="2" t="s">
        <v>58</v>
      </c>
      <c r="S177" s="2" t="s">
        <v>33</v>
      </c>
      <c r="T177" s="2"/>
      <c r="U177" s="2"/>
      <c r="V177" s="2"/>
      <c r="W177" s="2" t="s">
        <v>186</v>
      </c>
      <c r="X177" s="2" t="s">
        <v>27</v>
      </c>
      <c r="Y177" s="2" t="s">
        <v>27</v>
      </c>
      <c r="Z177" s="2" t="s">
        <v>27</v>
      </c>
      <c r="AA177" s="3">
        <v>45736</v>
      </c>
      <c r="AB177" s="3"/>
      <c r="AC177" s="2" t="s">
        <v>27</v>
      </c>
    </row>
    <row r="178" spans="1:29" x14ac:dyDescent="0.35">
      <c r="A178" s="2">
        <v>1800004530</v>
      </c>
      <c r="B178" s="2" t="s">
        <v>63</v>
      </c>
      <c r="C178" s="3">
        <v>45736</v>
      </c>
      <c r="D178" s="3">
        <v>45737</v>
      </c>
      <c r="E178" s="2" t="s">
        <v>58</v>
      </c>
      <c r="F178" s="33">
        <v>246779414398</v>
      </c>
      <c r="G178" s="2" t="s">
        <v>28</v>
      </c>
      <c r="H178" s="2" t="s">
        <v>29</v>
      </c>
      <c r="I178" s="2" t="s">
        <v>27</v>
      </c>
      <c r="J178" s="2" t="s">
        <v>64</v>
      </c>
      <c r="K178" s="2" t="s">
        <v>38</v>
      </c>
      <c r="L178" s="4">
        <v>32.380000000000003</v>
      </c>
      <c r="M178" s="2" t="s">
        <v>31</v>
      </c>
      <c r="N178" s="4">
        <v>2807.06</v>
      </c>
      <c r="O178" s="2" t="s">
        <v>65</v>
      </c>
      <c r="P178" s="2" t="s">
        <v>32</v>
      </c>
      <c r="Q178" s="2" t="s">
        <v>27</v>
      </c>
      <c r="R178" s="2" t="s">
        <v>58</v>
      </c>
      <c r="S178" s="2" t="s">
        <v>33</v>
      </c>
      <c r="T178" s="2"/>
      <c r="U178" s="2"/>
      <c r="V178" s="2"/>
      <c r="W178" s="2" t="s">
        <v>187</v>
      </c>
      <c r="X178" s="2" t="s">
        <v>27</v>
      </c>
      <c r="Y178" s="2" t="s">
        <v>27</v>
      </c>
      <c r="Z178" s="2" t="s">
        <v>27</v>
      </c>
      <c r="AA178" s="3">
        <v>45736</v>
      </c>
      <c r="AB178" s="3"/>
      <c r="AC178" s="2" t="s">
        <v>27</v>
      </c>
    </row>
    <row r="179" spans="1:29" x14ac:dyDescent="0.35">
      <c r="A179" s="2">
        <v>1800004531</v>
      </c>
      <c r="B179" s="2" t="s">
        <v>63</v>
      </c>
      <c r="C179" s="3">
        <v>45736</v>
      </c>
      <c r="D179" s="3">
        <v>45737</v>
      </c>
      <c r="E179" s="2" t="s">
        <v>58</v>
      </c>
      <c r="F179" s="33">
        <v>246779414399</v>
      </c>
      <c r="G179" s="2" t="s">
        <v>28</v>
      </c>
      <c r="H179" s="2" t="s">
        <v>29</v>
      </c>
      <c r="I179" s="2" t="s">
        <v>27</v>
      </c>
      <c r="J179" s="2" t="s">
        <v>64</v>
      </c>
      <c r="K179" s="2" t="s">
        <v>38</v>
      </c>
      <c r="L179" s="4">
        <v>77.040000000000006</v>
      </c>
      <c r="M179" s="2" t="s">
        <v>31</v>
      </c>
      <c r="N179" s="4">
        <v>6678.69</v>
      </c>
      <c r="O179" s="2" t="s">
        <v>65</v>
      </c>
      <c r="P179" s="2" t="s">
        <v>32</v>
      </c>
      <c r="Q179" s="2" t="s">
        <v>27</v>
      </c>
      <c r="R179" s="2" t="s">
        <v>58</v>
      </c>
      <c r="S179" s="2" t="s">
        <v>33</v>
      </c>
      <c r="T179" s="2"/>
      <c r="U179" s="2"/>
      <c r="V179" s="2"/>
      <c r="W179" s="2" t="s">
        <v>188</v>
      </c>
      <c r="X179" s="2" t="s">
        <v>27</v>
      </c>
      <c r="Y179" s="2" t="s">
        <v>27</v>
      </c>
      <c r="Z179" s="2" t="s">
        <v>27</v>
      </c>
      <c r="AA179" s="3">
        <v>45736</v>
      </c>
      <c r="AB179" s="3"/>
      <c r="AC179" s="2" t="s">
        <v>27</v>
      </c>
    </row>
    <row r="180" spans="1:29" x14ac:dyDescent="0.35">
      <c r="A180" s="2">
        <v>1800004867</v>
      </c>
      <c r="B180" s="2" t="s">
        <v>63</v>
      </c>
      <c r="C180" s="3">
        <v>45736</v>
      </c>
      <c r="D180" s="3">
        <v>45737</v>
      </c>
      <c r="E180" s="2" t="s">
        <v>58</v>
      </c>
      <c r="F180" s="33">
        <v>246779414735</v>
      </c>
      <c r="G180" s="2" t="s">
        <v>28</v>
      </c>
      <c r="H180" s="2" t="s">
        <v>29</v>
      </c>
      <c r="I180" s="2" t="s">
        <v>27</v>
      </c>
      <c r="J180" s="2" t="s">
        <v>64</v>
      </c>
      <c r="K180" s="2" t="s">
        <v>38</v>
      </c>
      <c r="L180" s="4">
        <v>97.4</v>
      </c>
      <c r="M180" s="2" t="s">
        <v>31</v>
      </c>
      <c r="N180" s="4">
        <v>8443.73</v>
      </c>
      <c r="O180" s="2" t="s">
        <v>65</v>
      </c>
      <c r="P180" s="2" t="s">
        <v>32</v>
      </c>
      <c r="Q180" s="2" t="s">
        <v>27</v>
      </c>
      <c r="R180" s="2" t="s">
        <v>58</v>
      </c>
      <c r="S180" s="2" t="s">
        <v>33</v>
      </c>
      <c r="T180" s="2"/>
      <c r="U180" s="2"/>
      <c r="V180" s="2"/>
      <c r="W180" s="2" t="s">
        <v>189</v>
      </c>
      <c r="X180" s="2" t="s">
        <v>27</v>
      </c>
      <c r="Y180" s="2" t="s">
        <v>27</v>
      </c>
      <c r="Z180" s="2" t="s">
        <v>27</v>
      </c>
      <c r="AA180" s="3">
        <v>45736</v>
      </c>
      <c r="AB180" s="3"/>
      <c r="AC180" s="2" t="s">
        <v>27</v>
      </c>
    </row>
    <row r="181" spans="1:29" x14ac:dyDescent="0.35">
      <c r="A181" s="2">
        <v>1800005018</v>
      </c>
      <c r="B181" s="2" t="s">
        <v>63</v>
      </c>
      <c r="C181" s="3">
        <v>45736</v>
      </c>
      <c r="D181" s="3">
        <v>45737</v>
      </c>
      <c r="E181" s="2" t="s">
        <v>58</v>
      </c>
      <c r="F181" s="33">
        <v>246779414886</v>
      </c>
      <c r="G181" s="2" t="s">
        <v>28</v>
      </c>
      <c r="H181" s="2" t="s">
        <v>29</v>
      </c>
      <c r="I181" s="2" t="s">
        <v>27</v>
      </c>
      <c r="J181" s="2" t="s">
        <v>64</v>
      </c>
      <c r="K181" s="2" t="s">
        <v>38</v>
      </c>
      <c r="L181" s="4">
        <v>30.8</v>
      </c>
      <c r="M181" s="2" t="s">
        <v>31</v>
      </c>
      <c r="N181" s="4">
        <v>2670.09</v>
      </c>
      <c r="O181" s="2" t="s">
        <v>65</v>
      </c>
      <c r="P181" s="2" t="s">
        <v>32</v>
      </c>
      <c r="Q181" s="2" t="s">
        <v>27</v>
      </c>
      <c r="R181" s="2" t="s">
        <v>58</v>
      </c>
      <c r="S181" s="2" t="s">
        <v>33</v>
      </c>
      <c r="T181" s="2"/>
      <c r="U181" s="2"/>
      <c r="V181" s="2"/>
      <c r="W181" s="2" t="s">
        <v>189</v>
      </c>
      <c r="X181" s="2" t="s">
        <v>27</v>
      </c>
      <c r="Y181" s="2" t="s">
        <v>27</v>
      </c>
      <c r="Z181" s="2" t="s">
        <v>27</v>
      </c>
      <c r="AA181" s="3">
        <v>45736</v>
      </c>
      <c r="AB181" s="3"/>
      <c r="AC181" s="2" t="s">
        <v>27</v>
      </c>
    </row>
    <row r="182" spans="1:29" x14ac:dyDescent="0.35">
      <c r="A182" s="2">
        <v>1800005019</v>
      </c>
      <c r="B182" s="2" t="s">
        <v>63</v>
      </c>
      <c r="C182" s="3">
        <v>45736</v>
      </c>
      <c r="D182" s="3">
        <v>45737</v>
      </c>
      <c r="E182" s="2" t="s">
        <v>58</v>
      </c>
      <c r="F182" s="33">
        <v>246779414887</v>
      </c>
      <c r="G182" s="2" t="s">
        <v>28</v>
      </c>
      <c r="H182" s="2" t="s">
        <v>29</v>
      </c>
      <c r="I182" s="2" t="s">
        <v>27</v>
      </c>
      <c r="J182" s="2" t="s">
        <v>64</v>
      </c>
      <c r="K182" s="2" t="s">
        <v>38</v>
      </c>
      <c r="L182" s="4">
        <v>7.27</v>
      </c>
      <c r="M182" s="2" t="s">
        <v>31</v>
      </c>
      <c r="N182" s="4">
        <v>630.25</v>
      </c>
      <c r="O182" s="2" t="s">
        <v>65</v>
      </c>
      <c r="P182" s="2" t="s">
        <v>32</v>
      </c>
      <c r="Q182" s="2" t="s">
        <v>27</v>
      </c>
      <c r="R182" s="2" t="s">
        <v>58</v>
      </c>
      <c r="S182" s="2" t="s">
        <v>33</v>
      </c>
      <c r="T182" s="2"/>
      <c r="U182" s="2"/>
      <c r="V182" s="2"/>
      <c r="W182" s="2" t="s">
        <v>189</v>
      </c>
      <c r="X182" s="2" t="s">
        <v>27</v>
      </c>
      <c r="Y182" s="2" t="s">
        <v>27</v>
      </c>
      <c r="Z182" s="2" t="s">
        <v>27</v>
      </c>
      <c r="AA182" s="3">
        <v>45736</v>
      </c>
      <c r="AB182" s="3"/>
      <c r="AC182" s="2" t="s">
        <v>27</v>
      </c>
    </row>
    <row r="183" spans="1:29" x14ac:dyDescent="0.35">
      <c r="A183" s="2">
        <v>1800005020</v>
      </c>
      <c r="B183" s="2" t="s">
        <v>63</v>
      </c>
      <c r="C183" s="3">
        <v>45736</v>
      </c>
      <c r="D183" s="3">
        <v>45737</v>
      </c>
      <c r="E183" s="2" t="s">
        <v>58</v>
      </c>
      <c r="F183" s="33">
        <v>246779414888</v>
      </c>
      <c r="G183" s="2" t="s">
        <v>28</v>
      </c>
      <c r="H183" s="2" t="s">
        <v>29</v>
      </c>
      <c r="I183" s="2" t="s">
        <v>27</v>
      </c>
      <c r="J183" s="2" t="s">
        <v>64</v>
      </c>
      <c r="K183" s="2" t="s">
        <v>38</v>
      </c>
      <c r="L183" s="4">
        <v>10.91</v>
      </c>
      <c r="M183" s="2" t="s">
        <v>31</v>
      </c>
      <c r="N183" s="4">
        <v>945.8</v>
      </c>
      <c r="O183" s="2" t="s">
        <v>65</v>
      </c>
      <c r="P183" s="2" t="s">
        <v>32</v>
      </c>
      <c r="Q183" s="2" t="s">
        <v>27</v>
      </c>
      <c r="R183" s="2" t="s">
        <v>58</v>
      </c>
      <c r="S183" s="2" t="s">
        <v>33</v>
      </c>
      <c r="T183" s="2"/>
      <c r="U183" s="2"/>
      <c r="V183" s="2"/>
      <c r="W183" s="2" t="s">
        <v>189</v>
      </c>
      <c r="X183" s="2" t="s">
        <v>27</v>
      </c>
      <c r="Y183" s="2" t="s">
        <v>27</v>
      </c>
      <c r="Z183" s="2" t="s">
        <v>27</v>
      </c>
      <c r="AA183" s="3">
        <v>45736</v>
      </c>
      <c r="AB183" s="3"/>
      <c r="AC183" s="2" t="s">
        <v>27</v>
      </c>
    </row>
    <row r="184" spans="1:29" x14ac:dyDescent="0.35">
      <c r="A184" s="2">
        <v>1800005021</v>
      </c>
      <c r="B184" s="2" t="s">
        <v>63</v>
      </c>
      <c r="C184" s="3">
        <v>45736</v>
      </c>
      <c r="D184" s="3">
        <v>45737</v>
      </c>
      <c r="E184" s="2" t="s">
        <v>58</v>
      </c>
      <c r="F184" s="33">
        <v>246779414889</v>
      </c>
      <c r="G184" s="2" t="s">
        <v>28</v>
      </c>
      <c r="H184" s="2" t="s">
        <v>29</v>
      </c>
      <c r="I184" s="2" t="s">
        <v>27</v>
      </c>
      <c r="J184" s="2" t="s">
        <v>64</v>
      </c>
      <c r="K184" s="2" t="s">
        <v>38</v>
      </c>
      <c r="L184" s="4">
        <v>2.52</v>
      </c>
      <c r="M184" s="2" t="s">
        <v>31</v>
      </c>
      <c r="N184" s="4">
        <v>218.46</v>
      </c>
      <c r="O184" s="2" t="s">
        <v>65</v>
      </c>
      <c r="P184" s="2" t="s">
        <v>32</v>
      </c>
      <c r="Q184" s="2" t="s">
        <v>27</v>
      </c>
      <c r="R184" s="2" t="s">
        <v>58</v>
      </c>
      <c r="S184" s="2" t="s">
        <v>33</v>
      </c>
      <c r="T184" s="2"/>
      <c r="U184" s="2"/>
      <c r="V184" s="2"/>
      <c r="W184" s="2" t="s">
        <v>189</v>
      </c>
      <c r="X184" s="2" t="s">
        <v>27</v>
      </c>
      <c r="Y184" s="2" t="s">
        <v>27</v>
      </c>
      <c r="Z184" s="2" t="s">
        <v>27</v>
      </c>
      <c r="AA184" s="3">
        <v>45736</v>
      </c>
      <c r="AB184" s="3"/>
      <c r="AC184" s="2" t="s">
        <v>27</v>
      </c>
    </row>
    <row r="185" spans="1:29" x14ac:dyDescent="0.35">
      <c r="A185" s="2">
        <v>1800005022</v>
      </c>
      <c r="B185" s="2" t="s">
        <v>63</v>
      </c>
      <c r="C185" s="3">
        <v>45736</v>
      </c>
      <c r="D185" s="3">
        <v>45737</v>
      </c>
      <c r="E185" s="2" t="s">
        <v>58</v>
      </c>
      <c r="F185" s="33">
        <v>246779414890</v>
      </c>
      <c r="G185" s="2" t="s">
        <v>28</v>
      </c>
      <c r="H185" s="2" t="s">
        <v>29</v>
      </c>
      <c r="I185" s="2" t="s">
        <v>27</v>
      </c>
      <c r="J185" s="2" t="s">
        <v>64</v>
      </c>
      <c r="K185" s="2" t="s">
        <v>38</v>
      </c>
      <c r="L185" s="4">
        <v>44</v>
      </c>
      <c r="M185" s="2" t="s">
        <v>31</v>
      </c>
      <c r="N185" s="4">
        <v>3814.42</v>
      </c>
      <c r="O185" s="2" t="s">
        <v>65</v>
      </c>
      <c r="P185" s="2" t="s">
        <v>32</v>
      </c>
      <c r="Q185" s="2" t="s">
        <v>27</v>
      </c>
      <c r="R185" s="2" t="s">
        <v>58</v>
      </c>
      <c r="S185" s="2" t="s">
        <v>33</v>
      </c>
      <c r="T185" s="2"/>
      <c r="U185" s="2"/>
      <c r="V185" s="2"/>
      <c r="W185" s="2" t="s">
        <v>189</v>
      </c>
      <c r="X185" s="2" t="s">
        <v>27</v>
      </c>
      <c r="Y185" s="2" t="s">
        <v>27</v>
      </c>
      <c r="Z185" s="2" t="s">
        <v>27</v>
      </c>
      <c r="AA185" s="3">
        <v>45736</v>
      </c>
      <c r="AB185" s="3"/>
      <c r="AC185" s="2" t="s">
        <v>27</v>
      </c>
    </row>
    <row r="186" spans="1:29" x14ac:dyDescent="0.35">
      <c r="A186" s="2">
        <v>1800004600</v>
      </c>
      <c r="B186" s="2" t="s">
        <v>63</v>
      </c>
      <c r="C186" s="3">
        <v>45736</v>
      </c>
      <c r="D186" s="3">
        <v>45737</v>
      </c>
      <c r="E186" s="2" t="s">
        <v>58</v>
      </c>
      <c r="F186" s="33">
        <v>246779414468</v>
      </c>
      <c r="G186" s="2" t="s">
        <v>28</v>
      </c>
      <c r="H186" s="2" t="s">
        <v>29</v>
      </c>
      <c r="I186" s="2" t="s">
        <v>27</v>
      </c>
      <c r="J186" s="2" t="s">
        <v>64</v>
      </c>
      <c r="K186" s="2" t="s">
        <v>38</v>
      </c>
      <c r="L186" s="4">
        <v>92.22</v>
      </c>
      <c r="M186" s="2" t="s">
        <v>31</v>
      </c>
      <c r="N186" s="4">
        <v>7994.67</v>
      </c>
      <c r="O186" s="2" t="s">
        <v>65</v>
      </c>
      <c r="P186" s="2" t="s">
        <v>32</v>
      </c>
      <c r="Q186" s="2" t="s">
        <v>27</v>
      </c>
      <c r="R186" s="2" t="s">
        <v>58</v>
      </c>
      <c r="S186" s="2" t="s">
        <v>33</v>
      </c>
      <c r="T186" s="2"/>
      <c r="U186" s="2"/>
      <c r="V186" s="2"/>
      <c r="W186" s="2" t="s">
        <v>190</v>
      </c>
      <c r="X186" s="2" t="s">
        <v>27</v>
      </c>
      <c r="Y186" s="2" t="s">
        <v>27</v>
      </c>
      <c r="Z186" s="2" t="s">
        <v>27</v>
      </c>
      <c r="AA186" s="3">
        <v>45736</v>
      </c>
      <c r="AB186" s="3"/>
      <c r="AC186" s="2" t="s">
        <v>27</v>
      </c>
    </row>
    <row r="187" spans="1:29" x14ac:dyDescent="0.35">
      <c r="A187" s="2">
        <v>1800004736</v>
      </c>
      <c r="B187" s="2" t="s">
        <v>63</v>
      </c>
      <c r="C187" s="3">
        <v>45736</v>
      </c>
      <c r="D187" s="3">
        <v>45737</v>
      </c>
      <c r="E187" s="2" t="s">
        <v>58</v>
      </c>
      <c r="F187" s="33">
        <v>246779414604</v>
      </c>
      <c r="G187" s="2" t="s">
        <v>28</v>
      </c>
      <c r="H187" s="2" t="s">
        <v>29</v>
      </c>
      <c r="I187" s="2" t="s">
        <v>27</v>
      </c>
      <c r="J187" s="2" t="s">
        <v>64</v>
      </c>
      <c r="K187" s="2" t="s">
        <v>38</v>
      </c>
      <c r="L187" s="4">
        <v>458.06</v>
      </c>
      <c r="M187" s="2" t="s">
        <v>31</v>
      </c>
      <c r="N187" s="4">
        <v>39709.800000000003</v>
      </c>
      <c r="O187" s="2" t="s">
        <v>65</v>
      </c>
      <c r="P187" s="2" t="s">
        <v>32</v>
      </c>
      <c r="Q187" s="2" t="s">
        <v>27</v>
      </c>
      <c r="R187" s="2" t="s">
        <v>58</v>
      </c>
      <c r="S187" s="2" t="s">
        <v>33</v>
      </c>
      <c r="T187" s="2"/>
      <c r="U187" s="2"/>
      <c r="V187" s="2"/>
      <c r="W187" s="2" t="s">
        <v>191</v>
      </c>
      <c r="X187" s="2" t="s">
        <v>27</v>
      </c>
      <c r="Y187" s="2" t="s">
        <v>27</v>
      </c>
      <c r="Z187" s="2" t="s">
        <v>27</v>
      </c>
      <c r="AA187" s="3">
        <v>45736</v>
      </c>
      <c r="AB187" s="3"/>
      <c r="AC187" s="2" t="s">
        <v>27</v>
      </c>
    </row>
    <row r="188" spans="1:29" x14ac:dyDescent="0.35">
      <c r="A188" s="2">
        <v>1800004814</v>
      </c>
      <c r="B188" s="2" t="s">
        <v>63</v>
      </c>
      <c r="C188" s="3">
        <v>45736</v>
      </c>
      <c r="D188" s="3">
        <v>45737</v>
      </c>
      <c r="E188" s="2" t="s">
        <v>58</v>
      </c>
      <c r="F188" s="33">
        <v>246779414682</v>
      </c>
      <c r="G188" s="2" t="s">
        <v>28</v>
      </c>
      <c r="H188" s="2" t="s">
        <v>29</v>
      </c>
      <c r="I188" s="2" t="s">
        <v>27</v>
      </c>
      <c r="J188" s="2" t="s">
        <v>64</v>
      </c>
      <c r="K188" s="2" t="s">
        <v>38</v>
      </c>
      <c r="L188" s="4">
        <v>90.86</v>
      </c>
      <c r="M188" s="2" t="s">
        <v>31</v>
      </c>
      <c r="N188" s="4">
        <v>7876.77</v>
      </c>
      <c r="O188" s="2" t="s">
        <v>65</v>
      </c>
      <c r="P188" s="2" t="s">
        <v>32</v>
      </c>
      <c r="Q188" s="2" t="s">
        <v>27</v>
      </c>
      <c r="R188" s="2" t="s">
        <v>58</v>
      </c>
      <c r="S188" s="2" t="s">
        <v>33</v>
      </c>
      <c r="T188" s="2"/>
      <c r="U188" s="2"/>
      <c r="V188" s="2"/>
      <c r="W188" s="2" t="s">
        <v>192</v>
      </c>
      <c r="X188" s="2" t="s">
        <v>27</v>
      </c>
      <c r="Y188" s="2" t="s">
        <v>27</v>
      </c>
      <c r="Z188" s="2" t="s">
        <v>27</v>
      </c>
      <c r="AA188" s="3">
        <v>45736</v>
      </c>
      <c r="AB188" s="3"/>
      <c r="AC188" s="2" t="s">
        <v>27</v>
      </c>
    </row>
    <row r="189" spans="1:29" x14ac:dyDescent="0.35">
      <c r="A189" s="2">
        <v>1800000101</v>
      </c>
      <c r="B189" s="2" t="s">
        <v>63</v>
      </c>
      <c r="C189" s="3">
        <v>45708</v>
      </c>
      <c r="D189" s="3">
        <v>45708</v>
      </c>
      <c r="E189" s="2" t="s">
        <v>58</v>
      </c>
      <c r="F189" s="33">
        <v>246779410029</v>
      </c>
      <c r="G189" s="2" t="s">
        <v>28</v>
      </c>
      <c r="H189" s="2" t="s">
        <v>29</v>
      </c>
      <c r="I189" s="2" t="s">
        <v>27</v>
      </c>
      <c r="J189" s="2" t="s">
        <v>64</v>
      </c>
      <c r="K189" s="2" t="s">
        <v>38</v>
      </c>
      <c r="L189" s="4">
        <v>1190.48</v>
      </c>
      <c r="M189" s="2" t="s">
        <v>31</v>
      </c>
      <c r="N189" s="4">
        <v>102742.78</v>
      </c>
      <c r="O189" s="2" t="s">
        <v>65</v>
      </c>
      <c r="P189" s="2" t="s">
        <v>32</v>
      </c>
      <c r="Q189" s="2" t="s">
        <v>27</v>
      </c>
      <c r="R189" s="2" t="s">
        <v>58</v>
      </c>
      <c r="S189" s="2" t="s">
        <v>33</v>
      </c>
      <c r="T189" s="2"/>
      <c r="U189" s="2"/>
      <c r="V189" s="2"/>
      <c r="W189" s="2" t="s">
        <v>193</v>
      </c>
      <c r="X189" s="2" t="s">
        <v>27</v>
      </c>
      <c r="Y189" s="2" t="s">
        <v>27</v>
      </c>
      <c r="Z189" s="2" t="s">
        <v>27</v>
      </c>
      <c r="AA189" s="3">
        <v>45708</v>
      </c>
      <c r="AB189" s="3"/>
      <c r="AC189" s="2" t="s">
        <v>27</v>
      </c>
    </row>
    <row r="190" spans="1:29" x14ac:dyDescent="0.35">
      <c r="A190" s="2">
        <v>1800000127</v>
      </c>
      <c r="B190" s="2" t="s">
        <v>63</v>
      </c>
      <c r="C190" s="3">
        <v>45708</v>
      </c>
      <c r="D190" s="3">
        <v>45708</v>
      </c>
      <c r="E190" s="2" t="s">
        <v>58</v>
      </c>
      <c r="F190" s="33">
        <v>246779410055</v>
      </c>
      <c r="G190" s="2" t="s">
        <v>28</v>
      </c>
      <c r="H190" s="2" t="s">
        <v>29</v>
      </c>
      <c r="I190" s="2" t="s">
        <v>27</v>
      </c>
      <c r="J190" s="2" t="s">
        <v>64</v>
      </c>
      <c r="K190" s="2" t="s">
        <v>38</v>
      </c>
      <c r="L190" s="4">
        <v>416.67</v>
      </c>
      <c r="M190" s="2" t="s">
        <v>31</v>
      </c>
      <c r="N190" s="4">
        <v>35960.15</v>
      </c>
      <c r="O190" s="2" t="s">
        <v>65</v>
      </c>
      <c r="P190" s="2" t="s">
        <v>32</v>
      </c>
      <c r="Q190" s="2" t="s">
        <v>27</v>
      </c>
      <c r="R190" s="2" t="s">
        <v>58</v>
      </c>
      <c r="S190" s="2" t="s">
        <v>33</v>
      </c>
      <c r="T190" s="2"/>
      <c r="U190" s="2"/>
      <c r="V190" s="2"/>
      <c r="W190" s="2" t="s">
        <v>194</v>
      </c>
      <c r="X190" s="2" t="s">
        <v>27</v>
      </c>
      <c r="Y190" s="2" t="s">
        <v>27</v>
      </c>
      <c r="Z190" s="2" t="s">
        <v>27</v>
      </c>
      <c r="AA190" s="3">
        <v>45708</v>
      </c>
      <c r="AB190" s="3"/>
      <c r="AC190" s="2" t="s">
        <v>27</v>
      </c>
    </row>
    <row r="191" spans="1:29" x14ac:dyDescent="0.35">
      <c r="A191" s="2">
        <v>1800000170</v>
      </c>
      <c r="B191" s="2" t="s">
        <v>63</v>
      </c>
      <c r="C191" s="3">
        <v>45708</v>
      </c>
      <c r="D191" s="3">
        <v>45708</v>
      </c>
      <c r="E191" s="2" t="s">
        <v>58</v>
      </c>
      <c r="F191" s="33">
        <v>246779410097</v>
      </c>
      <c r="G191" s="2" t="s">
        <v>28</v>
      </c>
      <c r="H191" s="2" t="s">
        <v>29</v>
      </c>
      <c r="I191" s="2" t="s">
        <v>27</v>
      </c>
      <c r="J191" s="2" t="s">
        <v>64</v>
      </c>
      <c r="K191" s="2" t="s">
        <v>38</v>
      </c>
      <c r="L191" s="4">
        <v>1190.48</v>
      </c>
      <c r="M191" s="2" t="s">
        <v>31</v>
      </c>
      <c r="N191" s="4">
        <v>102742.78</v>
      </c>
      <c r="O191" s="2" t="s">
        <v>65</v>
      </c>
      <c r="P191" s="2" t="s">
        <v>32</v>
      </c>
      <c r="Q191" s="2" t="s">
        <v>27</v>
      </c>
      <c r="R191" s="2" t="s">
        <v>58</v>
      </c>
      <c r="S191" s="2" t="s">
        <v>33</v>
      </c>
      <c r="T191" s="2"/>
      <c r="U191" s="2"/>
      <c r="V191" s="2"/>
      <c r="W191" s="2" t="s">
        <v>195</v>
      </c>
      <c r="X191" s="2" t="s">
        <v>27</v>
      </c>
      <c r="Y191" s="2" t="s">
        <v>27</v>
      </c>
      <c r="Z191" s="2" t="s">
        <v>27</v>
      </c>
      <c r="AA191" s="3">
        <v>45708</v>
      </c>
      <c r="AB191" s="3"/>
      <c r="AC191" s="2" t="s">
        <v>27</v>
      </c>
    </row>
    <row r="192" spans="1:29" x14ac:dyDescent="0.35">
      <c r="A192" s="2">
        <v>1800000196</v>
      </c>
      <c r="B192" s="2" t="s">
        <v>63</v>
      </c>
      <c r="C192" s="3">
        <v>45708</v>
      </c>
      <c r="D192" s="3">
        <v>45708</v>
      </c>
      <c r="E192" s="2" t="s">
        <v>58</v>
      </c>
      <c r="F192" s="33">
        <v>246779410123</v>
      </c>
      <c r="G192" s="2" t="s">
        <v>28</v>
      </c>
      <c r="H192" s="2" t="s">
        <v>29</v>
      </c>
      <c r="I192" s="2" t="s">
        <v>27</v>
      </c>
      <c r="J192" s="2" t="s">
        <v>64</v>
      </c>
      <c r="K192" s="2" t="s">
        <v>38</v>
      </c>
      <c r="L192" s="4">
        <v>416.67</v>
      </c>
      <c r="M192" s="2" t="s">
        <v>31</v>
      </c>
      <c r="N192" s="4">
        <v>35960.15</v>
      </c>
      <c r="O192" s="2" t="s">
        <v>65</v>
      </c>
      <c r="P192" s="2" t="s">
        <v>32</v>
      </c>
      <c r="Q192" s="2" t="s">
        <v>27</v>
      </c>
      <c r="R192" s="2" t="s">
        <v>58</v>
      </c>
      <c r="S192" s="2" t="s">
        <v>33</v>
      </c>
      <c r="T192" s="2"/>
      <c r="U192" s="2"/>
      <c r="V192" s="2"/>
      <c r="W192" s="2" t="s">
        <v>196</v>
      </c>
      <c r="X192" s="2" t="s">
        <v>27</v>
      </c>
      <c r="Y192" s="2" t="s">
        <v>27</v>
      </c>
      <c r="Z192" s="2" t="s">
        <v>27</v>
      </c>
      <c r="AA192" s="3">
        <v>45708</v>
      </c>
      <c r="AB192" s="3"/>
      <c r="AC192" s="2" t="s">
        <v>27</v>
      </c>
    </row>
    <row r="193" spans="1:29" x14ac:dyDescent="0.35">
      <c r="A193" s="2">
        <v>1800000213</v>
      </c>
      <c r="B193" s="2" t="s">
        <v>63</v>
      </c>
      <c r="C193" s="3">
        <v>45708</v>
      </c>
      <c r="D193" s="3">
        <v>45708</v>
      </c>
      <c r="E193" s="2" t="s">
        <v>58</v>
      </c>
      <c r="F193" s="33">
        <v>246779410140</v>
      </c>
      <c r="G193" s="2" t="s">
        <v>28</v>
      </c>
      <c r="H193" s="2" t="s">
        <v>29</v>
      </c>
      <c r="I193" s="2" t="s">
        <v>27</v>
      </c>
      <c r="J193" s="2" t="s">
        <v>64</v>
      </c>
      <c r="K193" s="2" t="s">
        <v>38</v>
      </c>
      <c r="L193" s="4">
        <v>1190.48</v>
      </c>
      <c r="M193" s="2" t="s">
        <v>31</v>
      </c>
      <c r="N193" s="4">
        <v>102742.78</v>
      </c>
      <c r="O193" s="2" t="s">
        <v>65</v>
      </c>
      <c r="P193" s="2" t="s">
        <v>32</v>
      </c>
      <c r="Q193" s="2" t="s">
        <v>27</v>
      </c>
      <c r="R193" s="2" t="s">
        <v>58</v>
      </c>
      <c r="S193" s="2" t="s">
        <v>33</v>
      </c>
      <c r="T193" s="2"/>
      <c r="U193" s="2"/>
      <c r="V193" s="2"/>
      <c r="W193" s="2" t="s">
        <v>197</v>
      </c>
      <c r="X193" s="2" t="s">
        <v>27</v>
      </c>
      <c r="Y193" s="2" t="s">
        <v>27</v>
      </c>
      <c r="Z193" s="2" t="s">
        <v>27</v>
      </c>
      <c r="AA193" s="3">
        <v>45708</v>
      </c>
      <c r="AB193" s="3"/>
      <c r="AC193" s="2" t="s">
        <v>27</v>
      </c>
    </row>
    <row r="194" spans="1:29" x14ac:dyDescent="0.35">
      <c r="A194" s="2">
        <v>1800000239</v>
      </c>
      <c r="B194" s="2" t="s">
        <v>63</v>
      </c>
      <c r="C194" s="3">
        <v>45708</v>
      </c>
      <c r="D194" s="3">
        <v>45708</v>
      </c>
      <c r="E194" s="2" t="s">
        <v>58</v>
      </c>
      <c r="F194" s="33">
        <v>246779410166</v>
      </c>
      <c r="G194" s="2" t="s">
        <v>28</v>
      </c>
      <c r="H194" s="2" t="s">
        <v>29</v>
      </c>
      <c r="I194" s="2" t="s">
        <v>27</v>
      </c>
      <c r="J194" s="2" t="s">
        <v>64</v>
      </c>
      <c r="K194" s="2" t="s">
        <v>38</v>
      </c>
      <c r="L194" s="4">
        <v>416.67</v>
      </c>
      <c r="M194" s="2" t="s">
        <v>31</v>
      </c>
      <c r="N194" s="4">
        <v>35960.15</v>
      </c>
      <c r="O194" s="2" t="s">
        <v>65</v>
      </c>
      <c r="P194" s="2" t="s">
        <v>32</v>
      </c>
      <c r="Q194" s="2" t="s">
        <v>27</v>
      </c>
      <c r="R194" s="2" t="s">
        <v>58</v>
      </c>
      <c r="S194" s="2" t="s">
        <v>33</v>
      </c>
      <c r="T194" s="2"/>
      <c r="U194" s="2"/>
      <c r="V194" s="2"/>
      <c r="W194" s="2" t="s">
        <v>198</v>
      </c>
      <c r="X194" s="2" t="s">
        <v>27</v>
      </c>
      <c r="Y194" s="2" t="s">
        <v>27</v>
      </c>
      <c r="Z194" s="2" t="s">
        <v>27</v>
      </c>
      <c r="AA194" s="3">
        <v>45708</v>
      </c>
      <c r="AB194" s="3"/>
      <c r="AC194" s="2" t="s">
        <v>27</v>
      </c>
    </row>
    <row r="195" spans="1:29" x14ac:dyDescent="0.35">
      <c r="A195" s="2">
        <v>1800000256</v>
      </c>
      <c r="B195" s="2" t="s">
        <v>63</v>
      </c>
      <c r="C195" s="3">
        <v>45708</v>
      </c>
      <c r="D195" s="3">
        <v>45708</v>
      </c>
      <c r="E195" s="2" t="s">
        <v>58</v>
      </c>
      <c r="F195" s="33">
        <v>246779410183</v>
      </c>
      <c r="G195" s="2" t="s">
        <v>28</v>
      </c>
      <c r="H195" s="2" t="s">
        <v>29</v>
      </c>
      <c r="I195" s="2" t="s">
        <v>27</v>
      </c>
      <c r="J195" s="2" t="s">
        <v>64</v>
      </c>
      <c r="K195" s="2" t="s">
        <v>38</v>
      </c>
      <c r="L195" s="4">
        <v>1166.5899999999999</v>
      </c>
      <c r="M195" s="2" t="s">
        <v>31</v>
      </c>
      <c r="N195" s="4">
        <v>100680.99</v>
      </c>
      <c r="O195" s="2" t="s">
        <v>65</v>
      </c>
      <c r="P195" s="2" t="s">
        <v>32</v>
      </c>
      <c r="Q195" s="2" t="s">
        <v>27</v>
      </c>
      <c r="R195" s="2" t="s">
        <v>58</v>
      </c>
      <c r="S195" s="2" t="s">
        <v>33</v>
      </c>
      <c r="T195" s="2"/>
      <c r="U195" s="2"/>
      <c r="V195" s="2"/>
      <c r="W195" s="2" t="s">
        <v>199</v>
      </c>
      <c r="X195" s="2" t="s">
        <v>27</v>
      </c>
      <c r="Y195" s="2" t="s">
        <v>27</v>
      </c>
      <c r="Z195" s="2" t="s">
        <v>27</v>
      </c>
      <c r="AA195" s="3">
        <v>45708</v>
      </c>
      <c r="AB195" s="3"/>
      <c r="AC195" s="2" t="s">
        <v>27</v>
      </c>
    </row>
    <row r="196" spans="1:29" x14ac:dyDescent="0.35">
      <c r="A196" s="2">
        <v>1800000282</v>
      </c>
      <c r="B196" s="2" t="s">
        <v>63</v>
      </c>
      <c r="C196" s="3">
        <v>45708</v>
      </c>
      <c r="D196" s="3">
        <v>45708</v>
      </c>
      <c r="E196" s="2" t="s">
        <v>58</v>
      </c>
      <c r="F196" s="33">
        <v>246779410209</v>
      </c>
      <c r="G196" s="2" t="s">
        <v>28</v>
      </c>
      <c r="H196" s="2" t="s">
        <v>29</v>
      </c>
      <c r="I196" s="2" t="s">
        <v>27</v>
      </c>
      <c r="J196" s="2" t="s">
        <v>64</v>
      </c>
      <c r="K196" s="2" t="s">
        <v>38</v>
      </c>
      <c r="L196" s="4">
        <v>408.31</v>
      </c>
      <c r="M196" s="2" t="s">
        <v>31</v>
      </c>
      <c r="N196" s="4">
        <v>35238.65</v>
      </c>
      <c r="O196" s="2" t="s">
        <v>65</v>
      </c>
      <c r="P196" s="2" t="s">
        <v>32</v>
      </c>
      <c r="Q196" s="2" t="s">
        <v>27</v>
      </c>
      <c r="R196" s="2" t="s">
        <v>58</v>
      </c>
      <c r="S196" s="2" t="s">
        <v>33</v>
      </c>
      <c r="T196" s="2"/>
      <c r="U196" s="2"/>
      <c r="V196" s="2"/>
      <c r="W196" s="2" t="s">
        <v>200</v>
      </c>
      <c r="X196" s="2" t="s">
        <v>27</v>
      </c>
      <c r="Y196" s="2" t="s">
        <v>27</v>
      </c>
      <c r="Z196" s="2" t="s">
        <v>27</v>
      </c>
      <c r="AA196" s="3">
        <v>45708</v>
      </c>
      <c r="AB196" s="3"/>
      <c r="AC196" s="2" t="s">
        <v>27</v>
      </c>
    </row>
    <row r="197" spans="1:29" x14ac:dyDescent="0.35">
      <c r="A197" s="2">
        <v>1800000299</v>
      </c>
      <c r="B197" s="2" t="s">
        <v>63</v>
      </c>
      <c r="C197" s="3">
        <v>45708</v>
      </c>
      <c r="D197" s="3">
        <v>45708</v>
      </c>
      <c r="E197" s="2" t="s">
        <v>58</v>
      </c>
      <c r="F197" s="33">
        <v>246779410226</v>
      </c>
      <c r="G197" s="2" t="s">
        <v>28</v>
      </c>
      <c r="H197" s="2" t="s">
        <v>29</v>
      </c>
      <c r="I197" s="2" t="s">
        <v>27</v>
      </c>
      <c r="J197" s="2" t="s">
        <v>64</v>
      </c>
      <c r="K197" s="2" t="s">
        <v>38</v>
      </c>
      <c r="L197" s="4">
        <v>1143.1199999999999</v>
      </c>
      <c r="M197" s="2" t="s">
        <v>31</v>
      </c>
      <c r="N197" s="4">
        <v>98655.44</v>
      </c>
      <c r="O197" s="2" t="s">
        <v>65</v>
      </c>
      <c r="P197" s="2" t="s">
        <v>32</v>
      </c>
      <c r="Q197" s="2" t="s">
        <v>27</v>
      </c>
      <c r="R197" s="2" t="s">
        <v>58</v>
      </c>
      <c r="S197" s="2" t="s">
        <v>33</v>
      </c>
      <c r="T197" s="2"/>
      <c r="U197" s="2"/>
      <c r="V197" s="2"/>
      <c r="W197" s="2" t="s">
        <v>201</v>
      </c>
      <c r="X197" s="2" t="s">
        <v>27</v>
      </c>
      <c r="Y197" s="2" t="s">
        <v>27</v>
      </c>
      <c r="Z197" s="2" t="s">
        <v>27</v>
      </c>
      <c r="AA197" s="3">
        <v>45708</v>
      </c>
      <c r="AB197" s="3"/>
      <c r="AC197" s="2" t="s">
        <v>27</v>
      </c>
    </row>
    <row r="198" spans="1:29" x14ac:dyDescent="0.35">
      <c r="A198" s="2">
        <v>1800000325</v>
      </c>
      <c r="B198" s="2" t="s">
        <v>63</v>
      </c>
      <c r="C198" s="3">
        <v>45708</v>
      </c>
      <c r="D198" s="3">
        <v>45708</v>
      </c>
      <c r="E198" s="2" t="s">
        <v>58</v>
      </c>
      <c r="F198" s="33">
        <v>246779410252</v>
      </c>
      <c r="G198" s="2" t="s">
        <v>28</v>
      </c>
      <c r="H198" s="2" t="s">
        <v>29</v>
      </c>
      <c r="I198" s="2" t="s">
        <v>27</v>
      </c>
      <c r="J198" s="2" t="s">
        <v>64</v>
      </c>
      <c r="K198" s="2" t="s">
        <v>38</v>
      </c>
      <c r="L198" s="4">
        <v>400.09</v>
      </c>
      <c r="M198" s="2" t="s">
        <v>31</v>
      </c>
      <c r="N198" s="4">
        <v>34529.230000000003</v>
      </c>
      <c r="O198" s="2" t="s">
        <v>65</v>
      </c>
      <c r="P198" s="2" t="s">
        <v>32</v>
      </c>
      <c r="Q198" s="2" t="s">
        <v>27</v>
      </c>
      <c r="R198" s="2" t="s">
        <v>58</v>
      </c>
      <c r="S198" s="2" t="s">
        <v>33</v>
      </c>
      <c r="T198" s="2"/>
      <c r="U198" s="2"/>
      <c r="V198" s="2"/>
      <c r="W198" s="2" t="s">
        <v>202</v>
      </c>
      <c r="X198" s="2" t="s">
        <v>27</v>
      </c>
      <c r="Y198" s="2" t="s">
        <v>27</v>
      </c>
      <c r="Z198" s="2" t="s">
        <v>27</v>
      </c>
      <c r="AA198" s="3">
        <v>45708</v>
      </c>
      <c r="AB198" s="3"/>
      <c r="AC198" s="2" t="s">
        <v>27</v>
      </c>
    </row>
    <row r="199" spans="1:29" x14ac:dyDescent="0.35">
      <c r="A199" s="2">
        <v>1800000070</v>
      </c>
      <c r="B199" s="2" t="s">
        <v>63</v>
      </c>
      <c r="C199" s="3">
        <v>45708</v>
      </c>
      <c r="D199" s="3">
        <v>45709</v>
      </c>
      <c r="E199" s="2" t="s">
        <v>58</v>
      </c>
      <c r="F199" s="33">
        <v>246779410276</v>
      </c>
      <c r="G199" s="2" t="s">
        <v>28</v>
      </c>
      <c r="H199" s="2" t="s">
        <v>29</v>
      </c>
      <c r="I199" s="2" t="s">
        <v>27</v>
      </c>
      <c r="J199" s="2" t="s">
        <v>64</v>
      </c>
      <c r="K199" s="2" t="s">
        <v>38</v>
      </c>
      <c r="L199" s="4">
        <v>1190.48</v>
      </c>
      <c r="M199" s="2" t="s">
        <v>31</v>
      </c>
      <c r="N199" s="4">
        <v>102742.78</v>
      </c>
      <c r="O199" s="2" t="s">
        <v>65</v>
      </c>
      <c r="P199" s="2" t="s">
        <v>32</v>
      </c>
      <c r="Q199" s="2" t="s">
        <v>27</v>
      </c>
      <c r="R199" s="2" t="s">
        <v>58</v>
      </c>
      <c r="S199" s="2" t="s">
        <v>33</v>
      </c>
      <c r="T199" s="2"/>
      <c r="U199" s="2"/>
      <c r="V199" s="2"/>
      <c r="W199" s="2" t="s">
        <v>203</v>
      </c>
      <c r="X199" s="2" t="s">
        <v>27</v>
      </c>
      <c r="Y199" s="2" t="s">
        <v>27</v>
      </c>
      <c r="Z199" s="2" t="s">
        <v>27</v>
      </c>
      <c r="AA199" s="3">
        <v>45708</v>
      </c>
      <c r="AB199" s="3"/>
      <c r="AC199" s="2" t="s">
        <v>27</v>
      </c>
    </row>
    <row r="200" spans="1:29" x14ac:dyDescent="0.35">
      <c r="A200" s="2">
        <v>1800000141</v>
      </c>
      <c r="B200" s="2" t="s">
        <v>63</v>
      </c>
      <c r="C200" s="3">
        <v>45708</v>
      </c>
      <c r="D200" s="3">
        <v>45709</v>
      </c>
      <c r="E200" s="2" t="s">
        <v>58</v>
      </c>
      <c r="F200" s="33">
        <v>246779410308</v>
      </c>
      <c r="G200" s="2" t="s">
        <v>28</v>
      </c>
      <c r="H200" s="2" t="s">
        <v>29</v>
      </c>
      <c r="I200" s="2" t="s">
        <v>27</v>
      </c>
      <c r="J200" s="2" t="s">
        <v>64</v>
      </c>
      <c r="K200" s="2" t="s">
        <v>38</v>
      </c>
      <c r="L200" s="4">
        <v>416.67</v>
      </c>
      <c r="M200" s="2" t="s">
        <v>31</v>
      </c>
      <c r="N200" s="4">
        <v>35960.15</v>
      </c>
      <c r="O200" s="2" t="s">
        <v>65</v>
      </c>
      <c r="P200" s="2" t="s">
        <v>32</v>
      </c>
      <c r="Q200" s="2" t="s">
        <v>27</v>
      </c>
      <c r="R200" s="2" t="s">
        <v>58</v>
      </c>
      <c r="S200" s="2" t="s">
        <v>33</v>
      </c>
      <c r="T200" s="2"/>
      <c r="U200" s="2"/>
      <c r="V200" s="2"/>
      <c r="W200" s="2" t="s">
        <v>204</v>
      </c>
      <c r="X200" s="2" t="s">
        <v>27</v>
      </c>
      <c r="Y200" s="2" t="s">
        <v>27</v>
      </c>
      <c r="Z200" s="2" t="s">
        <v>27</v>
      </c>
      <c r="AA200" s="3">
        <v>45708</v>
      </c>
      <c r="AB200" s="3"/>
      <c r="AC200" s="2" t="s">
        <v>27</v>
      </c>
    </row>
    <row r="201" spans="1:29" x14ac:dyDescent="0.35">
      <c r="A201" s="2">
        <v>1800000040</v>
      </c>
      <c r="B201" s="2" t="s">
        <v>63</v>
      </c>
      <c r="C201" s="3">
        <v>45708</v>
      </c>
      <c r="D201" s="3">
        <v>45708</v>
      </c>
      <c r="E201" s="2" t="s">
        <v>58</v>
      </c>
      <c r="F201" s="33">
        <v>246779410077</v>
      </c>
      <c r="G201" s="2" t="s">
        <v>28</v>
      </c>
      <c r="H201" s="2" t="s">
        <v>29</v>
      </c>
      <c r="I201" s="2" t="s">
        <v>27</v>
      </c>
      <c r="J201" s="2" t="s">
        <v>64</v>
      </c>
      <c r="K201" s="2" t="s">
        <v>38</v>
      </c>
      <c r="L201" s="4">
        <v>416.67</v>
      </c>
      <c r="M201" s="2" t="s">
        <v>31</v>
      </c>
      <c r="N201" s="4">
        <v>35960.15</v>
      </c>
      <c r="O201" s="2" t="s">
        <v>65</v>
      </c>
      <c r="P201" s="2" t="s">
        <v>32</v>
      </c>
      <c r="Q201" s="2" t="s">
        <v>27</v>
      </c>
      <c r="R201" s="2" t="s">
        <v>58</v>
      </c>
      <c r="S201" s="2" t="s">
        <v>33</v>
      </c>
      <c r="T201" s="2"/>
      <c r="U201" s="2"/>
      <c r="V201" s="2"/>
      <c r="W201" s="2" t="s">
        <v>205</v>
      </c>
      <c r="X201" s="2" t="s">
        <v>27</v>
      </c>
      <c r="Y201" s="2" t="s">
        <v>27</v>
      </c>
      <c r="Z201" s="2" t="s">
        <v>27</v>
      </c>
      <c r="AA201" s="3">
        <v>45708</v>
      </c>
      <c r="AB201" s="3">
        <v>45887</v>
      </c>
      <c r="AC201" s="2" t="s">
        <v>40</v>
      </c>
    </row>
    <row r="202" spans="1:29" x14ac:dyDescent="0.35">
      <c r="A202" s="2">
        <v>1800012185</v>
      </c>
      <c r="B202" s="2" t="s">
        <v>63</v>
      </c>
      <c r="C202" s="3">
        <v>45889</v>
      </c>
      <c r="D202" s="3">
        <v>45891</v>
      </c>
      <c r="E202" s="2" t="s">
        <v>58</v>
      </c>
      <c r="F202" s="33">
        <v>256779416817</v>
      </c>
      <c r="G202" s="2" t="s">
        <v>28</v>
      </c>
      <c r="H202" s="2" t="s">
        <v>29</v>
      </c>
      <c r="I202" s="2" t="s">
        <v>27</v>
      </c>
      <c r="J202" s="2" t="s">
        <v>64</v>
      </c>
      <c r="K202" s="2" t="s">
        <v>38</v>
      </c>
      <c r="L202" s="4">
        <v>180</v>
      </c>
      <c r="M202" s="2" t="s">
        <v>31</v>
      </c>
      <c r="N202" s="4">
        <v>15485.42</v>
      </c>
      <c r="O202" s="2" t="s">
        <v>65</v>
      </c>
      <c r="P202" s="2" t="s">
        <v>32</v>
      </c>
      <c r="Q202" s="2" t="s">
        <v>27</v>
      </c>
      <c r="R202" s="2" t="s">
        <v>58</v>
      </c>
      <c r="S202" s="2" t="s">
        <v>33</v>
      </c>
      <c r="T202" s="2"/>
      <c r="U202" s="2"/>
      <c r="V202" s="2"/>
      <c r="W202" s="2" t="s">
        <v>206</v>
      </c>
      <c r="X202" s="2" t="s">
        <v>27</v>
      </c>
      <c r="Y202" s="2" t="s">
        <v>27</v>
      </c>
      <c r="Z202" s="2" t="s">
        <v>27</v>
      </c>
      <c r="AA202" s="3">
        <v>45889</v>
      </c>
      <c r="AB202" s="3"/>
      <c r="AC202" s="2" t="s">
        <v>27</v>
      </c>
    </row>
    <row r="203" spans="1:29" x14ac:dyDescent="0.35">
      <c r="A203" s="2">
        <v>1800012249</v>
      </c>
      <c r="B203" s="2" t="s">
        <v>63</v>
      </c>
      <c r="C203" s="3">
        <v>45889</v>
      </c>
      <c r="D203" s="3">
        <v>45891</v>
      </c>
      <c r="E203" s="2" t="s">
        <v>58</v>
      </c>
      <c r="F203" s="33">
        <v>256779416845</v>
      </c>
      <c r="G203" s="2" t="s">
        <v>28</v>
      </c>
      <c r="H203" s="2" t="s">
        <v>29</v>
      </c>
      <c r="I203" s="2" t="s">
        <v>27</v>
      </c>
      <c r="J203" s="2" t="s">
        <v>64</v>
      </c>
      <c r="K203" s="2" t="s">
        <v>38</v>
      </c>
      <c r="L203" s="4">
        <v>492.48</v>
      </c>
      <c r="M203" s="2" t="s">
        <v>31</v>
      </c>
      <c r="N203" s="4">
        <v>42368.11</v>
      </c>
      <c r="O203" s="2" t="s">
        <v>65</v>
      </c>
      <c r="P203" s="2" t="s">
        <v>32</v>
      </c>
      <c r="Q203" s="2" t="s">
        <v>27</v>
      </c>
      <c r="R203" s="2" t="s">
        <v>58</v>
      </c>
      <c r="S203" s="2" t="s">
        <v>33</v>
      </c>
      <c r="T203" s="2"/>
      <c r="U203" s="2"/>
      <c r="V203" s="2"/>
      <c r="W203" s="2" t="s">
        <v>207</v>
      </c>
      <c r="X203" s="2" t="s">
        <v>27</v>
      </c>
      <c r="Y203" s="2" t="s">
        <v>27</v>
      </c>
      <c r="Z203" s="2" t="s">
        <v>27</v>
      </c>
      <c r="AA203" s="3">
        <v>45889</v>
      </c>
      <c r="AB203" s="3"/>
      <c r="AC203" s="2" t="s">
        <v>27</v>
      </c>
    </row>
    <row r="204" spans="1:29" x14ac:dyDescent="0.35">
      <c r="A204" s="2">
        <v>1800012217</v>
      </c>
      <c r="B204" s="2" t="s">
        <v>63</v>
      </c>
      <c r="C204" s="3">
        <v>45889</v>
      </c>
      <c r="D204" s="3">
        <v>45891</v>
      </c>
      <c r="E204" s="2" t="s">
        <v>58</v>
      </c>
      <c r="F204" s="33">
        <v>256779416879</v>
      </c>
      <c r="G204" s="2" t="s">
        <v>28</v>
      </c>
      <c r="H204" s="2" t="s">
        <v>29</v>
      </c>
      <c r="I204" s="2" t="s">
        <v>27</v>
      </c>
      <c r="J204" s="2" t="s">
        <v>64</v>
      </c>
      <c r="K204" s="2" t="s">
        <v>38</v>
      </c>
      <c r="L204" s="4">
        <v>84.14</v>
      </c>
      <c r="M204" s="2" t="s">
        <v>31</v>
      </c>
      <c r="N204" s="4">
        <v>7238.57</v>
      </c>
      <c r="O204" s="2" t="s">
        <v>65</v>
      </c>
      <c r="P204" s="2" t="s">
        <v>32</v>
      </c>
      <c r="Q204" s="2" t="s">
        <v>27</v>
      </c>
      <c r="R204" s="2" t="s">
        <v>58</v>
      </c>
      <c r="S204" s="2" t="s">
        <v>33</v>
      </c>
      <c r="T204" s="2"/>
      <c r="U204" s="2"/>
      <c r="V204" s="2"/>
      <c r="W204" s="2" t="s">
        <v>208</v>
      </c>
      <c r="X204" s="2" t="s">
        <v>27</v>
      </c>
      <c r="Y204" s="2" t="s">
        <v>27</v>
      </c>
      <c r="Z204" s="2" t="s">
        <v>27</v>
      </c>
      <c r="AA204" s="3">
        <v>45889</v>
      </c>
      <c r="AB204" s="3"/>
      <c r="AC204" s="2" t="s">
        <v>27</v>
      </c>
    </row>
    <row r="205" spans="1:29" x14ac:dyDescent="0.35">
      <c r="A205" s="2">
        <v>1800000016</v>
      </c>
      <c r="B205" s="2" t="s">
        <v>63</v>
      </c>
      <c r="C205" s="3">
        <v>45707</v>
      </c>
      <c r="D205" s="3">
        <v>45708</v>
      </c>
      <c r="E205" s="2" t="s">
        <v>58</v>
      </c>
      <c r="F205" s="33">
        <v>246779410009</v>
      </c>
      <c r="G205" s="2" t="s">
        <v>28</v>
      </c>
      <c r="H205" s="2" t="s">
        <v>29</v>
      </c>
      <c r="I205" s="2" t="s">
        <v>27</v>
      </c>
      <c r="J205" s="2" t="s">
        <v>64</v>
      </c>
      <c r="K205" s="2" t="s">
        <v>38</v>
      </c>
      <c r="L205" s="4">
        <v>1190.48</v>
      </c>
      <c r="M205" s="2" t="s">
        <v>31</v>
      </c>
      <c r="N205" s="4">
        <v>102742.78</v>
      </c>
      <c r="O205" s="2" t="s">
        <v>65</v>
      </c>
      <c r="P205" s="2" t="s">
        <v>32</v>
      </c>
      <c r="Q205" s="2" t="s">
        <v>27</v>
      </c>
      <c r="R205" s="2" t="s">
        <v>58</v>
      </c>
      <c r="S205" s="2" t="s">
        <v>33</v>
      </c>
      <c r="T205" s="2"/>
      <c r="U205" s="2"/>
      <c r="V205" s="2"/>
      <c r="W205" s="2" t="s">
        <v>209</v>
      </c>
      <c r="X205" s="2" t="s">
        <v>27</v>
      </c>
      <c r="Y205" s="2" t="s">
        <v>27</v>
      </c>
      <c r="Z205" s="2" t="s">
        <v>27</v>
      </c>
      <c r="AA205" s="3">
        <v>45707</v>
      </c>
      <c r="AB205" s="3">
        <v>45887</v>
      </c>
      <c r="AC205" s="2" t="s">
        <v>40</v>
      </c>
    </row>
    <row r="206" spans="1:29" x14ac:dyDescent="0.35">
      <c r="A206" s="2">
        <v>1600002318</v>
      </c>
      <c r="B206" s="2" t="s">
        <v>76</v>
      </c>
      <c r="C206" s="3">
        <v>45923</v>
      </c>
      <c r="D206" s="3">
        <v>45923</v>
      </c>
      <c r="E206" s="2" t="s">
        <v>58</v>
      </c>
      <c r="F206" s="33">
        <v>256779421873</v>
      </c>
      <c r="G206" s="2" t="s">
        <v>28</v>
      </c>
      <c r="H206" s="2" t="s">
        <v>29</v>
      </c>
      <c r="I206" s="2" t="s">
        <v>27</v>
      </c>
      <c r="J206" s="2" t="s">
        <v>77</v>
      </c>
      <c r="K206" s="2" t="s">
        <v>38</v>
      </c>
      <c r="L206" s="4">
        <v>-260.79000000000002</v>
      </c>
      <c r="M206" s="2" t="s">
        <v>31</v>
      </c>
      <c r="N206" s="4">
        <v>-22423.69</v>
      </c>
      <c r="O206" s="2" t="s">
        <v>65</v>
      </c>
      <c r="P206" s="2" t="s">
        <v>32</v>
      </c>
      <c r="Q206" s="2" t="s">
        <v>27</v>
      </c>
      <c r="R206" s="2" t="s">
        <v>210</v>
      </c>
      <c r="S206" s="2" t="s">
        <v>33</v>
      </c>
      <c r="T206" s="2"/>
      <c r="U206" s="2"/>
      <c r="V206" s="2"/>
      <c r="W206" s="2" t="s">
        <v>211</v>
      </c>
      <c r="X206" s="2" t="s">
        <v>27</v>
      </c>
      <c r="Y206" s="2" t="s">
        <v>27</v>
      </c>
      <c r="Z206" s="2" t="s">
        <v>27</v>
      </c>
      <c r="AA206" s="3">
        <v>45923</v>
      </c>
      <c r="AB206" s="3"/>
      <c r="AC206" s="2" t="s">
        <v>27</v>
      </c>
    </row>
    <row r="207" spans="1:29" x14ac:dyDescent="0.35">
      <c r="A207" s="2">
        <v>1800009577</v>
      </c>
      <c r="B207" s="2" t="s">
        <v>63</v>
      </c>
      <c r="C207" s="3">
        <v>45821</v>
      </c>
      <c r="D207" s="3">
        <v>45825</v>
      </c>
      <c r="E207" s="2" t="s">
        <v>58</v>
      </c>
      <c r="F207" s="33">
        <v>256779414341</v>
      </c>
      <c r="G207" s="2" t="s">
        <v>28</v>
      </c>
      <c r="H207" s="2" t="s">
        <v>29</v>
      </c>
      <c r="I207" s="2" t="s">
        <v>27</v>
      </c>
      <c r="J207" s="2" t="s">
        <v>64</v>
      </c>
      <c r="K207" s="2" t="s">
        <v>38</v>
      </c>
      <c r="L207" s="4">
        <v>200</v>
      </c>
      <c r="M207" s="2" t="s">
        <v>31</v>
      </c>
      <c r="N207" s="4">
        <v>17098.16</v>
      </c>
      <c r="O207" s="2" t="s">
        <v>65</v>
      </c>
      <c r="P207" s="2" t="s">
        <v>32</v>
      </c>
      <c r="Q207" s="2" t="s">
        <v>27</v>
      </c>
      <c r="R207" s="2" t="s">
        <v>58</v>
      </c>
      <c r="S207" s="2" t="s">
        <v>33</v>
      </c>
      <c r="T207" s="2"/>
      <c r="U207" s="2"/>
      <c r="V207" s="2"/>
      <c r="W207" s="2" t="s">
        <v>212</v>
      </c>
      <c r="X207" s="2" t="s">
        <v>27</v>
      </c>
      <c r="Y207" s="2" t="s">
        <v>27</v>
      </c>
      <c r="Z207" s="2" t="s">
        <v>27</v>
      </c>
      <c r="AA207" s="3">
        <v>45821</v>
      </c>
      <c r="AB207" s="3">
        <v>45888</v>
      </c>
      <c r="AC207" s="2" t="s">
        <v>52</v>
      </c>
    </row>
    <row r="208" spans="1:29" x14ac:dyDescent="0.35">
      <c r="A208" s="2">
        <v>1800008723</v>
      </c>
      <c r="B208" s="2" t="s">
        <v>63</v>
      </c>
      <c r="C208" s="3">
        <v>45797</v>
      </c>
      <c r="D208" s="3">
        <v>45805</v>
      </c>
      <c r="E208" s="2" t="s">
        <v>58</v>
      </c>
      <c r="F208" s="33">
        <v>256779413487</v>
      </c>
      <c r="G208" s="2" t="s">
        <v>28</v>
      </c>
      <c r="H208" s="2" t="s">
        <v>29</v>
      </c>
      <c r="I208" s="2" t="s">
        <v>27</v>
      </c>
      <c r="J208" s="2" t="s">
        <v>64</v>
      </c>
      <c r="K208" s="2" t="s">
        <v>38</v>
      </c>
      <c r="L208" s="4">
        <v>97.9</v>
      </c>
      <c r="M208" s="2" t="s">
        <v>31</v>
      </c>
      <c r="N208" s="4">
        <v>8417.7999999999993</v>
      </c>
      <c r="O208" s="2" t="s">
        <v>65</v>
      </c>
      <c r="P208" s="2" t="s">
        <v>32</v>
      </c>
      <c r="Q208" s="2" t="s">
        <v>27</v>
      </c>
      <c r="R208" s="2" t="s">
        <v>58</v>
      </c>
      <c r="S208" s="2" t="s">
        <v>33</v>
      </c>
      <c r="T208" s="2"/>
      <c r="U208" s="2"/>
      <c r="V208" s="2"/>
      <c r="W208" s="2" t="s">
        <v>213</v>
      </c>
      <c r="X208" s="2" t="s">
        <v>27</v>
      </c>
      <c r="Y208" s="2" t="s">
        <v>27</v>
      </c>
      <c r="Z208" s="2" t="s">
        <v>27</v>
      </c>
      <c r="AA208" s="3">
        <v>45797</v>
      </c>
      <c r="AB208" s="3"/>
      <c r="AC208" s="2" t="s">
        <v>27</v>
      </c>
    </row>
    <row r="209" spans="1:29" x14ac:dyDescent="0.35">
      <c r="A209" s="2">
        <v>1800009122</v>
      </c>
      <c r="B209" s="2" t="s">
        <v>63</v>
      </c>
      <c r="C209" s="3">
        <v>45797</v>
      </c>
      <c r="D209" s="3">
        <v>45805</v>
      </c>
      <c r="E209" s="2" t="s">
        <v>58</v>
      </c>
      <c r="F209" s="33">
        <v>256779413886</v>
      </c>
      <c r="G209" s="2" t="s">
        <v>28</v>
      </c>
      <c r="H209" s="2" t="s">
        <v>29</v>
      </c>
      <c r="I209" s="2" t="s">
        <v>27</v>
      </c>
      <c r="J209" s="2" t="s">
        <v>64</v>
      </c>
      <c r="K209" s="2" t="s">
        <v>38</v>
      </c>
      <c r="L209" s="4">
        <v>260.79000000000002</v>
      </c>
      <c r="M209" s="2" t="s">
        <v>31</v>
      </c>
      <c r="N209" s="4">
        <v>22423.69</v>
      </c>
      <c r="O209" s="2" t="s">
        <v>65</v>
      </c>
      <c r="P209" s="2" t="s">
        <v>32</v>
      </c>
      <c r="Q209" s="2" t="s">
        <v>27</v>
      </c>
      <c r="R209" s="2" t="s">
        <v>58</v>
      </c>
      <c r="S209" s="2" t="s">
        <v>33</v>
      </c>
      <c r="T209" s="2"/>
      <c r="U209" s="2"/>
      <c r="V209" s="2"/>
      <c r="W209" s="2" t="s">
        <v>214</v>
      </c>
      <c r="X209" s="2" t="s">
        <v>27</v>
      </c>
      <c r="Y209" s="2" t="s">
        <v>27</v>
      </c>
      <c r="Z209" s="2" t="s">
        <v>27</v>
      </c>
      <c r="AA209" s="3">
        <v>45797</v>
      </c>
      <c r="AB209" s="3"/>
      <c r="AC209" s="2" t="s">
        <v>27</v>
      </c>
    </row>
    <row r="210" spans="1:29" x14ac:dyDescent="0.35">
      <c r="A210" s="2">
        <v>1800011380</v>
      </c>
      <c r="B210" s="2" t="s">
        <v>63</v>
      </c>
      <c r="C210" s="3">
        <v>45873</v>
      </c>
      <c r="D210" s="3">
        <v>45873</v>
      </c>
      <c r="E210" s="2" t="s">
        <v>58</v>
      </c>
      <c r="F210" s="33">
        <v>256779416064</v>
      </c>
      <c r="G210" s="2" t="s">
        <v>28</v>
      </c>
      <c r="H210" s="2" t="s">
        <v>29</v>
      </c>
      <c r="I210" s="2" t="s">
        <v>27</v>
      </c>
      <c r="J210" s="2" t="s">
        <v>64</v>
      </c>
      <c r="K210" s="2" t="s">
        <v>38</v>
      </c>
      <c r="L210" s="4">
        <v>2006</v>
      </c>
      <c r="M210" s="2" t="s">
        <v>31</v>
      </c>
      <c r="N210" s="4">
        <v>172517.34</v>
      </c>
      <c r="O210" s="2" t="s">
        <v>215</v>
      </c>
      <c r="P210" s="2" t="s">
        <v>32</v>
      </c>
      <c r="Q210" s="2" t="s">
        <v>27</v>
      </c>
      <c r="R210" s="2" t="s">
        <v>58</v>
      </c>
      <c r="S210" s="2" t="s">
        <v>33</v>
      </c>
      <c r="T210" s="2"/>
      <c r="U210" s="2"/>
      <c r="V210" s="2"/>
      <c r="W210" s="2" t="s">
        <v>216</v>
      </c>
      <c r="X210" s="2" t="s">
        <v>27</v>
      </c>
      <c r="Y210" s="2" t="s">
        <v>27</v>
      </c>
      <c r="Z210" s="2" t="s">
        <v>27</v>
      </c>
      <c r="AA210" s="3">
        <v>45873</v>
      </c>
      <c r="AB210" s="3"/>
      <c r="AC210" s="2" t="s">
        <v>27</v>
      </c>
    </row>
    <row r="211" spans="1:29" x14ac:dyDescent="0.35">
      <c r="A211" s="2">
        <v>1800011381</v>
      </c>
      <c r="B211" s="2" t="s">
        <v>63</v>
      </c>
      <c r="C211" s="3">
        <v>45873</v>
      </c>
      <c r="D211" s="3">
        <v>45873</v>
      </c>
      <c r="E211" s="2" t="s">
        <v>58</v>
      </c>
      <c r="F211" s="33">
        <v>256779416065</v>
      </c>
      <c r="G211" s="2" t="s">
        <v>28</v>
      </c>
      <c r="H211" s="2" t="s">
        <v>29</v>
      </c>
      <c r="I211" s="2" t="s">
        <v>27</v>
      </c>
      <c r="J211" s="2" t="s">
        <v>64</v>
      </c>
      <c r="K211" s="2" t="s">
        <v>38</v>
      </c>
      <c r="L211" s="4">
        <v>2065</v>
      </c>
      <c r="M211" s="2" t="s">
        <v>31</v>
      </c>
      <c r="N211" s="4">
        <v>177591.38</v>
      </c>
      <c r="O211" s="2" t="s">
        <v>215</v>
      </c>
      <c r="P211" s="2" t="s">
        <v>32</v>
      </c>
      <c r="Q211" s="2" t="s">
        <v>27</v>
      </c>
      <c r="R211" s="2" t="s">
        <v>58</v>
      </c>
      <c r="S211" s="2" t="s">
        <v>33</v>
      </c>
      <c r="T211" s="2"/>
      <c r="U211" s="2"/>
      <c r="V211" s="2"/>
      <c r="W211" s="2" t="s">
        <v>217</v>
      </c>
      <c r="X211" s="2" t="s">
        <v>27</v>
      </c>
      <c r="Y211" s="2" t="s">
        <v>27</v>
      </c>
      <c r="Z211" s="2" t="s">
        <v>27</v>
      </c>
      <c r="AA211" s="3">
        <v>45873</v>
      </c>
      <c r="AB211" s="3"/>
      <c r="AC211" s="2" t="s">
        <v>27</v>
      </c>
    </row>
    <row r="212" spans="1:29" x14ac:dyDescent="0.35">
      <c r="A212" s="2">
        <v>1800011382</v>
      </c>
      <c r="B212" s="2" t="s">
        <v>63</v>
      </c>
      <c r="C212" s="3">
        <v>45873</v>
      </c>
      <c r="D212" s="3">
        <v>45873</v>
      </c>
      <c r="E212" s="2" t="s">
        <v>58</v>
      </c>
      <c r="F212" s="33">
        <v>256779416066</v>
      </c>
      <c r="G212" s="2" t="s">
        <v>28</v>
      </c>
      <c r="H212" s="2" t="s">
        <v>29</v>
      </c>
      <c r="I212" s="2" t="s">
        <v>27</v>
      </c>
      <c r="J212" s="2" t="s">
        <v>64</v>
      </c>
      <c r="K212" s="2" t="s">
        <v>38</v>
      </c>
      <c r="L212" s="4">
        <v>2006</v>
      </c>
      <c r="M212" s="2" t="s">
        <v>31</v>
      </c>
      <c r="N212" s="4">
        <v>172517.34</v>
      </c>
      <c r="O212" s="2" t="s">
        <v>215</v>
      </c>
      <c r="P212" s="2" t="s">
        <v>32</v>
      </c>
      <c r="Q212" s="2" t="s">
        <v>27</v>
      </c>
      <c r="R212" s="2" t="s">
        <v>58</v>
      </c>
      <c r="S212" s="2" t="s">
        <v>33</v>
      </c>
      <c r="T212" s="2"/>
      <c r="U212" s="2"/>
      <c r="V212" s="2"/>
      <c r="W212" s="2" t="s">
        <v>218</v>
      </c>
      <c r="X212" s="2" t="s">
        <v>27</v>
      </c>
      <c r="Y212" s="2" t="s">
        <v>27</v>
      </c>
      <c r="Z212" s="2" t="s">
        <v>27</v>
      </c>
      <c r="AA212" s="3">
        <v>45873</v>
      </c>
      <c r="AB212" s="3"/>
      <c r="AC212" s="2" t="s">
        <v>27</v>
      </c>
    </row>
    <row r="213" spans="1:29" x14ac:dyDescent="0.35">
      <c r="A213" s="2">
        <v>1800011383</v>
      </c>
      <c r="B213" s="2" t="s">
        <v>63</v>
      </c>
      <c r="C213" s="3">
        <v>45873</v>
      </c>
      <c r="D213" s="3">
        <v>45873</v>
      </c>
      <c r="E213" s="2" t="s">
        <v>58</v>
      </c>
      <c r="F213" s="33">
        <v>256779416067</v>
      </c>
      <c r="G213" s="2" t="s">
        <v>28</v>
      </c>
      <c r="H213" s="2" t="s">
        <v>29</v>
      </c>
      <c r="I213" s="2" t="s">
        <v>27</v>
      </c>
      <c r="J213" s="2" t="s">
        <v>64</v>
      </c>
      <c r="K213" s="2" t="s">
        <v>38</v>
      </c>
      <c r="L213" s="4">
        <v>2065</v>
      </c>
      <c r="M213" s="2" t="s">
        <v>31</v>
      </c>
      <c r="N213" s="4">
        <v>177591.38</v>
      </c>
      <c r="O213" s="2" t="s">
        <v>215</v>
      </c>
      <c r="P213" s="2" t="s">
        <v>32</v>
      </c>
      <c r="Q213" s="2" t="s">
        <v>27</v>
      </c>
      <c r="R213" s="2" t="s">
        <v>58</v>
      </c>
      <c r="S213" s="2" t="s">
        <v>33</v>
      </c>
      <c r="T213" s="2"/>
      <c r="U213" s="2"/>
      <c r="V213" s="2"/>
      <c r="W213" s="2" t="s">
        <v>219</v>
      </c>
      <c r="X213" s="2" t="s">
        <v>27</v>
      </c>
      <c r="Y213" s="2" t="s">
        <v>27</v>
      </c>
      <c r="Z213" s="2" t="s">
        <v>27</v>
      </c>
      <c r="AA213" s="3">
        <v>45873</v>
      </c>
      <c r="AB213" s="3"/>
      <c r="AC213" s="2" t="s">
        <v>27</v>
      </c>
    </row>
    <row r="214" spans="1:29" x14ac:dyDescent="0.35">
      <c r="A214" s="2">
        <v>1800005190</v>
      </c>
      <c r="B214" s="2" t="s">
        <v>63</v>
      </c>
      <c r="C214" s="3">
        <v>45750</v>
      </c>
      <c r="D214" s="3">
        <v>45752</v>
      </c>
      <c r="E214" s="2" t="s">
        <v>58</v>
      </c>
      <c r="F214" s="33">
        <v>256779410136</v>
      </c>
      <c r="G214" s="2" t="s">
        <v>28</v>
      </c>
      <c r="H214" s="2" t="s">
        <v>29</v>
      </c>
      <c r="I214" s="2" t="s">
        <v>27</v>
      </c>
      <c r="J214" s="2" t="s">
        <v>64</v>
      </c>
      <c r="K214" s="2" t="s">
        <v>38</v>
      </c>
      <c r="L214" s="4">
        <v>9.85</v>
      </c>
      <c r="M214" s="2" t="s">
        <v>31</v>
      </c>
      <c r="N214" s="4">
        <v>856.18</v>
      </c>
      <c r="O214" s="2" t="s">
        <v>65</v>
      </c>
      <c r="P214" s="2" t="s">
        <v>27</v>
      </c>
      <c r="Q214" s="2" t="s">
        <v>27</v>
      </c>
      <c r="R214" s="2" t="s">
        <v>58</v>
      </c>
      <c r="S214" s="2" t="s">
        <v>33</v>
      </c>
      <c r="T214" s="2"/>
      <c r="U214" s="2"/>
      <c r="V214" s="2"/>
      <c r="W214" s="2" t="s">
        <v>220</v>
      </c>
      <c r="X214" s="2" t="s">
        <v>27</v>
      </c>
      <c r="Y214" s="2" t="s">
        <v>27</v>
      </c>
      <c r="Z214" s="2" t="s">
        <v>27</v>
      </c>
      <c r="AA214" s="3">
        <v>45750</v>
      </c>
      <c r="AB214" s="3"/>
      <c r="AC214" s="2" t="s">
        <v>27</v>
      </c>
    </row>
    <row r="215" spans="1:29" x14ac:dyDescent="0.35">
      <c r="A215" s="2">
        <v>1800005364</v>
      </c>
      <c r="B215" s="2" t="s">
        <v>63</v>
      </c>
      <c r="C215" s="3">
        <v>45750</v>
      </c>
      <c r="D215" s="3">
        <v>45752</v>
      </c>
      <c r="E215" s="2" t="s">
        <v>58</v>
      </c>
      <c r="F215" s="33">
        <v>256779410256</v>
      </c>
      <c r="G215" s="2" t="s">
        <v>28</v>
      </c>
      <c r="H215" s="2" t="s">
        <v>29</v>
      </c>
      <c r="I215" s="2" t="s">
        <v>27</v>
      </c>
      <c r="J215" s="2" t="s">
        <v>64</v>
      </c>
      <c r="K215" s="2" t="s">
        <v>38</v>
      </c>
      <c r="L215" s="4">
        <v>408.31</v>
      </c>
      <c r="M215" s="2" t="s">
        <v>31</v>
      </c>
      <c r="N215" s="4">
        <v>35491.050000000003</v>
      </c>
      <c r="O215" s="2" t="s">
        <v>65</v>
      </c>
      <c r="P215" s="2" t="s">
        <v>27</v>
      </c>
      <c r="Q215" s="2" t="s">
        <v>27</v>
      </c>
      <c r="R215" s="2" t="s">
        <v>58</v>
      </c>
      <c r="S215" s="2" t="s">
        <v>33</v>
      </c>
      <c r="T215" s="2"/>
      <c r="U215" s="2"/>
      <c r="V215" s="2"/>
      <c r="W215" s="2" t="s">
        <v>200</v>
      </c>
      <c r="X215" s="2" t="s">
        <v>27</v>
      </c>
      <c r="Y215" s="2" t="s">
        <v>27</v>
      </c>
      <c r="Z215" s="2" t="s">
        <v>27</v>
      </c>
      <c r="AA215" s="3">
        <v>45750</v>
      </c>
      <c r="AB215" s="3"/>
      <c r="AC215" s="2" t="s">
        <v>27</v>
      </c>
    </row>
    <row r="216" spans="1:29" x14ac:dyDescent="0.35">
      <c r="A216" s="2">
        <v>1800005405</v>
      </c>
      <c r="B216" s="2" t="s">
        <v>63</v>
      </c>
      <c r="C216" s="3">
        <v>45750</v>
      </c>
      <c r="D216" s="3">
        <v>45752</v>
      </c>
      <c r="E216" s="2" t="s">
        <v>58</v>
      </c>
      <c r="F216" s="33">
        <v>256779410297</v>
      </c>
      <c r="G216" s="2" t="s">
        <v>28</v>
      </c>
      <c r="H216" s="2" t="s">
        <v>29</v>
      </c>
      <c r="I216" s="2" t="s">
        <v>27</v>
      </c>
      <c r="J216" s="2" t="s">
        <v>64</v>
      </c>
      <c r="K216" s="2" t="s">
        <v>38</v>
      </c>
      <c r="L216" s="4">
        <v>400.09</v>
      </c>
      <c r="M216" s="2" t="s">
        <v>31</v>
      </c>
      <c r="N216" s="4">
        <v>34776.550000000003</v>
      </c>
      <c r="O216" s="2" t="s">
        <v>65</v>
      </c>
      <c r="P216" s="2" t="s">
        <v>27</v>
      </c>
      <c r="Q216" s="2" t="s">
        <v>27</v>
      </c>
      <c r="R216" s="2" t="s">
        <v>58</v>
      </c>
      <c r="S216" s="2" t="s">
        <v>33</v>
      </c>
      <c r="T216" s="2"/>
      <c r="U216" s="2"/>
      <c r="V216" s="2"/>
      <c r="W216" s="2" t="s">
        <v>202</v>
      </c>
      <c r="X216" s="2" t="s">
        <v>27</v>
      </c>
      <c r="Y216" s="2" t="s">
        <v>27</v>
      </c>
      <c r="Z216" s="2" t="s">
        <v>27</v>
      </c>
      <c r="AA216" s="3">
        <v>45750</v>
      </c>
      <c r="AB216" s="3"/>
      <c r="AC216" s="2" t="s">
        <v>27</v>
      </c>
    </row>
    <row r="217" spans="1:29" x14ac:dyDescent="0.35">
      <c r="A217" s="2">
        <v>1800005338</v>
      </c>
      <c r="B217" s="2" t="s">
        <v>63</v>
      </c>
      <c r="C217" s="3">
        <v>45750</v>
      </c>
      <c r="D217" s="3">
        <v>45752</v>
      </c>
      <c r="E217" s="2" t="s">
        <v>58</v>
      </c>
      <c r="F217" s="33">
        <v>256779410230</v>
      </c>
      <c r="G217" s="2" t="s">
        <v>28</v>
      </c>
      <c r="H217" s="2" t="s">
        <v>29</v>
      </c>
      <c r="I217" s="2" t="s">
        <v>27</v>
      </c>
      <c r="J217" s="2" t="s">
        <v>64</v>
      </c>
      <c r="K217" s="2" t="s">
        <v>38</v>
      </c>
      <c r="L217" s="4">
        <v>1166.5899999999999</v>
      </c>
      <c r="M217" s="2" t="s">
        <v>31</v>
      </c>
      <c r="N217" s="4">
        <v>101402.13</v>
      </c>
      <c r="O217" s="2" t="s">
        <v>65</v>
      </c>
      <c r="P217" s="2" t="s">
        <v>27</v>
      </c>
      <c r="Q217" s="2" t="s">
        <v>27</v>
      </c>
      <c r="R217" s="2" t="s">
        <v>58</v>
      </c>
      <c r="S217" s="2" t="s">
        <v>33</v>
      </c>
      <c r="T217" s="2"/>
      <c r="U217" s="2"/>
      <c r="V217" s="2"/>
      <c r="W217" s="2" t="s">
        <v>199</v>
      </c>
      <c r="X217" s="2" t="s">
        <v>27</v>
      </c>
      <c r="Y217" s="2" t="s">
        <v>27</v>
      </c>
      <c r="Z217" s="2" t="s">
        <v>27</v>
      </c>
      <c r="AA217" s="3">
        <v>45750</v>
      </c>
      <c r="AB217" s="3">
        <v>45842</v>
      </c>
      <c r="AC217" s="2" t="s">
        <v>61</v>
      </c>
    </row>
    <row r="218" spans="1:29" x14ac:dyDescent="0.35">
      <c r="A218" s="2">
        <v>1800005379</v>
      </c>
      <c r="B218" s="2" t="s">
        <v>63</v>
      </c>
      <c r="C218" s="3">
        <v>45750</v>
      </c>
      <c r="D218" s="3">
        <v>45752</v>
      </c>
      <c r="E218" s="2" t="s">
        <v>58</v>
      </c>
      <c r="F218" s="33">
        <v>256779410271</v>
      </c>
      <c r="G218" s="2" t="s">
        <v>28</v>
      </c>
      <c r="H218" s="2" t="s">
        <v>29</v>
      </c>
      <c r="I218" s="2" t="s">
        <v>27</v>
      </c>
      <c r="J218" s="2" t="s">
        <v>64</v>
      </c>
      <c r="K218" s="2" t="s">
        <v>38</v>
      </c>
      <c r="L218" s="4">
        <v>1143.1199999999999</v>
      </c>
      <c r="M218" s="2" t="s">
        <v>31</v>
      </c>
      <c r="N218" s="4">
        <v>99362.07</v>
      </c>
      <c r="O218" s="2" t="s">
        <v>65</v>
      </c>
      <c r="P218" s="2" t="s">
        <v>27</v>
      </c>
      <c r="Q218" s="2" t="s">
        <v>27</v>
      </c>
      <c r="R218" s="2" t="s">
        <v>58</v>
      </c>
      <c r="S218" s="2" t="s">
        <v>33</v>
      </c>
      <c r="T218" s="2"/>
      <c r="U218" s="2"/>
      <c r="V218" s="2"/>
      <c r="W218" s="2" t="s">
        <v>201</v>
      </c>
      <c r="X218" s="2" t="s">
        <v>27</v>
      </c>
      <c r="Y218" s="2" t="s">
        <v>27</v>
      </c>
      <c r="Z218" s="2" t="s">
        <v>27</v>
      </c>
      <c r="AA218" s="3">
        <v>45750</v>
      </c>
      <c r="AB218" s="3">
        <v>45842</v>
      </c>
      <c r="AC218" s="2" t="s">
        <v>62</v>
      </c>
    </row>
    <row r="219" spans="1:29" x14ac:dyDescent="0.35">
      <c r="A219" s="2">
        <v>1800005060</v>
      </c>
      <c r="B219" s="2" t="s">
        <v>63</v>
      </c>
      <c r="C219" s="3">
        <v>45750</v>
      </c>
      <c r="D219" s="3">
        <v>45752</v>
      </c>
      <c r="E219" s="2" t="s">
        <v>58</v>
      </c>
      <c r="F219" s="33">
        <v>256779410006</v>
      </c>
      <c r="G219" s="2" t="s">
        <v>28</v>
      </c>
      <c r="H219" s="2" t="s">
        <v>29</v>
      </c>
      <c r="I219" s="2" t="s">
        <v>27</v>
      </c>
      <c r="J219" s="2" t="s">
        <v>64</v>
      </c>
      <c r="K219" s="2" t="s">
        <v>38</v>
      </c>
      <c r="L219" s="4">
        <v>1700</v>
      </c>
      <c r="M219" s="2" t="s">
        <v>31</v>
      </c>
      <c r="N219" s="4">
        <v>147767.09</v>
      </c>
      <c r="O219" s="2" t="s">
        <v>65</v>
      </c>
      <c r="P219" s="2" t="s">
        <v>27</v>
      </c>
      <c r="Q219" s="2" t="s">
        <v>27</v>
      </c>
      <c r="R219" s="2" t="s">
        <v>58</v>
      </c>
      <c r="S219" s="2" t="s">
        <v>33</v>
      </c>
      <c r="T219" s="2"/>
      <c r="U219" s="2"/>
      <c r="V219" s="2"/>
      <c r="W219" s="2" t="s">
        <v>90</v>
      </c>
      <c r="X219" s="2" t="s">
        <v>27</v>
      </c>
      <c r="Y219" s="2" t="s">
        <v>27</v>
      </c>
      <c r="Z219" s="2" t="s">
        <v>27</v>
      </c>
      <c r="AA219" s="3">
        <v>45750</v>
      </c>
      <c r="AB219" s="3">
        <v>45902</v>
      </c>
      <c r="AC219" s="2" t="s">
        <v>34</v>
      </c>
    </row>
    <row r="220" spans="1:29" x14ac:dyDescent="0.35">
      <c r="A220" s="2">
        <v>1800005066</v>
      </c>
      <c r="B220" s="2" t="s">
        <v>63</v>
      </c>
      <c r="C220" s="3">
        <v>45750</v>
      </c>
      <c r="D220" s="3">
        <v>45752</v>
      </c>
      <c r="E220" s="2" t="s">
        <v>58</v>
      </c>
      <c r="F220" s="33">
        <v>256779410012</v>
      </c>
      <c r="G220" s="2" t="s">
        <v>28</v>
      </c>
      <c r="H220" s="2" t="s">
        <v>29</v>
      </c>
      <c r="I220" s="2" t="s">
        <v>27</v>
      </c>
      <c r="J220" s="2" t="s">
        <v>64</v>
      </c>
      <c r="K220" s="2" t="s">
        <v>38</v>
      </c>
      <c r="L220" s="4">
        <v>1750</v>
      </c>
      <c r="M220" s="2" t="s">
        <v>31</v>
      </c>
      <c r="N220" s="4">
        <v>152113.19</v>
      </c>
      <c r="O220" s="2" t="s">
        <v>65</v>
      </c>
      <c r="P220" s="2" t="s">
        <v>27</v>
      </c>
      <c r="Q220" s="2" t="s">
        <v>27</v>
      </c>
      <c r="R220" s="2" t="s">
        <v>58</v>
      </c>
      <c r="S220" s="2" t="s">
        <v>33</v>
      </c>
      <c r="T220" s="2"/>
      <c r="U220" s="2"/>
      <c r="V220" s="2"/>
      <c r="W220" s="2" t="s">
        <v>90</v>
      </c>
      <c r="X220" s="2" t="s">
        <v>27</v>
      </c>
      <c r="Y220" s="2" t="s">
        <v>27</v>
      </c>
      <c r="Z220" s="2" t="s">
        <v>27</v>
      </c>
      <c r="AA220" s="3">
        <v>45750</v>
      </c>
      <c r="AB220" s="3">
        <v>45902</v>
      </c>
      <c r="AC220" s="2" t="s">
        <v>34</v>
      </c>
    </row>
    <row r="221" spans="1:29" x14ac:dyDescent="0.35">
      <c r="A221" s="2">
        <v>1800005069</v>
      </c>
      <c r="B221" s="2" t="s">
        <v>63</v>
      </c>
      <c r="C221" s="3">
        <v>45750</v>
      </c>
      <c r="D221" s="3">
        <v>45752</v>
      </c>
      <c r="E221" s="2" t="s">
        <v>58</v>
      </c>
      <c r="F221" s="33">
        <v>256779410015</v>
      </c>
      <c r="G221" s="2" t="s">
        <v>28</v>
      </c>
      <c r="H221" s="2" t="s">
        <v>29</v>
      </c>
      <c r="I221" s="2" t="s">
        <v>27</v>
      </c>
      <c r="J221" s="2" t="s">
        <v>64</v>
      </c>
      <c r="K221" s="2" t="s">
        <v>38</v>
      </c>
      <c r="L221" s="4">
        <v>1700</v>
      </c>
      <c r="M221" s="2" t="s">
        <v>31</v>
      </c>
      <c r="N221" s="4">
        <v>147767.09</v>
      </c>
      <c r="O221" s="2" t="s">
        <v>65</v>
      </c>
      <c r="P221" s="2" t="s">
        <v>27</v>
      </c>
      <c r="Q221" s="2" t="s">
        <v>27</v>
      </c>
      <c r="R221" s="2" t="s">
        <v>58</v>
      </c>
      <c r="S221" s="2" t="s">
        <v>33</v>
      </c>
      <c r="T221" s="2"/>
      <c r="U221" s="2"/>
      <c r="V221" s="2"/>
      <c r="W221" s="2" t="s">
        <v>90</v>
      </c>
      <c r="X221" s="2" t="s">
        <v>27</v>
      </c>
      <c r="Y221" s="2" t="s">
        <v>27</v>
      </c>
      <c r="Z221" s="2" t="s">
        <v>27</v>
      </c>
      <c r="AA221" s="3">
        <v>45750</v>
      </c>
      <c r="AB221" s="3">
        <v>45902</v>
      </c>
      <c r="AC221" s="2" t="s">
        <v>34</v>
      </c>
    </row>
    <row r="222" spans="1:29" x14ac:dyDescent="0.35">
      <c r="A222" s="2">
        <v>1800005332</v>
      </c>
      <c r="B222" s="2" t="s">
        <v>63</v>
      </c>
      <c r="C222" s="3">
        <v>45750</v>
      </c>
      <c r="D222" s="3">
        <v>45752</v>
      </c>
      <c r="E222" s="2" t="s">
        <v>58</v>
      </c>
      <c r="F222" s="33">
        <v>256779410224</v>
      </c>
      <c r="G222" s="2" t="s">
        <v>28</v>
      </c>
      <c r="H222" s="2" t="s">
        <v>29</v>
      </c>
      <c r="I222" s="2" t="s">
        <v>27</v>
      </c>
      <c r="J222" s="2" t="s">
        <v>64</v>
      </c>
      <c r="K222" s="2" t="s">
        <v>38</v>
      </c>
      <c r="L222" s="4">
        <v>1750</v>
      </c>
      <c r="M222" s="2" t="s">
        <v>31</v>
      </c>
      <c r="N222" s="4">
        <v>152113.19</v>
      </c>
      <c r="O222" s="2" t="s">
        <v>65</v>
      </c>
      <c r="P222" s="2" t="s">
        <v>27</v>
      </c>
      <c r="Q222" s="2" t="s">
        <v>27</v>
      </c>
      <c r="R222" s="2" t="s">
        <v>58</v>
      </c>
      <c r="S222" s="2" t="s">
        <v>33</v>
      </c>
      <c r="T222" s="2"/>
      <c r="U222" s="2"/>
      <c r="V222" s="2"/>
      <c r="W222" s="2" t="s">
        <v>90</v>
      </c>
      <c r="X222" s="2" t="s">
        <v>27</v>
      </c>
      <c r="Y222" s="2" t="s">
        <v>27</v>
      </c>
      <c r="Z222" s="2" t="s">
        <v>27</v>
      </c>
      <c r="AA222" s="3">
        <v>45750</v>
      </c>
      <c r="AB222" s="3">
        <v>45902</v>
      </c>
      <c r="AC222" s="2" t="s">
        <v>34</v>
      </c>
    </row>
    <row r="223" spans="1:29" x14ac:dyDescent="0.35">
      <c r="A223" s="2">
        <v>1800014014</v>
      </c>
      <c r="B223" s="2" t="s">
        <v>63</v>
      </c>
      <c r="C223" s="3">
        <v>45950</v>
      </c>
      <c r="D223" s="3">
        <v>45951</v>
      </c>
      <c r="E223" s="2" t="s">
        <v>58</v>
      </c>
      <c r="F223" s="33">
        <v>256779418621</v>
      </c>
      <c r="G223" s="2" t="s">
        <v>28</v>
      </c>
      <c r="H223" s="2" t="s">
        <v>29</v>
      </c>
      <c r="I223" s="2" t="s">
        <v>27</v>
      </c>
      <c r="J223" s="2" t="s">
        <v>64</v>
      </c>
      <c r="K223" s="2" t="s">
        <v>38</v>
      </c>
      <c r="L223" s="4">
        <v>850</v>
      </c>
      <c r="M223" s="2" t="s">
        <v>31</v>
      </c>
      <c r="N223" s="4">
        <v>74962.149999999994</v>
      </c>
      <c r="O223" s="2" t="s">
        <v>65</v>
      </c>
      <c r="P223" s="2" t="s">
        <v>32</v>
      </c>
      <c r="Q223" s="2" t="s">
        <v>27</v>
      </c>
      <c r="R223" s="2" t="s">
        <v>221</v>
      </c>
      <c r="S223" s="2" t="s">
        <v>33</v>
      </c>
      <c r="T223" s="2"/>
      <c r="U223" s="2"/>
      <c r="V223" s="2"/>
      <c r="W223" s="2" t="s">
        <v>222</v>
      </c>
      <c r="X223" s="2" t="s">
        <v>27</v>
      </c>
      <c r="Y223" s="2" t="s">
        <v>27</v>
      </c>
      <c r="Z223" s="2" t="s">
        <v>27</v>
      </c>
      <c r="AA223" s="3">
        <v>45950</v>
      </c>
      <c r="AB223" s="3"/>
      <c r="AC223" s="2" t="s">
        <v>27</v>
      </c>
    </row>
    <row r="224" spans="1:29" x14ac:dyDescent="0.35">
      <c r="A224" s="2">
        <v>1800013815</v>
      </c>
      <c r="B224" s="2" t="s">
        <v>63</v>
      </c>
      <c r="C224" s="3">
        <v>45950</v>
      </c>
      <c r="D224" s="3">
        <v>45951</v>
      </c>
      <c r="E224" s="2" t="s">
        <v>58</v>
      </c>
      <c r="F224" s="33">
        <v>256779418633</v>
      </c>
      <c r="G224" s="2" t="s">
        <v>28</v>
      </c>
      <c r="H224" s="2" t="s">
        <v>29</v>
      </c>
      <c r="I224" s="2" t="s">
        <v>27</v>
      </c>
      <c r="J224" s="2" t="s">
        <v>64</v>
      </c>
      <c r="K224" s="2" t="s">
        <v>38</v>
      </c>
      <c r="L224" s="4">
        <v>35</v>
      </c>
      <c r="M224" s="2" t="s">
        <v>31</v>
      </c>
      <c r="N224" s="4">
        <v>3086.68</v>
      </c>
      <c r="O224" s="2" t="s">
        <v>65</v>
      </c>
      <c r="P224" s="2" t="s">
        <v>32</v>
      </c>
      <c r="Q224" s="2" t="s">
        <v>27</v>
      </c>
      <c r="R224" s="2" t="s">
        <v>223</v>
      </c>
      <c r="S224" s="2" t="s">
        <v>33</v>
      </c>
      <c r="T224" s="2"/>
      <c r="U224" s="2"/>
      <c r="V224" s="2"/>
      <c r="W224" s="2" t="s">
        <v>224</v>
      </c>
      <c r="X224" s="2" t="s">
        <v>27</v>
      </c>
      <c r="Y224" s="2" t="s">
        <v>27</v>
      </c>
      <c r="Z224" s="2" t="s">
        <v>27</v>
      </c>
      <c r="AA224" s="3">
        <v>45950</v>
      </c>
      <c r="AB224" s="3"/>
      <c r="AC224" s="2" t="s">
        <v>27</v>
      </c>
    </row>
    <row r="225" spans="1:29" x14ac:dyDescent="0.35">
      <c r="A225" s="2">
        <v>1800013845</v>
      </c>
      <c r="B225" s="2" t="s">
        <v>63</v>
      </c>
      <c r="C225" s="3">
        <v>45950</v>
      </c>
      <c r="D225" s="3">
        <v>45951</v>
      </c>
      <c r="E225" s="2" t="s">
        <v>58</v>
      </c>
      <c r="F225" s="33">
        <v>256779418663</v>
      </c>
      <c r="G225" s="2" t="s">
        <v>28</v>
      </c>
      <c r="H225" s="2" t="s">
        <v>29</v>
      </c>
      <c r="I225" s="2" t="s">
        <v>27</v>
      </c>
      <c r="J225" s="2" t="s">
        <v>64</v>
      </c>
      <c r="K225" s="2" t="s">
        <v>38</v>
      </c>
      <c r="L225" s="4">
        <v>293.89</v>
      </c>
      <c r="M225" s="2" t="s">
        <v>31</v>
      </c>
      <c r="N225" s="4">
        <v>25918.39</v>
      </c>
      <c r="O225" s="2" t="s">
        <v>65</v>
      </c>
      <c r="P225" s="2" t="s">
        <v>32</v>
      </c>
      <c r="Q225" s="2" t="s">
        <v>27</v>
      </c>
      <c r="R225" s="2" t="s">
        <v>225</v>
      </c>
      <c r="S225" s="2" t="s">
        <v>33</v>
      </c>
      <c r="T225" s="2"/>
      <c r="U225" s="2"/>
      <c r="V225" s="2"/>
      <c r="W225" s="2" t="s">
        <v>226</v>
      </c>
      <c r="X225" s="2" t="s">
        <v>27</v>
      </c>
      <c r="Y225" s="2" t="s">
        <v>27</v>
      </c>
      <c r="Z225" s="2" t="s">
        <v>27</v>
      </c>
      <c r="AA225" s="3">
        <v>45950</v>
      </c>
      <c r="AB225" s="3"/>
      <c r="AC225" s="2" t="s">
        <v>27</v>
      </c>
    </row>
    <row r="226" spans="1:29" x14ac:dyDescent="0.35">
      <c r="A226" s="2">
        <v>1800013926</v>
      </c>
      <c r="B226" s="2" t="s">
        <v>63</v>
      </c>
      <c r="C226" s="3">
        <v>45950</v>
      </c>
      <c r="D226" s="3">
        <v>45951</v>
      </c>
      <c r="E226" s="2" t="s">
        <v>58</v>
      </c>
      <c r="F226" s="33">
        <v>256779418703</v>
      </c>
      <c r="G226" s="2" t="s">
        <v>28</v>
      </c>
      <c r="H226" s="2" t="s">
        <v>29</v>
      </c>
      <c r="I226" s="2" t="s">
        <v>27</v>
      </c>
      <c r="J226" s="2" t="s">
        <v>64</v>
      </c>
      <c r="K226" s="2" t="s">
        <v>38</v>
      </c>
      <c r="L226" s="4">
        <v>9.83</v>
      </c>
      <c r="M226" s="2" t="s">
        <v>31</v>
      </c>
      <c r="N226" s="4">
        <v>866.92</v>
      </c>
      <c r="O226" s="2" t="s">
        <v>65</v>
      </c>
      <c r="P226" s="2" t="s">
        <v>32</v>
      </c>
      <c r="Q226" s="2" t="s">
        <v>27</v>
      </c>
      <c r="R226" s="2" t="s">
        <v>227</v>
      </c>
      <c r="S226" s="2" t="s">
        <v>33</v>
      </c>
      <c r="T226" s="2"/>
      <c r="U226" s="2"/>
      <c r="V226" s="2"/>
      <c r="W226" s="2" t="s">
        <v>228</v>
      </c>
      <c r="X226" s="2" t="s">
        <v>27</v>
      </c>
      <c r="Y226" s="2" t="s">
        <v>27</v>
      </c>
      <c r="Z226" s="2" t="s">
        <v>27</v>
      </c>
      <c r="AA226" s="3">
        <v>45950</v>
      </c>
      <c r="AB226" s="3"/>
      <c r="AC226" s="2" t="s">
        <v>27</v>
      </c>
    </row>
    <row r="227" spans="1:29" x14ac:dyDescent="0.35">
      <c r="A227" s="2">
        <v>1800007251</v>
      </c>
      <c r="B227" s="2" t="s">
        <v>63</v>
      </c>
      <c r="C227" s="3">
        <v>45768</v>
      </c>
      <c r="D227" s="3">
        <v>45769</v>
      </c>
      <c r="E227" s="2" t="s">
        <v>58</v>
      </c>
      <c r="F227" s="33">
        <v>256779412142</v>
      </c>
      <c r="G227" s="2" t="s">
        <v>28</v>
      </c>
      <c r="H227" s="2" t="s">
        <v>29</v>
      </c>
      <c r="I227" s="2" t="s">
        <v>27</v>
      </c>
      <c r="J227" s="2" t="s">
        <v>64</v>
      </c>
      <c r="K227" s="2" t="s">
        <v>38</v>
      </c>
      <c r="L227" s="4">
        <v>1165.3699999999999</v>
      </c>
      <c r="M227" s="2" t="s">
        <v>31</v>
      </c>
      <c r="N227" s="4">
        <v>100000.4</v>
      </c>
      <c r="O227" s="2" t="s">
        <v>65</v>
      </c>
      <c r="P227" s="2" t="s">
        <v>32</v>
      </c>
      <c r="Q227" s="2" t="s">
        <v>27</v>
      </c>
      <c r="R227" s="2" t="s">
        <v>58</v>
      </c>
      <c r="S227" s="2" t="s">
        <v>33</v>
      </c>
      <c r="T227" s="2"/>
      <c r="U227" s="2"/>
      <c r="V227" s="2"/>
      <c r="W227" s="2" t="s">
        <v>229</v>
      </c>
      <c r="X227" s="2" t="s">
        <v>27</v>
      </c>
      <c r="Y227" s="2" t="s">
        <v>27</v>
      </c>
      <c r="Z227" s="2" t="s">
        <v>27</v>
      </c>
      <c r="AA227" s="3">
        <v>45768</v>
      </c>
      <c r="AB227" s="3"/>
      <c r="AC227" s="2" t="s">
        <v>27</v>
      </c>
    </row>
    <row r="228" spans="1:29" x14ac:dyDescent="0.35">
      <c r="A228" s="2">
        <v>1800007286</v>
      </c>
      <c r="B228" s="2" t="s">
        <v>63</v>
      </c>
      <c r="C228" s="3">
        <v>45768</v>
      </c>
      <c r="D228" s="3">
        <v>45769</v>
      </c>
      <c r="E228" s="2" t="s">
        <v>58</v>
      </c>
      <c r="F228" s="33">
        <v>256779412177</v>
      </c>
      <c r="G228" s="2" t="s">
        <v>28</v>
      </c>
      <c r="H228" s="2" t="s">
        <v>29</v>
      </c>
      <c r="I228" s="2" t="s">
        <v>27</v>
      </c>
      <c r="J228" s="2" t="s">
        <v>64</v>
      </c>
      <c r="K228" s="2" t="s">
        <v>38</v>
      </c>
      <c r="L228" s="4">
        <v>407.88</v>
      </c>
      <c r="M228" s="2" t="s">
        <v>31</v>
      </c>
      <c r="N228" s="4">
        <v>35000.18</v>
      </c>
      <c r="O228" s="2" t="s">
        <v>65</v>
      </c>
      <c r="P228" s="2" t="s">
        <v>32</v>
      </c>
      <c r="Q228" s="2" t="s">
        <v>27</v>
      </c>
      <c r="R228" s="2" t="s">
        <v>58</v>
      </c>
      <c r="S228" s="2" t="s">
        <v>33</v>
      </c>
      <c r="T228" s="2"/>
      <c r="U228" s="2"/>
      <c r="V228" s="2"/>
      <c r="W228" s="2" t="s">
        <v>229</v>
      </c>
      <c r="X228" s="2" t="s">
        <v>27</v>
      </c>
      <c r="Y228" s="2" t="s">
        <v>27</v>
      </c>
      <c r="Z228" s="2" t="s">
        <v>27</v>
      </c>
      <c r="AA228" s="3">
        <v>45768</v>
      </c>
      <c r="AB228" s="3"/>
      <c r="AC228" s="2" t="s">
        <v>27</v>
      </c>
    </row>
    <row r="229" spans="1:29" x14ac:dyDescent="0.35">
      <c r="A229" s="2">
        <v>1600001839</v>
      </c>
      <c r="B229" s="2" t="s">
        <v>76</v>
      </c>
      <c r="C229" s="3">
        <v>45862</v>
      </c>
      <c r="D229" s="3">
        <v>45862</v>
      </c>
      <c r="E229" s="2" t="s">
        <v>58</v>
      </c>
      <c r="F229" s="33">
        <v>256779421459</v>
      </c>
      <c r="G229" s="2" t="s">
        <v>28</v>
      </c>
      <c r="H229" s="2" t="s">
        <v>29</v>
      </c>
      <c r="I229" s="2" t="s">
        <v>27</v>
      </c>
      <c r="J229" s="2" t="s">
        <v>77</v>
      </c>
      <c r="K229" s="2" t="s">
        <v>38</v>
      </c>
      <c r="L229" s="4">
        <v>-1700</v>
      </c>
      <c r="M229" s="2" t="s">
        <v>31</v>
      </c>
      <c r="N229" s="4">
        <v>-146201.14000000001</v>
      </c>
      <c r="O229" s="2" t="s">
        <v>65</v>
      </c>
      <c r="P229" s="2" t="s">
        <v>32</v>
      </c>
      <c r="Q229" s="2" t="s">
        <v>27</v>
      </c>
      <c r="R229" s="2" t="s">
        <v>58</v>
      </c>
      <c r="S229" s="2" t="s">
        <v>33</v>
      </c>
      <c r="T229" s="2"/>
      <c r="U229" s="2"/>
      <c r="V229" s="2"/>
      <c r="W229" s="2" t="s">
        <v>230</v>
      </c>
      <c r="X229" s="2" t="s">
        <v>27</v>
      </c>
      <c r="Y229" s="2" t="s">
        <v>27</v>
      </c>
      <c r="Z229" s="2" t="s">
        <v>27</v>
      </c>
      <c r="AA229" s="3">
        <v>45862</v>
      </c>
      <c r="AB229" s="3"/>
      <c r="AC229" s="2" t="s">
        <v>27</v>
      </c>
    </row>
    <row r="230" spans="1:29" x14ac:dyDescent="0.35">
      <c r="A230" s="2">
        <v>1600001840</v>
      </c>
      <c r="B230" s="2" t="s">
        <v>76</v>
      </c>
      <c r="C230" s="3">
        <v>45862</v>
      </c>
      <c r="D230" s="3">
        <v>45862</v>
      </c>
      <c r="E230" s="2" t="s">
        <v>58</v>
      </c>
      <c r="F230" s="33">
        <v>256779421460</v>
      </c>
      <c r="G230" s="2" t="s">
        <v>28</v>
      </c>
      <c r="H230" s="2" t="s">
        <v>29</v>
      </c>
      <c r="I230" s="2" t="s">
        <v>27</v>
      </c>
      <c r="J230" s="2" t="s">
        <v>77</v>
      </c>
      <c r="K230" s="2" t="s">
        <v>38</v>
      </c>
      <c r="L230" s="4">
        <v>-1750</v>
      </c>
      <c r="M230" s="2" t="s">
        <v>31</v>
      </c>
      <c r="N230" s="4">
        <v>-150501.17000000001</v>
      </c>
      <c r="O230" s="2" t="s">
        <v>65</v>
      </c>
      <c r="P230" s="2" t="s">
        <v>32</v>
      </c>
      <c r="Q230" s="2" t="s">
        <v>27</v>
      </c>
      <c r="R230" s="2" t="s">
        <v>58</v>
      </c>
      <c r="S230" s="2" t="s">
        <v>33</v>
      </c>
      <c r="T230" s="2"/>
      <c r="U230" s="2"/>
      <c r="V230" s="2"/>
      <c r="W230" s="2" t="s">
        <v>231</v>
      </c>
      <c r="X230" s="2" t="s">
        <v>27</v>
      </c>
      <c r="Y230" s="2" t="s">
        <v>27</v>
      </c>
      <c r="Z230" s="2" t="s">
        <v>27</v>
      </c>
      <c r="AA230" s="3">
        <v>45862</v>
      </c>
      <c r="AB230" s="3"/>
      <c r="AC230" s="2" t="s">
        <v>27</v>
      </c>
    </row>
    <row r="231" spans="1:29" x14ac:dyDescent="0.35">
      <c r="A231" s="2">
        <v>1600001841</v>
      </c>
      <c r="B231" s="2" t="s">
        <v>76</v>
      </c>
      <c r="C231" s="3">
        <v>45862</v>
      </c>
      <c r="D231" s="3">
        <v>45862</v>
      </c>
      <c r="E231" s="2" t="s">
        <v>58</v>
      </c>
      <c r="F231" s="33">
        <v>256779421461</v>
      </c>
      <c r="G231" s="2" t="s">
        <v>28</v>
      </c>
      <c r="H231" s="2" t="s">
        <v>29</v>
      </c>
      <c r="I231" s="2" t="s">
        <v>27</v>
      </c>
      <c r="J231" s="2" t="s">
        <v>77</v>
      </c>
      <c r="K231" s="2" t="s">
        <v>38</v>
      </c>
      <c r="L231" s="4">
        <v>-1700</v>
      </c>
      <c r="M231" s="2" t="s">
        <v>31</v>
      </c>
      <c r="N231" s="4">
        <v>-146201.14000000001</v>
      </c>
      <c r="O231" s="2" t="s">
        <v>65</v>
      </c>
      <c r="P231" s="2" t="s">
        <v>32</v>
      </c>
      <c r="Q231" s="2" t="s">
        <v>27</v>
      </c>
      <c r="R231" s="2" t="s">
        <v>58</v>
      </c>
      <c r="S231" s="2" t="s">
        <v>33</v>
      </c>
      <c r="T231" s="2"/>
      <c r="U231" s="2"/>
      <c r="V231" s="2"/>
      <c r="W231" s="2" t="s">
        <v>232</v>
      </c>
      <c r="X231" s="2" t="s">
        <v>27</v>
      </c>
      <c r="Y231" s="2" t="s">
        <v>27</v>
      </c>
      <c r="Z231" s="2" t="s">
        <v>27</v>
      </c>
      <c r="AA231" s="3">
        <v>45862</v>
      </c>
      <c r="AB231" s="3"/>
      <c r="AC231" s="2" t="s">
        <v>27</v>
      </c>
    </row>
    <row r="232" spans="1:29" x14ac:dyDescent="0.35">
      <c r="A232" s="2">
        <v>1600001842</v>
      </c>
      <c r="B232" s="2" t="s">
        <v>76</v>
      </c>
      <c r="C232" s="3">
        <v>45862</v>
      </c>
      <c r="D232" s="3">
        <v>45862</v>
      </c>
      <c r="E232" s="2" t="s">
        <v>58</v>
      </c>
      <c r="F232" s="33">
        <v>256779421462</v>
      </c>
      <c r="G232" s="2" t="s">
        <v>28</v>
      </c>
      <c r="H232" s="2" t="s">
        <v>29</v>
      </c>
      <c r="I232" s="2" t="s">
        <v>27</v>
      </c>
      <c r="J232" s="2" t="s">
        <v>77</v>
      </c>
      <c r="K232" s="2" t="s">
        <v>38</v>
      </c>
      <c r="L232" s="4">
        <v>-1750</v>
      </c>
      <c r="M232" s="2" t="s">
        <v>31</v>
      </c>
      <c r="N232" s="4">
        <v>-150501.17000000001</v>
      </c>
      <c r="O232" s="2" t="s">
        <v>65</v>
      </c>
      <c r="P232" s="2" t="s">
        <v>32</v>
      </c>
      <c r="Q232" s="2" t="s">
        <v>27</v>
      </c>
      <c r="R232" s="2" t="s">
        <v>58</v>
      </c>
      <c r="S232" s="2" t="s">
        <v>33</v>
      </c>
      <c r="T232" s="2"/>
      <c r="U232" s="2"/>
      <c r="V232" s="2"/>
      <c r="W232" s="2" t="s">
        <v>233</v>
      </c>
      <c r="X232" s="2" t="s">
        <v>27</v>
      </c>
      <c r="Y232" s="2" t="s">
        <v>27</v>
      </c>
      <c r="Z232" s="2" t="s">
        <v>27</v>
      </c>
      <c r="AA232" s="3">
        <v>45862</v>
      </c>
      <c r="AB232" s="3"/>
      <c r="AC232" s="2" t="s">
        <v>27</v>
      </c>
    </row>
    <row r="233" spans="1:29" x14ac:dyDescent="0.35">
      <c r="A233" s="2">
        <v>1600001862</v>
      </c>
      <c r="B233" s="2" t="s">
        <v>76</v>
      </c>
      <c r="C233" s="3">
        <v>45862</v>
      </c>
      <c r="D233" s="3">
        <v>45862</v>
      </c>
      <c r="E233" s="2" t="s">
        <v>58</v>
      </c>
      <c r="F233" s="33">
        <v>256779421482</v>
      </c>
      <c r="G233" s="2" t="s">
        <v>28</v>
      </c>
      <c r="H233" s="2" t="s">
        <v>29</v>
      </c>
      <c r="I233" s="2" t="s">
        <v>27</v>
      </c>
      <c r="J233" s="2" t="s">
        <v>77</v>
      </c>
      <c r="K233" s="2" t="s">
        <v>38</v>
      </c>
      <c r="L233" s="4">
        <v>-1190.48</v>
      </c>
      <c r="M233" s="2" t="s">
        <v>31</v>
      </c>
      <c r="N233" s="4">
        <v>-102382.08</v>
      </c>
      <c r="O233" s="2" t="s">
        <v>65</v>
      </c>
      <c r="P233" s="2" t="s">
        <v>32</v>
      </c>
      <c r="Q233" s="2" t="s">
        <v>27</v>
      </c>
      <c r="R233" s="2" t="s">
        <v>58</v>
      </c>
      <c r="S233" s="2" t="s">
        <v>33</v>
      </c>
      <c r="T233" s="2"/>
      <c r="U233" s="2"/>
      <c r="V233" s="2"/>
      <c r="W233" s="2" t="s">
        <v>234</v>
      </c>
      <c r="X233" s="2" t="s">
        <v>27</v>
      </c>
      <c r="Y233" s="2" t="s">
        <v>27</v>
      </c>
      <c r="Z233" s="2" t="s">
        <v>27</v>
      </c>
      <c r="AA233" s="3">
        <v>45862</v>
      </c>
      <c r="AB233" s="3">
        <v>45902</v>
      </c>
      <c r="AC233" s="2" t="s">
        <v>34</v>
      </c>
    </row>
    <row r="234" spans="1:29" x14ac:dyDescent="0.35">
      <c r="A234" s="2">
        <v>1600001884</v>
      </c>
      <c r="B234" s="2" t="s">
        <v>76</v>
      </c>
      <c r="C234" s="3">
        <v>45862</v>
      </c>
      <c r="D234" s="3">
        <v>45862</v>
      </c>
      <c r="E234" s="2" t="s">
        <v>58</v>
      </c>
      <c r="F234" s="33">
        <v>256779421504</v>
      </c>
      <c r="G234" s="2" t="s">
        <v>28</v>
      </c>
      <c r="H234" s="2" t="s">
        <v>29</v>
      </c>
      <c r="I234" s="2" t="s">
        <v>27</v>
      </c>
      <c r="J234" s="2" t="s">
        <v>77</v>
      </c>
      <c r="K234" s="2" t="s">
        <v>38</v>
      </c>
      <c r="L234" s="4">
        <v>-1190.48</v>
      </c>
      <c r="M234" s="2" t="s">
        <v>31</v>
      </c>
      <c r="N234" s="4">
        <v>-102382.08</v>
      </c>
      <c r="O234" s="2" t="s">
        <v>65</v>
      </c>
      <c r="P234" s="2" t="s">
        <v>32</v>
      </c>
      <c r="Q234" s="2" t="s">
        <v>27</v>
      </c>
      <c r="R234" s="2" t="s">
        <v>58</v>
      </c>
      <c r="S234" s="2" t="s">
        <v>33</v>
      </c>
      <c r="T234" s="2"/>
      <c r="U234" s="2"/>
      <c r="V234" s="2"/>
      <c r="W234" s="2" t="s">
        <v>235</v>
      </c>
      <c r="X234" s="2" t="s">
        <v>27</v>
      </c>
      <c r="Y234" s="2" t="s">
        <v>27</v>
      </c>
      <c r="Z234" s="2" t="s">
        <v>27</v>
      </c>
      <c r="AA234" s="3">
        <v>45862</v>
      </c>
      <c r="AB234" s="3">
        <v>45902</v>
      </c>
      <c r="AC234" s="2" t="s">
        <v>34</v>
      </c>
    </row>
    <row r="235" spans="1:29" x14ac:dyDescent="0.35">
      <c r="A235" s="2">
        <v>1600001885</v>
      </c>
      <c r="B235" s="2" t="s">
        <v>76</v>
      </c>
      <c r="C235" s="3">
        <v>45862</v>
      </c>
      <c r="D235" s="3">
        <v>45862</v>
      </c>
      <c r="E235" s="2" t="s">
        <v>58</v>
      </c>
      <c r="F235" s="33">
        <v>256779421505</v>
      </c>
      <c r="G235" s="2" t="s">
        <v>28</v>
      </c>
      <c r="H235" s="2" t="s">
        <v>29</v>
      </c>
      <c r="I235" s="2" t="s">
        <v>27</v>
      </c>
      <c r="J235" s="2" t="s">
        <v>77</v>
      </c>
      <c r="K235" s="2" t="s">
        <v>38</v>
      </c>
      <c r="L235" s="4">
        <v>-416.67</v>
      </c>
      <c r="M235" s="2" t="s">
        <v>31</v>
      </c>
      <c r="N235" s="4">
        <v>-35833.9</v>
      </c>
      <c r="O235" s="2" t="s">
        <v>65</v>
      </c>
      <c r="P235" s="2" t="s">
        <v>32</v>
      </c>
      <c r="Q235" s="2" t="s">
        <v>27</v>
      </c>
      <c r="R235" s="2" t="s">
        <v>58</v>
      </c>
      <c r="S235" s="2" t="s">
        <v>33</v>
      </c>
      <c r="T235" s="2"/>
      <c r="U235" s="2"/>
      <c r="V235" s="2"/>
      <c r="W235" s="2" t="s">
        <v>236</v>
      </c>
      <c r="X235" s="2" t="s">
        <v>27</v>
      </c>
      <c r="Y235" s="2" t="s">
        <v>27</v>
      </c>
      <c r="Z235" s="2" t="s">
        <v>27</v>
      </c>
      <c r="AA235" s="3">
        <v>45862</v>
      </c>
      <c r="AB235" s="3">
        <v>45902</v>
      </c>
      <c r="AC235" s="2" t="s">
        <v>34</v>
      </c>
    </row>
    <row r="236" spans="1:29" x14ac:dyDescent="0.35">
      <c r="A236" s="2">
        <v>1600001912</v>
      </c>
      <c r="B236" s="2" t="s">
        <v>76</v>
      </c>
      <c r="C236" s="3">
        <v>45862</v>
      </c>
      <c r="D236" s="3">
        <v>45862</v>
      </c>
      <c r="E236" s="2" t="s">
        <v>58</v>
      </c>
      <c r="F236" s="33">
        <v>256779421532</v>
      </c>
      <c r="G236" s="2" t="s">
        <v>28</v>
      </c>
      <c r="H236" s="2" t="s">
        <v>29</v>
      </c>
      <c r="I236" s="2" t="s">
        <v>27</v>
      </c>
      <c r="J236" s="2" t="s">
        <v>77</v>
      </c>
      <c r="K236" s="2" t="s">
        <v>38</v>
      </c>
      <c r="L236" s="4">
        <v>-408.31</v>
      </c>
      <c r="M236" s="2" t="s">
        <v>31</v>
      </c>
      <c r="N236" s="4">
        <v>-35114.93</v>
      </c>
      <c r="O236" s="2" t="s">
        <v>65</v>
      </c>
      <c r="P236" s="2" t="s">
        <v>32</v>
      </c>
      <c r="Q236" s="2" t="s">
        <v>27</v>
      </c>
      <c r="R236" s="2" t="s">
        <v>58</v>
      </c>
      <c r="S236" s="2" t="s">
        <v>33</v>
      </c>
      <c r="T236" s="2"/>
      <c r="U236" s="2"/>
      <c r="V236" s="2"/>
      <c r="W236" s="2" t="s">
        <v>237</v>
      </c>
      <c r="X236" s="2" t="s">
        <v>27</v>
      </c>
      <c r="Y236" s="2" t="s">
        <v>27</v>
      </c>
      <c r="Z236" s="2" t="s">
        <v>27</v>
      </c>
      <c r="AA236" s="3">
        <v>45862</v>
      </c>
      <c r="AB236" s="3">
        <v>45902</v>
      </c>
      <c r="AC236" s="2" t="s">
        <v>34</v>
      </c>
    </row>
    <row r="237" spans="1:29" x14ac:dyDescent="0.35">
      <c r="A237" s="2">
        <v>1600001928</v>
      </c>
      <c r="B237" s="2" t="s">
        <v>76</v>
      </c>
      <c r="C237" s="3">
        <v>45862</v>
      </c>
      <c r="D237" s="3">
        <v>45862</v>
      </c>
      <c r="E237" s="2" t="s">
        <v>58</v>
      </c>
      <c r="F237" s="33">
        <v>256779421548</v>
      </c>
      <c r="G237" s="2" t="s">
        <v>28</v>
      </c>
      <c r="H237" s="2" t="s">
        <v>29</v>
      </c>
      <c r="I237" s="2" t="s">
        <v>27</v>
      </c>
      <c r="J237" s="2" t="s">
        <v>77</v>
      </c>
      <c r="K237" s="2" t="s">
        <v>38</v>
      </c>
      <c r="L237" s="4">
        <v>-400.09</v>
      </c>
      <c r="M237" s="2" t="s">
        <v>31</v>
      </c>
      <c r="N237" s="4">
        <v>-34408.01</v>
      </c>
      <c r="O237" s="2" t="s">
        <v>65</v>
      </c>
      <c r="P237" s="2" t="s">
        <v>32</v>
      </c>
      <c r="Q237" s="2" t="s">
        <v>27</v>
      </c>
      <c r="R237" s="2" t="s">
        <v>58</v>
      </c>
      <c r="S237" s="2" t="s">
        <v>33</v>
      </c>
      <c r="T237" s="2"/>
      <c r="U237" s="2"/>
      <c r="V237" s="2"/>
      <c r="W237" s="2" t="s">
        <v>238</v>
      </c>
      <c r="X237" s="2" t="s">
        <v>27</v>
      </c>
      <c r="Y237" s="2" t="s">
        <v>27</v>
      </c>
      <c r="Z237" s="2" t="s">
        <v>27</v>
      </c>
      <c r="AA237" s="3">
        <v>45862</v>
      </c>
      <c r="AB237" s="3">
        <v>45902</v>
      </c>
      <c r="AC237" s="2" t="s">
        <v>34</v>
      </c>
    </row>
    <row r="238" spans="1:29" x14ac:dyDescent="0.35">
      <c r="A238" s="2">
        <v>1800009650</v>
      </c>
      <c r="B238" s="2" t="s">
        <v>63</v>
      </c>
      <c r="C238" s="3">
        <v>45826</v>
      </c>
      <c r="D238" s="3">
        <v>45827</v>
      </c>
      <c r="E238" s="2" t="s">
        <v>58</v>
      </c>
      <c r="F238" s="33">
        <v>256779414414</v>
      </c>
      <c r="G238" s="2" t="s">
        <v>28</v>
      </c>
      <c r="H238" s="2" t="s">
        <v>29</v>
      </c>
      <c r="I238" s="2" t="s">
        <v>27</v>
      </c>
      <c r="J238" s="2" t="s">
        <v>64</v>
      </c>
      <c r="K238" s="2" t="s">
        <v>38</v>
      </c>
      <c r="L238" s="4">
        <v>1190.48</v>
      </c>
      <c r="M238" s="2" t="s">
        <v>31</v>
      </c>
      <c r="N238" s="4">
        <v>101775.06</v>
      </c>
      <c r="O238" s="2" t="s">
        <v>65</v>
      </c>
      <c r="P238" s="2" t="s">
        <v>32</v>
      </c>
      <c r="Q238" s="2" t="s">
        <v>27</v>
      </c>
      <c r="R238" s="2" t="s">
        <v>58</v>
      </c>
      <c r="S238" s="2" t="s">
        <v>33</v>
      </c>
      <c r="T238" s="2"/>
      <c r="U238" s="2"/>
      <c r="V238" s="2"/>
      <c r="W238" s="2" t="s">
        <v>195</v>
      </c>
      <c r="X238" s="2" t="s">
        <v>27</v>
      </c>
      <c r="Y238" s="2" t="s">
        <v>27</v>
      </c>
      <c r="Z238" s="2" t="s">
        <v>27</v>
      </c>
      <c r="AA238" s="3">
        <v>45826</v>
      </c>
      <c r="AB238" s="3">
        <v>45902</v>
      </c>
      <c r="AC238" s="2" t="s">
        <v>34</v>
      </c>
    </row>
    <row r="239" spans="1:29" x14ac:dyDescent="0.35">
      <c r="A239" s="2">
        <v>1800009673</v>
      </c>
      <c r="B239" s="2" t="s">
        <v>63</v>
      </c>
      <c r="C239" s="3">
        <v>45826</v>
      </c>
      <c r="D239" s="3">
        <v>45827</v>
      </c>
      <c r="E239" s="2" t="s">
        <v>58</v>
      </c>
      <c r="F239" s="33">
        <v>256779414437</v>
      </c>
      <c r="G239" s="2" t="s">
        <v>28</v>
      </c>
      <c r="H239" s="2" t="s">
        <v>29</v>
      </c>
      <c r="I239" s="2" t="s">
        <v>27</v>
      </c>
      <c r="J239" s="2" t="s">
        <v>64</v>
      </c>
      <c r="K239" s="2" t="s">
        <v>38</v>
      </c>
      <c r="L239" s="4">
        <v>1190.48</v>
      </c>
      <c r="M239" s="2" t="s">
        <v>31</v>
      </c>
      <c r="N239" s="4">
        <v>101775.06</v>
      </c>
      <c r="O239" s="2" t="s">
        <v>65</v>
      </c>
      <c r="P239" s="2" t="s">
        <v>32</v>
      </c>
      <c r="Q239" s="2" t="s">
        <v>27</v>
      </c>
      <c r="R239" s="2" t="s">
        <v>58</v>
      </c>
      <c r="S239" s="2" t="s">
        <v>33</v>
      </c>
      <c r="T239" s="2"/>
      <c r="U239" s="2"/>
      <c r="V239" s="2"/>
      <c r="W239" s="2" t="s">
        <v>197</v>
      </c>
      <c r="X239" s="2" t="s">
        <v>27</v>
      </c>
      <c r="Y239" s="2" t="s">
        <v>27</v>
      </c>
      <c r="Z239" s="2" t="s">
        <v>27</v>
      </c>
      <c r="AA239" s="3">
        <v>45826</v>
      </c>
      <c r="AB239" s="3">
        <v>45902</v>
      </c>
      <c r="AC239" s="2" t="s">
        <v>34</v>
      </c>
    </row>
    <row r="240" spans="1:29" x14ac:dyDescent="0.35">
      <c r="A240" s="2">
        <v>1800009674</v>
      </c>
      <c r="B240" s="2" t="s">
        <v>63</v>
      </c>
      <c r="C240" s="3">
        <v>45826</v>
      </c>
      <c r="D240" s="3">
        <v>45827</v>
      </c>
      <c r="E240" s="2" t="s">
        <v>58</v>
      </c>
      <c r="F240" s="33">
        <v>256779414438</v>
      </c>
      <c r="G240" s="2" t="s">
        <v>28</v>
      </c>
      <c r="H240" s="2" t="s">
        <v>29</v>
      </c>
      <c r="I240" s="2" t="s">
        <v>27</v>
      </c>
      <c r="J240" s="2" t="s">
        <v>64</v>
      </c>
      <c r="K240" s="2" t="s">
        <v>38</v>
      </c>
      <c r="L240" s="4">
        <v>416.67</v>
      </c>
      <c r="M240" s="2" t="s">
        <v>31</v>
      </c>
      <c r="N240" s="4">
        <v>35621.440000000002</v>
      </c>
      <c r="O240" s="2" t="s">
        <v>65</v>
      </c>
      <c r="P240" s="2" t="s">
        <v>32</v>
      </c>
      <c r="Q240" s="2" t="s">
        <v>27</v>
      </c>
      <c r="R240" s="2" t="s">
        <v>58</v>
      </c>
      <c r="S240" s="2" t="s">
        <v>33</v>
      </c>
      <c r="T240" s="2"/>
      <c r="U240" s="2"/>
      <c r="V240" s="2"/>
      <c r="W240" s="2" t="s">
        <v>198</v>
      </c>
      <c r="X240" s="2" t="s">
        <v>27</v>
      </c>
      <c r="Y240" s="2" t="s">
        <v>27</v>
      </c>
      <c r="Z240" s="2" t="s">
        <v>27</v>
      </c>
      <c r="AA240" s="3">
        <v>45826</v>
      </c>
      <c r="AB240" s="3">
        <v>45902</v>
      </c>
      <c r="AC240" s="2" t="s">
        <v>34</v>
      </c>
    </row>
    <row r="241" spans="1:29" x14ac:dyDescent="0.35">
      <c r="A241" s="2">
        <v>1800009701</v>
      </c>
      <c r="B241" s="2" t="s">
        <v>63</v>
      </c>
      <c r="C241" s="3">
        <v>45826</v>
      </c>
      <c r="D241" s="3">
        <v>45827</v>
      </c>
      <c r="E241" s="2" t="s">
        <v>58</v>
      </c>
      <c r="F241" s="33">
        <v>256779414465</v>
      </c>
      <c r="G241" s="2" t="s">
        <v>28</v>
      </c>
      <c r="H241" s="2" t="s">
        <v>29</v>
      </c>
      <c r="I241" s="2" t="s">
        <v>27</v>
      </c>
      <c r="J241" s="2" t="s">
        <v>64</v>
      </c>
      <c r="K241" s="2" t="s">
        <v>38</v>
      </c>
      <c r="L241" s="4">
        <v>408.31</v>
      </c>
      <c r="M241" s="2" t="s">
        <v>31</v>
      </c>
      <c r="N241" s="4">
        <v>34906.74</v>
      </c>
      <c r="O241" s="2" t="s">
        <v>65</v>
      </c>
      <c r="P241" s="2" t="s">
        <v>32</v>
      </c>
      <c r="Q241" s="2" t="s">
        <v>27</v>
      </c>
      <c r="R241" s="2" t="s">
        <v>58</v>
      </c>
      <c r="S241" s="2" t="s">
        <v>33</v>
      </c>
      <c r="T241" s="2"/>
      <c r="U241" s="2"/>
      <c r="V241" s="2"/>
      <c r="W241" s="2" t="s">
        <v>200</v>
      </c>
      <c r="X241" s="2" t="s">
        <v>27</v>
      </c>
      <c r="Y241" s="2" t="s">
        <v>27</v>
      </c>
      <c r="Z241" s="2" t="s">
        <v>27</v>
      </c>
      <c r="AA241" s="3">
        <v>45826</v>
      </c>
      <c r="AB241" s="3">
        <v>45902</v>
      </c>
      <c r="AC241" s="2" t="s">
        <v>34</v>
      </c>
    </row>
    <row r="242" spans="1:29" x14ac:dyDescent="0.35">
      <c r="A242" s="2">
        <v>1800009717</v>
      </c>
      <c r="B242" s="2" t="s">
        <v>63</v>
      </c>
      <c r="C242" s="3">
        <v>45826</v>
      </c>
      <c r="D242" s="3">
        <v>45827</v>
      </c>
      <c r="E242" s="2" t="s">
        <v>58</v>
      </c>
      <c r="F242" s="33">
        <v>256779414481</v>
      </c>
      <c r="G242" s="2" t="s">
        <v>28</v>
      </c>
      <c r="H242" s="2" t="s">
        <v>29</v>
      </c>
      <c r="I242" s="2" t="s">
        <v>27</v>
      </c>
      <c r="J242" s="2" t="s">
        <v>64</v>
      </c>
      <c r="K242" s="2" t="s">
        <v>38</v>
      </c>
      <c r="L242" s="4">
        <v>400.09</v>
      </c>
      <c r="M242" s="2" t="s">
        <v>31</v>
      </c>
      <c r="N242" s="4">
        <v>34204.01</v>
      </c>
      <c r="O242" s="2" t="s">
        <v>65</v>
      </c>
      <c r="P242" s="2" t="s">
        <v>32</v>
      </c>
      <c r="Q242" s="2" t="s">
        <v>27</v>
      </c>
      <c r="R242" s="2" t="s">
        <v>58</v>
      </c>
      <c r="S242" s="2" t="s">
        <v>33</v>
      </c>
      <c r="T242" s="2"/>
      <c r="U242" s="2"/>
      <c r="V242" s="2"/>
      <c r="W242" s="2" t="s">
        <v>202</v>
      </c>
      <c r="X242" s="2" t="s">
        <v>27</v>
      </c>
      <c r="Y242" s="2" t="s">
        <v>27</v>
      </c>
      <c r="Z242" s="2" t="s">
        <v>27</v>
      </c>
      <c r="AA242" s="3">
        <v>45826</v>
      </c>
      <c r="AB242" s="3">
        <v>45902</v>
      </c>
      <c r="AC242" s="2" t="s">
        <v>34</v>
      </c>
    </row>
    <row r="243" spans="1:29" x14ac:dyDescent="0.35">
      <c r="A243" s="2">
        <v>1800003114</v>
      </c>
      <c r="B243" s="2" t="s">
        <v>63</v>
      </c>
      <c r="C243" s="3">
        <v>45735</v>
      </c>
      <c r="D243" s="3">
        <v>45736</v>
      </c>
      <c r="E243" s="2" t="s">
        <v>58</v>
      </c>
      <c r="F243" s="33">
        <v>246779412981</v>
      </c>
      <c r="G243" s="2" t="s">
        <v>28</v>
      </c>
      <c r="H243" s="2" t="s">
        <v>29</v>
      </c>
      <c r="I243" s="2" t="s">
        <v>27</v>
      </c>
      <c r="J243" s="2" t="s">
        <v>64</v>
      </c>
      <c r="K243" s="2" t="s">
        <v>38</v>
      </c>
      <c r="L243" s="4">
        <v>1148.6300000000001</v>
      </c>
      <c r="M243" s="2" t="s">
        <v>31</v>
      </c>
      <c r="N243" s="4">
        <v>99576.18</v>
      </c>
      <c r="O243" s="2" t="s">
        <v>65</v>
      </c>
      <c r="P243" s="2" t="s">
        <v>32</v>
      </c>
      <c r="Q243" s="2" t="s">
        <v>27</v>
      </c>
      <c r="R243" s="2" t="s">
        <v>58</v>
      </c>
      <c r="S243" s="2" t="s">
        <v>33</v>
      </c>
      <c r="T243" s="2"/>
      <c r="U243" s="2"/>
      <c r="V243" s="2"/>
      <c r="W243" s="2" t="s">
        <v>239</v>
      </c>
      <c r="X243" s="2" t="s">
        <v>27</v>
      </c>
      <c r="Y243" s="2" t="s">
        <v>27</v>
      </c>
      <c r="Z243" s="2" t="s">
        <v>27</v>
      </c>
      <c r="AA243" s="3">
        <v>45735</v>
      </c>
      <c r="AB243" s="3"/>
      <c r="AC243" s="2" t="s">
        <v>27</v>
      </c>
    </row>
    <row r="244" spans="1:29" x14ac:dyDescent="0.35">
      <c r="A244" s="2">
        <v>1800003222</v>
      </c>
      <c r="B244" s="2" t="s">
        <v>63</v>
      </c>
      <c r="C244" s="3">
        <v>45735</v>
      </c>
      <c r="D244" s="3">
        <v>45736</v>
      </c>
      <c r="E244" s="2" t="s">
        <v>58</v>
      </c>
      <c r="F244" s="33">
        <v>246779413089</v>
      </c>
      <c r="G244" s="2" t="s">
        <v>28</v>
      </c>
      <c r="H244" s="2" t="s">
        <v>29</v>
      </c>
      <c r="I244" s="2" t="s">
        <v>27</v>
      </c>
      <c r="J244" s="2" t="s">
        <v>64</v>
      </c>
      <c r="K244" s="2" t="s">
        <v>38</v>
      </c>
      <c r="L244" s="4">
        <v>79.05</v>
      </c>
      <c r="M244" s="2" t="s">
        <v>31</v>
      </c>
      <c r="N244" s="4">
        <v>6852.94</v>
      </c>
      <c r="O244" s="2" t="s">
        <v>65</v>
      </c>
      <c r="P244" s="2" t="s">
        <v>32</v>
      </c>
      <c r="Q244" s="2" t="s">
        <v>27</v>
      </c>
      <c r="R244" s="2" t="s">
        <v>58</v>
      </c>
      <c r="S244" s="2" t="s">
        <v>33</v>
      </c>
      <c r="T244" s="2"/>
      <c r="U244" s="2"/>
      <c r="V244" s="2"/>
      <c r="W244" s="2" t="s">
        <v>240</v>
      </c>
      <c r="X244" s="2" t="s">
        <v>27</v>
      </c>
      <c r="Y244" s="2" t="s">
        <v>27</v>
      </c>
      <c r="Z244" s="2" t="s">
        <v>27</v>
      </c>
      <c r="AA244" s="3">
        <v>45735</v>
      </c>
      <c r="AB244" s="3"/>
      <c r="AC244" s="2" t="s">
        <v>27</v>
      </c>
    </row>
    <row r="245" spans="1:29" x14ac:dyDescent="0.35">
      <c r="A245" s="2">
        <v>1800003347</v>
      </c>
      <c r="B245" s="2" t="s">
        <v>63</v>
      </c>
      <c r="C245" s="3">
        <v>45735</v>
      </c>
      <c r="D245" s="3">
        <v>45736</v>
      </c>
      <c r="E245" s="2" t="s">
        <v>58</v>
      </c>
      <c r="F245" s="33">
        <v>246779413214</v>
      </c>
      <c r="G245" s="2" t="s">
        <v>28</v>
      </c>
      <c r="H245" s="2" t="s">
        <v>29</v>
      </c>
      <c r="I245" s="2" t="s">
        <v>27</v>
      </c>
      <c r="J245" s="2" t="s">
        <v>64</v>
      </c>
      <c r="K245" s="2" t="s">
        <v>38</v>
      </c>
      <c r="L245" s="4">
        <v>78.12</v>
      </c>
      <c r="M245" s="2" t="s">
        <v>31</v>
      </c>
      <c r="N245" s="4">
        <v>6772.32</v>
      </c>
      <c r="O245" s="2" t="s">
        <v>65</v>
      </c>
      <c r="P245" s="2" t="s">
        <v>32</v>
      </c>
      <c r="Q245" s="2" t="s">
        <v>27</v>
      </c>
      <c r="R245" s="2" t="s">
        <v>58</v>
      </c>
      <c r="S245" s="2" t="s">
        <v>33</v>
      </c>
      <c r="T245" s="2"/>
      <c r="U245" s="2"/>
      <c r="V245" s="2"/>
      <c r="W245" s="2" t="s">
        <v>241</v>
      </c>
      <c r="X245" s="2" t="s">
        <v>27</v>
      </c>
      <c r="Y245" s="2" t="s">
        <v>27</v>
      </c>
      <c r="Z245" s="2" t="s">
        <v>27</v>
      </c>
      <c r="AA245" s="3">
        <v>45735</v>
      </c>
      <c r="AB245" s="3"/>
      <c r="AC245" s="2" t="s">
        <v>27</v>
      </c>
    </row>
    <row r="246" spans="1:29" x14ac:dyDescent="0.35">
      <c r="A246" s="2">
        <v>1800003149</v>
      </c>
      <c r="B246" s="2" t="s">
        <v>63</v>
      </c>
      <c r="C246" s="3">
        <v>45735</v>
      </c>
      <c r="D246" s="3">
        <v>45736</v>
      </c>
      <c r="E246" s="2" t="s">
        <v>58</v>
      </c>
      <c r="F246" s="33">
        <v>246779413016</v>
      </c>
      <c r="G246" s="2" t="s">
        <v>28</v>
      </c>
      <c r="H246" s="2" t="s">
        <v>29</v>
      </c>
      <c r="I246" s="2" t="s">
        <v>27</v>
      </c>
      <c r="J246" s="2" t="s">
        <v>64</v>
      </c>
      <c r="K246" s="2" t="s">
        <v>38</v>
      </c>
      <c r="L246" s="4">
        <v>402.02</v>
      </c>
      <c r="M246" s="2" t="s">
        <v>31</v>
      </c>
      <c r="N246" s="4">
        <v>34851.620000000003</v>
      </c>
      <c r="O246" s="2" t="s">
        <v>65</v>
      </c>
      <c r="P246" s="2" t="s">
        <v>32</v>
      </c>
      <c r="Q246" s="2" t="s">
        <v>27</v>
      </c>
      <c r="R246" s="2" t="s">
        <v>58</v>
      </c>
      <c r="S246" s="2" t="s">
        <v>33</v>
      </c>
      <c r="T246" s="2"/>
      <c r="U246" s="2"/>
      <c r="V246" s="2"/>
      <c r="W246" s="2" t="s">
        <v>239</v>
      </c>
      <c r="X246" s="2" t="s">
        <v>27</v>
      </c>
      <c r="Y246" s="2" t="s">
        <v>27</v>
      </c>
      <c r="Z246" s="2" t="s">
        <v>27</v>
      </c>
      <c r="AA246" s="3">
        <v>45735</v>
      </c>
      <c r="AB246" s="3">
        <v>45888</v>
      </c>
      <c r="AC246" s="2" t="s">
        <v>52</v>
      </c>
    </row>
    <row r="247" spans="1:29" x14ac:dyDescent="0.35">
      <c r="A247" s="2">
        <v>1800013202</v>
      </c>
      <c r="B247" s="2" t="s">
        <v>63</v>
      </c>
      <c r="C247" s="3">
        <v>45924</v>
      </c>
      <c r="D247" s="3">
        <v>45924</v>
      </c>
      <c r="E247" s="2" t="s">
        <v>58</v>
      </c>
      <c r="F247" s="33">
        <v>256779417818</v>
      </c>
      <c r="G247" s="2" t="s">
        <v>28</v>
      </c>
      <c r="H247" s="2" t="s">
        <v>29</v>
      </c>
      <c r="I247" s="2" t="s">
        <v>27</v>
      </c>
      <c r="J247" s="2" t="s">
        <v>64</v>
      </c>
      <c r="K247" s="2" t="s">
        <v>38</v>
      </c>
      <c r="L247" s="4">
        <v>260.79000000000002</v>
      </c>
      <c r="M247" s="2" t="s">
        <v>31</v>
      </c>
      <c r="N247" s="4">
        <v>22423.69</v>
      </c>
      <c r="O247" s="2" t="s">
        <v>65</v>
      </c>
      <c r="P247" s="2" t="s">
        <v>32</v>
      </c>
      <c r="Q247" s="2" t="s">
        <v>27</v>
      </c>
      <c r="R247" s="2" t="s">
        <v>242</v>
      </c>
      <c r="S247" s="2" t="s">
        <v>33</v>
      </c>
      <c r="T247" s="2"/>
      <c r="U247" s="2"/>
      <c r="V247" s="2"/>
      <c r="W247" s="2" t="s">
        <v>243</v>
      </c>
      <c r="X247" s="2" t="s">
        <v>27</v>
      </c>
      <c r="Y247" s="2" t="s">
        <v>27</v>
      </c>
      <c r="Z247" s="2" t="s">
        <v>27</v>
      </c>
      <c r="AA247" s="3">
        <v>45924</v>
      </c>
      <c r="AB247" s="3"/>
      <c r="AC247" s="2" t="s">
        <v>27</v>
      </c>
    </row>
    <row r="248" spans="1:29" x14ac:dyDescent="0.35">
      <c r="A248" s="2">
        <v>1800015045</v>
      </c>
      <c r="B248" s="2" t="s">
        <v>63</v>
      </c>
      <c r="C248" s="3">
        <v>45981</v>
      </c>
      <c r="D248" s="3">
        <v>45985</v>
      </c>
      <c r="E248" s="2" t="s">
        <v>58</v>
      </c>
      <c r="F248" s="33">
        <v>256779419558</v>
      </c>
      <c r="G248" s="2" t="s">
        <v>28</v>
      </c>
      <c r="H248" s="2" t="s">
        <v>29</v>
      </c>
      <c r="I248" s="2" t="s">
        <v>27</v>
      </c>
      <c r="J248" s="2" t="s">
        <v>64</v>
      </c>
      <c r="K248" s="2" t="s">
        <v>38</v>
      </c>
      <c r="L248" s="4">
        <v>850</v>
      </c>
      <c r="M248" s="2" t="s">
        <v>31</v>
      </c>
      <c r="N248" s="4">
        <v>74802.880000000005</v>
      </c>
      <c r="O248" s="2" t="s">
        <v>65</v>
      </c>
      <c r="P248" s="2" t="s">
        <v>32</v>
      </c>
      <c r="Q248" s="2" t="s">
        <v>27</v>
      </c>
      <c r="R248" s="2" t="s">
        <v>244</v>
      </c>
      <c r="S248" s="2" t="s">
        <v>33</v>
      </c>
      <c r="T248" s="2"/>
      <c r="U248" s="2"/>
      <c r="V248" s="2"/>
      <c r="W248" s="2" t="s">
        <v>245</v>
      </c>
      <c r="X248" s="2" t="s">
        <v>27</v>
      </c>
      <c r="Y248" s="2" t="s">
        <v>27</v>
      </c>
      <c r="Z248" s="2" t="s">
        <v>27</v>
      </c>
      <c r="AA248" s="3">
        <v>45981</v>
      </c>
      <c r="AB248" s="3"/>
      <c r="AC248" s="2" t="s">
        <v>27</v>
      </c>
    </row>
    <row r="249" spans="1:29" x14ac:dyDescent="0.35">
      <c r="A249" s="2">
        <v>1800015077</v>
      </c>
      <c r="B249" s="2" t="s">
        <v>63</v>
      </c>
      <c r="C249" s="3">
        <v>45981</v>
      </c>
      <c r="D249" s="3">
        <v>45985</v>
      </c>
      <c r="E249" s="2" t="s">
        <v>58</v>
      </c>
      <c r="F249" s="33">
        <v>256779419590</v>
      </c>
      <c r="G249" s="2" t="s">
        <v>28</v>
      </c>
      <c r="H249" s="2" t="s">
        <v>29</v>
      </c>
      <c r="I249" s="2" t="s">
        <v>27</v>
      </c>
      <c r="J249" s="2" t="s">
        <v>64</v>
      </c>
      <c r="K249" s="2" t="s">
        <v>38</v>
      </c>
      <c r="L249" s="4">
        <v>331.5</v>
      </c>
      <c r="M249" s="2" t="s">
        <v>31</v>
      </c>
      <c r="N249" s="4">
        <v>29173.119999999999</v>
      </c>
      <c r="O249" s="2" t="s">
        <v>65</v>
      </c>
      <c r="P249" s="2" t="s">
        <v>32</v>
      </c>
      <c r="Q249" s="2" t="s">
        <v>27</v>
      </c>
      <c r="R249" s="2" t="s">
        <v>246</v>
      </c>
      <c r="S249" s="2" t="s">
        <v>33</v>
      </c>
      <c r="T249" s="2"/>
      <c r="U249" s="2"/>
      <c r="V249" s="2"/>
      <c r="W249" s="2" t="s">
        <v>247</v>
      </c>
      <c r="X249" s="2" t="s">
        <v>27</v>
      </c>
      <c r="Y249" s="2" t="s">
        <v>27</v>
      </c>
      <c r="Z249" s="2" t="s">
        <v>27</v>
      </c>
      <c r="AA249" s="3">
        <v>45981</v>
      </c>
      <c r="AB249" s="3"/>
      <c r="AC249" s="2" t="s">
        <v>27</v>
      </c>
    </row>
    <row r="250" spans="1:29" x14ac:dyDescent="0.35">
      <c r="A250" s="2">
        <v>1800015131</v>
      </c>
      <c r="B250" s="2" t="s">
        <v>63</v>
      </c>
      <c r="C250" s="3">
        <v>45981</v>
      </c>
      <c r="D250" s="3">
        <v>45985</v>
      </c>
      <c r="E250" s="2" t="s">
        <v>58</v>
      </c>
      <c r="F250" s="33">
        <v>256779419630</v>
      </c>
      <c r="G250" s="2" t="s">
        <v>28</v>
      </c>
      <c r="H250" s="2" t="s">
        <v>29</v>
      </c>
      <c r="I250" s="2" t="s">
        <v>27</v>
      </c>
      <c r="J250" s="2" t="s">
        <v>64</v>
      </c>
      <c r="K250" s="2" t="s">
        <v>38</v>
      </c>
      <c r="L250" s="4">
        <v>112.58</v>
      </c>
      <c r="M250" s="2" t="s">
        <v>31</v>
      </c>
      <c r="N250" s="4">
        <v>9907.42</v>
      </c>
      <c r="O250" s="2" t="s">
        <v>65</v>
      </c>
      <c r="P250" s="2" t="s">
        <v>32</v>
      </c>
      <c r="Q250" s="2" t="s">
        <v>27</v>
      </c>
      <c r="R250" s="2" t="s">
        <v>248</v>
      </c>
      <c r="S250" s="2" t="s">
        <v>33</v>
      </c>
      <c r="T250" s="2"/>
      <c r="U250" s="2"/>
      <c r="V250" s="2"/>
      <c r="W250" s="2" t="s">
        <v>249</v>
      </c>
      <c r="X250" s="2" t="s">
        <v>27</v>
      </c>
      <c r="Y250" s="2" t="s">
        <v>27</v>
      </c>
      <c r="Z250" s="2" t="s">
        <v>27</v>
      </c>
      <c r="AA250" s="3">
        <v>45981</v>
      </c>
      <c r="AB250" s="3"/>
      <c r="AC250" s="2" t="s">
        <v>27</v>
      </c>
    </row>
    <row r="251" spans="1:29" x14ac:dyDescent="0.35">
      <c r="A251" s="2">
        <v>1800007659</v>
      </c>
      <c r="B251" s="2" t="s">
        <v>63</v>
      </c>
      <c r="C251" s="3">
        <v>45769</v>
      </c>
      <c r="D251" s="3">
        <v>45770</v>
      </c>
      <c r="E251" s="2" t="s">
        <v>58</v>
      </c>
      <c r="F251" s="33">
        <v>256779412550</v>
      </c>
      <c r="G251" s="2" t="s">
        <v>28</v>
      </c>
      <c r="H251" s="2" t="s">
        <v>29</v>
      </c>
      <c r="I251" s="2" t="s">
        <v>27</v>
      </c>
      <c r="J251" s="2" t="s">
        <v>64</v>
      </c>
      <c r="K251" s="2" t="s">
        <v>38</v>
      </c>
      <c r="L251" s="4">
        <v>87.2</v>
      </c>
      <c r="M251" s="2" t="s">
        <v>31</v>
      </c>
      <c r="N251" s="4">
        <v>7579.58</v>
      </c>
      <c r="O251" s="2" t="s">
        <v>65</v>
      </c>
      <c r="P251" s="2" t="s">
        <v>32</v>
      </c>
      <c r="Q251" s="2" t="s">
        <v>27</v>
      </c>
      <c r="R251" s="2" t="s">
        <v>58</v>
      </c>
      <c r="S251" s="2" t="s">
        <v>33</v>
      </c>
      <c r="T251" s="2"/>
      <c r="U251" s="2"/>
      <c r="V251" s="2"/>
      <c r="W251" s="2" t="s">
        <v>250</v>
      </c>
      <c r="X251" s="2" t="s">
        <v>27</v>
      </c>
      <c r="Y251" s="2" t="s">
        <v>27</v>
      </c>
      <c r="Z251" s="2" t="s">
        <v>27</v>
      </c>
      <c r="AA251" s="3">
        <v>45769</v>
      </c>
      <c r="AB251" s="3"/>
      <c r="AC251" s="2" t="s">
        <v>27</v>
      </c>
    </row>
    <row r="252" spans="1:29" x14ac:dyDescent="0.35">
      <c r="A252" s="2">
        <v>1800007691</v>
      </c>
      <c r="B252" s="2" t="s">
        <v>63</v>
      </c>
      <c r="C252" s="3">
        <v>45769</v>
      </c>
      <c r="D252" s="3">
        <v>45770</v>
      </c>
      <c r="E252" s="2" t="s">
        <v>58</v>
      </c>
      <c r="F252" s="33">
        <v>256779412582</v>
      </c>
      <c r="G252" s="2" t="s">
        <v>28</v>
      </c>
      <c r="H252" s="2" t="s">
        <v>29</v>
      </c>
      <c r="I252" s="2" t="s">
        <v>27</v>
      </c>
      <c r="J252" s="2" t="s">
        <v>64</v>
      </c>
      <c r="K252" s="2" t="s">
        <v>38</v>
      </c>
      <c r="L252" s="4">
        <v>56.95</v>
      </c>
      <c r="M252" s="2" t="s">
        <v>31</v>
      </c>
      <c r="N252" s="4">
        <v>4950.2</v>
      </c>
      <c r="O252" s="2" t="s">
        <v>65</v>
      </c>
      <c r="P252" s="2" t="s">
        <v>32</v>
      </c>
      <c r="Q252" s="2" t="s">
        <v>27</v>
      </c>
      <c r="R252" s="2" t="s">
        <v>58</v>
      </c>
      <c r="S252" s="2" t="s">
        <v>33</v>
      </c>
      <c r="T252" s="2"/>
      <c r="U252" s="2"/>
      <c r="V252" s="2"/>
      <c r="W252" s="2" t="s">
        <v>250</v>
      </c>
      <c r="X252" s="2" t="s">
        <v>27</v>
      </c>
      <c r="Y252" s="2" t="s">
        <v>27</v>
      </c>
      <c r="Z252" s="2" t="s">
        <v>27</v>
      </c>
      <c r="AA252" s="3">
        <v>45769</v>
      </c>
      <c r="AB252" s="3"/>
      <c r="AC252" s="2" t="s">
        <v>27</v>
      </c>
    </row>
    <row r="253" spans="1:29" x14ac:dyDescent="0.35">
      <c r="A253" s="2">
        <v>1800007724</v>
      </c>
      <c r="B253" s="2" t="s">
        <v>63</v>
      </c>
      <c r="C253" s="3">
        <v>45769</v>
      </c>
      <c r="D253" s="3">
        <v>45770</v>
      </c>
      <c r="E253" s="2" t="s">
        <v>58</v>
      </c>
      <c r="F253" s="33">
        <v>256779412615</v>
      </c>
      <c r="G253" s="2" t="s">
        <v>28</v>
      </c>
      <c r="H253" s="2" t="s">
        <v>29</v>
      </c>
      <c r="I253" s="2" t="s">
        <v>27</v>
      </c>
      <c r="J253" s="2" t="s">
        <v>64</v>
      </c>
      <c r="K253" s="2" t="s">
        <v>38</v>
      </c>
      <c r="L253" s="4">
        <v>87.2</v>
      </c>
      <c r="M253" s="2" t="s">
        <v>31</v>
      </c>
      <c r="N253" s="4">
        <v>7579.58</v>
      </c>
      <c r="O253" s="2" t="s">
        <v>65</v>
      </c>
      <c r="P253" s="2" t="s">
        <v>32</v>
      </c>
      <c r="Q253" s="2" t="s">
        <v>27</v>
      </c>
      <c r="R253" s="2" t="s">
        <v>58</v>
      </c>
      <c r="S253" s="2" t="s">
        <v>33</v>
      </c>
      <c r="T253" s="2"/>
      <c r="U253" s="2"/>
      <c r="V253" s="2"/>
      <c r="W253" s="2" t="s">
        <v>251</v>
      </c>
      <c r="X253" s="2" t="s">
        <v>27</v>
      </c>
      <c r="Y253" s="2" t="s">
        <v>27</v>
      </c>
      <c r="Z253" s="2" t="s">
        <v>27</v>
      </c>
      <c r="AA253" s="3">
        <v>45769</v>
      </c>
      <c r="AB253" s="3"/>
      <c r="AC253" s="2" t="s">
        <v>27</v>
      </c>
    </row>
    <row r="254" spans="1:29" x14ac:dyDescent="0.35">
      <c r="A254" s="2">
        <v>1800007766</v>
      </c>
      <c r="B254" s="2" t="s">
        <v>63</v>
      </c>
      <c r="C254" s="3">
        <v>45769</v>
      </c>
      <c r="D254" s="3">
        <v>45770</v>
      </c>
      <c r="E254" s="2" t="s">
        <v>58</v>
      </c>
      <c r="F254" s="33">
        <v>256779412657</v>
      </c>
      <c r="G254" s="2" t="s">
        <v>28</v>
      </c>
      <c r="H254" s="2" t="s">
        <v>29</v>
      </c>
      <c r="I254" s="2" t="s">
        <v>27</v>
      </c>
      <c r="J254" s="2" t="s">
        <v>64</v>
      </c>
      <c r="K254" s="2" t="s">
        <v>38</v>
      </c>
      <c r="L254" s="4">
        <v>4.93</v>
      </c>
      <c r="M254" s="2" t="s">
        <v>31</v>
      </c>
      <c r="N254" s="4">
        <v>428.52</v>
      </c>
      <c r="O254" s="2" t="s">
        <v>65</v>
      </c>
      <c r="P254" s="2" t="s">
        <v>32</v>
      </c>
      <c r="Q254" s="2" t="s">
        <v>27</v>
      </c>
      <c r="R254" s="2" t="s">
        <v>58</v>
      </c>
      <c r="S254" s="2" t="s">
        <v>33</v>
      </c>
      <c r="T254" s="2"/>
      <c r="U254" s="2"/>
      <c r="V254" s="2"/>
      <c r="W254" s="2" t="s">
        <v>252</v>
      </c>
      <c r="X254" s="2" t="s">
        <v>27</v>
      </c>
      <c r="Y254" s="2" t="s">
        <v>27</v>
      </c>
      <c r="Z254" s="2" t="s">
        <v>27</v>
      </c>
      <c r="AA254" s="3">
        <v>45769</v>
      </c>
      <c r="AB254" s="3"/>
      <c r="AC254" s="2" t="s">
        <v>27</v>
      </c>
    </row>
    <row r="255" spans="1:29" x14ac:dyDescent="0.35">
      <c r="A255" s="2">
        <v>1800012815</v>
      </c>
      <c r="B255" s="2" t="s">
        <v>63</v>
      </c>
      <c r="C255" s="3">
        <v>45918</v>
      </c>
      <c r="D255" s="3">
        <v>45922</v>
      </c>
      <c r="E255" s="2" t="s">
        <v>58</v>
      </c>
      <c r="F255" s="33">
        <v>256779417420</v>
      </c>
      <c r="G255" s="2" t="s">
        <v>28</v>
      </c>
      <c r="H255" s="2" t="s">
        <v>29</v>
      </c>
      <c r="I255" s="2" t="s">
        <v>27</v>
      </c>
      <c r="J255" s="2" t="s">
        <v>64</v>
      </c>
      <c r="K255" s="2" t="s">
        <v>38</v>
      </c>
      <c r="L255" s="4">
        <v>35</v>
      </c>
      <c r="M255" s="2" t="s">
        <v>31</v>
      </c>
      <c r="N255" s="4">
        <v>3063</v>
      </c>
      <c r="O255" s="2" t="s">
        <v>65</v>
      </c>
      <c r="P255" s="2" t="s">
        <v>32</v>
      </c>
      <c r="Q255" s="2" t="s">
        <v>27</v>
      </c>
      <c r="R255" s="2" t="s">
        <v>253</v>
      </c>
      <c r="S255" s="2" t="s">
        <v>33</v>
      </c>
      <c r="T255" s="2"/>
      <c r="U255" s="2"/>
      <c r="V255" s="2"/>
      <c r="W255" s="2" t="s">
        <v>254</v>
      </c>
      <c r="X255" s="2" t="s">
        <v>27</v>
      </c>
      <c r="Y255" s="2" t="s">
        <v>27</v>
      </c>
      <c r="Z255" s="2" t="s">
        <v>27</v>
      </c>
      <c r="AA255" s="3">
        <v>45918</v>
      </c>
      <c r="AB255" s="3"/>
      <c r="AC255" s="2" t="s">
        <v>27</v>
      </c>
    </row>
    <row r="256" spans="1:29" x14ac:dyDescent="0.35">
      <c r="A256" s="2">
        <v>1800012872</v>
      </c>
      <c r="B256" s="2" t="s">
        <v>63</v>
      </c>
      <c r="C256" s="3">
        <v>45918</v>
      </c>
      <c r="D256" s="3">
        <v>45922</v>
      </c>
      <c r="E256" s="2" t="s">
        <v>58</v>
      </c>
      <c r="F256" s="33">
        <v>256779417490</v>
      </c>
      <c r="G256" s="2" t="s">
        <v>28</v>
      </c>
      <c r="H256" s="2" t="s">
        <v>29</v>
      </c>
      <c r="I256" s="2" t="s">
        <v>27</v>
      </c>
      <c r="J256" s="2" t="s">
        <v>64</v>
      </c>
      <c r="K256" s="2" t="s">
        <v>38</v>
      </c>
      <c r="L256" s="4">
        <v>850</v>
      </c>
      <c r="M256" s="2" t="s">
        <v>31</v>
      </c>
      <c r="N256" s="4">
        <v>74387.179999999993</v>
      </c>
      <c r="O256" s="2" t="s">
        <v>65</v>
      </c>
      <c r="P256" s="2" t="s">
        <v>32</v>
      </c>
      <c r="Q256" s="2" t="s">
        <v>27</v>
      </c>
      <c r="R256" s="2" t="s">
        <v>255</v>
      </c>
      <c r="S256" s="2" t="s">
        <v>33</v>
      </c>
      <c r="T256" s="2"/>
      <c r="U256" s="2"/>
      <c r="V256" s="2"/>
      <c r="W256" s="2" t="s">
        <v>256</v>
      </c>
      <c r="X256" s="2" t="s">
        <v>27</v>
      </c>
      <c r="Y256" s="2" t="s">
        <v>27</v>
      </c>
      <c r="Z256" s="2" t="s">
        <v>27</v>
      </c>
      <c r="AA256" s="3">
        <v>45918</v>
      </c>
      <c r="AB256" s="3"/>
      <c r="AC256" s="2" t="s">
        <v>27</v>
      </c>
    </row>
    <row r="257" spans="1:29" x14ac:dyDescent="0.35">
      <c r="A257" s="2">
        <v>1800012991</v>
      </c>
      <c r="B257" s="2" t="s">
        <v>63</v>
      </c>
      <c r="C257" s="3">
        <v>45918</v>
      </c>
      <c r="D257" s="3">
        <v>45922</v>
      </c>
      <c r="E257" s="2" t="s">
        <v>58</v>
      </c>
      <c r="F257" s="33">
        <v>256779417526</v>
      </c>
      <c r="G257" s="2" t="s">
        <v>28</v>
      </c>
      <c r="H257" s="2" t="s">
        <v>29</v>
      </c>
      <c r="I257" s="2" t="s">
        <v>27</v>
      </c>
      <c r="J257" s="2" t="s">
        <v>64</v>
      </c>
      <c r="K257" s="2" t="s">
        <v>38</v>
      </c>
      <c r="L257" s="4">
        <v>22.43</v>
      </c>
      <c r="M257" s="2" t="s">
        <v>31</v>
      </c>
      <c r="N257" s="4">
        <v>1962.95</v>
      </c>
      <c r="O257" s="2" t="s">
        <v>65</v>
      </c>
      <c r="P257" s="2" t="s">
        <v>32</v>
      </c>
      <c r="Q257" s="2" t="s">
        <v>27</v>
      </c>
      <c r="R257" s="2" t="s">
        <v>257</v>
      </c>
      <c r="S257" s="2" t="s">
        <v>33</v>
      </c>
      <c r="T257" s="2"/>
      <c r="U257" s="2"/>
      <c r="V257" s="2"/>
      <c r="W257" s="2" t="s">
        <v>258</v>
      </c>
      <c r="X257" s="2" t="s">
        <v>27</v>
      </c>
      <c r="Y257" s="2" t="s">
        <v>27</v>
      </c>
      <c r="Z257" s="2" t="s">
        <v>27</v>
      </c>
      <c r="AA257" s="3">
        <v>45918</v>
      </c>
      <c r="AB257" s="3"/>
      <c r="AC257" s="2" t="s">
        <v>27</v>
      </c>
    </row>
    <row r="258" spans="1:29" x14ac:dyDescent="0.35">
      <c r="A258" s="2">
        <v>1800012929</v>
      </c>
      <c r="B258" s="2" t="s">
        <v>63</v>
      </c>
      <c r="C258" s="3">
        <v>45918</v>
      </c>
      <c r="D258" s="3">
        <v>45922</v>
      </c>
      <c r="E258" s="2" t="s">
        <v>58</v>
      </c>
      <c r="F258" s="33">
        <v>256779417568</v>
      </c>
      <c r="G258" s="2" t="s">
        <v>28</v>
      </c>
      <c r="H258" s="2" t="s">
        <v>29</v>
      </c>
      <c r="I258" s="2" t="s">
        <v>27</v>
      </c>
      <c r="J258" s="2" t="s">
        <v>64</v>
      </c>
      <c r="K258" s="2" t="s">
        <v>38</v>
      </c>
      <c r="L258" s="4">
        <v>293.89</v>
      </c>
      <c r="M258" s="2" t="s">
        <v>31</v>
      </c>
      <c r="N258" s="4">
        <v>25719.59</v>
      </c>
      <c r="O258" s="2" t="s">
        <v>65</v>
      </c>
      <c r="P258" s="2" t="s">
        <v>32</v>
      </c>
      <c r="Q258" s="2" t="s">
        <v>27</v>
      </c>
      <c r="R258" s="2" t="s">
        <v>259</v>
      </c>
      <c r="S258" s="2" t="s">
        <v>33</v>
      </c>
      <c r="T258" s="2"/>
      <c r="U258" s="2"/>
      <c r="V258" s="2"/>
      <c r="W258" s="2" t="s">
        <v>260</v>
      </c>
      <c r="X258" s="2" t="s">
        <v>27</v>
      </c>
      <c r="Y258" s="2" t="s">
        <v>27</v>
      </c>
      <c r="Z258" s="2" t="s">
        <v>27</v>
      </c>
      <c r="AA258" s="3">
        <v>45918</v>
      </c>
      <c r="AB258" s="3"/>
      <c r="AC258" s="2" t="s">
        <v>27</v>
      </c>
    </row>
    <row r="259" spans="1:29" x14ac:dyDescent="0.35">
      <c r="A259" s="2">
        <v>1800015347</v>
      </c>
      <c r="B259" s="2" t="s">
        <v>63</v>
      </c>
      <c r="C259" s="3">
        <v>45996</v>
      </c>
      <c r="D259" s="3">
        <v>46000</v>
      </c>
      <c r="E259" s="2" t="s">
        <v>58</v>
      </c>
      <c r="F259" s="33">
        <v>256779419796</v>
      </c>
      <c r="G259" s="2" t="s">
        <v>28</v>
      </c>
      <c r="H259" s="2" t="s">
        <v>29</v>
      </c>
      <c r="I259" s="2" t="s">
        <v>27</v>
      </c>
      <c r="J259" s="2" t="s">
        <v>64</v>
      </c>
      <c r="K259" s="2" t="s">
        <v>38</v>
      </c>
      <c r="L259" s="4">
        <v>850</v>
      </c>
      <c r="M259" s="2" t="s">
        <v>31</v>
      </c>
      <c r="N259" s="4">
        <v>75395.12</v>
      </c>
      <c r="O259" s="2" t="s">
        <v>65</v>
      </c>
      <c r="P259" s="2" t="s">
        <v>32</v>
      </c>
      <c r="Q259" s="2" t="s">
        <v>27</v>
      </c>
      <c r="R259" s="2" t="s">
        <v>261</v>
      </c>
      <c r="S259" s="2" t="s">
        <v>33</v>
      </c>
      <c r="T259" s="2"/>
      <c r="U259" s="2"/>
      <c r="V259" s="2"/>
      <c r="W259" s="2" t="s">
        <v>262</v>
      </c>
      <c r="X259" s="2" t="s">
        <v>27</v>
      </c>
      <c r="Y259" s="2" t="s">
        <v>27</v>
      </c>
      <c r="Z259" s="2" t="s">
        <v>27</v>
      </c>
      <c r="AA259" s="3">
        <v>45996</v>
      </c>
      <c r="AB259" s="3"/>
      <c r="AC259" s="2" t="s">
        <v>27</v>
      </c>
    </row>
    <row r="260" spans="1:29" x14ac:dyDescent="0.35">
      <c r="A260" s="2">
        <v>1800015289</v>
      </c>
      <c r="B260" s="2" t="s">
        <v>63</v>
      </c>
      <c r="C260" s="3">
        <v>45996</v>
      </c>
      <c r="D260" s="3">
        <v>46000</v>
      </c>
      <c r="E260" s="2" t="s">
        <v>58</v>
      </c>
      <c r="F260" s="33">
        <v>256779419918</v>
      </c>
      <c r="G260" s="2" t="s">
        <v>28</v>
      </c>
      <c r="H260" s="2" t="s">
        <v>29</v>
      </c>
      <c r="I260" s="2" t="s">
        <v>27</v>
      </c>
      <c r="J260" s="2" t="s">
        <v>64</v>
      </c>
      <c r="K260" s="2" t="s">
        <v>38</v>
      </c>
      <c r="L260" s="4">
        <v>111.4</v>
      </c>
      <c r="M260" s="2" t="s">
        <v>31</v>
      </c>
      <c r="N260" s="4">
        <v>9881.2000000000007</v>
      </c>
      <c r="O260" s="2" t="s">
        <v>65</v>
      </c>
      <c r="P260" s="2" t="s">
        <v>32</v>
      </c>
      <c r="Q260" s="2" t="s">
        <v>27</v>
      </c>
      <c r="R260" s="2" t="s">
        <v>263</v>
      </c>
      <c r="S260" s="2" t="s">
        <v>33</v>
      </c>
      <c r="T260" s="2"/>
      <c r="U260" s="2"/>
      <c r="V260" s="2"/>
      <c r="W260" s="2" t="s">
        <v>264</v>
      </c>
      <c r="X260" s="2" t="s">
        <v>27</v>
      </c>
      <c r="Y260" s="2" t="s">
        <v>27</v>
      </c>
      <c r="Z260" s="2" t="s">
        <v>27</v>
      </c>
      <c r="AA260" s="3">
        <v>45996</v>
      </c>
      <c r="AB260" s="3"/>
      <c r="AC260" s="2" t="s">
        <v>27</v>
      </c>
    </row>
    <row r="261" spans="1:29" x14ac:dyDescent="0.35">
      <c r="A261" s="2">
        <v>1800008037</v>
      </c>
      <c r="B261" s="2" t="s">
        <v>63</v>
      </c>
      <c r="C261" s="3">
        <v>45770</v>
      </c>
      <c r="D261" s="3">
        <v>45776</v>
      </c>
      <c r="E261" s="2" t="s">
        <v>58</v>
      </c>
      <c r="F261" s="33">
        <v>256779412928</v>
      </c>
      <c r="G261" s="2" t="s">
        <v>28</v>
      </c>
      <c r="H261" s="2" t="s">
        <v>29</v>
      </c>
      <c r="I261" s="2" t="s">
        <v>27</v>
      </c>
      <c r="J261" s="2" t="s">
        <v>64</v>
      </c>
      <c r="K261" s="2" t="s">
        <v>38</v>
      </c>
      <c r="L261" s="4">
        <v>12.12</v>
      </c>
      <c r="M261" s="2" t="s">
        <v>31</v>
      </c>
      <c r="N261" s="4">
        <v>1053.49</v>
      </c>
      <c r="O261" s="2" t="s">
        <v>65</v>
      </c>
      <c r="P261" s="2" t="s">
        <v>32</v>
      </c>
      <c r="Q261" s="2" t="s">
        <v>27</v>
      </c>
      <c r="R261" s="2" t="s">
        <v>58</v>
      </c>
      <c r="S261" s="2" t="s">
        <v>33</v>
      </c>
      <c r="T261" s="2"/>
      <c r="U261" s="2"/>
      <c r="V261" s="2"/>
      <c r="W261" s="2" t="s">
        <v>265</v>
      </c>
      <c r="X261" s="2" t="s">
        <v>27</v>
      </c>
      <c r="Y261" s="2" t="s">
        <v>27</v>
      </c>
      <c r="Z261" s="2" t="s">
        <v>27</v>
      </c>
      <c r="AA261" s="3">
        <v>45770</v>
      </c>
      <c r="AB261" s="3"/>
      <c r="AC261" s="2" t="s">
        <v>27</v>
      </c>
    </row>
    <row r="262" spans="1:29" x14ac:dyDescent="0.35">
      <c r="A262" s="2">
        <v>1800004450</v>
      </c>
      <c r="B262" s="2" t="s">
        <v>63</v>
      </c>
      <c r="C262" s="3">
        <v>45737</v>
      </c>
      <c r="D262" s="3">
        <v>45737</v>
      </c>
      <c r="E262" s="2" t="s">
        <v>58</v>
      </c>
      <c r="F262" s="33">
        <v>246779414318</v>
      </c>
      <c r="G262" s="2" t="s">
        <v>28</v>
      </c>
      <c r="H262" s="2" t="s">
        <v>29</v>
      </c>
      <c r="I262" s="2" t="s">
        <v>27</v>
      </c>
      <c r="J262" s="2" t="s">
        <v>64</v>
      </c>
      <c r="K262" s="2" t="s">
        <v>38</v>
      </c>
      <c r="L262" s="4">
        <v>45.74</v>
      </c>
      <c r="M262" s="2" t="s">
        <v>31</v>
      </c>
      <c r="N262" s="4">
        <v>3965.26</v>
      </c>
      <c r="O262" s="2" t="s">
        <v>65</v>
      </c>
      <c r="P262" s="2" t="s">
        <v>32</v>
      </c>
      <c r="Q262" s="2" t="s">
        <v>27</v>
      </c>
      <c r="R262" s="2" t="s">
        <v>58</v>
      </c>
      <c r="S262" s="2" t="s">
        <v>33</v>
      </c>
      <c r="T262" s="2"/>
      <c r="U262" s="2"/>
      <c r="V262" s="2"/>
      <c r="W262" s="2" t="s">
        <v>266</v>
      </c>
      <c r="X262" s="2" t="s">
        <v>27</v>
      </c>
      <c r="Y262" s="2" t="s">
        <v>27</v>
      </c>
      <c r="Z262" s="2" t="s">
        <v>27</v>
      </c>
      <c r="AA262" s="3">
        <v>45737</v>
      </c>
      <c r="AB262" s="3"/>
      <c r="AC262" s="2" t="s">
        <v>27</v>
      </c>
    </row>
    <row r="263" spans="1:29" x14ac:dyDescent="0.35">
      <c r="A263" s="2">
        <v>1800013759</v>
      </c>
      <c r="B263" s="2" t="s">
        <v>63</v>
      </c>
      <c r="C263" s="3">
        <v>45937</v>
      </c>
      <c r="D263" s="3">
        <v>45939</v>
      </c>
      <c r="E263" s="2" t="s">
        <v>58</v>
      </c>
      <c r="F263" s="33">
        <v>256779418180</v>
      </c>
      <c r="G263" s="2" t="s">
        <v>28</v>
      </c>
      <c r="H263" s="2" t="s">
        <v>29</v>
      </c>
      <c r="I263" s="2" t="s">
        <v>27</v>
      </c>
      <c r="J263" s="2" t="s">
        <v>64</v>
      </c>
      <c r="K263" s="2" t="s">
        <v>38</v>
      </c>
      <c r="L263" s="4">
        <v>173.22</v>
      </c>
      <c r="M263" s="2" t="s">
        <v>31</v>
      </c>
      <c r="N263" s="4">
        <v>15276.41</v>
      </c>
      <c r="O263" s="2" t="s">
        <v>65</v>
      </c>
      <c r="P263" s="2" t="s">
        <v>32</v>
      </c>
      <c r="Q263" s="2" t="s">
        <v>27</v>
      </c>
      <c r="R263" s="2" t="s">
        <v>88</v>
      </c>
      <c r="S263" s="2" t="s">
        <v>33</v>
      </c>
      <c r="T263" s="2"/>
      <c r="U263" s="2"/>
      <c r="V263" s="2"/>
      <c r="W263" s="2" t="s">
        <v>267</v>
      </c>
      <c r="X263" s="2" t="s">
        <v>27</v>
      </c>
      <c r="Y263" s="2" t="s">
        <v>27</v>
      </c>
      <c r="Z263" s="2" t="s">
        <v>27</v>
      </c>
      <c r="AA263" s="3">
        <v>45937</v>
      </c>
      <c r="AB263" s="3"/>
      <c r="AC263" s="2" t="s">
        <v>27</v>
      </c>
    </row>
    <row r="264" spans="1:29" x14ac:dyDescent="0.35">
      <c r="A264" s="2">
        <v>1800008302</v>
      </c>
      <c r="B264" s="2" t="s">
        <v>63</v>
      </c>
      <c r="C264" s="3">
        <v>45787</v>
      </c>
      <c r="D264" s="3">
        <v>45792</v>
      </c>
      <c r="E264" s="2" t="s">
        <v>58</v>
      </c>
      <c r="F264" s="33">
        <v>256779413185</v>
      </c>
      <c r="G264" s="2" t="s">
        <v>28</v>
      </c>
      <c r="H264" s="2" t="s">
        <v>29</v>
      </c>
      <c r="I264" s="2" t="s">
        <v>27</v>
      </c>
      <c r="J264" s="2" t="s">
        <v>64</v>
      </c>
      <c r="K264" s="2" t="s">
        <v>38</v>
      </c>
      <c r="L264" s="4">
        <v>200</v>
      </c>
      <c r="M264" s="2" t="s">
        <v>31</v>
      </c>
      <c r="N264" s="4">
        <v>17196.740000000002</v>
      </c>
      <c r="O264" s="2" t="s">
        <v>65</v>
      </c>
      <c r="P264" s="2" t="s">
        <v>32</v>
      </c>
      <c r="Q264" s="2" t="s">
        <v>27</v>
      </c>
      <c r="R264" s="2" t="s">
        <v>58</v>
      </c>
      <c r="S264" s="2" t="s">
        <v>33</v>
      </c>
      <c r="T264" s="2"/>
      <c r="U264" s="2"/>
      <c r="V264" s="2"/>
      <c r="W264" s="2" t="s">
        <v>268</v>
      </c>
      <c r="X264" s="2" t="s">
        <v>27</v>
      </c>
      <c r="Y264" s="2" t="s">
        <v>27</v>
      </c>
      <c r="Z264" s="2" t="s">
        <v>27</v>
      </c>
      <c r="AA264" s="3">
        <v>45787</v>
      </c>
      <c r="AB264" s="3"/>
      <c r="AC264" s="2" t="s">
        <v>27</v>
      </c>
    </row>
    <row r="265" spans="1:29" x14ac:dyDescent="0.35">
      <c r="A265" s="2">
        <v>1800008361</v>
      </c>
      <c r="B265" s="2" t="s">
        <v>63</v>
      </c>
      <c r="C265" s="3">
        <v>45787</v>
      </c>
      <c r="D265" s="3">
        <v>45792</v>
      </c>
      <c r="E265" s="2" t="s">
        <v>58</v>
      </c>
      <c r="F265" s="33">
        <v>256779413244</v>
      </c>
      <c r="G265" s="2" t="s">
        <v>28</v>
      </c>
      <c r="H265" s="2" t="s">
        <v>29</v>
      </c>
      <c r="I265" s="2" t="s">
        <v>27</v>
      </c>
      <c r="J265" s="2" t="s">
        <v>64</v>
      </c>
      <c r="K265" s="2" t="s">
        <v>38</v>
      </c>
      <c r="L265" s="4">
        <v>401.24</v>
      </c>
      <c r="M265" s="2" t="s">
        <v>31</v>
      </c>
      <c r="N265" s="4">
        <v>34500.1</v>
      </c>
      <c r="O265" s="2" t="s">
        <v>65</v>
      </c>
      <c r="P265" s="2" t="s">
        <v>32</v>
      </c>
      <c r="Q265" s="2" t="s">
        <v>27</v>
      </c>
      <c r="R265" s="2" t="s">
        <v>58</v>
      </c>
      <c r="S265" s="2" t="s">
        <v>33</v>
      </c>
      <c r="T265" s="2"/>
      <c r="U265" s="2"/>
      <c r="V265" s="2"/>
      <c r="W265" s="2" t="s">
        <v>269</v>
      </c>
      <c r="X265" s="2" t="s">
        <v>27</v>
      </c>
      <c r="Y265" s="2" t="s">
        <v>27</v>
      </c>
      <c r="Z265" s="2" t="s">
        <v>27</v>
      </c>
      <c r="AA265" s="3">
        <v>45787</v>
      </c>
      <c r="AB265" s="3"/>
      <c r="AC265" s="2" t="s">
        <v>27</v>
      </c>
    </row>
    <row r="266" spans="1:29" x14ac:dyDescent="0.35">
      <c r="A266" s="2">
        <v>1800015454</v>
      </c>
      <c r="B266" s="2" t="s">
        <v>63</v>
      </c>
      <c r="C266" s="3">
        <v>45997</v>
      </c>
      <c r="D266" s="3">
        <v>46000</v>
      </c>
      <c r="E266" s="2" t="s">
        <v>58</v>
      </c>
      <c r="F266" s="33">
        <v>256779419955</v>
      </c>
      <c r="G266" s="2" t="s">
        <v>28</v>
      </c>
      <c r="H266" s="2" t="s">
        <v>29</v>
      </c>
      <c r="I266" s="2" t="s">
        <v>27</v>
      </c>
      <c r="J266" s="2" t="s">
        <v>64</v>
      </c>
      <c r="K266" s="2" t="s">
        <v>38</v>
      </c>
      <c r="L266" s="4">
        <v>61.99</v>
      </c>
      <c r="M266" s="2" t="s">
        <v>31</v>
      </c>
      <c r="N266" s="4">
        <v>5498.52</v>
      </c>
      <c r="O266" s="2" t="s">
        <v>65</v>
      </c>
      <c r="P266" s="2" t="s">
        <v>32</v>
      </c>
      <c r="Q266" s="2" t="s">
        <v>27</v>
      </c>
      <c r="R266" s="2" t="s">
        <v>270</v>
      </c>
      <c r="S266" s="2" t="s">
        <v>33</v>
      </c>
      <c r="T266" s="2"/>
      <c r="U266" s="2"/>
      <c r="V266" s="2"/>
      <c r="W266" s="2" t="s">
        <v>271</v>
      </c>
      <c r="X266" s="2" t="s">
        <v>27</v>
      </c>
      <c r="Y266" s="2" t="s">
        <v>27</v>
      </c>
      <c r="Z266" s="2" t="s">
        <v>27</v>
      </c>
      <c r="AA266" s="3">
        <v>45997</v>
      </c>
      <c r="AB266" s="3"/>
      <c r="AC266" s="2" t="s">
        <v>27</v>
      </c>
    </row>
    <row r="267" spans="1:29" x14ac:dyDescent="0.35">
      <c r="A267" s="2">
        <v>1800015475</v>
      </c>
      <c r="B267" s="2" t="s">
        <v>63</v>
      </c>
      <c r="C267" s="3">
        <v>45997</v>
      </c>
      <c r="D267" s="3">
        <v>46000</v>
      </c>
      <c r="E267" s="2" t="s">
        <v>58</v>
      </c>
      <c r="F267" s="33">
        <v>256779419992</v>
      </c>
      <c r="G267" s="2" t="s">
        <v>28</v>
      </c>
      <c r="H267" s="2" t="s">
        <v>29</v>
      </c>
      <c r="I267" s="2" t="s">
        <v>27</v>
      </c>
      <c r="J267" s="2" t="s">
        <v>64</v>
      </c>
      <c r="K267" s="2" t="s">
        <v>38</v>
      </c>
      <c r="L267" s="4">
        <v>124.11</v>
      </c>
      <c r="M267" s="2" t="s">
        <v>31</v>
      </c>
      <c r="N267" s="4">
        <v>11008.57</v>
      </c>
      <c r="O267" s="2" t="s">
        <v>65</v>
      </c>
      <c r="P267" s="2" t="s">
        <v>32</v>
      </c>
      <c r="Q267" s="2" t="s">
        <v>27</v>
      </c>
      <c r="R267" s="2" t="s">
        <v>272</v>
      </c>
      <c r="S267" s="2" t="s">
        <v>33</v>
      </c>
      <c r="T267" s="2"/>
      <c r="U267" s="2"/>
      <c r="V267" s="2"/>
      <c r="W267" s="2" t="s">
        <v>273</v>
      </c>
      <c r="X267" s="2" t="s">
        <v>27</v>
      </c>
      <c r="Y267" s="2" t="s">
        <v>27</v>
      </c>
      <c r="Z267" s="2" t="s">
        <v>27</v>
      </c>
      <c r="AA267" s="3">
        <v>45997</v>
      </c>
      <c r="AB267" s="3"/>
      <c r="AC267" s="2" t="s">
        <v>27</v>
      </c>
    </row>
    <row r="268" spans="1:29" x14ac:dyDescent="0.35">
      <c r="A268" s="2">
        <v>1800013275</v>
      </c>
      <c r="B268" s="2" t="s">
        <v>63</v>
      </c>
      <c r="C268" s="3">
        <v>45936</v>
      </c>
      <c r="D268" s="3">
        <v>45937</v>
      </c>
      <c r="E268" s="2" t="s">
        <v>58</v>
      </c>
      <c r="F268" s="33">
        <v>256779418011</v>
      </c>
      <c r="G268" s="2" t="s">
        <v>28</v>
      </c>
      <c r="H268" s="2" t="s">
        <v>29</v>
      </c>
      <c r="I268" s="2" t="s">
        <v>27</v>
      </c>
      <c r="J268" s="2" t="s">
        <v>64</v>
      </c>
      <c r="K268" s="2" t="s">
        <v>38</v>
      </c>
      <c r="L268" s="4">
        <v>930.14</v>
      </c>
      <c r="M268" s="2" t="s">
        <v>31</v>
      </c>
      <c r="N268" s="4">
        <v>82029.759999999995</v>
      </c>
      <c r="O268" s="2" t="s">
        <v>65</v>
      </c>
      <c r="P268" s="2" t="s">
        <v>32</v>
      </c>
      <c r="Q268" s="2" t="s">
        <v>27</v>
      </c>
      <c r="R268" s="2" t="s">
        <v>274</v>
      </c>
      <c r="S268" s="2" t="s">
        <v>33</v>
      </c>
      <c r="T268" s="2"/>
      <c r="U268" s="2"/>
      <c r="V268" s="2"/>
      <c r="W268" s="2" t="s">
        <v>275</v>
      </c>
      <c r="X268" s="2" t="s">
        <v>27</v>
      </c>
      <c r="Y268" s="2" t="s">
        <v>27</v>
      </c>
      <c r="Z268" s="2" t="s">
        <v>27</v>
      </c>
      <c r="AA268" s="3">
        <v>45936</v>
      </c>
      <c r="AB268" s="3"/>
      <c r="AC268" s="2" t="s">
        <v>27</v>
      </c>
    </row>
    <row r="269" spans="1:29" x14ac:dyDescent="0.35">
      <c r="A269" s="2">
        <v>1800013306</v>
      </c>
      <c r="B269" s="2" t="s">
        <v>63</v>
      </c>
      <c r="C269" s="3">
        <v>45935</v>
      </c>
      <c r="D269" s="3">
        <v>45937</v>
      </c>
      <c r="E269" s="2" t="s">
        <v>58</v>
      </c>
      <c r="F269" s="33">
        <v>256779417902</v>
      </c>
      <c r="G269" s="2" t="s">
        <v>28</v>
      </c>
      <c r="H269" s="2" t="s">
        <v>29</v>
      </c>
      <c r="I269" s="2" t="s">
        <v>27</v>
      </c>
      <c r="J269" s="2" t="s">
        <v>64</v>
      </c>
      <c r="K269" s="2" t="s">
        <v>38</v>
      </c>
      <c r="L269" s="4">
        <v>28.15</v>
      </c>
      <c r="M269" s="2" t="s">
        <v>31</v>
      </c>
      <c r="N269" s="4">
        <v>2482.5700000000002</v>
      </c>
      <c r="O269" s="2" t="s">
        <v>65</v>
      </c>
      <c r="P269" s="2" t="s">
        <v>32</v>
      </c>
      <c r="Q269" s="2" t="s">
        <v>27</v>
      </c>
      <c r="R269" s="2" t="s">
        <v>276</v>
      </c>
      <c r="S269" s="2" t="s">
        <v>33</v>
      </c>
      <c r="T269" s="2"/>
      <c r="U269" s="2"/>
      <c r="V269" s="2"/>
      <c r="W269" s="2" t="s">
        <v>277</v>
      </c>
      <c r="X269" s="2" t="s">
        <v>27</v>
      </c>
      <c r="Y269" s="2" t="s">
        <v>27</v>
      </c>
      <c r="Z269" s="2" t="s">
        <v>27</v>
      </c>
      <c r="AA269" s="3">
        <v>45935</v>
      </c>
      <c r="AB269" s="3"/>
      <c r="AC269" s="2" t="s">
        <v>27</v>
      </c>
    </row>
    <row r="270" spans="1:29" x14ac:dyDescent="0.35">
      <c r="A270" s="2">
        <v>1800013344</v>
      </c>
      <c r="B270" s="2" t="s">
        <v>63</v>
      </c>
      <c r="C270" s="3">
        <v>45935</v>
      </c>
      <c r="D270" s="3">
        <v>45937</v>
      </c>
      <c r="E270" s="2" t="s">
        <v>58</v>
      </c>
      <c r="F270" s="33">
        <v>256779417940</v>
      </c>
      <c r="G270" s="2" t="s">
        <v>28</v>
      </c>
      <c r="H270" s="2" t="s">
        <v>29</v>
      </c>
      <c r="I270" s="2" t="s">
        <v>27</v>
      </c>
      <c r="J270" s="2" t="s">
        <v>64</v>
      </c>
      <c r="K270" s="2" t="s">
        <v>38</v>
      </c>
      <c r="L270" s="4">
        <v>331.5</v>
      </c>
      <c r="M270" s="2" t="s">
        <v>31</v>
      </c>
      <c r="N270" s="4">
        <v>29235.24</v>
      </c>
      <c r="O270" s="2" t="s">
        <v>65</v>
      </c>
      <c r="P270" s="2" t="s">
        <v>32</v>
      </c>
      <c r="Q270" s="2" t="s">
        <v>27</v>
      </c>
      <c r="R270" s="2" t="s">
        <v>58</v>
      </c>
      <c r="S270" s="2" t="s">
        <v>33</v>
      </c>
      <c r="T270" s="2"/>
      <c r="U270" s="2"/>
      <c r="V270" s="2"/>
      <c r="W270" s="2" t="s">
        <v>278</v>
      </c>
      <c r="X270" s="2" t="s">
        <v>27</v>
      </c>
      <c r="Y270" s="2" t="s">
        <v>27</v>
      </c>
      <c r="Z270" s="2" t="s">
        <v>27</v>
      </c>
      <c r="AA270" s="3">
        <v>45935</v>
      </c>
      <c r="AB270" s="3"/>
      <c r="AC270" s="2" t="s">
        <v>27</v>
      </c>
    </row>
    <row r="271" spans="1:29" x14ac:dyDescent="0.35">
      <c r="A271" s="2">
        <v>1800013429</v>
      </c>
      <c r="B271" s="2" t="s">
        <v>63</v>
      </c>
      <c r="C271" s="3">
        <v>45935</v>
      </c>
      <c r="D271" s="3">
        <v>45937</v>
      </c>
      <c r="E271" s="2" t="s">
        <v>58</v>
      </c>
      <c r="F271" s="33">
        <v>256779418076</v>
      </c>
      <c r="G271" s="2" t="s">
        <v>28</v>
      </c>
      <c r="H271" s="2" t="s">
        <v>29</v>
      </c>
      <c r="I271" s="2" t="s">
        <v>27</v>
      </c>
      <c r="J271" s="2" t="s">
        <v>64</v>
      </c>
      <c r="K271" s="2" t="s">
        <v>38</v>
      </c>
      <c r="L271" s="4">
        <v>136.47999999999999</v>
      </c>
      <c r="M271" s="2" t="s">
        <v>31</v>
      </c>
      <c r="N271" s="4">
        <v>12036.28</v>
      </c>
      <c r="O271" s="2" t="s">
        <v>65</v>
      </c>
      <c r="P271" s="2" t="s">
        <v>32</v>
      </c>
      <c r="Q271" s="2" t="s">
        <v>27</v>
      </c>
      <c r="R271" s="2" t="s">
        <v>279</v>
      </c>
      <c r="S271" s="2" t="s">
        <v>33</v>
      </c>
      <c r="T271" s="2"/>
      <c r="U271" s="2"/>
      <c r="V271" s="2"/>
      <c r="W271" s="2" t="s">
        <v>280</v>
      </c>
      <c r="X271" s="2" t="s">
        <v>27</v>
      </c>
      <c r="Y271" s="2" t="s">
        <v>27</v>
      </c>
      <c r="Z271" s="2" t="s">
        <v>27</v>
      </c>
      <c r="AA271" s="3">
        <v>45935</v>
      </c>
      <c r="AB271" s="3"/>
      <c r="AC271" s="2" t="s">
        <v>27</v>
      </c>
    </row>
    <row r="272" spans="1:29" x14ac:dyDescent="0.35">
      <c r="A272" s="2">
        <v>1800013510</v>
      </c>
      <c r="B272" s="2" t="s">
        <v>63</v>
      </c>
      <c r="C272" s="3">
        <v>45935</v>
      </c>
      <c r="D272" s="3">
        <v>45940</v>
      </c>
      <c r="E272" s="2" t="s">
        <v>58</v>
      </c>
      <c r="F272" s="33">
        <v>256779418400</v>
      </c>
      <c r="G272" s="2" t="s">
        <v>28</v>
      </c>
      <c r="H272" s="2" t="s">
        <v>29</v>
      </c>
      <c r="I272" s="2" t="s">
        <v>27</v>
      </c>
      <c r="J272" s="2" t="s">
        <v>64</v>
      </c>
      <c r="K272" s="2" t="s">
        <v>38</v>
      </c>
      <c r="L272" s="4">
        <v>293.3</v>
      </c>
      <c r="M272" s="2" t="s">
        <v>31</v>
      </c>
      <c r="N272" s="4">
        <v>25866.35</v>
      </c>
      <c r="O272" s="2" t="s">
        <v>65</v>
      </c>
      <c r="P272" s="2" t="s">
        <v>32</v>
      </c>
      <c r="Q272" s="2" t="s">
        <v>27</v>
      </c>
      <c r="R272" s="2" t="s">
        <v>281</v>
      </c>
      <c r="S272" s="2" t="s">
        <v>33</v>
      </c>
      <c r="T272" s="2"/>
      <c r="U272" s="2"/>
      <c r="V272" s="2"/>
      <c r="W272" s="2" t="s">
        <v>282</v>
      </c>
      <c r="X272" s="2" t="s">
        <v>27</v>
      </c>
      <c r="Y272" s="2" t="s">
        <v>27</v>
      </c>
      <c r="Z272" s="2" t="s">
        <v>27</v>
      </c>
      <c r="AA272" s="3">
        <v>45935</v>
      </c>
      <c r="AB272" s="3"/>
      <c r="AC272" s="2" t="s">
        <v>27</v>
      </c>
    </row>
    <row r="273" spans="1:29" x14ac:dyDescent="0.35">
      <c r="A273" s="2">
        <v>1800012474</v>
      </c>
      <c r="B273" s="2" t="s">
        <v>63</v>
      </c>
      <c r="C273" s="3">
        <v>45906</v>
      </c>
      <c r="D273" s="3">
        <v>45909</v>
      </c>
      <c r="E273" s="2" t="s">
        <v>58</v>
      </c>
      <c r="F273" s="33">
        <v>256779417082</v>
      </c>
      <c r="G273" s="2" t="s">
        <v>28</v>
      </c>
      <c r="H273" s="2" t="s">
        <v>29</v>
      </c>
      <c r="I273" s="2" t="s">
        <v>27</v>
      </c>
      <c r="J273" s="2" t="s">
        <v>64</v>
      </c>
      <c r="K273" s="2" t="s">
        <v>38</v>
      </c>
      <c r="L273" s="4">
        <v>1664.01</v>
      </c>
      <c r="M273" s="2" t="s">
        <v>31</v>
      </c>
      <c r="N273" s="4">
        <v>145624.72</v>
      </c>
      <c r="O273" s="2" t="s">
        <v>65</v>
      </c>
      <c r="P273" s="2" t="s">
        <v>32</v>
      </c>
      <c r="Q273" s="2" t="s">
        <v>27</v>
      </c>
      <c r="R273" s="2" t="s">
        <v>58</v>
      </c>
      <c r="S273" s="2" t="s">
        <v>33</v>
      </c>
      <c r="T273" s="2"/>
      <c r="U273" s="2"/>
      <c r="V273" s="2"/>
      <c r="W273" s="2" t="s">
        <v>283</v>
      </c>
      <c r="X273" s="2" t="s">
        <v>27</v>
      </c>
      <c r="Y273" s="2" t="s">
        <v>27</v>
      </c>
      <c r="Z273" s="2" t="s">
        <v>27</v>
      </c>
      <c r="AA273" s="3">
        <v>45906</v>
      </c>
      <c r="AB273" s="3"/>
      <c r="AC273" s="2" t="s">
        <v>27</v>
      </c>
    </row>
    <row r="274" spans="1:29" x14ac:dyDescent="0.35">
      <c r="A274" s="2">
        <v>1800015678</v>
      </c>
      <c r="B274" s="2" t="s">
        <v>63</v>
      </c>
      <c r="C274" s="3">
        <v>46024</v>
      </c>
      <c r="D274" s="3">
        <v>46024</v>
      </c>
      <c r="E274" s="2" t="s">
        <v>58</v>
      </c>
      <c r="F274" s="33">
        <v>256779440011</v>
      </c>
      <c r="G274" s="2" t="s">
        <v>28</v>
      </c>
      <c r="H274" s="2" t="s">
        <v>29</v>
      </c>
      <c r="I274" s="2" t="s">
        <v>27</v>
      </c>
      <c r="J274" s="2" t="s">
        <v>64</v>
      </c>
      <c r="K274" s="2" t="s">
        <v>38</v>
      </c>
      <c r="L274" s="4">
        <v>464.42</v>
      </c>
      <c r="M274" s="2" t="s">
        <v>31</v>
      </c>
      <c r="N274" s="4">
        <v>42142.93</v>
      </c>
      <c r="O274" s="2" t="s">
        <v>65</v>
      </c>
      <c r="P274" s="2" t="s">
        <v>32</v>
      </c>
      <c r="Q274" s="2" t="s">
        <v>27</v>
      </c>
      <c r="R274" s="2" t="s">
        <v>284</v>
      </c>
      <c r="S274" s="2" t="s">
        <v>33</v>
      </c>
      <c r="T274" s="2"/>
      <c r="U274" s="2"/>
      <c r="V274" s="2"/>
      <c r="W274" s="2" t="s">
        <v>285</v>
      </c>
      <c r="X274" s="2" t="s">
        <v>27</v>
      </c>
      <c r="Y274" s="2" t="s">
        <v>27</v>
      </c>
      <c r="Z274" s="2" t="s">
        <v>27</v>
      </c>
      <c r="AA274" s="3">
        <v>46024</v>
      </c>
      <c r="AB274" s="3"/>
      <c r="AC274" s="2" t="s">
        <v>27</v>
      </c>
    </row>
    <row r="275" spans="1:29" x14ac:dyDescent="0.35">
      <c r="A275" s="2">
        <v>1800015802</v>
      </c>
      <c r="B275" s="2" t="s">
        <v>63</v>
      </c>
      <c r="C275" s="3">
        <v>46027</v>
      </c>
      <c r="D275" s="3">
        <v>46027</v>
      </c>
      <c r="E275" s="2" t="s">
        <v>58</v>
      </c>
      <c r="F275" s="33">
        <v>256779440052</v>
      </c>
      <c r="G275" s="2" t="s">
        <v>28</v>
      </c>
      <c r="H275" s="2" t="s">
        <v>29</v>
      </c>
      <c r="I275" s="2" t="s">
        <v>27</v>
      </c>
      <c r="J275" s="2" t="s">
        <v>64</v>
      </c>
      <c r="K275" s="2" t="s">
        <v>38</v>
      </c>
      <c r="L275" s="4">
        <v>846.77</v>
      </c>
      <c r="M275" s="2" t="s">
        <v>31</v>
      </c>
      <c r="N275" s="4">
        <v>76838.570000000007</v>
      </c>
      <c r="O275" s="2" t="s">
        <v>65</v>
      </c>
      <c r="P275" s="2" t="s">
        <v>32</v>
      </c>
      <c r="Q275" s="2" t="s">
        <v>27</v>
      </c>
      <c r="R275" s="2" t="s">
        <v>286</v>
      </c>
      <c r="S275" s="2" t="s">
        <v>33</v>
      </c>
      <c r="T275" s="2"/>
      <c r="U275" s="2"/>
      <c r="V275" s="2"/>
      <c r="W275" s="2" t="s">
        <v>287</v>
      </c>
      <c r="X275" s="2" t="s">
        <v>27</v>
      </c>
      <c r="Y275" s="2" t="s">
        <v>27</v>
      </c>
      <c r="Z275" s="2" t="s">
        <v>27</v>
      </c>
      <c r="AA275" s="3">
        <v>46027</v>
      </c>
      <c r="AB275" s="3"/>
      <c r="AC275" s="2" t="s">
        <v>27</v>
      </c>
    </row>
    <row r="276" spans="1:29" x14ac:dyDescent="0.35">
      <c r="A276" s="2">
        <v>1800015965</v>
      </c>
      <c r="B276" s="2" t="s">
        <v>63</v>
      </c>
      <c r="C276" s="3">
        <v>46027</v>
      </c>
      <c r="D276" s="3">
        <v>46027</v>
      </c>
      <c r="E276" s="2" t="s">
        <v>288</v>
      </c>
      <c r="F276" s="33">
        <v>256779440081</v>
      </c>
      <c r="G276" s="2" t="s">
        <v>28</v>
      </c>
      <c r="H276" s="2" t="s">
        <v>29</v>
      </c>
      <c r="I276" s="2" t="s">
        <v>27</v>
      </c>
      <c r="J276" s="2" t="s">
        <v>64</v>
      </c>
      <c r="K276" s="2" t="s">
        <v>38</v>
      </c>
      <c r="L276" s="4">
        <v>3.45</v>
      </c>
      <c r="M276" s="2" t="s">
        <v>31</v>
      </c>
      <c r="N276" s="4">
        <v>313.06</v>
      </c>
      <c r="O276" s="2" t="s">
        <v>65</v>
      </c>
      <c r="P276" s="2" t="s">
        <v>32</v>
      </c>
      <c r="Q276" s="2" t="s">
        <v>27</v>
      </c>
      <c r="R276" s="2" t="s">
        <v>58</v>
      </c>
      <c r="S276" s="2" t="s">
        <v>33</v>
      </c>
      <c r="T276" s="2"/>
      <c r="U276" s="2"/>
      <c r="V276" s="2"/>
      <c r="W276" s="2" t="s">
        <v>289</v>
      </c>
      <c r="X276" s="2" t="s">
        <v>27</v>
      </c>
      <c r="Y276" s="2" t="s">
        <v>27</v>
      </c>
      <c r="Z276" s="2" t="s">
        <v>27</v>
      </c>
      <c r="AA276" s="3">
        <v>46027</v>
      </c>
      <c r="AB276" s="3"/>
      <c r="AC276" s="2" t="s">
        <v>27</v>
      </c>
    </row>
    <row r="277" spans="1:29" x14ac:dyDescent="0.35">
      <c r="A277" s="2">
        <v>1400002371</v>
      </c>
      <c r="B277" s="2" t="s">
        <v>37</v>
      </c>
      <c r="C277" s="3">
        <v>46029</v>
      </c>
      <c r="D277" s="3">
        <v>46029</v>
      </c>
      <c r="E277" s="2" t="s">
        <v>290</v>
      </c>
      <c r="F277" s="33" t="s">
        <v>27</v>
      </c>
      <c r="G277" s="2" t="s">
        <v>28</v>
      </c>
      <c r="H277" s="2" t="s">
        <v>29</v>
      </c>
      <c r="I277" s="2" t="s">
        <v>27</v>
      </c>
      <c r="J277" s="2" t="s">
        <v>49</v>
      </c>
      <c r="K277" s="2" t="s">
        <v>38</v>
      </c>
      <c r="L277" s="4">
        <v>1530.78</v>
      </c>
      <c r="M277" s="2" t="s">
        <v>31</v>
      </c>
      <c r="N277" s="4">
        <v>135000</v>
      </c>
      <c r="O277" s="2" t="s">
        <v>27</v>
      </c>
      <c r="P277" s="2" t="s">
        <v>32</v>
      </c>
      <c r="Q277" s="2" t="s">
        <v>27</v>
      </c>
      <c r="R277" s="2" t="s">
        <v>27</v>
      </c>
      <c r="S277" s="2" t="s">
        <v>291</v>
      </c>
      <c r="T277" s="2"/>
      <c r="U277" s="2"/>
      <c r="V277" s="2"/>
      <c r="W277" s="2" t="s">
        <v>290</v>
      </c>
      <c r="X277" s="2" t="s">
        <v>27</v>
      </c>
      <c r="Y277" s="2" t="s">
        <v>27</v>
      </c>
      <c r="Z277" s="2" t="s">
        <v>27</v>
      </c>
      <c r="AA277" s="3">
        <v>46029</v>
      </c>
      <c r="AB277" s="3">
        <v>46029</v>
      </c>
      <c r="AC277" s="2" t="s">
        <v>292</v>
      </c>
    </row>
    <row r="278" spans="1:29" x14ac:dyDescent="0.35">
      <c r="A278" s="2">
        <v>1400002371</v>
      </c>
      <c r="B278" s="2" t="s">
        <v>37</v>
      </c>
      <c r="C278" s="3">
        <v>46029</v>
      </c>
      <c r="D278" s="3">
        <v>46029</v>
      </c>
      <c r="E278" s="2" t="s">
        <v>290</v>
      </c>
      <c r="F278" s="33" t="s">
        <v>27</v>
      </c>
      <c r="G278" s="2" t="s">
        <v>28</v>
      </c>
      <c r="H278" s="2" t="s">
        <v>29</v>
      </c>
      <c r="I278" s="2" t="s">
        <v>27</v>
      </c>
      <c r="J278" s="2" t="s">
        <v>49</v>
      </c>
      <c r="K278" s="2" t="s">
        <v>38</v>
      </c>
      <c r="L278" s="4">
        <v>986.48</v>
      </c>
      <c r="M278" s="2" t="s">
        <v>31</v>
      </c>
      <c r="N278" s="4">
        <v>86998.43</v>
      </c>
      <c r="O278" s="2" t="s">
        <v>27</v>
      </c>
      <c r="P278" s="2" t="s">
        <v>32</v>
      </c>
      <c r="Q278" s="2" t="s">
        <v>27</v>
      </c>
      <c r="R278" s="2" t="s">
        <v>27</v>
      </c>
      <c r="S278" s="2" t="s">
        <v>293</v>
      </c>
      <c r="T278" s="2"/>
      <c r="U278" s="2"/>
      <c r="V278" s="2"/>
      <c r="W278" s="2" t="s">
        <v>290</v>
      </c>
      <c r="X278" s="2" t="s">
        <v>27</v>
      </c>
      <c r="Y278" s="2" t="s">
        <v>27</v>
      </c>
      <c r="Z278" s="2" t="s">
        <v>27</v>
      </c>
      <c r="AA278" s="3">
        <v>46029</v>
      </c>
      <c r="AB278" s="3">
        <v>46029</v>
      </c>
      <c r="AC278" s="2" t="s">
        <v>292</v>
      </c>
    </row>
    <row r="279" spans="1:29" x14ac:dyDescent="0.35">
      <c r="A279" s="2">
        <v>1400002370</v>
      </c>
      <c r="B279" s="2" t="s">
        <v>37</v>
      </c>
      <c r="C279" s="3">
        <v>46029</v>
      </c>
      <c r="D279" s="3">
        <v>46029</v>
      </c>
      <c r="E279" s="2" t="s">
        <v>290</v>
      </c>
      <c r="F279" s="33" t="s">
        <v>27</v>
      </c>
      <c r="G279" s="2" t="s">
        <v>28</v>
      </c>
      <c r="H279" s="2" t="s">
        <v>29</v>
      </c>
      <c r="I279" s="2" t="s">
        <v>27</v>
      </c>
      <c r="J279" s="2" t="s">
        <v>35</v>
      </c>
      <c r="K279" s="2" t="s">
        <v>38</v>
      </c>
      <c r="L279" s="4">
        <v>-1530.78</v>
      </c>
      <c r="M279" s="2" t="s">
        <v>31</v>
      </c>
      <c r="N279" s="4">
        <v>-135000</v>
      </c>
      <c r="O279" s="2" t="s">
        <v>27</v>
      </c>
      <c r="P279" s="2" t="s">
        <v>32</v>
      </c>
      <c r="Q279" s="2" t="s">
        <v>27</v>
      </c>
      <c r="R279" s="2" t="s">
        <v>27</v>
      </c>
      <c r="S279" s="2" t="s">
        <v>291</v>
      </c>
      <c r="T279" s="2"/>
      <c r="U279" s="2"/>
      <c r="V279" s="2"/>
      <c r="W279" s="2" t="s">
        <v>290</v>
      </c>
      <c r="X279" s="2" t="s">
        <v>27</v>
      </c>
      <c r="Y279" s="2" t="s">
        <v>27</v>
      </c>
      <c r="Z279" s="2" t="s">
        <v>27</v>
      </c>
      <c r="AA279" s="3">
        <v>46029</v>
      </c>
      <c r="AB279" s="3">
        <v>46029</v>
      </c>
      <c r="AC279" s="2" t="s">
        <v>292</v>
      </c>
    </row>
    <row r="280" spans="1:29" x14ac:dyDescent="0.35">
      <c r="A280" s="2">
        <v>1400002370</v>
      </c>
      <c r="B280" s="2" t="s">
        <v>37</v>
      </c>
      <c r="C280" s="3">
        <v>46029</v>
      </c>
      <c r="D280" s="3">
        <v>46029</v>
      </c>
      <c r="E280" s="2" t="s">
        <v>290</v>
      </c>
      <c r="F280" s="33" t="s">
        <v>27</v>
      </c>
      <c r="G280" s="2" t="s">
        <v>28</v>
      </c>
      <c r="H280" s="2" t="s">
        <v>29</v>
      </c>
      <c r="I280" s="2" t="s">
        <v>27</v>
      </c>
      <c r="J280" s="2" t="s">
        <v>35</v>
      </c>
      <c r="K280" s="2" t="s">
        <v>38</v>
      </c>
      <c r="L280" s="4">
        <v>-986.48</v>
      </c>
      <c r="M280" s="2" t="s">
        <v>31</v>
      </c>
      <c r="N280" s="4">
        <v>-86998.43</v>
      </c>
      <c r="O280" s="2" t="s">
        <v>27</v>
      </c>
      <c r="P280" s="2" t="s">
        <v>32</v>
      </c>
      <c r="Q280" s="2" t="s">
        <v>27</v>
      </c>
      <c r="R280" s="2" t="s">
        <v>27</v>
      </c>
      <c r="S280" s="2" t="s">
        <v>293</v>
      </c>
      <c r="T280" s="2"/>
      <c r="U280" s="2"/>
      <c r="V280" s="2"/>
      <c r="W280" s="2" t="s">
        <v>290</v>
      </c>
      <c r="X280" s="2" t="s">
        <v>27</v>
      </c>
      <c r="Y280" s="2" t="s">
        <v>27</v>
      </c>
      <c r="Z280" s="2" t="s">
        <v>27</v>
      </c>
      <c r="AA280" s="3">
        <v>46029</v>
      </c>
      <c r="AB280" s="3">
        <v>46029</v>
      </c>
      <c r="AC280" s="2" t="s">
        <v>292</v>
      </c>
    </row>
    <row r="281" spans="1:29" x14ac:dyDescent="0.35">
      <c r="A281" s="2">
        <v>1400002372</v>
      </c>
      <c r="B281" s="2" t="s">
        <v>37</v>
      </c>
      <c r="C281" s="3">
        <v>46029</v>
      </c>
      <c r="D281" s="3">
        <v>46029</v>
      </c>
      <c r="E281" s="2" t="s">
        <v>290</v>
      </c>
      <c r="F281" s="33" t="s">
        <v>27</v>
      </c>
      <c r="G281" s="2" t="s">
        <v>28</v>
      </c>
      <c r="H281" s="2" t="s">
        <v>29</v>
      </c>
      <c r="I281" s="2" t="s">
        <v>27</v>
      </c>
      <c r="J281" s="2" t="s">
        <v>35</v>
      </c>
      <c r="K281" s="2" t="s">
        <v>38</v>
      </c>
      <c r="L281" s="4">
        <v>-1530.78</v>
      </c>
      <c r="M281" s="2" t="s">
        <v>31</v>
      </c>
      <c r="N281" s="4">
        <v>-135000</v>
      </c>
      <c r="O281" s="2" t="s">
        <v>27</v>
      </c>
      <c r="P281" s="2" t="s">
        <v>32</v>
      </c>
      <c r="Q281" s="2" t="s">
        <v>27</v>
      </c>
      <c r="R281" s="2" t="s">
        <v>27</v>
      </c>
      <c r="S281" s="2" t="s">
        <v>39</v>
      </c>
      <c r="T281" s="2"/>
      <c r="U281" s="2"/>
      <c r="V281" s="2"/>
      <c r="W281" s="2" t="s">
        <v>290</v>
      </c>
      <c r="X281" s="2" t="s">
        <v>27</v>
      </c>
      <c r="Y281" s="2" t="s">
        <v>27</v>
      </c>
      <c r="Z281" s="2" t="s">
        <v>27</v>
      </c>
      <c r="AA281" s="3">
        <v>46029</v>
      </c>
      <c r="AB281" s="3">
        <v>46029</v>
      </c>
      <c r="AC281" s="2" t="s">
        <v>294</v>
      </c>
    </row>
    <row r="282" spans="1:29" x14ac:dyDescent="0.35">
      <c r="A282" s="2">
        <v>1400002372</v>
      </c>
      <c r="B282" s="2" t="s">
        <v>37</v>
      </c>
      <c r="C282" s="3">
        <v>46029</v>
      </c>
      <c r="D282" s="3">
        <v>46029</v>
      </c>
      <c r="E282" s="2" t="s">
        <v>290</v>
      </c>
      <c r="F282" s="33" t="s">
        <v>27</v>
      </c>
      <c r="G282" s="2" t="s">
        <v>28</v>
      </c>
      <c r="H282" s="2" t="s">
        <v>29</v>
      </c>
      <c r="I282" s="2" t="s">
        <v>27</v>
      </c>
      <c r="J282" s="2" t="s">
        <v>35</v>
      </c>
      <c r="K282" s="2" t="s">
        <v>38</v>
      </c>
      <c r="L282" s="4">
        <v>-986.48</v>
      </c>
      <c r="M282" s="2" t="s">
        <v>31</v>
      </c>
      <c r="N282" s="4">
        <v>-86998.43</v>
      </c>
      <c r="O282" s="2" t="s">
        <v>27</v>
      </c>
      <c r="P282" s="2" t="s">
        <v>32</v>
      </c>
      <c r="Q282" s="2" t="s">
        <v>27</v>
      </c>
      <c r="R282" s="2" t="s">
        <v>27</v>
      </c>
      <c r="S282" s="2" t="s">
        <v>291</v>
      </c>
      <c r="T282" s="2"/>
      <c r="U282" s="2"/>
      <c r="V282" s="2"/>
      <c r="W282" s="2" t="s">
        <v>290</v>
      </c>
      <c r="X282" s="2" t="s">
        <v>27</v>
      </c>
      <c r="Y282" s="2" t="s">
        <v>27</v>
      </c>
      <c r="Z282" s="2" t="s">
        <v>27</v>
      </c>
      <c r="AA282" s="3">
        <v>46029</v>
      </c>
      <c r="AB282" s="3">
        <v>46029</v>
      </c>
      <c r="AC282" s="2" t="s">
        <v>294</v>
      </c>
    </row>
    <row r="283" spans="1:29" x14ac:dyDescent="0.35">
      <c r="A283" s="2">
        <v>1800013253</v>
      </c>
      <c r="B283" s="2" t="s">
        <v>63</v>
      </c>
      <c r="C283" s="3">
        <v>45935</v>
      </c>
      <c r="D283" s="3">
        <v>45937</v>
      </c>
      <c r="E283" s="2" t="s">
        <v>58</v>
      </c>
      <c r="F283" s="33">
        <v>256779417873</v>
      </c>
      <c r="G283" s="2" t="s">
        <v>28</v>
      </c>
      <c r="H283" s="2" t="s">
        <v>29</v>
      </c>
      <c r="I283" s="2" t="s">
        <v>27</v>
      </c>
      <c r="J283" s="2" t="s">
        <v>64</v>
      </c>
      <c r="K283" s="2" t="s">
        <v>31</v>
      </c>
      <c r="L283" s="4">
        <v>-2298.8505747126437</v>
      </c>
      <c r="M283" s="2" t="s">
        <v>31</v>
      </c>
      <c r="N283" s="4">
        <v>100000</v>
      </c>
      <c r="O283" s="2" t="s">
        <v>65</v>
      </c>
      <c r="P283" s="2" t="s">
        <v>32</v>
      </c>
      <c r="Q283" s="2" t="s">
        <v>27</v>
      </c>
      <c r="R283" s="2" t="s">
        <v>295</v>
      </c>
      <c r="S283" s="2" t="s">
        <v>33</v>
      </c>
      <c r="T283" s="2"/>
      <c r="U283" s="2"/>
      <c r="V283" s="2"/>
      <c r="W283" s="2" t="s">
        <v>296</v>
      </c>
      <c r="X283" s="2" t="s">
        <v>27</v>
      </c>
      <c r="Y283" s="2" t="s">
        <v>27</v>
      </c>
      <c r="Z283" s="2" t="s">
        <v>27</v>
      </c>
      <c r="AA283" s="3">
        <v>45935</v>
      </c>
      <c r="AB283" s="3">
        <v>46029</v>
      </c>
      <c r="AC283" s="2" t="s">
        <v>294</v>
      </c>
    </row>
    <row r="284" spans="1:29" x14ac:dyDescent="0.35">
      <c r="A284" s="2">
        <v>1800013254</v>
      </c>
      <c r="B284" s="2" t="s">
        <v>63</v>
      </c>
      <c r="C284" s="3">
        <v>45935</v>
      </c>
      <c r="D284" s="3">
        <v>45937</v>
      </c>
      <c r="E284" s="2" t="s">
        <v>58</v>
      </c>
      <c r="F284" s="33">
        <v>256779417874</v>
      </c>
      <c r="G284" s="2" t="s">
        <v>28</v>
      </c>
      <c r="H284" s="2" t="s">
        <v>29</v>
      </c>
      <c r="I284" s="2" t="s">
        <v>27</v>
      </c>
      <c r="J284" s="2" t="s">
        <v>64</v>
      </c>
      <c r="K284" s="2" t="s">
        <v>31</v>
      </c>
      <c r="L284" s="4">
        <v>2298.8505747126437</v>
      </c>
      <c r="M284" s="2" t="s">
        <v>31</v>
      </c>
      <c r="N284" s="4">
        <v>35000</v>
      </c>
      <c r="O284" s="2" t="s">
        <v>65</v>
      </c>
      <c r="P284" s="2" t="s">
        <v>32</v>
      </c>
      <c r="Q284" s="2" t="s">
        <v>27</v>
      </c>
      <c r="R284" s="2" t="s">
        <v>295</v>
      </c>
      <c r="S284" s="2" t="s">
        <v>33</v>
      </c>
      <c r="T284" s="2"/>
      <c r="U284" s="2"/>
      <c r="V284" s="2"/>
      <c r="W284" s="2" t="s">
        <v>296</v>
      </c>
      <c r="X284" s="2" t="s">
        <v>27</v>
      </c>
      <c r="Y284" s="2" t="s">
        <v>27</v>
      </c>
      <c r="Z284" s="2" t="s">
        <v>27</v>
      </c>
      <c r="AA284" s="3">
        <v>45935</v>
      </c>
      <c r="AB284" s="3">
        <v>46029</v>
      </c>
      <c r="AC284" s="2" t="s">
        <v>294</v>
      </c>
    </row>
    <row r="285" spans="1:29" x14ac:dyDescent="0.35">
      <c r="A285" s="2">
        <v>1800013383</v>
      </c>
      <c r="B285" s="2" t="s">
        <v>63</v>
      </c>
      <c r="C285" s="3">
        <v>45935</v>
      </c>
      <c r="D285" s="3">
        <v>45937</v>
      </c>
      <c r="E285" s="2" t="s">
        <v>58</v>
      </c>
      <c r="F285" s="33">
        <v>256779417979</v>
      </c>
      <c r="G285" s="2" t="s">
        <v>28</v>
      </c>
      <c r="H285" s="2" t="s">
        <v>29</v>
      </c>
      <c r="I285" s="2" t="s">
        <v>27</v>
      </c>
      <c r="J285" s="2" t="s">
        <v>64</v>
      </c>
      <c r="K285" s="2" t="s">
        <v>38</v>
      </c>
      <c r="L285" s="4">
        <v>136.47999999999999</v>
      </c>
      <c r="M285" s="2" t="s">
        <v>31</v>
      </c>
      <c r="N285" s="4">
        <v>12036.28</v>
      </c>
      <c r="O285" s="2" t="s">
        <v>65</v>
      </c>
      <c r="P285" s="2" t="s">
        <v>32</v>
      </c>
      <c r="Q285" s="2" t="s">
        <v>27</v>
      </c>
      <c r="R285" s="2" t="s">
        <v>297</v>
      </c>
      <c r="S285" s="2" t="s">
        <v>33</v>
      </c>
      <c r="T285" s="2"/>
      <c r="U285" s="2"/>
      <c r="V285" s="2"/>
      <c r="W285" s="2" t="s">
        <v>280</v>
      </c>
      <c r="X285" s="2" t="s">
        <v>27</v>
      </c>
      <c r="Y285" s="2" t="s">
        <v>27</v>
      </c>
      <c r="Z285" s="2" t="s">
        <v>27</v>
      </c>
      <c r="AA285" s="3">
        <v>45935</v>
      </c>
      <c r="AB285" s="3">
        <v>46029</v>
      </c>
      <c r="AC285" s="2" t="s">
        <v>294</v>
      </c>
    </row>
    <row r="286" spans="1:29" x14ac:dyDescent="0.35">
      <c r="A286" s="2">
        <v>1800013479</v>
      </c>
      <c r="B286" s="2" t="s">
        <v>63</v>
      </c>
      <c r="C286" s="3">
        <v>45935</v>
      </c>
      <c r="D286" s="3">
        <v>45937</v>
      </c>
      <c r="E286" s="2" t="s">
        <v>58</v>
      </c>
      <c r="F286" s="33">
        <v>256779418095</v>
      </c>
      <c r="G286" s="2" t="s">
        <v>28</v>
      </c>
      <c r="H286" s="2" t="s">
        <v>29</v>
      </c>
      <c r="I286" s="2" t="s">
        <v>27</v>
      </c>
      <c r="J286" s="2" t="s">
        <v>64</v>
      </c>
      <c r="K286" s="2" t="s">
        <v>38</v>
      </c>
      <c r="L286" s="4">
        <v>850</v>
      </c>
      <c r="M286" s="2" t="s">
        <v>31</v>
      </c>
      <c r="N286" s="4">
        <v>74962.149999999994</v>
      </c>
      <c r="O286" s="2" t="s">
        <v>65</v>
      </c>
      <c r="P286" s="2" t="s">
        <v>32</v>
      </c>
      <c r="Q286" s="2" t="s">
        <v>27</v>
      </c>
      <c r="R286" s="2" t="s">
        <v>298</v>
      </c>
      <c r="S286" s="2" t="s">
        <v>33</v>
      </c>
      <c r="T286" s="2"/>
      <c r="U286" s="2"/>
      <c r="V286" s="2"/>
      <c r="W286" s="2" t="s">
        <v>299</v>
      </c>
      <c r="X286" s="2" t="s">
        <v>27</v>
      </c>
      <c r="Y286" s="2" t="s">
        <v>27</v>
      </c>
      <c r="Z286" s="2" t="s">
        <v>27</v>
      </c>
      <c r="AA286" s="3">
        <v>45935</v>
      </c>
      <c r="AB286" s="3">
        <v>46029</v>
      </c>
      <c r="AC286" s="2" t="s">
        <v>294</v>
      </c>
    </row>
    <row r="287" spans="1:29" x14ac:dyDescent="0.35">
      <c r="A287" s="2">
        <v>1800016315</v>
      </c>
      <c r="B287" s="2" t="s">
        <v>63</v>
      </c>
      <c r="C287" s="3">
        <v>46034</v>
      </c>
      <c r="D287" s="3">
        <v>46034</v>
      </c>
      <c r="E287" s="2" t="s">
        <v>300</v>
      </c>
      <c r="F287" s="33">
        <v>256779440168</v>
      </c>
      <c r="G287" s="2" t="s">
        <v>28</v>
      </c>
      <c r="H287" s="2" t="s">
        <v>29</v>
      </c>
      <c r="I287" s="2" t="s">
        <v>27</v>
      </c>
      <c r="J287" s="2" t="s">
        <v>64</v>
      </c>
      <c r="K287" s="2" t="s">
        <v>38</v>
      </c>
      <c r="L287" s="4">
        <v>903.23</v>
      </c>
      <c r="M287" s="2" t="s">
        <v>31</v>
      </c>
      <c r="N287" s="4">
        <v>81961.929999999993</v>
      </c>
      <c r="O287" s="2" t="s">
        <v>65</v>
      </c>
      <c r="P287" s="2" t="s">
        <v>32</v>
      </c>
      <c r="Q287" s="2" t="s">
        <v>27</v>
      </c>
      <c r="R287" s="2" t="s">
        <v>58</v>
      </c>
      <c r="S287" s="2" t="s">
        <v>33</v>
      </c>
      <c r="T287" s="2"/>
      <c r="U287" s="2"/>
      <c r="V287" s="2"/>
      <c r="W287" s="2" t="s">
        <v>301</v>
      </c>
      <c r="X287" s="2" t="s">
        <v>27</v>
      </c>
      <c r="Y287" s="2" t="s">
        <v>27</v>
      </c>
      <c r="Z287" s="2" t="s">
        <v>27</v>
      </c>
      <c r="AA287" s="3">
        <v>46034</v>
      </c>
      <c r="AB287" s="3"/>
      <c r="AC287" s="2" t="s">
        <v>27</v>
      </c>
    </row>
    <row r="288" spans="1:29" x14ac:dyDescent="0.35">
      <c r="A288" s="2">
        <v>1800016504</v>
      </c>
      <c r="B288" s="2" t="s">
        <v>63</v>
      </c>
      <c r="C288" s="3">
        <v>46028</v>
      </c>
      <c r="D288" s="3">
        <v>46034</v>
      </c>
      <c r="E288" s="2" t="s">
        <v>302</v>
      </c>
      <c r="F288" s="33">
        <v>256779440211</v>
      </c>
      <c r="G288" s="2" t="s">
        <v>28</v>
      </c>
      <c r="H288" s="2" t="s">
        <v>29</v>
      </c>
      <c r="I288" s="2" t="s">
        <v>27</v>
      </c>
      <c r="J288" s="2" t="s">
        <v>64</v>
      </c>
      <c r="K288" s="2" t="s">
        <v>38</v>
      </c>
      <c r="L288" s="4">
        <v>26.97</v>
      </c>
      <c r="M288" s="2" t="s">
        <v>31</v>
      </c>
      <c r="N288" s="4">
        <v>2447.34</v>
      </c>
      <c r="O288" s="2" t="s">
        <v>65</v>
      </c>
      <c r="P288" s="2" t="s">
        <v>32</v>
      </c>
      <c r="Q288" s="2" t="s">
        <v>27</v>
      </c>
      <c r="R288" s="2" t="s">
        <v>58</v>
      </c>
      <c r="S288" s="2" t="s">
        <v>33</v>
      </c>
      <c r="T288" s="2"/>
      <c r="U288" s="2"/>
      <c r="V288" s="2"/>
      <c r="W288" s="2" t="s">
        <v>303</v>
      </c>
      <c r="X288" s="2" t="s">
        <v>27</v>
      </c>
      <c r="Y288" s="2" t="s">
        <v>27</v>
      </c>
      <c r="Z288" s="2" t="s">
        <v>27</v>
      </c>
      <c r="AA288" s="3">
        <v>46028</v>
      </c>
      <c r="AB288" s="3"/>
      <c r="AC288" s="2" t="s">
        <v>27</v>
      </c>
    </row>
    <row r="289" spans="1:29" x14ac:dyDescent="0.35">
      <c r="A289" s="2">
        <v>1800016419</v>
      </c>
      <c r="B289" s="2" t="s">
        <v>63</v>
      </c>
      <c r="C289" s="3">
        <v>46034</v>
      </c>
      <c r="D289" s="3">
        <v>46034</v>
      </c>
      <c r="E289" s="2" t="s">
        <v>304</v>
      </c>
      <c r="F289" s="33">
        <v>256779440230</v>
      </c>
      <c r="G289" s="2" t="s">
        <v>28</v>
      </c>
      <c r="H289" s="2" t="s">
        <v>29</v>
      </c>
      <c r="I289" s="2" t="s">
        <v>27</v>
      </c>
      <c r="J289" s="2" t="s">
        <v>64</v>
      </c>
      <c r="K289" s="2" t="s">
        <v>38</v>
      </c>
      <c r="L289" s="4">
        <v>40.56</v>
      </c>
      <c r="M289" s="2" t="s">
        <v>31</v>
      </c>
      <c r="N289" s="4">
        <v>3680.54</v>
      </c>
      <c r="O289" s="2" t="s">
        <v>65</v>
      </c>
      <c r="P289" s="2" t="s">
        <v>32</v>
      </c>
      <c r="Q289" s="2" t="s">
        <v>27</v>
      </c>
      <c r="R289" s="2" t="s">
        <v>58</v>
      </c>
      <c r="S289" s="2" t="s">
        <v>33</v>
      </c>
      <c r="T289" s="2"/>
      <c r="U289" s="2"/>
      <c r="V289" s="2"/>
      <c r="W289" s="2" t="s">
        <v>305</v>
      </c>
      <c r="X289" s="2" t="s">
        <v>27</v>
      </c>
      <c r="Y289" s="2" t="s">
        <v>27</v>
      </c>
      <c r="Z289" s="2" t="s">
        <v>27</v>
      </c>
      <c r="AA289" s="3">
        <v>46034</v>
      </c>
      <c r="AB289" s="3"/>
      <c r="AC289" s="2" t="s">
        <v>27</v>
      </c>
    </row>
    <row r="290" spans="1:29" x14ac:dyDescent="0.35">
      <c r="A290" s="2">
        <v>1800016509</v>
      </c>
      <c r="B290" s="2" t="s">
        <v>63</v>
      </c>
      <c r="C290" s="3">
        <v>46028</v>
      </c>
      <c r="D290" s="3">
        <v>46035</v>
      </c>
      <c r="E290" s="2" t="s">
        <v>306</v>
      </c>
      <c r="F290" s="33">
        <v>256779440262</v>
      </c>
      <c r="G290" s="2" t="s">
        <v>28</v>
      </c>
      <c r="H290" s="2" t="s">
        <v>29</v>
      </c>
      <c r="I290" s="2" t="s">
        <v>27</v>
      </c>
      <c r="J290" s="2" t="s">
        <v>64</v>
      </c>
      <c r="K290" s="2" t="s">
        <v>38</v>
      </c>
      <c r="L290" s="4">
        <v>100</v>
      </c>
      <c r="M290" s="2" t="s">
        <v>31</v>
      </c>
      <c r="N290" s="4">
        <v>9074.31</v>
      </c>
      <c r="O290" s="2" t="s">
        <v>65</v>
      </c>
      <c r="P290" s="2" t="s">
        <v>32</v>
      </c>
      <c r="Q290" s="2" t="s">
        <v>27</v>
      </c>
      <c r="R290" s="2" t="s">
        <v>58</v>
      </c>
      <c r="S290" s="2" t="s">
        <v>33</v>
      </c>
      <c r="T290" s="2"/>
      <c r="U290" s="2"/>
      <c r="V290" s="2"/>
      <c r="W290" s="2" t="s">
        <v>307</v>
      </c>
      <c r="X290" s="2" t="s">
        <v>27</v>
      </c>
      <c r="Y290" s="2" t="s">
        <v>27</v>
      </c>
      <c r="Z290" s="2" t="s">
        <v>27</v>
      </c>
      <c r="AA290" s="3">
        <v>46028</v>
      </c>
      <c r="AB290" s="3"/>
      <c r="AC290" s="2" t="s">
        <v>27</v>
      </c>
    </row>
    <row r="291" spans="1:29" x14ac:dyDescent="0.35">
      <c r="A291" s="2">
        <v>1800016510</v>
      </c>
      <c r="B291" s="2" t="s">
        <v>63</v>
      </c>
      <c r="C291" s="3">
        <v>46028</v>
      </c>
      <c r="D291" s="3">
        <v>46035</v>
      </c>
      <c r="E291" s="2" t="s">
        <v>306</v>
      </c>
      <c r="F291" s="33">
        <v>256779440263</v>
      </c>
      <c r="G291" s="2" t="s">
        <v>28</v>
      </c>
      <c r="H291" s="2" t="s">
        <v>29</v>
      </c>
      <c r="I291" s="2" t="s">
        <v>27</v>
      </c>
      <c r="J291" s="2" t="s">
        <v>64</v>
      </c>
      <c r="K291" s="2" t="s">
        <v>38</v>
      </c>
      <c r="L291" s="4">
        <v>100</v>
      </c>
      <c r="M291" s="2" t="s">
        <v>31</v>
      </c>
      <c r="N291" s="4">
        <v>9074.31</v>
      </c>
      <c r="O291" s="2" t="s">
        <v>65</v>
      </c>
      <c r="P291" s="2" t="s">
        <v>32</v>
      </c>
      <c r="Q291" s="2" t="s">
        <v>27</v>
      </c>
      <c r="R291" s="2" t="s">
        <v>58</v>
      </c>
      <c r="S291" s="2" t="s">
        <v>33</v>
      </c>
      <c r="T291" s="2"/>
      <c r="U291" s="2"/>
      <c r="V291" s="2"/>
      <c r="W291" s="2" t="s">
        <v>307</v>
      </c>
      <c r="X291" s="2" t="s">
        <v>27</v>
      </c>
      <c r="Y291" s="2" t="s">
        <v>27</v>
      </c>
      <c r="Z291" s="2" t="s">
        <v>27</v>
      </c>
      <c r="AA291" s="3">
        <v>46028</v>
      </c>
      <c r="AB291" s="3"/>
      <c r="AC291" s="2" t="s">
        <v>27</v>
      </c>
    </row>
    <row r="292" spans="1:29" x14ac:dyDescent="0.35">
      <c r="A292" s="2">
        <v>1800016511</v>
      </c>
      <c r="B292" s="2" t="s">
        <v>63</v>
      </c>
      <c r="C292" s="3">
        <v>46028</v>
      </c>
      <c r="D292" s="3">
        <v>46035</v>
      </c>
      <c r="E292" s="2" t="s">
        <v>306</v>
      </c>
      <c r="F292" s="33">
        <v>256779440264</v>
      </c>
      <c r="G292" s="2" t="s">
        <v>28</v>
      </c>
      <c r="H292" s="2" t="s">
        <v>29</v>
      </c>
      <c r="I292" s="2" t="s">
        <v>27</v>
      </c>
      <c r="J292" s="2" t="s">
        <v>64</v>
      </c>
      <c r="K292" s="2" t="s">
        <v>38</v>
      </c>
      <c r="L292" s="4">
        <v>100</v>
      </c>
      <c r="M292" s="2" t="s">
        <v>31</v>
      </c>
      <c r="N292" s="4">
        <v>9074.31</v>
      </c>
      <c r="O292" s="2" t="s">
        <v>65</v>
      </c>
      <c r="P292" s="2" t="s">
        <v>32</v>
      </c>
      <c r="Q292" s="2" t="s">
        <v>27</v>
      </c>
      <c r="R292" s="2" t="s">
        <v>58</v>
      </c>
      <c r="S292" s="2" t="s">
        <v>33</v>
      </c>
      <c r="T292" s="2"/>
      <c r="U292" s="2"/>
      <c r="V292" s="2"/>
      <c r="W292" s="2" t="s">
        <v>307</v>
      </c>
      <c r="X292" s="2" t="s">
        <v>27</v>
      </c>
      <c r="Y292" s="2" t="s">
        <v>27</v>
      </c>
      <c r="Z292" s="2" t="s">
        <v>27</v>
      </c>
      <c r="AA292" s="3">
        <v>46028</v>
      </c>
      <c r="AB292" s="3"/>
      <c r="AC292" s="2" t="s">
        <v>27</v>
      </c>
    </row>
    <row r="293" spans="1:29" x14ac:dyDescent="0.35">
      <c r="A293" s="2">
        <v>1800016512</v>
      </c>
      <c r="B293" s="2" t="s">
        <v>63</v>
      </c>
      <c r="C293" s="3">
        <v>46028</v>
      </c>
      <c r="D293" s="3">
        <v>46035</v>
      </c>
      <c r="E293" s="2" t="s">
        <v>306</v>
      </c>
      <c r="F293" s="33">
        <v>256779440265</v>
      </c>
      <c r="G293" s="2" t="s">
        <v>28</v>
      </c>
      <c r="H293" s="2" t="s">
        <v>29</v>
      </c>
      <c r="I293" s="2" t="s">
        <v>27</v>
      </c>
      <c r="J293" s="2" t="s">
        <v>64</v>
      </c>
      <c r="K293" s="2" t="s">
        <v>38</v>
      </c>
      <c r="L293" s="4">
        <v>100</v>
      </c>
      <c r="M293" s="2" t="s">
        <v>31</v>
      </c>
      <c r="N293" s="4">
        <v>9074.31</v>
      </c>
      <c r="O293" s="2" t="s">
        <v>65</v>
      </c>
      <c r="P293" s="2" t="s">
        <v>32</v>
      </c>
      <c r="Q293" s="2" t="s">
        <v>27</v>
      </c>
      <c r="R293" s="2" t="s">
        <v>58</v>
      </c>
      <c r="S293" s="2" t="s">
        <v>33</v>
      </c>
      <c r="T293" s="2"/>
      <c r="U293" s="2"/>
      <c r="V293" s="2"/>
      <c r="W293" s="2" t="s">
        <v>307</v>
      </c>
      <c r="X293" s="2" t="s">
        <v>27</v>
      </c>
      <c r="Y293" s="2" t="s">
        <v>27</v>
      </c>
      <c r="Z293" s="2" t="s">
        <v>27</v>
      </c>
      <c r="AA293" s="3">
        <v>46028</v>
      </c>
      <c r="AB293" s="3"/>
      <c r="AC293" s="2" t="s">
        <v>27</v>
      </c>
    </row>
    <row r="294" spans="1:29" x14ac:dyDescent="0.35">
      <c r="A294" s="2">
        <v>1800016545</v>
      </c>
      <c r="B294" s="2" t="s">
        <v>63</v>
      </c>
      <c r="C294" s="3">
        <v>46028</v>
      </c>
      <c r="D294" s="3">
        <v>46035</v>
      </c>
      <c r="E294" s="2" t="s">
        <v>308</v>
      </c>
      <c r="F294" s="33">
        <v>256779440307</v>
      </c>
      <c r="G294" s="2" t="s">
        <v>28</v>
      </c>
      <c r="H294" s="2" t="s">
        <v>29</v>
      </c>
      <c r="I294" s="2" t="s">
        <v>27</v>
      </c>
      <c r="J294" s="2" t="s">
        <v>64</v>
      </c>
      <c r="K294" s="2" t="s">
        <v>31</v>
      </c>
      <c r="L294" s="4">
        <v>1133.911111111111</v>
      </c>
      <c r="M294" s="2" t="s">
        <v>31</v>
      </c>
      <c r="N294" s="4">
        <v>100000</v>
      </c>
      <c r="O294" s="2" t="s">
        <v>65</v>
      </c>
      <c r="P294" s="2" t="s">
        <v>32</v>
      </c>
      <c r="Q294" s="2" t="s">
        <v>27</v>
      </c>
      <c r="R294" s="2" t="s">
        <v>58</v>
      </c>
      <c r="S294" s="2" t="s">
        <v>33</v>
      </c>
      <c r="T294" s="2"/>
      <c r="U294" s="2"/>
      <c r="V294" s="2"/>
      <c r="W294" s="2" t="s">
        <v>309</v>
      </c>
      <c r="X294" s="2" t="s">
        <v>27</v>
      </c>
      <c r="Y294" s="2" t="s">
        <v>27</v>
      </c>
      <c r="Z294" s="2" t="s">
        <v>27</v>
      </c>
      <c r="AA294" s="3">
        <v>46028</v>
      </c>
      <c r="AB294" s="3"/>
      <c r="AC294" s="2" t="s">
        <v>27</v>
      </c>
    </row>
    <row r="295" spans="1:29" x14ac:dyDescent="0.35">
      <c r="A295" s="2">
        <v>1800016546</v>
      </c>
      <c r="B295" s="2" t="s">
        <v>63</v>
      </c>
      <c r="C295" s="3">
        <v>46028</v>
      </c>
      <c r="D295" s="3">
        <v>46035</v>
      </c>
      <c r="E295" s="2" t="s">
        <v>308</v>
      </c>
      <c r="F295" s="33">
        <v>256779440308</v>
      </c>
      <c r="G295" s="2" t="s">
        <v>28</v>
      </c>
      <c r="H295" s="2" t="s">
        <v>29</v>
      </c>
      <c r="I295" s="2" t="s">
        <v>27</v>
      </c>
      <c r="J295" s="2" t="s">
        <v>64</v>
      </c>
      <c r="K295" s="2" t="s">
        <v>31</v>
      </c>
      <c r="L295" s="4">
        <v>432.14733333333328</v>
      </c>
      <c r="M295" s="2" t="s">
        <v>31</v>
      </c>
      <c r="N295" s="4">
        <v>35000</v>
      </c>
      <c r="O295" s="2" t="s">
        <v>65</v>
      </c>
      <c r="P295" s="2" t="s">
        <v>32</v>
      </c>
      <c r="Q295" s="2" t="s">
        <v>27</v>
      </c>
      <c r="R295" s="2" t="s">
        <v>58</v>
      </c>
      <c r="S295" s="2" t="s">
        <v>33</v>
      </c>
      <c r="T295" s="2"/>
      <c r="U295" s="2"/>
      <c r="V295" s="2"/>
      <c r="W295" s="2" t="s">
        <v>310</v>
      </c>
      <c r="X295" s="2" t="s">
        <v>27</v>
      </c>
      <c r="Y295" s="2" t="s">
        <v>27</v>
      </c>
      <c r="Z295" s="2" t="s">
        <v>27</v>
      </c>
      <c r="AA295" s="3">
        <v>46028</v>
      </c>
      <c r="AB295" s="3"/>
      <c r="AC295" s="2" t="s">
        <v>27</v>
      </c>
    </row>
    <row r="296" spans="1:29" x14ac:dyDescent="0.35">
      <c r="A296" s="2">
        <v>1800016771</v>
      </c>
      <c r="B296" s="2" t="s">
        <v>63</v>
      </c>
      <c r="C296" s="3">
        <v>46035</v>
      </c>
      <c r="D296" s="3">
        <v>46035</v>
      </c>
      <c r="E296" s="2" t="s">
        <v>58</v>
      </c>
      <c r="F296" s="33">
        <v>256779440358</v>
      </c>
      <c r="G296" s="2" t="s">
        <v>28</v>
      </c>
      <c r="H296" s="2" t="s">
        <v>29</v>
      </c>
      <c r="I296" s="2" t="s">
        <v>27</v>
      </c>
      <c r="J296" s="2" t="s">
        <v>64</v>
      </c>
      <c r="K296" s="2" t="s">
        <v>38</v>
      </c>
      <c r="L296" s="4">
        <v>100</v>
      </c>
      <c r="M296" s="2" t="s">
        <v>31</v>
      </c>
      <c r="N296" s="4">
        <v>9074.31</v>
      </c>
      <c r="O296" s="2" t="s">
        <v>65</v>
      </c>
      <c r="P296" s="2" t="s">
        <v>32</v>
      </c>
      <c r="Q296" s="2" t="s">
        <v>27</v>
      </c>
      <c r="R296" s="2" t="s">
        <v>311</v>
      </c>
      <c r="S296" s="2" t="s">
        <v>33</v>
      </c>
      <c r="T296" s="2"/>
      <c r="U296" s="2"/>
      <c r="V296" s="2"/>
      <c r="W296" s="2" t="s">
        <v>312</v>
      </c>
      <c r="X296" s="2" t="s">
        <v>27</v>
      </c>
      <c r="Y296" s="2" t="s">
        <v>27</v>
      </c>
      <c r="Z296" s="2" t="s">
        <v>27</v>
      </c>
      <c r="AA296" s="3">
        <v>46035</v>
      </c>
      <c r="AB296" s="3"/>
      <c r="AC296" s="2" t="s">
        <v>27</v>
      </c>
    </row>
    <row r="297" spans="1:29" x14ac:dyDescent="0.35">
      <c r="A297" s="2">
        <v>1800016778</v>
      </c>
      <c r="B297" s="2" t="s">
        <v>63</v>
      </c>
      <c r="C297" s="3">
        <v>46035</v>
      </c>
      <c r="D297" s="3">
        <v>46035</v>
      </c>
      <c r="E297" s="2" t="s">
        <v>58</v>
      </c>
      <c r="F297" s="33">
        <v>256779440365</v>
      </c>
      <c r="G297" s="2" t="s">
        <v>28</v>
      </c>
      <c r="H297" s="2" t="s">
        <v>29</v>
      </c>
      <c r="I297" s="2" t="s">
        <v>27</v>
      </c>
      <c r="J297" s="2" t="s">
        <v>64</v>
      </c>
      <c r="K297" s="2" t="s">
        <v>38</v>
      </c>
      <c r="L297" s="4">
        <v>38.229999999999997</v>
      </c>
      <c r="M297" s="2" t="s">
        <v>31</v>
      </c>
      <c r="N297" s="4">
        <v>3469.11</v>
      </c>
      <c r="O297" s="2" t="s">
        <v>65</v>
      </c>
      <c r="P297" s="2" t="s">
        <v>32</v>
      </c>
      <c r="Q297" s="2" t="s">
        <v>27</v>
      </c>
      <c r="R297" s="2" t="s">
        <v>311</v>
      </c>
      <c r="S297" s="2" t="s">
        <v>33</v>
      </c>
      <c r="T297" s="2"/>
      <c r="U297" s="2"/>
      <c r="V297" s="2"/>
      <c r="W297" s="2" t="s">
        <v>313</v>
      </c>
      <c r="X297" s="2" t="s">
        <v>27</v>
      </c>
      <c r="Y297" s="2" t="s">
        <v>27</v>
      </c>
      <c r="Z297" s="2" t="s">
        <v>27</v>
      </c>
      <c r="AA297" s="3">
        <v>46035</v>
      </c>
      <c r="AB297" s="3"/>
      <c r="AC297" s="2" t="s">
        <v>27</v>
      </c>
    </row>
    <row r="298" spans="1:29" x14ac:dyDescent="0.35">
      <c r="A298" s="2">
        <v>1800017005</v>
      </c>
      <c r="B298" s="2" t="s">
        <v>63</v>
      </c>
      <c r="C298" s="3">
        <v>46044</v>
      </c>
      <c r="D298" s="3">
        <v>46049</v>
      </c>
      <c r="E298" s="2" t="s">
        <v>314</v>
      </c>
      <c r="F298" s="33">
        <v>256779440395</v>
      </c>
      <c r="G298" s="2" t="s">
        <v>28</v>
      </c>
      <c r="H298" s="2" t="s">
        <v>29</v>
      </c>
      <c r="I298" s="2" t="s">
        <v>27</v>
      </c>
      <c r="J298" s="2" t="s">
        <v>64</v>
      </c>
      <c r="K298" s="2" t="s">
        <v>38</v>
      </c>
      <c r="L298" s="4">
        <v>846.77</v>
      </c>
      <c r="M298" s="2" t="s">
        <v>31</v>
      </c>
      <c r="N298" s="4">
        <v>76838.570000000007</v>
      </c>
      <c r="O298" s="2" t="s">
        <v>65</v>
      </c>
      <c r="P298" s="2" t="s">
        <v>32</v>
      </c>
      <c r="Q298" s="2" t="s">
        <v>27</v>
      </c>
      <c r="R298" s="2" t="s">
        <v>58</v>
      </c>
      <c r="S298" s="2" t="s">
        <v>33</v>
      </c>
      <c r="T298" s="2"/>
      <c r="U298" s="2"/>
      <c r="V298" s="2"/>
      <c r="W298" s="2" t="s">
        <v>315</v>
      </c>
      <c r="X298" s="2" t="s">
        <v>27</v>
      </c>
      <c r="Y298" s="2" t="s">
        <v>27</v>
      </c>
      <c r="Z298" s="2" t="s">
        <v>27</v>
      </c>
      <c r="AA298" s="3">
        <v>46044</v>
      </c>
      <c r="AB298" s="3"/>
      <c r="AC298" s="2" t="s">
        <v>27</v>
      </c>
    </row>
    <row r="299" spans="1:29" x14ac:dyDescent="0.35">
      <c r="A299" s="2">
        <v>1800017065</v>
      </c>
      <c r="B299" s="2" t="s">
        <v>63</v>
      </c>
      <c r="C299" s="3">
        <v>46045</v>
      </c>
      <c r="D299" s="3">
        <v>46049</v>
      </c>
      <c r="E299" s="2" t="s">
        <v>316</v>
      </c>
      <c r="F299" s="33">
        <v>256779440414</v>
      </c>
      <c r="G299" s="2" t="s">
        <v>28</v>
      </c>
      <c r="H299" s="2" t="s">
        <v>29</v>
      </c>
      <c r="I299" s="2" t="s">
        <v>27</v>
      </c>
      <c r="J299" s="2" t="s">
        <v>64</v>
      </c>
      <c r="K299" s="2" t="s">
        <v>38</v>
      </c>
      <c r="L299" s="4">
        <v>82.3</v>
      </c>
      <c r="M299" s="2" t="s">
        <v>31</v>
      </c>
      <c r="N299" s="4">
        <v>7468.16</v>
      </c>
      <c r="O299" s="2" t="s">
        <v>65</v>
      </c>
      <c r="P299" s="2" t="s">
        <v>32</v>
      </c>
      <c r="Q299" s="2" t="s">
        <v>27</v>
      </c>
      <c r="R299" s="2" t="s">
        <v>58</v>
      </c>
      <c r="S299" s="2" t="s">
        <v>33</v>
      </c>
      <c r="T299" s="2"/>
      <c r="U299" s="2"/>
      <c r="V299" s="2"/>
      <c r="W299" s="2" t="s">
        <v>317</v>
      </c>
      <c r="X299" s="2" t="s">
        <v>27</v>
      </c>
      <c r="Y299" s="2" t="s">
        <v>27</v>
      </c>
      <c r="Z299" s="2" t="s">
        <v>27</v>
      </c>
      <c r="AA299" s="3">
        <v>46045</v>
      </c>
      <c r="AB299" s="3"/>
      <c r="AC299" s="2" t="s">
        <v>27</v>
      </c>
    </row>
    <row r="300" spans="1:29" x14ac:dyDescent="0.35">
      <c r="A300" s="2">
        <v>1800017110</v>
      </c>
      <c r="B300" s="2" t="s">
        <v>63</v>
      </c>
      <c r="C300" s="3">
        <v>46045</v>
      </c>
      <c r="D300" s="3">
        <v>46049</v>
      </c>
      <c r="E300" s="2" t="s">
        <v>318</v>
      </c>
      <c r="F300" s="33">
        <v>256779440430</v>
      </c>
      <c r="G300" s="2" t="s">
        <v>28</v>
      </c>
      <c r="H300" s="2" t="s">
        <v>29</v>
      </c>
      <c r="I300" s="2" t="s">
        <v>27</v>
      </c>
      <c r="J300" s="2" t="s">
        <v>64</v>
      </c>
      <c r="K300" s="2" t="s">
        <v>38</v>
      </c>
      <c r="L300" s="4">
        <v>23.82</v>
      </c>
      <c r="M300" s="2" t="s">
        <v>31</v>
      </c>
      <c r="N300" s="4">
        <v>2161.5</v>
      </c>
      <c r="O300" s="2" t="s">
        <v>65</v>
      </c>
      <c r="P300" s="2" t="s">
        <v>32</v>
      </c>
      <c r="Q300" s="2" t="s">
        <v>27</v>
      </c>
      <c r="R300" s="2" t="s">
        <v>58</v>
      </c>
      <c r="S300" s="2" t="s">
        <v>33</v>
      </c>
      <c r="T300" s="2"/>
      <c r="U300" s="2"/>
      <c r="V300" s="2"/>
      <c r="W300" s="2" t="s">
        <v>319</v>
      </c>
      <c r="X300" s="2" t="s">
        <v>27</v>
      </c>
      <c r="Y300" s="2" t="s">
        <v>27</v>
      </c>
      <c r="Z300" s="2" t="s">
        <v>27</v>
      </c>
      <c r="AA300" s="3">
        <v>46045</v>
      </c>
      <c r="AB300" s="3"/>
      <c r="AC300" s="2" t="s">
        <v>27</v>
      </c>
    </row>
    <row r="301" spans="1:29" x14ac:dyDescent="0.35">
      <c r="A301" s="2">
        <v>1800017153</v>
      </c>
      <c r="B301" s="2" t="s">
        <v>63</v>
      </c>
      <c r="C301" s="3">
        <v>46049</v>
      </c>
      <c r="D301" s="3">
        <v>46049</v>
      </c>
      <c r="E301" s="2" t="s">
        <v>320</v>
      </c>
      <c r="F301" s="33">
        <v>256779440446</v>
      </c>
      <c r="G301" s="2" t="s">
        <v>28</v>
      </c>
      <c r="H301" s="2" t="s">
        <v>29</v>
      </c>
      <c r="I301" s="2" t="s">
        <v>27</v>
      </c>
      <c r="J301" s="2" t="s">
        <v>64</v>
      </c>
      <c r="K301" s="2" t="s">
        <v>38</v>
      </c>
      <c r="L301" s="4">
        <v>96.71</v>
      </c>
      <c r="M301" s="2" t="s">
        <v>31</v>
      </c>
      <c r="N301" s="4">
        <v>8775.77</v>
      </c>
      <c r="O301" s="2" t="s">
        <v>65</v>
      </c>
      <c r="P301" s="2" t="s">
        <v>32</v>
      </c>
      <c r="Q301" s="2" t="s">
        <v>27</v>
      </c>
      <c r="R301" s="2" t="s">
        <v>58</v>
      </c>
      <c r="S301" s="2" t="s">
        <v>33</v>
      </c>
      <c r="T301" s="2"/>
      <c r="U301" s="2"/>
      <c r="V301" s="2"/>
      <c r="W301" s="2" t="s">
        <v>321</v>
      </c>
      <c r="X301" s="2" t="s">
        <v>27</v>
      </c>
      <c r="Y301" s="2" t="s">
        <v>27</v>
      </c>
      <c r="Z301" s="2" t="s">
        <v>27</v>
      </c>
      <c r="AA301" s="3">
        <v>46049</v>
      </c>
      <c r="AB301" s="3"/>
      <c r="AC301" s="2" t="s">
        <v>27</v>
      </c>
    </row>
    <row r="302" spans="1:29" x14ac:dyDescent="0.35">
      <c r="A302" s="2">
        <v>1600002768</v>
      </c>
      <c r="B302" s="2" t="s">
        <v>76</v>
      </c>
      <c r="C302" s="3">
        <v>46055</v>
      </c>
      <c r="D302" s="3">
        <v>46055</v>
      </c>
      <c r="E302" s="2" t="s">
        <v>322</v>
      </c>
      <c r="F302" s="33">
        <v>256779422238</v>
      </c>
      <c r="G302" s="2" t="s">
        <v>28</v>
      </c>
      <c r="H302" s="2" t="s">
        <v>29</v>
      </c>
      <c r="I302" s="2" t="s">
        <v>27</v>
      </c>
      <c r="J302" s="2" t="s">
        <v>77</v>
      </c>
      <c r="K302" s="2" t="s">
        <v>38</v>
      </c>
      <c r="L302" s="4">
        <v>-17.48</v>
      </c>
      <c r="M302" s="2" t="s">
        <v>31</v>
      </c>
      <c r="N302" s="4">
        <v>-1579.06</v>
      </c>
      <c r="O302" s="2" t="s">
        <v>65</v>
      </c>
      <c r="P302" s="2" t="s">
        <v>32</v>
      </c>
      <c r="Q302" s="2" t="s">
        <v>27</v>
      </c>
      <c r="R302" s="2" t="s">
        <v>58</v>
      </c>
      <c r="S302" s="2" t="s">
        <v>33</v>
      </c>
      <c r="T302" s="2"/>
      <c r="U302" s="2"/>
      <c r="V302" s="2"/>
      <c r="W302" s="2" t="s">
        <v>323</v>
      </c>
      <c r="X302" s="2" t="s">
        <v>27</v>
      </c>
      <c r="Y302" s="2" t="s">
        <v>27</v>
      </c>
      <c r="Z302" s="2" t="s">
        <v>27</v>
      </c>
      <c r="AA302" s="3">
        <v>46055</v>
      </c>
      <c r="AB302" s="3"/>
      <c r="AC302" s="2" t="s">
        <v>27</v>
      </c>
    </row>
    <row r="303" spans="1:29" x14ac:dyDescent="0.35">
      <c r="A303" s="2">
        <v>1600002769</v>
      </c>
      <c r="B303" s="2" t="s">
        <v>76</v>
      </c>
      <c r="C303" s="3">
        <v>46055</v>
      </c>
      <c r="D303" s="3">
        <v>46055</v>
      </c>
      <c r="E303" s="2" t="s">
        <v>322</v>
      </c>
      <c r="F303" s="33">
        <v>256779422239</v>
      </c>
      <c r="G303" s="2" t="s">
        <v>28</v>
      </c>
      <c r="H303" s="2" t="s">
        <v>29</v>
      </c>
      <c r="I303" s="2" t="s">
        <v>27</v>
      </c>
      <c r="J303" s="2" t="s">
        <v>77</v>
      </c>
      <c r="K303" s="2" t="s">
        <v>38</v>
      </c>
      <c r="L303" s="4">
        <v>-101.23</v>
      </c>
      <c r="M303" s="2" t="s">
        <v>31</v>
      </c>
      <c r="N303" s="4">
        <v>-9144.6299999999992</v>
      </c>
      <c r="O303" s="2" t="s">
        <v>65</v>
      </c>
      <c r="P303" s="2" t="s">
        <v>32</v>
      </c>
      <c r="Q303" s="2" t="s">
        <v>27</v>
      </c>
      <c r="R303" s="2" t="s">
        <v>58</v>
      </c>
      <c r="S303" s="2" t="s">
        <v>33</v>
      </c>
      <c r="T303" s="2"/>
      <c r="U303" s="2"/>
      <c r="V303" s="2"/>
      <c r="W303" s="2" t="s">
        <v>324</v>
      </c>
      <c r="X303" s="2" t="s">
        <v>27</v>
      </c>
      <c r="Y303" s="2" t="s">
        <v>27</v>
      </c>
      <c r="Z303" s="2" t="s">
        <v>27</v>
      </c>
      <c r="AA303" s="3">
        <v>46055</v>
      </c>
      <c r="AB303" s="3"/>
      <c r="AC303" s="2" t="s">
        <v>27</v>
      </c>
    </row>
    <row r="304" spans="1:29" x14ac:dyDescent="0.35">
      <c r="A304" s="2">
        <v>1600002770</v>
      </c>
      <c r="B304" s="2" t="s">
        <v>76</v>
      </c>
      <c r="C304" s="3">
        <v>46055</v>
      </c>
      <c r="D304" s="3">
        <v>46055</v>
      </c>
      <c r="E304" s="2" t="s">
        <v>322</v>
      </c>
      <c r="F304" s="33">
        <v>256779422240</v>
      </c>
      <c r="G304" s="2" t="s">
        <v>28</v>
      </c>
      <c r="H304" s="2" t="s">
        <v>29</v>
      </c>
      <c r="I304" s="2" t="s">
        <v>27</v>
      </c>
      <c r="J304" s="2" t="s">
        <v>77</v>
      </c>
      <c r="K304" s="2" t="s">
        <v>38</v>
      </c>
      <c r="L304" s="4">
        <v>-303.16000000000003</v>
      </c>
      <c r="M304" s="2" t="s">
        <v>31</v>
      </c>
      <c r="N304" s="4">
        <v>-27386.02</v>
      </c>
      <c r="O304" s="2" t="s">
        <v>65</v>
      </c>
      <c r="P304" s="2" t="s">
        <v>32</v>
      </c>
      <c r="Q304" s="2" t="s">
        <v>27</v>
      </c>
      <c r="R304" s="2" t="s">
        <v>58</v>
      </c>
      <c r="S304" s="2" t="s">
        <v>33</v>
      </c>
      <c r="T304" s="2"/>
      <c r="U304" s="2"/>
      <c r="V304" s="2"/>
      <c r="W304" s="2" t="s">
        <v>325</v>
      </c>
      <c r="X304" s="2" t="s">
        <v>27</v>
      </c>
      <c r="Y304" s="2" t="s">
        <v>27</v>
      </c>
      <c r="Z304" s="2" t="s">
        <v>27</v>
      </c>
      <c r="AA304" s="3">
        <v>46055</v>
      </c>
      <c r="AB304" s="3"/>
      <c r="AC304" s="2" t="s">
        <v>27</v>
      </c>
    </row>
    <row r="305" spans="1:29" x14ac:dyDescent="0.35">
      <c r="A305" s="2">
        <v>1600002771</v>
      </c>
      <c r="B305" s="2" t="s">
        <v>76</v>
      </c>
      <c r="C305" s="3">
        <v>46055</v>
      </c>
      <c r="D305" s="3">
        <v>46055</v>
      </c>
      <c r="E305" s="2" t="s">
        <v>322</v>
      </c>
      <c r="F305" s="33">
        <v>256779422241</v>
      </c>
      <c r="G305" s="2" t="s">
        <v>28</v>
      </c>
      <c r="H305" s="2" t="s">
        <v>29</v>
      </c>
      <c r="I305" s="2" t="s">
        <v>27</v>
      </c>
      <c r="J305" s="2" t="s">
        <v>77</v>
      </c>
      <c r="K305" s="2" t="s">
        <v>38</v>
      </c>
      <c r="L305" s="4">
        <v>-87.28</v>
      </c>
      <c r="M305" s="2" t="s">
        <v>31</v>
      </c>
      <c r="N305" s="4">
        <v>-7884.46</v>
      </c>
      <c r="O305" s="2" t="s">
        <v>65</v>
      </c>
      <c r="P305" s="2" t="s">
        <v>32</v>
      </c>
      <c r="Q305" s="2" t="s">
        <v>27</v>
      </c>
      <c r="R305" s="2" t="s">
        <v>58</v>
      </c>
      <c r="S305" s="2" t="s">
        <v>33</v>
      </c>
      <c r="T305" s="2"/>
      <c r="U305" s="2"/>
      <c r="V305" s="2"/>
      <c r="W305" s="2" t="s">
        <v>326</v>
      </c>
      <c r="X305" s="2" t="s">
        <v>27</v>
      </c>
      <c r="Y305" s="2" t="s">
        <v>27</v>
      </c>
      <c r="Z305" s="2" t="s">
        <v>27</v>
      </c>
      <c r="AA305" s="3">
        <v>46055</v>
      </c>
      <c r="AB305" s="3"/>
      <c r="AC305" s="2" t="s">
        <v>27</v>
      </c>
    </row>
    <row r="306" spans="1:29" x14ac:dyDescent="0.35">
      <c r="A306" s="2">
        <v>1800017178</v>
      </c>
      <c r="B306" s="2" t="s">
        <v>63</v>
      </c>
      <c r="C306" s="3">
        <v>46055</v>
      </c>
      <c r="D306" s="3">
        <v>46055</v>
      </c>
      <c r="E306" s="2" t="s">
        <v>327</v>
      </c>
      <c r="F306" s="33">
        <v>256779440457</v>
      </c>
      <c r="G306" s="2" t="s">
        <v>28</v>
      </c>
      <c r="H306" s="2" t="s">
        <v>29</v>
      </c>
      <c r="I306" s="2" t="s">
        <v>27</v>
      </c>
      <c r="J306" s="2" t="s">
        <v>64</v>
      </c>
      <c r="K306" s="2" t="s">
        <v>38</v>
      </c>
      <c r="L306" s="4">
        <v>938.8</v>
      </c>
      <c r="M306" s="2" t="s">
        <v>31</v>
      </c>
      <c r="N306" s="4">
        <v>84806.69</v>
      </c>
      <c r="O306" s="2" t="s">
        <v>65</v>
      </c>
      <c r="P306" s="2" t="s">
        <v>32</v>
      </c>
      <c r="Q306" s="2" t="s">
        <v>27</v>
      </c>
      <c r="R306" s="2" t="s">
        <v>58</v>
      </c>
      <c r="S306" s="2" t="s">
        <v>33</v>
      </c>
      <c r="T306" s="2"/>
      <c r="U306" s="2"/>
      <c r="V306" s="2"/>
      <c r="W306" s="2" t="s">
        <v>275</v>
      </c>
      <c r="X306" s="2" t="s">
        <v>27</v>
      </c>
      <c r="Y306" s="2" t="s">
        <v>27</v>
      </c>
      <c r="Z306" s="2" t="s">
        <v>27</v>
      </c>
      <c r="AA306" s="3">
        <v>46055</v>
      </c>
      <c r="AB306" s="3"/>
      <c r="AC306" s="2" t="s">
        <v>27</v>
      </c>
    </row>
    <row r="307" spans="1:29" ht="29" x14ac:dyDescent="0.35">
      <c r="A307" s="2">
        <v>1400002625</v>
      </c>
      <c r="B307" s="2" t="s">
        <v>37</v>
      </c>
      <c r="C307" s="3">
        <v>46057</v>
      </c>
      <c r="D307" s="3">
        <v>46057</v>
      </c>
      <c r="E307" s="2" t="s">
        <v>328</v>
      </c>
      <c r="F307" s="33" t="s">
        <v>27</v>
      </c>
      <c r="G307" s="2" t="s">
        <v>28</v>
      </c>
      <c r="H307" s="2" t="s">
        <v>29</v>
      </c>
      <c r="I307" s="2" t="s">
        <v>27</v>
      </c>
      <c r="J307" s="2" t="s">
        <v>35</v>
      </c>
      <c r="K307" s="2" t="s">
        <v>38</v>
      </c>
      <c r="L307" s="4">
        <v>-11976.3</v>
      </c>
      <c r="M307" s="2" t="s">
        <v>31</v>
      </c>
      <c r="N307" s="4">
        <v>-1081881.46</v>
      </c>
      <c r="O307" s="2" t="s">
        <v>27</v>
      </c>
      <c r="P307" s="2" t="s">
        <v>42</v>
      </c>
      <c r="Q307" s="2" t="s">
        <v>27</v>
      </c>
      <c r="R307" s="2" t="s">
        <v>27</v>
      </c>
      <c r="S307" s="2" t="s">
        <v>36</v>
      </c>
      <c r="T307" s="2"/>
      <c r="U307" s="2"/>
      <c r="V307" s="2"/>
      <c r="W307" s="2" t="s">
        <v>27</v>
      </c>
      <c r="X307" s="2" t="s">
        <v>27</v>
      </c>
      <c r="Y307" s="2" t="s">
        <v>27</v>
      </c>
      <c r="Z307" s="2" t="s">
        <v>27</v>
      </c>
      <c r="AA307" s="3">
        <v>46057</v>
      </c>
      <c r="AB307" s="3"/>
      <c r="AC307" s="2" t="s">
        <v>27</v>
      </c>
    </row>
    <row r="308" spans="1:29" x14ac:dyDescent="0.35">
      <c r="A308" s="2">
        <v>1800017437</v>
      </c>
      <c r="B308" s="2" t="s">
        <v>63</v>
      </c>
      <c r="C308" s="3">
        <v>46064</v>
      </c>
      <c r="D308" s="3">
        <v>46066</v>
      </c>
      <c r="E308" s="2" t="s">
        <v>58</v>
      </c>
      <c r="F308" s="33">
        <v>256779440490</v>
      </c>
      <c r="G308" s="2" t="s">
        <v>28</v>
      </c>
      <c r="H308" s="2" t="s">
        <v>29</v>
      </c>
      <c r="I308" s="2" t="s">
        <v>27</v>
      </c>
      <c r="J308" s="2" t="s">
        <v>64</v>
      </c>
      <c r="K308" s="2" t="s">
        <v>31</v>
      </c>
      <c r="L308" s="4">
        <v>1149.4252873563219</v>
      </c>
      <c r="M308" s="2" t="s">
        <v>31</v>
      </c>
      <c r="N308" s="4">
        <v>100000</v>
      </c>
      <c r="O308" s="2" t="s">
        <v>65</v>
      </c>
      <c r="P308" s="2" t="s">
        <v>32</v>
      </c>
      <c r="Q308" s="2" t="s">
        <v>27</v>
      </c>
      <c r="R308" s="2" t="s">
        <v>329</v>
      </c>
      <c r="S308" s="2" t="s">
        <v>33</v>
      </c>
      <c r="T308" s="2"/>
      <c r="U308" s="2"/>
      <c r="V308" s="2"/>
      <c r="W308" s="2" t="s">
        <v>330</v>
      </c>
      <c r="X308" s="2" t="s">
        <v>27</v>
      </c>
      <c r="Y308" s="2" t="s">
        <v>27</v>
      </c>
      <c r="Z308" s="2" t="s">
        <v>27</v>
      </c>
      <c r="AA308" s="3">
        <v>46064</v>
      </c>
      <c r="AB308" s="3"/>
      <c r="AC308" s="2" t="s">
        <v>27</v>
      </c>
    </row>
    <row r="309" spans="1:29" x14ac:dyDescent="0.35">
      <c r="A309" s="2">
        <v>1800017438</v>
      </c>
      <c r="B309" s="2" t="s">
        <v>63</v>
      </c>
      <c r="C309" s="3">
        <v>46064</v>
      </c>
      <c r="D309" s="3">
        <v>46066</v>
      </c>
      <c r="E309" s="2" t="s">
        <v>58</v>
      </c>
      <c r="F309" s="33">
        <v>256779440491</v>
      </c>
      <c r="G309" s="2" t="s">
        <v>28</v>
      </c>
      <c r="H309" s="2" t="s">
        <v>29</v>
      </c>
      <c r="I309" s="2" t="s">
        <v>27</v>
      </c>
      <c r="J309" s="2" t="s">
        <v>64</v>
      </c>
      <c r="K309" s="2" t="s">
        <v>31</v>
      </c>
      <c r="L309" s="4">
        <v>402.29885057471262</v>
      </c>
      <c r="M309" s="2" t="s">
        <v>31</v>
      </c>
      <c r="N309" s="4">
        <v>35000</v>
      </c>
      <c r="O309" s="2" t="s">
        <v>65</v>
      </c>
      <c r="P309" s="2" t="s">
        <v>32</v>
      </c>
      <c r="Q309" s="2" t="s">
        <v>27</v>
      </c>
      <c r="R309" s="2" t="s">
        <v>329</v>
      </c>
      <c r="S309" s="2" t="s">
        <v>33</v>
      </c>
      <c r="T309" s="2"/>
      <c r="U309" s="2"/>
      <c r="V309" s="2"/>
      <c r="W309" s="2" t="s">
        <v>331</v>
      </c>
      <c r="X309" s="2" t="s">
        <v>27</v>
      </c>
      <c r="Y309" s="2" t="s">
        <v>27</v>
      </c>
      <c r="Z309" s="2" t="s">
        <v>27</v>
      </c>
      <c r="AA309" s="3">
        <v>46064</v>
      </c>
      <c r="AB309" s="3"/>
      <c r="AC309" s="2" t="s">
        <v>27</v>
      </c>
    </row>
    <row r="310" spans="1:29" x14ac:dyDescent="0.35">
      <c r="A310" s="2">
        <v>1800017693</v>
      </c>
      <c r="B310" s="2" t="s">
        <v>63</v>
      </c>
      <c r="C310" s="3">
        <v>46064</v>
      </c>
      <c r="D310" s="3">
        <v>46069</v>
      </c>
      <c r="E310" s="2" t="s">
        <v>332</v>
      </c>
      <c r="F310" s="33">
        <v>256779451359</v>
      </c>
      <c r="G310" s="2" t="s">
        <v>28</v>
      </c>
      <c r="H310" s="2" t="s">
        <v>29</v>
      </c>
      <c r="I310" s="2" t="s">
        <v>27</v>
      </c>
      <c r="J310" s="2" t="s">
        <v>64</v>
      </c>
      <c r="K310" s="2" t="s">
        <v>38</v>
      </c>
      <c r="L310" s="4">
        <v>903.23</v>
      </c>
      <c r="M310" s="2" t="s">
        <v>31</v>
      </c>
      <c r="N310" s="4">
        <v>81593.460000000006</v>
      </c>
      <c r="O310" s="2" t="s">
        <v>65</v>
      </c>
      <c r="P310" s="2" t="s">
        <v>32</v>
      </c>
      <c r="Q310" s="2" t="s">
        <v>27</v>
      </c>
      <c r="R310" s="2" t="s">
        <v>58</v>
      </c>
      <c r="S310" s="2" t="s">
        <v>33</v>
      </c>
      <c r="T310" s="2"/>
      <c r="U310" s="2"/>
      <c r="V310" s="2"/>
      <c r="W310" s="2" t="s">
        <v>333</v>
      </c>
      <c r="X310" s="2" t="s">
        <v>27</v>
      </c>
      <c r="Y310" s="2" t="s">
        <v>27</v>
      </c>
      <c r="Z310" s="2" t="s">
        <v>27</v>
      </c>
      <c r="AA310" s="3">
        <v>46064</v>
      </c>
      <c r="AB310" s="3"/>
      <c r="AC310" s="2" t="s">
        <v>27</v>
      </c>
    </row>
    <row r="311" spans="1:29" x14ac:dyDescent="0.35">
      <c r="A311" s="2">
        <v>1800017631</v>
      </c>
      <c r="B311" s="2" t="s">
        <v>63</v>
      </c>
      <c r="C311" s="3">
        <v>46064</v>
      </c>
      <c r="D311" s="3">
        <v>46069</v>
      </c>
      <c r="E311" s="2" t="s">
        <v>334</v>
      </c>
      <c r="F311" s="33">
        <v>256779451432</v>
      </c>
      <c r="G311" s="2" t="s">
        <v>28</v>
      </c>
      <c r="H311" s="2" t="s">
        <v>29</v>
      </c>
      <c r="I311" s="2" t="s">
        <v>27</v>
      </c>
      <c r="J311" s="2" t="s">
        <v>64</v>
      </c>
      <c r="K311" s="2" t="s">
        <v>38</v>
      </c>
      <c r="L311" s="4">
        <v>17.38</v>
      </c>
      <c r="M311" s="2" t="s">
        <v>31</v>
      </c>
      <c r="N311" s="4">
        <v>1570.03</v>
      </c>
      <c r="O311" s="2" t="s">
        <v>65</v>
      </c>
      <c r="P311" s="2" t="s">
        <v>335</v>
      </c>
      <c r="Q311" s="2" t="s">
        <v>27</v>
      </c>
      <c r="R311" s="2" t="s">
        <v>58</v>
      </c>
      <c r="S311" s="2" t="s">
        <v>33</v>
      </c>
      <c r="T311" s="2"/>
      <c r="U311" s="2"/>
      <c r="V311" s="2"/>
      <c r="W311" s="2" t="s">
        <v>336</v>
      </c>
      <c r="X311" s="2" t="s">
        <v>27</v>
      </c>
      <c r="Y311" s="2" t="s">
        <v>27</v>
      </c>
      <c r="Z311" s="2" t="s">
        <v>27</v>
      </c>
      <c r="AA311" s="3">
        <v>46064</v>
      </c>
      <c r="AB311" s="3"/>
      <c r="AC311" s="2" t="s">
        <v>27</v>
      </c>
    </row>
    <row r="312" spans="1:29" x14ac:dyDescent="0.35">
      <c r="A312" s="2">
        <v>1800017759</v>
      </c>
      <c r="B312" s="2" t="s">
        <v>63</v>
      </c>
      <c r="C312" s="3">
        <v>46064</v>
      </c>
      <c r="D312" s="3">
        <v>46069</v>
      </c>
      <c r="E312" s="2" t="s">
        <v>337</v>
      </c>
      <c r="F312" s="33">
        <v>256779451510</v>
      </c>
      <c r="G312" s="2" t="s">
        <v>28</v>
      </c>
      <c r="H312" s="2" t="s">
        <v>29</v>
      </c>
      <c r="I312" s="2" t="s">
        <v>27</v>
      </c>
      <c r="J312" s="2" t="s">
        <v>64</v>
      </c>
      <c r="K312" s="2" t="s">
        <v>38</v>
      </c>
      <c r="L312" s="4">
        <v>50.92</v>
      </c>
      <c r="M312" s="2" t="s">
        <v>31</v>
      </c>
      <c r="N312" s="4">
        <v>4599.87</v>
      </c>
      <c r="O312" s="2" t="s">
        <v>65</v>
      </c>
      <c r="P312" s="2" t="s">
        <v>335</v>
      </c>
      <c r="Q312" s="2" t="s">
        <v>27</v>
      </c>
      <c r="R312" s="2" t="s">
        <v>58</v>
      </c>
      <c r="S312" s="2" t="s">
        <v>33</v>
      </c>
      <c r="T312" s="2"/>
      <c r="U312" s="2"/>
      <c r="V312" s="2"/>
      <c r="W312" s="2" t="s">
        <v>338</v>
      </c>
      <c r="X312" s="2" t="s">
        <v>27</v>
      </c>
      <c r="Y312" s="2" t="s">
        <v>27</v>
      </c>
      <c r="Z312" s="2" t="s">
        <v>27</v>
      </c>
      <c r="AA312" s="3">
        <v>46064</v>
      </c>
      <c r="AB312" s="3"/>
      <c r="AC312" s="2" t="s">
        <v>27</v>
      </c>
    </row>
    <row r="313" spans="1:29" x14ac:dyDescent="0.35">
      <c r="A313" s="2">
        <v>1800017726</v>
      </c>
      <c r="B313" s="2" t="s">
        <v>63</v>
      </c>
      <c r="C313" s="3">
        <v>46064</v>
      </c>
      <c r="D313" s="3">
        <v>46069</v>
      </c>
      <c r="E313" s="2" t="s">
        <v>339</v>
      </c>
      <c r="F313" s="33">
        <v>256779451542</v>
      </c>
      <c r="G313" s="2" t="s">
        <v>28</v>
      </c>
      <c r="H313" s="2" t="s">
        <v>29</v>
      </c>
      <c r="I313" s="2" t="s">
        <v>27</v>
      </c>
      <c r="J313" s="2" t="s">
        <v>64</v>
      </c>
      <c r="K313" s="2" t="s">
        <v>38</v>
      </c>
      <c r="L313" s="4">
        <v>26.83</v>
      </c>
      <c r="M313" s="2" t="s">
        <v>31</v>
      </c>
      <c r="N313" s="4">
        <v>2423.69</v>
      </c>
      <c r="O313" s="2" t="s">
        <v>65</v>
      </c>
      <c r="P313" s="2" t="s">
        <v>335</v>
      </c>
      <c r="Q313" s="2" t="s">
        <v>27</v>
      </c>
      <c r="R313" s="2" t="s">
        <v>58</v>
      </c>
      <c r="S313" s="2" t="s">
        <v>33</v>
      </c>
      <c r="T313" s="2"/>
      <c r="U313" s="2"/>
      <c r="V313" s="2"/>
      <c r="W313" s="2" t="s">
        <v>340</v>
      </c>
      <c r="X313" s="2" t="s">
        <v>27</v>
      </c>
      <c r="Y313" s="2" t="s">
        <v>27</v>
      </c>
      <c r="Z313" s="2" t="s">
        <v>27</v>
      </c>
      <c r="AA313" s="3">
        <v>46064</v>
      </c>
      <c r="AB313" s="3"/>
      <c r="AC313" s="2" t="s">
        <v>27</v>
      </c>
    </row>
    <row r="314" spans="1:29" x14ac:dyDescent="0.35">
      <c r="A314" s="2">
        <v>1400002758</v>
      </c>
      <c r="B314" s="2" t="s">
        <v>37</v>
      </c>
      <c r="C314" s="3">
        <v>45832</v>
      </c>
      <c r="D314" s="3">
        <v>46073</v>
      </c>
      <c r="E314" s="2" t="s">
        <v>341</v>
      </c>
      <c r="F314" s="33" t="s">
        <v>27</v>
      </c>
      <c r="G314" s="2" t="s">
        <v>28</v>
      </c>
      <c r="H314" s="2" t="s">
        <v>29</v>
      </c>
      <c r="I314" s="2" t="s">
        <v>27</v>
      </c>
      <c r="J314" s="2" t="s">
        <v>49</v>
      </c>
      <c r="K314" s="2" t="s">
        <v>38</v>
      </c>
      <c r="L314" s="4">
        <v>3508.06</v>
      </c>
      <c r="M314" s="2" t="s">
        <v>31</v>
      </c>
      <c r="N314" s="4">
        <v>3508.06</v>
      </c>
      <c r="O314" s="2" t="s">
        <v>27</v>
      </c>
      <c r="P314" s="2" t="s">
        <v>42</v>
      </c>
      <c r="Q314" s="2" t="s">
        <v>27</v>
      </c>
      <c r="R314" s="2" t="s">
        <v>27</v>
      </c>
      <c r="S314" s="2" t="s">
        <v>36</v>
      </c>
      <c r="T314" s="2"/>
      <c r="U314" s="2"/>
      <c r="V314" s="2"/>
      <c r="W314" s="2" t="s">
        <v>27</v>
      </c>
      <c r="X314" s="2" t="s">
        <v>27</v>
      </c>
      <c r="Y314" s="2" t="s">
        <v>27</v>
      </c>
      <c r="Z314" s="2" t="s">
        <v>27</v>
      </c>
      <c r="AA314" s="3">
        <v>45832</v>
      </c>
      <c r="AB314" s="3">
        <v>46073</v>
      </c>
      <c r="AC314" s="2" t="s">
        <v>342</v>
      </c>
    </row>
    <row r="315" spans="1:29" x14ac:dyDescent="0.35">
      <c r="A315" s="2">
        <v>1400000127</v>
      </c>
      <c r="B315" s="2" t="s">
        <v>37</v>
      </c>
      <c r="C315" s="3">
        <v>45832</v>
      </c>
      <c r="D315" s="3">
        <v>45832</v>
      </c>
      <c r="E315" s="2" t="s">
        <v>341</v>
      </c>
      <c r="F315" s="33" t="s">
        <v>27</v>
      </c>
      <c r="G315" s="2" t="s">
        <v>28</v>
      </c>
      <c r="H315" s="2" t="s">
        <v>29</v>
      </c>
      <c r="I315" s="2" t="s">
        <v>27</v>
      </c>
      <c r="J315" s="2" t="s">
        <v>35</v>
      </c>
      <c r="K315" s="2" t="s">
        <v>38</v>
      </c>
      <c r="L315" s="4">
        <v>-3508.06</v>
      </c>
      <c r="M315" s="2" t="s">
        <v>31</v>
      </c>
      <c r="N315" s="4">
        <v>-3508.06</v>
      </c>
      <c r="O315" s="2" t="s">
        <v>27</v>
      </c>
      <c r="P315" s="2" t="s">
        <v>42</v>
      </c>
      <c r="Q315" s="2" t="s">
        <v>27</v>
      </c>
      <c r="R315" s="2" t="s">
        <v>27</v>
      </c>
      <c r="S315" s="2" t="s">
        <v>36</v>
      </c>
      <c r="T315" s="2"/>
      <c r="U315" s="2"/>
      <c r="V315" s="2"/>
      <c r="W315" s="2" t="s">
        <v>27</v>
      </c>
      <c r="X315" s="2" t="s">
        <v>27</v>
      </c>
      <c r="Y315" s="2" t="s">
        <v>27</v>
      </c>
      <c r="Z315" s="2" t="s">
        <v>27</v>
      </c>
      <c r="AA315" s="3">
        <v>45832</v>
      </c>
      <c r="AB315" s="3">
        <v>46073</v>
      </c>
      <c r="AC315" s="2" t="s">
        <v>342</v>
      </c>
    </row>
    <row r="316" spans="1:29" x14ac:dyDescent="0.35">
      <c r="A316" s="2">
        <v>1400002762</v>
      </c>
      <c r="B316" s="2" t="s">
        <v>37</v>
      </c>
      <c r="C316" s="3">
        <v>46073</v>
      </c>
      <c r="D316" s="3">
        <v>46073</v>
      </c>
      <c r="E316" s="2" t="s">
        <v>343</v>
      </c>
      <c r="F316" s="33" t="s">
        <v>27</v>
      </c>
      <c r="G316" s="2" t="s">
        <v>28</v>
      </c>
      <c r="H316" s="2" t="s">
        <v>29</v>
      </c>
      <c r="I316" s="2" t="s">
        <v>27</v>
      </c>
      <c r="J316" s="2" t="s">
        <v>35</v>
      </c>
      <c r="K316" s="2" t="s">
        <v>38</v>
      </c>
      <c r="L316" s="4">
        <v>-3508.06</v>
      </c>
      <c r="M316" s="2" t="s">
        <v>31</v>
      </c>
      <c r="N316" s="4">
        <v>-299906.78999999998</v>
      </c>
      <c r="O316" s="2" t="s">
        <v>27</v>
      </c>
      <c r="P316" s="2" t="s">
        <v>42</v>
      </c>
      <c r="Q316" s="2" t="s">
        <v>27</v>
      </c>
      <c r="R316" s="2" t="s">
        <v>27</v>
      </c>
      <c r="S316" s="2" t="s">
        <v>36</v>
      </c>
      <c r="T316" s="2"/>
      <c r="U316" s="2"/>
      <c r="V316" s="2"/>
      <c r="W316" s="2" t="s">
        <v>27</v>
      </c>
      <c r="X316" s="2" t="s">
        <v>27</v>
      </c>
      <c r="Y316" s="2" t="s">
        <v>27</v>
      </c>
      <c r="Z316" s="2" t="s">
        <v>27</v>
      </c>
      <c r="AA316" s="3">
        <v>46073</v>
      </c>
      <c r="AB316" s="3"/>
      <c r="AC316" s="2" t="s">
        <v>27</v>
      </c>
    </row>
    <row r="317" spans="1:29" x14ac:dyDescent="0.35">
      <c r="A317" s="2">
        <v>1800017913</v>
      </c>
      <c r="B317" s="2" t="s">
        <v>63</v>
      </c>
      <c r="C317" s="3">
        <v>46073</v>
      </c>
      <c r="D317" s="3">
        <v>46077</v>
      </c>
      <c r="E317" s="2" t="s">
        <v>344</v>
      </c>
      <c r="F317" s="33">
        <v>256779451657</v>
      </c>
      <c r="G317" s="2" t="s">
        <v>28</v>
      </c>
      <c r="H317" s="2" t="s">
        <v>29</v>
      </c>
      <c r="I317" s="2" t="s">
        <v>27</v>
      </c>
      <c r="J317" s="2" t="s">
        <v>64</v>
      </c>
      <c r="K317" s="2" t="s">
        <v>38</v>
      </c>
      <c r="L317" s="4">
        <v>857.14</v>
      </c>
      <c r="M317" s="2" t="s">
        <v>31</v>
      </c>
      <c r="N317" s="4">
        <v>77429.91</v>
      </c>
      <c r="O317" s="2" t="s">
        <v>65</v>
      </c>
      <c r="P317" s="2" t="s">
        <v>335</v>
      </c>
      <c r="Q317" s="2" t="s">
        <v>27</v>
      </c>
      <c r="R317" s="2" t="s">
        <v>58</v>
      </c>
      <c r="S317" s="2" t="s">
        <v>33</v>
      </c>
      <c r="T317" s="2"/>
      <c r="U317" s="2"/>
      <c r="V317" s="2"/>
      <c r="W317" s="2" t="s">
        <v>345</v>
      </c>
      <c r="X317" s="2" t="s">
        <v>27</v>
      </c>
      <c r="Y317" s="2" t="s">
        <v>27</v>
      </c>
      <c r="Z317" s="2" t="s">
        <v>27</v>
      </c>
      <c r="AA317" s="3">
        <v>46073</v>
      </c>
      <c r="AB317" s="3"/>
      <c r="AC317" s="2" t="s">
        <v>27</v>
      </c>
    </row>
    <row r="318" spans="1:29" x14ac:dyDescent="0.35">
      <c r="A318" s="2">
        <v>1800017905</v>
      </c>
      <c r="B318" s="2" t="s">
        <v>63</v>
      </c>
      <c r="C318" s="3">
        <v>46073</v>
      </c>
      <c r="D318" s="3">
        <v>46077</v>
      </c>
      <c r="E318" s="2" t="s">
        <v>346</v>
      </c>
      <c r="F318" s="33">
        <v>256779451660</v>
      </c>
      <c r="G318" s="2" t="s">
        <v>28</v>
      </c>
      <c r="H318" s="2" t="s">
        <v>29</v>
      </c>
      <c r="I318" s="2" t="s">
        <v>27</v>
      </c>
      <c r="J318" s="2" t="s">
        <v>64</v>
      </c>
      <c r="K318" s="2" t="s">
        <v>38</v>
      </c>
      <c r="L318" s="4">
        <v>270</v>
      </c>
      <c r="M318" s="2" t="s">
        <v>31</v>
      </c>
      <c r="N318" s="4">
        <v>24390.5</v>
      </c>
      <c r="O318" s="2" t="s">
        <v>65</v>
      </c>
      <c r="P318" s="2" t="s">
        <v>335</v>
      </c>
      <c r="Q318" s="2" t="s">
        <v>27</v>
      </c>
      <c r="R318" s="2" t="s">
        <v>58</v>
      </c>
      <c r="S318" s="2" t="s">
        <v>33</v>
      </c>
      <c r="T318" s="2"/>
      <c r="U318" s="2"/>
      <c r="V318" s="2"/>
      <c r="W318" s="2" t="s">
        <v>347</v>
      </c>
      <c r="X318" s="2" t="s">
        <v>27</v>
      </c>
      <c r="Y318" s="2" t="s">
        <v>27</v>
      </c>
      <c r="Z318" s="2" t="s">
        <v>27</v>
      </c>
      <c r="AA318" s="3">
        <v>46073</v>
      </c>
      <c r="AB318" s="3"/>
      <c r="AC318" s="2" t="s">
        <v>27</v>
      </c>
    </row>
    <row r="319" spans="1:29" x14ac:dyDescent="0.35">
      <c r="A319" s="2">
        <v>1800018015</v>
      </c>
      <c r="B319" s="2" t="s">
        <v>63</v>
      </c>
      <c r="C319" s="3">
        <v>46076</v>
      </c>
      <c r="D319" s="3">
        <v>46077</v>
      </c>
      <c r="E319" s="2" t="s">
        <v>348</v>
      </c>
      <c r="F319" s="33">
        <v>256779451666</v>
      </c>
      <c r="G319" s="2" t="s">
        <v>28</v>
      </c>
      <c r="H319" s="2" t="s">
        <v>29</v>
      </c>
      <c r="I319" s="2" t="s">
        <v>27</v>
      </c>
      <c r="J319" s="2" t="s">
        <v>64</v>
      </c>
      <c r="K319" s="2" t="s">
        <v>38</v>
      </c>
      <c r="L319" s="4">
        <v>35</v>
      </c>
      <c r="M319" s="2" t="s">
        <v>31</v>
      </c>
      <c r="N319" s="4">
        <v>3161.73</v>
      </c>
      <c r="O319" s="2" t="s">
        <v>65</v>
      </c>
      <c r="P319" s="2" t="s">
        <v>335</v>
      </c>
      <c r="Q319" s="2" t="s">
        <v>27</v>
      </c>
      <c r="R319" s="2" t="s">
        <v>58</v>
      </c>
      <c r="S319" s="2" t="s">
        <v>33</v>
      </c>
      <c r="T319" s="2"/>
      <c r="U319" s="2"/>
      <c r="V319" s="2"/>
      <c r="W319" s="2" t="s">
        <v>349</v>
      </c>
      <c r="X319" s="2" t="s">
        <v>27</v>
      </c>
      <c r="Y319" s="2" t="s">
        <v>27</v>
      </c>
      <c r="Z319" s="2" t="s">
        <v>27</v>
      </c>
      <c r="AA319" s="3">
        <v>46076</v>
      </c>
      <c r="AB319" s="3"/>
      <c r="AC319" s="2" t="s">
        <v>27</v>
      </c>
    </row>
    <row r="320" spans="1:29" x14ac:dyDescent="0.35">
      <c r="A320" s="2">
        <v>1800018024</v>
      </c>
      <c r="B320" s="2" t="s">
        <v>63</v>
      </c>
      <c r="C320" s="3">
        <v>46076</v>
      </c>
      <c r="D320" s="3">
        <v>46077</v>
      </c>
      <c r="E320" s="2" t="s">
        <v>58</v>
      </c>
      <c r="F320" s="33">
        <v>256779451814</v>
      </c>
      <c r="G320" s="2" t="s">
        <v>28</v>
      </c>
      <c r="H320" s="2" t="s">
        <v>29</v>
      </c>
      <c r="I320" s="2" t="s">
        <v>27</v>
      </c>
      <c r="J320" s="2" t="s">
        <v>64</v>
      </c>
      <c r="K320" s="2" t="s">
        <v>38</v>
      </c>
      <c r="L320" s="4">
        <v>100</v>
      </c>
      <c r="M320" s="2" t="s">
        <v>31</v>
      </c>
      <c r="N320" s="4">
        <v>9033.52</v>
      </c>
      <c r="O320" s="2" t="s">
        <v>65</v>
      </c>
      <c r="P320" s="2" t="s">
        <v>335</v>
      </c>
      <c r="Q320" s="2" t="s">
        <v>27</v>
      </c>
      <c r="R320" s="2" t="s">
        <v>350</v>
      </c>
      <c r="S320" s="2" t="s">
        <v>33</v>
      </c>
      <c r="T320" s="2"/>
      <c r="U320" s="2"/>
      <c r="V320" s="2"/>
      <c r="W320" s="2" t="s">
        <v>351</v>
      </c>
      <c r="X320" s="2" t="s">
        <v>27</v>
      </c>
      <c r="Y320" s="2" t="s">
        <v>27</v>
      </c>
      <c r="Z320" s="2" t="s">
        <v>27</v>
      </c>
      <c r="AA320" s="3">
        <v>46076</v>
      </c>
      <c r="AB320" s="3"/>
      <c r="AC320" s="2" t="s">
        <v>27</v>
      </c>
    </row>
    <row r="321" spans="1:29" x14ac:dyDescent="0.35">
      <c r="A321" s="2">
        <v>1800018056</v>
      </c>
      <c r="B321" s="2" t="s">
        <v>63</v>
      </c>
      <c r="C321" s="3">
        <v>46076</v>
      </c>
      <c r="D321" s="3">
        <v>46077</v>
      </c>
      <c r="E321" s="2" t="s">
        <v>58</v>
      </c>
      <c r="F321" s="33">
        <v>256779451846</v>
      </c>
      <c r="G321" s="2" t="s">
        <v>28</v>
      </c>
      <c r="H321" s="2" t="s">
        <v>29</v>
      </c>
      <c r="I321" s="2" t="s">
        <v>27</v>
      </c>
      <c r="J321" s="2" t="s">
        <v>64</v>
      </c>
      <c r="K321" s="2" t="s">
        <v>38</v>
      </c>
      <c r="L321" s="4">
        <v>177.21</v>
      </c>
      <c r="M321" s="2" t="s">
        <v>31</v>
      </c>
      <c r="N321" s="4">
        <v>16008.3</v>
      </c>
      <c r="O321" s="2" t="s">
        <v>65</v>
      </c>
      <c r="P321" s="2" t="s">
        <v>335</v>
      </c>
      <c r="Q321" s="2" t="s">
        <v>27</v>
      </c>
      <c r="R321" s="2" t="s">
        <v>350</v>
      </c>
      <c r="S321" s="2" t="s">
        <v>33</v>
      </c>
      <c r="T321" s="2"/>
      <c r="U321" s="2"/>
      <c r="V321" s="2"/>
      <c r="W321" s="2" t="s">
        <v>352</v>
      </c>
      <c r="X321" s="2" t="s">
        <v>27</v>
      </c>
      <c r="Y321" s="2" t="s">
        <v>27</v>
      </c>
      <c r="Z321" s="2" t="s">
        <v>27</v>
      </c>
      <c r="AA321" s="3">
        <v>46076</v>
      </c>
      <c r="AB321" s="3"/>
      <c r="AC321" s="2" t="s">
        <v>27</v>
      </c>
    </row>
    <row r="322" spans="1:29" x14ac:dyDescent="0.35">
      <c r="A322" s="2">
        <v>1800018101</v>
      </c>
      <c r="B322" s="2" t="s">
        <v>63</v>
      </c>
      <c r="C322" s="3">
        <v>46077</v>
      </c>
      <c r="D322" s="3">
        <v>46077</v>
      </c>
      <c r="E322" s="2" t="s">
        <v>353</v>
      </c>
      <c r="F322" s="33">
        <v>256779451892</v>
      </c>
      <c r="G322" s="2" t="s">
        <v>28</v>
      </c>
      <c r="H322" s="2" t="s">
        <v>29</v>
      </c>
      <c r="I322" s="2" t="s">
        <v>27</v>
      </c>
      <c r="J322" s="2" t="s">
        <v>64</v>
      </c>
      <c r="K322" s="2" t="s">
        <v>38</v>
      </c>
      <c r="L322" s="4">
        <v>482.81</v>
      </c>
      <c r="M322" s="2" t="s">
        <v>31</v>
      </c>
      <c r="N322" s="4">
        <v>43614.74</v>
      </c>
      <c r="O322" s="2" t="s">
        <v>65</v>
      </c>
      <c r="P322" s="2" t="s">
        <v>335</v>
      </c>
      <c r="Q322" s="2" t="s">
        <v>27</v>
      </c>
      <c r="R322" s="2" t="s">
        <v>58</v>
      </c>
      <c r="S322" s="2" t="s">
        <v>33</v>
      </c>
      <c r="T322" s="2"/>
      <c r="U322" s="2"/>
      <c r="V322" s="2"/>
      <c r="W322" s="2" t="s">
        <v>354</v>
      </c>
      <c r="X322" s="2" t="s">
        <v>27</v>
      </c>
      <c r="Y322" s="2" t="s">
        <v>27</v>
      </c>
      <c r="Z322" s="2" t="s">
        <v>27</v>
      </c>
      <c r="AA322" s="3">
        <v>46077</v>
      </c>
      <c r="AB322" s="3"/>
      <c r="AC322" s="2" t="s">
        <v>27</v>
      </c>
    </row>
    <row r="323" spans="1:29" x14ac:dyDescent="0.35">
      <c r="A323" s="2">
        <v>1800018149</v>
      </c>
      <c r="B323" s="2" t="s">
        <v>63</v>
      </c>
      <c r="C323" s="3">
        <v>46077</v>
      </c>
      <c r="D323" s="3">
        <v>46077</v>
      </c>
      <c r="E323" s="2" t="s">
        <v>355</v>
      </c>
      <c r="F323" s="33">
        <v>256779451940</v>
      </c>
      <c r="G323" s="2" t="s">
        <v>28</v>
      </c>
      <c r="H323" s="2" t="s">
        <v>29</v>
      </c>
      <c r="I323" s="2" t="s">
        <v>27</v>
      </c>
      <c r="J323" s="2" t="s">
        <v>64</v>
      </c>
      <c r="K323" s="2" t="s">
        <v>38</v>
      </c>
      <c r="L323" s="4">
        <v>36.79</v>
      </c>
      <c r="M323" s="2" t="s">
        <v>31</v>
      </c>
      <c r="N323" s="4">
        <v>3323.43</v>
      </c>
      <c r="O323" s="2" t="s">
        <v>65</v>
      </c>
      <c r="P323" s="2" t="s">
        <v>335</v>
      </c>
      <c r="Q323" s="2" t="s">
        <v>27</v>
      </c>
      <c r="R323" s="2" t="s">
        <v>58</v>
      </c>
      <c r="S323" s="2" t="s">
        <v>33</v>
      </c>
      <c r="T323" s="2"/>
      <c r="U323" s="2"/>
      <c r="V323" s="2"/>
      <c r="W323" s="2" t="s">
        <v>356</v>
      </c>
      <c r="X323" s="2" t="s">
        <v>27</v>
      </c>
      <c r="Y323" s="2" t="s">
        <v>27</v>
      </c>
      <c r="Z323" s="2" t="s">
        <v>27</v>
      </c>
      <c r="AA323" s="3">
        <v>46077</v>
      </c>
      <c r="AB323" s="3"/>
      <c r="AC323" s="2" t="s">
        <v>27</v>
      </c>
    </row>
    <row r="324" spans="1:29" x14ac:dyDescent="0.35">
      <c r="A324" s="2">
        <v>1400002859</v>
      </c>
      <c r="B324" s="2" t="s">
        <v>37</v>
      </c>
      <c r="C324" s="3">
        <v>46085</v>
      </c>
      <c r="D324" s="3">
        <v>46085</v>
      </c>
      <c r="E324" s="2" t="s">
        <v>357</v>
      </c>
      <c r="F324" s="33">
        <v>2182217</v>
      </c>
      <c r="G324" s="2" t="s">
        <v>28</v>
      </c>
      <c r="H324" s="2" t="s">
        <v>29</v>
      </c>
      <c r="I324" s="2" t="s">
        <v>27</v>
      </c>
      <c r="J324" s="2" t="s">
        <v>30</v>
      </c>
      <c r="K324" s="2" t="s">
        <v>38</v>
      </c>
      <c r="L324" s="4">
        <v>3777.49</v>
      </c>
      <c r="M324" s="2" t="s">
        <v>31</v>
      </c>
      <c r="N324" s="4">
        <v>324866.67</v>
      </c>
      <c r="O324" s="2" t="s">
        <v>27</v>
      </c>
      <c r="P324" s="2" t="s">
        <v>42</v>
      </c>
      <c r="Q324" s="2" t="s">
        <v>27</v>
      </c>
      <c r="R324" s="2" t="s">
        <v>27</v>
      </c>
      <c r="S324" s="2" t="s">
        <v>50</v>
      </c>
      <c r="T324" s="2"/>
      <c r="U324" s="2"/>
      <c r="V324" s="2"/>
      <c r="W324" s="2" t="s">
        <v>27</v>
      </c>
      <c r="X324" s="2" t="s">
        <v>27</v>
      </c>
      <c r="Y324" s="2" t="s">
        <v>27</v>
      </c>
      <c r="Z324" s="2" t="s">
        <v>27</v>
      </c>
      <c r="AA324" s="3">
        <v>46085</v>
      </c>
      <c r="AB324" s="3">
        <v>46085</v>
      </c>
      <c r="AC324" s="2" t="s">
        <v>358</v>
      </c>
    </row>
    <row r="325" spans="1:29" x14ac:dyDescent="0.35">
      <c r="A325" s="2">
        <v>1400002859</v>
      </c>
      <c r="B325" s="2" t="s">
        <v>37</v>
      </c>
      <c r="C325" s="3">
        <v>46085</v>
      </c>
      <c r="D325" s="3">
        <v>46085</v>
      </c>
      <c r="E325" s="2" t="s">
        <v>357</v>
      </c>
      <c r="F325" s="33">
        <v>2182217</v>
      </c>
      <c r="G325" s="2" t="s">
        <v>28</v>
      </c>
      <c r="H325" s="2" t="s">
        <v>29</v>
      </c>
      <c r="I325" s="2" t="s">
        <v>27</v>
      </c>
      <c r="J325" s="2" t="s">
        <v>35</v>
      </c>
      <c r="K325" s="2" t="s">
        <v>38</v>
      </c>
      <c r="L325" s="4">
        <v>-2530.2199999999998</v>
      </c>
      <c r="M325" s="2" t="s">
        <v>31</v>
      </c>
      <c r="N325" s="4">
        <v>-216593.26</v>
      </c>
      <c r="O325" s="2" t="s">
        <v>27</v>
      </c>
      <c r="P325" s="2" t="s">
        <v>32</v>
      </c>
      <c r="Q325" s="2" t="s">
        <v>27</v>
      </c>
      <c r="R325" s="2" t="s">
        <v>27</v>
      </c>
      <c r="S325" s="2" t="s">
        <v>39</v>
      </c>
      <c r="T325" s="2"/>
      <c r="U325" s="2"/>
      <c r="V325" s="2"/>
      <c r="W325" s="2" t="s">
        <v>27</v>
      </c>
      <c r="X325" s="2" t="s">
        <v>27</v>
      </c>
      <c r="Y325" s="2" t="s">
        <v>27</v>
      </c>
      <c r="Z325" s="2" t="s">
        <v>27</v>
      </c>
      <c r="AA325" s="3">
        <v>46085</v>
      </c>
      <c r="AB325" s="3">
        <v>46085</v>
      </c>
      <c r="AC325" s="2" t="s">
        <v>358</v>
      </c>
    </row>
    <row r="326" spans="1:29" x14ac:dyDescent="0.35">
      <c r="A326" s="2">
        <v>1400002859</v>
      </c>
      <c r="B326" s="2" t="s">
        <v>37</v>
      </c>
      <c r="C326" s="3">
        <v>46085</v>
      </c>
      <c r="D326" s="3">
        <v>46085</v>
      </c>
      <c r="E326" s="2" t="s">
        <v>357</v>
      </c>
      <c r="F326" s="33">
        <v>2182217</v>
      </c>
      <c r="G326" s="2" t="s">
        <v>28</v>
      </c>
      <c r="H326" s="2" t="s">
        <v>29</v>
      </c>
      <c r="I326" s="2" t="s">
        <v>27</v>
      </c>
      <c r="J326" s="2" t="s">
        <v>35</v>
      </c>
      <c r="K326" s="2" t="s">
        <v>38</v>
      </c>
      <c r="L326" s="4">
        <v>-1569.75</v>
      </c>
      <c r="M326" s="2" t="s">
        <v>31</v>
      </c>
      <c r="N326" s="4">
        <v>-135000</v>
      </c>
      <c r="O326" s="2" t="s">
        <v>27</v>
      </c>
      <c r="P326" s="2" t="s">
        <v>32</v>
      </c>
      <c r="Q326" s="2" t="s">
        <v>27</v>
      </c>
      <c r="R326" s="2" t="s">
        <v>27</v>
      </c>
      <c r="S326" s="2" t="s">
        <v>291</v>
      </c>
      <c r="T326" s="2"/>
      <c r="U326" s="2"/>
      <c r="V326" s="2"/>
      <c r="W326" s="2" t="s">
        <v>27</v>
      </c>
      <c r="X326" s="2" t="s">
        <v>27</v>
      </c>
      <c r="Y326" s="2" t="s">
        <v>27</v>
      </c>
      <c r="Z326" s="2" t="s">
        <v>27</v>
      </c>
      <c r="AA326" s="3">
        <v>46085</v>
      </c>
      <c r="AB326" s="3">
        <v>46085</v>
      </c>
      <c r="AC326" s="2" t="s">
        <v>358</v>
      </c>
    </row>
    <row r="327" spans="1:29" x14ac:dyDescent="0.35">
      <c r="A327" s="2">
        <v>1400000990</v>
      </c>
      <c r="B327" s="2" t="s">
        <v>37</v>
      </c>
      <c r="C327" s="3">
        <v>45890</v>
      </c>
      <c r="D327" s="3">
        <v>45890</v>
      </c>
      <c r="E327" s="2" t="s">
        <v>357</v>
      </c>
      <c r="F327" s="33" t="s">
        <v>27</v>
      </c>
      <c r="G327" s="2" t="s">
        <v>28</v>
      </c>
      <c r="H327" s="2" t="s">
        <v>29</v>
      </c>
      <c r="I327" s="2" t="s">
        <v>27</v>
      </c>
      <c r="J327" s="2" t="s">
        <v>35</v>
      </c>
      <c r="K327" s="2" t="s">
        <v>38</v>
      </c>
      <c r="L327" s="4">
        <v>-3777.49</v>
      </c>
      <c r="M327" s="2" t="s">
        <v>31</v>
      </c>
      <c r="N327" s="4">
        <v>-324866.67</v>
      </c>
      <c r="O327" s="2" t="s">
        <v>27</v>
      </c>
      <c r="P327" s="2" t="s">
        <v>42</v>
      </c>
      <c r="Q327" s="2" t="s">
        <v>27</v>
      </c>
      <c r="R327" s="2" t="s">
        <v>27</v>
      </c>
      <c r="S327" s="2" t="s">
        <v>36</v>
      </c>
      <c r="T327" s="2"/>
      <c r="U327" s="2"/>
      <c r="V327" s="2"/>
      <c r="W327" s="2" t="s">
        <v>27</v>
      </c>
      <c r="X327" s="2" t="s">
        <v>27</v>
      </c>
      <c r="Y327" s="2" t="s">
        <v>27</v>
      </c>
      <c r="Z327" s="2" t="s">
        <v>27</v>
      </c>
      <c r="AA327" s="3">
        <v>45890</v>
      </c>
      <c r="AB327" s="3">
        <v>46085</v>
      </c>
      <c r="AC327" s="2" t="s">
        <v>358</v>
      </c>
    </row>
    <row r="328" spans="1:29" x14ac:dyDescent="0.35">
      <c r="A328" s="2">
        <v>1800008488</v>
      </c>
      <c r="B328" s="2" t="s">
        <v>63</v>
      </c>
      <c r="C328" s="3">
        <v>45793</v>
      </c>
      <c r="D328" s="3">
        <v>45800</v>
      </c>
      <c r="E328" s="2" t="s">
        <v>58</v>
      </c>
      <c r="F328" s="33">
        <v>256779413256</v>
      </c>
      <c r="G328" s="2" t="s">
        <v>28</v>
      </c>
      <c r="H328" s="2" t="s">
        <v>29</v>
      </c>
      <c r="I328" s="2" t="s">
        <v>27</v>
      </c>
      <c r="J328" s="2" t="s">
        <v>64</v>
      </c>
      <c r="K328" s="2" t="s">
        <v>38</v>
      </c>
      <c r="L328" s="4">
        <v>270</v>
      </c>
      <c r="M328" s="2" t="s">
        <v>31</v>
      </c>
      <c r="N328" s="4">
        <v>23215.599999999999</v>
      </c>
      <c r="O328" s="2" t="s">
        <v>65</v>
      </c>
      <c r="P328" s="2" t="s">
        <v>32</v>
      </c>
      <c r="Q328" s="2" t="s">
        <v>27</v>
      </c>
      <c r="R328" s="2" t="s">
        <v>58</v>
      </c>
      <c r="S328" s="2" t="s">
        <v>33</v>
      </c>
      <c r="T328" s="2"/>
      <c r="U328" s="2"/>
      <c r="V328" s="2"/>
      <c r="W328" s="2" t="s">
        <v>359</v>
      </c>
      <c r="X328" s="2" t="s">
        <v>27</v>
      </c>
      <c r="Y328" s="2" t="s">
        <v>27</v>
      </c>
      <c r="Z328" s="2" t="s">
        <v>27</v>
      </c>
      <c r="AA328" s="3">
        <v>45793</v>
      </c>
      <c r="AB328" s="3">
        <v>46085</v>
      </c>
      <c r="AC328" s="2" t="s">
        <v>358</v>
      </c>
    </row>
    <row r="329" spans="1:29" x14ac:dyDescent="0.35">
      <c r="A329" s="2">
        <v>1800008520</v>
      </c>
      <c r="B329" s="2" t="s">
        <v>63</v>
      </c>
      <c r="C329" s="3">
        <v>45793</v>
      </c>
      <c r="D329" s="3">
        <v>45800</v>
      </c>
      <c r="E329" s="2" t="s">
        <v>58</v>
      </c>
      <c r="F329" s="33">
        <v>256779413284</v>
      </c>
      <c r="G329" s="2" t="s">
        <v>28</v>
      </c>
      <c r="H329" s="2" t="s">
        <v>29</v>
      </c>
      <c r="I329" s="2" t="s">
        <v>27</v>
      </c>
      <c r="J329" s="2" t="s">
        <v>64</v>
      </c>
      <c r="K329" s="2" t="s">
        <v>38</v>
      </c>
      <c r="L329" s="4">
        <v>35</v>
      </c>
      <c r="M329" s="2" t="s">
        <v>31</v>
      </c>
      <c r="N329" s="4">
        <v>3009.43</v>
      </c>
      <c r="O329" s="2" t="s">
        <v>65</v>
      </c>
      <c r="P329" s="2" t="s">
        <v>32</v>
      </c>
      <c r="Q329" s="2" t="s">
        <v>27</v>
      </c>
      <c r="R329" s="2" t="s">
        <v>58</v>
      </c>
      <c r="S329" s="2" t="s">
        <v>33</v>
      </c>
      <c r="T329" s="2"/>
      <c r="U329" s="2"/>
      <c r="V329" s="2"/>
      <c r="W329" s="2" t="s">
        <v>360</v>
      </c>
      <c r="X329" s="2" t="s">
        <v>27</v>
      </c>
      <c r="Y329" s="2" t="s">
        <v>27</v>
      </c>
      <c r="Z329" s="2" t="s">
        <v>27</v>
      </c>
      <c r="AA329" s="3">
        <v>45793</v>
      </c>
      <c r="AB329" s="3">
        <v>46085</v>
      </c>
      <c r="AC329" s="2" t="s">
        <v>358</v>
      </c>
    </row>
    <row r="330" spans="1:29" x14ac:dyDescent="0.35">
      <c r="A330" s="2">
        <v>1800009476</v>
      </c>
      <c r="B330" s="2" t="s">
        <v>63</v>
      </c>
      <c r="C330" s="3">
        <v>45815</v>
      </c>
      <c r="D330" s="3">
        <v>45817</v>
      </c>
      <c r="E330" s="2" t="s">
        <v>58</v>
      </c>
      <c r="F330" s="33">
        <v>256779414240</v>
      </c>
      <c r="G330" s="2" t="s">
        <v>28</v>
      </c>
      <c r="H330" s="2" t="s">
        <v>29</v>
      </c>
      <c r="I330" s="2" t="s">
        <v>27</v>
      </c>
      <c r="J330" s="2" t="s">
        <v>64</v>
      </c>
      <c r="K330" s="2" t="s">
        <v>38</v>
      </c>
      <c r="L330" s="4">
        <v>1339</v>
      </c>
      <c r="M330" s="2" t="s">
        <v>31</v>
      </c>
      <c r="N330" s="4">
        <v>114472.15</v>
      </c>
      <c r="O330" s="2" t="s">
        <v>65</v>
      </c>
      <c r="P330" s="2" t="s">
        <v>32</v>
      </c>
      <c r="Q330" s="2" t="s">
        <v>27</v>
      </c>
      <c r="R330" s="2" t="s">
        <v>58</v>
      </c>
      <c r="S330" s="2" t="s">
        <v>33</v>
      </c>
      <c r="T330" s="2"/>
      <c r="U330" s="2"/>
      <c r="V330" s="2"/>
      <c r="W330" s="2" t="s">
        <v>361</v>
      </c>
      <c r="X330" s="2" t="s">
        <v>27</v>
      </c>
      <c r="Y330" s="2" t="s">
        <v>27</v>
      </c>
      <c r="Z330" s="2" t="s">
        <v>27</v>
      </c>
      <c r="AA330" s="3">
        <v>45815</v>
      </c>
      <c r="AB330" s="3">
        <v>46085</v>
      </c>
      <c r="AC330" s="2" t="s">
        <v>358</v>
      </c>
    </row>
    <row r="331" spans="1:29" x14ac:dyDescent="0.35">
      <c r="A331" s="2">
        <v>1800009511</v>
      </c>
      <c r="B331" s="2" t="s">
        <v>63</v>
      </c>
      <c r="C331" s="3">
        <v>45812</v>
      </c>
      <c r="D331" s="3">
        <v>45817</v>
      </c>
      <c r="E331" s="2" t="s">
        <v>58</v>
      </c>
      <c r="F331" s="33">
        <v>256779414275</v>
      </c>
      <c r="G331" s="2" t="s">
        <v>28</v>
      </c>
      <c r="H331" s="2" t="s">
        <v>29</v>
      </c>
      <c r="I331" s="2" t="s">
        <v>27</v>
      </c>
      <c r="J331" s="2" t="s">
        <v>64</v>
      </c>
      <c r="K331" s="2" t="s">
        <v>38</v>
      </c>
      <c r="L331" s="4">
        <v>136.08000000000001</v>
      </c>
      <c r="M331" s="2" t="s">
        <v>31</v>
      </c>
      <c r="N331" s="4">
        <v>11633.59</v>
      </c>
      <c r="O331" s="2" t="s">
        <v>65</v>
      </c>
      <c r="P331" s="2" t="s">
        <v>32</v>
      </c>
      <c r="Q331" s="2" t="s">
        <v>27</v>
      </c>
      <c r="R331" s="2" t="s">
        <v>58</v>
      </c>
      <c r="S331" s="2" t="s">
        <v>33</v>
      </c>
      <c r="T331" s="2"/>
      <c r="U331" s="2"/>
      <c r="V331" s="2"/>
      <c r="W331" s="2" t="s">
        <v>362</v>
      </c>
      <c r="X331" s="2" t="s">
        <v>27</v>
      </c>
      <c r="Y331" s="2" t="s">
        <v>27</v>
      </c>
      <c r="Z331" s="2" t="s">
        <v>27</v>
      </c>
      <c r="AA331" s="3">
        <v>45812</v>
      </c>
      <c r="AB331" s="3">
        <v>46085</v>
      </c>
      <c r="AC331" s="2" t="s">
        <v>358</v>
      </c>
    </row>
    <row r="332" spans="1:29" x14ac:dyDescent="0.35">
      <c r="A332" s="2">
        <v>1800009553</v>
      </c>
      <c r="B332" s="2" t="s">
        <v>63</v>
      </c>
      <c r="C332" s="3">
        <v>45812</v>
      </c>
      <c r="D332" s="3">
        <v>45817</v>
      </c>
      <c r="E332" s="2" t="s">
        <v>58</v>
      </c>
      <c r="F332" s="33">
        <v>256779414317</v>
      </c>
      <c r="G332" s="2" t="s">
        <v>28</v>
      </c>
      <c r="H332" s="2" t="s">
        <v>29</v>
      </c>
      <c r="I332" s="2" t="s">
        <v>27</v>
      </c>
      <c r="J332" s="2" t="s">
        <v>64</v>
      </c>
      <c r="K332" s="2" t="s">
        <v>38</v>
      </c>
      <c r="L332" s="4">
        <v>697.43</v>
      </c>
      <c r="M332" s="2" t="s">
        <v>31</v>
      </c>
      <c r="N332" s="4">
        <v>59623.83</v>
      </c>
      <c r="O332" s="2" t="s">
        <v>65</v>
      </c>
      <c r="P332" s="2" t="s">
        <v>32</v>
      </c>
      <c r="Q332" s="2" t="s">
        <v>27</v>
      </c>
      <c r="R332" s="2" t="s">
        <v>58</v>
      </c>
      <c r="S332" s="2" t="s">
        <v>33</v>
      </c>
      <c r="T332" s="2"/>
      <c r="U332" s="2"/>
      <c r="V332" s="2"/>
      <c r="W332" s="2" t="s">
        <v>363</v>
      </c>
      <c r="X332" s="2" t="s">
        <v>27</v>
      </c>
      <c r="Y332" s="2" t="s">
        <v>27</v>
      </c>
      <c r="Z332" s="2" t="s">
        <v>27</v>
      </c>
      <c r="AA332" s="3">
        <v>45812</v>
      </c>
      <c r="AB332" s="3">
        <v>46085</v>
      </c>
      <c r="AC332" s="2" t="s">
        <v>358</v>
      </c>
    </row>
    <row r="333" spans="1:29" x14ac:dyDescent="0.35">
      <c r="A333" s="2">
        <v>1800009592</v>
      </c>
      <c r="B333" s="2" t="s">
        <v>63</v>
      </c>
      <c r="C333" s="3">
        <v>45818</v>
      </c>
      <c r="D333" s="3">
        <v>45825</v>
      </c>
      <c r="E333" s="2" t="s">
        <v>58</v>
      </c>
      <c r="F333" s="33">
        <v>256779414356</v>
      </c>
      <c r="G333" s="2" t="s">
        <v>28</v>
      </c>
      <c r="H333" s="2" t="s">
        <v>29</v>
      </c>
      <c r="I333" s="2" t="s">
        <v>27</v>
      </c>
      <c r="J333" s="2" t="s">
        <v>64</v>
      </c>
      <c r="K333" s="2" t="s">
        <v>31</v>
      </c>
      <c r="L333" s="4">
        <v>100000</v>
      </c>
      <c r="M333" s="2" t="s">
        <v>31</v>
      </c>
      <c r="N333" s="4">
        <v>100000</v>
      </c>
      <c r="O333" s="2" t="s">
        <v>65</v>
      </c>
      <c r="P333" s="2" t="s">
        <v>32</v>
      </c>
      <c r="Q333" s="2" t="s">
        <v>27</v>
      </c>
      <c r="R333" s="2" t="s">
        <v>58</v>
      </c>
      <c r="S333" s="2" t="s">
        <v>33</v>
      </c>
      <c r="T333" s="2"/>
      <c r="U333" s="2"/>
      <c r="V333" s="2"/>
      <c r="W333" s="2" t="s">
        <v>364</v>
      </c>
      <c r="X333" s="2" t="s">
        <v>27</v>
      </c>
      <c r="Y333" s="2" t="s">
        <v>27</v>
      </c>
      <c r="Z333" s="2" t="s">
        <v>27</v>
      </c>
      <c r="AA333" s="3">
        <v>45818</v>
      </c>
      <c r="AB333" s="3">
        <v>46085</v>
      </c>
      <c r="AC333" s="2" t="s">
        <v>358</v>
      </c>
    </row>
    <row r="334" spans="1:29" x14ac:dyDescent="0.35">
      <c r="A334" s="2">
        <v>1800009593</v>
      </c>
      <c r="B334" s="2" t="s">
        <v>63</v>
      </c>
      <c r="C334" s="3">
        <v>45818</v>
      </c>
      <c r="D334" s="3">
        <v>45825</v>
      </c>
      <c r="E334" s="2" t="s">
        <v>58</v>
      </c>
      <c r="F334" s="33">
        <v>256779414357</v>
      </c>
      <c r="G334" s="2" t="s">
        <v>28</v>
      </c>
      <c r="H334" s="2" t="s">
        <v>29</v>
      </c>
      <c r="I334" s="2" t="s">
        <v>27</v>
      </c>
      <c r="J334" s="2" t="s">
        <v>64</v>
      </c>
      <c r="K334" s="2" t="s">
        <v>31</v>
      </c>
      <c r="L334" s="4">
        <v>35000</v>
      </c>
      <c r="M334" s="2" t="s">
        <v>31</v>
      </c>
      <c r="N334" s="4">
        <v>35000</v>
      </c>
      <c r="O334" s="2" t="s">
        <v>65</v>
      </c>
      <c r="P334" s="2" t="s">
        <v>32</v>
      </c>
      <c r="Q334" s="2" t="s">
        <v>27</v>
      </c>
      <c r="R334" s="2" t="s">
        <v>58</v>
      </c>
      <c r="S334" s="2" t="s">
        <v>33</v>
      </c>
      <c r="T334" s="2"/>
      <c r="U334" s="2"/>
      <c r="V334" s="2"/>
      <c r="W334" s="2" t="s">
        <v>364</v>
      </c>
      <c r="X334" s="2" t="s">
        <v>27</v>
      </c>
      <c r="Y334" s="2" t="s">
        <v>27</v>
      </c>
      <c r="Z334" s="2" t="s">
        <v>27</v>
      </c>
      <c r="AA334" s="3">
        <v>45818</v>
      </c>
      <c r="AB334" s="3">
        <v>46085</v>
      </c>
      <c r="AC334" s="2" t="s">
        <v>358</v>
      </c>
    </row>
    <row r="335" spans="1:29" x14ac:dyDescent="0.35">
      <c r="A335" s="2">
        <v>1800014408</v>
      </c>
      <c r="B335" s="2" t="s">
        <v>63</v>
      </c>
      <c r="C335" s="3">
        <v>45964</v>
      </c>
      <c r="D335" s="3">
        <v>45967</v>
      </c>
      <c r="E335" s="2" t="s">
        <v>58</v>
      </c>
      <c r="F335" s="33">
        <v>256779419130</v>
      </c>
      <c r="G335" s="2" t="s">
        <v>28</v>
      </c>
      <c r="H335" s="2" t="s">
        <v>29</v>
      </c>
      <c r="I335" s="2" t="s">
        <v>27</v>
      </c>
      <c r="J335" s="2" t="s">
        <v>64</v>
      </c>
      <c r="K335" s="2" t="s">
        <v>38</v>
      </c>
      <c r="L335" s="4">
        <v>52.71</v>
      </c>
      <c r="M335" s="2" t="s">
        <v>31</v>
      </c>
      <c r="N335" s="4">
        <v>4638.66</v>
      </c>
      <c r="O335" s="2" t="s">
        <v>65</v>
      </c>
      <c r="P335" s="2" t="s">
        <v>32</v>
      </c>
      <c r="Q335" s="2" t="s">
        <v>27</v>
      </c>
      <c r="R335" s="2" t="s">
        <v>365</v>
      </c>
      <c r="S335" s="2" t="s">
        <v>33</v>
      </c>
      <c r="T335" s="2"/>
      <c r="U335" s="2"/>
      <c r="V335" s="2"/>
      <c r="W335" s="2" t="s">
        <v>366</v>
      </c>
      <c r="X335" s="2" t="s">
        <v>27</v>
      </c>
      <c r="Y335" s="2" t="s">
        <v>27</v>
      </c>
      <c r="Z335" s="2" t="s">
        <v>27</v>
      </c>
      <c r="AA335" s="3">
        <v>45964</v>
      </c>
      <c r="AB335" s="3">
        <v>46085</v>
      </c>
      <c r="AC335" s="2" t="s">
        <v>358</v>
      </c>
    </row>
    <row r="336" spans="1:29" x14ac:dyDescent="0.35">
      <c r="A336" s="2">
        <v>1400002864</v>
      </c>
      <c r="B336" s="2" t="s">
        <v>37</v>
      </c>
      <c r="C336" s="3">
        <v>46086</v>
      </c>
      <c r="D336" s="3">
        <v>46086</v>
      </c>
      <c r="E336" s="2" t="s">
        <v>367</v>
      </c>
      <c r="F336" s="33">
        <v>2182690</v>
      </c>
      <c r="G336" s="2" t="s">
        <v>28</v>
      </c>
      <c r="H336" s="2" t="s">
        <v>29</v>
      </c>
      <c r="I336" s="2" t="s">
        <v>27</v>
      </c>
      <c r="J336" s="2" t="s">
        <v>35</v>
      </c>
      <c r="K336" s="2" t="s">
        <v>38</v>
      </c>
      <c r="L336" s="4">
        <v>-1121.49</v>
      </c>
      <c r="M336" s="2" t="s">
        <v>31</v>
      </c>
      <c r="N336" s="4">
        <v>-101603.45</v>
      </c>
      <c r="O336" s="2" t="s">
        <v>27</v>
      </c>
      <c r="P336" s="2" t="s">
        <v>42</v>
      </c>
      <c r="Q336" s="2" t="s">
        <v>27</v>
      </c>
      <c r="R336" s="2" t="s">
        <v>27</v>
      </c>
      <c r="S336" s="2" t="s">
        <v>36</v>
      </c>
      <c r="T336" s="2"/>
      <c r="U336" s="2"/>
      <c r="V336" s="2"/>
      <c r="W336" s="2" t="s">
        <v>27</v>
      </c>
      <c r="X336" s="2" t="s">
        <v>27</v>
      </c>
      <c r="Y336" s="2" t="s">
        <v>27</v>
      </c>
      <c r="Z336" s="2" t="s">
        <v>27</v>
      </c>
      <c r="AA336" s="3">
        <v>46086</v>
      </c>
      <c r="AB336" s="3"/>
      <c r="AC336" s="2" t="s">
        <v>27</v>
      </c>
    </row>
    <row r="337" spans="1:29" x14ac:dyDescent="0.35">
      <c r="A337" s="2">
        <v>1800018261</v>
      </c>
      <c r="B337" s="2" t="s">
        <v>63</v>
      </c>
      <c r="C337" s="3">
        <v>46091</v>
      </c>
      <c r="D337" s="3">
        <v>46092</v>
      </c>
      <c r="E337" s="2" t="s">
        <v>368</v>
      </c>
      <c r="F337" s="33">
        <v>256779440503</v>
      </c>
      <c r="G337" s="2" t="s">
        <v>28</v>
      </c>
      <c r="H337" s="2" t="s">
        <v>29</v>
      </c>
      <c r="I337" s="2" t="s">
        <v>27</v>
      </c>
      <c r="J337" s="2" t="s">
        <v>64</v>
      </c>
      <c r="K337" s="2" t="s">
        <v>38</v>
      </c>
      <c r="L337" s="4">
        <v>1103.75</v>
      </c>
      <c r="M337" s="2" t="s">
        <v>31</v>
      </c>
      <c r="N337" s="4">
        <v>99996.26</v>
      </c>
      <c r="O337" s="2" t="s">
        <v>65</v>
      </c>
      <c r="P337" s="2" t="s">
        <v>32</v>
      </c>
      <c r="Q337" s="2" t="s">
        <v>27</v>
      </c>
      <c r="R337" s="2" t="s">
        <v>58</v>
      </c>
      <c r="S337" s="2" t="s">
        <v>33</v>
      </c>
      <c r="T337" s="2"/>
      <c r="U337" s="2"/>
      <c r="V337" s="2"/>
      <c r="W337" s="2" t="s">
        <v>369</v>
      </c>
      <c r="X337" s="2" t="s">
        <v>27</v>
      </c>
      <c r="Y337" s="2" t="s">
        <v>27</v>
      </c>
      <c r="Z337" s="2" t="s">
        <v>27</v>
      </c>
      <c r="AA337" s="3">
        <v>46091</v>
      </c>
      <c r="AB337" s="3"/>
      <c r="AC337" s="2" t="s">
        <v>27</v>
      </c>
    </row>
    <row r="338" spans="1:29" x14ac:dyDescent="0.35">
      <c r="A338" s="2">
        <v>1800018262</v>
      </c>
      <c r="B338" s="2" t="s">
        <v>63</v>
      </c>
      <c r="C338" s="3">
        <v>46091</v>
      </c>
      <c r="D338" s="3">
        <v>46092</v>
      </c>
      <c r="E338" s="2" t="s">
        <v>368</v>
      </c>
      <c r="F338" s="33">
        <v>256779440504</v>
      </c>
      <c r="G338" s="2" t="s">
        <v>28</v>
      </c>
      <c r="H338" s="2" t="s">
        <v>29</v>
      </c>
      <c r="I338" s="2" t="s">
        <v>27</v>
      </c>
      <c r="J338" s="2" t="s">
        <v>64</v>
      </c>
      <c r="K338" s="2" t="s">
        <v>38</v>
      </c>
      <c r="L338" s="4">
        <v>386.31</v>
      </c>
      <c r="M338" s="2" t="s">
        <v>31</v>
      </c>
      <c r="N338" s="4">
        <v>34998.47</v>
      </c>
      <c r="O338" s="2" t="s">
        <v>65</v>
      </c>
      <c r="P338" s="2" t="s">
        <v>32</v>
      </c>
      <c r="Q338" s="2" t="s">
        <v>27</v>
      </c>
      <c r="R338" s="2" t="s">
        <v>58</v>
      </c>
      <c r="S338" s="2" t="s">
        <v>33</v>
      </c>
      <c r="T338" s="2"/>
      <c r="U338" s="2"/>
      <c r="V338" s="2"/>
      <c r="W338" s="2" t="s">
        <v>370</v>
      </c>
      <c r="X338" s="2" t="s">
        <v>27</v>
      </c>
      <c r="Y338" s="2" t="s">
        <v>27</v>
      </c>
      <c r="Z338" s="2" t="s">
        <v>27</v>
      </c>
      <c r="AA338" s="3">
        <v>46091</v>
      </c>
      <c r="AB338" s="3"/>
      <c r="AC338" s="2" t="s">
        <v>27</v>
      </c>
    </row>
    <row r="339" spans="1:29" x14ac:dyDescent="0.35">
      <c r="A339" s="2">
        <v>1800018324</v>
      </c>
      <c r="B339" s="2" t="s">
        <v>63</v>
      </c>
      <c r="C339" s="3">
        <v>46092</v>
      </c>
      <c r="D339" s="3">
        <v>46092</v>
      </c>
      <c r="E339" s="2" t="s">
        <v>371</v>
      </c>
      <c r="F339" s="33">
        <v>256779452075</v>
      </c>
      <c r="G339" s="2" t="s">
        <v>28</v>
      </c>
      <c r="H339" s="2" t="s">
        <v>29</v>
      </c>
      <c r="I339" s="2" t="s">
        <v>27</v>
      </c>
      <c r="J339" s="2" t="s">
        <v>64</v>
      </c>
      <c r="K339" s="2" t="s">
        <v>38</v>
      </c>
      <c r="L339" s="4">
        <v>1827.73</v>
      </c>
      <c r="M339" s="2" t="s">
        <v>31</v>
      </c>
      <c r="N339" s="4">
        <v>165586.56</v>
      </c>
      <c r="O339" s="2" t="s">
        <v>65</v>
      </c>
      <c r="P339" s="2" t="s">
        <v>335</v>
      </c>
      <c r="Q339" s="2" t="s">
        <v>27</v>
      </c>
      <c r="R339" s="2" t="s">
        <v>58</v>
      </c>
      <c r="S339" s="2" t="s">
        <v>33</v>
      </c>
      <c r="T339" s="2"/>
      <c r="U339" s="2"/>
      <c r="V339" s="2"/>
      <c r="W339" s="2" t="s">
        <v>372</v>
      </c>
      <c r="X339" s="2" t="s">
        <v>27</v>
      </c>
      <c r="Y339" s="2" t="s">
        <v>27</v>
      </c>
      <c r="Z339" s="2" t="s">
        <v>27</v>
      </c>
      <c r="AA339" s="3">
        <v>46092</v>
      </c>
      <c r="AB339" s="3"/>
      <c r="AC339" s="2" t="s">
        <v>27</v>
      </c>
    </row>
    <row r="340" spans="1:29" x14ac:dyDescent="0.35">
      <c r="A340" s="2">
        <v>1800018456</v>
      </c>
      <c r="B340" s="2" t="s">
        <v>63</v>
      </c>
      <c r="C340" s="3">
        <v>46092</v>
      </c>
      <c r="D340" s="3">
        <v>46094</v>
      </c>
      <c r="E340" s="2" t="s">
        <v>373</v>
      </c>
      <c r="F340" s="33">
        <v>256779452131</v>
      </c>
      <c r="G340" s="2" t="s">
        <v>28</v>
      </c>
      <c r="H340" s="2" t="s">
        <v>29</v>
      </c>
      <c r="I340" s="2" t="s">
        <v>27</v>
      </c>
      <c r="J340" s="2" t="s">
        <v>64</v>
      </c>
      <c r="K340" s="2" t="s">
        <v>38</v>
      </c>
      <c r="L340" s="4">
        <v>286.16000000000003</v>
      </c>
      <c r="M340" s="2" t="s">
        <v>31</v>
      </c>
      <c r="N340" s="4">
        <v>25925.19</v>
      </c>
      <c r="O340" s="2" t="s">
        <v>65</v>
      </c>
      <c r="P340" s="2" t="s">
        <v>335</v>
      </c>
      <c r="Q340" s="2" t="s">
        <v>27</v>
      </c>
      <c r="R340" s="2" t="s">
        <v>58</v>
      </c>
      <c r="S340" s="2" t="s">
        <v>33</v>
      </c>
      <c r="T340" s="2"/>
      <c r="U340" s="2"/>
      <c r="V340" s="2"/>
      <c r="W340" s="2" t="s">
        <v>374</v>
      </c>
      <c r="X340" s="2" t="s">
        <v>27</v>
      </c>
      <c r="Y340" s="2" t="s">
        <v>27</v>
      </c>
      <c r="Z340" s="2" t="s">
        <v>27</v>
      </c>
      <c r="AA340" s="3">
        <v>46092</v>
      </c>
      <c r="AB340" s="3"/>
      <c r="AC340" s="2" t="s">
        <v>27</v>
      </c>
    </row>
    <row r="341" spans="1:29" x14ac:dyDescent="0.35">
      <c r="A341" s="2">
        <v>1800018594</v>
      </c>
      <c r="B341" s="2" t="s">
        <v>63</v>
      </c>
      <c r="C341" s="3">
        <v>46093</v>
      </c>
      <c r="D341" s="3">
        <v>46094</v>
      </c>
      <c r="E341" s="2" t="s">
        <v>375</v>
      </c>
      <c r="F341" s="33">
        <v>256779452345</v>
      </c>
      <c r="G341" s="2" t="s">
        <v>28</v>
      </c>
      <c r="H341" s="2" t="s">
        <v>29</v>
      </c>
      <c r="I341" s="2" t="s">
        <v>27</v>
      </c>
      <c r="J341" s="2" t="s">
        <v>64</v>
      </c>
      <c r="K341" s="2" t="s">
        <v>38</v>
      </c>
      <c r="L341" s="4">
        <v>742.86</v>
      </c>
      <c r="M341" s="2" t="s">
        <v>31</v>
      </c>
      <c r="N341" s="4">
        <v>67300.77</v>
      </c>
      <c r="O341" s="2" t="s">
        <v>65</v>
      </c>
      <c r="P341" s="2" t="s">
        <v>335</v>
      </c>
      <c r="Q341" s="2" t="s">
        <v>27</v>
      </c>
      <c r="R341" s="2" t="s">
        <v>58</v>
      </c>
      <c r="S341" s="2" t="s">
        <v>33</v>
      </c>
      <c r="T341" s="2"/>
      <c r="U341" s="2"/>
      <c r="V341" s="2"/>
      <c r="W341" s="2" t="s">
        <v>376</v>
      </c>
      <c r="X341" s="2" t="s">
        <v>27</v>
      </c>
      <c r="Y341" s="2" t="s">
        <v>27</v>
      </c>
      <c r="Z341" s="2" t="s">
        <v>27</v>
      </c>
      <c r="AA341" s="3">
        <v>46093</v>
      </c>
      <c r="AB341" s="3"/>
      <c r="AC341" s="2" t="s">
        <v>27</v>
      </c>
    </row>
    <row r="342" spans="1:29" x14ac:dyDescent="0.35">
      <c r="A342" s="2">
        <v>1800018601</v>
      </c>
      <c r="B342" s="2" t="s">
        <v>63</v>
      </c>
      <c r="C342" s="3">
        <v>46093</v>
      </c>
      <c r="D342" s="3">
        <v>46094</v>
      </c>
      <c r="E342" s="2" t="s">
        <v>377</v>
      </c>
      <c r="F342" s="33">
        <v>256779452352</v>
      </c>
      <c r="G342" s="2" t="s">
        <v>28</v>
      </c>
      <c r="H342" s="2" t="s">
        <v>29</v>
      </c>
      <c r="I342" s="2" t="s">
        <v>27</v>
      </c>
      <c r="J342" s="2" t="s">
        <v>64</v>
      </c>
      <c r="K342" s="2" t="s">
        <v>38</v>
      </c>
      <c r="L342" s="4">
        <v>180</v>
      </c>
      <c r="M342" s="2" t="s">
        <v>31</v>
      </c>
      <c r="N342" s="4">
        <v>16307.43</v>
      </c>
      <c r="O342" s="2" t="s">
        <v>65</v>
      </c>
      <c r="P342" s="2" t="s">
        <v>335</v>
      </c>
      <c r="Q342" s="2" t="s">
        <v>27</v>
      </c>
      <c r="R342" s="2" t="s">
        <v>58</v>
      </c>
      <c r="S342" s="2" t="s">
        <v>33</v>
      </c>
      <c r="T342" s="2"/>
      <c r="U342" s="2"/>
      <c r="V342" s="2"/>
      <c r="W342" s="2" t="s">
        <v>378</v>
      </c>
      <c r="X342" s="2" t="s">
        <v>27</v>
      </c>
      <c r="Y342" s="2" t="s">
        <v>27</v>
      </c>
      <c r="Z342" s="2" t="s">
        <v>27</v>
      </c>
      <c r="AA342" s="3">
        <v>46093</v>
      </c>
      <c r="AB342" s="3"/>
      <c r="AC342" s="2" t="s">
        <v>27</v>
      </c>
    </row>
    <row r="343" spans="1:29" x14ac:dyDescent="0.35">
      <c r="A343" s="2">
        <v>1800018629</v>
      </c>
      <c r="B343" s="2" t="s">
        <v>63</v>
      </c>
      <c r="C343" s="3">
        <v>46093</v>
      </c>
      <c r="D343" s="3">
        <v>46094</v>
      </c>
      <c r="E343" s="2" t="s">
        <v>379</v>
      </c>
      <c r="F343" s="33">
        <v>256779452380</v>
      </c>
      <c r="G343" s="2" t="s">
        <v>28</v>
      </c>
      <c r="H343" s="2" t="s">
        <v>29</v>
      </c>
      <c r="I343" s="2" t="s">
        <v>27</v>
      </c>
      <c r="J343" s="2" t="s">
        <v>64</v>
      </c>
      <c r="K343" s="2" t="s">
        <v>38</v>
      </c>
      <c r="L343" s="4">
        <v>258.10000000000002</v>
      </c>
      <c r="M343" s="2" t="s">
        <v>31</v>
      </c>
      <c r="N343" s="4">
        <v>23383.040000000001</v>
      </c>
      <c r="O343" s="2" t="s">
        <v>65</v>
      </c>
      <c r="P343" s="2" t="s">
        <v>335</v>
      </c>
      <c r="Q343" s="2" t="s">
        <v>27</v>
      </c>
      <c r="R343" s="2" t="s">
        <v>58</v>
      </c>
      <c r="S343" s="2" t="s">
        <v>33</v>
      </c>
      <c r="T343" s="2"/>
      <c r="U343" s="2"/>
      <c r="V343" s="2"/>
      <c r="W343" s="2" t="s">
        <v>380</v>
      </c>
      <c r="X343" s="2" t="s">
        <v>27</v>
      </c>
      <c r="Y343" s="2" t="s">
        <v>27</v>
      </c>
      <c r="Z343" s="2" t="s">
        <v>27</v>
      </c>
      <c r="AA343" s="3">
        <v>46093</v>
      </c>
      <c r="AB343" s="3"/>
      <c r="AC343" s="2" t="s">
        <v>27</v>
      </c>
    </row>
    <row r="344" spans="1:29" x14ac:dyDescent="0.35">
      <c r="A344" s="2">
        <v>1800018710</v>
      </c>
      <c r="B344" s="2" t="s">
        <v>63</v>
      </c>
      <c r="C344" s="3">
        <v>46093</v>
      </c>
      <c r="D344" s="3">
        <v>46094</v>
      </c>
      <c r="E344" s="2" t="s">
        <v>381</v>
      </c>
      <c r="F344" s="33">
        <v>256779452434</v>
      </c>
      <c r="G344" s="2" t="s">
        <v>28</v>
      </c>
      <c r="H344" s="2" t="s">
        <v>29</v>
      </c>
      <c r="I344" s="2" t="s">
        <v>27</v>
      </c>
      <c r="J344" s="2" t="s">
        <v>64</v>
      </c>
      <c r="K344" s="2" t="s">
        <v>38</v>
      </c>
      <c r="L344" s="4">
        <v>373.68</v>
      </c>
      <c r="M344" s="2" t="s">
        <v>31</v>
      </c>
      <c r="N344" s="4">
        <v>33854.230000000003</v>
      </c>
      <c r="O344" s="2" t="s">
        <v>65</v>
      </c>
      <c r="P344" s="2" t="s">
        <v>335</v>
      </c>
      <c r="Q344" s="2" t="s">
        <v>27</v>
      </c>
      <c r="R344" s="2" t="s">
        <v>58</v>
      </c>
      <c r="S344" s="2" t="s">
        <v>33</v>
      </c>
      <c r="T344" s="2"/>
      <c r="U344" s="2"/>
      <c r="V344" s="2"/>
      <c r="W344" s="2" t="s">
        <v>382</v>
      </c>
      <c r="X344" s="2" t="s">
        <v>27</v>
      </c>
      <c r="Y344" s="2" t="s">
        <v>27</v>
      </c>
      <c r="Z344" s="2" t="s">
        <v>27</v>
      </c>
      <c r="AA344" s="3">
        <v>46093</v>
      </c>
      <c r="AB344" s="3"/>
      <c r="AC344" s="2" t="s">
        <v>27</v>
      </c>
    </row>
    <row r="345" spans="1:29" x14ac:dyDescent="0.35">
      <c r="A345" s="2">
        <v>1800018765</v>
      </c>
      <c r="B345" s="2" t="s">
        <v>63</v>
      </c>
      <c r="C345" s="3">
        <v>46093</v>
      </c>
      <c r="D345" s="3">
        <v>46094</v>
      </c>
      <c r="E345" s="2" t="s">
        <v>383</v>
      </c>
      <c r="F345" s="33">
        <v>256779452463</v>
      </c>
      <c r="G345" s="2" t="s">
        <v>28</v>
      </c>
      <c r="H345" s="2" t="s">
        <v>29</v>
      </c>
      <c r="I345" s="2" t="s">
        <v>27</v>
      </c>
      <c r="J345" s="2" t="s">
        <v>64</v>
      </c>
      <c r="K345" s="2" t="s">
        <v>38</v>
      </c>
      <c r="L345" s="4">
        <v>180</v>
      </c>
      <c r="M345" s="2" t="s">
        <v>31</v>
      </c>
      <c r="N345" s="4">
        <v>16307.43</v>
      </c>
      <c r="O345" s="2" t="s">
        <v>65</v>
      </c>
      <c r="P345" s="2" t="s">
        <v>335</v>
      </c>
      <c r="Q345" s="2" t="s">
        <v>27</v>
      </c>
      <c r="R345" s="2" t="s">
        <v>58</v>
      </c>
      <c r="S345" s="2" t="s">
        <v>33</v>
      </c>
      <c r="T345" s="2"/>
      <c r="U345" s="2"/>
      <c r="V345" s="2"/>
      <c r="W345" s="2" t="s">
        <v>378</v>
      </c>
      <c r="X345" s="2" t="s">
        <v>27</v>
      </c>
      <c r="Y345" s="2" t="s">
        <v>27</v>
      </c>
      <c r="Z345" s="2" t="s">
        <v>27</v>
      </c>
      <c r="AA345" s="3">
        <v>46093</v>
      </c>
      <c r="AB345" s="3"/>
      <c r="AC345" s="2" t="s">
        <v>27</v>
      </c>
    </row>
    <row r="346" spans="1:29" x14ac:dyDescent="0.35">
      <c r="A346" s="2">
        <v>1800018748</v>
      </c>
      <c r="B346" s="2" t="s">
        <v>63</v>
      </c>
      <c r="C346" s="3">
        <v>46093</v>
      </c>
      <c r="D346" s="3">
        <v>46094</v>
      </c>
      <c r="E346" s="2" t="s">
        <v>384</v>
      </c>
      <c r="F346" s="33">
        <v>256779452498</v>
      </c>
      <c r="G346" s="2" t="s">
        <v>28</v>
      </c>
      <c r="H346" s="2" t="s">
        <v>29</v>
      </c>
      <c r="I346" s="2" t="s">
        <v>27</v>
      </c>
      <c r="J346" s="2" t="s">
        <v>64</v>
      </c>
      <c r="K346" s="2" t="s">
        <v>38</v>
      </c>
      <c r="L346" s="4">
        <v>169.56</v>
      </c>
      <c r="M346" s="2" t="s">
        <v>31</v>
      </c>
      <c r="N346" s="4">
        <v>15361.6</v>
      </c>
      <c r="O346" s="2" t="s">
        <v>65</v>
      </c>
      <c r="P346" s="2" t="s">
        <v>335</v>
      </c>
      <c r="Q346" s="2" t="s">
        <v>27</v>
      </c>
      <c r="R346" s="2" t="s">
        <v>58</v>
      </c>
      <c r="S346" s="2" t="s">
        <v>33</v>
      </c>
      <c r="T346" s="2"/>
      <c r="U346" s="2"/>
      <c r="V346" s="2"/>
      <c r="W346" s="2" t="s">
        <v>385</v>
      </c>
      <c r="X346" s="2" t="s">
        <v>27</v>
      </c>
      <c r="Y346" s="2" t="s">
        <v>27</v>
      </c>
      <c r="Z346" s="2" t="s">
        <v>27</v>
      </c>
      <c r="AA346" s="3">
        <v>46093</v>
      </c>
      <c r="AB346" s="3"/>
      <c r="AC346" s="2" t="s">
        <v>27</v>
      </c>
    </row>
    <row r="347" spans="1:29" x14ac:dyDescent="0.35">
      <c r="A347" s="2">
        <v>1600002946</v>
      </c>
      <c r="B347" s="2" t="s">
        <v>76</v>
      </c>
      <c r="C347" s="3">
        <v>46097</v>
      </c>
      <c r="D347" s="3">
        <v>46097</v>
      </c>
      <c r="E347" s="2" t="s">
        <v>386</v>
      </c>
      <c r="F347" s="33">
        <v>256779422416</v>
      </c>
      <c r="G347" s="2" t="s">
        <v>28</v>
      </c>
      <c r="H347" s="2" t="s">
        <v>29</v>
      </c>
      <c r="I347" s="2" t="s">
        <v>27</v>
      </c>
      <c r="J347" s="2" t="s">
        <v>77</v>
      </c>
      <c r="K347" s="2" t="s">
        <v>38</v>
      </c>
      <c r="L347" s="4">
        <v>-180</v>
      </c>
      <c r="M347" s="2" t="s">
        <v>31</v>
      </c>
      <c r="N347" s="4">
        <v>-16307.43</v>
      </c>
      <c r="O347" s="2" t="s">
        <v>65</v>
      </c>
      <c r="P347" s="2" t="s">
        <v>335</v>
      </c>
      <c r="Q347" s="2" t="s">
        <v>27</v>
      </c>
      <c r="R347" s="2" t="s">
        <v>58</v>
      </c>
      <c r="S347" s="2" t="s">
        <v>33</v>
      </c>
      <c r="T347" s="2"/>
      <c r="U347" s="2"/>
      <c r="V347" s="2"/>
      <c r="W347" s="2" t="s">
        <v>387</v>
      </c>
      <c r="X347" s="2" t="s">
        <v>27</v>
      </c>
      <c r="Y347" s="2" t="s">
        <v>27</v>
      </c>
      <c r="Z347" s="2" t="s">
        <v>27</v>
      </c>
      <c r="AA347" s="3">
        <v>46097</v>
      </c>
      <c r="AB347" s="3"/>
      <c r="AC347" s="2" t="s">
        <v>27</v>
      </c>
    </row>
    <row r="348" spans="1:29" x14ac:dyDescent="0.35">
      <c r="A348" s="2">
        <v>1800018846</v>
      </c>
      <c r="B348" s="2" t="s">
        <v>63</v>
      </c>
      <c r="C348" s="3">
        <v>46105</v>
      </c>
      <c r="D348" s="3">
        <v>46105</v>
      </c>
      <c r="E348" s="2" t="s">
        <v>388</v>
      </c>
      <c r="F348" s="33">
        <v>256779452591</v>
      </c>
      <c r="G348" s="2" t="s">
        <v>28</v>
      </c>
      <c r="H348" s="2" t="s">
        <v>29</v>
      </c>
      <c r="I348" s="2" t="s">
        <v>27</v>
      </c>
      <c r="J348" s="2" t="s">
        <v>64</v>
      </c>
      <c r="K348" s="2" t="s">
        <v>38</v>
      </c>
      <c r="L348" s="4">
        <v>135</v>
      </c>
      <c r="M348" s="2" t="s">
        <v>31</v>
      </c>
      <c r="N348" s="4">
        <v>12230.57</v>
      </c>
      <c r="O348" s="2" t="s">
        <v>65</v>
      </c>
      <c r="P348" s="2" t="s">
        <v>335</v>
      </c>
      <c r="Q348" s="2" t="s">
        <v>27</v>
      </c>
      <c r="R348" s="2" t="s">
        <v>58</v>
      </c>
      <c r="S348" s="2" t="s">
        <v>33</v>
      </c>
      <c r="T348" s="2"/>
      <c r="U348" s="2"/>
      <c r="V348" s="2"/>
      <c r="W348" s="2" t="s">
        <v>389</v>
      </c>
      <c r="X348" s="2" t="s">
        <v>27</v>
      </c>
      <c r="Y348" s="2" t="s">
        <v>27</v>
      </c>
      <c r="Z348" s="2" t="s">
        <v>27</v>
      </c>
      <c r="AA348" s="3">
        <v>46105</v>
      </c>
      <c r="AB348" s="3"/>
      <c r="AC348" s="2" t="s">
        <v>27</v>
      </c>
    </row>
    <row r="349" spans="1:29" x14ac:dyDescent="0.35">
      <c r="A349" s="2">
        <v>1800019013</v>
      </c>
      <c r="B349" s="2" t="s">
        <v>63</v>
      </c>
      <c r="C349" s="3">
        <v>46105</v>
      </c>
      <c r="D349" s="3">
        <v>46105</v>
      </c>
      <c r="E349" s="2" t="s">
        <v>390</v>
      </c>
      <c r="F349" s="33">
        <v>256779452758</v>
      </c>
      <c r="G349" s="2" t="s">
        <v>28</v>
      </c>
      <c r="H349" s="2" t="s">
        <v>29</v>
      </c>
      <c r="I349" s="2" t="s">
        <v>27</v>
      </c>
      <c r="J349" s="2" t="s">
        <v>64</v>
      </c>
      <c r="K349" s="2" t="s">
        <v>38</v>
      </c>
      <c r="L349" s="4">
        <v>732.03</v>
      </c>
      <c r="M349" s="2" t="s">
        <v>31</v>
      </c>
      <c r="N349" s="4">
        <v>66319.600000000006</v>
      </c>
      <c r="O349" s="2" t="s">
        <v>65</v>
      </c>
      <c r="P349" s="2" t="s">
        <v>335</v>
      </c>
      <c r="Q349" s="2" t="s">
        <v>27</v>
      </c>
      <c r="R349" s="2" t="s">
        <v>390</v>
      </c>
      <c r="S349" s="2" t="s">
        <v>33</v>
      </c>
      <c r="T349" s="2"/>
      <c r="U349" s="2"/>
      <c r="V349" s="2"/>
      <c r="W349" s="2" t="s">
        <v>391</v>
      </c>
      <c r="X349" s="2" t="s">
        <v>27</v>
      </c>
      <c r="Y349" s="2" t="s">
        <v>27</v>
      </c>
      <c r="Z349" s="2" t="s">
        <v>27</v>
      </c>
      <c r="AA349" s="3">
        <v>46105</v>
      </c>
      <c r="AB349" s="3"/>
      <c r="AC349" s="2" t="s">
        <v>27</v>
      </c>
    </row>
    <row r="350" spans="1:29" x14ac:dyDescent="0.35">
      <c r="A350" s="2">
        <v>1400002974</v>
      </c>
      <c r="B350" s="2" t="s">
        <v>37</v>
      </c>
      <c r="C350" s="3">
        <v>46106</v>
      </c>
      <c r="D350" s="3">
        <v>46106</v>
      </c>
      <c r="E350" s="2" t="s">
        <v>392</v>
      </c>
      <c r="F350" s="33">
        <v>2190932</v>
      </c>
      <c r="G350" s="2" t="s">
        <v>28</v>
      </c>
      <c r="H350" s="2" t="s">
        <v>29</v>
      </c>
      <c r="I350" s="2" t="s">
        <v>27</v>
      </c>
      <c r="J350" s="2" t="s">
        <v>35</v>
      </c>
      <c r="K350" s="2" t="s">
        <v>38</v>
      </c>
      <c r="L350" s="4">
        <v>-4245.3900000000003</v>
      </c>
      <c r="M350" s="2" t="s">
        <v>31</v>
      </c>
      <c r="N350" s="4">
        <v>-384618.92</v>
      </c>
      <c r="O350" s="2" t="s">
        <v>27</v>
      </c>
      <c r="P350" s="2" t="s">
        <v>42</v>
      </c>
      <c r="Q350" s="2" t="s">
        <v>27</v>
      </c>
      <c r="R350" s="2" t="s">
        <v>27</v>
      </c>
      <c r="S350" s="2" t="s">
        <v>36</v>
      </c>
      <c r="T350" s="2"/>
      <c r="U350" s="2"/>
      <c r="V350" s="2"/>
      <c r="W350" s="2" t="s">
        <v>27</v>
      </c>
      <c r="X350" s="2" t="s">
        <v>27</v>
      </c>
      <c r="Y350" s="2" t="s">
        <v>27</v>
      </c>
      <c r="Z350" s="2" t="s">
        <v>27</v>
      </c>
      <c r="AA350" s="3">
        <v>46106</v>
      </c>
      <c r="AB350" s="3"/>
      <c r="AC350" s="2" t="s">
        <v>27</v>
      </c>
    </row>
    <row r="351" spans="1:29" x14ac:dyDescent="0.35">
      <c r="A351" s="2">
        <v>1800019038</v>
      </c>
      <c r="B351" s="2" t="s">
        <v>63</v>
      </c>
      <c r="C351" s="3">
        <v>46104</v>
      </c>
      <c r="D351" s="3">
        <v>46106</v>
      </c>
      <c r="E351" s="2" t="s">
        <v>58</v>
      </c>
      <c r="F351" s="33">
        <v>256779452783</v>
      </c>
      <c r="G351" s="2" t="s">
        <v>28</v>
      </c>
      <c r="H351" s="2" t="s">
        <v>29</v>
      </c>
      <c r="I351" s="2" t="s">
        <v>27</v>
      </c>
      <c r="J351" s="2" t="s">
        <v>64</v>
      </c>
      <c r="K351" s="2" t="s">
        <v>38</v>
      </c>
      <c r="L351" s="4">
        <v>1185.48</v>
      </c>
      <c r="M351" s="2" t="s">
        <v>31</v>
      </c>
      <c r="N351" s="4">
        <v>107400.74</v>
      </c>
      <c r="O351" s="2" t="s">
        <v>65</v>
      </c>
      <c r="P351" s="2" t="s">
        <v>335</v>
      </c>
      <c r="Q351" s="2" t="s">
        <v>27</v>
      </c>
      <c r="R351" s="2" t="s">
        <v>58</v>
      </c>
      <c r="S351" s="2" t="s">
        <v>33</v>
      </c>
      <c r="T351" s="2"/>
      <c r="U351" s="2"/>
      <c r="V351" s="2"/>
      <c r="W351" s="2" t="s">
        <v>393</v>
      </c>
      <c r="X351" s="2" t="s">
        <v>27</v>
      </c>
      <c r="Y351" s="2" t="s">
        <v>27</v>
      </c>
      <c r="Z351" s="2" t="s">
        <v>27</v>
      </c>
      <c r="AA351" s="3">
        <v>46104</v>
      </c>
      <c r="AB351" s="3"/>
      <c r="AC351" s="2" t="s">
        <v>27</v>
      </c>
    </row>
    <row r="352" spans="1:29" x14ac:dyDescent="0.35">
      <c r="A352" s="2">
        <v>1800019070</v>
      </c>
      <c r="B352" s="2" t="s">
        <v>63</v>
      </c>
      <c r="C352" s="3">
        <v>46104</v>
      </c>
      <c r="D352" s="3">
        <v>46106</v>
      </c>
      <c r="E352" s="2" t="s">
        <v>58</v>
      </c>
      <c r="F352" s="33">
        <v>256779452815</v>
      </c>
      <c r="G352" s="2" t="s">
        <v>28</v>
      </c>
      <c r="H352" s="2" t="s">
        <v>29</v>
      </c>
      <c r="I352" s="2" t="s">
        <v>27</v>
      </c>
      <c r="J352" s="2" t="s">
        <v>64</v>
      </c>
      <c r="K352" s="2" t="s">
        <v>38</v>
      </c>
      <c r="L352" s="4">
        <v>1481.39</v>
      </c>
      <c r="M352" s="2" t="s">
        <v>31</v>
      </c>
      <c r="N352" s="4">
        <v>134209.25</v>
      </c>
      <c r="O352" s="2" t="s">
        <v>65</v>
      </c>
      <c r="P352" s="2" t="s">
        <v>335</v>
      </c>
      <c r="Q352" s="2" t="s">
        <v>27</v>
      </c>
      <c r="R352" s="2" t="s">
        <v>58</v>
      </c>
      <c r="S352" s="2" t="s">
        <v>33</v>
      </c>
      <c r="T352" s="2"/>
      <c r="U352" s="2"/>
      <c r="V352" s="2"/>
      <c r="W352" s="2" t="s">
        <v>394</v>
      </c>
      <c r="X352" s="2" t="s">
        <v>27</v>
      </c>
      <c r="Y352" s="2" t="s">
        <v>27</v>
      </c>
      <c r="Z352" s="2" t="s">
        <v>27</v>
      </c>
      <c r="AA352" s="3">
        <v>46104</v>
      </c>
      <c r="AB352" s="3"/>
      <c r="AC352" s="2" t="s">
        <v>27</v>
      </c>
    </row>
    <row r="353" spans="1:29" x14ac:dyDescent="0.35">
      <c r="A353" s="2">
        <v>1800019076</v>
      </c>
      <c r="B353" s="2" t="s">
        <v>63</v>
      </c>
      <c r="C353" s="3">
        <v>46104</v>
      </c>
      <c r="D353" s="3">
        <v>46106</v>
      </c>
      <c r="E353" s="2" t="s">
        <v>58</v>
      </c>
      <c r="F353" s="33">
        <v>256779452821</v>
      </c>
      <c r="G353" s="2" t="s">
        <v>28</v>
      </c>
      <c r="H353" s="2" t="s">
        <v>29</v>
      </c>
      <c r="I353" s="2" t="s">
        <v>27</v>
      </c>
      <c r="J353" s="2" t="s">
        <v>64</v>
      </c>
      <c r="K353" s="2" t="s">
        <v>38</v>
      </c>
      <c r="L353" s="4">
        <v>1531.39</v>
      </c>
      <c r="M353" s="2" t="s">
        <v>31</v>
      </c>
      <c r="N353" s="4">
        <v>138739.09</v>
      </c>
      <c r="O353" s="2" t="s">
        <v>65</v>
      </c>
      <c r="P353" s="2" t="s">
        <v>335</v>
      </c>
      <c r="Q353" s="2" t="s">
        <v>27</v>
      </c>
      <c r="R353" s="2" t="s">
        <v>58</v>
      </c>
      <c r="S353" s="2" t="s">
        <v>33</v>
      </c>
      <c r="T353" s="2"/>
      <c r="U353" s="2"/>
      <c r="V353" s="2"/>
      <c r="W353" s="2" t="s">
        <v>394</v>
      </c>
      <c r="X353" s="2" t="s">
        <v>27</v>
      </c>
      <c r="Y353" s="2" t="s">
        <v>27</v>
      </c>
      <c r="Z353" s="2" t="s">
        <v>27</v>
      </c>
      <c r="AA353" s="3">
        <v>46104</v>
      </c>
      <c r="AB353" s="3"/>
      <c r="AC353" s="2" t="s">
        <v>27</v>
      </c>
    </row>
    <row r="354" spans="1:29" x14ac:dyDescent="0.35">
      <c r="A354" s="2">
        <v>1800019108</v>
      </c>
      <c r="B354" s="2" t="s">
        <v>63</v>
      </c>
      <c r="C354" s="3">
        <v>46104</v>
      </c>
      <c r="D354" s="3">
        <v>46106</v>
      </c>
      <c r="E354" s="2" t="s">
        <v>58</v>
      </c>
      <c r="F354" s="33">
        <v>256779452853</v>
      </c>
      <c r="G354" s="2" t="s">
        <v>28</v>
      </c>
      <c r="H354" s="2" t="s">
        <v>29</v>
      </c>
      <c r="I354" s="2" t="s">
        <v>27</v>
      </c>
      <c r="J354" s="2" t="s">
        <v>64</v>
      </c>
      <c r="K354" s="2" t="s">
        <v>38</v>
      </c>
      <c r="L354" s="4">
        <v>235.06</v>
      </c>
      <c r="M354" s="2" t="s">
        <v>31</v>
      </c>
      <c r="N354" s="4">
        <v>21295.69</v>
      </c>
      <c r="O354" s="2" t="s">
        <v>65</v>
      </c>
      <c r="P354" s="2" t="s">
        <v>335</v>
      </c>
      <c r="Q354" s="2" t="s">
        <v>27</v>
      </c>
      <c r="R354" s="2" t="s">
        <v>58</v>
      </c>
      <c r="S354" s="2" t="s">
        <v>33</v>
      </c>
      <c r="T354" s="2"/>
      <c r="U354" s="2"/>
      <c r="V354" s="2"/>
      <c r="W354" s="2" t="s">
        <v>395</v>
      </c>
      <c r="X354" s="2" t="s">
        <v>27</v>
      </c>
      <c r="Y354" s="2" t="s">
        <v>27</v>
      </c>
      <c r="Z354" s="2" t="s">
        <v>27</v>
      </c>
      <c r="AA354" s="3">
        <v>46104</v>
      </c>
      <c r="AB354" s="3"/>
      <c r="AC354" s="2" t="s">
        <v>27</v>
      </c>
    </row>
    <row r="355" spans="1:29" x14ac:dyDescent="0.35">
      <c r="A355" s="2">
        <v>1600002969</v>
      </c>
      <c r="B355" s="2" t="s">
        <v>76</v>
      </c>
      <c r="C355" s="3">
        <v>46107</v>
      </c>
      <c r="D355" s="3">
        <v>46107</v>
      </c>
      <c r="E355" s="2" t="s">
        <v>396</v>
      </c>
      <c r="F355" s="33">
        <v>256779422439</v>
      </c>
      <c r="G355" s="2" t="s">
        <v>28</v>
      </c>
      <c r="H355" s="2" t="s">
        <v>29</v>
      </c>
      <c r="I355" s="2" t="s">
        <v>27</v>
      </c>
      <c r="J355" s="2" t="s">
        <v>77</v>
      </c>
      <c r="K355" s="2" t="s">
        <v>38</v>
      </c>
      <c r="L355" s="4">
        <v>-1481.39</v>
      </c>
      <c r="M355" s="2" t="s">
        <v>31</v>
      </c>
      <c r="N355" s="4">
        <v>-134209.25</v>
      </c>
      <c r="O355" s="2" t="s">
        <v>65</v>
      </c>
      <c r="P355" s="2" t="s">
        <v>335</v>
      </c>
      <c r="Q355" s="2" t="s">
        <v>27</v>
      </c>
      <c r="R355" s="2" t="s">
        <v>58</v>
      </c>
      <c r="S355" s="2" t="s">
        <v>33</v>
      </c>
      <c r="T355" s="2"/>
      <c r="U355" s="2"/>
      <c r="V355" s="2"/>
      <c r="W355" s="2" t="s">
        <v>397</v>
      </c>
      <c r="X355" s="2" t="s">
        <v>27</v>
      </c>
      <c r="Y355" s="2" t="s">
        <v>27</v>
      </c>
      <c r="Z355" s="2" t="s">
        <v>27</v>
      </c>
      <c r="AA355" s="3">
        <v>46107</v>
      </c>
      <c r="AB355" s="3"/>
      <c r="AC355" s="2" t="s">
        <v>27</v>
      </c>
    </row>
    <row r="356" spans="1:29" x14ac:dyDescent="0.35">
      <c r="A356" s="5"/>
      <c r="B356" s="5"/>
      <c r="C356" s="6"/>
      <c r="D356" s="6"/>
      <c r="E356" s="5"/>
      <c r="F356" s="34"/>
      <c r="G356" s="5"/>
      <c r="H356" s="5"/>
      <c r="I356" s="5"/>
      <c r="J356" s="5"/>
      <c r="K356" s="5"/>
      <c r="L356" s="7"/>
      <c r="M356" s="5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6"/>
      <c r="AB356" s="6"/>
      <c r="AC356" s="5"/>
    </row>
    <row r="357" spans="1:29" x14ac:dyDescent="0.35">
      <c r="A357" s="8" t="s">
        <v>27</v>
      </c>
      <c r="B357" s="8" t="s">
        <v>27</v>
      </c>
      <c r="C357" s="9"/>
      <c r="D357" s="9"/>
      <c r="E357" s="8" t="s">
        <v>27</v>
      </c>
      <c r="F357" s="35" t="s">
        <v>27</v>
      </c>
      <c r="G357" s="8" t="s">
        <v>28</v>
      </c>
      <c r="H357" s="8" t="s">
        <v>27</v>
      </c>
      <c r="I357" s="8" t="s">
        <v>27</v>
      </c>
      <c r="J357" s="8" t="s">
        <v>27</v>
      </c>
      <c r="K357" s="8" t="s">
        <v>31</v>
      </c>
      <c r="L357" s="10">
        <v>1350000</v>
      </c>
      <c r="M357" s="8" t="s">
        <v>31</v>
      </c>
      <c r="N357" s="10">
        <v>3510918.14</v>
      </c>
      <c r="O357" s="8" t="s">
        <v>27</v>
      </c>
      <c r="P357" s="8" t="s">
        <v>27</v>
      </c>
      <c r="Q357" s="8" t="s">
        <v>27</v>
      </c>
      <c r="R357" s="8" t="s">
        <v>27</v>
      </c>
      <c r="S357" s="8" t="s">
        <v>27</v>
      </c>
      <c r="T357" s="8"/>
      <c r="U357" s="8"/>
      <c r="V357" s="8"/>
      <c r="W357" s="8" t="s">
        <v>27</v>
      </c>
      <c r="X357" s="8" t="s">
        <v>27</v>
      </c>
      <c r="Y357" s="8" t="s">
        <v>27</v>
      </c>
      <c r="Z357" s="8" t="s">
        <v>27</v>
      </c>
      <c r="AA357" s="9"/>
      <c r="AB357" s="9"/>
      <c r="AC357" s="8" t="s">
        <v>27</v>
      </c>
    </row>
    <row r="358" spans="1:29" x14ac:dyDescent="0.35">
      <c r="A358" s="8" t="s">
        <v>27</v>
      </c>
      <c r="B358" s="8" t="s">
        <v>27</v>
      </c>
      <c r="C358" s="9"/>
      <c r="D358" s="9"/>
      <c r="E358" s="8" t="s">
        <v>27</v>
      </c>
      <c r="F358" s="35" t="s">
        <v>27</v>
      </c>
      <c r="G358" s="8" t="s">
        <v>27</v>
      </c>
      <c r="H358" s="8" t="s">
        <v>27</v>
      </c>
      <c r="I358" s="8" t="s">
        <v>27</v>
      </c>
      <c r="J358" s="8" t="s">
        <v>27</v>
      </c>
      <c r="K358" s="8" t="s">
        <v>38</v>
      </c>
      <c r="L358" s="10">
        <v>5520.89</v>
      </c>
      <c r="M358" s="8" t="s">
        <v>27</v>
      </c>
      <c r="N358" s="11"/>
      <c r="O358" s="8" t="s">
        <v>27</v>
      </c>
      <c r="P358" s="8" t="s">
        <v>27</v>
      </c>
      <c r="Q358" s="8" t="s">
        <v>27</v>
      </c>
      <c r="R358" s="8" t="s">
        <v>27</v>
      </c>
      <c r="S358" s="8" t="s">
        <v>27</v>
      </c>
      <c r="T358" s="8"/>
      <c r="U358" s="8"/>
      <c r="V358" s="8"/>
      <c r="W358" s="8" t="s">
        <v>27</v>
      </c>
      <c r="X358" s="8" t="s">
        <v>27</v>
      </c>
      <c r="Y358" s="8" t="s">
        <v>27</v>
      </c>
      <c r="Z358" s="8" t="s">
        <v>27</v>
      </c>
      <c r="AA358" s="9"/>
      <c r="AB358" s="9"/>
      <c r="AC358" s="8" t="s">
        <v>27</v>
      </c>
    </row>
    <row r="359" spans="1:29" x14ac:dyDescent="0.35">
      <c r="A359" s="12" t="s">
        <v>27</v>
      </c>
      <c r="B359" s="12" t="s">
        <v>27</v>
      </c>
      <c r="C359" s="13"/>
      <c r="D359" s="13"/>
      <c r="E359" s="12" t="s">
        <v>27</v>
      </c>
      <c r="F359" s="36" t="s">
        <v>27</v>
      </c>
      <c r="G359" s="12" t="s">
        <v>27</v>
      </c>
      <c r="H359" s="12" t="s">
        <v>27</v>
      </c>
      <c r="I359" s="12" t="s">
        <v>27</v>
      </c>
      <c r="J359" s="12" t="s">
        <v>27</v>
      </c>
      <c r="K359" s="12" t="s">
        <v>31</v>
      </c>
      <c r="L359" s="14">
        <v>1350000</v>
      </c>
      <c r="M359" s="12" t="s">
        <v>31</v>
      </c>
      <c r="N359" s="14">
        <v>3510918.14</v>
      </c>
      <c r="O359" s="12" t="s">
        <v>27</v>
      </c>
      <c r="P359" s="12" t="s">
        <v>27</v>
      </c>
      <c r="Q359" s="12" t="s">
        <v>27</v>
      </c>
      <c r="R359" s="12" t="s">
        <v>27</v>
      </c>
      <c r="S359" s="12" t="s">
        <v>27</v>
      </c>
      <c r="T359" s="12"/>
      <c r="U359" s="12"/>
      <c r="V359" s="12"/>
      <c r="W359" s="12" t="s">
        <v>27</v>
      </c>
      <c r="X359" s="12" t="s">
        <v>27</v>
      </c>
      <c r="Y359" s="12" t="s">
        <v>27</v>
      </c>
      <c r="Z359" s="12" t="s">
        <v>27</v>
      </c>
      <c r="AA359" s="13"/>
      <c r="AB359" s="13"/>
      <c r="AC359" s="12" t="s">
        <v>27</v>
      </c>
    </row>
    <row r="360" spans="1:29" x14ac:dyDescent="0.35">
      <c r="A360" s="12" t="s">
        <v>27</v>
      </c>
      <c r="B360" s="12" t="s">
        <v>27</v>
      </c>
      <c r="C360" s="13"/>
      <c r="D360" s="13"/>
      <c r="E360" s="12" t="s">
        <v>27</v>
      </c>
      <c r="F360" s="36" t="s">
        <v>27</v>
      </c>
      <c r="G360" s="12" t="s">
        <v>27</v>
      </c>
      <c r="H360" s="12" t="s">
        <v>27</v>
      </c>
      <c r="I360" s="12" t="s">
        <v>27</v>
      </c>
      <c r="J360" s="12" t="s">
        <v>27</v>
      </c>
      <c r="K360" s="12" t="s">
        <v>38</v>
      </c>
      <c r="L360" s="14">
        <v>5520.89</v>
      </c>
      <c r="M360" s="12" t="s">
        <v>27</v>
      </c>
      <c r="N360" s="15"/>
      <c r="O360" s="12" t="s">
        <v>27</v>
      </c>
      <c r="P360" s="12" t="s">
        <v>27</v>
      </c>
      <c r="Q360" s="12" t="s">
        <v>27</v>
      </c>
      <c r="R360" s="12" t="s">
        <v>27</v>
      </c>
      <c r="S360" s="12" t="s">
        <v>27</v>
      </c>
      <c r="T360" s="12"/>
      <c r="U360" s="12"/>
      <c r="V360" s="12"/>
      <c r="W360" s="12" t="s">
        <v>27</v>
      </c>
      <c r="X360" s="12" t="s">
        <v>27</v>
      </c>
      <c r="Y360" s="12" t="s">
        <v>27</v>
      </c>
      <c r="Z360" s="12" t="s">
        <v>27</v>
      </c>
      <c r="AA360" s="13"/>
      <c r="AB360" s="13"/>
      <c r="AC360" s="12" t="s">
        <v>27</v>
      </c>
    </row>
  </sheetData>
  <autoFilter ref="A1:S355" xr:uid="{C3450C5A-1DE6-4C73-87D0-5ADE64AFB3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ACDA-71B2-4415-BE02-DE7AB9F8B3C0}">
  <dimension ref="A1:N280"/>
  <sheetViews>
    <sheetView workbookViewId="0">
      <selection activeCell="N20" sqref="N20"/>
    </sheetView>
  </sheetViews>
  <sheetFormatPr defaultRowHeight="14.5" x14ac:dyDescent="0.35"/>
  <cols>
    <col min="1" max="1" width="13.08984375" bestFit="1" customWidth="1"/>
    <col min="2" max="2" width="13.90625" bestFit="1" customWidth="1"/>
    <col min="3" max="3" width="22.26953125" customWidth="1"/>
    <col min="4" max="4" width="25.453125" bestFit="1" customWidth="1"/>
    <col min="5" max="6" width="12.36328125" style="19" hidden="1" customWidth="1"/>
    <col min="7" max="7" width="24" style="19" hidden="1" customWidth="1"/>
    <col min="8" max="8" width="12.08984375" style="19" bestFit="1" customWidth="1"/>
    <col min="9" max="9" width="15" style="19" bestFit="1" customWidth="1"/>
    <col min="10" max="10" width="20.81640625" style="19" hidden="1" customWidth="1"/>
    <col min="12" max="12" width="15.453125" style="17" bestFit="1" customWidth="1"/>
    <col min="13" max="13" width="15.453125" style="19" bestFit="1" customWidth="1"/>
    <col min="14" max="14" width="16" style="19" bestFit="1" customWidth="1"/>
  </cols>
  <sheetData>
    <row r="1" spans="1:14" x14ac:dyDescent="0.35">
      <c r="E1" s="19">
        <f>SUM(E3:E280)</f>
        <v>6183010.3297999995</v>
      </c>
      <c r="F1" s="19">
        <f>SUM(F3:F280)</f>
        <v>7380750.6211000048</v>
      </c>
      <c r="G1" s="19">
        <f>F1-E1</f>
        <v>1197740.2913000053</v>
      </c>
    </row>
    <row r="2" spans="1:14" x14ac:dyDescent="0.35">
      <c r="A2" s="16" t="s">
        <v>398</v>
      </c>
      <c r="B2" s="16" t="s">
        <v>2</v>
      </c>
      <c r="C2" s="16" t="s">
        <v>399</v>
      </c>
      <c r="D2" s="16" t="s">
        <v>400</v>
      </c>
      <c r="E2" s="22" t="s">
        <v>401</v>
      </c>
      <c r="F2" s="22" t="s">
        <v>402</v>
      </c>
      <c r="G2" s="22" t="s">
        <v>403</v>
      </c>
      <c r="H2" s="22" t="s">
        <v>404</v>
      </c>
      <c r="I2" s="22" t="s">
        <v>405</v>
      </c>
      <c r="J2" s="22" t="s">
        <v>406</v>
      </c>
      <c r="L2" s="31" t="s">
        <v>472</v>
      </c>
      <c r="M2" s="30" t="s">
        <v>473</v>
      </c>
      <c r="N2" s="30" t="s">
        <v>474</v>
      </c>
    </row>
    <row r="3" spans="1:14" x14ac:dyDescent="0.35">
      <c r="A3" s="17">
        <v>1002</v>
      </c>
      <c r="B3" s="18">
        <v>45940</v>
      </c>
      <c r="C3" t="s">
        <v>449</v>
      </c>
      <c r="D3" t="s">
        <v>417</v>
      </c>
      <c r="F3" s="19">
        <v>2520.8598000000002</v>
      </c>
      <c r="G3" s="19">
        <v>-1156227.4823</v>
      </c>
      <c r="I3" s="19">
        <v>28.8</v>
      </c>
      <c r="J3" s="19">
        <v>-13215.857400000001</v>
      </c>
      <c r="L3" s="31">
        <v>1002</v>
      </c>
      <c r="M3" s="30"/>
      <c r="N3" s="30">
        <v>0</v>
      </c>
    </row>
    <row r="4" spans="1:14" x14ac:dyDescent="0.35">
      <c r="A4" s="17">
        <v>1003</v>
      </c>
      <c r="B4" s="18">
        <v>45940</v>
      </c>
      <c r="C4" t="s">
        <v>449</v>
      </c>
      <c r="D4" t="s">
        <v>417</v>
      </c>
      <c r="F4" s="19">
        <v>2520.8598000000002</v>
      </c>
      <c r="G4" s="19">
        <v>-1158748.3421</v>
      </c>
      <c r="I4" s="19">
        <v>28.8</v>
      </c>
      <c r="J4" s="19">
        <v>-13244.6574</v>
      </c>
      <c r="L4" s="31">
        <v>1003</v>
      </c>
      <c r="M4" s="30"/>
      <c r="N4" s="30">
        <v>0</v>
      </c>
    </row>
    <row r="5" spans="1:14" x14ac:dyDescent="0.35">
      <c r="A5" s="17">
        <v>1004</v>
      </c>
      <c r="B5" s="18">
        <v>45940</v>
      </c>
      <c r="C5" t="s">
        <v>449</v>
      </c>
      <c r="D5" t="s">
        <v>417</v>
      </c>
      <c r="F5" s="19">
        <v>2604.8885</v>
      </c>
      <c r="G5" s="19">
        <v>-1161353.2305999999</v>
      </c>
      <c r="I5" s="19">
        <v>29.76</v>
      </c>
      <c r="J5" s="19">
        <v>-13274.4174</v>
      </c>
      <c r="L5" s="31">
        <v>1004</v>
      </c>
      <c r="M5" s="30"/>
      <c r="N5" s="30">
        <v>0</v>
      </c>
    </row>
    <row r="6" spans="1:14" x14ac:dyDescent="0.35">
      <c r="A6" s="17">
        <v>1005</v>
      </c>
      <c r="B6" s="18">
        <v>45940</v>
      </c>
      <c r="C6" t="s">
        <v>449</v>
      </c>
      <c r="D6" t="s">
        <v>417</v>
      </c>
      <c r="F6" s="19">
        <v>138252.1</v>
      </c>
      <c r="G6" s="19">
        <v>-1153706.6225000001</v>
      </c>
      <c r="I6" s="19">
        <v>1579.76</v>
      </c>
      <c r="J6" s="19">
        <v>-13187.0574</v>
      </c>
      <c r="L6" s="31">
        <v>1005</v>
      </c>
      <c r="M6" s="30"/>
      <c r="N6" s="30">
        <v>0</v>
      </c>
    </row>
    <row r="7" spans="1:14" x14ac:dyDescent="0.35">
      <c r="A7" s="17">
        <v>1008</v>
      </c>
      <c r="B7" s="18">
        <v>45941</v>
      </c>
      <c r="C7" t="s">
        <v>449</v>
      </c>
      <c r="D7" t="s">
        <v>417</v>
      </c>
      <c r="F7" s="19">
        <v>5250.8598000000002</v>
      </c>
      <c r="G7" s="19">
        <v>-1261566.8609</v>
      </c>
      <c r="I7" s="19">
        <v>60</v>
      </c>
      <c r="J7" s="19">
        <v>-14419.828</v>
      </c>
      <c r="L7" s="31">
        <v>1008</v>
      </c>
      <c r="M7" s="30"/>
      <c r="N7" s="30">
        <v>0</v>
      </c>
    </row>
    <row r="8" spans="1:14" x14ac:dyDescent="0.35">
      <c r="A8" s="17">
        <v>1002</v>
      </c>
      <c r="B8" s="20">
        <v>45904</v>
      </c>
      <c r="C8" t="s">
        <v>448</v>
      </c>
      <c r="D8" t="s">
        <v>417</v>
      </c>
      <c r="F8" s="19">
        <v>-2520.8598000000002</v>
      </c>
      <c r="G8" s="19">
        <v>-1108837.9335</v>
      </c>
      <c r="I8" s="19">
        <v>-28.8</v>
      </c>
      <c r="J8" s="19">
        <v>-12670.222400000001</v>
      </c>
      <c r="L8" s="31">
        <v>7360257</v>
      </c>
      <c r="M8" s="30"/>
      <c r="N8" s="30">
        <v>-58.8</v>
      </c>
    </row>
    <row r="9" spans="1:14" x14ac:dyDescent="0.35">
      <c r="A9" s="17">
        <v>7360257</v>
      </c>
      <c r="B9" s="20">
        <v>45904</v>
      </c>
      <c r="C9" t="s">
        <v>448</v>
      </c>
      <c r="D9" t="s">
        <v>417</v>
      </c>
      <c r="F9" s="19">
        <v>-5145.8598000000002</v>
      </c>
      <c r="G9" s="19">
        <v>-1251275.1413</v>
      </c>
      <c r="I9" s="19">
        <v>-58.8</v>
      </c>
      <c r="J9" s="19">
        <v>-14302.227999999999</v>
      </c>
      <c r="L9" s="31">
        <v>7360258</v>
      </c>
      <c r="M9" s="30"/>
      <c r="N9" s="30">
        <v>-58.8</v>
      </c>
    </row>
    <row r="10" spans="1:14" x14ac:dyDescent="0.35">
      <c r="A10" s="17">
        <v>1003</v>
      </c>
      <c r="B10" s="20">
        <v>45904</v>
      </c>
      <c r="C10" t="s">
        <v>448</v>
      </c>
      <c r="D10" t="s">
        <v>417</v>
      </c>
      <c r="F10" s="19">
        <v>-2520.8598000000002</v>
      </c>
      <c r="G10" s="19">
        <v>-1111358.7933</v>
      </c>
      <c r="I10" s="19">
        <v>-28.8</v>
      </c>
      <c r="J10" s="19">
        <v>-12699.0224</v>
      </c>
      <c r="L10" s="31">
        <v>7360259</v>
      </c>
      <c r="M10" s="30"/>
      <c r="N10" s="30">
        <v>-60.76</v>
      </c>
    </row>
    <row r="11" spans="1:14" x14ac:dyDescent="0.35">
      <c r="A11" s="17">
        <v>1008</v>
      </c>
      <c r="B11" s="20">
        <v>45904</v>
      </c>
      <c r="C11" t="s">
        <v>448</v>
      </c>
      <c r="D11" t="s">
        <v>417</v>
      </c>
      <c r="F11" s="19">
        <v>-5250.8598000000002</v>
      </c>
      <c r="G11" s="19">
        <v>-1256316.0011</v>
      </c>
      <c r="I11" s="19">
        <v>-60</v>
      </c>
      <c r="J11" s="19">
        <v>-14359.828</v>
      </c>
      <c r="L11" s="31">
        <v>7360262</v>
      </c>
      <c r="M11" s="30"/>
      <c r="N11" s="30">
        <v>-60.76</v>
      </c>
    </row>
    <row r="12" spans="1:14" x14ac:dyDescent="0.35">
      <c r="A12" s="17">
        <v>7360258</v>
      </c>
      <c r="B12" s="20">
        <v>45904</v>
      </c>
      <c r="C12" t="s">
        <v>448</v>
      </c>
      <c r="D12" t="s">
        <v>417</v>
      </c>
      <c r="F12" s="19">
        <v>-5145.8598000000002</v>
      </c>
      <c r="G12" s="19">
        <v>-1256421.0011</v>
      </c>
      <c r="I12" s="19">
        <v>-58.8</v>
      </c>
      <c r="J12" s="19">
        <v>-14361.028</v>
      </c>
      <c r="L12" s="33">
        <v>246779410055</v>
      </c>
      <c r="M12" s="30"/>
      <c r="N12" s="30">
        <v>408.33659999999998</v>
      </c>
    </row>
    <row r="13" spans="1:14" x14ac:dyDescent="0.35">
      <c r="A13" s="17">
        <v>1004</v>
      </c>
      <c r="B13" s="20">
        <v>45904</v>
      </c>
      <c r="C13" t="s">
        <v>448</v>
      </c>
      <c r="D13" t="s">
        <v>417</v>
      </c>
      <c r="F13" s="19">
        <v>-2604.8885</v>
      </c>
      <c r="G13" s="19">
        <v>-1106233.0449999999</v>
      </c>
      <c r="I13" s="19">
        <v>-29.76</v>
      </c>
      <c r="J13" s="19">
        <v>-12640.4624</v>
      </c>
      <c r="L13" s="31">
        <v>246779410009</v>
      </c>
      <c r="M13" s="30"/>
      <c r="N13" s="30">
        <v>1071.432</v>
      </c>
    </row>
    <row r="14" spans="1:14" x14ac:dyDescent="0.35">
      <c r="A14" s="17">
        <v>7360259</v>
      </c>
      <c r="B14" s="20">
        <v>45904</v>
      </c>
      <c r="C14" t="s">
        <v>448</v>
      </c>
      <c r="D14" t="s">
        <v>417</v>
      </c>
      <c r="F14" s="19">
        <v>-5316.8885</v>
      </c>
      <c r="G14" s="19">
        <v>-1245958.2527999999</v>
      </c>
      <c r="I14" s="19">
        <v>-60.76</v>
      </c>
      <c r="J14" s="19">
        <v>-14241.468000000001</v>
      </c>
      <c r="L14" s="31">
        <v>246779410029</v>
      </c>
      <c r="M14" s="30"/>
      <c r="N14" s="30">
        <v>1071.432</v>
      </c>
    </row>
    <row r="15" spans="1:14" x14ac:dyDescent="0.35">
      <c r="A15" s="17">
        <v>1005</v>
      </c>
      <c r="B15" s="20">
        <v>45904</v>
      </c>
      <c r="C15" t="s">
        <v>448</v>
      </c>
      <c r="D15" t="s">
        <v>417</v>
      </c>
      <c r="F15" s="19">
        <v>-138252.1</v>
      </c>
      <c r="G15" s="19">
        <v>-967980.94499999995</v>
      </c>
      <c r="I15" s="19">
        <v>-1579.76</v>
      </c>
      <c r="J15" s="19">
        <v>-11060.7024</v>
      </c>
      <c r="L15" s="31">
        <v>246779410077</v>
      </c>
      <c r="M15" s="30"/>
      <c r="N15" s="30">
        <v>408.33659999999998</v>
      </c>
    </row>
    <row r="16" spans="1:14" x14ac:dyDescent="0.35">
      <c r="A16" s="17">
        <v>7360262</v>
      </c>
      <c r="B16" s="20">
        <v>45904</v>
      </c>
      <c r="C16" t="s">
        <v>448</v>
      </c>
      <c r="D16" t="s">
        <v>417</v>
      </c>
      <c r="F16" s="19">
        <v>-5316.8885</v>
      </c>
      <c r="G16" s="19">
        <v>-1261566.8609</v>
      </c>
      <c r="I16" s="19">
        <v>-60.76</v>
      </c>
      <c r="J16" s="19">
        <v>-14419.828</v>
      </c>
      <c r="L16" s="31">
        <v>246779410097</v>
      </c>
      <c r="M16" s="30"/>
      <c r="N16" s="30">
        <v>1071.432</v>
      </c>
    </row>
    <row r="17" spans="1:14" x14ac:dyDescent="0.35">
      <c r="A17" s="17">
        <v>24677910055</v>
      </c>
      <c r="B17" s="18">
        <v>45708</v>
      </c>
      <c r="C17" t="s">
        <v>407</v>
      </c>
      <c r="D17" t="s">
        <v>410</v>
      </c>
      <c r="F17" s="19">
        <v>34945.618600000002</v>
      </c>
      <c r="G17" s="19">
        <v>-1610401.9635999999</v>
      </c>
      <c r="I17" s="19">
        <v>408.33659999999998</v>
      </c>
      <c r="J17" s="19">
        <v>-18817.514800000001</v>
      </c>
      <c r="L17" s="31">
        <v>246779410123</v>
      </c>
      <c r="M17" s="30"/>
      <c r="N17" s="30">
        <v>408.33659999999998</v>
      </c>
    </row>
    <row r="18" spans="1:14" x14ac:dyDescent="0.35">
      <c r="A18" s="17">
        <v>246779410009</v>
      </c>
      <c r="B18" s="18">
        <v>45707</v>
      </c>
      <c r="C18" t="s">
        <v>407</v>
      </c>
      <c r="D18" t="s">
        <v>408</v>
      </c>
      <c r="F18" s="19">
        <v>91693.278399999996</v>
      </c>
      <c r="G18" s="19">
        <v>-1027809.8356</v>
      </c>
      <c r="I18" s="19">
        <v>1071.432</v>
      </c>
      <c r="J18" s="19">
        <v>-12009.933199999999</v>
      </c>
      <c r="L18" s="31">
        <v>246779410140</v>
      </c>
      <c r="M18" s="30"/>
      <c r="N18" s="30">
        <v>1071.432</v>
      </c>
    </row>
    <row r="19" spans="1:14" x14ac:dyDescent="0.35">
      <c r="A19" s="17">
        <v>246779410029</v>
      </c>
      <c r="B19" s="18">
        <v>45708</v>
      </c>
      <c r="C19" t="s">
        <v>407</v>
      </c>
      <c r="D19" t="s">
        <v>408</v>
      </c>
      <c r="F19" s="19">
        <v>91693.278399999996</v>
      </c>
      <c r="G19" s="19">
        <v>-1575456.345</v>
      </c>
      <c r="I19" s="19">
        <v>1071.432</v>
      </c>
      <c r="J19" s="19">
        <v>-18409.178199999998</v>
      </c>
      <c r="L19" s="31">
        <v>246779410166</v>
      </c>
      <c r="M19" s="30"/>
      <c r="N19" s="30">
        <v>408.33659999999998</v>
      </c>
    </row>
    <row r="20" spans="1:14" x14ac:dyDescent="0.35">
      <c r="A20" s="17">
        <v>246779410077</v>
      </c>
      <c r="B20" s="18">
        <v>45708</v>
      </c>
      <c r="C20" t="s">
        <v>407</v>
      </c>
      <c r="D20" t="s">
        <v>410</v>
      </c>
      <c r="F20" s="19">
        <v>34945.618600000002</v>
      </c>
      <c r="G20" s="19">
        <v>-1062755.4542</v>
      </c>
      <c r="I20" s="19">
        <v>408.33659999999998</v>
      </c>
      <c r="J20" s="19">
        <v>-12418.2698</v>
      </c>
      <c r="L20" s="31">
        <v>246779410209</v>
      </c>
      <c r="M20" s="30"/>
      <c r="N20" s="30">
        <v>1450.0748000000001</v>
      </c>
    </row>
    <row r="21" spans="1:14" x14ac:dyDescent="0.35">
      <c r="A21" s="17">
        <v>246779410097</v>
      </c>
      <c r="B21" s="18">
        <v>45708</v>
      </c>
      <c r="C21" t="s">
        <v>407</v>
      </c>
      <c r="D21" t="s">
        <v>408</v>
      </c>
      <c r="F21" s="19">
        <v>91693.278399999996</v>
      </c>
      <c r="G21" s="19">
        <v>-380845.8922</v>
      </c>
      <c r="I21" s="19">
        <v>1071.432</v>
      </c>
      <c r="J21" s="19">
        <v>-4450.1742000000004</v>
      </c>
      <c r="L21" s="31">
        <v>246779410226</v>
      </c>
      <c r="M21" s="30"/>
      <c r="N21" s="30">
        <v>1028.808</v>
      </c>
    </row>
    <row r="22" spans="1:14" x14ac:dyDescent="0.35">
      <c r="A22" s="17">
        <v>246779410123</v>
      </c>
      <c r="B22" s="18">
        <v>45708</v>
      </c>
      <c r="C22" t="s">
        <v>407</v>
      </c>
      <c r="D22" t="s">
        <v>410</v>
      </c>
      <c r="F22" s="19">
        <v>34945.618600000002</v>
      </c>
      <c r="G22" s="19">
        <v>-422343.02039999998</v>
      </c>
      <c r="I22" s="19">
        <v>408.33659999999998</v>
      </c>
      <c r="J22" s="19">
        <v>-4935.0684000000001</v>
      </c>
      <c r="L22" s="31">
        <v>246779410252</v>
      </c>
      <c r="M22" s="30"/>
      <c r="N22" s="30">
        <v>392.08819999999997</v>
      </c>
    </row>
    <row r="23" spans="1:14" x14ac:dyDescent="0.35">
      <c r="A23" s="17">
        <v>246779410140</v>
      </c>
      <c r="B23" s="18">
        <v>45708</v>
      </c>
      <c r="C23" t="s">
        <v>407</v>
      </c>
      <c r="D23" t="s">
        <v>408</v>
      </c>
      <c r="F23" s="19">
        <v>91693.278399999996</v>
      </c>
      <c r="G23" s="19">
        <v>-797615.5638</v>
      </c>
      <c r="I23" s="19">
        <v>1071.432</v>
      </c>
      <c r="J23" s="19">
        <v>-9320.1154000000006</v>
      </c>
      <c r="L23" s="31">
        <v>246779410276</v>
      </c>
      <c r="M23" s="30"/>
      <c r="N23" s="30">
        <v>1071.432</v>
      </c>
    </row>
    <row r="24" spans="1:14" x14ac:dyDescent="0.35">
      <c r="A24" s="17">
        <v>246779410166</v>
      </c>
      <c r="B24" s="18">
        <v>45708</v>
      </c>
      <c r="C24" t="s">
        <v>407</v>
      </c>
      <c r="D24" t="s">
        <v>410</v>
      </c>
      <c r="F24" s="19">
        <v>34945.618600000002</v>
      </c>
      <c r="G24" s="19">
        <v>-705922.28540000005</v>
      </c>
      <c r="I24" s="19">
        <v>408.33659999999998</v>
      </c>
      <c r="J24" s="19">
        <v>-8248.6833999999999</v>
      </c>
      <c r="L24" s="31">
        <v>246779410308</v>
      </c>
      <c r="M24" s="30"/>
      <c r="N24" s="30">
        <v>408.33659999999998</v>
      </c>
    </row>
    <row r="25" spans="1:14" x14ac:dyDescent="0.35">
      <c r="A25" s="17">
        <v>246779410209</v>
      </c>
      <c r="B25" s="20">
        <v>45708</v>
      </c>
      <c r="C25" t="s">
        <v>407</v>
      </c>
      <c r="D25" t="s">
        <v>408</v>
      </c>
      <c r="F25" s="19">
        <v>89852.772200000007</v>
      </c>
      <c r="G25" s="19">
        <v>-306344.44140000001</v>
      </c>
      <c r="I25" s="19">
        <v>1049.931</v>
      </c>
      <c r="J25" s="19">
        <v>-3579.6306</v>
      </c>
      <c r="L25" s="31">
        <v>246779410324</v>
      </c>
      <c r="M25" s="30"/>
      <c r="N25" s="30">
        <v>1575</v>
      </c>
    </row>
    <row r="26" spans="1:14" x14ac:dyDescent="0.35">
      <c r="A26" s="17">
        <v>246779410209</v>
      </c>
      <c r="B26" s="20">
        <v>45708</v>
      </c>
      <c r="C26" t="s">
        <v>407</v>
      </c>
      <c r="D26" t="s">
        <v>410</v>
      </c>
      <c r="F26" s="19">
        <v>34244.169800000003</v>
      </c>
      <c r="G26" s="19">
        <v>-254206.9952</v>
      </c>
      <c r="I26" s="19">
        <v>400.1438</v>
      </c>
      <c r="J26" s="19">
        <v>-2970.4056</v>
      </c>
      <c r="L26" s="31">
        <v>246779410376</v>
      </c>
      <c r="M26" s="30"/>
      <c r="N26" s="30">
        <v>640.21500000000003</v>
      </c>
    </row>
    <row r="27" spans="1:14" x14ac:dyDescent="0.35">
      <c r="A27" s="17">
        <v>246779410226</v>
      </c>
      <c r="B27" s="18">
        <v>45708</v>
      </c>
      <c r="C27" t="s">
        <v>407</v>
      </c>
      <c r="D27" t="s">
        <v>408</v>
      </c>
      <c r="F27" s="19">
        <v>88045.209600000002</v>
      </c>
      <c r="G27" s="19">
        <v>-885660.77339999995</v>
      </c>
      <c r="I27" s="19">
        <v>1028.808</v>
      </c>
      <c r="J27" s="19">
        <v>-10348.9234</v>
      </c>
      <c r="L27" s="31">
        <v>246779410401</v>
      </c>
      <c r="M27" s="30"/>
      <c r="N27" s="30">
        <v>1169.0640000000001</v>
      </c>
    </row>
    <row r="28" spans="1:14" x14ac:dyDescent="0.35">
      <c r="A28" s="17">
        <v>246779410252</v>
      </c>
      <c r="B28" s="18">
        <v>45708</v>
      </c>
      <c r="C28" t="s">
        <v>407</v>
      </c>
      <c r="D28" t="s">
        <v>410</v>
      </c>
      <c r="F28" s="19">
        <v>33554.7022</v>
      </c>
      <c r="G28" s="19">
        <v>-670976.66680000001</v>
      </c>
      <c r="I28" s="19">
        <v>392.08819999999997</v>
      </c>
      <c r="J28" s="19">
        <v>-7840.3468000000003</v>
      </c>
      <c r="L28" s="31">
        <v>246779410425</v>
      </c>
      <c r="M28" s="30"/>
      <c r="N28" s="30">
        <v>1518.489</v>
      </c>
    </row>
    <row r="29" spans="1:14" x14ac:dyDescent="0.35">
      <c r="A29" s="17">
        <v>246779410276</v>
      </c>
      <c r="B29" s="18">
        <v>45708</v>
      </c>
      <c r="C29" t="s">
        <v>407</v>
      </c>
      <c r="D29" t="s">
        <v>408</v>
      </c>
      <c r="F29" s="19">
        <v>91693.278399999996</v>
      </c>
      <c r="G29" s="19">
        <v>-216491.6692</v>
      </c>
      <c r="I29" s="19">
        <v>1071.432</v>
      </c>
      <c r="J29" s="19">
        <v>-2529.6995999999999</v>
      </c>
      <c r="L29" s="31">
        <v>246779410871</v>
      </c>
      <c r="M29" s="30">
        <v>3.4007999999999998</v>
      </c>
      <c r="N29" s="30">
        <v>38.259</v>
      </c>
    </row>
    <row r="30" spans="1:14" x14ac:dyDescent="0.35">
      <c r="A30" s="17">
        <v>246779410308</v>
      </c>
      <c r="B30" s="20">
        <v>45708</v>
      </c>
      <c r="C30" t="s">
        <v>407</v>
      </c>
      <c r="D30" t="s">
        <v>410</v>
      </c>
      <c r="F30" s="19">
        <v>34945.618600000002</v>
      </c>
      <c r="G30" s="19">
        <v>-289152.61379999999</v>
      </c>
      <c r="I30" s="19">
        <v>408.33659999999998</v>
      </c>
      <c r="J30" s="19">
        <v>-3378.7422000000001</v>
      </c>
      <c r="L30" s="31">
        <v>246779410893</v>
      </c>
      <c r="M30" s="30"/>
      <c r="N30" s="30">
        <v>159.46199999999999</v>
      </c>
    </row>
    <row r="31" spans="1:14" x14ac:dyDescent="0.35">
      <c r="A31" s="17">
        <v>246779410324</v>
      </c>
      <c r="B31" s="18">
        <v>45713</v>
      </c>
      <c r="C31" t="s">
        <v>407</v>
      </c>
      <c r="D31" t="s">
        <v>412</v>
      </c>
      <c r="F31" s="19">
        <v>134788</v>
      </c>
      <c r="G31" s="19">
        <v>-1754755.3626000001</v>
      </c>
      <c r="I31" s="19">
        <v>1575</v>
      </c>
      <c r="J31" s="19">
        <v>-20504.283800000001</v>
      </c>
      <c r="L31" s="31">
        <v>246779411279</v>
      </c>
      <c r="M31" s="30"/>
      <c r="N31" s="30">
        <v>34.299999999999997</v>
      </c>
    </row>
    <row r="32" spans="1:14" x14ac:dyDescent="0.35">
      <c r="A32" s="17">
        <v>246779410376</v>
      </c>
      <c r="B32" s="18">
        <v>45719</v>
      </c>
      <c r="C32" t="s">
        <v>407</v>
      </c>
      <c r="D32" t="s">
        <v>408</v>
      </c>
      <c r="F32" s="19">
        <v>54789.332999999999</v>
      </c>
      <c r="G32" s="19">
        <v>-2137275.4164</v>
      </c>
      <c r="I32" s="19">
        <v>640.21500000000003</v>
      </c>
      <c r="J32" s="19">
        <v>-24974.002799999998</v>
      </c>
      <c r="L32" s="31">
        <v>246779411301</v>
      </c>
      <c r="M32" s="30"/>
      <c r="N32" s="30">
        <v>83.3</v>
      </c>
    </row>
    <row r="33" spans="1:14" x14ac:dyDescent="0.35">
      <c r="A33" s="17">
        <v>246779410401</v>
      </c>
      <c r="B33" s="18">
        <v>45719</v>
      </c>
      <c r="C33" t="s">
        <v>407</v>
      </c>
      <c r="D33" t="s">
        <v>408</v>
      </c>
      <c r="F33" s="19">
        <v>100048.99679999999</v>
      </c>
      <c r="G33" s="19">
        <v>-2082486.0833999999</v>
      </c>
      <c r="I33" s="19">
        <v>1169.0640000000001</v>
      </c>
      <c r="J33" s="19">
        <v>-24333.787799999998</v>
      </c>
      <c r="L33" s="31">
        <v>246779411315</v>
      </c>
      <c r="M33" s="30"/>
      <c r="N33" s="30">
        <v>34.299999999999997</v>
      </c>
    </row>
    <row r="34" spans="1:14" x14ac:dyDescent="0.35">
      <c r="A34" s="17">
        <v>246779410425</v>
      </c>
      <c r="B34" s="18">
        <v>45719</v>
      </c>
      <c r="C34" t="s">
        <v>407</v>
      </c>
      <c r="D34" t="s">
        <v>408</v>
      </c>
      <c r="F34" s="19">
        <v>129952.43180000001</v>
      </c>
      <c r="G34" s="19">
        <v>-1982437.0866</v>
      </c>
      <c r="I34" s="19">
        <v>1518.489</v>
      </c>
      <c r="J34" s="19">
        <v>-23164.7238</v>
      </c>
      <c r="L34" s="31">
        <v>246779411449</v>
      </c>
      <c r="M34" s="30"/>
      <c r="N34" s="30">
        <v>926.83500000000004</v>
      </c>
    </row>
    <row r="35" spans="1:14" x14ac:dyDescent="0.35">
      <c r="A35" s="17">
        <v>246779410871</v>
      </c>
      <c r="B35" s="20">
        <v>45722</v>
      </c>
      <c r="C35" t="s">
        <v>407</v>
      </c>
      <c r="D35" t="s">
        <v>408</v>
      </c>
      <c r="F35" s="19">
        <v>3274.0057999999999</v>
      </c>
      <c r="G35" s="19">
        <v>-1778306.5318</v>
      </c>
      <c r="I35" s="19">
        <v>38.259</v>
      </c>
      <c r="J35" s="19">
        <v>-20779.4738</v>
      </c>
      <c r="L35" s="31">
        <v>246779411515</v>
      </c>
      <c r="M35" s="30"/>
      <c r="N35" s="30">
        <v>98</v>
      </c>
    </row>
    <row r="36" spans="1:14" x14ac:dyDescent="0.35">
      <c r="A36" s="17">
        <v>246779410871</v>
      </c>
      <c r="B36" s="20">
        <v>45821</v>
      </c>
      <c r="C36" t="s">
        <v>433</v>
      </c>
      <c r="D36" t="s">
        <v>430</v>
      </c>
      <c r="E36" s="19">
        <v>290.90440000000001</v>
      </c>
      <c r="G36" s="19">
        <v>-675841.2108</v>
      </c>
      <c r="H36" s="19">
        <v>3.4007999999999998</v>
      </c>
      <c r="J36" s="19">
        <v>-7896.951</v>
      </c>
      <c r="L36" s="31">
        <v>246779411621</v>
      </c>
      <c r="M36" s="30"/>
      <c r="N36" s="30">
        <v>435.1592</v>
      </c>
    </row>
    <row r="37" spans="1:14" x14ac:dyDescent="0.35">
      <c r="A37" s="17">
        <v>246779410893</v>
      </c>
      <c r="B37" s="18">
        <v>45722</v>
      </c>
      <c r="C37" t="s">
        <v>407</v>
      </c>
      <c r="D37" t="s">
        <v>408</v>
      </c>
      <c r="F37" s="19">
        <v>13647.064399999999</v>
      </c>
      <c r="G37" s="19">
        <v>-1775032.5260000001</v>
      </c>
      <c r="I37" s="19">
        <v>159.46199999999999</v>
      </c>
      <c r="J37" s="19">
        <v>-20741.214800000002</v>
      </c>
      <c r="L37" s="31">
        <v>246779411760</v>
      </c>
      <c r="M37" s="30"/>
      <c r="N37" s="30">
        <v>509.76659999999998</v>
      </c>
    </row>
    <row r="38" spans="1:14" x14ac:dyDescent="0.35">
      <c r="A38" s="17">
        <v>246779411279</v>
      </c>
      <c r="B38" s="18">
        <v>45729</v>
      </c>
      <c r="C38" t="s">
        <v>407</v>
      </c>
      <c r="D38" t="s">
        <v>411</v>
      </c>
      <c r="F38" s="19">
        <v>2935.3</v>
      </c>
      <c r="G38" s="19">
        <v>-1613337.2635999999</v>
      </c>
      <c r="I38" s="19">
        <v>34.299999999999997</v>
      </c>
      <c r="J38" s="19">
        <v>-18851.8148</v>
      </c>
      <c r="L38" s="31">
        <v>246779411937</v>
      </c>
      <c r="M38" s="30"/>
      <c r="N38" s="30">
        <v>7.1246</v>
      </c>
    </row>
    <row r="39" spans="1:14" x14ac:dyDescent="0.35">
      <c r="A39" s="17">
        <v>246779411301</v>
      </c>
      <c r="B39" s="18">
        <v>45729</v>
      </c>
      <c r="C39" t="s">
        <v>407</v>
      </c>
      <c r="D39" t="s">
        <v>411</v>
      </c>
      <c r="F39" s="19">
        <v>7129.3</v>
      </c>
      <c r="G39" s="19">
        <v>-1329744.3936000001</v>
      </c>
      <c r="I39" s="19">
        <v>83.3</v>
      </c>
      <c r="J39" s="19">
        <v>-15538.031199999999</v>
      </c>
      <c r="L39" s="31">
        <v>246779411938</v>
      </c>
      <c r="M39" s="30"/>
      <c r="N39" s="30">
        <v>52.194800000000001</v>
      </c>
    </row>
    <row r="40" spans="1:14" x14ac:dyDescent="0.35">
      <c r="A40" s="17">
        <v>246779411315</v>
      </c>
      <c r="B40" s="18">
        <v>45729</v>
      </c>
      <c r="C40" t="s">
        <v>407</v>
      </c>
      <c r="D40" t="s">
        <v>411</v>
      </c>
      <c r="F40" s="19">
        <v>2935.3</v>
      </c>
      <c r="G40" s="19">
        <v>-1332679.6936000001</v>
      </c>
      <c r="I40" s="19">
        <v>34.299999999999997</v>
      </c>
      <c r="J40" s="19">
        <v>-15572.331200000001</v>
      </c>
      <c r="L40" s="31">
        <v>246779411939</v>
      </c>
      <c r="M40" s="30"/>
      <c r="N40" s="30">
        <v>22.618400000000001</v>
      </c>
    </row>
    <row r="41" spans="1:14" x14ac:dyDescent="0.35">
      <c r="A41" s="17">
        <v>246779411449</v>
      </c>
      <c r="B41" s="18">
        <v>45730</v>
      </c>
      <c r="C41" t="s">
        <v>407</v>
      </c>
      <c r="D41" t="s">
        <v>411</v>
      </c>
      <c r="F41" s="19">
        <v>79318.285000000003</v>
      </c>
      <c r="G41" s="19">
        <v>-1142073.7392</v>
      </c>
      <c r="I41" s="19">
        <v>926.83500000000004</v>
      </c>
      <c r="J41" s="19">
        <v>-13345.104799999999</v>
      </c>
      <c r="L41" s="31">
        <v>246779411940</v>
      </c>
      <c r="M41" s="30"/>
      <c r="N41" s="30">
        <v>51.675400000000003</v>
      </c>
    </row>
    <row r="42" spans="1:14" x14ac:dyDescent="0.35">
      <c r="A42" s="17">
        <v>246779411515</v>
      </c>
      <c r="B42" s="18">
        <v>45730</v>
      </c>
      <c r="C42" t="s">
        <v>407</v>
      </c>
      <c r="D42" t="s">
        <v>411</v>
      </c>
      <c r="F42" s="19">
        <v>8387</v>
      </c>
      <c r="G42" s="19">
        <v>-1815791.5127999999</v>
      </c>
      <c r="I42" s="19">
        <v>98</v>
      </c>
      <c r="J42" s="19">
        <v>-21217.484799999998</v>
      </c>
      <c r="L42" s="31">
        <v>246779411941</v>
      </c>
      <c r="M42" s="30"/>
      <c r="N42" s="30">
        <v>74.499600000000001</v>
      </c>
    </row>
    <row r="43" spans="1:14" x14ac:dyDescent="0.35">
      <c r="A43" s="17">
        <v>246779411621</v>
      </c>
      <c r="B43" s="18">
        <v>45733</v>
      </c>
      <c r="C43" t="s">
        <v>407</v>
      </c>
      <c r="D43" t="s">
        <v>411</v>
      </c>
      <c r="F43" s="19">
        <v>37240.943200000002</v>
      </c>
      <c r="G43" s="19">
        <v>-1322615.0936</v>
      </c>
      <c r="I43" s="19">
        <v>435.1592</v>
      </c>
      <c r="J43" s="19">
        <v>-15454.7312</v>
      </c>
      <c r="L43" s="31">
        <v>246779412066</v>
      </c>
      <c r="M43" s="30"/>
      <c r="N43" s="30">
        <v>65.17</v>
      </c>
    </row>
    <row r="44" spans="1:14" x14ac:dyDescent="0.35">
      <c r="A44" s="17">
        <v>246779411760</v>
      </c>
      <c r="B44" s="18">
        <v>45733</v>
      </c>
      <c r="C44" t="s">
        <v>407</v>
      </c>
      <c r="D44" t="s">
        <v>411</v>
      </c>
      <c r="F44" s="19">
        <v>43626.1486</v>
      </c>
      <c r="G44" s="19">
        <v>-929286.92200000002</v>
      </c>
      <c r="I44" s="19">
        <v>509.76659999999998</v>
      </c>
      <c r="J44" s="19">
        <v>-10858.69</v>
      </c>
      <c r="L44" s="31">
        <v>246779412116</v>
      </c>
      <c r="M44" s="30"/>
      <c r="N44" s="30">
        <v>98</v>
      </c>
    </row>
    <row r="45" spans="1:14" x14ac:dyDescent="0.35">
      <c r="A45" s="17">
        <v>246779411937</v>
      </c>
      <c r="B45" s="18">
        <v>45733</v>
      </c>
      <c r="C45" t="s">
        <v>407</v>
      </c>
      <c r="D45" t="s">
        <v>411</v>
      </c>
      <c r="F45" s="19">
        <v>610.16660000000002</v>
      </c>
      <c r="G45" s="19">
        <v>-592005.00280000002</v>
      </c>
      <c r="I45" s="19">
        <v>7.1246</v>
      </c>
      <c r="J45" s="19">
        <v>-6917.5627999999997</v>
      </c>
      <c r="L45" s="31">
        <v>246779412119</v>
      </c>
      <c r="M45" s="30"/>
      <c r="N45" s="30">
        <v>98</v>
      </c>
    </row>
    <row r="46" spans="1:14" x14ac:dyDescent="0.35">
      <c r="A46" s="17">
        <v>246779411938</v>
      </c>
      <c r="B46" s="18">
        <v>45733</v>
      </c>
      <c r="C46" t="s">
        <v>407</v>
      </c>
      <c r="D46" t="s">
        <v>411</v>
      </c>
      <c r="F46" s="19">
        <v>4466.9907999999996</v>
      </c>
      <c r="G46" s="19">
        <v>-587201.83620000002</v>
      </c>
      <c r="I46" s="19">
        <v>52.194800000000001</v>
      </c>
      <c r="J46" s="19">
        <v>-6861.4381999999996</v>
      </c>
      <c r="L46" s="31">
        <v>246779412121</v>
      </c>
      <c r="M46" s="30"/>
      <c r="N46" s="30">
        <v>98</v>
      </c>
    </row>
    <row r="47" spans="1:14" x14ac:dyDescent="0.35">
      <c r="A47" s="17">
        <v>246779411939</v>
      </c>
      <c r="B47" s="18">
        <v>45733</v>
      </c>
      <c r="C47" t="s">
        <v>407</v>
      </c>
      <c r="D47" t="s">
        <v>411</v>
      </c>
      <c r="F47" s="19">
        <v>1935.1864</v>
      </c>
      <c r="G47" s="19">
        <v>-593940.18920000002</v>
      </c>
      <c r="I47" s="19">
        <v>22.618400000000001</v>
      </c>
      <c r="J47" s="19">
        <v>-6940.1812</v>
      </c>
      <c r="L47" s="31">
        <v>246779412238</v>
      </c>
      <c r="M47" s="30"/>
      <c r="N47" s="30">
        <v>0</v>
      </c>
    </row>
    <row r="48" spans="1:14" x14ac:dyDescent="0.35">
      <c r="A48" s="17">
        <v>246779411940</v>
      </c>
      <c r="B48" s="18">
        <v>45733</v>
      </c>
      <c r="C48" t="s">
        <v>407</v>
      </c>
      <c r="D48" t="s">
        <v>411</v>
      </c>
      <c r="F48" s="19">
        <v>4422.6333999999997</v>
      </c>
      <c r="G48" s="19">
        <v>-426765.65379999997</v>
      </c>
      <c r="I48" s="19">
        <v>51.675400000000003</v>
      </c>
      <c r="J48" s="19">
        <v>-4986.7438000000002</v>
      </c>
      <c r="L48" s="31">
        <v>246779412981</v>
      </c>
      <c r="M48" s="30"/>
      <c r="N48" s="30">
        <v>1033.7670000000001</v>
      </c>
    </row>
    <row r="49" spans="1:14" x14ac:dyDescent="0.35">
      <c r="A49" s="17">
        <v>246779411941</v>
      </c>
      <c r="B49" s="18">
        <v>45733</v>
      </c>
      <c r="C49" t="s">
        <v>407</v>
      </c>
      <c r="D49" t="s">
        <v>411</v>
      </c>
      <c r="F49" s="19">
        <v>6375.7915999999996</v>
      </c>
      <c r="G49" s="19">
        <v>-580253.44539999997</v>
      </c>
      <c r="I49" s="19">
        <v>74.499600000000001</v>
      </c>
      <c r="J49" s="19">
        <v>-6780.2434000000003</v>
      </c>
      <c r="L49" s="31">
        <v>246779413016</v>
      </c>
      <c r="M49" s="30"/>
      <c r="N49" s="30">
        <v>361.81799999999998</v>
      </c>
    </row>
    <row r="50" spans="1:14" x14ac:dyDescent="0.35">
      <c r="A50" s="17">
        <v>246779412066</v>
      </c>
      <c r="B50" s="18">
        <v>45733</v>
      </c>
      <c r="C50" t="s">
        <v>407</v>
      </c>
      <c r="D50" t="s">
        <v>411</v>
      </c>
      <c r="F50" s="19">
        <v>5577.07</v>
      </c>
      <c r="G50" s="19">
        <v>-630162.33539999998</v>
      </c>
      <c r="I50" s="19">
        <v>65.17</v>
      </c>
      <c r="J50" s="19">
        <v>-7363.4333999999999</v>
      </c>
      <c r="L50" s="31">
        <v>246779413089</v>
      </c>
      <c r="M50" s="30"/>
      <c r="N50" s="30">
        <v>77.468999999999994</v>
      </c>
    </row>
    <row r="51" spans="1:14" x14ac:dyDescent="0.35">
      <c r="A51" s="17">
        <v>246779412116</v>
      </c>
      <c r="B51" s="18">
        <v>45733</v>
      </c>
      <c r="C51" t="s">
        <v>407</v>
      </c>
      <c r="D51" t="s">
        <v>411</v>
      </c>
      <c r="F51" s="19">
        <v>8387</v>
      </c>
      <c r="G51" s="19">
        <v>-1807404.5127999999</v>
      </c>
      <c r="I51" s="19">
        <v>98</v>
      </c>
      <c r="J51" s="19">
        <v>-21119.484799999998</v>
      </c>
      <c r="L51" s="31">
        <v>246779413214</v>
      </c>
      <c r="M51" s="30"/>
      <c r="N51" s="30">
        <v>76.557599999999994</v>
      </c>
    </row>
    <row r="52" spans="1:14" x14ac:dyDescent="0.35">
      <c r="A52" s="17">
        <v>246779412119</v>
      </c>
      <c r="B52" s="18">
        <v>45733</v>
      </c>
      <c r="C52" t="s">
        <v>407</v>
      </c>
      <c r="D52" t="s">
        <v>411</v>
      </c>
      <c r="F52" s="19">
        <v>8387</v>
      </c>
      <c r="G52" s="19">
        <v>-1780063.4328000001</v>
      </c>
      <c r="I52" s="19">
        <v>98</v>
      </c>
      <c r="J52" s="19">
        <v>-20800.004799999999</v>
      </c>
      <c r="L52" s="31">
        <v>246779413797</v>
      </c>
      <c r="M52" s="30">
        <v>20</v>
      </c>
      <c r="N52" s="30">
        <v>1719</v>
      </c>
    </row>
    <row r="53" spans="1:14" x14ac:dyDescent="0.35">
      <c r="A53" s="17">
        <v>246779412121</v>
      </c>
      <c r="B53" s="18">
        <v>45733</v>
      </c>
      <c r="C53" t="s">
        <v>407</v>
      </c>
      <c r="D53" t="s">
        <v>411</v>
      </c>
      <c r="F53" s="19">
        <v>8387</v>
      </c>
      <c r="G53" s="19">
        <v>-1799017.5127999999</v>
      </c>
      <c r="I53" s="19">
        <v>98</v>
      </c>
      <c r="J53" s="19">
        <v>-21021.484799999998</v>
      </c>
      <c r="L53" s="31">
        <v>246779413808</v>
      </c>
      <c r="M53" s="30">
        <v>20</v>
      </c>
      <c r="N53" s="30">
        <v>1572</v>
      </c>
    </row>
    <row r="54" spans="1:14" x14ac:dyDescent="0.35">
      <c r="A54" s="17">
        <v>246779412238</v>
      </c>
      <c r="B54" s="20">
        <v>45730</v>
      </c>
      <c r="C54" t="s">
        <v>407</v>
      </c>
      <c r="D54" t="s">
        <v>411</v>
      </c>
      <c r="F54" s="19">
        <v>79318.285000000003</v>
      </c>
      <c r="G54" s="19">
        <v>-1221392.0242000001</v>
      </c>
      <c r="I54" s="19">
        <v>926.83500000000004</v>
      </c>
      <c r="J54" s="19">
        <v>-14271.9398</v>
      </c>
      <c r="L54" s="31">
        <v>246779413817</v>
      </c>
      <c r="M54" s="30"/>
      <c r="N54" s="30">
        <v>49</v>
      </c>
    </row>
    <row r="55" spans="1:14" x14ac:dyDescent="0.35">
      <c r="A55" s="21">
        <v>246779412238</v>
      </c>
      <c r="B55" s="20">
        <v>45747</v>
      </c>
      <c r="C55" t="s">
        <v>419</v>
      </c>
      <c r="D55" t="s">
        <v>411</v>
      </c>
      <c r="F55" s="19">
        <v>-79318.285000000003</v>
      </c>
      <c r="G55" s="19">
        <v>-1855753.6947999999</v>
      </c>
      <c r="I55" s="19">
        <v>-926.83500000000004</v>
      </c>
      <c r="J55" s="19">
        <v>-21684.434799999999</v>
      </c>
      <c r="L55" s="31">
        <v>246779413828</v>
      </c>
      <c r="M55" s="30"/>
      <c r="N55" s="30">
        <v>49</v>
      </c>
    </row>
    <row r="56" spans="1:14" x14ac:dyDescent="0.35">
      <c r="A56" s="17">
        <v>246779412981</v>
      </c>
      <c r="B56" s="20">
        <v>45735</v>
      </c>
      <c r="C56" t="s">
        <v>407</v>
      </c>
      <c r="D56" t="s">
        <v>408</v>
      </c>
      <c r="F56" s="19">
        <v>88469.755399999995</v>
      </c>
      <c r="G56" s="19">
        <v>-1944223.4502000001</v>
      </c>
      <c r="I56" s="19">
        <v>1033.7670000000001</v>
      </c>
      <c r="J56" s="19">
        <v>-22718.201799999999</v>
      </c>
      <c r="L56" s="31">
        <v>246779413905</v>
      </c>
      <c r="M56" s="30"/>
      <c r="N56" s="30">
        <v>4.3120000000000003</v>
      </c>
    </row>
    <row r="57" spans="1:14" x14ac:dyDescent="0.35">
      <c r="A57" s="17">
        <v>246779413016</v>
      </c>
      <c r="B57" s="18">
        <v>45735</v>
      </c>
      <c r="C57" t="s">
        <v>407</v>
      </c>
      <c r="D57" t="s">
        <v>408</v>
      </c>
      <c r="F57" s="19">
        <v>30964.871599999999</v>
      </c>
      <c r="G57" s="19">
        <v>-1935071.9798000001</v>
      </c>
      <c r="I57" s="19">
        <v>361.81799999999998</v>
      </c>
      <c r="J57" s="19">
        <v>-22611.269799999998</v>
      </c>
      <c r="L57" s="31">
        <v>246779414143</v>
      </c>
      <c r="M57" s="30"/>
      <c r="N57" s="30">
        <v>554.78779999999995</v>
      </c>
    </row>
    <row r="58" spans="1:14" x14ac:dyDescent="0.35">
      <c r="A58" s="17">
        <v>246779413089</v>
      </c>
      <c r="B58" s="20">
        <v>45735</v>
      </c>
      <c r="C58" t="s">
        <v>407</v>
      </c>
      <c r="D58" t="s">
        <v>411</v>
      </c>
      <c r="F58" s="19">
        <v>6630.0990000000002</v>
      </c>
      <c r="G58" s="19">
        <v>-1619967.3626000001</v>
      </c>
      <c r="I58" s="19">
        <v>77.468999999999994</v>
      </c>
      <c r="J58" s="19">
        <v>-18929.283800000001</v>
      </c>
      <c r="L58" s="31">
        <v>246779414144</v>
      </c>
      <c r="M58" s="30"/>
      <c r="N58" s="30">
        <v>123.48</v>
      </c>
    </row>
    <row r="59" spans="1:14" x14ac:dyDescent="0.35">
      <c r="A59" s="17">
        <v>246779413214</v>
      </c>
      <c r="B59" s="18">
        <v>45735</v>
      </c>
      <c r="C59" t="s">
        <v>407</v>
      </c>
      <c r="D59" t="s">
        <v>411</v>
      </c>
      <c r="F59" s="19">
        <v>6551.5096000000003</v>
      </c>
      <c r="G59" s="19">
        <v>-387397.40179999999</v>
      </c>
      <c r="I59" s="19">
        <v>76.557599999999994</v>
      </c>
      <c r="J59" s="19">
        <v>-4526.7317999999996</v>
      </c>
      <c r="L59" s="31">
        <v>246779414145</v>
      </c>
      <c r="M59" s="30"/>
      <c r="N59" s="30">
        <v>147</v>
      </c>
    </row>
    <row r="60" spans="1:14" x14ac:dyDescent="0.35">
      <c r="A60" s="17">
        <v>246779413797</v>
      </c>
      <c r="B60" s="18">
        <v>45736</v>
      </c>
      <c r="C60" t="s">
        <v>407</v>
      </c>
      <c r="D60" t="s">
        <v>412</v>
      </c>
      <c r="F60" s="19">
        <v>147112</v>
      </c>
      <c r="G60" s="19">
        <v>-573877.65379999997</v>
      </c>
      <c r="I60" s="19">
        <v>1719</v>
      </c>
      <c r="J60" s="19">
        <v>-6705.7438000000002</v>
      </c>
      <c r="L60" s="31">
        <v>246779414146</v>
      </c>
      <c r="M60" s="30"/>
      <c r="N60" s="30">
        <v>17.414999999999999</v>
      </c>
    </row>
    <row r="61" spans="1:14" x14ac:dyDescent="0.35">
      <c r="A61" s="17">
        <v>246779413797</v>
      </c>
      <c r="B61" s="18">
        <v>45736</v>
      </c>
      <c r="C61" t="s">
        <v>413</v>
      </c>
      <c r="D61" t="s">
        <v>414</v>
      </c>
      <c r="E61" s="19">
        <v>1711.6</v>
      </c>
      <c r="G61" s="19">
        <v>-578541.84539999999</v>
      </c>
      <c r="H61" s="19">
        <v>20</v>
      </c>
      <c r="J61" s="19">
        <v>-6760.2434000000003</v>
      </c>
      <c r="L61" s="31">
        <v>246779414222</v>
      </c>
      <c r="M61" s="30"/>
      <c r="N61" s="30">
        <v>192.84440000000001</v>
      </c>
    </row>
    <row r="62" spans="1:14" x14ac:dyDescent="0.35">
      <c r="A62" s="17">
        <v>246779413797</v>
      </c>
      <c r="B62" s="18">
        <v>45736</v>
      </c>
      <c r="C62" t="s">
        <v>413</v>
      </c>
      <c r="D62" t="s">
        <v>414</v>
      </c>
      <c r="F62" s="19">
        <v>1711.6</v>
      </c>
      <c r="G62" s="19">
        <v>-635710.36459999997</v>
      </c>
      <c r="I62" s="19">
        <v>20</v>
      </c>
      <c r="J62" s="19">
        <v>-7428.2586000000001</v>
      </c>
      <c r="L62" s="31">
        <v>246779414318</v>
      </c>
      <c r="M62" s="30"/>
      <c r="N62" s="30">
        <v>44.825200000000002</v>
      </c>
    </row>
    <row r="63" spans="1:14" x14ac:dyDescent="0.35">
      <c r="A63" s="17">
        <v>246779413797</v>
      </c>
      <c r="B63" s="18">
        <v>45736</v>
      </c>
      <c r="C63" t="s">
        <v>415</v>
      </c>
      <c r="D63" t="s">
        <v>414</v>
      </c>
      <c r="E63" s="19">
        <v>-1711.6</v>
      </c>
      <c r="G63" s="19">
        <v>-637421.96459999995</v>
      </c>
      <c r="H63" s="19">
        <v>-20</v>
      </c>
      <c r="J63" s="19">
        <v>-7448.2586000000001</v>
      </c>
      <c r="L63" s="31">
        <v>246779414397</v>
      </c>
      <c r="M63" s="30"/>
      <c r="N63" s="30">
        <v>6.8894000000000002</v>
      </c>
    </row>
    <row r="64" spans="1:14" x14ac:dyDescent="0.35">
      <c r="A64" s="17">
        <v>246779413797</v>
      </c>
      <c r="B64" s="18">
        <v>45736</v>
      </c>
      <c r="C64" t="s">
        <v>413</v>
      </c>
      <c r="D64" t="s">
        <v>414</v>
      </c>
      <c r="E64" s="19">
        <v>1711.6</v>
      </c>
      <c r="G64" s="19">
        <v>-1854196.2548</v>
      </c>
      <c r="H64" s="19">
        <v>20</v>
      </c>
      <c r="J64" s="19">
        <v>-21666.234799999998</v>
      </c>
      <c r="L64" s="31">
        <v>246779414398</v>
      </c>
      <c r="M64" s="30"/>
      <c r="N64" s="30">
        <v>31.732399999999998</v>
      </c>
    </row>
    <row r="65" spans="1:14" x14ac:dyDescent="0.35">
      <c r="A65" s="17">
        <v>246779413797</v>
      </c>
      <c r="B65" s="18">
        <v>45736</v>
      </c>
      <c r="C65" t="s">
        <v>420</v>
      </c>
      <c r="D65" t="s">
        <v>414</v>
      </c>
      <c r="F65" s="19">
        <v>-1711.6</v>
      </c>
      <c r="G65" s="19">
        <v>-1852484.6547999999</v>
      </c>
      <c r="I65" s="19">
        <v>-20</v>
      </c>
      <c r="J65" s="19">
        <v>-21646.234799999998</v>
      </c>
      <c r="L65" s="31">
        <v>246779414399</v>
      </c>
      <c r="M65" s="30"/>
      <c r="N65" s="30">
        <v>75.499200000000002</v>
      </c>
    </row>
    <row r="66" spans="1:14" x14ac:dyDescent="0.35">
      <c r="A66" s="17">
        <v>246779413808</v>
      </c>
      <c r="B66" s="18">
        <v>45736</v>
      </c>
      <c r="C66" t="s">
        <v>407</v>
      </c>
      <c r="D66" t="s">
        <v>412</v>
      </c>
      <c r="F66" s="19">
        <v>134532</v>
      </c>
      <c r="G66" s="19">
        <v>-1472894.6666000001</v>
      </c>
      <c r="I66" s="19">
        <v>1572</v>
      </c>
      <c r="J66" s="19">
        <v>-17210.746200000001</v>
      </c>
      <c r="L66" s="31">
        <v>246779414468</v>
      </c>
      <c r="M66" s="30"/>
      <c r="N66" s="30">
        <v>90.375600000000006</v>
      </c>
    </row>
    <row r="67" spans="1:14" x14ac:dyDescent="0.35">
      <c r="A67" s="17">
        <v>246779413808</v>
      </c>
      <c r="B67" s="18">
        <v>45736</v>
      </c>
      <c r="C67" t="s">
        <v>416</v>
      </c>
      <c r="D67" t="s">
        <v>414</v>
      </c>
      <c r="E67" s="19">
        <v>1711.6</v>
      </c>
      <c r="G67" s="19">
        <v>-1471183.0666</v>
      </c>
      <c r="H67" s="19">
        <v>20</v>
      </c>
      <c r="J67" s="19">
        <v>-17190.746200000001</v>
      </c>
      <c r="L67" s="31">
        <v>246779414604</v>
      </c>
      <c r="M67" s="30"/>
      <c r="N67" s="30">
        <v>448.89879999999999</v>
      </c>
    </row>
    <row r="68" spans="1:14" x14ac:dyDescent="0.35">
      <c r="A68" s="17">
        <v>246779413817</v>
      </c>
      <c r="B68" s="18">
        <v>45736</v>
      </c>
      <c r="C68" t="s">
        <v>407</v>
      </c>
      <c r="D68" t="s">
        <v>411</v>
      </c>
      <c r="F68" s="19">
        <v>4193</v>
      </c>
      <c r="G68" s="19">
        <v>-1336872.6936000001</v>
      </c>
      <c r="I68" s="19">
        <v>49</v>
      </c>
      <c r="J68" s="19">
        <v>-15621.331200000001</v>
      </c>
      <c r="L68" s="31">
        <v>246779414682</v>
      </c>
      <c r="M68" s="30"/>
      <c r="N68" s="30">
        <v>89.0428</v>
      </c>
    </row>
    <row r="69" spans="1:14" x14ac:dyDescent="0.35">
      <c r="A69" s="17">
        <v>246779413828</v>
      </c>
      <c r="B69" s="20">
        <v>45736</v>
      </c>
      <c r="C69" t="s">
        <v>407</v>
      </c>
      <c r="D69" t="s">
        <v>411</v>
      </c>
      <c r="F69" s="19">
        <v>4193</v>
      </c>
      <c r="G69" s="19">
        <v>-582734.84539999999</v>
      </c>
      <c r="I69" s="19">
        <v>49</v>
      </c>
      <c r="J69" s="19">
        <v>-6809.2434000000003</v>
      </c>
      <c r="L69" s="31">
        <v>246779414731</v>
      </c>
      <c r="M69" s="30"/>
      <c r="N69" s="30">
        <v>90</v>
      </c>
    </row>
    <row r="70" spans="1:14" x14ac:dyDescent="0.35">
      <c r="A70" s="17">
        <v>246779413905</v>
      </c>
      <c r="B70" s="18">
        <v>45736</v>
      </c>
      <c r="C70" t="s">
        <v>407</v>
      </c>
      <c r="D70" t="s">
        <v>409</v>
      </c>
      <c r="F70" s="19">
        <v>368.55200000000002</v>
      </c>
      <c r="G70" s="19">
        <v>-929655.47400000005</v>
      </c>
      <c r="I70" s="19">
        <v>4.3120000000000003</v>
      </c>
      <c r="J70" s="19">
        <v>-10863.002</v>
      </c>
      <c r="L70" s="31">
        <v>246779414732</v>
      </c>
      <c r="M70" s="30"/>
      <c r="N70" s="30">
        <v>90</v>
      </c>
    </row>
    <row r="71" spans="1:14" x14ac:dyDescent="0.35">
      <c r="A71" s="17">
        <v>246779414143</v>
      </c>
      <c r="B71" s="18">
        <v>45736</v>
      </c>
      <c r="C71" t="s">
        <v>407</v>
      </c>
      <c r="D71" t="s">
        <v>409</v>
      </c>
      <c r="F71" s="19">
        <v>47478.693800000001</v>
      </c>
      <c r="G71" s="19">
        <v>-1285374.1503999999</v>
      </c>
      <c r="I71" s="19">
        <v>554.78779999999995</v>
      </c>
      <c r="J71" s="19">
        <v>-15019.572</v>
      </c>
      <c r="L71" s="31">
        <v>246779414733</v>
      </c>
      <c r="M71" s="30"/>
      <c r="N71" s="30">
        <v>90</v>
      </c>
    </row>
    <row r="72" spans="1:14" x14ac:dyDescent="0.35">
      <c r="A72" s="17">
        <v>246779414144</v>
      </c>
      <c r="B72" s="18">
        <v>45736</v>
      </c>
      <c r="C72" t="s">
        <v>407</v>
      </c>
      <c r="D72" t="s">
        <v>418</v>
      </c>
      <c r="F72" s="19">
        <v>10567.08</v>
      </c>
      <c r="G72" s="19">
        <v>-1790630.5127999999</v>
      </c>
      <c r="I72" s="19">
        <v>123.48</v>
      </c>
      <c r="J72" s="19">
        <v>-20923.484799999998</v>
      </c>
      <c r="L72" s="31">
        <v>246779414734</v>
      </c>
      <c r="M72" s="30"/>
      <c r="N72" s="30">
        <v>90</v>
      </c>
    </row>
    <row r="73" spans="1:14" x14ac:dyDescent="0.35">
      <c r="A73" s="17">
        <v>246779414145</v>
      </c>
      <c r="B73" s="18">
        <v>45736</v>
      </c>
      <c r="C73" t="s">
        <v>407</v>
      </c>
      <c r="D73" t="s">
        <v>417</v>
      </c>
      <c r="F73" s="19">
        <v>12580</v>
      </c>
      <c r="G73" s="19">
        <v>-1483763.0666</v>
      </c>
      <c r="I73" s="19">
        <v>147</v>
      </c>
      <c r="J73" s="19">
        <v>-17337.746200000001</v>
      </c>
      <c r="L73" s="31">
        <v>246779414735</v>
      </c>
      <c r="M73" s="30"/>
      <c r="N73" s="30">
        <v>95.451999999999998</v>
      </c>
    </row>
    <row r="74" spans="1:14" x14ac:dyDescent="0.35">
      <c r="A74" s="17">
        <v>246779414146</v>
      </c>
      <c r="B74" s="18">
        <v>45736</v>
      </c>
      <c r="C74" t="s">
        <v>407</v>
      </c>
      <c r="D74" t="s">
        <v>412</v>
      </c>
      <c r="F74" s="19">
        <v>1489.973</v>
      </c>
      <c r="G74" s="19">
        <v>-1338362.6666000001</v>
      </c>
      <c r="I74" s="19">
        <v>17.414999999999999</v>
      </c>
      <c r="J74" s="19">
        <v>-15638.7462</v>
      </c>
      <c r="L74" s="31">
        <v>246779414886</v>
      </c>
      <c r="M74" s="30"/>
      <c r="N74" s="30">
        <v>30.184000000000001</v>
      </c>
    </row>
    <row r="75" spans="1:14" x14ac:dyDescent="0.35">
      <c r="A75" s="17">
        <v>246779414222</v>
      </c>
      <c r="B75" s="18">
        <v>45736</v>
      </c>
      <c r="C75" t="s">
        <v>407</v>
      </c>
      <c r="D75" t="s">
        <v>409</v>
      </c>
      <c r="F75" s="19">
        <v>16503.432400000002</v>
      </c>
      <c r="G75" s="19">
        <v>-1237895.4565999999</v>
      </c>
      <c r="I75" s="19">
        <v>192.84440000000001</v>
      </c>
      <c r="J75" s="19">
        <v>-14464.7842</v>
      </c>
      <c r="L75" s="31">
        <v>246779414887</v>
      </c>
      <c r="M75" s="30"/>
      <c r="N75" s="30">
        <v>7.1246</v>
      </c>
    </row>
    <row r="76" spans="1:14" x14ac:dyDescent="0.35">
      <c r="A76" s="17">
        <v>246779414318</v>
      </c>
      <c r="B76" s="18">
        <v>45737</v>
      </c>
      <c r="C76" t="s">
        <v>407</v>
      </c>
      <c r="D76" t="s">
        <v>409</v>
      </c>
      <c r="F76" s="19">
        <v>3836.4292</v>
      </c>
      <c r="G76" s="19">
        <v>-633998.76459999999</v>
      </c>
      <c r="I76" s="19">
        <v>44.825200000000002</v>
      </c>
      <c r="J76" s="19">
        <v>-7408.2586000000001</v>
      </c>
      <c r="L76" s="31">
        <v>246779414889</v>
      </c>
      <c r="M76" s="30"/>
      <c r="N76" s="30">
        <v>2.4695999999999998</v>
      </c>
    </row>
    <row r="77" spans="1:14" x14ac:dyDescent="0.35">
      <c r="A77" s="17">
        <v>246779414397</v>
      </c>
      <c r="B77" s="18">
        <v>45736</v>
      </c>
      <c r="C77" t="s">
        <v>407</v>
      </c>
      <c r="D77" t="s">
        <v>409</v>
      </c>
      <c r="F77" s="19">
        <v>589.62739999999997</v>
      </c>
      <c r="G77" s="19">
        <v>-616442.15899999999</v>
      </c>
      <c r="I77" s="19">
        <v>6.8894000000000002</v>
      </c>
      <c r="J77" s="19">
        <v>-7203.125</v>
      </c>
      <c r="L77" s="31">
        <v>246779414890</v>
      </c>
      <c r="M77" s="30"/>
      <c r="N77" s="30">
        <v>43.12</v>
      </c>
    </row>
    <row r="78" spans="1:14" x14ac:dyDescent="0.35">
      <c r="A78" s="17">
        <v>246779414398</v>
      </c>
      <c r="B78" s="18">
        <v>45736</v>
      </c>
      <c r="C78" t="s">
        <v>407</v>
      </c>
      <c r="D78" t="s">
        <v>409</v>
      </c>
      <c r="F78" s="19">
        <v>2716.0803999999998</v>
      </c>
      <c r="G78" s="19">
        <v>-620894.74540000001</v>
      </c>
      <c r="I78" s="19">
        <v>31.732399999999998</v>
      </c>
      <c r="J78" s="19">
        <v>-7255.1433999999999</v>
      </c>
      <c r="L78" s="31">
        <v>256779410006</v>
      </c>
      <c r="M78" s="30">
        <v>20</v>
      </c>
      <c r="N78" s="30">
        <v>1670</v>
      </c>
    </row>
    <row r="79" spans="1:14" x14ac:dyDescent="0.35">
      <c r="A79" s="17">
        <v>246779414399</v>
      </c>
      <c r="B79" s="18">
        <v>45736</v>
      </c>
      <c r="C79" t="s">
        <v>407</v>
      </c>
      <c r="D79" t="s">
        <v>409</v>
      </c>
      <c r="F79" s="19">
        <v>6461.0832</v>
      </c>
      <c r="G79" s="19">
        <v>-936116.55720000004</v>
      </c>
      <c r="I79" s="19">
        <v>75.499200000000002</v>
      </c>
      <c r="J79" s="19">
        <v>-10938.501200000001</v>
      </c>
      <c r="L79" s="31">
        <v>256779410012</v>
      </c>
      <c r="M79" s="30">
        <v>20</v>
      </c>
      <c r="N79" s="30">
        <v>1719</v>
      </c>
    </row>
    <row r="80" spans="1:14" x14ac:dyDescent="0.35">
      <c r="A80" s="17">
        <v>246779414468</v>
      </c>
      <c r="B80" s="18">
        <v>45736</v>
      </c>
      <c r="C80" t="s">
        <v>407</v>
      </c>
      <c r="D80" t="s">
        <v>409</v>
      </c>
      <c r="F80" s="19">
        <v>7734.1876000000002</v>
      </c>
      <c r="G80" s="19">
        <v>-597481.37679999997</v>
      </c>
      <c r="I80" s="19">
        <v>90.375600000000006</v>
      </c>
      <c r="J80" s="19">
        <v>-6981.5568000000003</v>
      </c>
      <c r="L80" s="31">
        <v>256779410015</v>
      </c>
      <c r="M80" s="30">
        <v>20</v>
      </c>
      <c r="N80" s="30">
        <v>1670</v>
      </c>
    </row>
    <row r="81" spans="1:14" x14ac:dyDescent="0.35">
      <c r="A81" s="17">
        <v>246779414604</v>
      </c>
      <c r="B81" s="18">
        <v>45708</v>
      </c>
      <c r="C81" t="s">
        <v>407</v>
      </c>
      <c r="D81" t="s">
        <v>409</v>
      </c>
      <c r="F81" s="19">
        <v>38416.774799999999</v>
      </c>
      <c r="G81" s="19">
        <v>-254908.44399999999</v>
      </c>
      <c r="I81" s="19">
        <v>448.89879999999999</v>
      </c>
      <c r="J81" s="19">
        <v>-2978.5983999999999</v>
      </c>
      <c r="L81" s="31">
        <v>256779410136</v>
      </c>
      <c r="M81" s="30"/>
      <c r="N81" s="30">
        <v>9.6530000000000005</v>
      </c>
    </row>
    <row r="82" spans="1:14" x14ac:dyDescent="0.35">
      <c r="A82" s="17">
        <v>246779414682</v>
      </c>
      <c r="B82" s="18">
        <v>45736</v>
      </c>
      <c r="C82" t="s">
        <v>407</v>
      </c>
      <c r="D82" t="s">
        <v>409</v>
      </c>
      <c r="F82" s="19">
        <v>7619.7987999999996</v>
      </c>
      <c r="G82" s="19">
        <v>-605101.17559999996</v>
      </c>
      <c r="I82" s="19">
        <v>89.0428</v>
      </c>
      <c r="J82" s="19">
        <v>-7070.5995999999996</v>
      </c>
      <c r="L82" s="31">
        <v>256779410224</v>
      </c>
      <c r="M82" s="30">
        <v>20</v>
      </c>
      <c r="N82" s="30">
        <v>1719</v>
      </c>
    </row>
    <row r="83" spans="1:14" x14ac:dyDescent="0.35">
      <c r="A83" s="17">
        <v>246779414731</v>
      </c>
      <c r="B83" s="20">
        <v>45827</v>
      </c>
      <c r="C83" t="s">
        <v>407</v>
      </c>
      <c r="D83" t="s">
        <v>408</v>
      </c>
      <c r="F83" s="19">
        <v>7725</v>
      </c>
      <c r="G83" s="19">
        <v>-1018413.6421000001</v>
      </c>
      <c r="I83" s="19">
        <v>90</v>
      </c>
      <c r="J83" s="19">
        <v>-11902.1366</v>
      </c>
      <c r="L83" s="31">
        <v>256779411152</v>
      </c>
      <c r="M83" s="30"/>
      <c r="N83" s="30">
        <v>161.09</v>
      </c>
    </row>
    <row r="84" spans="1:14" x14ac:dyDescent="0.35">
      <c r="A84" s="17">
        <v>246779414732</v>
      </c>
      <c r="B84" s="20">
        <v>45827</v>
      </c>
      <c r="C84" t="s">
        <v>407</v>
      </c>
      <c r="D84" t="s">
        <v>408</v>
      </c>
      <c r="F84" s="19">
        <v>7725</v>
      </c>
      <c r="G84" s="19">
        <v>-1010688.6421000001</v>
      </c>
      <c r="I84" s="19">
        <v>90</v>
      </c>
      <c r="J84" s="19">
        <v>-11812.1366</v>
      </c>
      <c r="L84" s="31">
        <v>256779411153</v>
      </c>
      <c r="M84" s="30"/>
      <c r="N84" s="30">
        <v>26.01</v>
      </c>
    </row>
    <row r="85" spans="1:14" x14ac:dyDescent="0.35">
      <c r="A85" s="17">
        <v>246779414733</v>
      </c>
      <c r="B85" s="20">
        <v>45827</v>
      </c>
      <c r="C85" t="s">
        <v>407</v>
      </c>
      <c r="D85" t="s">
        <v>408</v>
      </c>
      <c r="F85" s="19">
        <v>7725</v>
      </c>
      <c r="G85" s="19">
        <v>-1002963.6421000001</v>
      </c>
      <c r="I85" s="19">
        <v>90</v>
      </c>
      <c r="J85" s="19">
        <v>-11722.1366</v>
      </c>
      <c r="L85" s="31">
        <v>256779411154</v>
      </c>
      <c r="M85" s="30"/>
      <c r="N85" s="30">
        <v>82.57</v>
      </c>
    </row>
    <row r="86" spans="1:14" x14ac:dyDescent="0.35">
      <c r="A86" s="17">
        <v>246779414734</v>
      </c>
      <c r="B86" s="20">
        <v>45827</v>
      </c>
      <c r="C86" t="s">
        <v>407</v>
      </c>
      <c r="D86" t="s">
        <v>408</v>
      </c>
      <c r="F86" s="19">
        <v>7725</v>
      </c>
      <c r="G86" s="19">
        <v>-995238.64210000006</v>
      </c>
      <c r="I86" s="19">
        <v>90</v>
      </c>
      <c r="J86" s="19">
        <v>-11632.1366</v>
      </c>
      <c r="L86" s="31">
        <v>256779411155</v>
      </c>
      <c r="M86" s="30"/>
      <c r="N86" s="30">
        <v>36.159999999999997</v>
      </c>
    </row>
    <row r="87" spans="1:14" x14ac:dyDescent="0.35">
      <c r="A87" s="17">
        <v>246779414735</v>
      </c>
      <c r="B87" s="18">
        <v>45736</v>
      </c>
      <c r="C87" t="s">
        <v>407</v>
      </c>
      <c r="D87" t="s">
        <v>409</v>
      </c>
      <c r="F87" s="19">
        <v>8168.4920000000002</v>
      </c>
      <c r="G87" s="19">
        <v>-613269.66760000004</v>
      </c>
      <c r="I87" s="19">
        <v>95.451999999999998</v>
      </c>
      <c r="J87" s="19">
        <v>-7166.0515999999998</v>
      </c>
      <c r="L87" s="31">
        <v>256779411156</v>
      </c>
      <c r="M87" s="30"/>
      <c r="N87" s="30">
        <v>19.829999999999998</v>
      </c>
    </row>
    <row r="88" spans="1:14" x14ac:dyDescent="0.35">
      <c r="A88" s="17">
        <v>246779414886</v>
      </c>
      <c r="B88" s="18">
        <v>45736</v>
      </c>
      <c r="C88" t="s">
        <v>407</v>
      </c>
      <c r="D88" t="s">
        <v>409</v>
      </c>
      <c r="F88" s="19">
        <v>2582.864</v>
      </c>
      <c r="G88" s="19">
        <v>-615852.53159999999</v>
      </c>
      <c r="I88" s="19">
        <v>30.184000000000001</v>
      </c>
      <c r="J88" s="19">
        <v>-7196.2356</v>
      </c>
      <c r="L88" s="31">
        <v>256779411157</v>
      </c>
      <c r="M88" s="30"/>
      <c r="N88" s="30">
        <v>113.99</v>
      </c>
    </row>
    <row r="89" spans="1:14" x14ac:dyDescent="0.35">
      <c r="A89" s="17">
        <v>246779414887</v>
      </c>
      <c r="B89" s="18">
        <v>45736</v>
      </c>
      <c r="C89" t="s">
        <v>407</v>
      </c>
      <c r="D89" t="s">
        <v>409</v>
      </c>
      <c r="F89" s="19">
        <v>610.16660000000002</v>
      </c>
      <c r="G89" s="19">
        <v>-617052.32559999998</v>
      </c>
      <c r="I89" s="19">
        <v>7.1246</v>
      </c>
      <c r="J89" s="19">
        <v>-7210.2496000000001</v>
      </c>
      <c r="L89" s="31">
        <v>256779411565</v>
      </c>
      <c r="M89" s="30"/>
      <c r="N89" s="30">
        <v>21.56</v>
      </c>
    </row>
    <row r="90" spans="1:14" x14ac:dyDescent="0.35">
      <c r="A90" s="17">
        <v>246779414889</v>
      </c>
      <c r="B90" s="18">
        <v>45736</v>
      </c>
      <c r="C90" t="s">
        <v>407</v>
      </c>
      <c r="D90" t="s">
        <v>409</v>
      </c>
      <c r="F90" s="19">
        <v>211.66159999999999</v>
      </c>
      <c r="G90" s="19">
        <v>-618178.66500000004</v>
      </c>
      <c r="I90" s="19">
        <v>2.4695999999999998</v>
      </c>
      <c r="J90" s="19">
        <v>-7223.4110000000001</v>
      </c>
      <c r="L90" s="31">
        <v>256779411566</v>
      </c>
      <c r="M90" s="30"/>
      <c r="N90" s="30">
        <v>4.3099999999999996</v>
      </c>
    </row>
    <row r="91" spans="1:14" x14ac:dyDescent="0.35">
      <c r="A91" s="17">
        <v>246779414890</v>
      </c>
      <c r="B91" s="18">
        <v>45736</v>
      </c>
      <c r="C91" t="s">
        <v>407</v>
      </c>
      <c r="D91" t="s">
        <v>409</v>
      </c>
      <c r="F91" s="19">
        <v>3690.52</v>
      </c>
      <c r="G91" s="19">
        <v>-624585.26540000003</v>
      </c>
      <c r="I91" s="19">
        <v>43.12</v>
      </c>
      <c r="J91" s="19">
        <v>-7298.2633999999998</v>
      </c>
      <c r="L91" s="31">
        <v>256779411567</v>
      </c>
      <c r="M91" s="30"/>
      <c r="N91" s="30">
        <v>5.72</v>
      </c>
    </row>
    <row r="92" spans="1:14" x14ac:dyDescent="0.35">
      <c r="A92" s="17">
        <v>256779410006</v>
      </c>
      <c r="B92" s="20">
        <v>45750</v>
      </c>
      <c r="C92" t="s">
        <v>407</v>
      </c>
      <c r="D92" t="s">
        <v>408</v>
      </c>
      <c r="F92" s="19">
        <v>143269</v>
      </c>
      <c r="G92" s="19">
        <v>-1819439.91</v>
      </c>
      <c r="I92" s="19">
        <v>1670</v>
      </c>
      <c r="J92" s="19">
        <v>-21248.6662</v>
      </c>
      <c r="L92" s="31">
        <v>256779411568</v>
      </c>
      <c r="M92" s="30"/>
      <c r="N92" s="30">
        <v>0.78</v>
      </c>
    </row>
    <row r="93" spans="1:14" x14ac:dyDescent="0.35">
      <c r="A93" s="17">
        <v>256779410006</v>
      </c>
      <c r="B93" s="20">
        <v>45750</v>
      </c>
      <c r="C93" t="s">
        <v>426</v>
      </c>
      <c r="D93" t="s">
        <v>414</v>
      </c>
      <c r="E93" s="19">
        <v>1715.8</v>
      </c>
      <c r="G93" s="19">
        <v>-1817724.11</v>
      </c>
      <c r="H93" s="19">
        <v>20</v>
      </c>
      <c r="J93" s="19">
        <v>-21228.6662</v>
      </c>
      <c r="L93" s="31">
        <v>256779411569</v>
      </c>
      <c r="M93" s="30"/>
      <c r="N93" s="30">
        <v>13.57</v>
      </c>
    </row>
    <row r="94" spans="1:14" x14ac:dyDescent="0.35">
      <c r="A94" s="17">
        <v>256779410012</v>
      </c>
      <c r="B94" s="20">
        <v>45750</v>
      </c>
      <c r="C94" t="s">
        <v>407</v>
      </c>
      <c r="D94" t="s">
        <v>408</v>
      </c>
      <c r="F94" s="19">
        <v>147473.5</v>
      </c>
      <c r="G94" s="19">
        <v>-1965197.61</v>
      </c>
      <c r="I94" s="19">
        <v>1719</v>
      </c>
      <c r="J94" s="19">
        <v>-22947.6662</v>
      </c>
      <c r="L94" s="31">
        <v>256779411570</v>
      </c>
      <c r="M94" s="30"/>
      <c r="N94" s="30">
        <v>17.79</v>
      </c>
    </row>
    <row r="95" spans="1:14" x14ac:dyDescent="0.35">
      <c r="A95" s="17">
        <v>256779410012</v>
      </c>
      <c r="B95" s="20">
        <v>45750</v>
      </c>
      <c r="C95" t="s">
        <v>428</v>
      </c>
      <c r="D95" t="s">
        <v>414</v>
      </c>
      <c r="E95" s="19">
        <v>1715.8</v>
      </c>
      <c r="G95" s="19">
        <v>-2105035.0099999998</v>
      </c>
      <c r="H95" s="19">
        <v>20</v>
      </c>
      <c r="J95" s="19">
        <v>-24577.6662</v>
      </c>
      <c r="L95" s="31">
        <v>256779411571</v>
      </c>
      <c r="M95" s="30"/>
      <c r="N95" s="30">
        <v>20.93</v>
      </c>
    </row>
    <row r="96" spans="1:14" x14ac:dyDescent="0.35">
      <c r="A96" s="17">
        <v>256779410015</v>
      </c>
      <c r="B96" s="20">
        <v>45750</v>
      </c>
      <c r="C96" t="s">
        <v>407</v>
      </c>
      <c r="D96" t="s">
        <v>408</v>
      </c>
      <c r="F96" s="19">
        <v>143269</v>
      </c>
      <c r="G96" s="19">
        <v>-2108466.61</v>
      </c>
      <c r="I96" s="19">
        <v>1670</v>
      </c>
      <c r="J96" s="19">
        <v>-24617.6662</v>
      </c>
      <c r="L96" s="31">
        <v>256779411572</v>
      </c>
      <c r="M96" s="30"/>
      <c r="N96" s="30">
        <v>1.93</v>
      </c>
    </row>
    <row r="97" spans="1:14" x14ac:dyDescent="0.35">
      <c r="A97" s="17">
        <v>256779410015</v>
      </c>
      <c r="B97" s="20">
        <v>45750</v>
      </c>
      <c r="C97" t="s">
        <v>427</v>
      </c>
      <c r="D97" t="s">
        <v>414</v>
      </c>
      <c r="E97" s="19">
        <v>1715.8</v>
      </c>
      <c r="G97" s="19">
        <v>-2106750.81</v>
      </c>
      <c r="H97" s="19">
        <v>20</v>
      </c>
      <c r="J97" s="19">
        <v>-24597.6662</v>
      </c>
      <c r="L97" s="31">
        <v>256779411573</v>
      </c>
      <c r="M97" s="30"/>
      <c r="N97" s="30">
        <v>23.73</v>
      </c>
    </row>
    <row r="98" spans="1:14" x14ac:dyDescent="0.35">
      <c r="A98" s="17">
        <v>256779410136</v>
      </c>
      <c r="B98" s="18">
        <v>45750</v>
      </c>
      <c r="C98" t="s">
        <v>407</v>
      </c>
      <c r="D98" t="s">
        <v>440</v>
      </c>
      <c r="F98" s="19">
        <v>838.37400000000002</v>
      </c>
      <c r="G98" s="19">
        <v>-896611.70990000002</v>
      </c>
      <c r="I98" s="19">
        <v>9.6530000000000005</v>
      </c>
      <c r="J98" s="19">
        <v>-10447.435600000001</v>
      </c>
      <c r="L98" s="31">
        <v>256779411574</v>
      </c>
      <c r="M98" s="30"/>
      <c r="N98" s="30">
        <v>14.41</v>
      </c>
    </row>
    <row r="99" spans="1:14" x14ac:dyDescent="0.35">
      <c r="A99" s="17">
        <v>256779410224</v>
      </c>
      <c r="B99" s="20">
        <v>45750</v>
      </c>
      <c r="C99" t="s">
        <v>407</v>
      </c>
      <c r="D99" t="s">
        <v>412</v>
      </c>
      <c r="F99" s="19">
        <v>146940</v>
      </c>
      <c r="G99" s="19">
        <v>-2290181.3020000001</v>
      </c>
      <c r="I99" s="19">
        <v>1719</v>
      </c>
      <c r="J99" s="19">
        <v>-26762.7984</v>
      </c>
      <c r="L99" s="31">
        <v>256779411575</v>
      </c>
      <c r="M99" s="30"/>
      <c r="N99" s="30">
        <v>21.902999999999999</v>
      </c>
    </row>
    <row r="100" spans="1:14" x14ac:dyDescent="0.35">
      <c r="A100" s="17">
        <v>256779410224</v>
      </c>
      <c r="B100" s="20">
        <v>45750</v>
      </c>
      <c r="C100" t="s">
        <v>421</v>
      </c>
      <c r="D100" t="s">
        <v>414</v>
      </c>
      <c r="E100" s="19">
        <v>1709.6</v>
      </c>
      <c r="G100" s="19">
        <v>-2288471.702</v>
      </c>
      <c r="H100" s="19">
        <v>20</v>
      </c>
      <c r="J100" s="19">
        <v>-26742.7984</v>
      </c>
      <c r="L100" s="31">
        <v>256779411576</v>
      </c>
      <c r="M100" s="30"/>
      <c r="N100" s="30">
        <v>21.09</v>
      </c>
    </row>
    <row r="101" spans="1:14" x14ac:dyDescent="0.35">
      <c r="A101" s="17">
        <v>256779411152</v>
      </c>
      <c r="B101" s="18">
        <v>45762</v>
      </c>
      <c r="C101" t="s">
        <v>407</v>
      </c>
      <c r="D101" t="s">
        <v>439</v>
      </c>
      <c r="F101" s="19">
        <v>13942.089</v>
      </c>
      <c r="G101" s="19">
        <v>-736955.29980000004</v>
      </c>
      <c r="I101" s="19">
        <v>161.09</v>
      </c>
      <c r="J101" s="19">
        <v>-8607.1787999999997</v>
      </c>
      <c r="L101" s="31">
        <v>256779411577</v>
      </c>
      <c r="M101" s="30"/>
      <c r="N101" s="30">
        <v>1.51</v>
      </c>
    </row>
    <row r="102" spans="1:14" x14ac:dyDescent="0.35">
      <c r="A102" s="17">
        <v>256779411153</v>
      </c>
      <c r="B102" s="18">
        <v>45762</v>
      </c>
      <c r="C102" t="s">
        <v>407</v>
      </c>
      <c r="D102" t="s">
        <v>418</v>
      </c>
      <c r="F102" s="19">
        <v>2251.0369999999998</v>
      </c>
      <c r="G102" s="19">
        <v>-739206.33680000005</v>
      </c>
      <c r="I102" s="19">
        <v>26.01</v>
      </c>
      <c r="J102" s="19">
        <v>-8633.1887999999999</v>
      </c>
      <c r="L102" s="31">
        <v>256779411578</v>
      </c>
      <c r="M102" s="30"/>
      <c r="N102" s="30">
        <v>7.05</v>
      </c>
    </row>
    <row r="103" spans="1:14" x14ac:dyDescent="0.35">
      <c r="A103" s="17">
        <v>256779411154</v>
      </c>
      <c r="B103" s="18">
        <v>45762</v>
      </c>
      <c r="C103" t="s">
        <v>407</v>
      </c>
      <c r="D103" t="s">
        <v>418</v>
      </c>
      <c r="F103" s="19">
        <v>7146.7030000000004</v>
      </c>
      <c r="G103" s="19">
        <v>-746353.03980000003</v>
      </c>
      <c r="I103" s="19">
        <v>82.57</v>
      </c>
      <c r="J103" s="19">
        <v>-8715.7587999999996</v>
      </c>
      <c r="L103" s="31">
        <v>256779411579</v>
      </c>
      <c r="M103" s="30"/>
      <c r="N103" s="30">
        <v>4.75</v>
      </c>
    </row>
    <row r="104" spans="1:14" x14ac:dyDescent="0.35">
      <c r="A104" s="17">
        <v>256779411155</v>
      </c>
      <c r="B104" s="18">
        <v>45762</v>
      </c>
      <c r="C104" t="s">
        <v>407</v>
      </c>
      <c r="D104" t="s">
        <v>440</v>
      </c>
      <c r="F104" s="19">
        <v>3129.6950000000002</v>
      </c>
      <c r="G104" s="19">
        <v>-749482.73479999998</v>
      </c>
      <c r="I104" s="19">
        <v>36.159999999999997</v>
      </c>
      <c r="J104" s="19">
        <v>-8751.9187999999995</v>
      </c>
      <c r="L104" s="31">
        <v>256779411580</v>
      </c>
      <c r="M104" s="30"/>
      <c r="N104" s="30">
        <v>21.32</v>
      </c>
    </row>
    <row r="105" spans="1:14" x14ac:dyDescent="0.35">
      <c r="A105" s="17">
        <v>256779411156</v>
      </c>
      <c r="B105" s="18">
        <v>45762</v>
      </c>
      <c r="C105" t="s">
        <v>407</v>
      </c>
      <c r="D105" t="s">
        <v>440</v>
      </c>
      <c r="F105" s="19">
        <v>1715.9065000000001</v>
      </c>
      <c r="G105" s="19">
        <v>-751198.64130000002</v>
      </c>
      <c r="I105" s="19">
        <v>19.829999999999998</v>
      </c>
      <c r="J105" s="19">
        <v>-8771.7487999999994</v>
      </c>
      <c r="L105" s="31">
        <v>256779411581</v>
      </c>
      <c r="M105" s="30"/>
      <c r="N105" s="30">
        <v>2.16</v>
      </c>
    </row>
    <row r="106" spans="1:14" x14ac:dyDescent="0.35">
      <c r="A106" s="17">
        <v>256779411157</v>
      </c>
      <c r="B106" s="18">
        <v>45762</v>
      </c>
      <c r="C106" t="s">
        <v>407</v>
      </c>
      <c r="D106" t="s">
        <v>440</v>
      </c>
      <c r="F106" s="19">
        <v>9866.4959999999992</v>
      </c>
      <c r="G106" s="19">
        <v>-761065.13729999994</v>
      </c>
      <c r="I106" s="19">
        <v>113.99</v>
      </c>
      <c r="J106" s="19">
        <v>-8885.7387999999992</v>
      </c>
      <c r="L106" s="31">
        <v>256779411582</v>
      </c>
      <c r="M106" s="30"/>
      <c r="N106" s="30">
        <v>1.0900000000000001</v>
      </c>
    </row>
    <row r="107" spans="1:14" x14ac:dyDescent="0.35">
      <c r="A107" s="17">
        <v>256779411565</v>
      </c>
      <c r="B107" s="18">
        <v>45762</v>
      </c>
      <c r="C107" t="s">
        <v>407</v>
      </c>
      <c r="D107" t="s">
        <v>440</v>
      </c>
      <c r="F107" s="19">
        <v>1866.1</v>
      </c>
      <c r="G107" s="19">
        <v>-762931.23730000004</v>
      </c>
      <c r="I107" s="19">
        <v>21.56</v>
      </c>
      <c r="J107" s="19">
        <v>-8907.2988000000005</v>
      </c>
      <c r="L107" s="31">
        <v>256779411583</v>
      </c>
      <c r="M107" s="30"/>
      <c r="N107" s="30">
        <v>10.78</v>
      </c>
    </row>
    <row r="108" spans="1:14" x14ac:dyDescent="0.35">
      <c r="A108" s="17">
        <v>256779411566</v>
      </c>
      <c r="B108" s="18">
        <v>45762</v>
      </c>
      <c r="C108" t="s">
        <v>407</v>
      </c>
      <c r="D108" t="s">
        <v>440</v>
      </c>
      <c r="F108" s="19">
        <v>372.82</v>
      </c>
      <c r="G108" s="19">
        <v>-763304.05729999999</v>
      </c>
      <c r="I108" s="19">
        <v>4.3099999999999996</v>
      </c>
      <c r="J108" s="19">
        <v>-8911.6088</v>
      </c>
      <c r="L108" s="31">
        <v>256779411584</v>
      </c>
      <c r="M108" s="30"/>
      <c r="N108" s="30">
        <v>22.75</v>
      </c>
    </row>
    <row r="109" spans="1:14" x14ac:dyDescent="0.35">
      <c r="A109" s="17">
        <v>256779411567</v>
      </c>
      <c r="B109" s="18">
        <v>45762</v>
      </c>
      <c r="C109" t="s">
        <v>407</v>
      </c>
      <c r="D109" t="s">
        <v>440</v>
      </c>
      <c r="F109" s="19">
        <v>495.452</v>
      </c>
      <c r="G109" s="19">
        <v>-763799.50930000003</v>
      </c>
      <c r="I109" s="19">
        <v>5.72</v>
      </c>
      <c r="J109" s="19">
        <v>-8917.3287999999993</v>
      </c>
      <c r="L109" s="31">
        <v>256779411585</v>
      </c>
      <c r="M109" s="30"/>
      <c r="N109" s="30">
        <v>7.65</v>
      </c>
    </row>
    <row r="110" spans="1:14" x14ac:dyDescent="0.35">
      <c r="A110" s="17">
        <v>256779411568</v>
      </c>
      <c r="B110" s="18">
        <v>45762</v>
      </c>
      <c r="C110" t="s">
        <v>407</v>
      </c>
      <c r="D110" t="s">
        <v>440</v>
      </c>
      <c r="F110" s="19">
        <v>68.239999999999995</v>
      </c>
      <c r="G110" s="19">
        <v>-763867.74930000002</v>
      </c>
      <c r="I110" s="19">
        <v>0.78</v>
      </c>
      <c r="J110" s="19">
        <v>-8918.1088</v>
      </c>
      <c r="L110" s="31">
        <v>256779411887</v>
      </c>
      <c r="M110" s="30"/>
      <c r="N110" s="30">
        <v>69.795599999999993</v>
      </c>
    </row>
    <row r="111" spans="1:14" x14ac:dyDescent="0.35">
      <c r="A111" s="17">
        <v>256779411569</v>
      </c>
      <c r="B111" s="18">
        <v>45762</v>
      </c>
      <c r="C111" t="s">
        <v>407</v>
      </c>
      <c r="D111" t="s">
        <v>440</v>
      </c>
      <c r="F111" s="19">
        <v>1174.7175</v>
      </c>
      <c r="G111" s="19">
        <v>-765042.46680000005</v>
      </c>
      <c r="I111" s="19">
        <v>13.57</v>
      </c>
      <c r="J111" s="19">
        <v>-8931.6787999999997</v>
      </c>
      <c r="L111" s="31">
        <v>256779411984</v>
      </c>
      <c r="M111" s="30"/>
      <c r="N111" s="30">
        <v>38.749200000000002</v>
      </c>
    </row>
    <row r="112" spans="1:14" x14ac:dyDescent="0.35">
      <c r="A112" s="17">
        <v>256779411570</v>
      </c>
      <c r="B112" s="18">
        <v>45762</v>
      </c>
      <c r="C112" t="s">
        <v>407</v>
      </c>
      <c r="D112" t="s">
        <v>440</v>
      </c>
      <c r="F112" s="19">
        <v>1539.8824999999999</v>
      </c>
      <c r="G112" s="19">
        <v>-766582.3493</v>
      </c>
      <c r="I112" s="19">
        <v>17.79</v>
      </c>
      <c r="J112" s="19">
        <v>-8949.4688000000006</v>
      </c>
      <c r="L112" s="31">
        <v>256779412020</v>
      </c>
      <c r="M112" s="30"/>
      <c r="N112" s="30">
        <v>83.505799999999994</v>
      </c>
    </row>
    <row r="113" spans="1:14" x14ac:dyDescent="0.35">
      <c r="A113" s="17">
        <v>256779411571</v>
      </c>
      <c r="B113" s="18">
        <v>45762</v>
      </c>
      <c r="C113" t="s">
        <v>407</v>
      </c>
      <c r="D113" t="s">
        <v>440</v>
      </c>
      <c r="F113" s="19">
        <v>1811.7080000000001</v>
      </c>
      <c r="G113" s="19">
        <v>-768394.05729999999</v>
      </c>
      <c r="I113" s="19">
        <v>20.93</v>
      </c>
      <c r="J113" s="19">
        <v>-8970.3988000000008</v>
      </c>
      <c r="L113" s="31">
        <v>256779412101</v>
      </c>
      <c r="M113" s="30"/>
      <c r="N113" s="30">
        <v>168.28</v>
      </c>
    </row>
    <row r="114" spans="1:14" x14ac:dyDescent="0.35">
      <c r="A114" s="17">
        <v>256779411572</v>
      </c>
      <c r="B114" s="18">
        <v>45762</v>
      </c>
      <c r="C114" t="s">
        <v>407</v>
      </c>
      <c r="D114" t="s">
        <v>440</v>
      </c>
      <c r="F114" s="19">
        <v>167.5035</v>
      </c>
      <c r="G114" s="19">
        <v>-768561.56079999998</v>
      </c>
      <c r="I114" s="19">
        <v>1.93</v>
      </c>
      <c r="J114" s="19">
        <v>-8972.3287999999993</v>
      </c>
      <c r="L114" s="31">
        <v>256779412126</v>
      </c>
      <c r="M114" s="30"/>
      <c r="N114" s="30">
        <v>450.52199999999999</v>
      </c>
    </row>
    <row r="115" spans="1:14" x14ac:dyDescent="0.35">
      <c r="A115" s="17">
        <v>256779411573</v>
      </c>
      <c r="B115" s="20">
        <v>45867</v>
      </c>
      <c r="C115" t="s">
        <v>407</v>
      </c>
      <c r="D115" t="s">
        <v>440</v>
      </c>
      <c r="F115" s="19">
        <v>2053.3755000000001</v>
      </c>
      <c r="G115" s="19">
        <v>-770614.93629999994</v>
      </c>
      <c r="I115" s="19">
        <v>23.73</v>
      </c>
      <c r="J115" s="19">
        <v>-8996.0588000000007</v>
      </c>
      <c r="L115" s="31">
        <v>256779412142</v>
      </c>
      <c r="M115" s="30"/>
      <c r="N115" s="30">
        <v>1048.8330000000001</v>
      </c>
    </row>
    <row r="116" spans="1:14" x14ac:dyDescent="0.35">
      <c r="A116" s="17">
        <v>256779411574</v>
      </c>
      <c r="B116" s="18">
        <v>45762</v>
      </c>
      <c r="C116" t="s">
        <v>407</v>
      </c>
      <c r="D116" t="s">
        <v>440</v>
      </c>
      <c r="F116" s="19">
        <v>1247.2850000000001</v>
      </c>
      <c r="G116" s="19">
        <v>-771862.22129999998</v>
      </c>
      <c r="I116" s="19">
        <v>14.41</v>
      </c>
      <c r="J116" s="19">
        <v>-9010.4688000000006</v>
      </c>
      <c r="L116" s="31">
        <v>256779412177</v>
      </c>
      <c r="M116" s="30"/>
      <c r="N116" s="30">
        <v>399.72239999999999</v>
      </c>
    </row>
    <row r="117" spans="1:14" x14ac:dyDescent="0.35">
      <c r="A117" s="17">
        <v>256779411575</v>
      </c>
      <c r="B117" s="18">
        <v>45762</v>
      </c>
      <c r="C117" t="s">
        <v>407</v>
      </c>
      <c r="D117" t="s">
        <v>440</v>
      </c>
      <c r="F117" s="19">
        <v>1895.3924999999999</v>
      </c>
      <c r="G117" s="19">
        <v>-773757.61380000005</v>
      </c>
      <c r="I117" s="19">
        <v>21.902999999999999</v>
      </c>
      <c r="J117" s="19">
        <v>-9032.3718000000008</v>
      </c>
      <c r="L117" s="31">
        <v>256779412550</v>
      </c>
      <c r="M117" s="30"/>
      <c r="N117" s="30">
        <v>85.456000000000003</v>
      </c>
    </row>
    <row r="118" spans="1:14" x14ac:dyDescent="0.35">
      <c r="A118" s="17">
        <v>256779411576</v>
      </c>
      <c r="B118" s="18">
        <v>45762</v>
      </c>
      <c r="C118" t="s">
        <v>407</v>
      </c>
      <c r="D118" t="s">
        <v>440</v>
      </c>
      <c r="F118" s="19">
        <v>1825.556</v>
      </c>
      <c r="G118" s="19">
        <v>-775583.16980000003</v>
      </c>
      <c r="I118" s="19">
        <v>21.09</v>
      </c>
      <c r="J118" s="19">
        <v>-9053.4617999999991</v>
      </c>
      <c r="L118" s="31">
        <v>256779412582</v>
      </c>
      <c r="M118" s="30"/>
      <c r="N118" s="30">
        <v>55.811</v>
      </c>
    </row>
    <row r="119" spans="1:14" x14ac:dyDescent="0.35">
      <c r="A119" s="17">
        <v>256779411577</v>
      </c>
      <c r="B119" s="18">
        <v>45762</v>
      </c>
      <c r="C119" t="s">
        <v>407</v>
      </c>
      <c r="D119" t="s">
        <v>440</v>
      </c>
      <c r="F119" s="19">
        <v>130.28700000000001</v>
      </c>
      <c r="G119" s="19">
        <v>-775713.45680000004</v>
      </c>
      <c r="I119" s="19">
        <v>1.51</v>
      </c>
      <c r="J119" s="19">
        <v>-9054.9717999999993</v>
      </c>
      <c r="L119" s="31">
        <v>256779412615</v>
      </c>
      <c r="M119" s="30"/>
      <c r="N119" s="30">
        <v>85.456000000000003</v>
      </c>
    </row>
    <row r="120" spans="1:14" x14ac:dyDescent="0.35">
      <c r="A120" s="17">
        <v>256779411578</v>
      </c>
      <c r="B120" s="18">
        <v>45762</v>
      </c>
      <c r="C120" t="s">
        <v>407</v>
      </c>
      <c r="D120" t="s">
        <v>440</v>
      </c>
      <c r="F120" s="19">
        <v>610.29449999999997</v>
      </c>
      <c r="G120" s="19">
        <v>-776323.7513</v>
      </c>
      <c r="I120" s="19">
        <v>7.05</v>
      </c>
      <c r="J120" s="19">
        <v>-9062.0218000000004</v>
      </c>
      <c r="L120" s="31">
        <v>256779412657</v>
      </c>
      <c r="M120" s="30"/>
      <c r="N120" s="30">
        <v>4.8314000000000004</v>
      </c>
    </row>
    <row r="121" spans="1:14" x14ac:dyDescent="0.35">
      <c r="A121" s="17">
        <v>256779411579</v>
      </c>
      <c r="B121" s="18">
        <v>45762</v>
      </c>
      <c r="C121" t="s">
        <v>407</v>
      </c>
      <c r="D121" t="s">
        <v>440</v>
      </c>
      <c r="F121" s="19">
        <v>411.76749999999998</v>
      </c>
      <c r="G121" s="19">
        <v>-776735.51879999996</v>
      </c>
      <c r="I121" s="19">
        <v>4.75</v>
      </c>
      <c r="J121" s="19">
        <v>-9066.7718000000004</v>
      </c>
      <c r="L121" s="31">
        <v>256779412928</v>
      </c>
      <c r="M121" s="30"/>
      <c r="N121" s="30">
        <v>11.877599999999999</v>
      </c>
    </row>
    <row r="122" spans="1:14" x14ac:dyDescent="0.35">
      <c r="A122" s="17">
        <v>256779411580</v>
      </c>
      <c r="B122" s="18">
        <v>45762</v>
      </c>
      <c r="C122" t="s">
        <v>407</v>
      </c>
      <c r="D122" t="s">
        <v>440</v>
      </c>
      <c r="F122" s="19">
        <v>1845.328</v>
      </c>
      <c r="G122" s="19">
        <v>-778580.84680000006</v>
      </c>
      <c r="I122" s="19">
        <v>21.32</v>
      </c>
      <c r="J122" s="19">
        <v>-9088.0918000000001</v>
      </c>
      <c r="L122" s="31">
        <v>256779413144</v>
      </c>
      <c r="M122" s="30"/>
      <c r="N122" s="30">
        <v>1046.71</v>
      </c>
    </row>
    <row r="123" spans="1:14" x14ac:dyDescent="0.35">
      <c r="A123" s="17">
        <v>256779411581</v>
      </c>
      <c r="B123" s="18">
        <v>45762</v>
      </c>
      <c r="C123" t="s">
        <v>407</v>
      </c>
      <c r="D123" t="s">
        <v>440</v>
      </c>
      <c r="F123" s="19">
        <v>186.41</v>
      </c>
      <c r="G123" s="19">
        <v>-778767.25679999997</v>
      </c>
      <c r="I123" s="19">
        <v>2.16</v>
      </c>
      <c r="J123" s="19">
        <v>-9090.2518</v>
      </c>
      <c r="L123" s="31">
        <v>256779413145</v>
      </c>
      <c r="M123" s="30"/>
      <c r="N123" s="30">
        <v>366.34500000000003</v>
      </c>
    </row>
    <row r="124" spans="1:14" x14ac:dyDescent="0.35">
      <c r="A124" s="17">
        <v>256779411582</v>
      </c>
      <c r="B124" s="18">
        <v>45762</v>
      </c>
      <c r="C124" t="s">
        <v>407</v>
      </c>
      <c r="D124" t="s">
        <v>440</v>
      </c>
      <c r="F124" s="19">
        <v>94.070499999999996</v>
      </c>
      <c r="G124" s="19">
        <v>-778861.3273</v>
      </c>
      <c r="I124" s="19">
        <v>1.0900000000000001</v>
      </c>
      <c r="J124" s="19">
        <v>-9091.3418000000001</v>
      </c>
      <c r="L124" s="31">
        <v>256779413185</v>
      </c>
      <c r="M124" s="30"/>
      <c r="N124" s="30">
        <v>180</v>
      </c>
    </row>
    <row r="125" spans="1:14" x14ac:dyDescent="0.35">
      <c r="A125" s="17">
        <v>256779411583</v>
      </c>
      <c r="B125" s="18">
        <v>45762</v>
      </c>
      <c r="C125" t="s">
        <v>407</v>
      </c>
      <c r="D125" t="s">
        <v>440</v>
      </c>
      <c r="F125" s="19">
        <v>933.05</v>
      </c>
      <c r="G125" s="19">
        <v>-779794.37730000005</v>
      </c>
      <c r="I125" s="19">
        <v>10.78</v>
      </c>
      <c r="J125" s="19">
        <v>-9102.1218000000008</v>
      </c>
      <c r="L125" s="31">
        <v>256779413231</v>
      </c>
      <c r="M125" s="30"/>
      <c r="N125" s="30">
        <v>98</v>
      </c>
    </row>
    <row r="126" spans="1:14" x14ac:dyDescent="0.35">
      <c r="A126" s="17">
        <v>256779411584</v>
      </c>
      <c r="B126" s="18">
        <v>45762</v>
      </c>
      <c r="C126" t="s">
        <v>407</v>
      </c>
      <c r="D126" t="s">
        <v>440</v>
      </c>
      <c r="F126" s="19">
        <v>1968.8254999999999</v>
      </c>
      <c r="G126" s="19">
        <v>-781763.20279999997</v>
      </c>
      <c r="I126" s="19">
        <v>22.75</v>
      </c>
      <c r="J126" s="19">
        <v>-9124.8718000000008</v>
      </c>
      <c r="L126" s="31">
        <v>256779413244</v>
      </c>
      <c r="M126" s="30"/>
      <c r="N126" s="30">
        <v>393.21519999999998</v>
      </c>
    </row>
    <row r="127" spans="1:14" x14ac:dyDescent="0.35">
      <c r="A127" s="17">
        <v>256779411585</v>
      </c>
      <c r="B127" s="18">
        <v>45762</v>
      </c>
      <c r="C127" t="s">
        <v>407</v>
      </c>
      <c r="D127" t="s">
        <v>440</v>
      </c>
      <c r="F127" s="19">
        <v>661.95550000000003</v>
      </c>
      <c r="G127" s="19">
        <v>-782425.15830000001</v>
      </c>
      <c r="I127" s="19">
        <v>7.65</v>
      </c>
      <c r="J127" s="19">
        <v>-9132.5218000000004</v>
      </c>
      <c r="L127" s="31">
        <v>256779413256</v>
      </c>
      <c r="M127" s="30"/>
      <c r="N127" s="30">
        <v>264.60000000000002</v>
      </c>
    </row>
    <row r="128" spans="1:14" x14ac:dyDescent="0.35">
      <c r="A128" s="17">
        <v>256779411887</v>
      </c>
      <c r="B128" s="18">
        <v>45763</v>
      </c>
      <c r="C128" t="s">
        <v>407</v>
      </c>
      <c r="D128" t="s">
        <v>409</v>
      </c>
      <c r="F128" s="19">
        <v>5965.8855999999996</v>
      </c>
      <c r="G128" s="19">
        <v>-2143241.3020000001</v>
      </c>
      <c r="I128" s="19">
        <v>69.795599999999993</v>
      </c>
      <c r="J128" s="19">
        <v>-25043.7984</v>
      </c>
      <c r="L128" s="31">
        <v>256779413284</v>
      </c>
      <c r="M128" s="30"/>
      <c r="N128" s="30">
        <v>34.299999999999997</v>
      </c>
    </row>
    <row r="129" spans="1:14" x14ac:dyDescent="0.35">
      <c r="A129" s="17">
        <v>256779411984</v>
      </c>
      <c r="B129" s="18">
        <v>45763</v>
      </c>
      <c r="C129" t="s">
        <v>407</v>
      </c>
      <c r="D129" t="s">
        <v>411</v>
      </c>
      <c r="F129" s="19">
        <v>3324.1365999999998</v>
      </c>
      <c r="G129" s="19">
        <v>-1668425.0773</v>
      </c>
      <c r="I129" s="19">
        <v>38.749200000000002</v>
      </c>
      <c r="J129" s="19">
        <v>-19488.378799999999</v>
      </c>
      <c r="L129" s="31">
        <v>256779413313</v>
      </c>
      <c r="M129" s="30"/>
      <c r="N129" s="30">
        <v>84.28</v>
      </c>
    </row>
    <row r="130" spans="1:14" x14ac:dyDescent="0.35">
      <c r="A130" s="17">
        <v>256779412020</v>
      </c>
      <c r="B130" s="18">
        <v>45763</v>
      </c>
      <c r="C130" t="s">
        <v>407</v>
      </c>
      <c r="D130" t="s">
        <v>411</v>
      </c>
      <c r="F130" s="19">
        <v>7137.7507999999998</v>
      </c>
      <c r="G130" s="19">
        <v>-2295609.4528000001</v>
      </c>
      <c r="I130" s="19">
        <v>83.505799999999994</v>
      </c>
      <c r="J130" s="19">
        <v>-26826.304199999999</v>
      </c>
      <c r="L130" s="31">
        <v>256779413358</v>
      </c>
      <c r="M130" s="30"/>
      <c r="N130" s="30">
        <v>19.707799999999999</v>
      </c>
    </row>
    <row r="131" spans="1:14" x14ac:dyDescent="0.35">
      <c r="A131" s="17">
        <v>256779412101</v>
      </c>
      <c r="B131" s="18">
        <v>45793</v>
      </c>
      <c r="C131" t="s">
        <v>407</v>
      </c>
      <c r="D131" t="s">
        <v>411</v>
      </c>
      <c r="F131" s="19">
        <v>14655.223900000001</v>
      </c>
      <c r="G131" s="19">
        <v>-555708.94629999995</v>
      </c>
      <c r="I131" s="19">
        <v>168.28</v>
      </c>
      <c r="J131" s="19">
        <v>-6446.9834000000001</v>
      </c>
      <c r="L131" s="31">
        <v>256779413487</v>
      </c>
      <c r="M131" s="30"/>
      <c r="N131" s="30">
        <v>95.941999999999993</v>
      </c>
    </row>
    <row r="132" spans="1:14" x14ac:dyDescent="0.35">
      <c r="A132" s="17">
        <v>256779412126</v>
      </c>
      <c r="B132" s="18">
        <v>45763</v>
      </c>
      <c r="C132" t="s">
        <v>407</v>
      </c>
      <c r="D132" t="s">
        <v>408</v>
      </c>
      <c r="F132" s="19">
        <v>38650.758199999997</v>
      </c>
      <c r="G132" s="19">
        <v>-1458025.4436000001</v>
      </c>
      <c r="I132" s="19">
        <v>450.52199999999999</v>
      </c>
      <c r="J132" s="19">
        <v>-17035.859</v>
      </c>
      <c r="L132" s="31">
        <v>256779413841</v>
      </c>
      <c r="M132" s="30"/>
      <c r="N132" s="30">
        <v>98</v>
      </c>
    </row>
    <row r="133" spans="1:14" x14ac:dyDescent="0.35">
      <c r="A133" s="17">
        <v>256779412142</v>
      </c>
      <c r="B133" s="20">
        <v>45768</v>
      </c>
      <c r="C133" t="s">
        <v>407</v>
      </c>
      <c r="D133" t="s">
        <v>408</v>
      </c>
      <c r="F133" s="19">
        <v>89979.092300000004</v>
      </c>
      <c r="G133" s="19">
        <v>-1656791.9406999999</v>
      </c>
      <c r="I133" s="19">
        <v>1048.8330000000001</v>
      </c>
      <c r="J133" s="19">
        <v>-19351.6296</v>
      </c>
      <c r="L133" s="31">
        <v>256779413847</v>
      </c>
      <c r="M133" s="30"/>
      <c r="N133" s="30">
        <v>98</v>
      </c>
    </row>
    <row r="134" spans="1:14" x14ac:dyDescent="0.35">
      <c r="A134" s="17">
        <v>256779412177</v>
      </c>
      <c r="B134" s="20">
        <v>45768</v>
      </c>
      <c r="C134" t="s">
        <v>407</v>
      </c>
      <c r="D134" t="s">
        <v>410</v>
      </c>
      <c r="F134" s="19">
        <v>34292.025199999996</v>
      </c>
      <c r="G134" s="19">
        <v>-1566812.8484</v>
      </c>
      <c r="I134" s="19">
        <v>399.72239999999999</v>
      </c>
      <c r="J134" s="19">
        <v>-18302.796600000001</v>
      </c>
      <c r="L134" s="31">
        <v>256779413848</v>
      </c>
      <c r="M134" s="30"/>
      <c r="N134" s="30">
        <v>98</v>
      </c>
    </row>
    <row r="135" spans="1:14" x14ac:dyDescent="0.35">
      <c r="A135" s="17">
        <v>256779412550</v>
      </c>
      <c r="B135" s="18">
        <v>45769</v>
      </c>
      <c r="C135" t="s">
        <v>407</v>
      </c>
      <c r="D135" t="s">
        <v>409</v>
      </c>
      <c r="F135" s="19">
        <v>7304.8559999999998</v>
      </c>
      <c r="G135" s="19">
        <v>-2302914.3088000002</v>
      </c>
      <c r="I135" s="19">
        <v>85.456000000000003</v>
      </c>
      <c r="J135" s="19">
        <v>-26911.760200000001</v>
      </c>
      <c r="L135" s="31">
        <v>256779413897</v>
      </c>
      <c r="M135" s="30"/>
      <c r="N135" s="30">
        <v>497.916</v>
      </c>
    </row>
    <row r="136" spans="1:14" x14ac:dyDescent="0.35">
      <c r="A136" s="17">
        <v>256779412582</v>
      </c>
      <c r="B136" s="18">
        <v>45769</v>
      </c>
      <c r="C136" t="s">
        <v>407</v>
      </c>
      <c r="D136" t="s">
        <v>409</v>
      </c>
      <c r="F136" s="19">
        <v>4771.0860000000002</v>
      </c>
      <c r="G136" s="19">
        <v>-2307685.3947999999</v>
      </c>
      <c r="I136" s="19">
        <v>55.811</v>
      </c>
      <c r="J136" s="19">
        <v>-26967.571199999998</v>
      </c>
      <c r="L136" s="31">
        <v>256779414217</v>
      </c>
      <c r="M136" s="30"/>
      <c r="N136" s="30">
        <v>70.324799999999996</v>
      </c>
    </row>
    <row r="137" spans="1:14" x14ac:dyDescent="0.35">
      <c r="A137" s="17">
        <v>256779412615</v>
      </c>
      <c r="B137" s="18">
        <v>45769</v>
      </c>
      <c r="C137" t="s">
        <v>407</v>
      </c>
      <c r="D137" t="s">
        <v>409</v>
      </c>
      <c r="F137" s="19">
        <v>7330.8879999999999</v>
      </c>
      <c r="G137" s="19">
        <v>-1676170.91</v>
      </c>
      <c r="I137" s="19">
        <v>85.456000000000003</v>
      </c>
      <c r="J137" s="19">
        <v>-19578.6662</v>
      </c>
      <c r="L137" s="31">
        <v>256779414240</v>
      </c>
      <c r="M137" s="30"/>
      <c r="N137" s="30">
        <v>1205.0999999999999</v>
      </c>
    </row>
    <row r="138" spans="1:14" x14ac:dyDescent="0.35">
      <c r="A138" s="17">
        <v>256779412657</v>
      </c>
      <c r="B138" s="18">
        <v>45769</v>
      </c>
      <c r="C138" t="s">
        <v>407</v>
      </c>
      <c r="D138" t="s">
        <v>409</v>
      </c>
      <c r="F138" s="19">
        <v>414.94470000000001</v>
      </c>
      <c r="G138" s="19">
        <v>-1668840.0220000001</v>
      </c>
      <c r="I138" s="19">
        <v>4.8314000000000004</v>
      </c>
      <c r="J138" s="19">
        <v>-19493.210200000001</v>
      </c>
      <c r="L138" s="31">
        <v>256779414275</v>
      </c>
      <c r="M138" s="30"/>
      <c r="N138" s="30">
        <v>133.35839999999999</v>
      </c>
    </row>
    <row r="139" spans="1:14" x14ac:dyDescent="0.35">
      <c r="A139" s="17">
        <v>256779412928</v>
      </c>
      <c r="B139" s="18">
        <v>45770</v>
      </c>
      <c r="C139" t="s">
        <v>407</v>
      </c>
      <c r="D139" t="s">
        <v>440</v>
      </c>
      <c r="F139" s="19">
        <v>1031.5008</v>
      </c>
      <c r="G139" s="19">
        <v>-897643.21070000005</v>
      </c>
      <c r="I139" s="19">
        <v>11.877599999999999</v>
      </c>
      <c r="J139" s="19">
        <v>-10459.313200000001</v>
      </c>
      <c r="L139" s="31">
        <v>256779414317</v>
      </c>
      <c r="M139" s="30"/>
      <c r="N139" s="30">
        <v>683.48140000000001</v>
      </c>
    </row>
    <row r="140" spans="1:14" x14ac:dyDescent="0.35">
      <c r="A140" s="17">
        <v>256779413144</v>
      </c>
      <c r="B140" s="18">
        <v>45787</v>
      </c>
      <c r="C140" t="s">
        <v>407</v>
      </c>
      <c r="D140" t="s">
        <v>408</v>
      </c>
      <c r="F140" s="19">
        <v>89577.395799999998</v>
      </c>
      <c r="G140" s="19">
        <v>-950718.10649999999</v>
      </c>
      <c r="I140" s="19">
        <v>1046.71</v>
      </c>
      <c r="J140" s="19">
        <v>-11019.473400000001</v>
      </c>
      <c r="L140" s="31">
        <v>256779414341</v>
      </c>
      <c r="M140" s="30"/>
      <c r="N140" s="30">
        <v>196</v>
      </c>
    </row>
    <row r="141" spans="1:14" x14ac:dyDescent="0.35">
      <c r="A141" s="17">
        <v>256779413145</v>
      </c>
      <c r="B141" s="18">
        <v>45787</v>
      </c>
      <c r="C141" t="s">
        <v>407</v>
      </c>
      <c r="D141" t="s">
        <v>408</v>
      </c>
      <c r="F141" s="19">
        <v>32484.123500000002</v>
      </c>
      <c r="G141" s="19">
        <v>-160515.8682</v>
      </c>
      <c r="I141" s="19">
        <v>366.34500000000003</v>
      </c>
      <c r="J141" s="19">
        <v>-1810.1396</v>
      </c>
      <c r="L141" s="31">
        <v>256779414356</v>
      </c>
      <c r="M141" s="30"/>
      <c r="N141" s="30">
        <v>1052.748</v>
      </c>
    </row>
    <row r="142" spans="1:14" x14ac:dyDescent="0.35">
      <c r="A142" s="17">
        <v>256779413185</v>
      </c>
      <c r="B142" s="20">
        <v>45815</v>
      </c>
      <c r="C142" t="s">
        <v>407</v>
      </c>
      <c r="D142" t="s">
        <v>412</v>
      </c>
      <c r="F142" s="19">
        <v>15442</v>
      </c>
      <c r="G142" s="19">
        <v>-1473467.4436000001</v>
      </c>
      <c r="I142" s="19">
        <v>180</v>
      </c>
      <c r="J142" s="19">
        <v>-17215.859</v>
      </c>
      <c r="L142" s="31">
        <v>256779414357</v>
      </c>
      <c r="M142" s="30"/>
      <c r="N142" s="30">
        <v>368.46</v>
      </c>
    </row>
    <row r="143" spans="1:14" x14ac:dyDescent="0.35">
      <c r="A143" s="17">
        <v>256779413231</v>
      </c>
      <c r="B143" s="18">
        <v>45787</v>
      </c>
      <c r="C143" t="s">
        <v>407</v>
      </c>
      <c r="D143" t="s">
        <v>411</v>
      </c>
      <c r="F143" s="19">
        <v>8407</v>
      </c>
      <c r="G143" s="19">
        <v>-1532520.8232</v>
      </c>
      <c r="I143" s="19">
        <v>98</v>
      </c>
      <c r="J143" s="19">
        <v>-17903.074199999999</v>
      </c>
      <c r="L143" s="31">
        <v>256779414735</v>
      </c>
      <c r="M143" s="30"/>
      <c r="N143" s="30">
        <v>90</v>
      </c>
    </row>
    <row r="144" spans="1:14" x14ac:dyDescent="0.35">
      <c r="A144" s="17">
        <v>256779413244</v>
      </c>
      <c r="B144" s="18">
        <v>45787</v>
      </c>
      <c r="C144" t="s">
        <v>407</v>
      </c>
      <c r="D144" t="s">
        <v>411</v>
      </c>
      <c r="F144" s="19">
        <v>33734.3796</v>
      </c>
      <c r="G144" s="19">
        <v>-1524113.8232</v>
      </c>
      <c r="I144" s="19">
        <v>393.21519999999998</v>
      </c>
      <c r="J144" s="19">
        <v>-17805.074199999999</v>
      </c>
      <c r="L144" s="31">
        <v>256779414772</v>
      </c>
      <c r="M144" s="30"/>
      <c r="N144" s="30">
        <v>215.6</v>
      </c>
    </row>
    <row r="145" spans="1:14" x14ac:dyDescent="0.35">
      <c r="A145" s="17">
        <v>256779413256</v>
      </c>
      <c r="B145" s="18">
        <v>45793</v>
      </c>
      <c r="C145" t="s">
        <v>407</v>
      </c>
      <c r="D145" t="s">
        <v>435</v>
      </c>
      <c r="F145" s="19">
        <v>22625.7</v>
      </c>
      <c r="G145" s="19">
        <v>-914733.35199999996</v>
      </c>
      <c r="I145" s="19">
        <v>264.60000000000002</v>
      </c>
      <c r="J145" s="19">
        <v>-10690.996800000001</v>
      </c>
      <c r="L145" s="31">
        <v>256779414830</v>
      </c>
      <c r="M145" s="30"/>
      <c r="N145" s="30">
        <v>139.4736</v>
      </c>
    </row>
    <row r="146" spans="1:14" x14ac:dyDescent="0.35">
      <c r="A146" s="17">
        <v>256779413284</v>
      </c>
      <c r="B146" s="18">
        <v>45793</v>
      </c>
      <c r="C146" t="s">
        <v>407</v>
      </c>
      <c r="D146" t="s">
        <v>411</v>
      </c>
      <c r="F146" s="19">
        <v>2932.85</v>
      </c>
      <c r="G146" s="19">
        <v>-917666.20200000005</v>
      </c>
      <c r="I146" s="19">
        <v>34.299999999999997</v>
      </c>
      <c r="J146" s="19">
        <v>-10725.2968</v>
      </c>
      <c r="L146" s="31">
        <v>256779414879</v>
      </c>
      <c r="M146" s="30"/>
      <c r="N146" s="30">
        <v>1627.5447999999999</v>
      </c>
    </row>
    <row r="147" spans="1:14" x14ac:dyDescent="0.35">
      <c r="A147" s="17">
        <v>256779413313</v>
      </c>
      <c r="B147" s="18">
        <v>45793</v>
      </c>
      <c r="C147" t="s">
        <v>407</v>
      </c>
      <c r="D147" t="s">
        <v>440</v>
      </c>
      <c r="F147" s="19">
        <v>7472.62</v>
      </c>
      <c r="G147" s="19">
        <v>-67542.557700000005</v>
      </c>
      <c r="I147" s="19">
        <v>84.28</v>
      </c>
      <c r="J147" s="19">
        <v>-761.61659999999995</v>
      </c>
      <c r="L147" s="31">
        <v>256779414888</v>
      </c>
      <c r="M147" s="30"/>
      <c r="N147" s="30">
        <v>10.691800000000001</v>
      </c>
    </row>
    <row r="148" spans="1:14" x14ac:dyDescent="0.35">
      <c r="A148" s="17">
        <v>256779413358</v>
      </c>
      <c r="B148" s="18">
        <v>45793</v>
      </c>
      <c r="C148" t="s">
        <v>407</v>
      </c>
      <c r="D148" t="s">
        <v>440</v>
      </c>
      <c r="F148" s="19">
        <v>1747.1537000000001</v>
      </c>
      <c r="G148" s="19">
        <v>-1456.2492999999999</v>
      </c>
      <c r="I148" s="19">
        <v>19.707799999999999</v>
      </c>
      <c r="J148" s="19">
        <v>-16.306999999999999</v>
      </c>
      <c r="L148" s="31">
        <v>256779414891</v>
      </c>
      <c r="M148" s="30"/>
      <c r="N148" s="30">
        <v>371.99700000000001</v>
      </c>
    </row>
    <row r="149" spans="1:14" x14ac:dyDescent="0.35">
      <c r="A149" s="17">
        <v>256779413487</v>
      </c>
      <c r="B149" s="18">
        <v>45797</v>
      </c>
      <c r="C149" t="s">
        <v>407</v>
      </c>
      <c r="D149" t="s">
        <v>440</v>
      </c>
      <c r="F149" s="19">
        <v>8506.7929999999997</v>
      </c>
      <c r="G149" s="19">
        <v>-9963.0422999999992</v>
      </c>
      <c r="I149" s="19">
        <v>95.941999999999993</v>
      </c>
      <c r="J149" s="19">
        <v>-112.249</v>
      </c>
      <c r="L149" s="31">
        <v>256779414904</v>
      </c>
      <c r="M149" s="30"/>
      <c r="N149" s="30">
        <v>67.590599999999995</v>
      </c>
    </row>
    <row r="150" spans="1:14" x14ac:dyDescent="0.35">
      <c r="A150" s="17">
        <v>256779413841</v>
      </c>
      <c r="B150" s="18">
        <v>45797</v>
      </c>
      <c r="C150" t="s">
        <v>407</v>
      </c>
      <c r="D150" t="s">
        <v>411</v>
      </c>
      <c r="F150" s="19">
        <v>8407</v>
      </c>
      <c r="G150" s="19">
        <v>-1490281.4436000001</v>
      </c>
      <c r="I150" s="19">
        <v>98</v>
      </c>
      <c r="J150" s="19">
        <v>-17411.859</v>
      </c>
      <c r="L150" s="31">
        <v>256779414914</v>
      </c>
      <c r="M150" s="30"/>
      <c r="N150" s="30">
        <v>1046.502</v>
      </c>
    </row>
    <row r="151" spans="1:14" x14ac:dyDescent="0.35">
      <c r="A151" s="17">
        <v>256779413847</v>
      </c>
      <c r="B151" s="20">
        <v>45797</v>
      </c>
      <c r="C151" t="s">
        <v>407</v>
      </c>
      <c r="D151" t="s">
        <v>411</v>
      </c>
      <c r="F151" s="19">
        <v>8407</v>
      </c>
      <c r="G151" s="19">
        <v>-1481874.4436000001</v>
      </c>
      <c r="I151" s="19">
        <v>98</v>
      </c>
      <c r="J151" s="19">
        <v>-17313.859</v>
      </c>
      <c r="L151" s="31">
        <v>256779414915</v>
      </c>
      <c r="M151" s="30"/>
      <c r="N151" s="30">
        <v>398.8306</v>
      </c>
    </row>
    <row r="152" spans="1:14" x14ac:dyDescent="0.35">
      <c r="A152" s="17">
        <v>256779413848</v>
      </c>
      <c r="B152" s="20">
        <v>45797</v>
      </c>
      <c r="C152" t="s">
        <v>407</v>
      </c>
      <c r="D152" t="s">
        <v>411</v>
      </c>
      <c r="F152" s="19">
        <v>8407</v>
      </c>
      <c r="G152" s="19">
        <v>-1665100.9406999999</v>
      </c>
      <c r="I152" s="19">
        <v>98</v>
      </c>
      <c r="J152" s="19">
        <v>-19449.6296</v>
      </c>
      <c r="L152" s="31">
        <v>256779414956</v>
      </c>
      <c r="M152" s="30"/>
      <c r="N152" s="30">
        <v>49</v>
      </c>
    </row>
    <row r="153" spans="1:14" x14ac:dyDescent="0.35">
      <c r="A153" s="17">
        <v>256779413897</v>
      </c>
      <c r="B153" s="18">
        <v>45805</v>
      </c>
      <c r="C153" t="s">
        <v>407</v>
      </c>
      <c r="D153" t="s">
        <v>408</v>
      </c>
      <c r="F153" s="19">
        <v>42810.575199999999</v>
      </c>
      <c r="G153" s="19">
        <v>-993565.54749999999</v>
      </c>
      <c r="I153" s="19">
        <v>497.916</v>
      </c>
      <c r="J153" s="19">
        <v>-11274.032999999999</v>
      </c>
      <c r="L153" s="31">
        <v>256779414957</v>
      </c>
      <c r="M153" s="30"/>
      <c r="N153" s="30">
        <v>49</v>
      </c>
    </row>
    <row r="154" spans="1:14" x14ac:dyDescent="0.35">
      <c r="A154" s="17">
        <v>256779414217</v>
      </c>
      <c r="B154" s="18">
        <v>45812</v>
      </c>
      <c r="C154" t="s">
        <v>407</v>
      </c>
      <c r="D154" t="s">
        <v>440</v>
      </c>
      <c r="F154" s="19">
        <v>6106.6383999999998</v>
      </c>
      <c r="G154" s="19">
        <v>-895773.33589999995</v>
      </c>
      <c r="I154" s="19">
        <v>70.324799999999996</v>
      </c>
      <c r="J154" s="19">
        <v>-10437.7826</v>
      </c>
      <c r="L154" s="31">
        <v>256779415017</v>
      </c>
      <c r="M154" s="30"/>
      <c r="N154" s="30">
        <v>342.27480000000003</v>
      </c>
    </row>
    <row r="155" spans="1:14" x14ac:dyDescent="0.35">
      <c r="A155" s="17">
        <v>256779414240</v>
      </c>
      <c r="B155" s="18">
        <v>45815</v>
      </c>
      <c r="C155" t="s">
        <v>407</v>
      </c>
      <c r="D155" t="s">
        <v>408</v>
      </c>
      <c r="F155" s="19">
        <v>103047.89</v>
      </c>
      <c r="G155" s="19">
        <v>-770580.10080000001</v>
      </c>
      <c r="I155" s="19">
        <v>1205.0999999999999</v>
      </c>
      <c r="J155" s="19">
        <v>-9005.1887999999999</v>
      </c>
      <c r="L155" s="31">
        <v>256779415196</v>
      </c>
      <c r="M155" s="30"/>
      <c r="N155" s="30">
        <v>15.731999999999999</v>
      </c>
    </row>
    <row r="156" spans="1:14" x14ac:dyDescent="0.35">
      <c r="A156" s="17">
        <v>256779414275</v>
      </c>
      <c r="B156" s="18">
        <v>45812</v>
      </c>
      <c r="C156" t="s">
        <v>407</v>
      </c>
      <c r="D156" t="s">
        <v>411</v>
      </c>
      <c r="F156" s="19">
        <v>11403.200800000001</v>
      </c>
      <c r="G156" s="19">
        <v>-929069.40280000004</v>
      </c>
      <c r="I156" s="19">
        <v>133.35839999999999</v>
      </c>
      <c r="J156" s="19">
        <v>-10858.655199999999</v>
      </c>
      <c r="L156" s="31">
        <v>256779415264</v>
      </c>
      <c r="M156" s="30"/>
      <c r="N156" s="30">
        <v>907.59</v>
      </c>
    </row>
    <row r="157" spans="1:14" x14ac:dyDescent="0.35">
      <c r="A157" s="17">
        <v>256779414317</v>
      </c>
      <c r="B157" s="18">
        <v>45827</v>
      </c>
      <c r="C157" t="s">
        <v>407</v>
      </c>
      <c r="D157" t="s">
        <v>411</v>
      </c>
      <c r="F157" s="19">
        <v>58444.239300000001</v>
      </c>
      <c r="G157" s="19">
        <v>-987513.64210000006</v>
      </c>
      <c r="I157" s="19">
        <v>683.48140000000001</v>
      </c>
      <c r="J157" s="19">
        <v>-11542.1366</v>
      </c>
      <c r="L157" s="31">
        <v>256779415432</v>
      </c>
      <c r="M157" s="30"/>
      <c r="N157" s="30">
        <v>290.70999999999998</v>
      </c>
    </row>
    <row r="158" spans="1:14" x14ac:dyDescent="0.35">
      <c r="A158" s="17">
        <v>256779414341</v>
      </c>
      <c r="B158" s="18">
        <v>45821</v>
      </c>
      <c r="C158" t="s">
        <v>407</v>
      </c>
      <c r="D158" t="s">
        <v>411</v>
      </c>
      <c r="F158" s="19">
        <v>16823</v>
      </c>
      <c r="G158" s="19">
        <v>-1035236.6421000001</v>
      </c>
      <c r="I158" s="19">
        <v>196</v>
      </c>
      <c r="J158" s="19">
        <v>-12098.1366</v>
      </c>
      <c r="L158" s="31">
        <v>256779415482</v>
      </c>
      <c r="M158" s="30"/>
      <c r="N158" s="30">
        <v>842.20999999999992</v>
      </c>
    </row>
    <row r="159" spans="1:14" x14ac:dyDescent="0.35">
      <c r="A159" s="17">
        <v>256779414356</v>
      </c>
      <c r="B159" s="18">
        <v>45818</v>
      </c>
      <c r="C159" t="s">
        <v>407</v>
      </c>
      <c r="D159" t="s">
        <v>408</v>
      </c>
      <c r="F159" s="19">
        <v>90020.757199999993</v>
      </c>
      <c r="G159" s="19">
        <v>-892107.652</v>
      </c>
      <c r="I159" s="19">
        <v>1052.748</v>
      </c>
      <c r="J159" s="19">
        <v>-10426.3968</v>
      </c>
      <c r="L159" s="31">
        <v>256779415524</v>
      </c>
      <c r="M159" s="30"/>
      <c r="N159" s="30">
        <v>71.657600000000002</v>
      </c>
    </row>
    <row r="160" spans="1:14" x14ac:dyDescent="0.35">
      <c r="A160" s="17">
        <v>256779414357</v>
      </c>
      <c r="B160" s="18">
        <v>45818</v>
      </c>
      <c r="C160" t="s">
        <v>407</v>
      </c>
      <c r="D160" t="s">
        <v>408</v>
      </c>
      <c r="F160" s="19">
        <v>31506.794000000002</v>
      </c>
      <c r="G160" s="19">
        <v>-802086.89480000001</v>
      </c>
      <c r="I160" s="19">
        <v>368.46</v>
      </c>
      <c r="J160" s="19">
        <v>-9373.6488000000008</v>
      </c>
      <c r="L160" s="31">
        <v>256779415701</v>
      </c>
      <c r="M160" s="30"/>
      <c r="N160" s="30">
        <v>646.79999999999995</v>
      </c>
    </row>
    <row r="161" spans="1:14" x14ac:dyDescent="0.35">
      <c r="A161" s="17">
        <v>256779414735</v>
      </c>
      <c r="B161" s="18">
        <v>45827</v>
      </c>
      <c r="C161" t="s">
        <v>407</v>
      </c>
      <c r="D161" t="s">
        <v>408</v>
      </c>
      <c r="F161" s="19">
        <v>7758</v>
      </c>
      <c r="G161" s="19">
        <v>-723013.2108</v>
      </c>
      <c r="I161" s="19">
        <v>90</v>
      </c>
      <c r="J161" s="19">
        <v>-8446.0887999999995</v>
      </c>
      <c r="L161" s="31">
        <v>256779415996</v>
      </c>
      <c r="M161" s="30"/>
      <c r="N161" s="30">
        <v>740.47</v>
      </c>
    </row>
    <row r="162" spans="1:14" x14ac:dyDescent="0.35">
      <c r="A162" s="17">
        <v>256779414772</v>
      </c>
      <c r="B162" s="18">
        <v>45842</v>
      </c>
      <c r="C162" t="s">
        <v>407</v>
      </c>
      <c r="D162" t="s">
        <v>435</v>
      </c>
      <c r="F162" s="19">
        <v>18722.8</v>
      </c>
      <c r="G162" s="19">
        <v>-801147.95830000006</v>
      </c>
      <c r="I162" s="19">
        <v>215.6</v>
      </c>
      <c r="J162" s="19">
        <v>-9348.1218000000008</v>
      </c>
      <c r="L162" s="31">
        <v>256779416012</v>
      </c>
      <c r="M162" s="30"/>
      <c r="N162" s="30">
        <v>98</v>
      </c>
    </row>
    <row r="163" spans="1:14" x14ac:dyDescent="0.35">
      <c r="A163" s="17">
        <v>256779414830</v>
      </c>
      <c r="B163" s="18">
        <v>45842</v>
      </c>
      <c r="C163" t="s">
        <v>407</v>
      </c>
      <c r="D163" t="s">
        <v>440</v>
      </c>
      <c r="F163" s="19">
        <v>12112.068799999999</v>
      </c>
      <c r="G163" s="19">
        <v>-821770.02709999995</v>
      </c>
      <c r="I163" s="19">
        <v>139.4736</v>
      </c>
      <c r="J163" s="19">
        <v>-9585.5954000000002</v>
      </c>
      <c r="L163" s="31">
        <v>256779416026</v>
      </c>
      <c r="M163" s="30"/>
      <c r="N163" s="30">
        <v>1046.1400000000001</v>
      </c>
    </row>
    <row r="164" spans="1:14" x14ac:dyDescent="0.35">
      <c r="A164" s="17">
        <v>256779414879</v>
      </c>
      <c r="B164" s="20">
        <v>45842</v>
      </c>
      <c r="C164" t="s">
        <v>407</v>
      </c>
      <c r="D164" t="s">
        <v>435</v>
      </c>
      <c r="F164" s="19">
        <v>138310.23639999999</v>
      </c>
      <c r="G164" s="19">
        <v>-1035953.4471</v>
      </c>
      <c r="I164" s="19">
        <v>1592.7058</v>
      </c>
      <c r="J164" s="19">
        <v>-12052.019</v>
      </c>
      <c r="L164" s="31">
        <v>256779416027</v>
      </c>
      <c r="M164" s="30"/>
      <c r="N164" s="30">
        <v>398.69</v>
      </c>
    </row>
    <row r="165" spans="1:14" x14ac:dyDescent="0.35">
      <c r="A165" s="17">
        <v>256779414879</v>
      </c>
      <c r="B165" s="20">
        <v>45842</v>
      </c>
      <c r="C165" t="s">
        <v>407</v>
      </c>
      <c r="D165" t="s">
        <v>412</v>
      </c>
      <c r="F165" s="19">
        <v>3025.5763999999999</v>
      </c>
      <c r="G165" s="19">
        <v>-1038979.0235</v>
      </c>
      <c r="I165" s="19">
        <v>34.838999999999999</v>
      </c>
      <c r="J165" s="19">
        <v>-12086.858</v>
      </c>
      <c r="L165" s="31">
        <v>256779416078</v>
      </c>
      <c r="M165" s="30"/>
      <c r="N165" s="30">
        <v>1329.6780000000001</v>
      </c>
    </row>
    <row r="166" spans="1:14" x14ac:dyDescent="0.35">
      <c r="A166" s="17">
        <v>256779414888</v>
      </c>
      <c r="B166" s="18">
        <v>45736</v>
      </c>
      <c r="C166" t="s">
        <v>407</v>
      </c>
      <c r="D166" t="s">
        <v>409</v>
      </c>
      <c r="F166" s="19">
        <v>914.67780000000005</v>
      </c>
      <c r="G166" s="19">
        <v>-617967.00340000005</v>
      </c>
      <c r="I166" s="19">
        <v>10.691800000000001</v>
      </c>
      <c r="J166" s="19">
        <v>-7220.9413999999997</v>
      </c>
      <c r="L166" s="31">
        <v>256779416086</v>
      </c>
      <c r="M166" s="30"/>
      <c r="N166" s="30">
        <v>1304.7840000000001</v>
      </c>
    </row>
    <row r="167" spans="1:14" x14ac:dyDescent="0.35">
      <c r="A167" s="17">
        <v>256779414891</v>
      </c>
      <c r="B167" s="18">
        <v>45842</v>
      </c>
      <c r="C167" t="s">
        <v>407</v>
      </c>
      <c r="D167" t="s">
        <v>412</v>
      </c>
      <c r="F167" s="19">
        <v>32304.5772</v>
      </c>
      <c r="G167" s="19">
        <v>-883797.34270000004</v>
      </c>
      <c r="I167" s="19">
        <v>371.99700000000001</v>
      </c>
      <c r="J167" s="19">
        <v>-10299.867200000001</v>
      </c>
      <c r="L167" s="31">
        <v>256779416141</v>
      </c>
      <c r="M167" s="30"/>
      <c r="N167" s="30">
        <v>293.13760000000002</v>
      </c>
    </row>
    <row r="168" spans="1:14" x14ac:dyDescent="0.35">
      <c r="A168" s="17">
        <v>256779414904</v>
      </c>
      <c r="B168" s="18">
        <v>45842</v>
      </c>
      <c r="C168" t="s">
        <v>407</v>
      </c>
      <c r="D168" t="s">
        <v>441</v>
      </c>
      <c r="F168" s="19">
        <v>5869.3548000000001</v>
      </c>
      <c r="G168" s="19">
        <v>-889666.69750000001</v>
      </c>
      <c r="I168" s="19">
        <v>67.590599999999995</v>
      </c>
      <c r="J168" s="19">
        <v>-10367.4578</v>
      </c>
      <c r="L168" s="31">
        <v>256779416179</v>
      </c>
      <c r="M168" s="30"/>
      <c r="N168" s="30">
        <v>2723.24</v>
      </c>
    </row>
    <row r="169" spans="1:14" x14ac:dyDescent="0.35">
      <c r="A169" s="17">
        <v>256779414914</v>
      </c>
      <c r="B169" s="18">
        <v>45852</v>
      </c>
      <c r="C169" t="s">
        <v>407</v>
      </c>
      <c r="D169" t="s">
        <v>408</v>
      </c>
      <c r="F169" s="19">
        <v>89999.859100000001</v>
      </c>
      <c r="G169" s="19">
        <v>-333735.24359999999</v>
      </c>
      <c r="I169" s="19">
        <v>1046.502</v>
      </c>
      <c r="J169" s="19">
        <v>-3805.2325999999998</v>
      </c>
      <c r="L169" s="31">
        <v>256779416224</v>
      </c>
      <c r="M169" s="30"/>
      <c r="N169" s="30">
        <v>298.44</v>
      </c>
    </row>
    <row r="170" spans="1:14" x14ac:dyDescent="0.35">
      <c r="A170" s="17">
        <v>256779414915</v>
      </c>
      <c r="B170" s="18">
        <v>45852</v>
      </c>
      <c r="C170" t="s">
        <v>407</v>
      </c>
      <c r="D170" t="s">
        <v>411</v>
      </c>
      <c r="F170" s="19">
        <v>34299.6927</v>
      </c>
      <c r="G170" s="19">
        <v>-368034.9363</v>
      </c>
      <c r="I170" s="19">
        <v>398.8306</v>
      </c>
      <c r="J170" s="19">
        <v>-4204.0631999999996</v>
      </c>
      <c r="L170" s="31">
        <v>256779416445</v>
      </c>
      <c r="M170" s="30"/>
      <c r="N170" s="30">
        <v>575.04999999999995</v>
      </c>
    </row>
    <row r="171" spans="1:14" x14ac:dyDescent="0.35">
      <c r="A171" s="17">
        <v>256779414956</v>
      </c>
      <c r="B171" s="18">
        <v>45842</v>
      </c>
      <c r="C171" t="s">
        <v>407</v>
      </c>
      <c r="D171" t="s">
        <v>439</v>
      </c>
      <c r="F171" s="19">
        <v>4255</v>
      </c>
      <c r="G171" s="19">
        <v>-805402.95830000006</v>
      </c>
      <c r="I171" s="19">
        <v>49</v>
      </c>
      <c r="J171" s="19">
        <v>-9397.1218000000008</v>
      </c>
      <c r="L171" s="31">
        <v>256779416515</v>
      </c>
      <c r="M171" s="30"/>
      <c r="N171" s="30">
        <v>389.04039999999998</v>
      </c>
    </row>
    <row r="172" spans="1:14" x14ac:dyDescent="0.35">
      <c r="A172" s="17">
        <v>256779414957</v>
      </c>
      <c r="B172" s="18">
        <v>45842</v>
      </c>
      <c r="C172" t="s">
        <v>407</v>
      </c>
      <c r="D172" t="s">
        <v>439</v>
      </c>
      <c r="F172" s="19">
        <v>4255</v>
      </c>
      <c r="G172" s="19">
        <v>-809657.95830000006</v>
      </c>
      <c r="I172" s="19">
        <v>49</v>
      </c>
      <c r="J172" s="19">
        <v>-9446.1218000000008</v>
      </c>
      <c r="L172" s="31">
        <v>256779416817</v>
      </c>
      <c r="M172" s="30"/>
      <c r="N172" s="30">
        <v>176.4</v>
      </c>
    </row>
    <row r="173" spans="1:14" x14ac:dyDescent="0.35">
      <c r="A173" s="17">
        <v>256779415017</v>
      </c>
      <c r="B173" s="18">
        <v>45842</v>
      </c>
      <c r="C173" t="s">
        <v>407</v>
      </c>
      <c r="D173" t="s">
        <v>440</v>
      </c>
      <c r="F173" s="19">
        <v>29722.738399999998</v>
      </c>
      <c r="G173" s="19">
        <v>-851492.76549999998</v>
      </c>
      <c r="I173" s="19">
        <v>342.27480000000003</v>
      </c>
      <c r="J173" s="19">
        <v>-9927.8701999999994</v>
      </c>
      <c r="L173" s="31">
        <v>256779416845</v>
      </c>
      <c r="M173" s="30"/>
      <c r="N173" s="30">
        <v>482.63040000000001</v>
      </c>
    </row>
    <row r="174" spans="1:14" x14ac:dyDescent="0.35">
      <c r="A174" s="17">
        <v>256779415196</v>
      </c>
      <c r="B174" s="18">
        <v>45842</v>
      </c>
      <c r="C174" t="s">
        <v>407</v>
      </c>
      <c r="D174" t="s">
        <v>408</v>
      </c>
      <c r="F174" s="19">
        <v>1353.28</v>
      </c>
      <c r="G174" s="19">
        <v>-1109311.2701000001</v>
      </c>
      <c r="I174" s="19">
        <v>15.731999999999999</v>
      </c>
      <c r="J174" s="19">
        <v>-12619.442999999999</v>
      </c>
      <c r="L174" s="31">
        <v>256779416879</v>
      </c>
      <c r="M174" s="30"/>
      <c r="N174" s="30">
        <v>82.4572</v>
      </c>
    </row>
    <row r="175" spans="1:14" x14ac:dyDescent="0.35">
      <c r="A175" s="17">
        <v>256779415264</v>
      </c>
      <c r="B175" s="18">
        <v>45842</v>
      </c>
      <c r="C175" t="s">
        <v>407</v>
      </c>
      <c r="D175" t="s">
        <v>411</v>
      </c>
      <c r="F175" s="19">
        <v>79041.919899999994</v>
      </c>
      <c r="G175" s="19">
        <v>-634750.86620000005</v>
      </c>
      <c r="I175" s="19">
        <v>907.59</v>
      </c>
      <c r="J175" s="19">
        <v>-7354.5734000000002</v>
      </c>
      <c r="L175" s="31">
        <v>256779417082</v>
      </c>
      <c r="M175" s="30"/>
      <c r="N175" s="30">
        <v>1497.6089999999999</v>
      </c>
    </row>
    <row r="176" spans="1:14" x14ac:dyDescent="0.35">
      <c r="A176" s="17">
        <v>256779415432</v>
      </c>
      <c r="B176" s="18">
        <v>45856</v>
      </c>
      <c r="C176" t="s">
        <v>407</v>
      </c>
      <c r="D176" t="s">
        <v>411</v>
      </c>
      <c r="F176" s="19">
        <v>25195.788799999998</v>
      </c>
      <c r="G176" s="19">
        <v>-861140.71070000005</v>
      </c>
      <c r="I176" s="19">
        <v>290.70999999999998</v>
      </c>
      <c r="J176" s="19">
        <v>-9972.7633999999998</v>
      </c>
      <c r="L176" s="31">
        <v>256779417161</v>
      </c>
      <c r="M176" s="30"/>
      <c r="N176" s="30">
        <v>772.19100000000003</v>
      </c>
    </row>
    <row r="177" spans="1:14" x14ac:dyDescent="0.35">
      <c r="A177" s="17">
        <v>256779415482</v>
      </c>
      <c r="B177" s="20">
        <v>45856</v>
      </c>
      <c r="C177" t="s">
        <v>407</v>
      </c>
      <c r="D177" t="s">
        <v>435</v>
      </c>
      <c r="F177" s="19">
        <v>71830.685800000007</v>
      </c>
      <c r="G177" s="19">
        <v>-769876.53040000005</v>
      </c>
      <c r="I177" s="19">
        <v>824.79</v>
      </c>
      <c r="J177" s="19">
        <v>-8919.8333999999995</v>
      </c>
      <c r="L177" s="31">
        <v>256779417178</v>
      </c>
      <c r="M177" s="30"/>
      <c r="N177" s="30">
        <v>1528.8</v>
      </c>
    </row>
    <row r="178" spans="1:14" x14ac:dyDescent="0.35">
      <c r="A178" s="17">
        <v>256779415482</v>
      </c>
      <c r="B178" s="20">
        <v>45856</v>
      </c>
      <c r="C178" t="s">
        <v>407</v>
      </c>
      <c r="D178" t="s">
        <v>412</v>
      </c>
      <c r="F178" s="19">
        <v>1516.1914999999999</v>
      </c>
      <c r="G178" s="19">
        <v>-771392.7219</v>
      </c>
      <c r="I178" s="19">
        <v>17.420000000000002</v>
      </c>
      <c r="J178" s="19">
        <v>-8937.2533999999996</v>
      </c>
      <c r="L178" s="31">
        <v>256779417179</v>
      </c>
      <c r="M178" s="30"/>
      <c r="N178" s="30">
        <v>1528.8</v>
      </c>
    </row>
    <row r="179" spans="1:14" x14ac:dyDescent="0.35">
      <c r="A179" s="17">
        <v>256779415524</v>
      </c>
      <c r="B179" s="18">
        <v>45856</v>
      </c>
      <c r="C179" t="s">
        <v>407</v>
      </c>
      <c r="D179" t="s">
        <v>440</v>
      </c>
      <c r="F179" s="19">
        <v>6162.3689999999997</v>
      </c>
      <c r="G179" s="19">
        <v>-382588.70730000001</v>
      </c>
      <c r="I179" s="19">
        <v>71.657600000000002</v>
      </c>
      <c r="J179" s="19">
        <v>-4371.6040000000003</v>
      </c>
      <c r="L179" s="31">
        <v>256779417180</v>
      </c>
      <c r="M179" s="30"/>
      <c r="N179" s="30">
        <v>1748.15</v>
      </c>
    </row>
    <row r="180" spans="1:14" x14ac:dyDescent="0.35">
      <c r="A180" s="17">
        <v>256779415701</v>
      </c>
      <c r="B180" s="18">
        <v>45856</v>
      </c>
      <c r="C180" t="s">
        <v>407</v>
      </c>
      <c r="D180" t="s">
        <v>435</v>
      </c>
      <c r="F180" s="19">
        <v>56058.2</v>
      </c>
      <c r="G180" s="19">
        <v>-827450.92189999996</v>
      </c>
      <c r="I180" s="19">
        <v>646.79999999999995</v>
      </c>
      <c r="J180" s="19">
        <v>-9584.0534000000007</v>
      </c>
      <c r="L180" s="31">
        <v>256779417181</v>
      </c>
      <c r="M180" s="30"/>
      <c r="N180" s="30">
        <v>1759.76</v>
      </c>
    </row>
    <row r="181" spans="1:14" x14ac:dyDescent="0.35">
      <c r="A181" s="17">
        <v>256779415996</v>
      </c>
      <c r="B181" s="18">
        <v>45863</v>
      </c>
      <c r="C181" t="s">
        <v>407</v>
      </c>
      <c r="D181" t="s">
        <v>411</v>
      </c>
      <c r="F181" s="19">
        <v>63294.9784</v>
      </c>
      <c r="G181" s="19">
        <v>-698045.84459999995</v>
      </c>
      <c r="I181" s="19">
        <v>740.47</v>
      </c>
      <c r="J181" s="19">
        <v>-8095.0433999999996</v>
      </c>
      <c r="L181" s="31">
        <v>256779417206</v>
      </c>
      <c r="M181" s="30"/>
      <c r="N181" s="30">
        <v>149.23439999999999</v>
      </c>
    </row>
    <row r="182" spans="1:14" x14ac:dyDescent="0.35">
      <c r="A182" s="17">
        <v>256779416012</v>
      </c>
      <c r="B182" s="18">
        <v>45863</v>
      </c>
      <c r="C182" t="s">
        <v>407</v>
      </c>
      <c r="D182" t="s">
        <v>411</v>
      </c>
      <c r="F182" s="19">
        <v>8494</v>
      </c>
      <c r="G182" s="19">
        <v>-835944.92189999996</v>
      </c>
      <c r="I182" s="19">
        <v>98</v>
      </c>
      <c r="J182" s="19">
        <v>-9682.0534000000007</v>
      </c>
      <c r="L182" s="31">
        <v>256779417245</v>
      </c>
      <c r="M182" s="30"/>
      <c r="N182" s="30">
        <v>82.212199999999996</v>
      </c>
    </row>
    <row r="183" spans="1:14" x14ac:dyDescent="0.35">
      <c r="A183" s="17">
        <v>256779416026</v>
      </c>
      <c r="B183" s="18">
        <v>45870</v>
      </c>
      <c r="C183" t="s">
        <v>407</v>
      </c>
      <c r="D183" t="s">
        <v>408</v>
      </c>
      <c r="F183" s="19">
        <v>91903.082999999999</v>
      </c>
      <c r="G183" s="19">
        <v>-1077646.2050000001</v>
      </c>
      <c r="I183" s="19">
        <v>1046.1400000000001</v>
      </c>
      <c r="J183" s="19">
        <v>-12464.303400000001</v>
      </c>
      <c r="L183" s="31">
        <v>256779417287</v>
      </c>
      <c r="M183" s="30"/>
      <c r="N183" s="30">
        <v>402.36840000000001</v>
      </c>
    </row>
    <row r="184" spans="1:14" x14ac:dyDescent="0.35">
      <c r="A184" s="17">
        <v>256779416027</v>
      </c>
      <c r="B184" s="18">
        <v>45870</v>
      </c>
      <c r="C184" t="s">
        <v>407</v>
      </c>
      <c r="D184" t="s">
        <v>410</v>
      </c>
      <c r="F184" s="19">
        <v>35025.015500000001</v>
      </c>
      <c r="G184" s="19">
        <v>-985743.12199999997</v>
      </c>
      <c r="I184" s="19">
        <v>398.69</v>
      </c>
      <c r="J184" s="19">
        <v>-11418.163399999999</v>
      </c>
      <c r="L184" s="31">
        <v>256779417325</v>
      </c>
      <c r="M184" s="30"/>
      <c r="N184" s="30">
        <v>95.883200000000002</v>
      </c>
    </row>
    <row r="185" spans="1:14" x14ac:dyDescent="0.35">
      <c r="A185" s="17">
        <v>256779416078</v>
      </c>
      <c r="B185" s="18">
        <v>45877</v>
      </c>
      <c r="C185" t="s">
        <v>407</v>
      </c>
      <c r="D185" t="s">
        <v>408</v>
      </c>
      <c r="F185" s="19">
        <v>114392.44259999999</v>
      </c>
      <c r="G185" s="19">
        <v>-1107957.9901000001</v>
      </c>
      <c r="I185" s="19">
        <v>1329.6780000000001</v>
      </c>
      <c r="J185" s="19">
        <v>-12603.710999999999</v>
      </c>
      <c r="L185" s="31">
        <v>256779417346</v>
      </c>
      <c r="M185" s="30"/>
      <c r="N185" s="30">
        <v>1028.403</v>
      </c>
    </row>
    <row r="186" spans="1:14" x14ac:dyDescent="0.35">
      <c r="A186" s="17">
        <v>256779416086</v>
      </c>
      <c r="B186" s="18">
        <v>45877</v>
      </c>
      <c r="C186" t="s">
        <v>407</v>
      </c>
      <c r="D186" t="s">
        <v>408</v>
      </c>
      <c r="F186" s="19">
        <v>112251.02680000001</v>
      </c>
      <c r="G186" s="19">
        <v>-1221562.2969</v>
      </c>
      <c r="I186" s="19">
        <v>1304.7840000000001</v>
      </c>
      <c r="J186" s="19">
        <v>-13924.227000000001</v>
      </c>
      <c r="L186" s="31">
        <v>256779417347</v>
      </c>
      <c r="M186" s="30"/>
      <c r="N186" s="30">
        <v>359.93700000000001</v>
      </c>
    </row>
    <row r="187" spans="1:14" x14ac:dyDescent="0.35">
      <c r="A187" s="17">
        <v>256779416141</v>
      </c>
      <c r="B187" s="18">
        <v>45877</v>
      </c>
      <c r="C187" t="s">
        <v>407</v>
      </c>
      <c r="D187" t="s">
        <v>441</v>
      </c>
      <c r="F187" s="19">
        <v>25992.970399999998</v>
      </c>
      <c r="G187" s="19">
        <v>-128031.7447</v>
      </c>
      <c r="I187" s="19">
        <v>293.13760000000002</v>
      </c>
      <c r="J187" s="19">
        <v>-1443.7945999999999</v>
      </c>
      <c r="L187" s="31">
        <v>256779417420</v>
      </c>
      <c r="M187" s="30"/>
      <c r="N187" s="30">
        <v>34.299999999999997</v>
      </c>
    </row>
    <row r="188" spans="1:14" x14ac:dyDescent="0.35">
      <c r="A188" s="17">
        <v>256779416179</v>
      </c>
      <c r="B188" s="20">
        <v>45877</v>
      </c>
      <c r="C188" t="s">
        <v>407</v>
      </c>
      <c r="D188" t="s">
        <v>435</v>
      </c>
      <c r="F188" s="19">
        <v>231074.27849999999</v>
      </c>
      <c r="G188" s="19">
        <v>-1385456.9454999999</v>
      </c>
      <c r="I188" s="19">
        <v>2630.33</v>
      </c>
      <c r="J188" s="19">
        <v>-15968.1234</v>
      </c>
      <c r="L188" s="31">
        <v>256779417434</v>
      </c>
      <c r="M188" s="30"/>
      <c r="N188" s="30">
        <v>98</v>
      </c>
    </row>
    <row r="189" spans="1:14" x14ac:dyDescent="0.35">
      <c r="A189" s="17">
        <v>256779416179</v>
      </c>
      <c r="B189" s="20">
        <v>45877</v>
      </c>
      <c r="C189" t="s">
        <v>407</v>
      </c>
      <c r="D189" t="s">
        <v>412</v>
      </c>
      <c r="F189" s="19">
        <v>8161.7555000000002</v>
      </c>
      <c r="G189" s="19">
        <v>-1393618.7009999999</v>
      </c>
      <c r="I189" s="19">
        <v>92.91</v>
      </c>
      <c r="J189" s="19">
        <v>-16061.0334</v>
      </c>
      <c r="L189" s="31">
        <v>256779417490</v>
      </c>
      <c r="M189" s="30"/>
      <c r="N189" s="30">
        <v>825</v>
      </c>
    </row>
    <row r="190" spans="1:14" x14ac:dyDescent="0.35">
      <c r="A190" s="17">
        <v>256779416224</v>
      </c>
      <c r="B190" s="18">
        <v>45877</v>
      </c>
      <c r="C190" t="s">
        <v>407</v>
      </c>
      <c r="D190" t="s">
        <v>440</v>
      </c>
      <c r="F190" s="19">
        <v>26217.960500000001</v>
      </c>
      <c r="G190" s="19">
        <v>-1103864.1654999999</v>
      </c>
      <c r="I190" s="19">
        <v>298.44</v>
      </c>
      <c r="J190" s="19">
        <v>-12762.743399999999</v>
      </c>
      <c r="L190" s="31">
        <v>256779417526</v>
      </c>
      <c r="M190" s="30"/>
      <c r="N190" s="30">
        <v>21.981400000000001</v>
      </c>
    </row>
    <row r="191" spans="1:14" x14ac:dyDescent="0.35">
      <c r="A191" s="17">
        <v>256779416445</v>
      </c>
      <c r="B191" s="18">
        <v>45877</v>
      </c>
      <c r="C191" t="s">
        <v>407</v>
      </c>
      <c r="D191" t="s">
        <v>411</v>
      </c>
      <c r="F191" s="19">
        <v>50518.501499999998</v>
      </c>
      <c r="G191" s="19">
        <v>-1154382.6669999999</v>
      </c>
      <c r="I191" s="19">
        <v>575.04999999999995</v>
      </c>
      <c r="J191" s="19">
        <v>-13337.7934</v>
      </c>
      <c r="L191" s="31">
        <v>256779417568</v>
      </c>
      <c r="M191" s="30"/>
      <c r="N191" s="30">
        <v>288.01220000000001</v>
      </c>
    </row>
    <row r="192" spans="1:14" x14ac:dyDescent="0.35">
      <c r="A192" s="17">
        <v>256779416515</v>
      </c>
      <c r="B192" s="18">
        <v>45877</v>
      </c>
      <c r="C192" t="s">
        <v>407</v>
      </c>
      <c r="D192" t="s">
        <v>411</v>
      </c>
      <c r="F192" s="19">
        <v>34496.2166</v>
      </c>
      <c r="G192" s="19">
        <v>-102038.7743</v>
      </c>
      <c r="I192" s="19">
        <v>389.04039999999998</v>
      </c>
      <c r="J192" s="19">
        <v>-1150.6569999999999</v>
      </c>
      <c r="L192" s="31">
        <v>256779417818</v>
      </c>
      <c r="M192" s="30"/>
      <c r="N192" s="30">
        <v>254.02540000000002</v>
      </c>
    </row>
    <row r="193" spans="1:14" x14ac:dyDescent="0.35">
      <c r="A193" s="17">
        <v>256779416817</v>
      </c>
      <c r="B193" s="18">
        <v>45889</v>
      </c>
      <c r="C193" t="s">
        <v>407</v>
      </c>
      <c r="D193" t="s">
        <v>435</v>
      </c>
      <c r="F193" s="19">
        <v>15641.6</v>
      </c>
      <c r="G193" s="19">
        <v>-176157.4682</v>
      </c>
      <c r="I193" s="19">
        <v>176.4</v>
      </c>
      <c r="J193" s="19">
        <v>-1986.5396000000001</v>
      </c>
      <c r="L193" s="31">
        <v>256779417873</v>
      </c>
      <c r="M193" s="30"/>
      <c r="N193" s="30">
        <v>1020.52</v>
      </c>
    </row>
    <row r="194" spans="1:14" x14ac:dyDescent="0.35">
      <c r="A194" s="17">
        <v>256779416845</v>
      </c>
      <c r="B194" s="18">
        <v>45889</v>
      </c>
      <c r="C194" t="s">
        <v>407</v>
      </c>
      <c r="D194" t="s">
        <v>435</v>
      </c>
      <c r="F194" s="19">
        <v>42795.2016</v>
      </c>
      <c r="G194" s="19">
        <v>-60069.937700000002</v>
      </c>
      <c r="I194" s="19">
        <v>482.63040000000001</v>
      </c>
      <c r="J194" s="19">
        <v>-677.33659999999998</v>
      </c>
      <c r="L194" s="31">
        <v>256779417874</v>
      </c>
      <c r="M194" s="30"/>
      <c r="N194" s="30">
        <v>388.93259999999998</v>
      </c>
    </row>
    <row r="195" spans="1:14" x14ac:dyDescent="0.35">
      <c r="A195" s="17">
        <v>256779416879</v>
      </c>
      <c r="B195" s="18">
        <v>45889</v>
      </c>
      <c r="C195" t="s">
        <v>407</v>
      </c>
      <c r="D195" t="s">
        <v>440</v>
      </c>
      <c r="F195" s="19">
        <v>7311.6938</v>
      </c>
      <c r="G195" s="19">
        <v>-17274.736099999998</v>
      </c>
      <c r="I195" s="19">
        <v>82.4572</v>
      </c>
      <c r="J195" s="19">
        <v>-194.7062</v>
      </c>
      <c r="L195" s="31">
        <v>256779417902</v>
      </c>
      <c r="M195" s="30"/>
      <c r="N195" s="30">
        <v>27.587</v>
      </c>
    </row>
    <row r="196" spans="1:14" x14ac:dyDescent="0.35">
      <c r="A196" s="17">
        <v>256779417082</v>
      </c>
      <c r="B196" s="18">
        <v>45906</v>
      </c>
      <c r="C196" t="s">
        <v>407</v>
      </c>
      <c r="D196" t="s">
        <v>408</v>
      </c>
      <c r="F196" s="19">
        <v>131062.7203</v>
      </c>
      <c r="G196" s="19">
        <v>-1352625.0171999999</v>
      </c>
      <c r="I196" s="19">
        <v>1497.6089999999999</v>
      </c>
      <c r="J196" s="19">
        <v>-15421.835999999999</v>
      </c>
      <c r="L196" s="31">
        <v>256779417940</v>
      </c>
      <c r="M196" s="30"/>
      <c r="N196" s="30">
        <v>324.87</v>
      </c>
    </row>
    <row r="197" spans="1:14" x14ac:dyDescent="0.35">
      <c r="A197" s="17">
        <v>256779417161</v>
      </c>
      <c r="B197" s="18">
        <v>45904</v>
      </c>
      <c r="C197" t="s">
        <v>407</v>
      </c>
      <c r="D197" t="s">
        <v>411</v>
      </c>
      <c r="F197" s="19">
        <v>67577.916299999997</v>
      </c>
      <c r="G197" s="19">
        <v>-243735.38449999999</v>
      </c>
      <c r="I197" s="19">
        <v>772.19100000000003</v>
      </c>
      <c r="J197" s="19">
        <v>-2758.7305999999999</v>
      </c>
      <c r="L197" s="31">
        <v>256779417979</v>
      </c>
      <c r="M197" s="30"/>
      <c r="N197" s="30">
        <v>133.75040000000001</v>
      </c>
    </row>
    <row r="198" spans="1:14" x14ac:dyDescent="0.35">
      <c r="A198" s="17">
        <v>256779417178</v>
      </c>
      <c r="B198" s="18">
        <v>45904</v>
      </c>
      <c r="C198" t="s">
        <v>407</v>
      </c>
      <c r="D198" t="s">
        <v>417</v>
      </c>
      <c r="F198" s="19">
        <v>133792.3548</v>
      </c>
      <c r="G198" s="19">
        <v>-685386.05050000001</v>
      </c>
      <c r="I198" s="19">
        <v>1528.8</v>
      </c>
      <c r="J198" s="19">
        <v>-7831.5724</v>
      </c>
      <c r="L198" s="31">
        <v>256779418011</v>
      </c>
      <c r="M198" s="30"/>
      <c r="N198" s="30">
        <v>837.12599999999998</v>
      </c>
    </row>
    <row r="199" spans="1:14" x14ac:dyDescent="0.35">
      <c r="A199" s="17">
        <v>256779417179</v>
      </c>
      <c r="B199" s="18">
        <v>45904</v>
      </c>
      <c r="C199" t="s">
        <v>407</v>
      </c>
      <c r="D199" t="s">
        <v>417</v>
      </c>
      <c r="F199" s="19">
        <v>133792.3548</v>
      </c>
      <c r="G199" s="19">
        <v>-551593.69570000004</v>
      </c>
      <c r="I199" s="19">
        <v>1528.8</v>
      </c>
      <c r="J199" s="19">
        <v>-6302.7723999999998</v>
      </c>
      <c r="L199" s="31">
        <v>256779418095</v>
      </c>
      <c r="M199" s="30"/>
      <c r="N199" s="30">
        <v>825</v>
      </c>
    </row>
    <row r="200" spans="1:14" x14ac:dyDescent="0.35">
      <c r="A200" s="17">
        <v>256779417180</v>
      </c>
      <c r="B200" s="20">
        <v>45904</v>
      </c>
      <c r="C200" t="s">
        <v>407</v>
      </c>
      <c r="D200" t="s">
        <v>417</v>
      </c>
      <c r="F200" s="19">
        <v>138252.1</v>
      </c>
      <c r="G200" s="19">
        <v>-823638.15049999999</v>
      </c>
      <c r="I200" s="19">
        <v>1579.76</v>
      </c>
      <c r="J200" s="19">
        <v>-9411.3323999999993</v>
      </c>
      <c r="L200" s="31">
        <v>256779418170</v>
      </c>
      <c r="M200" s="30"/>
      <c r="N200" s="30">
        <v>98</v>
      </c>
    </row>
    <row r="201" spans="1:14" x14ac:dyDescent="0.35">
      <c r="A201" s="17">
        <v>256779417180</v>
      </c>
      <c r="B201" s="20">
        <v>45904</v>
      </c>
      <c r="C201" t="s">
        <v>407</v>
      </c>
      <c r="D201" t="s">
        <v>412</v>
      </c>
      <c r="F201" s="19">
        <v>14736.9311</v>
      </c>
      <c r="G201" s="19">
        <v>-838375.08160000003</v>
      </c>
      <c r="I201" s="19">
        <v>168.39</v>
      </c>
      <c r="J201" s="19">
        <v>-9579.7224000000006</v>
      </c>
      <c r="L201" s="31">
        <v>256779418180</v>
      </c>
      <c r="M201" s="30"/>
      <c r="N201" s="30">
        <v>169.75559999999999</v>
      </c>
    </row>
    <row r="202" spans="1:14" x14ac:dyDescent="0.35">
      <c r="A202" s="17">
        <v>256779417181</v>
      </c>
      <c r="B202" s="20">
        <v>45904</v>
      </c>
      <c r="C202" t="s">
        <v>407</v>
      </c>
      <c r="D202" t="s">
        <v>412</v>
      </c>
      <c r="F202" s="19">
        <v>15752.866</v>
      </c>
      <c r="G202" s="19">
        <v>-854127.94759999996</v>
      </c>
      <c r="I202" s="19">
        <v>180</v>
      </c>
      <c r="J202" s="19">
        <v>-9759.7224000000006</v>
      </c>
      <c r="L202" s="31">
        <v>256779418400</v>
      </c>
      <c r="M202" s="30"/>
      <c r="N202" s="30">
        <v>287.43400000000003</v>
      </c>
    </row>
    <row r="203" spans="1:14" x14ac:dyDescent="0.35">
      <c r="A203" s="17">
        <v>256779417181</v>
      </c>
      <c r="B203" s="20">
        <v>45904</v>
      </c>
      <c r="C203" t="s">
        <v>407</v>
      </c>
      <c r="D203" t="s">
        <v>417</v>
      </c>
      <c r="F203" s="19">
        <v>138252.1</v>
      </c>
      <c r="G203" s="19">
        <v>-992380.04760000005</v>
      </c>
      <c r="I203" s="19">
        <v>1579.76</v>
      </c>
      <c r="J203" s="19">
        <v>-11339.482400000001</v>
      </c>
      <c r="L203" s="31">
        <v>256779418621</v>
      </c>
      <c r="M203" s="30"/>
      <c r="N203" s="30">
        <v>825</v>
      </c>
    </row>
    <row r="204" spans="1:14" x14ac:dyDescent="0.35">
      <c r="A204" s="17">
        <v>256779417206</v>
      </c>
      <c r="B204" s="18">
        <v>45904</v>
      </c>
      <c r="C204" t="s">
        <v>407</v>
      </c>
      <c r="D204" t="s">
        <v>441</v>
      </c>
      <c r="F204" s="19">
        <v>13059.682199999999</v>
      </c>
      <c r="G204" s="19">
        <v>-1265425.2534</v>
      </c>
      <c r="I204" s="19">
        <v>149.23439999999999</v>
      </c>
      <c r="J204" s="19">
        <v>-14463.164000000001</v>
      </c>
      <c r="L204" s="31">
        <v>256779418633</v>
      </c>
      <c r="M204" s="30"/>
      <c r="N204" s="30">
        <v>34.299999999999997</v>
      </c>
    </row>
    <row r="205" spans="1:14" x14ac:dyDescent="0.35">
      <c r="A205" s="17">
        <v>256779417245</v>
      </c>
      <c r="B205" s="18">
        <v>45904</v>
      </c>
      <c r="C205" t="s">
        <v>407</v>
      </c>
      <c r="D205" t="s">
        <v>411</v>
      </c>
      <c r="F205" s="19">
        <v>7194.5771000000004</v>
      </c>
      <c r="G205" s="19">
        <v>-1252365.5711999999</v>
      </c>
      <c r="I205" s="19">
        <v>82.212199999999996</v>
      </c>
      <c r="J205" s="19">
        <v>-14313.929599999999</v>
      </c>
      <c r="L205" s="31">
        <v>256779418663</v>
      </c>
      <c r="M205" s="30"/>
      <c r="N205" s="30">
        <v>288.01220000000001</v>
      </c>
    </row>
    <row r="206" spans="1:14" x14ac:dyDescent="0.35">
      <c r="A206" s="17">
        <v>256779417287</v>
      </c>
      <c r="B206" s="18">
        <v>45904</v>
      </c>
      <c r="C206" t="s">
        <v>407</v>
      </c>
      <c r="D206" t="s">
        <v>435</v>
      </c>
      <c r="F206" s="19">
        <v>35212.633600000001</v>
      </c>
      <c r="G206" s="19">
        <v>-417801.34090000001</v>
      </c>
      <c r="I206" s="19">
        <v>402.36840000000001</v>
      </c>
      <c r="J206" s="19">
        <v>-4773.9723999999997</v>
      </c>
      <c r="L206" s="31">
        <v>256779418703</v>
      </c>
      <c r="M206" s="30"/>
      <c r="N206" s="30">
        <v>9.6334</v>
      </c>
    </row>
    <row r="207" spans="1:14" x14ac:dyDescent="0.35">
      <c r="A207" s="17">
        <v>256779417325</v>
      </c>
      <c r="B207" s="18">
        <v>45904</v>
      </c>
      <c r="C207" t="s">
        <v>407</v>
      </c>
      <c r="D207" t="s">
        <v>440</v>
      </c>
      <c r="F207" s="19">
        <v>8391.402</v>
      </c>
      <c r="G207" s="19">
        <v>-376426.3383</v>
      </c>
      <c r="I207" s="19">
        <v>95.883200000000002</v>
      </c>
      <c r="J207" s="19">
        <v>-4299.9463999999998</v>
      </c>
      <c r="L207" s="31">
        <v>256779418775</v>
      </c>
      <c r="M207" s="30"/>
      <c r="N207" s="30">
        <v>1022.688</v>
      </c>
    </row>
    <row r="208" spans="1:14" x14ac:dyDescent="0.35">
      <c r="A208" s="17">
        <v>256779417346</v>
      </c>
      <c r="B208" s="18">
        <v>45904</v>
      </c>
      <c r="C208" t="s">
        <v>407</v>
      </c>
      <c r="D208" t="s">
        <v>408</v>
      </c>
      <c r="F208" s="19">
        <v>89999.999500000005</v>
      </c>
      <c r="G208" s="19">
        <v>-1113879.6531</v>
      </c>
      <c r="I208" s="19">
        <v>1028.403</v>
      </c>
      <c r="J208" s="19">
        <v>-12727.822399999999</v>
      </c>
      <c r="L208" s="31">
        <v>256779418776</v>
      </c>
      <c r="M208" s="30"/>
      <c r="N208" s="30">
        <v>389.75580000000002</v>
      </c>
    </row>
    <row r="209" spans="1:14" x14ac:dyDescent="0.35">
      <c r="A209" s="17">
        <v>256779417347</v>
      </c>
      <c r="B209" s="18">
        <v>45904</v>
      </c>
      <c r="C209" t="s">
        <v>407</v>
      </c>
      <c r="D209" t="s">
        <v>408</v>
      </c>
      <c r="F209" s="19">
        <v>31499.606</v>
      </c>
      <c r="G209" s="19">
        <v>-1023879.6536</v>
      </c>
      <c r="I209" s="19">
        <v>359.93700000000001</v>
      </c>
      <c r="J209" s="19">
        <v>-11699.419400000001</v>
      </c>
      <c r="L209" s="31">
        <v>256779418820</v>
      </c>
      <c r="M209" s="30"/>
      <c r="N209" s="30">
        <v>344.10739999999998</v>
      </c>
    </row>
    <row r="210" spans="1:14" x14ac:dyDescent="0.35">
      <c r="A210" s="17">
        <v>256779417420</v>
      </c>
      <c r="B210" s="20">
        <v>45918</v>
      </c>
      <c r="C210" t="s">
        <v>407</v>
      </c>
      <c r="D210" t="s">
        <v>411</v>
      </c>
      <c r="F210" s="19">
        <v>3002.0016000000001</v>
      </c>
      <c r="G210" s="19">
        <v>-1268427.2549999999</v>
      </c>
      <c r="I210" s="19">
        <v>34.299999999999997</v>
      </c>
      <c r="J210" s="19">
        <v>-14497.464</v>
      </c>
      <c r="L210" s="31">
        <v>256779418876</v>
      </c>
      <c r="M210" s="30"/>
      <c r="N210" s="30">
        <v>671.37300000000005</v>
      </c>
    </row>
    <row r="211" spans="1:14" x14ac:dyDescent="0.35">
      <c r="A211" s="17">
        <v>256779417434</v>
      </c>
      <c r="B211" s="18">
        <v>45917</v>
      </c>
      <c r="C211" t="s">
        <v>407</v>
      </c>
      <c r="D211" t="s">
        <v>450</v>
      </c>
      <c r="F211" s="19">
        <v>8576.4330000000009</v>
      </c>
      <c r="G211" s="19">
        <v>-1169929.6636000001</v>
      </c>
      <c r="I211" s="19">
        <v>98</v>
      </c>
      <c r="J211" s="19">
        <v>-13372.4174</v>
      </c>
      <c r="L211" s="31">
        <v>256779419077</v>
      </c>
      <c r="M211" s="30"/>
      <c r="N211" s="30">
        <v>874</v>
      </c>
    </row>
    <row r="212" spans="1:14" x14ac:dyDescent="0.35">
      <c r="A212" s="17">
        <v>256779417490</v>
      </c>
      <c r="B212" s="20">
        <v>45918</v>
      </c>
      <c r="C212" t="s">
        <v>407</v>
      </c>
      <c r="D212" t="s">
        <v>412</v>
      </c>
      <c r="F212" s="19">
        <v>7876.433</v>
      </c>
      <c r="G212" s="19">
        <v>-1177806.0966</v>
      </c>
      <c r="I212" s="19">
        <v>90</v>
      </c>
      <c r="J212" s="19">
        <v>-13462.4174</v>
      </c>
      <c r="L212" s="31">
        <v>256779419130</v>
      </c>
      <c r="M212" s="30"/>
      <c r="N212" s="30">
        <v>51.655799999999999</v>
      </c>
    </row>
    <row r="213" spans="1:14" x14ac:dyDescent="0.35">
      <c r="A213" s="17">
        <v>256779417490</v>
      </c>
      <c r="B213" s="20">
        <v>45918</v>
      </c>
      <c r="C213" t="s">
        <v>407</v>
      </c>
      <c r="D213" t="s">
        <v>417</v>
      </c>
      <c r="F213" s="19">
        <v>64322.747499999998</v>
      </c>
      <c r="G213" s="19">
        <v>-1242128.8441000001</v>
      </c>
      <c r="I213" s="19">
        <v>735</v>
      </c>
      <c r="J213" s="19">
        <v>-14197.4174</v>
      </c>
      <c r="L213" s="31">
        <v>256779419174</v>
      </c>
      <c r="M213" s="30"/>
      <c r="N213" s="30">
        <v>8.0457999999999998</v>
      </c>
    </row>
    <row r="214" spans="1:14" x14ac:dyDescent="0.35">
      <c r="A214" s="17">
        <v>256779417526</v>
      </c>
      <c r="B214" s="18">
        <v>45918</v>
      </c>
      <c r="C214" t="s">
        <v>407</v>
      </c>
      <c r="D214" t="s">
        <v>440</v>
      </c>
      <c r="F214" s="19">
        <v>1923.9464</v>
      </c>
      <c r="G214" s="19">
        <v>-999485.95050000004</v>
      </c>
      <c r="I214" s="19">
        <v>21.981400000000001</v>
      </c>
      <c r="J214" s="19">
        <v>-11426.709199999999</v>
      </c>
      <c r="L214" s="31">
        <v>256779419200</v>
      </c>
      <c r="M214" s="30"/>
      <c r="N214" s="30">
        <v>149.2148</v>
      </c>
    </row>
    <row r="215" spans="1:14" x14ac:dyDescent="0.35">
      <c r="A215" s="17">
        <v>256779417568</v>
      </c>
      <c r="B215" s="18">
        <v>45918</v>
      </c>
      <c r="C215" t="s">
        <v>407</v>
      </c>
      <c r="D215" t="s">
        <v>435</v>
      </c>
      <c r="F215" s="19">
        <v>25205.5864</v>
      </c>
      <c r="G215" s="19">
        <v>-1024691.5368999999</v>
      </c>
      <c r="I215" s="19">
        <v>288.01220000000001</v>
      </c>
      <c r="J215" s="19">
        <v>-11714.7214</v>
      </c>
      <c r="L215" s="31">
        <v>256779419232</v>
      </c>
      <c r="M215" s="30"/>
      <c r="N215" s="30">
        <v>25.176200000000001</v>
      </c>
    </row>
    <row r="216" spans="1:14" x14ac:dyDescent="0.35">
      <c r="A216" s="17">
        <v>256779417818</v>
      </c>
      <c r="B216" s="20">
        <v>45924</v>
      </c>
      <c r="C216" t="s">
        <v>407</v>
      </c>
      <c r="D216" t="s">
        <v>418</v>
      </c>
      <c r="F216" s="19">
        <v>20344.044699999999</v>
      </c>
      <c r="G216" s="19">
        <v>-988324.98970000003</v>
      </c>
      <c r="I216" s="19">
        <v>236.60140000000001</v>
      </c>
      <c r="J216" s="19">
        <v>-11297.3038</v>
      </c>
      <c r="L216" s="31">
        <v>256779419558</v>
      </c>
      <c r="M216" s="30"/>
      <c r="N216" s="30">
        <v>825</v>
      </c>
    </row>
    <row r="217" spans="1:14" x14ac:dyDescent="0.35">
      <c r="A217" s="17">
        <v>256779417818</v>
      </c>
      <c r="B217" s="20">
        <v>45924</v>
      </c>
      <c r="C217" t="s">
        <v>407</v>
      </c>
      <c r="D217" t="s">
        <v>412</v>
      </c>
      <c r="F217" s="19">
        <v>1498.6443999999999</v>
      </c>
      <c r="G217" s="19">
        <v>-1266883.7494000001</v>
      </c>
      <c r="I217" s="19">
        <v>17.423999999999999</v>
      </c>
      <c r="J217" s="19">
        <v>-14480.588</v>
      </c>
      <c r="L217" s="31">
        <v>256779419590</v>
      </c>
      <c r="M217" s="30"/>
      <c r="N217" s="30">
        <v>324.87</v>
      </c>
    </row>
    <row r="218" spans="1:14" x14ac:dyDescent="0.35">
      <c r="A218" s="17">
        <v>256779417873</v>
      </c>
      <c r="B218" s="18">
        <v>45935</v>
      </c>
      <c r="C218" t="s">
        <v>407</v>
      </c>
      <c r="D218" t="s">
        <v>408</v>
      </c>
      <c r="F218" s="19">
        <v>89999.522899999996</v>
      </c>
      <c r="G218" s="19">
        <v>-1182953.6794</v>
      </c>
      <c r="I218" s="19">
        <v>1020.52</v>
      </c>
      <c r="J218" s="19">
        <v>-13509.222400000001</v>
      </c>
      <c r="L218" s="31">
        <v>256779419630</v>
      </c>
      <c r="M218" s="30"/>
      <c r="N218" s="30">
        <v>110.3284</v>
      </c>
    </row>
    <row r="219" spans="1:14" x14ac:dyDescent="0.35">
      <c r="A219" s="17">
        <v>256779417874</v>
      </c>
      <c r="B219" s="18">
        <v>45935</v>
      </c>
      <c r="C219" t="s">
        <v>407</v>
      </c>
      <c r="D219" t="s">
        <v>410</v>
      </c>
      <c r="F219" s="19">
        <v>34299.965300000003</v>
      </c>
      <c r="G219" s="19">
        <v>-1217253.6447000001</v>
      </c>
      <c r="I219" s="19">
        <v>388.93259999999998</v>
      </c>
      <c r="J219" s="19">
        <v>-13898.155000000001</v>
      </c>
      <c r="L219" s="31">
        <v>256779419796</v>
      </c>
      <c r="M219" s="30"/>
      <c r="N219" s="30">
        <v>825</v>
      </c>
    </row>
    <row r="220" spans="1:14" x14ac:dyDescent="0.35">
      <c r="A220" s="17">
        <v>256779417902</v>
      </c>
      <c r="B220" s="18">
        <v>45935</v>
      </c>
      <c r="C220" t="s">
        <v>407</v>
      </c>
      <c r="D220" t="s">
        <v>441</v>
      </c>
      <c r="F220" s="19">
        <v>2432.5484999999999</v>
      </c>
      <c r="G220" s="19">
        <v>-210992.80350000001</v>
      </c>
      <c r="I220" s="19">
        <v>27.587</v>
      </c>
      <c r="J220" s="19">
        <v>-2392.3892000000001</v>
      </c>
      <c r="L220" s="31">
        <v>256779419918</v>
      </c>
      <c r="M220" s="30"/>
      <c r="N220" s="30">
        <v>109.172</v>
      </c>
    </row>
    <row r="221" spans="1:14" x14ac:dyDescent="0.35">
      <c r="A221" s="17">
        <v>256779417940</v>
      </c>
      <c r="B221" s="18">
        <v>45935</v>
      </c>
      <c r="C221" t="s">
        <v>407</v>
      </c>
      <c r="D221" t="s">
        <v>435</v>
      </c>
      <c r="F221" s="19">
        <v>28649.985000000001</v>
      </c>
      <c r="G221" s="19">
        <v>-239642.7885</v>
      </c>
      <c r="I221" s="19">
        <v>324.87</v>
      </c>
      <c r="J221" s="19">
        <v>-2717.2592</v>
      </c>
      <c r="L221" s="31">
        <v>256779419955</v>
      </c>
      <c r="M221" s="30"/>
      <c r="N221" s="30">
        <v>60.7502</v>
      </c>
    </row>
    <row r="222" spans="1:14" x14ac:dyDescent="0.35">
      <c r="A222" s="17">
        <v>256779417979</v>
      </c>
      <c r="B222" s="18">
        <v>45935</v>
      </c>
      <c r="C222" t="s">
        <v>407</v>
      </c>
      <c r="D222" t="s">
        <v>440</v>
      </c>
      <c r="F222" s="19">
        <v>11795.171200000001</v>
      </c>
      <c r="G222" s="19">
        <v>-1301805.3159</v>
      </c>
      <c r="I222" s="19">
        <v>133.75040000000001</v>
      </c>
      <c r="J222" s="19">
        <v>-14856.9054</v>
      </c>
      <c r="L222" s="31">
        <v>256779419968</v>
      </c>
      <c r="M222" s="30"/>
      <c r="N222" s="30">
        <v>1014.651</v>
      </c>
    </row>
    <row r="223" spans="1:14" x14ac:dyDescent="0.35">
      <c r="A223" s="17">
        <v>256779418011</v>
      </c>
      <c r="B223" s="18">
        <v>45936</v>
      </c>
      <c r="C223" t="s">
        <v>407</v>
      </c>
      <c r="D223" t="s">
        <v>408</v>
      </c>
      <c r="F223" s="19">
        <v>73826.046600000001</v>
      </c>
      <c r="G223" s="19">
        <v>-1426451.0637999999</v>
      </c>
      <c r="I223" s="19">
        <v>837.12599999999998</v>
      </c>
      <c r="J223" s="19">
        <v>-16258.962</v>
      </c>
      <c r="L223" s="31">
        <v>256779419969</v>
      </c>
      <c r="M223" s="30"/>
      <c r="N223" s="30">
        <v>386.69819999999999</v>
      </c>
    </row>
    <row r="224" spans="1:14" x14ac:dyDescent="0.35">
      <c r="A224" s="17">
        <v>256779418095</v>
      </c>
      <c r="B224" s="20">
        <v>45935</v>
      </c>
      <c r="C224" t="s">
        <v>407</v>
      </c>
      <c r="D224" t="s">
        <v>412</v>
      </c>
      <c r="F224" s="19">
        <v>7937</v>
      </c>
      <c r="G224" s="19">
        <v>-1225190.6447000001</v>
      </c>
      <c r="I224" s="19">
        <v>90</v>
      </c>
      <c r="J224" s="19">
        <v>-13988.155000000001</v>
      </c>
      <c r="L224" s="31">
        <v>256779419992</v>
      </c>
      <c r="M224" s="30"/>
      <c r="N224" s="30">
        <v>121.62779999999999</v>
      </c>
    </row>
    <row r="225" spans="1:14" x14ac:dyDescent="0.35">
      <c r="A225" s="17">
        <v>256779418095</v>
      </c>
      <c r="B225" s="20">
        <v>45935</v>
      </c>
      <c r="C225" t="s">
        <v>407</v>
      </c>
      <c r="D225" t="s">
        <v>417</v>
      </c>
      <c r="F225" s="19">
        <v>64819.5</v>
      </c>
      <c r="G225" s="19">
        <v>-1290010.1447000001</v>
      </c>
      <c r="I225" s="19">
        <v>735</v>
      </c>
      <c r="J225" s="19">
        <v>-14723.155000000001</v>
      </c>
      <c r="L225" s="31">
        <v>256779421715</v>
      </c>
      <c r="M225" s="30">
        <v>2092.2930000000001</v>
      </c>
      <c r="N225" s="30"/>
    </row>
    <row r="226" spans="1:14" x14ac:dyDescent="0.35">
      <c r="A226" s="17">
        <v>256779418170</v>
      </c>
      <c r="B226" s="18">
        <v>45937</v>
      </c>
      <c r="C226" t="s">
        <v>407</v>
      </c>
      <c r="D226" t="s">
        <v>450</v>
      </c>
      <c r="F226" s="19">
        <v>8643</v>
      </c>
      <c r="G226" s="19">
        <v>-389786.4964</v>
      </c>
      <c r="I226" s="19">
        <v>98</v>
      </c>
      <c r="J226" s="19">
        <v>-4419.7610000000004</v>
      </c>
      <c r="L226" s="31">
        <v>256779440052</v>
      </c>
      <c r="M226" s="30"/>
      <c r="N226" s="30">
        <v>822.09299999999996</v>
      </c>
    </row>
    <row r="227" spans="1:14" x14ac:dyDescent="0.35">
      <c r="A227" s="17">
        <v>256779418180</v>
      </c>
      <c r="B227" s="18">
        <v>45937</v>
      </c>
      <c r="C227" t="s">
        <v>407</v>
      </c>
      <c r="D227" t="s">
        <v>411</v>
      </c>
      <c r="F227" s="19">
        <v>14970.2718</v>
      </c>
      <c r="G227" s="19">
        <v>-381143.4964</v>
      </c>
      <c r="I227" s="19">
        <v>169.75559999999999</v>
      </c>
      <c r="J227" s="19">
        <v>-4321.7610000000004</v>
      </c>
      <c r="L227" s="31">
        <v>256779440081</v>
      </c>
      <c r="M227" s="30"/>
      <c r="N227" s="30">
        <v>3.3809999999999998</v>
      </c>
    </row>
    <row r="228" spans="1:14" x14ac:dyDescent="0.35">
      <c r="A228" s="17">
        <v>256779418400</v>
      </c>
      <c r="B228" s="18">
        <v>45935</v>
      </c>
      <c r="C228" t="s">
        <v>407</v>
      </c>
      <c r="D228" t="s">
        <v>411</v>
      </c>
      <c r="F228" s="19">
        <v>25349.127</v>
      </c>
      <c r="G228" s="19">
        <v>-264991.9155</v>
      </c>
      <c r="I228" s="19">
        <v>287.43400000000003</v>
      </c>
      <c r="J228" s="19">
        <v>-3004.6932000000002</v>
      </c>
      <c r="L228" s="31" t="s">
        <v>475</v>
      </c>
      <c r="M228" s="30">
        <v>69384.119199999986</v>
      </c>
      <c r="N228" s="30"/>
    </row>
    <row r="229" spans="1:14" x14ac:dyDescent="0.35">
      <c r="A229" s="17">
        <v>256779418621</v>
      </c>
      <c r="B229" s="20">
        <v>45950</v>
      </c>
      <c r="C229" t="s">
        <v>407</v>
      </c>
      <c r="D229" t="s">
        <v>417</v>
      </c>
      <c r="F229" s="19">
        <v>64819.5</v>
      </c>
      <c r="G229" s="19">
        <v>-329811.4155</v>
      </c>
      <c r="I229" s="19">
        <v>735</v>
      </c>
      <c r="J229" s="19">
        <v>-3739.6932000000002</v>
      </c>
    </row>
    <row r="230" spans="1:14" x14ac:dyDescent="0.35">
      <c r="A230" s="17">
        <v>256779418621</v>
      </c>
      <c r="B230" s="20">
        <v>45950</v>
      </c>
      <c r="C230" t="s">
        <v>407</v>
      </c>
      <c r="D230" t="s">
        <v>412</v>
      </c>
      <c r="F230" s="19">
        <v>7937</v>
      </c>
      <c r="G230" s="19">
        <v>-337748.4155</v>
      </c>
      <c r="I230" s="19">
        <v>90</v>
      </c>
      <c r="J230" s="19">
        <v>-3829.6932000000002</v>
      </c>
    </row>
    <row r="231" spans="1:14" x14ac:dyDescent="0.35">
      <c r="A231" s="17">
        <v>256779418633</v>
      </c>
      <c r="B231" s="18">
        <v>45950</v>
      </c>
      <c r="C231" t="s">
        <v>407</v>
      </c>
      <c r="D231" t="s">
        <v>411</v>
      </c>
      <c r="F231" s="19">
        <v>3024.65</v>
      </c>
      <c r="G231" s="19">
        <v>-340773.06550000003</v>
      </c>
      <c r="I231" s="19">
        <v>34.299999999999997</v>
      </c>
      <c r="J231" s="19">
        <v>-3863.9931999999999</v>
      </c>
    </row>
    <row r="232" spans="1:14" x14ac:dyDescent="0.35">
      <c r="A232" s="17">
        <v>256779418663</v>
      </c>
      <c r="B232" s="18">
        <v>45950</v>
      </c>
      <c r="C232" t="s">
        <v>407</v>
      </c>
      <c r="D232" t="s">
        <v>435</v>
      </c>
      <c r="F232" s="19">
        <v>25400.159100000001</v>
      </c>
      <c r="G232" s="19">
        <v>-366173.22460000002</v>
      </c>
      <c r="I232" s="19">
        <v>288.01220000000001</v>
      </c>
      <c r="J232" s="19">
        <v>-4152.0054</v>
      </c>
    </row>
    <row r="233" spans="1:14" x14ac:dyDescent="0.35">
      <c r="A233" s="17">
        <v>256779418703</v>
      </c>
      <c r="B233" s="18">
        <v>45950</v>
      </c>
      <c r="C233" t="s">
        <v>407</v>
      </c>
      <c r="D233" t="s">
        <v>440</v>
      </c>
      <c r="F233" s="19">
        <v>849.90769999999998</v>
      </c>
      <c r="G233" s="19">
        <v>-420917.84409999999</v>
      </c>
      <c r="I233" s="19">
        <v>9.6334</v>
      </c>
      <c r="J233" s="19">
        <v>-4773.5018</v>
      </c>
    </row>
    <row r="234" spans="1:14" x14ac:dyDescent="0.35">
      <c r="A234" s="17">
        <v>256779418775</v>
      </c>
      <c r="B234" s="18">
        <v>45966</v>
      </c>
      <c r="C234" t="s">
        <v>407</v>
      </c>
      <c r="D234" t="s">
        <v>408</v>
      </c>
      <c r="F234" s="19">
        <v>89996.160000000003</v>
      </c>
      <c r="G234" s="19">
        <v>-593079.99190000002</v>
      </c>
      <c r="I234" s="19">
        <v>1022.688</v>
      </c>
      <c r="J234" s="19">
        <v>-6729.8914000000004</v>
      </c>
    </row>
    <row r="235" spans="1:14" x14ac:dyDescent="0.35">
      <c r="A235" s="17">
        <v>256779418776</v>
      </c>
      <c r="B235" s="20">
        <v>45966</v>
      </c>
      <c r="C235" t="s">
        <v>407</v>
      </c>
      <c r="D235" t="s">
        <v>410</v>
      </c>
      <c r="F235" s="19">
        <v>34299.828200000004</v>
      </c>
      <c r="G235" s="19">
        <v>-627379.82010000001</v>
      </c>
      <c r="I235" s="19">
        <v>389.75580000000002</v>
      </c>
      <c r="J235" s="19">
        <v>-7119.6472000000003</v>
      </c>
    </row>
    <row r="236" spans="1:14" x14ac:dyDescent="0.35">
      <c r="A236" s="17">
        <v>256779418820</v>
      </c>
      <c r="B236" s="18">
        <v>45966</v>
      </c>
      <c r="C236" t="s">
        <v>407</v>
      </c>
      <c r="D236" t="s">
        <v>411</v>
      </c>
      <c r="F236" s="19">
        <v>30281.439999999999</v>
      </c>
      <c r="G236" s="19">
        <v>-420067.93640000001</v>
      </c>
      <c r="I236" s="19">
        <v>344.10739999999998</v>
      </c>
      <c r="J236" s="19">
        <v>-4763.8684000000003</v>
      </c>
    </row>
    <row r="237" spans="1:14" x14ac:dyDescent="0.35">
      <c r="A237" s="17">
        <v>256779418876</v>
      </c>
      <c r="B237" s="18">
        <v>45966</v>
      </c>
      <c r="C237" t="s">
        <v>407</v>
      </c>
      <c r="D237" t="s">
        <v>408</v>
      </c>
      <c r="F237" s="19">
        <v>59082.888800000001</v>
      </c>
      <c r="G237" s="19">
        <v>-1485533.9526</v>
      </c>
      <c r="I237" s="19">
        <v>671.37300000000005</v>
      </c>
      <c r="J237" s="19">
        <v>-16930.334999999999</v>
      </c>
    </row>
    <row r="238" spans="1:14" x14ac:dyDescent="0.35">
      <c r="A238" s="17">
        <v>256779419077</v>
      </c>
      <c r="B238" s="20">
        <v>45966</v>
      </c>
      <c r="C238" t="s">
        <v>407</v>
      </c>
      <c r="D238" t="s">
        <v>412</v>
      </c>
      <c r="F238" s="19">
        <v>7920</v>
      </c>
      <c r="G238" s="19">
        <v>-434091.83189999999</v>
      </c>
      <c r="I238" s="19">
        <v>90</v>
      </c>
      <c r="J238" s="19">
        <v>-4923.2034000000003</v>
      </c>
    </row>
    <row r="239" spans="1:14" x14ac:dyDescent="0.35">
      <c r="A239" s="17">
        <v>256779419077</v>
      </c>
      <c r="B239" s="20">
        <v>45966</v>
      </c>
      <c r="C239" t="s">
        <v>407</v>
      </c>
      <c r="D239" t="s">
        <v>417</v>
      </c>
      <c r="F239" s="19">
        <v>68992</v>
      </c>
      <c r="G239" s="19">
        <v>-503083.83189999999</v>
      </c>
      <c r="I239" s="19">
        <v>784</v>
      </c>
      <c r="J239" s="19">
        <v>-5707.2034000000003</v>
      </c>
    </row>
    <row r="240" spans="1:14" x14ac:dyDescent="0.35">
      <c r="A240" s="17">
        <v>256779419130</v>
      </c>
      <c r="B240" s="18">
        <v>45964</v>
      </c>
      <c r="C240" t="s">
        <v>407</v>
      </c>
      <c r="D240" t="s">
        <v>418</v>
      </c>
      <c r="F240" s="19">
        <v>4545.4799999999996</v>
      </c>
      <c r="G240" s="19">
        <v>-426171.83189999999</v>
      </c>
      <c r="I240" s="19">
        <v>51.655799999999999</v>
      </c>
      <c r="J240" s="19">
        <v>-4833.2034000000003</v>
      </c>
    </row>
    <row r="241" spans="1:10" x14ac:dyDescent="0.35">
      <c r="A241" s="17">
        <v>256779419174</v>
      </c>
      <c r="B241" s="18">
        <v>45966</v>
      </c>
      <c r="C241" t="s">
        <v>407</v>
      </c>
      <c r="D241" t="s">
        <v>440</v>
      </c>
      <c r="F241" s="19">
        <v>708.50779999999997</v>
      </c>
      <c r="G241" s="19">
        <v>-421626.35190000001</v>
      </c>
      <c r="I241" s="19">
        <v>8.0457999999999998</v>
      </c>
      <c r="J241" s="19">
        <v>-4781.5475999999999</v>
      </c>
    </row>
    <row r="242" spans="1:10" x14ac:dyDescent="0.35">
      <c r="A242" s="17">
        <v>256779419200</v>
      </c>
      <c r="B242" s="18">
        <v>45966</v>
      </c>
      <c r="C242" t="s">
        <v>407</v>
      </c>
      <c r="D242" t="s">
        <v>411</v>
      </c>
      <c r="F242" s="19">
        <v>13131.454</v>
      </c>
      <c r="G242" s="19">
        <v>-1186951.7169000001</v>
      </c>
      <c r="I242" s="19">
        <v>149.2148</v>
      </c>
      <c r="J242" s="19">
        <v>-13469.704</v>
      </c>
    </row>
    <row r="243" spans="1:10" x14ac:dyDescent="0.35">
      <c r="A243" s="17">
        <v>256779419232</v>
      </c>
      <c r="B243" s="18">
        <v>45966</v>
      </c>
      <c r="C243" t="s">
        <v>407</v>
      </c>
      <c r="D243" t="s">
        <v>411</v>
      </c>
      <c r="F243" s="19">
        <v>2233.4737</v>
      </c>
      <c r="G243" s="19">
        <v>-1173820.2629</v>
      </c>
      <c r="I243" s="19">
        <v>25.176200000000001</v>
      </c>
      <c r="J243" s="19">
        <v>-13320.4892</v>
      </c>
    </row>
    <row r="244" spans="1:10" x14ac:dyDescent="0.35">
      <c r="A244" s="17">
        <v>256779419558</v>
      </c>
      <c r="B244" s="20">
        <v>45981</v>
      </c>
      <c r="C244" t="s">
        <v>407</v>
      </c>
      <c r="D244" t="s">
        <v>412</v>
      </c>
      <c r="F244" s="19">
        <v>7920.3389999999999</v>
      </c>
      <c r="G244" s="19">
        <v>-886072.42980000004</v>
      </c>
      <c r="I244" s="19">
        <v>90</v>
      </c>
      <c r="J244" s="19">
        <v>-10041.117</v>
      </c>
    </row>
    <row r="245" spans="1:10" x14ac:dyDescent="0.35">
      <c r="A245" s="17">
        <v>256779419558</v>
      </c>
      <c r="B245" s="20">
        <v>45981</v>
      </c>
      <c r="C245" t="s">
        <v>407</v>
      </c>
      <c r="D245" t="s">
        <v>417</v>
      </c>
      <c r="F245" s="19">
        <v>64682.542500000003</v>
      </c>
      <c r="G245" s="19">
        <v>-950754.97230000002</v>
      </c>
      <c r="I245" s="19">
        <v>735</v>
      </c>
      <c r="J245" s="19">
        <v>-10776.117</v>
      </c>
    </row>
    <row r="246" spans="1:10" x14ac:dyDescent="0.35">
      <c r="A246" s="17">
        <v>256779419590</v>
      </c>
      <c r="B246" s="18">
        <v>45981</v>
      </c>
      <c r="C246" t="s">
        <v>407</v>
      </c>
      <c r="D246" t="s">
        <v>440</v>
      </c>
      <c r="F246" s="19">
        <v>28590.123800000001</v>
      </c>
      <c r="G246" s="19">
        <v>-748463.94310000003</v>
      </c>
      <c r="I246" s="19">
        <v>324.87</v>
      </c>
      <c r="J246" s="19">
        <v>-8489.0175999999992</v>
      </c>
    </row>
    <row r="247" spans="1:10" x14ac:dyDescent="0.35">
      <c r="A247" s="17">
        <v>256779419630</v>
      </c>
      <c r="B247" s="18">
        <v>45981</v>
      </c>
      <c r="C247" t="s">
        <v>407</v>
      </c>
      <c r="D247" t="s">
        <v>440</v>
      </c>
      <c r="F247" s="19">
        <v>9709.4215999999997</v>
      </c>
      <c r="G247" s="19">
        <v>-637089.24170000001</v>
      </c>
      <c r="I247" s="19">
        <v>110.3284</v>
      </c>
      <c r="J247" s="19">
        <v>-7229.9755999999998</v>
      </c>
    </row>
    <row r="248" spans="1:10" x14ac:dyDescent="0.35">
      <c r="A248" s="17">
        <v>256779419796</v>
      </c>
      <c r="B248" s="20">
        <v>45996</v>
      </c>
      <c r="C248" t="s">
        <v>407</v>
      </c>
      <c r="D248" t="s">
        <v>412</v>
      </c>
      <c r="F248" s="19">
        <v>7983</v>
      </c>
      <c r="G248" s="19">
        <v>-654679.81929999997</v>
      </c>
      <c r="I248" s="19">
        <v>90</v>
      </c>
      <c r="J248" s="19">
        <v>-7429.1476000000002</v>
      </c>
    </row>
    <row r="249" spans="1:10" x14ac:dyDescent="0.35">
      <c r="A249" s="17">
        <v>256779419796</v>
      </c>
      <c r="B249" s="20">
        <v>45996</v>
      </c>
      <c r="C249" t="s">
        <v>407</v>
      </c>
      <c r="D249" t="s">
        <v>417</v>
      </c>
      <c r="F249" s="19">
        <v>65194</v>
      </c>
      <c r="G249" s="19">
        <v>-719873.81929999997</v>
      </c>
      <c r="I249" s="19">
        <v>735</v>
      </c>
      <c r="J249" s="19">
        <v>-8164.1476000000002</v>
      </c>
    </row>
    <row r="250" spans="1:10" x14ac:dyDescent="0.35">
      <c r="A250" s="17">
        <v>256779419918</v>
      </c>
      <c r="B250" s="18">
        <v>45996</v>
      </c>
      <c r="C250" t="s">
        <v>407</v>
      </c>
      <c r="D250" t="s">
        <v>440</v>
      </c>
      <c r="F250" s="19">
        <v>9607.5776000000005</v>
      </c>
      <c r="G250" s="19">
        <v>-646696.81929999997</v>
      </c>
      <c r="I250" s="19">
        <v>109.172</v>
      </c>
      <c r="J250" s="19">
        <v>-7339.1476000000002</v>
      </c>
    </row>
    <row r="251" spans="1:10" x14ac:dyDescent="0.35">
      <c r="A251" s="17">
        <v>256779419955</v>
      </c>
      <c r="B251" s="18">
        <v>45997</v>
      </c>
      <c r="C251" t="s">
        <v>407</v>
      </c>
      <c r="D251" t="s">
        <v>441</v>
      </c>
      <c r="F251" s="19">
        <v>5388.5217000000002</v>
      </c>
      <c r="G251" s="19">
        <v>-753852.46479999996</v>
      </c>
      <c r="I251" s="19">
        <v>60.7502</v>
      </c>
      <c r="J251" s="19">
        <v>-8549.7677999999996</v>
      </c>
    </row>
    <row r="252" spans="1:10" x14ac:dyDescent="0.35">
      <c r="A252" s="17">
        <v>256779419968</v>
      </c>
      <c r="B252" s="18">
        <v>45995</v>
      </c>
      <c r="C252" t="s">
        <v>407</v>
      </c>
      <c r="D252" t="s">
        <v>408</v>
      </c>
      <c r="F252" s="19">
        <v>89999.493000000002</v>
      </c>
      <c r="G252" s="19">
        <v>-843851.95779999997</v>
      </c>
      <c r="I252" s="19">
        <v>1014.651</v>
      </c>
      <c r="J252" s="19">
        <v>-9564.4187999999995</v>
      </c>
    </row>
    <row r="253" spans="1:10" x14ac:dyDescent="0.35">
      <c r="A253" s="17">
        <v>256779419969</v>
      </c>
      <c r="B253" s="20">
        <v>45995</v>
      </c>
      <c r="C253" t="s">
        <v>407</v>
      </c>
      <c r="D253" t="s">
        <v>410</v>
      </c>
      <c r="F253" s="19">
        <v>34300.133000000002</v>
      </c>
      <c r="G253" s="19">
        <v>-878152.09080000001</v>
      </c>
      <c r="I253" s="19">
        <v>386.69819999999999</v>
      </c>
      <c r="J253" s="19">
        <v>-9951.1170000000002</v>
      </c>
    </row>
    <row r="254" spans="1:10" x14ac:dyDescent="0.35">
      <c r="A254" s="17">
        <v>256779419992</v>
      </c>
      <c r="B254" s="18">
        <v>45997</v>
      </c>
      <c r="C254" t="s">
        <v>407</v>
      </c>
      <c r="D254" t="s">
        <v>411</v>
      </c>
      <c r="F254" s="19">
        <v>10788.5744</v>
      </c>
      <c r="G254" s="19">
        <v>-1197740.2912999999</v>
      </c>
      <c r="I254" s="19">
        <v>121.62779999999999</v>
      </c>
      <c r="J254" s="19">
        <v>-13591.3318</v>
      </c>
    </row>
    <row r="255" spans="1:10" x14ac:dyDescent="0.35">
      <c r="A255" s="17">
        <v>256779421715</v>
      </c>
      <c r="B255" s="18">
        <v>45883</v>
      </c>
      <c r="C255" t="s">
        <v>456</v>
      </c>
      <c r="D255" t="s">
        <v>408</v>
      </c>
      <c r="E255" s="19">
        <v>179999.96679999999</v>
      </c>
      <c r="G255" s="19">
        <v>-1096682.8263999999</v>
      </c>
      <c r="H255" s="19">
        <v>2092.2930000000001</v>
      </c>
      <c r="J255" s="19">
        <v>-12469.839</v>
      </c>
    </row>
    <row r="256" spans="1:10" x14ac:dyDescent="0.35">
      <c r="A256" s="17">
        <v>256779440052</v>
      </c>
      <c r="B256" s="20">
        <v>46027</v>
      </c>
      <c r="C256" t="s">
        <v>407</v>
      </c>
      <c r="D256" t="s">
        <v>412</v>
      </c>
      <c r="F256" s="19">
        <v>7902.9098000000004</v>
      </c>
      <c r="G256" s="19">
        <v>-1104585.7361999999</v>
      </c>
      <c r="I256" s="19">
        <v>87.093000000000004</v>
      </c>
      <c r="J256" s="19">
        <v>-12556.932000000001</v>
      </c>
    </row>
    <row r="257" spans="1:10" x14ac:dyDescent="0.35">
      <c r="A257" s="17">
        <v>256779440052</v>
      </c>
      <c r="B257" s="20">
        <v>46027</v>
      </c>
      <c r="C257" t="s">
        <v>407</v>
      </c>
      <c r="D257" t="s">
        <v>417</v>
      </c>
      <c r="F257" s="19">
        <v>66694</v>
      </c>
      <c r="G257" s="19">
        <v>-1171279.7361999999</v>
      </c>
      <c r="I257" s="19">
        <v>735</v>
      </c>
      <c r="J257" s="19">
        <v>-13291.932000000001</v>
      </c>
    </row>
    <row r="258" spans="1:10" x14ac:dyDescent="0.35">
      <c r="A258" s="17">
        <v>256779440081</v>
      </c>
      <c r="B258" s="18">
        <v>46027</v>
      </c>
      <c r="C258" t="s">
        <v>407</v>
      </c>
      <c r="D258" t="s">
        <v>440</v>
      </c>
      <c r="F258" s="19">
        <v>307.053</v>
      </c>
      <c r="G258" s="19">
        <v>-1171586.7892</v>
      </c>
      <c r="I258" s="19">
        <v>3.3809999999999998</v>
      </c>
      <c r="J258" s="19">
        <v>-13295.313</v>
      </c>
    </row>
    <row r="259" spans="1:10" x14ac:dyDescent="0.35">
      <c r="A259" s="17" t="s">
        <v>475</v>
      </c>
      <c r="B259" s="18">
        <v>45813</v>
      </c>
      <c r="C259" t="s">
        <v>422</v>
      </c>
      <c r="D259" t="s">
        <v>423</v>
      </c>
      <c r="E259" s="19">
        <v>302049.55200000003</v>
      </c>
      <c r="G259" s="19">
        <v>-2005635.8428</v>
      </c>
      <c r="H259" s="19">
        <v>3529.5558000000001</v>
      </c>
      <c r="J259" s="19">
        <v>-23438.0154</v>
      </c>
    </row>
    <row r="260" spans="1:10" x14ac:dyDescent="0.35">
      <c r="A260" s="17" t="s">
        <v>475</v>
      </c>
      <c r="B260" s="18">
        <v>45813</v>
      </c>
      <c r="C260" t="s">
        <v>424</v>
      </c>
      <c r="D260" t="s">
        <v>423</v>
      </c>
      <c r="E260" s="19">
        <v>271057.80579999997</v>
      </c>
      <c r="G260" s="19">
        <v>-1734578.037</v>
      </c>
      <c r="H260" s="19">
        <v>3167.4751999999999</v>
      </c>
      <c r="J260" s="19">
        <v>-20270.540199999999</v>
      </c>
    </row>
    <row r="261" spans="1:10" x14ac:dyDescent="0.35">
      <c r="A261" s="17" t="s">
        <v>475</v>
      </c>
      <c r="B261" s="18">
        <v>45813</v>
      </c>
      <c r="C261" t="s">
        <v>425</v>
      </c>
      <c r="D261" t="s">
        <v>423</v>
      </c>
      <c r="E261" s="19">
        <v>315203.35159999999</v>
      </c>
      <c r="G261" s="19">
        <v>-1419374.6854000001</v>
      </c>
      <c r="H261" s="19">
        <v>3685.2031999999999</v>
      </c>
      <c r="J261" s="19">
        <v>-16585.337</v>
      </c>
    </row>
    <row r="262" spans="1:10" x14ac:dyDescent="0.35">
      <c r="A262" s="17" t="s">
        <v>475</v>
      </c>
      <c r="B262" s="18">
        <v>45821</v>
      </c>
      <c r="C262" t="s">
        <v>429</v>
      </c>
      <c r="D262" t="s">
        <v>430</v>
      </c>
      <c r="E262" s="19">
        <v>1075024.8446</v>
      </c>
      <c r="G262" s="19">
        <v>-1030010.1654000001</v>
      </c>
      <c r="H262" s="19">
        <v>12549.359399999999</v>
      </c>
      <c r="J262" s="19">
        <v>-12028.3068</v>
      </c>
    </row>
    <row r="263" spans="1:10" x14ac:dyDescent="0.35">
      <c r="A263" s="17" t="s">
        <v>475</v>
      </c>
      <c r="B263" s="18">
        <v>45821</v>
      </c>
      <c r="C263" t="s">
        <v>431</v>
      </c>
      <c r="D263" t="s">
        <v>430</v>
      </c>
      <c r="E263" s="19">
        <v>353878.0502</v>
      </c>
      <c r="G263" s="19">
        <v>-676132.1152</v>
      </c>
      <c r="J263" s="19">
        <v>-12028.3068</v>
      </c>
    </row>
    <row r="264" spans="1:10" x14ac:dyDescent="0.35">
      <c r="A264" s="17" t="s">
        <v>475</v>
      </c>
      <c r="B264" s="18">
        <v>45821</v>
      </c>
      <c r="C264" t="s">
        <v>432</v>
      </c>
      <c r="D264" t="s">
        <v>430</v>
      </c>
      <c r="E264" s="19">
        <v>-353878.0502</v>
      </c>
      <c r="G264" s="19">
        <v>-1030010.1654000001</v>
      </c>
      <c r="J264" s="19">
        <v>-12028.3068</v>
      </c>
    </row>
    <row r="265" spans="1:10" x14ac:dyDescent="0.35">
      <c r="A265" s="17" t="s">
        <v>475</v>
      </c>
      <c r="B265" s="18">
        <v>45821</v>
      </c>
      <c r="C265" t="s">
        <v>431</v>
      </c>
      <c r="D265" t="s">
        <v>430</v>
      </c>
      <c r="E265" s="19">
        <v>353878.0502</v>
      </c>
      <c r="G265" s="19">
        <v>-676132.1152</v>
      </c>
      <c r="H265" s="19">
        <v>4127.9549999999999</v>
      </c>
      <c r="J265" s="19">
        <v>-7900.3518000000004</v>
      </c>
    </row>
    <row r="266" spans="1:10" x14ac:dyDescent="0.35">
      <c r="A266" s="17" t="s">
        <v>475</v>
      </c>
      <c r="B266" s="18">
        <v>45821</v>
      </c>
      <c r="C266" t="s">
        <v>434</v>
      </c>
      <c r="D266" t="s">
        <v>430</v>
      </c>
      <c r="E266" s="19">
        <v>-353878.0502</v>
      </c>
      <c r="G266" s="19">
        <v>-1029719.2610000001</v>
      </c>
      <c r="H266" s="19">
        <v>-4127.9549999999999</v>
      </c>
      <c r="J266" s="19">
        <v>-12024.906000000001</v>
      </c>
    </row>
    <row r="267" spans="1:10" x14ac:dyDescent="0.35">
      <c r="A267" s="17" t="s">
        <v>475</v>
      </c>
      <c r="B267" s="18">
        <v>45821</v>
      </c>
      <c r="C267" t="s">
        <v>431</v>
      </c>
      <c r="D267" t="s">
        <v>430</v>
      </c>
      <c r="E267" s="19">
        <v>362187.0502</v>
      </c>
      <c r="G267" s="19">
        <v>-667532.2108</v>
      </c>
      <c r="H267" s="19">
        <v>4224.8172000000004</v>
      </c>
      <c r="J267" s="19">
        <v>-7800.0888000000004</v>
      </c>
    </row>
    <row r="268" spans="1:10" x14ac:dyDescent="0.35">
      <c r="A268" s="17" t="s">
        <v>475</v>
      </c>
      <c r="B268" s="18">
        <v>45856</v>
      </c>
      <c r="C268" t="s">
        <v>436</v>
      </c>
      <c r="D268" t="s">
        <v>437</v>
      </c>
      <c r="E268" s="19">
        <v>319981.4313</v>
      </c>
      <c r="G268" s="19">
        <v>-715255.2108</v>
      </c>
      <c r="H268" s="19">
        <v>3742.0477999999998</v>
      </c>
      <c r="J268" s="19">
        <v>-8356.0887999999995</v>
      </c>
    </row>
    <row r="269" spans="1:10" x14ac:dyDescent="0.35">
      <c r="A269" s="17" t="s">
        <v>475</v>
      </c>
      <c r="B269" s="18">
        <v>45856</v>
      </c>
      <c r="C269" t="s">
        <v>438</v>
      </c>
      <c r="D269" t="s">
        <v>437</v>
      </c>
      <c r="E269" s="19">
        <v>-319981.4313</v>
      </c>
      <c r="G269" s="19">
        <v>-1035236.6421000001</v>
      </c>
      <c r="H269" s="19">
        <v>-3742.0477999999998</v>
      </c>
      <c r="J269" s="19">
        <v>-12098.1366</v>
      </c>
    </row>
    <row r="270" spans="1:10" x14ac:dyDescent="0.35">
      <c r="A270" s="17" t="s">
        <v>475</v>
      </c>
      <c r="B270" s="18">
        <v>45856</v>
      </c>
      <c r="C270" t="s">
        <v>436</v>
      </c>
      <c r="D270" t="s">
        <v>437</v>
      </c>
      <c r="E270" s="19">
        <v>319981.4313</v>
      </c>
      <c r="G270" s="19">
        <v>-715255.2108</v>
      </c>
      <c r="H270" s="19">
        <v>3742.0477999999998</v>
      </c>
      <c r="J270" s="19">
        <v>-8356.0887999999995</v>
      </c>
    </row>
    <row r="271" spans="1:10" x14ac:dyDescent="0.35">
      <c r="A271" s="17" t="s">
        <v>475</v>
      </c>
      <c r="B271" s="18">
        <v>45876</v>
      </c>
      <c r="C271" t="s">
        <v>442</v>
      </c>
      <c r="D271" t="s">
        <v>437</v>
      </c>
      <c r="E271" s="19">
        <v>86445.871599999999</v>
      </c>
      <c r="G271" s="19">
        <v>-952533.15190000006</v>
      </c>
      <c r="H271" s="19">
        <v>1007.818</v>
      </c>
      <c r="J271" s="19">
        <v>-11079.04</v>
      </c>
    </row>
    <row r="272" spans="1:10" x14ac:dyDescent="0.35">
      <c r="A272" s="17" t="s">
        <v>475</v>
      </c>
      <c r="B272" s="18">
        <v>45877</v>
      </c>
      <c r="C272" t="s">
        <v>443</v>
      </c>
      <c r="D272" t="s">
        <v>437</v>
      </c>
      <c r="E272" s="19">
        <v>411479.42950000003</v>
      </c>
      <c r="G272" s="19">
        <v>-541053.72239999997</v>
      </c>
      <c r="H272" s="19">
        <v>4800.3365999999996</v>
      </c>
      <c r="J272" s="19">
        <v>-6278.7034000000003</v>
      </c>
    </row>
    <row r="273" spans="1:10" x14ac:dyDescent="0.35">
      <c r="A273" s="17" t="s">
        <v>475</v>
      </c>
      <c r="B273" s="18">
        <v>45910</v>
      </c>
      <c r="C273" t="s">
        <v>444</v>
      </c>
      <c r="D273" t="s">
        <v>437</v>
      </c>
      <c r="E273" s="19">
        <v>256553.8652</v>
      </c>
      <c r="G273" s="19">
        <v>-1137064.8358</v>
      </c>
      <c r="H273" s="19">
        <v>2954.3362000000002</v>
      </c>
      <c r="J273" s="19">
        <v>-13106.697200000001</v>
      </c>
    </row>
    <row r="274" spans="1:10" x14ac:dyDescent="0.35">
      <c r="A274" s="17" t="s">
        <v>475</v>
      </c>
      <c r="B274" s="18">
        <v>45910</v>
      </c>
      <c r="C274" t="s">
        <v>445</v>
      </c>
      <c r="D274" t="s">
        <v>437</v>
      </c>
      <c r="E274" s="19">
        <v>409664.38410000002</v>
      </c>
      <c r="G274" s="19">
        <v>-727400.45169999998</v>
      </c>
      <c r="H274" s="19">
        <v>4740.7700000000004</v>
      </c>
      <c r="J274" s="19">
        <v>-8365.9272000000001</v>
      </c>
    </row>
    <row r="275" spans="1:10" x14ac:dyDescent="0.35">
      <c r="A275" s="17" t="s">
        <v>475</v>
      </c>
      <c r="B275" s="18">
        <v>45916</v>
      </c>
      <c r="C275" t="s">
        <v>446</v>
      </c>
      <c r="D275" t="s">
        <v>437</v>
      </c>
      <c r="E275" s="19">
        <v>442900.59450000001</v>
      </c>
      <c r="G275" s="19">
        <v>-284499.85720000003</v>
      </c>
      <c r="H275" s="19">
        <v>5041.5600000000004</v>
      </c>
      <c r="J275" s="19">
        <v>-3324.3672000000001</v>
      </c>
    </row>
    <row r="276" spans="1:10" x14ac:dyDescent="0.35">
      <c r="A276" s="17" t="s">
        <v>475</v>
      </c>
      <c r="B276" s="18">
        <v>45916</v>
      </c>
      <c r="C276" t="s">
        <v>447</v>
      </c>
      <c r="D276" t="s">
        <v>437</v>
      </c>
      <c r="E276" s="19">
        <v>284790.76160000003</v>
      </c>
      <c r="G276" s="19">
        <v>290.90440000000001</v>
      </c>
      <c r="H276" s="19">
        <v>3327.768</v>
      </c>
      <c r="J276" s="19">
        <v>3.4007999999999998</v>
      </c>
    </row>
    <row r="277" spans="1:10" x14ac:dyDescent="0.35">
      <c r="A277" s="17" t="s">
        <v>475</v>
      </c>
      <c r="B277" s="18">
        <v>45959</v>
      </c>
      <c r="C277" t="s">
        <v>451</v>
      </c>
      <c r="D277" t="s">
        <v>437</v>
      </c>
      <c r="E277" s="19">
        <v>153004.0963</v>
      </c>
      <c r="G277" s="19">
        <v>-1092954.1565</v>
      </c>
      <c r="H277" s="19">
        <v>1752.7655999999999</v>
      </c>
      <c r="J277" s="19">
        <v>-12488.7024</v>
      </c>
    </row>
    <row r="278" spans="1:10" x14ac:dyDescent="0.35">
      <c r="A278" s="17" t="s">
        <v>475</v>
      </c>
      <c r="B278" s="18">
        <v>45961</v>
      </c>
      <c r="C278" t="s">
        <v>452</v>
      </c>
      <c r="D278" t="s">
        <v>437</v>
      </c>
      <c r="E278" s="19">
        <v>176448.3726</v>
      </c>
      <c r="G278" s="19">
        <v>-1125356.9432999999</v>
      </c>
      <c r="H278" s="19">
        <v>1989.9404</v>
      </c>
      <c r="J278" s="19">
        <v>-12866.965</v>
      </c>
    </row>
    <row r="279" spans="1:10" x14ac:dyDescent="0.35">
      <c r="A279" s="17" t="s">
        <v>475</v>
      </c>
      <c r="B279" s="18">
        <v>45961</v>
      </c>
      <c r="C279" t="s">
        <v>453</v>
      </c>
      <c r="D279" t="s">
        <v>437</v>
      </c>
      <c r="E279" s="19">
        <v>916796.68830000004</v>
      </c>
      <c r="G279" s="19">
        <v>-208560.255</v>
      </c>
      <c r="H279" s="19">
        <v>10502.1628</v>
      </c>
      <c r="J279" s="19">
        <v>-2364.8022000000001</v>
      </c>
    </row>
    <row r="280" spans="1:10" x14ac:dyDescent="0.35">
      <c r="A280" s="17" t="s">
        <v>475</v>
      </c>
      <c r="B280" s="18">
        <v>46022</v>
      </c>
      <c r="C280" t="s">
        <v>454</v>
      </c>
      <c r="D280" t="s">
        <v>455</v>
      </c>
      <c r="E280" s="19">
        <v>208851.1594</v>
      </c>
      <c r="G280" s="19">
        <v>-1276682.7932</v>
      </c>
      <c r="H280" s="19">
        <v>2368.203</v>
      </c>
      <c r="J280" s="19">
        <v>-14562.132</v>
      </c>
    </row>
  </sheetData>
  <autoFilter ref="A2:J280" xr:uid="{11AED538-2C0D-4213-BD96-BED0EA48D6A5}">
    <sortState xmlns:xlrd2="http://schemas.microsoft.com/office/spreadsheetml/2017/richdata2" ref="A3:J280">
      <sortCondition ref="A2:A280"/>
    </sortState>
  </autoFilter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CL Ledger</vt:lpstr>
      <vt:lpstr>Customer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2026-04-13T15:07:02Z</dcterms:created>
  <dcterms:modified xsi:type="dcterms:W3CDTF">2026-04-23T10:29:06Z</dcterms:modified>
</cp:coreProperties>
</file>