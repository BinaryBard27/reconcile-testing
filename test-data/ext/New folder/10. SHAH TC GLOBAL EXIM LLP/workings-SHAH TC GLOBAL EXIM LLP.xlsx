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0. SHAH TC GLOBAL EXIM LLP\"/>
    </mc:Choice>
  </mc:AlternateContent>
  <xr:revisionPtr revIDLastSave="0" documentId="13_ncr:1_{FF6A92E6-4A98-4967-9BC6-3B7C8AAC98D1}" xr6:coauthVersionLast="47" xr6:coauthVersionMax="47" xr10:uidLastSave="{00000000-0000-0000-0000-000000000000}"/>
  <bookViews>
    <workbookView xWindow="-110" yWindow="-110" windowWidth="21820" windowHeight="14020" tabRatio="1000" firstSheet="2" activeTab="12" xr2:uid="{96843655-A67A-4B96-B02F-414315089648}"/>
  </bookViews>
  <sheets>
    <sheet name="Summary" sheetId="9" r:id="rId1"/>
    <sheet name="Payment Reco Updated" sheetId="20" r:id="rId2"/>
    <sheet name="Ascendus Data" sheetId="2" r:id="rId3"/>
    <sheet name="Payment Reco" sheetId="8" state="hidden" r:id="rId4"/>
    <sheet name="Difference in Invoice Amount" sheetId="10" r:id="rId5"/>
    <sheet name="Invoice not in Customer books" sheetId="6" r:id="rId6"/>
    <sheet name="CN not in Customer Books" sheetId="11" r:id="rId7"/>
    <sheet name="TDS Deducted" sheetId="7" r:id="rId8"/>
    <sheet name="Sheet2" sheetId="18" state="hidden" r:id="rId9"/>
    <sheet name="Customer Data Vlookup" sheetId="17" r:id="rId10"/>
    <sheet name="Sheet3" sheetId="19" state="hidden" r:id="rId11"/>
    <sheet name="Updated Ascendus ledger" sheetId="21" r:id="rId12"/>
    <sheet name="Customer Data" sheetId="3" r:id="rId13"/>
    <sheet name="Sheet4" sheetId="13" state="hidden" r:id="rId14"/>
    <sheet name="Sheet1" sheetId="1" state="hidden" r:id="rId15"/>
  </sheets>
  <definedNames>
    <definedName name="_xlnm._FilterDatabase" localSheetId="2" hidden="1">'Ascendus Data'!$A$2:$O$317</definedName>
    <definedName name="_xlnm._FilterDatabase" localSheetId="6" hidden="1">'CN not in Customer Books'!$A$2:$L$21</definedName>
    <definedName name="_xlnm._FilterDatabase" localSheetId="12" hidden="1">'Customer Data'!$A$1:$Q$279</definedName>
    <definedName name="_xlnm._FilterDatabase" localSheetId="9" hidden="1">'Customer Data Vlookup'!$A$1:$I$280</definedName>
    <definedName name="_xlnm._FilterDatabase" localSheetId="5" hidden="1">'Invoice not in Customer books'!$A$2:$K$38</definedName>
    <definedName name="_xlnm._FilterDatabase" localSheetId="3" hidden="1">'Payment Reco'!$A$3:$D$23</definedName>
    <definedName name="_xlnm._FilterDatabase" localSheetId="1" hidden="1">'Payment Reco Updated'!$A$1:$D$1</definedName>
    <definedName name="_xlnm._FilterDatabase" localSheetId="13" hidden="1">Sheet4!$A$2:$L$301</definedName>
    <definedName name="_xlnm._FilterDatabase" localSheetId="7" hidden="1">'TDS Deducted'!$A$2:$AA$211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11" l="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J294" i="2" a="1"/>
  <c r="J294" i="2" s="1"/>
  <c r="AD24" i="21"/>
  <c r="AD355" i="21"/>
  <c r="AD354" i="21"/>
  <c r="AD353" i="21"/>
  <c r="AD352" i="21"/>
  <c r="AD351" i="21"/>
  <c r="AD350" i="21"/>
  <c r="AD349" i="21"/>
  <c r="AD348" i="21"/>
  <c r="AD347" i="21"/>
  <c r="AD346" i="21"/>
  <c r="AD345" i="21"/>
  <c r="AD344" i="21"/>
  <c r="AD343" i="21"/>
  <c r="AD342" i="21"/>
  <c r="AD341" i="21"/>
  <c r="AD340" i="21"/>
  <c r="AD339" i="21"/>
  <c r="AD338" i="21"/>
  <c r="AD337" i="21"/>
  <c r="AD336" i="21"/>
  <c r="AD335" i="21"/>
  <c r="AD334" i="21"/>
  <c r="AD333" i="21"/>
  <c r="AD332" i="21"/>
  <c r="AD331" i="21"/>
  <c r="AD330" i="21"/>
  <c r="AD329" i="21"/>
  <c r="AD328" i="21"/>
  <c r="AD327" i="21"/>
  <c r="AD326" i="21"/>
  <c r="AD325" i="21"/>
  <c r="AD324" i="21"/>
  <c r="AD323" i="21"/>
  <c r="AD322" i="21"/>
  <c r="AD321" i="21"/>
  <c r="AD320" i="21"/>
  <c r="AD319" i="21"/>
  <c r="AD318" i="21"/>
  <c r="AD317" i="21"/>
  <c r="AD316" i="21"/>
  <c r="AD315" i="21"/>
  <c r="AD314" i="21"/>
  <c r="AD313" i="21"/>
  <c r="AD312" i="21"/>
  <c r="AD311" i="21"/>
  <c r="AD310" i="21"/>
  <c r="AD309" i="21"/>
  <c r="AD308" i="21"/>
  <c r="AD307" i="21"/>
  <c r="AD306" i="21"/>
  <c r="AD305" i="21"/>
  <c r="AD304" i="21"/>
  <c r="AD303" i="21"/>
  <c r="AD302" i="21"/>
  <c r="AD301" i="21"/>
  <c r="AD300" i="21"/>
  <c r="AD299" i="21"/>
  <c r="AD298" i="21"/>
  <c r="AD297" i="21"/>
  <c r="AD296" i="21"/>
  <c r="AD295" i="21"/>
  <c r="AD294" i="21"/>
  <c r="AD293" i="21"/>
  <c r="AD292" i="21"/>
  <c r="AD291" i="21"/>
  <c r="AD290" i="21"/>
  <c r="AD289" i="21"/>
  <c r="AD288" i="21"/>
  <c r="AD287" i="21"/>
  <c r="AD286" i="21"/>
  <c r="AD285" i="21"/>
  <c r="AD284" i="21"/>
  <c r="AD283" i="21"/>
  <c r="AD282" i="21"/>
  <c r="AD281" i="21"/>
  <c r="AD280" i="21"/>
  <c r="AD279" i="21"/>
  <c r="AD278" i="21"/>
  <c r="AD277" i="21"/>
  <c r="AD276" i="21"/>
  <c r="AD275" i="21"/>
  <c r="AD274" i="21"/>
  <c r="AD273" i="21"/>
  <c r="AD272" i="21"/>
  <c r="AD271" i="21"/>
  <c r="AD270" i="21"/>
  <c r="AD269" i="21"/>
  <c r="AD268" i="21"/>
  <c r="AD267" i="21"/>
  <c r="AD266" i="21"/>
  <c r="AD265" i="21"/>
  <c r="AD264" i="21"/>
  <c r="AD263" i="21"/>
  <c r="AD262" i="21"/>
  <c r="AD261" i="21"/>
  <c r="AD260" i="21"/>
  <c r="AD259" i="21"/>
  <c r="AD258" i="21"/>
  <c r="AD257" i="21"/>
  <c r="AD256" i="21"/>
  <c r="AD255" i="21"/>
  <c r="AD254" i="21"/>
  <c r="AD253" i="21"/>
  <c r="AD252" i="21"/>
  <c r="AD251" i="21"/>
  <c r="AD250" i="21"/>
  <c r="AD249" i="21"/>
  <c r="AD248" i="21"/>
  <c r="AD247" i="21"/>
  <c r="AD246" i="21"/>
  <c r="AD245" i="21"/>
  <c r="AD244" i="21"/>
  <c r="AD243" i="21"/>
  <c r="AD242" i="21"/>
  <c r="AD241" i="21"/>
  <c r="AD240" i="21"/>
  <c r="AD239" i="21"/>
  <c r="AD238" i="21"/>
  <c r="AD237" i="21"/>
  <c r="AD236" i="21"/>
  <c r="AD235" i="21"/>
  <c r="AD234" i="21"/>
  <c r="AD233" i="21"/>
  <c r="AD232" i="21"/>
  <c r="AD231" i="21"/>
  <c r="AD230" i="21"/>
  <c r="AD229" i="21"/>
  <c r="AD228" i="21"/>
  <c r="AD227" i="21"/>
  <c r="AD226" i="21"/>
  <c r="AD225" i="21"/>
  <c r="AD224" i="21"/>
  <c r="AD223" i="21"/>
  <c r="AD222" i="21"/>
  <c r="AD221" i="21"/>
  <c r="AD220" i="21"/>
  <c r="AD219" i="21"/>
  <c r="AD218" i="21"/>
  <c r="AD217" i="21"/>
  <c r="AD216" i="21"/>
  <c r="AD215" i="21"/>
  <c r="AD214" i="21"/>
  <c r="AD213" i="21"/>
  <c r="AD212" i="21"/>
  <c r="AD211" i="21"/>
  <c r="AD210" i="21"/>
  <c r="AD209" i="21"/>
  <c r="AD208" i="21"/>
  <c r="AD207" i="21"/>
  <c r="AD206" i="21"/>
  <c r="AD205" i="21"/>
  <c r="AD204" i="21"/>
  <c r="AD203" i="21"/>
  <c r="AD202" i="21"/>
  <c r="AD201" i="21"/>
  <c r="AD200" i="21"/>
  <c r="AD199" i="21"/>
  <c r="AD198" i="21"/>
  <c r="AD197" i="21"/>
  <c r="AD196" i="21"/>
  <c r="AD195" i="21"/>
  <c r="AD194" i="21"/>
  <c r="AD193" i="21"/>
  <c r="AD192" i="21"/>
  <c r="AD191" i="21"/>
  <c r="AD190" i="21"/>
  <c r="AD189" i="21"/>
  <c r="AD188" i="21"/>
  <c r="AD187" i="21"/>
  <c r="AD186" i="21"/>
  <c r="AD185" i="21"/>
  <c r="AD184" i="21"/>
  <c r="AD183" i="21"/>
  <c r="AD182" i="21"/>
  <c r="AD181" i="21"/>
  <c r="AD180" i="21"/>
  <c r="AD179" i="21"/>
  <c r="AD178" i="21"/>
  <c r="AD177" i="21"/>
  <c r="AD176" i="21"/>
  <c r="AD175" i="21"/>
  <c r="AD174" i="21"/>
  <c r="AD173" i="21"/>
  <c r="AD172" i="21"/>
  <c r="AD171" i="21"/>
  <c r="AD170" i="21"/>
  <c r="AD169" i="21"/>
  <c r="AD168" i="21"/>
  <c r="AD167" i="21"/>
  <c r="AD166" i="21"/>
  <c r="AD165" i="21"/>
  <c r="AD164" i="21"/>
  <c r="AD163" i="21"/>
  <c r="AD162" i="21"/>
  <c r="AD161" i="21"/>
  <c r="AD160" i="21"/>
  <c r="AD159" i="21"/>
  <c r="AD158" i="21"/>
  <c r="AD157" i="21"/>
  <c r="AD156" i="21"/>
  <c r="AD155" i="21"/>
  <c r="AD154" i="21"/>
  <c r="AD153" i="21"/>
  <c r="AD152" i="21"/>
  <c r="AD151" i="21"/>
  <c r="AD150" i="21"/>
  <c r="AD149" i="21"/>
  <c r="AD148" i="21"/>
  <c r="AD147" i="21"/>
  <c r="AD146" i="21"/>
  <c r="AD145" i="21"/>
  <c r="AD144" i="21"/>
  <c r="AD143" i="21"/>
  <c r="AD142" i="21"/>
  <c r="AD141" i="21"/>
  <c r="AD140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128" i="21"/>
  <c r="AD127" i="21"/>
  <c r="AD126" i="21"/>
  <c r="AD125" i="21"/>
  <c r="AD124" i="21"/>
  <c r="AD123" i="21"/>
  <c r="AD122" i="21"/>
  <c r="AD121" i="21"/>
  <c r="AD120" i="21"/>
  <c r="AD119" i="21"/>
  <c r="AD118" i="21"/>
  <c r="AD117" i="21"/>
  <c r="AD116" i="21"/>
  <c r="AD115" i="21"/>
  <c r="AD114" i="21"/>
  <c r="AD113" i="21"/>
  <c r="AD112" i="21"/>
  <c r="AD111" i="21"/>
  <c r="AD110" i="21"/>
  <c r="AD109" i="21"/>
  <c r="AD108" i="21"/>
  <c r="AD107" i="21"/>
  <c r="AD106" i="21"/>
  <c r="AD105" i="21"/>
  <c r="AD104" i="21"/>
  <c r="AD103" i="21"/>
  <c r="AD102" i="21"/>
  <c r="AD101" i="21"/>
  <c r="AD100" i="21"/>
  <c r="AD99" i="21"/>
  <c r="AD98" i="21"/>
  <c r="AD97" i="21"/>
  <c r="AD96" i="21"/>
  <c r="AD95" i="21"/>
  <c r="AD94" i="21"/>
  <c r="AD93" i="21"/>
  <c r="AD92" i="21"/>
  <c r="AD91" i="21"/>
  <c r="AD90" i="21"/>
  <c r="AD89" i="21"/>
  <c r="AD88" i="21"/>
  <c r="AD87" i="21"/>
  <c r="AD86" i="21"/>
  <c r="AD85" i="21"/>
  <c r="AD84" i="21"/>
  <c r="AD83" i="21"/>
  <c r="AD82" i="21"/>
  <c r="AD81" i="21"/>
  <c r="AD80" i="21"/>
  <c r="AD79" i="21"/>
  <c r="AD78" i="21"/>
  <c r="AD77" i="21"/>
  <c r="AD76" i="21"/>
  <c r="AD75" i="21"/>
  <c r="AD74" i="21"/>
  <c r="AD73" i="21"/>
  <c r="AD72" i="21"/>
  <c r="AD71" i="21"/>
  <c r="AD70" i="21"/>
  <c r="AD69" i="21"/>
  <c r="AD68" i="21"/>
  <c r="AD67" i="21"/>
  <c r="AD66" i="21"/>
  <c r="AD65" i="21"/>
  <c r="AD64" i="21"/>
  <c r="AD63" i="21"/>
  <c r="AD62" i="21"/>
  <c r="AD61" i="21"/>
  <c r="AD60" i="21"/>
  <c r="AD59" i="21"/>
  <c r="AD58" i="21"/>
  <c r="AD57" i="21"/>
  <c r="AD56" i="21"/>
  <c r="AD55" i="21"/>
  <c r="AD54" i="21"/>
  <c r="AD53" i="21"/>
  <c r="AD52" i="21"/>
  <c r="AD51" i="21"/>
  <c r="AD50" i="21"/>
  <c r="AD49" i="21"/>
  <c r="AD48" i="21"/>
  <c r="AD47" i="21"/>
  <c r="AD46" i="21"/>
  <c r="AD45" i="21"/>
  <c r="AD44" i="21"/>
  <c r="AD43" i="21"/>
  <c r="AD42" i="21"/>
  <c r="AD41" i="21"/>
  <c r="AD40" i="21"/>
  <c r="AD39" i="21"/>
  <c r="AD38" i="21"/>
  <c r="AD37" i="21"/>
  <c r="AD36" i="21"/>
  <c r="AD35" i="21"/>
  <c r="AD34" i="21"/>
  <c r="AD33" i="21"/>
  <c r="AD32" i="21"/>
  <c r="AD31" i="21"/>
  <c r="AD30" i="21"/>
  <c r="AD29" i="21"/>
  <c r="AD28" i="21"/>
  <c r="AD27" i="21"/>
  <c r="AD26" i="21"/>
  <c r="AD25" i="21"/>
  <c r="AD23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9" i="21"/>
  <c r="AD8" i="21"/>
  <c r="AD7" i="21"/>
  <c r="AD6" i="21"/>
  <c r="AD5" i="21"/>
  <c r="AD4" i="21"/>
  <c r="AD3" i="21"/>
  <c r="AD2" i="21"/>
  <c r="B6" i="9"/>
  <c r="B4" i="9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3" i="20"/>
  <c r="N2" i="20"/>
  <c r="G23" i="20"/>
  <c r="L11" i="20"/>
  <c r="D19" i="20"/>
  <c r="L15" i="20"/>
  <c r="L8" i="20"/>
  <c r="L9" i="20"/>
  <c r="L10" i="20"/>
  <c r="L13" i="20"/>
  <c r="L14" i="20"/>
  <c r="L17" i="20"/>
  <c r="L18" i="20"/>
  <c r="L7" i="20"/>
  <c r="L6" i="20"/>
  <c r="L5" i="20"/>
  <c r="L4" i="20"/>
  <c r="L3" i="20"/>
  <c r="L2" i="20"/>
  <c r="L19" i="20" s="1"/>
  <c r="K19" i="20"/>
  <c r="G19" i="20"/>
  <c r="M18" i="20"/>
  <c r="M17" i="20"/>
  <c r="M15" i="20"/>
  <c r="M13" i="20"/>
  <c r="M11" i="20"/>
  <c r="M10" i="20"/>
  <c r="M9" i="20"/>
  <c r="M8" i="20"/>
  <c r="M7" i="20"/>
  <c r="M6" i="20"/>
  <c r="M4" i="20"/>
  <c r="M3" i="20"/>
  <c r="M19" i="20" l="1"/>
  <c r="N19" i="20"/>
  <c r="K38" i="6" l="1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G1" i="6"/>
  <c r="M76" i="7"/>
  <c r="M1" i="7" s="1"/>
  <c r="S11" i="17"/>
  <c r="B8" i="9" s="1"/>
  <c r="R2" i="3" l="1"/>
  <c r="K280" i="3"/>
  <c r="J280" i="3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M4" i="10"/>
  <c r="B7" i="9" s="1"/>
  <c r="G21" i="11"/>
  <c r="H1" i="6" s="1"/>
  <c r="I1" i="6" s="1"/>
  <c r="H25" i="8"/>
  <c r="J317" i="2" a="1"/>
  <c r="J317" i="2" s="1"/>
  <c r="J316" i="2" a="1"/>
  <c r="J316" i="2" s="1"/>
  <c r="J315" i="2" a="1"/>
  <c r="J315" i="2" s="1"/>
  <c r="J314" i="2" a="1"/>
  <c r="J314" i="2" s="1"/>
  <c r="J313" i="2" a="1"/>
  <c r="J313" i="2" s="1"/>
  <c r="J312" i="2" a="1"/>
  <c r="J312" i="2" s="1"/>
  <c r="J311" i="2" a="1"/>
  <c r="J311" i="2" s="1"/>
  <c r="J310" i="2" a="1"/>
  <c r="J310" i="2" s="1"/>
  <c r="J309" i="2" a="1"/>
  <c r="J309" i="2" s="1"/>
  <c r="J308" i="2" a="1"/>
  <c r="J308" i="2" s="1"/>
  <c r="J307" i="2" a="1"/>
  <c r="J307" i="2" s="1"/>
  <c r="J306" i="2" a="1"/>
  <c r="J306" i="2" s="1"/>
  <c r="J305" i="2" a="1"/>
  <c r="J305" i="2" s="1"/>
  <c r="J304" i="2" a="1"/>
  <c r="J304" i="2" s="1"/>
  <c r="J303" i="2" a="1"/>
  <c r="J303" i="2" s="1"/>
  <c r="J302" i="2" a="1"/>
  <c r="J302" i="2" s="1"/>
  <c r="J301" i="2" a="1"/>
  <c r="J301" i="2" s="1"/>
  <c r="J300" i="2" a="1"/>
  <c r="J300" i="2" s="1"/>
  <c r="J299" i="2" a="1"/>
  <c r="J299" i="2" s="1"/>
  <c r="J298" i="2" a="1"/>
  <c r="J298" i="2" s="1"/>
  <c r="J297" i="2" a="1"/>
  <c r="J297" i="2" s="1"/>
  <c r="J296" i="2" a="1"/>
  <c r="J296" i="2" s="1"/>
  <c r="J295" i="2" a="1"/>
  <c r="J295" i="2" s="1"/>
  <c r="J293" i="2" a="1"/>
  <c r="J293" i="2" s="1"/>
  <c r="J292" i="2" a="1"/>
  <c r="J292" i="2" s="1"/>
  <c r="J291" i="2" a="1"/>
  <c r="J291" i="2" s="1"/>
  <c r="J290" i="2" a="1"/>
  <c r="J290" i="2" s="1"/>
  <c r="J289" i="2" a="1"/>
  <c r="J289" i="2" s="1"/>
  <c r="J288" i="2" a="1"/>
  <c r="J288" i="2" s="1"/>
  <c r="J287" i="2" a="1"/>
  <c r="J287" i="2" s="1"/>
  <c r="J286" i="2" a="1"/>
  <c r="J286" i="2" s="1"/>
  <c r="J285" i="2" a="1"/>
  <c r="J285" i="2" s="1"/>
  <c r="J284" i="2" a="1"/>
  <c r="J284" i="2" s="1"/>
  <c r="J283" i="2" a="1"/>
  <c r="J283" i="2" s="1"/>
  <c r="J282" i="2" a="1"/>
  <c r="J282" i="2" s="1"/>
  <c r="J281" i="2" a="1"/>
  <c r="J281" i="2" s="1"/>
  <c r="J280" i="2" a="1"/>
  <c r="J280" i="2" s="1"/>
  <c r="J279" i="2" a="1"/>
  <c r="J279" i="2" s="1"/>
  <c r="J278" i="2" a="1"/>
  <c r="J278" i="2" s="1"/>
  <c r="J277" i="2" a="1"/>
  <c r="J277" i="2" s="1"/>
  <c r="J276" i="2" a="1"/>
  <c r="J276" i="2" s="1"/>
  <c r="J275" i="2" a="1"/>
  <c r="J275" i="2" s="1"/>
  <c r="J274" i="2" a="1"/>
  <c r="J274" i="2" s="1"/>
  <c r="J273" i="2" a="1"/>
  <c r="J273" i="2" s="1"/>
  <c r="J272" i="2" a="1"/>
  <c r="J272" i="2" s="1"/>
  <c r="J271" i="2" a="1"/>
  <c r="J271" i="2" s="1"/>
  <c r="J270" i="2" a="1"/>
  <c r="J270" i="2" s="1"/>
  <c r="J269" i="2" a="1"/>
  <c r="J269" i="2" s="1"/>
  <c r="J268" i="2" a="1"/>
  <c r="J268" i="2" s="1"/>
  <c r="J267" i="2" a="1"/>
  <c r="J267" i="2" s="1"/>
  <c r="J266" i="2" a="1"/>
  <c r="J266" i="2" s="1"/>
  <c r="J265" i="2" a="1"/>
  <c r="J265" i="2" s="1"/>
  <c r="J264" i="2" a="1"/>
  <c r="J264" i="2" s="1"/>
  <c r="J263" i="2" a="1"/>
  <c r="J263" i="2" s="1"/>
  <c r="J262" i="2" a="1"/>
  <c r="J262" i="2" s="1"/>
  <c r="J261" i="2" a="1"/>
  <c r="J261" i="2" s="1"/>
  <c r="J260" i="2" a="1"/>
  <c r="J260" i="2" s="1"/>
  <c r="J259" i="2" a="1"/>
  <c r="J259" i="2" s="1"/>
  <c r="J258" i="2" a="1"/>
  <c r="J258" i="2" s="1"/>
  <c r="J257" i="2" a="1"/>
  <c r="J257" i="2" s="1"/>
  <c r="J256" i="2" a="1"/>
  <c r="J256" i="2" s="1"/>
  <c r="J255" i="2" a="1"/>
  <c r="J255" i="2" s="1"/>
  <c r="J254" i="2" a="1"/>
  <c r="J254" i="2" s="1"/>
  <c r="J253" i="2" a="1"/>
  <c r="J253" i="2" s="1"/>
  <c r="J252" i="2" a="1"/>
  <c r="J252" i="2" s="1"/>
  <c r="J251" i="2" a="1"/>
  <c r="J251" i="2" s="1"/>
  <c r="J250" i="2" a="1"/>
  <c r="J250" i="2" s="1"/>
  <c r="J249" i="2" a="1"/>
  <c r="J249" i="2" s="1"/>
  <c r="J248" i="2" a="1"/>
  <c r="J248" i="2" s="1"/>
  <c r="J247" i="2" a="1"/>
  <c r="J247" i="2" s="1"/>
  <c r="J246" i="2" a="1"/>
  <c r="J246" i="2" s="1"/>
  <c r="J245" i="2" a="1"/>
  <c r="J245" i="2" s="1"/>
  <c r="J244" i="2" a="1"/>
  <c r="J244" i="2" s="1"/>
  <c r="J243" i="2" a="1"/>
  <c r="J243" i="2" s="1"/>
  <c r="J242" i="2" a="1"/>
  <c r="J242" i="2" s="1"/>
  <c r="J241" i="2" a="1"/>
  <c r="J241" i="2" s="1"/>
  <c r="J240" i="2" a="1"/>
  <c r="J240" i="2" s="1"/>
  <c r="J239" i="2" a="1"/>
  <c r="J239" i="2" s="1"/>
  <c r="J238" i="2" a="1"/>
  <c r="J238" i="2" s="1"/>
  <c r="J237" i="2" a="1"/>
  <c r="J237" i="2" s="1"/>
  <c r="J236" i="2" a="1"/>
  <c r="J236" i="2" s="1"/>
  <c r="J235" i="2" a="1"/>
  <c r="J235" i="2" s="1"/>
  <c r="J234" i="2" a="1"/>
  <c r="J234" i="2" s="1"/>
  <c r="J233" i="2" a="1"/>
  <c r="J233" i="2" s="1"/>
  <c r="J232" i="2" a="1"/>
  <c r="J232" i="2" s="1"/>
  <c r="J231" i="2" a="1"/>
  <c r="J231" i="2" s="1"/>
  <c r="J230" i="2" a="1"/>
  <c r="J230" i="2" s="1"/>
  <c r="J229" i="2" a="1"/>
  <c r="J229" i="2" s="1"/>
  <c r="J228" i="2" a="1"/>
  <c r="J228" i="2" s="1"/>
  <c r="J227" i="2" a="1"/>
  <c r="J227" i="2" s="1"/>
  <c r="J226" i="2" a="1"/>
  <c r="J226" i="2" s="1"/>
  <c r="J225" i="2" a="1"/>
  <c r="J225" i="2" s="1"/>
  <c r="J224" i="2" a="1"/>
  <c r="J224" i="2" s="1"/>
  <c r="J223" i="2" a="1"/>
  <c r="J223" i="2" s="1"/>
  <c r="J222" i="2" a="1"/>
  <c r="J222" i="2" s="1"/>
  <c r="J221" i="2" a="1"/>
  <c r="J221" i="2" s="1"/>
  <c r="J220" i="2" a="1"/>
  <c r="J220" i="2" s="1"/>
  <c r="J219" i="2" a="1"/>
  <c r="J219" i="2" s="1"/>
  <c r="J218" i="2" a="1"/>
  <c r="J218" i="2" s="1"/>
  <c r="J217" i="2" a="1"/>
  <c r="J217" i="2" s="1"/>
  <c r="J216" i="2" a="1"/>
  <c r="J216" i="2" s="1"/>
  <c r="J215" i="2" a="1"/>
  <c r="J215" i="2" s="1"/>
  <c r="J214" i="2" a="1"/>
  <c r="J214" i="2" s="1"/>
  <c r="J213" i="2" a="1"/>
  <c r="J213" i="2" s="1"/>
  <c r="J212" i="2" a="1"/>
  <c r="J212" i="2" s="1"/>
  <c r="J211" i="2" a="1"/>
  <c r="J211" i="2" s="1"/>
  <c r="J210" i="2" a="1"/>
  <c r="J210" i="2" s="1"/>
  <c r="J209" i="2" a="1"/>
  <c r="J209" i="2" s="1"/>
  <c r="J208" i="2" a="1"/>
  <c r="J208" i="2" s="1"/>
  <c r="J207" i="2" a="1"/>
  <c r="J207" i="2" s="1"/>
  <c r="J206" i="2" a="1"/>
  <c r="J206" i="2" s="1"/>
  <c r="J205" i="2" a="1"/>
  <c r="J205" i="2" s="1"/>
  <c r="J204" i="2" a="1"/>
  <c r="J204" i="2" s="1"/>
  <c r="J203" i="2" a="1"/>
  <c r="J203" i="2" s="1"/>
  <c r="J202" i="2" a="1"/>
  <c r="J202" i="2" s="1"/>
  <c r="J201" i="2" a="1"/>
  <c r="J201" i="2" s="1"/>
  <c r="J200" i="2" a="1"/>
  <c r="J200" i="2" s="1"/>
  <c r="J199" i="2" a="1"/>
  <c r="J199" i="2" s="1"/>
  <c r="J198" i="2" a="1"/>
  <c r="J198" i="2" s="1"/>
  <c r="J197" i="2" a="1"/>
  <c r="J197" i="2" s="1"/>
  <c r="J196" i="2" a="1"/>
  <c r="J196" i="2" s="1"/>
  <c r="J195" i="2" a="1"/>
  <c r="J195" i="2" s="1"/>
  <c r="J194" i="2" a="1"/>
  <c r="J194" i="2" s="1"/>
  <c r="J193" i="2" a="1"/>
  <c r="J193" i="2" s="1"/>
  <c r="J192" i="2" a="1"/>
  <c r="J192" i="2" s="1"/>
  <c r="J191" i="2" a="1"/>
  <c r="J191" i="2" s="1"/>
  <c r="J190" i="2" a="1"/>
  <c r="J190" i="2" s="1"/>
  <c r="J189" i="2" a="1"/>
  <c r="J189" i="2" s="1"/>
  <c r="J188" i="2" a="1"/>
  <c r="J188" i="2" s="1"/>
  <c r="J187" i="2" a="1"/>
  <c r="J187" i="2" s="1"/>
  <c r="J186" i="2" a="1"/>
  <c r="J186" i="2" s="1"/>
  <c r="J185" i="2" a="1"/>
  <c r="J185" i="2" s="1"/>
  <c r="J184" i="2" a="1"/>
  <c r="J184" i="2" s="1"/>
  <c r="J183" i="2" a="1"/>
  <c r="J183" i="2" s="1"/>
  <c r="J182" i="2" a="1"/>
  <c r="J182" i="2" s="1"/>
  <c r="J181" i="2" a="1"/>
  <c r="J181" i="2" s="1"/>
  <c r="J180" i="2" a="1"/>
  <c r="J180" i="2" s="1"/>
  <c r="J179" i="2" a="1"/>
  <c r="J179" i="2" s="1"/>
  <c r="J178" i="2" a="1"/>
  <c r="J178" i="2" s="1"/>
  <c r="J177" i="2" a="1"/>
  <c r="J177" i="2" s="1"/>
  <c r="J176" i="2" a="1"/>
  <c r="J176" i="2" s="1"/>
  <c r="J175" i="2" a="1"/>
  <c r="J175" i="2" s="1"/>
  <c r="J174" i="2" a="1"/>
  <c r="J174" i="2" s="1"/>
  <c r="J173" i="2" a="1"/>
  <c r="J173" i="2" s="1"/>
  <c r="J172" i="2" a="1"/>
  <c r="J172" i="2" s="1"/>
  <c r="J171" i="2" a="1"/>
  <c r="J171" i="2" s="1"/>
  <c r="J170" i="2" a="1"/>
  <c r="J170" i="2" s="1"/>
  <c r="J169" i="2" a="1"/>
  <c r="J169" i="2" s="1"/>
  <c r="J168" i="2" a="1"/>
  <c r="J168" i="2" s="1"/>
  <c r="J167" i="2" a="1"/>
  <c r="J167" i="2" s="1"/>
  <c r="J166" i="2" a="1"/>
  <c r="J166" i="2" s="1"/>
  <c r="J165" i="2" a="1"/>
  <c r="J165" i="2" s="1"/>
  <c r="J164" i="2" a="1"/>
  <c r="J164" i="2" s="1"/>
  <c r="J163" i="2" a="1"/>
  <c r="J163" i="2" s="1"/>
  <c r="J162" i="2" a="1"/>
  <c r="J162" i="2" s="1"/>
  <c r="J161" i="2" a="1"/>
  <c r="J161" i="2" s="1"/>
  <c r="J160" i="2" a="1"/>
  <c r="J160" i="2" s="1"/>
  <c r="J159" i="2" a="1"/>
  <c r="J159" i="2" s="1"/>
  <c r="J158" i="2" a="1"/>
  <c r="J158" i="2" s="1"/>
  <c r="J157" i="2" a="1"/>
  <c r="J157" i="2" s="1"/>
  <c r="J156" i="2" a="1"/>
  <c r="J156" i="2" s="1"/>
  <c r="J155" i="2" a="1"/>
  <c r="J155" i="2" s="1"/>
  <c r="J154" i="2" a="1"/>
  <c r="J154" i="2" s="1"/>
  <c r="J153" i="2" a="1"/>
  <c r="J153" i="2" s="1"/>
  <c r="J152" i="2" a="1"/>
  <c r="J152" i="2" s="1"/>
  <c r="J151" i="2" a="1"/>
  <c r="J151" i="2" s="1"/>
  <c r="J150" i="2" a="1"/>
  <c r="J150" i="2" s="1"/>
  <c r="J149" i="2" a="1"/>
  <c r="J149" i="2" s="1"/>
  <c r="J148" i="2" a="1"/>
  <c r="J148" i="2" s="1"/>
  <c r="J147" i="2" a="1"/>
  <c r="J147" i="2" s="1"/>
  <c r="J146" i="2" a="1"/>
  <c r="J146" i="2" s="1"/>
  <c r="J145" i="2" a="1"/>
  <c r="J145" i="2" s="1"/>
  <c r="J144" i="2" a="1"/>
  <c r="J144" i="2" s="1"/>
  <c r="J143" i="2" a="1"/>
  <c r="J143" i="2" s="1"/>
  <c r="J142" i="2" a="1"/>
  <c r="J142" i="2" s="1"/>
  <c r="J141" i="2" a="1"/>
  <c r="J141" i="2" s="1"/>
  <c r="J140" i="2" a="1"/>
  <c r="J140" i="2" s="1"/>
  <c r="J139" i="2" a="1"/>
  <c r="J139" i="2" s="1"/>
  <c r="J138" i="2" a="1"/>
  <c r="J138" i="2" s="1"/>
  <c r="J137" i="2" a="1"/>
  <c r="J137" i="2" s="1"/>
  <c r="J136" i="2" a="1"/>
  <c r="J136" i="2" s="1"/>
  <c r="J135" i="2" a="1"/>
  <c r="J135" i="2" s="1"/>
  <c r="J134" i="2" a="1"/>
  <c r="J134" i="2" s="1"/>
  <c r="J133" i="2" a="1"/>
  <c r="J133" i="2" s="1"/>
  <c r="J132" i="2" a="1"/>
  <c r="J132" i="2" s="1"/>
  <c r="J131" i="2" a="1"/>
  <c r="J131" i="2" s="1"/>
  <c r="J130" i="2" a="1"/>
  <c r="J130" i="2" s="1"/>
  <c r="J129" i="2" a="1"/>
  <c r="J129" i="2" s="1"/>
  <c r="J128" i="2" a="1"/>
  <c r="J128" i="2" s="1"/>
  <c r="J127" i="2" a="1"/>
  <c r="J127" i="2" s="1"/>
  <c r="J126" i="2" a="1"/>
  <c r="J126" i="2" s="1"/>
  <c r="J125" i="2" a="1"/>
  <c r="J125" i="2" s="1"/>
  <c r="J124" i="2" a="1"/>
  <c r="J124" i="2" s="1"/>
  <c r="J123" i="2" a="1"/>
  <c r="J123" i="2" s="1"/>
  <c r="J122" i="2" a="1"/>
  <c r="J122" i="2" s="1"/>
  <c r="J121" i="2" a="1"/>
  <c r="J121" i="2" s="1"/>
  <c r="J120" i="2" a="1"/>
  <c r="J120" i="2" s="1"/>
  <c r="J119" i="2" a="1"/>
  <c r="J119" i="2" s="1"/>
  <c r="J118" i="2" a="1"/>
  <c r="J118" i="2" s="1"/>
  <c r="J117" i="2" a="1"/>
  <c r="J117" i="2" s="1"/>
  <c r="J116" i="2" a="1"/>
  <c r="J116" i="2" s="1"/>
  <c r="J115" i="2" a="1"/>
  <c r="J115" i="2" s="1"/>
  <c r="J114" i="2" a="1"/>
  <c r="J114" i="2" s="1"/>
  <c r="J113" i="2" a="1"/>
  <c r="J113" i="2" s="1"/>
  <c r="J112" i="2" a="1"/>
  <c r="J112" i="2" s="1"/>
  <c r="J111" i="2" a="1"/>
  <c r="J111" i="2" s="1"/>
  <c r="J110" i="2" a="1"/>
  <c r="J110" i="2" s="1"/>
  <c r="J109" i="2" a="1"/>
  <c r="J109" i="2" s="1"/>
  <c r="J108" i="2" a="1"/>
  <c r="J108" i="2" s="1"/>
  <c r="J107" i="2" a="1"/>
  <c r="J107" i="2" s="1"/>
  <c r="J106" i="2" a="1"/>
  <c r="J106" i="2" s="1"/>
  <c r="J105" i="2" a="1"/>
  <c r="J105" i="2" s="1"/>
  <c r="J104" i="2" a="1"/>
  <c r="J104" i="2" s="1"/>
  <c r="J103" i="2" a="1"/>
  <c r="J103" i="2" s="1"/>
  <c r="J102" i="2" a="1"/>
  <c r="J102" i="2" s="1"/>
  <c r="J101" i="2" a="1"/>
  <c r="J101" i="2" s="1"/>
  <c r="J100" i="2" a="1"/>
  <c r="J100" i="2" s="1"/>
  <c r="J99" i="2" a="1"/>
  <c r="J99" i="2" s="1"/>
  <c r="J98" i="2" a="1"/>
  <c r="J98" i="2" s="1"/>
  <c r="J97" i="2" a="1"/>
  <c r="J97" i="2" s="1"/>
  <c r="J96" i="2" a="1"/>
  <c r="J96" i="2" s="1"/>
  <c r="J95" i="2" a="1"/>
  <c r="J95" i="2" s="1"/>
  <c r="J94" i="2" a="1"/>
  <c r="J94" i="2" s="1"/>
  <c r="J93" i="2" a="1"/>
  <c r="J93" i="2" s="1"/>
  <c r="J92" i="2" a="1"/>
  <c r="J92" i="2" s="1"/>
  <c r="J91" i="2" a="1"/>
  <c r="J91" i="2" s="1"/>
  <c r="J90" i="2" a="1"/>
  <c r="J90" i="2" s="1"/>
  <c r="J89" i="2" a="1"/>
  <c r="J89" i="2" s="1"/>
  <c r="J88" i="2" a="1"/>
  <c r="J88" i="2" s="1"/>
  <c r="J87" i="2" a="1"/>
  <c r="J87" i="2" s="1"/>
  <c r="J86" i="2" a="1"/>
  <c r="J86" i="2" s="1"/>
  <c r="J85" i="2" a="1"/>
  <c r="J85" i="2" s="1"/>
  <c r="J84" i="2" a="1"/>
  <c r="J84" i="2" s="1"/>
  <c r="J83" i="2" a="1"/>
  <c r="J83" i="2" s="1"/>
  <c r="J82" i="2" a="1"/>
  <c r="J82" i="2" s="1"/>
  <c r="J81" i="2" a="1"/>
  <c r="J81" i="2" s="1"/>
  <c r="J80" i="2" a="1"/>
  <c r="J80" i="2" s="1"/>
  <c r="J79" i="2" a="1"/>
  <c r="J79" i="2" s="1"/>
  <c r="J78" i="2" a="1"/>
  <c r="J78" i="2" s="1"/>
  <c r="J77" i="2" a="1"/>
  <c r="J77" i="2" s="1"/>
  <c r="J76" i="2" a="1"/>
  <c r="J76" i="2" s="1"/>
  <c r="J75" i="2" a="1"/>
  <c r="J75" i="2" s="1"/>
  <c r="J74" i="2" a="1"/>
  <c r="J74" i="2" s="1"/>
  <c r="J73" i="2" a="1"/>
  <c r="J73" i="2" s="1"/>
  <c r="J72" i="2" a="1"/>
  <c r="J72" i="2" s="1"/>
  <c r="J71" i="2" a="1"/>
  <c r="J71" i="2" s="1"/>
  <c r="J70" i="2" a="1"/>
  <c r="J70" i="2" s="1"/>
  <c r="J69" i="2" a="1"/>
  <c r="J69" i="2" s="1"/>
  <c r="J68" i="2" a="1"/>
  <c r="J68" i="2" s="1"/>
  <c r="J67" i="2" a="1"/>
  <c r="J67" i="2" s="1"/>
  <c r="J66" i="2" a="1"/>
  <c r="J66" i="2" s="1"/>
  <c r="J65" i="2" a="1"/>
  <c r="J65" i="2" s="1"/>
  <c r="J64" i="2" a="1"/>
  <c r="J64" i="2" s="1"/>
  <c r="J63" i="2" a="1"/>
  <c r="J63" i="2" s="1"/>
  <c r="J62" i="2" a="1"/>
  <c r="J62" i="2" s="1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3" i="2" a="1"/>
  <c r="J53" i="2" s="1"/>
  <c r="J52" i="2" a="1"/>
  <c r="J52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N229" i="17"/>
  <c r="M229" i="17"/>
  <c r="B5" i="9" l="1"/>
  <c r="N1" i="7"/>
  <c r="O1" i="7" s="1"/>
  <c r="L280" i="3"/>
  <c r="R17" i="18"/>
  <c r="Q17" i="18"/>
  <c r="M18" i="18"/>
  <c r="K18" i="18"/>
  <c r="L18" i="18"/>
  <c r="B3" i="9"/>
  <c r="B9" i="9" s="1"/>
  <c r="G42" i="2"/>
  <c r="G41" i="2"/>
  <c r="G4" i="2"/>
  <c r="G3" i="2"/>
  <c r="G306" i="2"/>
  <c r="G305" i="2"/>
  <c r="D25" i="8"/>
  <c r="I25" i="8" s="1"/>
  <c r="G317" i="2"/>
  <c r="G316" i="2"/>
  <c r="G315" i="2"/>
  <c r="G314" i="2"/>
  <c r="G313" i="2"/>
  <c r="G312" i="2"/>
  <c r="G311" i="2"/>
  <c r="G310" i="2"/>
  <c r="G309" i="2"/>
  <c r="G308" i="2"/>
  <c r="G307" i="2"/>
  <c r="G304" i="2"/>
  <c r="G303" i="2"/>
  <c r="G302" i="2"/>
  <c r="G301" i="2"/>
  <c r="G300" i="2"/>
  <c r="G299" i="2"/>
  <c r="G298" i="2"/>
  <c r="G297" i="2"/>
  <c r="G296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L114" i="2" l="1"/>
  <c r="M114" i="2" s="1"/>
  <c r="N114" i="2" s="1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E280" i="17"/>
  <c r="O229" i="17" l="1"/>
  <c r="L85" i="2"/>
  <c r="M85" i="2" s="1"/>
  <c r="N85" i="2" s="1"/>
  <c r="L97" i="2"/>
  <c r="M97" i="2" s="1"/>
  <c r="N97" i="2" s="1"/>
  <c r="L183" i="2"/>
  <c r="M183" i="2" s="1"/>
  <c r="N183" i="2" s="1"/>
  <c r="L96" i="2"/>
  <c r="M96" i="2" s="1"/>
  <c r="N96" i="2" s="1"/>
  <c r="L203" i="2"/>
  <c r="M203" i="2" s="1"/>
  <c r="N203" i="2" s="1"/>
  <c r="L204" i="2"/>
  <c r="M204" i="2" s="1"/>
  <c r="N204" i="2" s="1"/>
  <c r="L209" i="2"/>
  <c r="M209" i="2" s="1"/>
  <c r="N209" i="2" s="1"/>
  <c r="L272" i="2"/>
  <c r="M272" i="2" s="1"/>
  <c r="N272" i="2" s="1"/>
  <c r="L238" i="2"/>
  <c r="M238" i="2" s="1"/>
  <c r="N238" i="2" s="1"/>
  <c r="L145" i="2"/>
  <c r="M145" i="2" s="1"/>
  <c r="N145" i="2" s="1"/>
  <c r="L149" i="2"/>
  <c r="M149" i="2" s="1"/>
  <c r="N149" i="2" s="1"/>
  <c r="L257" i="2"/>
  <c r="M257" i="2" s="1"/>
  <c r="N257" i="2" s="1"/>
  <c r="L253" i="2"/>
  <c r="M253" i="2" s="1"/>
  <c r="N253" i="2" s="1"/>
  <c r="L180" i="2"/>
  <c r="M180" i="2" s="1"/>
  <c r="N180" i="2" s="1"/>
  <c r="L271" i="2"/>
  <c r="M271" i="2" s="1"/>
  <c r="N271" i="2" s="1"/>
  <c r="L31" i="2"/>
  <c r="L184" i="2"/>
  <c r="M184" i="2" s="1"/>
  <c r="N184" i="2" s="1"/>
  <c r="L276" i="2"/>
  <c r="M276" i="2" s="1"/>
  <c r="N276" i="2" s="1"/>
  <c r="L32" i="2"/>
  <c r="L185" i="2"/>
  <c r="M185" i="2" s="1"/>
  <c r="N185" i="2" s="1"/>
  <c r="L277" i="2"/>
  <c r="M277" i="2" s="1"/>
  <c r="N277" i="2" s="1"/>
  <c r="L144" i="2"/>
  <c r="M144" i="2" s="1"/>
  <c r="N144" i="2" s="1"/>
  <c r="L36" i="2"/>
  <c r="L196" i="2"/>
  <c r="M196" i="2" s="1"/>
  <c r="N196" i="2" s="1"/>
  <c r="L281" i="2"/>
  <c r="M281" i="2" s="1"/>
  <c r="N281" i="2" s="1"/>
  <c r="L37" i="2"/>
  <c r="L200" i="2"/>
  <c r="M200" i="2" s="1"/>
  <c r="N200" i="2" s="1"/>
  <c r="L234" i="2"/>
  <c r="M234" i="2" s="1"/>
  <c r="N234" i="2" s="1"/>
  <c r="L210" i="2"/>
  <c r="M210" i="2" s="1"/>
  <c r="N210" i="2" s="1"/>
  <c r="L91" i="2"/>
  <c r="M91" i="2" s="1"/>
  <c r="N91" i="2" s="1"/>
  <c r="L235" i="2"/>
  <c r="M235" i="2" s="1"/>
  <c r="N235" i="2" s="1"/>
  <c r="L56" i="2"/>
  <c r="M56" i="2" s="1"/>
  <c r="N56" i="2" s="1"/>
  <c r="L258" i="2"/>
  <c r="M258" i="2" s="1"/>
  <c r="N258" i="2" s="1"/>
  <c r="L212" i="2"/>
  <c r="M212" i="2" s="1"/>
  <c r="N212" i="2" s="1"/>
  <c r="L260" i="2"/>
  <c r="M260" i="2" s="1"/>
  <c r="N260" i="2" s="1"/>
  <c r="L128" i="2"/>
  <c r="M128" i="2" s="1"/>
  <c r="N128" i="2" s="1"/>
  <c r="L79" i="2"/>
  <c r="M79" i="2" s="1"/>
  <c r="N79" i="2" s="1"/>
  <c r="L133" i="2"/>
  <c r="M133" i="2" s="1"/>
  <c r="N133" i="2" s="1"/>
  <c r="L175" i="2"/>
  <c r="M175" i="2" s="1"/>
  <c r="N175" i="2" s="1"/>
  <c r="L197" i="2"/>
  <c r="M197" i="2" s="1"/>
  <c r="N197" i="2" s="1"/>
  <c r="L231" i="2"/>
  <c r="M231" i="2" s="1"/>
  <c r="N231" i="2" s="1"/>
  <c r="L265" i="2"/>
  <c r="M265" i="2" s="1"/>
  <c r="N265" i="2" s="1"/>
  <c r="L150" i="2"/>
  <c r="M150" i="2" s="1"/>
  <c r="N150" i="2" s="1"/>
  <c r="L187" i="2"/>
  <c r="M187" i="2" s="1"/>
  <c r="N187" i="2" s="1"/>
  <c r="L190" i="2"/>
  <c r="M190" i="2" s="1"/>
  <c r="N190" i="2" s="1"/>
  <c r="L259" i="2"/>
  <c r="M259" i="2" s="1"/>
  <c r="N259" i="2" s="1"/>
  <c r="L72" i="2"/>
  <c r="M72" i="2" s="1"/>
  <c r="N72" i="2" s="1"/>
  <c r="L109" i="2"/>
  <c r="M109" i="2" s="1"/>
  <c r="N109" i="2" s="1"/>
  <c r="L157" i="2"/>
  <c r="M157" i="2" s="1"/>
  <c r="N157" i="2" s="1"/>
  <c r="L192" i="2"/>
  <c r="M192" i="2" s="1"/>
  <c r="N192" i="2" s="1"/>
  <c r="L296" i="2"/>
  <c r="M296" i="2" s="1"/>
  <c r="N296" i="2" s="1"/>
  <c r="L174" i="2"/>
  <c r="M174" i="2" s="1"/>
  <c r="N174" i="2" s="1"/>
  <c r="L264" i="2"/>
  <c r="M264" i="2" s="1"/>
  <c r="N264" i="2" s="1"/>
  <c r="L80" i="2"/>
  <c r="M80" i="2" s="1"/>
  <c r="N80" i="2" s="1"/>
  <c r="L142" i="2"/>
  <c r="M142" i="2" s="1"/>
  <c r="N142" i="2" s="1"/>
  <c r="L178" i="2"/>
  <c r="M178" i="2" s="1"/>
  <c r="N178" i="2" s="1"/>
  <c r="L198" i="2"/>
  <c r="M198" i="2" s="1"/>
  <c r="N198" i="2" s="1"/>
  <c r="L232" i="2"/>
  <c r="M232" i="2" s="1"/>
  <c r="N232" i="2" s="1"/>
  <c r="L269" i="2"/>
  <c r="M269" i="2" s="1"/>
  <c r="N269" i="2" s="1"/>
  <c r="L92" i="2"/>
  <c r="M92" i="2" s="1"/>
  <c r="N92" i="2" s="1"/>
  <c r="L151" i="2"/>
  <c r="M151" i="2" s="1"/>
  <c r="N151" i="2" s="1"/>
  <c r="L67" i="2"/>
  <c r="M67" i="2" s="1"/>
  <c r="N67" i="2" s="1"/>
  <c r="L103" i="2"/>
  <c r="M103" i="2" s="1"/>
  <c r="N103" i="2" s="1"/>
  <c r="L155" i="2"/>
  <c r="M155" i="2" s="1"/>
  <c r="N155" i="2" s="1"/>
  <c r="L211" i="2"/>
  <c r="M211" i="2" s="1"/>
  <c r="N211" i="2" s="1"/>
  <c r="L283" i="2"/>
  <c r="M283" i="2" s="1"/>
  <c r="N283" i="2" s="1"/>
  <c r="L68" i="2"/>
  <c r="M68" i="2" s="1"/>
  <c r="N68" i="2" s="1"/>
  <c r="L104" i="2"/>
  <c r="M104" i="2" s="1"/>
  <c r="N104" i="2" s="1"/>
  <c r="L156" i="2"/>
  <c r="M156" i="2" s="1"/>
  <c r="N156" i="2" s="1"/>
  <c r="L191" i="2"/>
  <c r="M191" i="2" s="1"/>
  <c r="N191" i="2" s="1"/>
  <c r="L284" i="2"/>
  <c r="M284" i="2" s="1"/>
  <c r="N284" i="2" s="1"/>
  <c r="L217" i="2"/>
  <c r="M217" i="2" s="1"/>
  <c r="N217" i="2" s="1"/>
  <c r="L73" i="2"/>
  <c r="M73" i="2" s="1"/>
  <c r="N73" i="2" s="1"/>
  <c r="L224" i="2"/>
  <c r="M224" i="2" s="1"/>
  <c r="N224" i="2" s="1"/>
  <c r="L84" i="2"/>
  <c r="M84" i="2" s="1"/>
  <c r="N84" i="2" s="1"/>
  <c r="L143" i="2"/>
  <c r="M143" i="2" s="1"/>
  <c r="N143" i="2" s="1"/>
  <c r="L179" i="2"/>
  <c r="M179" i="2" s="1"/>
  <c r="N179" i="2" s="1"/>
  <c r="L199" i="2"/>
  <c r="M199" i="2" s="1"/>
  <c r="N199" i="2" s="1"/>
  <c r="L233" i="2"/>
  <c r="M233" i="2" s="1"/>
  <c r="N233" i="2" s="1"/>
  <c r="L270" i="2"/>
  <c r="M270" i="2" s="1"/>
  <c r="N270" i="2" s="1"/>
  <c r="L39" i="2"/>
  <c r="L57" i="2"/>
  <c r="M57" i="2" s="1"/>
  <c r="N57" i="2" s="1"/>
  <c r="L75" i="2"/>
  <c r="M75" i="2" s="1"/>
  <c r="N75" i="2" s="1"/>
  <c r="L87" i="2"/>
  <c r="M87" i="2" s="1"/>
  <c r="N87" i="2" s="1"/>
  <c r="L99" i="2"/>
  <c r="M99" i="2" s="1"/>
  <c r="N99" i="2" s="1"/>
  <c r="L112" i="2"/>
  <c r="M112" i="2" s="1"/>
  <c r="N112" i="2" s="1"/>
  <c r="L129" i="2"/>
  <c r="M129" i="2" s="1"/>
  <c r="N129" i="2" s="1"/>
  <c r="L158" i="2"/>
  <c r="M158" i="2" s="1"/>
  <c r="N158" i="2" s="1"/>
  <c r="L186" i="2"/>
  <c r="M186" i="2" s="1"/>
  <c r="N186" i="2" s="1"/>
  <c r="L286" i="2"/>
  <c r="M286" i="2" s="1"/>
  <c r="N286" i="2" s="1"/>
  <c r="L51" i="2"/>
  <c r="M51" i="2" s="1"/>
  <c r="N51" i="2" s="1"/>
  <c r="L123" i="2"/>
  <c r="M123" i="2" s="1"/>
  <c r="N123" i="2" s="1"/>
  <c r="L171" i="2"/>
  <c r="M171" i="2" s="1"/>
  <c r="N171" i="2" s="1"/>
  <c r="L86" i="2"/>
  <c r="M86" i="2" s="1"/>
  <c r="N86" i="2" s="1"/>
  <c r="L111" i="2"/>
  <c r="M111" i="2" s="1"/>
  <c r="N111" i="2" s="1"/>
  <c r="L172" i="2"/>
  <c r="M172" i="2" s="1"/>
  <c r="N172" i="2" s="1"/>
  <c r="L28" i="2"/>
  <c r="L40" i="2"/>
  <c r="L59" i="2"/>
  <c r="M59" i="2" s="1"/>
  <c r="N59" i="2" s="1"/>
  <c r="L76" i="2"/>
  <c r="M76" i="2" s="1"/>
  <c r="N76" i="2" s="1"/>
  <c r="L88" i="2"/>
  <c r="M88" i="2" s="1"/>
  <c r="N88" i="2" s="1"/>
  <c r="L100" i="2"/>
  <c r="M100" i="2" s="1"/>
  <c r="N100" i="2" s="1"/>
  <c r="L113" i="2"/>
  <c r="M113" i="2" s="1"/>
  <c r="N113" i="2" s="1"/>
  <c r="L130" i="2"/>
  <c r="M130" i="2" s="1"/>
  <c r="N130" i="2" s="1"/>
  <c r="L146" i="2"/>
  <c r="M146" i="2" s="1"/>
  <c r="N146" i="2" s="1"/>
  <c r="L159" i="2"/>
  <c r="M159" i="2" s="1"/>
  <c r="N159" i="2" s="1"/>
  <c r="L213" i="2"/>
  <c r="M213" i="2" s="1"/>
  <c r="N213" i="2" s="1"/>
  <c r="L261" i="2"/>
  <c r="M261" i="2" s="1"/>
  <c r="N261" i="2" s="1"/>
  <c r="L273" i="2"/>
  <c r="M273" i="2" s="1"/>
  <c r="N273" i="2" s="1"/>
  <c r="L287" i="2"/>
  <c r="M287" i="2" s="1"/>
  <c r="N287" i="2" s="1"/>
  <c r="L50" i="2"/>
  <c r="M50" i="2" s="1"/>
  <c r="N50" i="2" s="1"/>
  <c r="L38" i="2"/>
  <c r="L29" i="2"/>
  <c r="L43" i="2"/>
  <c r="M43" i="2" s="1"/>
  <c r="N43" i="2" s="1"/>
  <c r="L64" i="2"/>
  <c r="M64" i="2" s="1"/>
  <c r="N64" i="2" s="1"/>
  <c r="L77" i="2"/>
  <c r="M77" i="2" s="1"/>
  <c r="N77" i="2" s="1"/>
  <c r="L89" i="2"/>
  <c r="M89" i="2" s="1"/>
  <c r="N89" i="2" s="1"/>
  <c r="L101" i="2"/>
  <c r="M101" i="2" s="1"/>
  <c r="N101" i="2" s="1"/>
  <c r="L115" i="2"/>
  <c r="M115" i="2" s="1"/>
  <c r="N115" i="2" s="1"/>
  <c r="L131" i="2"/>
  <c r="M131" i="2" s="1"/>
  <c r="N131" i="2" s="1"/>
  <c r="L147" i="2"/>
  <c r="M147" i="2" s="1"/>
  <c r="N147" i="2" s="1"/>
  <c r="L160" i="2"/>
  <c r="M160" i="2" s="1"/>
  <c r="N160" i="2" s="1"/>
  <c r="L176" i="2"/>
  <c r="M176" i="2" s="1"/>
  <c r="N176" i="2" s="1"/>
  <c r="L188" i="2"/>
  <c r="M188" i="2" s="1"/>
  <c r="N188" i="2" s="1"/>
  <c r="L201" i="2"/>
  <c r="M201" i="2" s="1"/>
  <c r="N201" i="2" s="1"/>
  <c r="L214" i="2"/>
  <c r="M214" i="2" s="1"/>
  <c r="N214" i="2" s="1"/>
  <c r="L236" i="2"/>
  <c r="M236" i="2" s="1"/>
  <c r="N236" i="2" s="1"/>
  <c r="L262" i="2"/>
  <c r="M262" i="2" s="1"/>
  <c r="N262" i="2" s="1"/>
  <c r="L274" i="2"/>
  <c r="M274" i="2" s="1"/>
  <c r="N274" i="2" s="1"/>
  <c r="L294" i="2"/>
  <c r="L122" i="2"/>
  <c r="M122" i="2" s="1"/>
  <c r="N122" i="2" s="1"/>
  <c r="L170" i="2"/>
  <c r="M170" i="2" s="1"/>
  <c r="N170" i="2" s="1"/>
  <c r="L110" i="2"/>
  <c r="M110" i="2" s="1"/>
  <c r="N110" i="2" s="1"/>
  <c r="L74" i="2"/>
  <c r="M74" i="2" s="1"/>
  <c r="N74" i="2" s="1"/>
  <c r="L98" i="2"/>
  <c r="M98" i="2" s="1"/>
  <c r="N98" i="2" s="1"/>
  <c r="L30" i="2"/>
  <c r="L44" i="2"/>
  <c r="M44" i="2" s="1"/>
  <c r="N44" i="2" s="1"/>
  <c r="L65" i="2"/>
  <c r="M65" i="2" s="1"/>
  <c r="N65" i="2" s="1"/>
  <c r="L78" i="2"/>
  <c r="M78" i="2" s="1"/>
  <c r="N78" i="2" s="1"/>
  <c r="L90" i="2"/>
  <c r="M90" i="2" s="1"/>
  <c r="N90" i="2" s="1"/>
  <c r="L102" i="2"/>
  <c r="M102" i="2" s="1"/>
  <c r="N102" i="2" s="1"/>
  <c r="L116" i="2"/>
  <c r="M116" i="2" s="1"/>
  <c r="N116" i="2" s="1"/>
  <c r="L132" i="2"/>
  <c r="M132" i="2" s="1"/>
  <c r="N132" i="2" s="1"/>
  <c r="L148" i="2"/>
  <c r="M148" i="2" s="1"/>
  <c r="N148" i="2" s="1"/>
  <c r="L164" i="2"/>
  <c r="M164" i="2" s="1"/>
  <c r="N164" i="2" s="1"/>
  <c r="L177" i="2"/>
  <c r="M177" i="2" s="1"/>
  <c r="N177" i="2" s="1"/>
  <c r="L189" i="2"/>
  <c r="M189" i="2" s="1"/>
  <c r="N189" i="2" s="1"/>
  <c r="L202" i="2"/>
  <c r="M202" i="2" s="1"/>
  <c r="N202" i="2" s="1"/>
  <c r="L215" i="2"/>
  <c r="M215" i="2" s="1"/>
  <c r="N215" i="2" s="1"/>
  <c r="L237" i="2"/>
  <c r="M237" i="2" s="1"/>
  <c r="N237" i="2" s="1"/>
  <c r="L263" i="2"/>
  <c r="M263" i="2" s="1"/>
  <c r="N263" i="2" s="1"/>
  <c r="L275" i="2"/>
  <c r="M275" i="2" s="1"/>
  <c r="N275" i="2" s="1"/>
  <c r="L295" i="2"/>
  <c r="L165" i="2"/>
  <c r="M165" i="2" s="1"/>
  <c r="N165" i="2" s="1"/>
  <c r="L33" i="2"/>
  <c r="L47" i="2"/>
  <c r="M47" i="2" s="1"/>
  <c r="N47" i="2" s="1"/>
  <c r="L69" i="2"/>
  <c r="M69" i="2" s="1"/>
  <c r="N69" i="2" s="1"/>
  <c r="L81" i="2"/>
  <c r="M81" i="2" s="1"/>
  <c r="N81" i="2" s="1"/>
  <c r="L93" i="2"/>
  <c r="M93" i="2" s="1"/>
  <c r="N93" i="2" s="1"/>
  <c r="L106" i="2"/>
  <c r="M106" i="2" s="1"/>
  <c r="N106" i="2" s="1"/>
  <c r="L119" i="2"/>
  <c r="M119" i="2" s="1"/>
  <c r="N119" i="2" s="1"/>
  <c r="L135" i="2"/>
  <c r="M135" i="2" s="1"/>
  <c r="N135" i="2" s="1"/>
  <c r="L167" i="2"/>
  <c r="M167" i="2" s="1"/>
  <c r="N167" i="2" s="1"/>
  <c r="L206" i="2"/>
  <c r="M206" i="2" s="1"/>
  <c r="N206" i="2" s="1"/>
  <c r="L254" i="2"/>
  <c r="M254" i="2" s="1"/>
  <c r="N254" i="2" s="1"/>
  <c r="L266" i="2"/>
  <c r="M266" i="2" s="1"/>
  <c r="N266" i="2" s="1"/>
  <c r="L278" i="2"/>
  <c r="M278" i="2" s="1"/>
  <c r="N278" i="2" s="1"/>
  <c r="L46" i="2"/>
  <c r="M46" i="2" s="1"/>
  <c r="N46" i="2" s="1"/>
  <c r="L297" i="2"/>
  <c r="M297" i="2" s="1"/>
  <c r="N297" i="2" s="1"/>
  <c r="L34" i="2"/>
  <c r="L48" i="2"/>
  <c r="M48" i="2" s="1"/>
  <c r="N48" i="2" s="1"/>
  <c r="L70" i="2"/>
  <c r="M70" i="2" s="1"/>
  <c r="N70" i="2" s="1"/>
  <c r="L82" i="2"/>
  <c r="M82" i="2" s="1"/>
  <c r="N82" i="2" s="1"/>
  <c r="L94" i="2"/>
  <c r="M94" i="2" s="1"/>
  <c r="N94" i="2" s="1"/>
  <c r="L107" i="2"/>
  <c r="M107" i="2" s="1"/>
  <c r="N107" i="2" s="1"/>
  <c r="L120" i="2"/>
  <c r="M120" i="2" s="1"/>
  <c r="N120" i="2" s="1"/>
  <c r="L136" i="2"/>
  <c r="M136" i="2" s="1"/>
  <c r="N136" i="2" s="1"/>
  <c r="L153" i="2"/>
  <c r="M153" i="2" s="1"/>
  <c r="N153" i="2" s="1"/>
  <c r="L168" i="2"/>
  <c r="M168" i="2" s="1"/>
  <c r="N168" i="2" s="1"/>
  <c r="L181" i="2"/>
  <c r="M181" i="2" s="1"/>
  <c r="N181" i="2" s="1"/>
  <c r="L194" i="2"/>
  <c r="M194" i="2" s="1"/>
  <c r="N194" i="2" s="1"/>
  <c r="L207" i="2"/>
  <c r="M207" i="2" s="1"/>
  <c r="N207" i="2" s="1"/>
  <c r="L229" i="2"/>
  <c r="M229" i="2" s="1"/>
  <c r="N229" i="2" s="1"/>
  <c r="L255" i="2"/>
  <c r="M255" i="2" s="1"/>
  <c r="N255" i="2" s="1"/>
  <c r="L267" i="2"/>
  <c r="M267" i="2" s="1"/>
  <c r="N267" i="2" s="1"/>
  <c r="L279" i="2"/>
  <c r="M279" i="2" s="1"/>
  <c r="N279" i="2" s="1"/>
  <c r="L45" i="2"/>
  <c r="M45" i="2" s="1"/>
  <c r="N45" i="2" s="1"/>
  <c r="L117" i="2"/>
  <c r="M117" i="2" s="1"/>
  <c r="N117" i="2" s="1"/>
  <c r="L118" i="2"/>
  <c r="M118" i="2" s="1"/>
  <c r="N118" i="2" s="1"/>
  <c r="L134" i="2"/>
  <c r="M134" i="2" s="1"/>
  <c r="N134" i="2" s="1"/>
  <c r="L166" i="2"/>
  <c r="M166" i="2" s="1"/>
  <c r="N166" i="2" s="1"/>
  <c r="L218" i="2"/>
  <c r="M218" i="2" s="1"/>
  <c r="N218" i="2" s="1"/>
  <c r="L35" i="2"/>
  <c r="L49" i="2"/>
  <c r="M49" i="2" s="1"/>
  <c r="N49" i="2" s="1"/>
  <c r="L71" i="2"/>
  <c r="M71" i="2" s="1"/>
  <c r="N71" i="2" s="1"/>
  <c r="L83" i="2"/>
  <c r="M83" i="2" s="1"/>
  <c r="N83" i="2" s="1"/>
  <c r="L95" i="2"/>
  <c r="M95" i="2" s="1"/>
  <c r="N95" i="2" s="1"/>
  <c r="L108" i="2"/>
  <c r="M108" i="2" s="1"/>
  <c r="N108" i="2" s="1"/>
  <c r="L121" i="2"/>
  <c r="M121" i="2" s="1"/>
  <c r="N121" i="2" s="1"/>
  <c r="L137" i="2"/>
  <c r="M137" i="2" s="1"/>
  <c r="N137" i="2" s="1"/>
  <c r="L154" i="2"/>
  <c r="M154" i="2" s="1"/>
  <c r="N154" i="2" s="1"/>
  <c r="L169" i="2"/>
  <c r="M169" i="2" s="1"/>
  <c r="N169" i="2" s="1"/>
  <c r="L182" i="2"/>
  <c r="M182" i="2" s="1"/>
  <c r="N182" i="2" s="1"/>
  <c r="L195" i="2"/>
  <c r="M195" i="2" s="1"/>
  <c r="N195" i="2" s="1"/>
  <c r="L208" i="2"/>
  <c r="M208" i="2" s="1"/>
  <c r="N208" i="2" s="1"/>
  <c r="L230" i="2"/>
  <c r="M230" i="2" s="1"/>
  <c r="N230" i="2" s="1"/>
  <c r="L256" i="2"/>
  <c r="M256" i="2" s="1"/>
  <c r="N256" i="2" s="1"/>
  <c r="L268" i="2"/>
  <c r="M268" i="2" s="1"/>
  <c r="N268" i="2" s="1"/>
  <c r="L280" i="2"/>
  <c r="M280" i="2" s="1"/>
  <c r="N280" i="2" s="1"/>
  <c r="L27" i="2"/>
  <c r="G280" i="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K281" i="13" s="1"/>
  <c r="L281" i="13" s="1"/>
  <c r="J280" i="13"/>
  <c r="K280" i="13" s="1"/>
  <c r="L280" i="13" s="1"/>
  <c r="J279" i="13"/>
  <c r="K279" i="13" s="1"/>
  <c r="L279" i="13" s="1"/>
  <c r="J278" i="13"/>
  <c r="J277" i="13"/>
  <c r="J276" i="13"/>
  <c r="J275" i="13"/>
  <c r="J274" i="13"/>
  <c r="J273" i="13"/>
  <c r="J272" i="13"/>
  <c r="K272" i="13" s="1"/>
  <c r="L272" i="13" s="1"/>
  <c r="J271" i="13"/>
  <c r="J270" i="13"/>
  <c r="K270" i="13" s="1"/>
  <c r="L270" i="13" s="1"/>
  <c r="J269" i="13"/>
  <c r="K269" i="13" s="1"/>
  <c r="L269" i="13" s="1"/>
  <c r="J268" i="13"/>
  <c r="J267" i="13"/>
  <c r="K267" i="13" s="1"/>
  <c r="L267" i="13" s="1"/>
  <c r="J266" i="13"/>
  <c r="K266" i="13" s="1"/>
  <c r="L266" i="13" s="1"/>
  <c r="J265" i="13"/>
  <c r="K265" i="13" s="1"/>
  <c r="L265" i="13" s="1"/>
  <c r="J264" i="13"/>
  <c r="K264" i="13" s="1"/>
  <c r="L264" i="13" s="1"/>
  <c r="J263" i="13"/>
  <c r="K263" i="13" s="1"/>
  <c r="L263" i="13" s="1"/>
  <c r="J262" i="13"/>
  <c r="K262" i="13" s="1"/>
  <c r="L262" i="13" s="1"/>
  <c r="J261" i="13"/>
  <c r="K261" i="13" s="1"/>
  <c r="L261" i="13" s="1"/>
  <c r="J260" i="13"/>
  <c r="K260" i="13" s="1"/>
  <c r="L260" i="13" s="1"/>
  <c r="J259" i="13"/>
  <c r="K259" i="13" s="1"/>
  <c r="L259" i="13" s="1"/>
  <c r="J258" i="13"/>
  <c r="K258" i="13" s="1"/>
  <c r="L258" i="13" s="1"/>
  <c r="J257" i="13"/>
  <c r="K257" i="13" s="1"/>
  <c r="L257" i="13" s="1"/>
  <c r="J256" i="13"/>
  <c r="K256" i="13" s="1"/>
  <c r="L256" i="13" s="1"/>
  <c r="J255" i="13"/>
  <c r="K255" i="13" s="1"/>
  <c r="L255" i="13" s="1"/>
  <c r="J254" i="13"/>
  <c r="K254" i="13" s="1"/>
  <c r="L254" i="13" s="1"/>
  <c r="J253" i="13"/>
  <c r="K253" i="13" s="1"/>
  <c r="L253" i="13" s="1"/>
  <c r="J252" i="13"/>
  <c r="K252" i="13" s="1"/>
  <c r="L252" i="13" s="1"/>
  <c r="J251" i="13"/>
  <c r="K251" i="13" s="1"/>
  <c r="L251" i="13" s="1"/>
  <c r="J250" i="13"/>
  <c r="K250" i="13" s="1"/>
  <c r="L250" i="13" s="1"/>
  <c r="J249" i="13"/>
  <c r="K249" i="13" s="1"/>
  <c r="L249" i="13" s="1"/>
  <c r="J248" i="13"/>
  <c r="K248" i="13" s="1"/>
  <c r="L248" i="13" s="1"/>
  <c r="J247" i="13"/>
  <c r="K247" i="13" s="1"/>
  <c r="L247" i="13" s="1"/>
  <c r="J246" i="13"/>
  <c r="K246" i="13" s="1"/>
  <c r="L246" i="13" s="1"/>
  <c r="J245" i="13"/>
  <c r="K245" i="13" s="1"/>
  <c r="L245" i="13" s="1"/>
  <c r="J244" i="13"/>
  <c r="K244" i="13" s="1"/>
  <c r="L244" i="13" s="1"/>
  <c r="J243" i="13"/>
  <c r="K243" i="13" s="1"/>
  <c r="L243" i="13" s="1"/>
  <c r="J242" i="13"/>
  <c r="K242" i="13" s="1"/>
  <c r="L242" i="13" s="1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K227" i="13" s="1"/>
  <c r="L227" i="13" s="1"/>
  <c r="J226" i="13"/>
  <c r="K226" i="13" s="1"/>
  <c r="L226" i="13" s="1"/>
  <c r="J225" i="13"/>
  <c r="K225" i="13" s="1"/>
  <c r="L225" i="13" s="1"/>
  <c r="J224" i="13"/>
  <c r="K224" i="13" s="1"/>
  <c r="L224" i="13" s="1"/>
  <c r="J223" i="13"/>
  <c r="K223" i="13" s="1"/>
  <c r="L223" i="13" s="1"/>
  <c r="J222" i="13"/>
  <c r="K222" i="13" s="1"/>
  <c r="L222" i="13" s="1"/>
  <c r="J221" i="13"/>
  <c r="K221" i="13" s="1"/>
  <c r="L221" i="13" s="1"/>
  <c r="J220" i="13"/>
  <c r="K220" i="13" s="1"/>
  <c r="L220" i="13" s="1"/>
  <c r="J219" i="13"/>
  <c r="K219" i="13" s="1"/>
  <c r="L219" i="13" s="1"/>
  <c r="J218" i="13"/>
  <c r="J217" i="13"/>
  <c r="J216" i="13"/>
  <c r="J215" i="13"/>
  <c r="J214" i="13"/>
  <c r="K214" i="13" s="1"/>
  <c r="L214" i="13" s="1"/>
  <c r="J213" i="13"/>
  <c r="J212" i="13"/>
  <c r="J211" i="13"/>
  <c r="J210" i="13"/>
  <c r="J209" i="13"/>
  <c r="J208" i="13"/>
  <c r="K208" i="13" s="1"/>
  <c r="L208" i="13" s="1"/>
  <c r="J207" i="13"/>
  <c r="J206" i="13"/>
  <c r="K206" i="13" s="1"/>
  <c r="L206" i="13" s="1"/>
  <c r="J205" i="13"/>
  <c r="K205" i="13" s="1"/>
  <c r="L205" i="13" s="1"/>
  <c r="J204" i="13"/>
  <c r="K204" i="13" s="1"/>
  <c r="L204" i="13" s="1"/>
  <c r="J203" i="13"/>
  <c r="K203" i="13" s="1"/>
  <c r="L203" i="13" s="1"/>
  <c r="J202" i="13"/>
  <c r="K202" i="13" s="1"/>
  <c r="L202" i="13" s="1"/>
  <c r="J201" i="13"/>
  <c r="K201" i="13" s="1"/>
  <c r="L201" i="13" s="1"/>
  <c r="J200" i="13"/>
  <c r="J199" i="13"/>
  <c r="K199" i="13" s="1"/>
  <c r="L199" i="13" s="1"/>
  <c r="J198" i="13"/>
  <c r="K198" i="13" s="1"/>
  <c r="L198" i="13" s="1"/>
  <c r="J197" i="13"/>
  <c r="K197" i="13" s="1"/>
  <c r="L197" i="13" s="1"/>
  <c r="J196" i="13"/>
  <c r="K196" i="13" s="1"/>
  <c r="L196" i="13" s="1"/>
  <c r="J195" i="13"/>
  <c r="J194" i="13"/>
  <c r="K194" i="13" s="1"/>
  <c r="L194" i="13" s="1"/>
  <c r="J193" i="13"/>
  <c r="K193" i="13" s="1"/>
  <c r="L193" i="13" s="1"/>
  <c r="J192" i="13"/>
  <c r="K192" i="13" s="1"/>
  <c r="L192" i="13" s="1"/>
  <c r="J191" i="13"/>
  <c r="K191" i="13" s="1"/>
  <c r="L191" i="13" s="1"/>
  <c r="J190" i="13"/>
  <c r="K190" i="13" s="1"/>
  <c r="L190" i="13" s="1"/>
  <c r="J189" i="13"/>
  <c r="K189" i="13" s="1"/>
  <c r="L189" i="13" s="1"/>
  <c r="J188" i="13"/>
  <c r="J187" i="13"/>
  <c r="K187" i="13" s="1"/>
  <c r="L187" i="13" s="1"/>
  <c r="J186" i="13"/>
  <c r="K186" i="13" s="1"/>
  <c r="L186" i="13" s="1"/>
  <c r="J185" i="13"/>
  <c r="K185" i="13" s="1"/>
  <c r="L185" i="13" s="1"/>
  <c r="J184" i="13"/>
  <c r="K184" i="13" s="1"/>
  <c r="L184" i="13" s="1"/>
  <c r="J183" i="13"/>
  <c r="K183" i="13" s="1"/>
  <c r="L183" i="13" s="1"/>
  <c r="J182" i="13"/>
  <c r="K182" i="13" s="1"/>
  <c r="L182" i="13" s="1"/>
  <c r="J181" i="13"/>
  <c r="K181" i="13" s="1"/>
  <c r="L181" i="13" s="1"/>
  <c r="J180" i="13"/>
  <c r="K180" i="13" s="1"/>
  <c r="L180" i="13" s="1"/>
  <c r="J179" i="13"/>
  <c r="K179" i="13" s="1"/>
  <c r="L179" i="13" s="1"/>
  <c r="J178" i="13"/>
  <c r="K178" i="13" s="1"/>
  <c r="L178" i="13" s="1"/>
  <c r="J177" i="13"/>
  <c r="K177" i="13" s="1"/>
  <c r="L177" i="13" s="1"/>
  <c r="J176" i="13"/>
  <c r="K176" i="13" s="1"/>
  <c r="L176" i="13" s="1"/>
  <c r="J175" i="13"/>
  <c r="K175" i="13" s="1"/>
  <c r="L175" i="13" s="1"/>
  <c r="J174" i="13"/>
  <c r="K174" i="13" s="1"/>
  <c r="L174" i="13" s="1"/>
  <c r="J173" i="13"/>
  <c r="K173" i="13" s="1"/>
  <c r="L173" i="13" s="1"/>
  <c r="J172" i="13"/>
  <c r="K172" i="13" s="1"/>
  <c r="L172" i="13" s="1"/>
  <c r="J171" i="13"/>
  <c r="K171" i="13" s="1"/>
  <c r="L171" i="13" s="1"/>
  <c r="J170" i="13"/>
  <c r="K170" i="13" s="1"/>
  <c r="L170" i="13" s="1"/>
  <c r="J169" i="13"/>
  <c r="K169" i="13" s="1"/>
  <c r="L169" i="13" s="1"/>
  <c r="J168" i="13"/>
  <c r="J167" i="13"/>
  <c r="K167" i="13" s="1"/>
  <c r="L167" i="13" s="1"/>
  <c r="J166" i="13"/>
  <c r="K166" i="13" s="1"/>
  <c r="L166" i="13" s="1"/>
  <c r="J165" i="13"/>
  <c r="K165" i="13" s="1"/>
  <c r="L165" i="13" s="1"/>
  <c r="J164" i="13"/>
  <c r="K164" i="13" s="1"/>
  <c r="L164" i="13" s="1"/>
  <c r="J163" i="13"/>
  <c r="K163" i="13" s="1"/>
  <c r="L163" i="13" s="1"/>
  <c r="J162" i="13"/>
  <c r="K162" i="13" s="1"/>
  <c r="L162" i="13" s="1"/>
  <c r="J161" i="13"/>
  <c r="K161" i="13" s="1"/>
  <c r="L161" i="13" s="1"/>
  <c r="J160" i="13"/>
  <c r="J159" i="13"/>
  <c r="J158" i="13"/>
  <c r="J157" i="13"/>
  <c r="K157" i="13" s="1"/>
  <c r="L157" i="13" s="1"/>
  <c r="J156" i="13"/>
  <c r="K156" i="13" s="1"/>
  <c r="L156" i="13" s="1"/>
  <c r="J155" i="13"/>
  <c r="K155" i="13" s="1"/>
  <c r="L155" i="13" s="1"/>
  <c r="J154" i="13"/>
  <c r="K154" i="13" s="1"/>
  <c r="L154" i="13" s="1"/>
  <c r="J153" i="13"/>
  <c r="K153" i="13" s="1"/>
  <c r="L153" i="13" s="1"/>
  <c r="J152" i="13"/>
  <c r="K152" i="13" s="1"/>
  <c r="L152" i="13" s="1"/>
  <c r="J151" i="13"/>
  <c r="J150" i="13"/>
  <c r="K150" i="13" s="1"/>
  <c r="L150" i="13" s="1"/>
  <c r="J149" i="13"/>
  <c r="K149" i="13" s="1"/>
  <c r="L149" i="13" s="1"/>
  <c r="J148" i="13"/>
  <c r="K148" i="13" s="1"/>
  <c r="L148" i="13" s="1"/>
  <c r="J147" i="13"/>
  <c r="K147" i="13" s="1"/>
  <c r="L147" i="13" s="1"/>
  <c r="J146" i="13"/>
  <c r="K146" i="13" s="1"/>
  <c r="L146" i="13" s="1"/>
  <c r="J145" i="13"/>
  <c r="K145" i="13" s="1"/>
  <c r="L145" i="13" s="1"/>
  <c r="J144" i="13"/>
  <c r="K144" i="13" s="1"/>
  <c r="L144" i="13" s="1"/>
  <c r="J143" i="13"/>
  <c r="K143" i="13" s="1"/>
  <c r="L143" i="13" s="1"/>
  <c r="J142" i="13"/>
  <c r="K142" i="13" s="1"/>
  <c r="L142" i="13" s="1"/>
  <c r="J141" i="13"/>
  <c r="J140" i="13"/>
  <c r="J139" i="13"/>
  <c r="J138" i="13"/>
  <c r="J137" i="13"/>
  <c r="K137" i="13" s="1"/>
  <c r="L137" i="13" s="1"/>
  <c r="J136" i="13"/>
  <c r="K136" i="13" s="1"/>
  <c r="L136" i="13" s="1"/>
  <c r="J135" i="13"/>
  <c r="K135" i="13" s="1"/>
  <c r="L135" i="13" s="1"/>
  <c r="J134" i="13"/>
  <c r="K134" i="13" s="1"/>
  <c r="L134" i="13" s="1"/>
  <c r="J133" i="13"/>
  <c r="K133" i="13" s="1"/>
  <c r="L133" i="13" s="1"/>
  <c r="J132" i="13"/>
  <c r="K132" i="13" s="1"/>
  <c r="L132" i="13" s="1"/>
  <c r="J131" i="13"/>
  <c r="K131" i="13" s="1"/>
  <c r="L131" i="13" s="1"/>
  <c r="J130" i="13"/>
  <c r="K130" i="13" s="1"/>
  <c r="L130" i="13" s="1"/>
  <c r="J129" i="13"/>
  <c r="K129" i="13" s="1"/>
  <c r="L129" i="13" s="1"/>
  <c r="J128" i="13"/>
  <c r="K128" i="13" s="1"/>
  <c r="L128" i="13" s="1"/>
  <c r="J127" i="13"/>
  <c r="J126" i="13"/>
  <c r="J125" i="13"/>
  <c r="J124" i="13"/>
  <c r="J123" i="13"/>
  <c r="K123" i="13" s="1"/>
  <c r="L123" i="13" s="1"/>
  <c r="J122" i="13"/>
  <c r="K122" i="13" s="1"/>
  <c r="L122" i="13" s="1"/>
  <c r="J121" i="13"/>
  <c r="K121" i="13" s="1"/>
  <c r="L121" i="13" s="1"/>
  <c r="J120" i="13"/>
  <c r="K120" i="13" s="1"/>
  <c r="L120" i="13" s="1"/>
  <c r="J119" i="13"/>
  <c r="K119" i="13" s="1"/>
  <c r="L119" i="13" s="1"/>
  <c r="J118" i="13"/>
  <c r="K118" i="13" s="1"/>
  <c r="L118" i="13" s="1"/>
  <c r="J117" i="13"/>
  <c r="K117" i="13" s="1"/>
  <c r="L117" i="13" s="1"/>
  <c r="J116" i="13"/>
  <c r="K116" i="13" s="1"/>
  <c r="L116" i="13" s="1"/>
  <c r="J115" i="13"/>
  <c r="K115" i="13" s="1"/>
  <c r="L115" i="13" s="1"/>
  <c r="J114" i="13"/>
  <c r="K114" i="13" s="1"/>
  <c r="L114" i="13" s="1"/>
  <c r="J113" i="13"/>
  <c r="K113" i="13" s="1"/>
  <c r="L113" i="13" s="1"/>
  <c r="J112" i="13"/>
  <c r="K112" i="13" s="1"/>
  <c r="L112" i="13" s="1"/>
  <c r="J111" i="13"/>
  <c r="K111" i="13" s="1"/>
  <c r="L111" i="13" s="1"/>
  <c r="J110" i="13"/>
  <c r="K110" i="13" s="1"/>
  <c r="L110" i="13" s="1"/>
  <c r="J109" i="13"/>
  <c r="K109" i="13" s="1"/>
  <c r="L109" i="13" s="1"/>
  <c r="J108" i="13"/>
  <c r="K108" i="13" s="1"/>
  <c r="L108" i="13" s="1"/>
  <c r="J107" i="13"/>
  <c r="J106" i="13"/>
  <c r="K106" i="13" s="1"/>
  <c r="L106" i="13" s="1"/>
  <c r="J105" i="13"/>
  <c r="K105" i="13" s="1"/>
  <c r="L105" i="13" s="1"/>
  <c r="J104" i="13"/>
  <c r="K104" i="13" s="1"/>
  <c r="L104" i="13" s="1"/>
  <c r="J103" i="13"/>
  <c r="K103" i="13" s="1"/>
  <c r="L103" i="13" s="1"/>
  <c r="J102" i="13"/>
  <c r="K102" i="13" s="1"/>
  <c r="L102" i="13" s="1"/>
  <c r="J101" i="13"/>
  <c r="K101" i="13" s="1"/>
  <c r="L101" i="13" s="1"/>
  <c r="J100" i="13"/>
  <c r="K100" i="13" s="1"/>
  <c r="L100" i="13" s="1"/>
  <c r="J99" i="13"/>
  <c r="K99" i="13" s="1"/>
  <c r="L99" i="13" s="1"/>
  <c r="J98" i="13"/>
  <c r="K98" i="13" s="1"/>
  <c r="L98" i="13" s="1"/>
  <c r="J97" i="13"/>
  <c r="K97" i="13" s="1"/>
  <c r="L97" i="13" s="1"/>
  <c r="J96" i="13"/>
  <c r="K96" i="13" s="1"/>
  <c r="L96" i="13" s="1"/>
  <c r="J95" i="13"/>
  <c r="K95" i="13" s="1"/>
  <c r="L95" i="13" s="1"/>
  <c r="J94" i="13"/>
  <c r="K94" i="13" s="1"/>
  <c r="L94" i="13" s="1"/>
  <c r="J93" i="13"/>
  <c r="K93" i="13" s="1"/>
  <c r="L93" i="13" s="1"/>
  <c r="J92" i="13"/>
  <c r="K92" i="13" s="1"/>
  <c r="L92" i="13" s="1"/>
  <c r="J91" i="13"/>
  <c r="K91" i="13" s="1"/>
  <c r="L91" i="13" s="1"/>
  <c r="J90" i="13"/>
  <c r="K90" i="13" s="1"/>
  <c r="L90" i="13" s="1"/>
  <c r="J89" i="13"/>
  <c r="K89" i="13" s="1"/>
  <c r="L89" i="13" s="1"/>
  <c r="J88" i="13"/>
  <c r="K88" i="13" s="1"/>
  <c r="L88" i="13" s="1"/>
  <c r="J87" i="13"/>
  <c r="K87" i="13" s="1"/>
  <c r="L87" i="13" s="1"/>
  <c r="J86" i="13"/>
  <c r="K86" i="13" s="1"/>
  <c r="L86" i="13" s="1"/>
  <c r="J85" i="13"/>
  <c r="K85" i="13" s="1"/>
  <c r="L85" i="13" s="1"/>
  <c r="J84" i="13"/>
  <c r="K84" i="13" s="1"/>
  <c r="L84" i="13" s="1"/>
  <c r="J83" i="13"/>
  <c r="K83" i="13" s="1"/>
  <c r="L83" i="13" s="1"/>
  <c r="J82" i="13"/>
  <c r="K82" i="13" s="1"/>
  <c r="L82" i="13" s="1"/>
  <c r="J81" i="13"/>
  <c r="K81" i="13" s="1"/>
  <c r="L81" i="13" s="1"/>
  <c r="J80" i="13"/>
  <c r="K80" i="13" s="1"/>
  <c r="L80" i="13" s="1"/>
  <c r="J79" i="13"/>
  <c r="K79" i="13" s="1"/>
  <c r="L79" i="13" s="1"/>
  <c r="J78" i="13"/>
  <c r="K78" i="13" s="1"/>
  <c r="L78" i="13" s="1"/>
  <c r="J77" i="13"/>
  <c r="K77" i="13" s="1"/>
  <c r="L77" i="13" s="1"/>
  <c r="J76" i="13"/>
  <c r="K76" i="13" s="1"/>
  <c r="L76" i="13" s="1"/>
  <c r="J75" i="13"/>
  <c r="K75" i="13" s="1"/>
  <c r="L75" i="13" s="1"/>
  <c r="J74" i="13"/>
  <c r="K74" i="13" s="1"/>
  <c r="L74" i="13" s="1"/>
  <c r="J73" i="13"/>
  <c r="K73" i="13" s="1"/>
  <c r="L73" i="13" s="1"/>
  <c r="J72" i="13"/>
  <c r="K72" i="13" s="1"/>
  <c r="L72" i="13" s="1"/>
  <c r="J71" i="13"/>
  <c r="K71" i="13" s="1"/>
  <c r="L71" i="13" s="1"/>
  <c r="J70" i="13"/>
  <c r="K70" i="13" s="1"/>
  <c r="L70" i="13" s="1"/>
  <c r="J69" i="13"/>
  <c r="K69" i="13" s="1"/>
  <c r="L69" i="13" s="1"/>
  <c r="J68" i="13"/>
  <c r="J67" i="13"/>
  <c r="K67" i="13" s="1"/>
  <c r="L67" i="13" s="1"/>
  <c r="J66" i="13"/>
  <c r="K66" i="13" s="1"/>
  <c r="L66" i="13" s="1"/>
  <c r="J65" i="13"/>
  <c r="J64" i="13"/>
  <c r="J63" i="13"/>
  <c r="J62" i="13"/>
  <c r="J61" i="13"/>
  <c r="K61" i="13" s="1"/>
  <c r="L61" i="13" s="1"/>
  <c r="J60" i="13"/>
  <c r="J59" i="13"/>
  <c r="K59" i="13" s="1"/>
  <c r="L59" i="13" s="1"/>
  <c r="J58" i="13"/>
  <c r="K58" i="13" s="1"/>
  <c r="L58" i="13" s="1"/>
  <c r="J57" i="13"/>
  <c r="J56" i="13"/>
  <c r="J55" i="13"/>
  <c r="J54" i="13"/>
  <c r="J53" i="13"/>
  <c r="K53" i="13" s="1"/>
  <c r="L53" i="13" s="1"/>
  <c r="J52" i="13"/>
  <c r="K52" i="13" s="1"/>
  <c r="L52" i="13" s="1"/>
  <c r="J51" i="13"/>
  <c r="K51" i="13" s="1"/>
  <c r="L51" i="13" s="1"/>
  <c r="J50" i="13"/>
  <c r="K50" i="13" s="1"/>
  <c r="L50" i="13" s="1"/>
  <c r="J49" i="13"/>
  <c r="K49" i="13" s="1"/>
  <c r="L49" i="13" s="1"/>
  <c r="J48" i="13"/>
  <c r="K48" i="13" s="1"/>
  <c r="L48" i="13" s="1"/>
  <c r="J47" i="13"/>
  <c r="K47" i="13" s="1"/>
  <c r="L47" i="13" s="1"/>
  <c r="J46" i="13"/>
  <c r="K46" i="13" s="1"/>
  <c r="L46" i="13" s="1"/>
  <c r="J45" i="13"/>
  <c r="K45" i="13" s="1"/>
  <c r="L45" i="13" s="1"/>
  <c r="J44" i="13"/>
  <c r="J43" i="13"/>
  <c r="J42" i="13"/>
  <c r="K42" i="13" s="1"/>
  <c r="L42" i="13" s="1"/>
  <c r="J41" i="13"/>
  <c r="K41" i="13" s="1"/>
  <c r="L41" i="13" s="1"/>
  <c r="J40" i="13"/>
  <c r="K40" i="13" s="1"/>
  <c r="L40" i="13" s="1"/>
  <c r="J39" i="13"/>
  <c r="K39" i="13" s="1"/>
  <c r="L39" i="13" s="1"/>
  <c r="J38" i="13"/>
  <c r="K38" i="13" s="1"/>
  <c r="L38" i="13" s="1"/>
  <c r="J37" i="13"/>
  <c r="K37" i="13" s="1"/>
  <c r="L37" i="13" s="1"/>
  <c r="J36" i="13"/>
  <c r="K36" i="13" s="1"/>
  <c r="L36" i="13" s="1"/>
  <c r="J35" i="13"/>
  <c r="K35" i="13" s="1"/>
  <c r="L35" i="13" s="1"/>
  <c r="J34" i="13"/>
  <c r="K34" i="13" s="1"/>
  <c r="L34" i="13" s="1"/>
  <c r="J33" i="13"/>
  <c r="K33" i="13" s="1"/>
  <c r="L33" i="13" s="1"/>
  <c r="J32" i="13"/>
  <c r="K32" i="13" s="1"/>
  <c r="L32" i="13" s="1"/>
  <c r="J31" i="13"/>
  <c r="K31" i="13" s="1"/>
  <c r="L31" i="13" s="1"/>
  <c r="J30" i="13"/>
  <c r="K30" i="13" s="1"/>
  <c r="L30" i="13" s="1"/>
  <c r="J29" i="13"/>
  <c r="K29" i="13" s="1"/>
  <c r="L29" i="13" s="1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1" i="13" s="1"/>
  <c r="H1" i="13"/>
  <c r="G34" i="2" l="1"/>
  <c r="M34" i="2" s="1"/>
  <c r="N34" i="2" s="1"/>
  <c r="G40" i="2"/>
  <c r="M40" i="2" s="1"/>
  <c r="N40" i="2" s="1"/>
  <c r="G37" i="2"/>
  <c r="M37" i="2" s="1"/>
  <c r="N37" i="2" s="1"/>
  <c r="G35" i="2"/>
  <c r="M35" i="2" s="1"/>
  <c r="N35" i="2" s="1"/>
  <c r="G28" i="2"/>
  <c r="M28" i="2" s="1"/>
  <c r="N28" i="2" s="1"/>
  <c r="G33" i="2"/>
  <c r="M33" i="2" s="1"/>
  <c r="N33" i="2" s="1"/>
  <c r="G36" i="2"/>
  <c r="M36" i="2" s="1"/>
  <c r="N36" i="2" s="1"/>
  <c r="G295" i="2"/>
  <c r="M295" i="2" s="1"/>
  <c r="N295" i="2" s="1"/>
  <c r="G39" i="2"/>
  <c r="M39" i="2" s="1"/>
  <c r="N39" i="2" s="1"/>
  <c r="G32" i="2"/>
  <c r="M32" i="2" s="1"/>
  <c r="N32" i="2" s="1"/>
  <c r="G294" i="2"/>
  <c r="M294" i="2" s="1"/>
  <c r="N294" i="2" s="1"/>
  <c r="G27" i="2"/>
  <c r="G1" i="2" s="1"/>
  <c r="G29" i="2"/>
  <c r="M29" i="2" s="1"/>
  <c r="N29" i="2" s="1"/>
  <c r="G30" i="2"/>
  <c r="M30" i="2" s="1"/>
  <c r="N30" i="2" s="1"/>
  <c r="G38" i="2"/>
  <c r="M38" i="2" s="1"/>
  <c r="N38" i="2" s="1"/>
  <c r="G31" i="2"/>
  <c r="M31" i="2" s="1"/>
  <c r="N31" i="2" s="1"/>
  <c r="M27" i="2" l="1"/>
  <c r="N27" i="2" s="1"/>
  <c r="B10" i="9"/>
  <c r="B12" i="9" s="1"/>
  <c r="I1" i="2"/>
  <c r="R3" i="1" l="1"/>
  <c r="R16" i="1"/>
  <c r="R15" i="1"/>
  <c r="R14" i="1"/>
  <c r="R13" i="1"/>
  <c r="R12" i="1"/>
  <c r="R11" i="1"/>
  <c r="R10" i="1"/>
  <c r="R9" i="1"/>
  <c r="R8" i="1"/>
  <c r="R7" i="1"/>
  <c r="R6" i="1"/>
  <c r="R5" i="1"/>
  <c r="P3" i="1"/>
  <c r="Q3" i="1"/>
  <c r="I3" i="1"/>
  <c r="H3" i="1"/>
  <c r="G3" i="1"/>
  <c r="F3" i="1"/>
  <c r="E3" i="1"/>
  <c r="D3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<sst xmlns="http://schemas.openxmlformats.org/spreadsheetml/2006/main" count="15398" uniqueCount="1202">
  <si>
    <t>Years</t>
  </si>
  <si>
    <t>Quarters</t>
  </si>
  <si>
    <t>Document Date</t>
  </si>
  <si>
    <t>DA</t>
  </si>
  <si>
    <t>DG</t>
  </si>
  <si>
    <t>DR</t>
  </si>
  <si>
    <t>DY</t>
  </si>
  <si>
    <t>DZ</t>
  </si>
  <si>
    <t>XC</t>
  </si>
  <si>
    <t>2025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</si>
  <si>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</si>
  <si>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</si>
  <si>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</si>
  <si>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</si>
  <si>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</si>
  <si>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</si>
  <si>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</si>
  <si>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</si>
  <si>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</si>
  <si>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</si>
  <si>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</si>
  <si>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</si>
  <si>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</si>
  <si>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</si>
  <si>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</si>
  <si>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2026</t>
  </si>
  <si>
    <t>Jan</t>
  </si>
  <si>
    <t>Our Ledger</t>
  </si>
  <si>
    <t>Net Balance</t>
  </si>
  <si>
    <t>Customer Ledger</t>
  </si>
  <si>
    <t>Sum of Debit (LC)</t>
  </si>
  <si>
    <t>Sum of Credit (LC)</t>
  </si>
  <si>
    <t>Document Number</t>
  </si>
  <si>
    <t>Document Type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</si>
  <si>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</si>
  <si>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</si>
  <si>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</si>
  <si>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</si>
  <si>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</si>
  <si>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</si>
  <si>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1600000042</t>
  </si>
  <si>
    <t/>
  </si>
  <si>
    <t>INR</t>
  </si>
  <si>
    <t>Overpayment</t>
  </si>
  <si>
    <t>1400001110</t>
  </si>
  <si>
    <t>1400000854</t>
  </si>
  <si>
    <t>USD</t>
  </si>
  <si>
    <t>1400001231</t>
  </si>
  <si>
    <t>1400000977</t>
  </si>
  <si>
    <t>1400000990</t>
  </si>
  <si>
    <t>1400000126</t>
  </si>
  <si>
    <t>1400000149</t>
  </si>
  <si>
    <t>1400000127</t>
  </si>
  <si>
    <t>1400000128</t>
  </si>
  <si>
    <t>1400000133</t>
  </si>
  <si>
    <t>1400000134</t>
  </si>
  <si>
    <t>1400000864</t>
  </si>
  <si>
    <t>8681446219FS</t>
  </si>
  <si>
    <t>1400001221</t>
  </si>
  <si>
    <t>1400001598</t>
  </si>
  <si>
    <t>1400001618</t>
  </si>
  <si>
    <t>1400001620</t>
  </si>
  <si>
    <t>1400001622</t>
  </si>
  <si>
    <t>1400000213</t>
  </si>
  <si>
    <t>KNOCK OFF ENTRY</t>
  </si>
  <si>
    <t>1400000214</t>
  </si>
  <si>
    <t>1400000215</t>
  </si>
  <si>
    <t>1800008260</t>
  </si>
  <si>
    <t>Fixed Storage Charges fo MAY 2025</t>
  </si>
  <si>
    <t>1800009592</t>
  </si>
  <si>
    <t>Fixed Storage Charges fo JUNE 2025</t>
  </si>
  <si>
    <t>1800010154</t>
  </si>
  <si>
    <t>Fixed Storage Charges fo JULY 2025</t>
  </si>
  <si>
    <t>1800011360</t>
  </si>
  <si>
    <t>Fixed Storage Charges for August 2025</t>
  </si>
  <si>
    <t>1800012712</t>
  </si>
  <si>
    <t>Fixed Storage Charges for September 2025</t>
  </si>
  <si>
    <t>1800014235</t>
  </si>
  <si>
    <t>Fixed Storage Charges for November 2025</t>
  </si>
  <si>
    <t>1800015484</t>
  </si>
  <si>
    <t>Fixed Storage Charges for December 2025</t>
  </si>
  <si>
    <t>1800008261</t>
  </si>
  <si>
    <t>1800009593</t>
  </si>
  <si>
    <t>1800010155</t>
  </si>
  <si>
    <t>1800011361</t>
  </si>
  <si>
    <t>1800012713</t>
  </si>
  <si>
    <t>1800014236</t>
  </si>
  <si>
    <t>1800015485</t>
  </si>
  <si>
    <t>Fixed Mangement FEE for December 2025</t>
  </si>
  <si>
    <t>1600002145</t>
  </si>
  <si>
    <t>CN issued towards D &amp; D</t>
  </si>
  <si>
    <t>1800012258</t>
  </si>
  <si>
    <t>DN issued towards D &amp; D 256779421709</t>
  </si>
  <si>
    <t>1800002451</t>
  </si>
  <si>
    <t>Intra Unit Transfer Charges Month Of December,2024</t>
  </si>
  <si>
    <t>1800002454</t>
  </si>
  <si>
    <t>1800002456</t>
  </si>
  <si>
    <t>1800008348</t>
  </si>
  <si>
    <t>Intra Unit Transfer 16-30 April 25</t>
  </si>
  <si>
    <t>1800009077</t>
  </si>
  <si>
    <t>Unit to Unit, 1-15 May 25</t>
  </si>
  <si>
    <t>1800009083</t>
  </si>
  <si>
    <t>1800009084</t>
  </si>
  <si>
    <t>1800011280</t>
  </si>
  <si>
    <t>Unit to Unit 16-31 May 25</t>
  </si>
  <si>
    <t>1800001850</t>
  </si>
  <si>
    <t>Intra Unit Transfer Charges Month Of August,2024</t>
  </si>
  <si>
    <t>1800009967</t>
  </si>
  <si>
    <t>Unit to Unit 1-15 June 25</t>
  </si>
  <si>
    <t>1800009968</t>
  </si>
  <si>
    <t>1800009969</t>
  </si>
  <si>
    <t>1800009970</t>
  </si>
  <si>
    <t>1800009971</t>
  </si>
  <si>
    <t>1800012780</t>
  </si>
  <si>
    <t>Intra SEZ -1-15 Sept-25</t>
  </si>
  <si>
    <t>1800013748</t>
  </si>
  <si>
    <t>Intra - SEZ-16-30 Sept 25</t>
  </si>
  <si>
    <t>1800013749</t>
  </si>
  <si>
    <t>1800000374</t>
  </si>
  <si>
    <t>CY Longstanding container Ground Rent charges for</t>
  </si>
  <si>
    <t>1800000381</t>
  </si>
  <si>
    <t>1800000387</t>
  </si>
  <si>
    <t>1800000393</t>
  </si>
  <si>
    <t>1800000931</t>
  </si>
  <si>
    <t>Storage Charges for the month of November, 2024 Ex</t>
  </si>
  <si>
    <t>1800000953</t>
  </si>
  <si>
    <t>Storage Charges for the month of December, 2024 Ex</t>
  </si>
  <si>
    <t>1600002439</t>
  </si>
  <si>
    <t>CN issued against 256779418011</t>
  </si>
  <si>
    <t>1800000414</t>
  </si>
  <si>
    <t>Storage Charges for the month of August, 2024</t>
  </si>
  <si>
    <t>1800000439</t>
  </si>
  <si>
    <t>Storage  for the month of Sept  2024</t>
  </si>
  <si>
    <t>1800000463</t>
  </si>
  <si>
    <t>Storage for the month of Oct 2024</t>
  </si>
  <si>
    <t>1800001956</t>
  </si>
  <si>
    <t>VAS Activity Charges for the month of September, 2</t>
  </si>
  <si>
    <t>1800002095</t>
  </si>
  <si>
    <t>VAS Activity Charges for the month of October, 24</t>
  </si>
  <si>
    <t>1800002401</t>
  </si>
  <si>
    <t>VAS Activity Charges for the month of December, 24</t>
  </si>
  <si>
    <t>1800002272</t>
  </si>
  <si>
    <t>VAS Activity Charges for the month of November, 24</t>
  </si>
  <si>
    <t>1800002273</t>
  </si>
  <si>
    <t>1800002274</t>
  </si>
  <si>
    <t>1800002275</t>
  </si>
  <si>
    <t>1800002276</t>
  </si>
  <si>
    <t>1800006261</t>
  </si>
  <si>
    <t>Empty Transportation August 2024</t>
  </si>
  <si>
    <t>1800006262</t>
  </si>
  <si>
    <t>LCL Charges August 2024</t>
  </si>
  <si>
    <t>1800006263</t>
  </si>
  <si>
    <t>1800006264</t>
  </si>
  <si>
    <t>Inbound Handling for August 24</t>
  </si>
  <si>
    <t>1800006265</t>
  </si>
  <si>
    <t>1800006266</t>
  </si>
  <si>
    <t>1800006674</t>
  </si>
  <si>
    <t>Outbound Handling Charges Aug 2024</t>
  </si>
  <si>
    <t>1800006675</t>
  </si>
  <si>
    <t>1800006676</t>
  </si>
  <si>
    <t>1800006677</t>
  </si>
  <si>
    <t>1800006678</t>
  </si>
  <si>
    <t>1800006679</t>
  </si>
  <si>
    <t>1800006680</t>
  </si>
  <si>
    <t>1800006681</t>
  </si>
  <si>
    <t>1800006682</t>
  </si>
  <si>
    <t>1800006683</t>
  </si>
  <si>
    <t>1800006684</t>
  </si>
  <si>
    <t>1800006685</t>
  </si>
  <si>
    <t>1800006686</t>
  </si>
  <si>
    <t>1800006687</t>
  </si>
  <si>
    <t>1800006688</t>
  </si>
  <si>
    <t>1800006689</t>
  </si>
  <si>
    <t>1800006690</t>
  </si>
  <si>
    <t>1800006691</t>
  </si>
  <si>
    <t>1800006692</t>
  </si>
  <si>
    <t>1800006693</t>
  </si>
  <si>
    <t>1800006694</t>
  </si>
  <si>
    <t>1600002472</t>
  </si>
  <si>
    <t>Credit note raised against 256779418076</t>
  </si>
  <si>
    <t>1800006996</t>
  </si>
  <si>
    <t>Outbound Handling charges for Dec 2024</t>
  </si>
  <si>
    <t>1800007093</t>
  </si>
  <si>
    <t>CAAU5283880-Port SSR Shifting Mar 2025. Exch rate</t>
  </si>
  <si>
    <t>1800007129</t>
  </si>
  <si>
    <t>VAS Activity - Jan 25, Ex Rate. 86.64</t>
  </si>
  <si>
    <t>1800007210</t>
  </si>
  <si>
    <t>VAS Activity - Mar 25, 16-31, Ex Rate. 85.58</t>
  </si>
  <si>
    <t>1800007235</t>
  </si>
  <si>
    <t>Storage Charges Mar, 25 Exch Rate 85.58</t>
  </si>
  <si>
    <t>1800011264</t>
  </si>
  <si>
    <t>VAS 16-31 May 25 Ex.85.48</t>
  </si>
  <si>
    <t>1800001581</t>
  </si>
  <si>
    <t>VAS Activity Charges for the month of August, 24</t>
  </si>
  <si>
    <t>1800001784</t>
  </si>
  <si>
    <t>1800012461</t>
  </si>
  <si>
    <t>VAS -16-31 Aug 25</t>
  </si>
  <si>
    <t>1800012559</t>
  </si>
  <si>
    <t>CY Refer Pluging Chgs - 01 - 31 May 25</t>
  </si>
  <si>
    <t>1800012560</t>
  </si>
  <si>
    <t>CY Refer Pluging Chgs - 01 - 30 Jun 25</t>
  </si>
  <si>
    <t>1800012561</t>
  </si>
  <si>
    <t>CY Ground rent Chgs - 01 - 31 July 25</t>
  </si>
  <si>
    <t>CY Ground rent Chgs - 01 - 31 Aug 25</t>
  </si>
  <si>
    <t>1800012619</t>
  </si>
  <si>
    <t>Empty Lolo Chgs - 01 - 31 AUG 25</t>
  </si>
  <si>
    <t>1800012587</t>
  </si>
  <si>
    <t>PORT SSR Chgs Aug 25</t>
  </si>
  <si>
    <t>1800012647</t>
  </si>
  <si>
    <t>Transportation In Chgs - 16 - 31 AUG 25</t>
  </si>
  <si>
    <t>1800012685</t>
  </si>
  <si>
    <t>Outbound chgs - 16 - 31 Aug 25</t>
  </si>
  <si>
    <t>1600002212</t>
  </si>
  <si>
    <t>CN Issued towards bill no. 256779417178</t>
  </si>
  <si>
    <t>1600002213</t>
  </si>
  <si>
    <t>CN Issued towards bill no. 256779417179</t>
  </si>
  <si>
    <t>1600002214</t>
  </si>
  <si>
    <t>CN Issued towards bill no. 256779417180</t>
  </si>
  <si>
    <t>1600002215</t>
  </si>
  <si>
    <t>CN Issued towards bill no. 256779417181</t>
  </si>
  <si>
    <t>1800010008</t>
  </si>
  <si>
    <t>Transportation In Chgs - 01 - 15 Jun 25</t>
  </si>
  <si>
    <t>1800010066</t>
  </si>
  <si>
    <t>Outbound chgs - 01 - 15 Jun 25</t>
  </si>
  <si>
    <t>1800010119</t>
  </si>
  <si>
    <t>Transportation In Chgs - 16 - 30 JUN 25</t>
  </si>
  <si>
    <t>1800010131</t>
  </si>
  <si>
    <t>CY Ground rent Chgs - 01 - 30 June 25</t>
  </si>
  <si>
    <t>1800010144</t>
  </si>
  <si>
    <t>Empty Lolo Chgs - 01 - 30 JUN 25</t>
  </si>
  <si>
    <t>1800010196</t>
  </si>
  <si>
    <t>Empty Cont Out Chgs - 01 - 15 May 25</t>
  </si>
  <si>
    <t>1800010197</t>
  </si>
  <si>
    <t>1800010257</t>
  </si>
  <si>
    <t>Outbound chgs - 16 - 30 Jun 25</t>
  </si>
  <si>
    <t>1800010436</t>
  </si>
  <si>
    <t>Unit Storage - 1-30 June 25</t>
  </si>
  <si>
    <t>1800010504</t>
  </si>
  <si>
    <t>VAS - 16-30 June 25</t>
  </si>
  <si>
    <t>1600001539</t>
  </si>
  <si>
    <t>CN against 256779410006</t>
  </si>
  <si>
    <t>1600001540</t>
  </si>
  <si>
    <t>CN against 256779410012</t>
  </si>
  <si>
    <t>1600001541</t>
  </si>
  <si>
    <t>CN against 256779410015</t>
  </si>
  <si>
    <t>1600001542</t>
  </si>
  <si>
    <t>CN against 256779410224</t>
  </si>
  <si>
    <t>1800014283</t>
  </si>
  <si>
    <t>VAS-16 -31 Oct 25</t>
  </si>
  <si>
    <t>1800014544</t>
  </si>
  <si>
    <t>Unit Storage - 1-31 Oct 2025</t>
  </si>
  <si>
    <t>CY Ground rent Chgs - 16 - 31 Oct 25</t>
  </si>
  <si>
    <t>1800014525</t>
  </si>
  <si>
    <t>Outbound chgs - 16 - 31 Oct 25</t>
  </si>
  <si>
    <t>1800014618</t>
  </si>
  <si>
    <t>Empty Lolo Chgs - 01 - 31 OCT 25</t>
  </si>
  <si>
    <t>1800014731</t>
  </si>
  <si>
    <t>PORT SSR Chgs Oct 25</t>
  </si>
  <si>
    <t>1800000350</t>
  </si>
  <si>
    <t>1800014408</t>
  </si>
  <si>
    <t>LCL Chgs - 16 - 31 OCT 25</t>
  </si>
  <si>
    <t>1800011648</t>
  </si>
  <si>
    <t>1800011656</t>
  </si>
  <si>
    <t>Unit Storage - 1-31 July 25</t>
  </si>
  <si>
    <t>1800011800</t>
  </si>
  <si>
    <t>Scanning  Chgs - 16 - 31 Jul 25</t>
  </si>
  <si>
    <t>Empty Lolo Chgs - 01 - 31 JUL 25</t>
  </si>
  <si>
    <t>1800011788</t>
  </si>
  <si>
    <t>Transportation In Chgs - 16 - 31 JUL 25</t>
  </si>
  <si>
    <t>1800011706</t>
  </si>
  <si>
    <t>Outbound chgs - 16 - 31 Jul 25</t>
  </si>
  <si>
    <t>1800011595</t>
  </si>
  <si>
    <t>VAS 16-31 July 25</t>
  </si>
  <si>
    <t>PORT SSR Chgs July 25</t>
  </si>
  <si>
    <t>1800009453</t>
  </si>
  <si>
    <t>Outbound chgs - 16 - 31 MAY 25</t>
  </si>
  <si>
    <t>1800009511</t>
  </si>
  <si>
    <t>Empty Lolo Chgs - 01 - 31 MAY 25</t>
  </si>
  <si>
    <t>1800009553</t>
  </si>
  <si>
    <t>LCL Chgs - 16-31 MAY 25</t>
  </si>
  <si>
    <t>1600000596</t>
  </si>
  <si>
    <t>Credit note against 246779412238</t>
  </si>
  <si>
    <t>1600000782</t>
  </si>
  <si>
    <t>Credit note against 256779410230</t>
  </si>
  <si>
    <t>1600000816</t>
  </si>
  <si>
    <t>Credit note against 256779410271</t>
  </si>
  <si>
    <t>1800008488</t>
  </si>
  <si>
    <t>Transportation In Chgs - 16 - 30 Apr 25</t>
  </si>
  <si>
    <t>1800008520</t>
  </si>
  <si>
    <t>Scanning  Chgs - 16 - 31 Apr 25</t>
  </si>
  <si>
    <t>LCL Chgs - 16 - 30 Apr 25</t>
  </si>
  <si>
    <t>Outbound chgs - 16 - 30 Apr 25</t>
  </si>
  <si>
    <t>1800009133</t>
  </si>
  <si>
    <t>Storage Chgs - 01 - 31 Apr 25</t>
  </si>
  <si>
    <t>1800010770</t>
  </si>
  <si>
    <t>PORT SSR Chgs Apr to June 25</t>
  </si>
  <si>
    <t>1800010698</t>
  </si>
  <si>
    <t>Transportation In Chgs - 01 - 15 JUL 25</t>
  </si>
  <si>
    <t>1800010740</t>
  </si>
  <si>
    <t>Outbound chgs - 01 - 15 Jul 25</t>
  </si>
  <si>
    <t>1800010941</t>
  </si>
  <si>
    <t>Transportation In Chgs - 01 - 15 Jul 25</t>
  </si>
  <si>
    <t>1800011042</t>
  </si>
  <si>
    <t>1800001469</t>
  </si>
  <si>
    <t>Scanning Charges for the month of September, 2024</t>
  </si>
  <si>
    <t>1800001451</t>
  </si>
  <si>
    <t>Scanning Charges for the month of October, 2024</t>
  </si>
  <si>
    <t>1800001411</t>
  </si>
  <si>
    <t>Scanning Charges for the month of August, 2024</t>
  </si>
  <si>
    <t>1800003929</t>
  </si>
  <si>
    <t>Ground Rent Jan 25</t>
  </si>
  <si>
    <t>1800003940</t>
  </si>
  <si>
    <t>Ground Rent Feb 25</t>
  </si>
  <si>
    <t>1800003961</t>
  </si>
  <si>
    <t>Scanning Charges for the month of Feb 2025</t>
  </si>
  <si>
    <t>1800003972</t>
  </si>
  <si>
    <t>Scanning Charges for the month of Jan 2025</t>
  </si>
  <si>
    <t>1800004049</t>
  </si>
  <si>
    <t>Outbound Handling charges for Feb 2025</t>
  </si>
  <si>
    <t>1800004275</t>
  </si>
  <si>
    <t>Inbound Handling charges for  Sep 2024</t>
  </si>
  <si>
    <t>1800004276</t>
  </si>
  <si>
    <t>LCL charges for Sep 2024</t>
  </si>
  <si>
    <t>1800004277</t>
  </si>
  <si>
    <t>Reefer Plugin charges for Sep 2024</t>
  </si>
  <si>
    <t>1800004278</t>
  </si>
  <si>
    <t>Ground Rent charges for Sep 2024</t>
  </si>
  <si>
    <t>1800004354</t>
  </si>
  <si>
    <t>Outbound Handling charges for Sep 2024</t>
  </si>
  <si>
    <t>1800004529</t>
  </si>
  <si>
    <t>Loose handling Charges for Nov 2024</t>
  </si>
  <si>
    <t>1800004530</t>
  </si>
  <si>
    <t>Inbound Handling charges for Nov 2024</t>
  </si>
  <si>
    <t>1800004531</t>
  </si>
  <si>
    <t>LCL Movement Charges for Nov 2024</t>
  </si>
  <si>
    <t>1800004867</t>
  </si>
  <si>
    <t>Outbound Handling charges for Jan 2025</t>
  </si>
  <si>
    <t>1800005018</t>
  </si>
  <si>
    <t>1800005019</t>
  </si>
  <si>
    <t>1800005020</t>
  </si>
  <si>
    <t>1800005021</t>
  </si>
  <si>
    <t>1800005022</t>
  </si>
  <si>
    <t>1800004600</t>
  </si>
  <si>
    <t>Inbound Handling charges for Jan 2025</t>
  </si>
  <si>
    <t>1800004736</t>
  </si>
  <si>
    <t>Outbound Handling charges for Oct 2024</t>
  </si>
  <si>
    <t>1800004814</t>
  </si>
  <si>
    <t>Outbound Handling charges for Nov 2024</t>
  </si>
  <si>
    <t>1800000101</t>
  </si>
  <si>
    <t>Fixed Rental charges for Sept 2024</t>
  </si>
  <si>
    <t>1800000127</t>
  </si>
  <si>
    <t>Management Fees for Sept 2024</t>
  </si>
  <si>
    <t>1800000170</t>
  </si>
  <si>
    <t>Fixed Rental charges for Nov 2024</t>
  </si>
  <si>
    <t>1800000196</t>
  </si>
  <si>
    <t>Management Fees for Nov 2024</t>
  </si>
  <si>
    <t>1800000213</t>
  </si>
  <si>
    <t>Fixed Rental charges for Dec 2024</t>
  </si>
  <si>
    <t>1800000239</t>
  </si>
  <si>
    <t>Management Fees for Dec 2024</t>
  </si>
  <si>
    <t>1800000256</t>
  </si>
  <si>
    <t>Fixed Rental charges for Jan 2025</t>
  </si>
  <si>
    <t>Management Fees for Jan 2025</t>
  </si>
  <si>
    <t>1800000299</t>
  </si>
  <si>
    <t>Fixed Rental charges for Feb 2025</t>
  </si>
  <si>
    <t>1800000325</t>
  </si>
  <si>
    <t>Management Fees for Feb 2025</t>
  </si>
  <si>
    <t>1800000070</t>
  </si>
  <si>
    <t>Fixed Rental charges for Oct 2024</t>
  </si>
  <si>
    <t>1800000141</t>
  </si>
  <si>
    <t>Management Fees for Oct 2024</t>
  </si>
  <si>
    <t>1800000040</t>
  </si>
  <si>
    <t>Management Fees - Aug 2024</t>
  </si>
  <si>
    <t>Transportation In Chgs - 01 - 15 Aug 25</t>
  </si>
  <si>
    <t>Transportation In Chgs - 01 - 15 AUG 25</t>
  </si>
  <si>
    <t>Outbound chgs - 01 - 15 Aug 25</t>
  </si>
  <si>
    <t>1800000016</t>
  </si>
  <si>
    <t>Fixed Rental charges for Aug 2024</t>
  </si>
  <si>
    <t>1600002318</t>
  </si>
  <si>
    <t>Credit Note Raised against INV_256779413886</t>
  </si>
  <si>
    <t>1800009577</t>
  </si>
  <si>
    <t>CY Longstanding - March 25,16-31</t>
  </si>
  <si>
    <t>Outbound chgs - 01 - 15 MAY 25</t>
  </si>
  <si>
    <t>1800009122</t>
  </si>
  <si>
    <t>LCL Chgs - 01-15 MAY 25</t>
  </si>
  <si>
    <t>1800011380</t>
  </si>
  <si>
    <t>Debit note raised against 256779421172</t>
  </si>
  <si>
    <t>1800011381</t>
  </si>
  <si>
    <t>Debit note raised against 256779421173</t>
  </si>
  <si>
    <t>1800011382</t>
  </si>
  <si>
    <t>Debit note raised against 256779421174</t>
  </si>
  <si>
    <t>1800011383</t>
  </si>
  <si>
    <t>Debit note raised against 256779421175</t>
  </si>
  <si>
    <t>1800005190</t>
  </si>
  <si>
    <t>Outbound Handling charges for Mar 25</t>
  </si>
  <si>
    <t>1800005364</t>
  </si>
  <si>
    <t>1800005405</t>
  </si>
  <si>
    <t>1800005338</t>
  </si>
  <si>
    <t>1800005379</t>
  </si>
  <si>
    <t>1800005060</t>
  </si>
  <si>
    <t>1800005066</t>
  </si>
  <si>
    <t>1800005069</t>
  </si>
  <si>
    <t>1800005332</t>
  </si>
  <si>
    <t>CY Ground rent Chgs - 01 - 15 Oct 25</t>
  </si>
  <si>
    <t>1800013815</t>
  </si>
  <si>
    <t>Scanning  Chgs - 01 - 15 Oct 25</t>
  </si>
  <si>
    <t>1800013845</t>
  </si>
  <si>
    <t>Transportation In Chgs - 01 - 15 OCT 25</t>
  </si>
  <si>
    <t>1800013926</t>
  </si>
  <si>
    <t>Outbound chgs - 01 - 15 Oct 25</t>
  </si>
  <si>
    <t>1800007251</t>
  </si>
  <si>
    <t>Fixed Storage Charges for April 2025</t>
  </si>
  <si>
    <t>1800007286</t>
  </si>
  <si>
    <t>1600001839</t>
  </si>
  <si>
    <t>Credit note raised against 256779410006</t>
  </si>
  <si>
    <t>1600001840</t>
  </si>
  <si>
    <t>Credit note raised against 256779410012</t>
  </si>
  <si>
    <t>1600001841</t>
  </si>
  <si>
    <t>Credit note raised against 256779410015</t>
  </si>
  <si>
    <t>1600001842</t>
  </si>
  <si>
    <t>Credit note raised against 256779410224</t>
  </si>
  <si>
    <t>1600001862</t>
  </si>
  <si>
    <t>Credit note raised against 256779414414</t>
  </si>
  <si>
    <t>1600001884</t>
  </si>
  <si>
    <t>Credit note raised against 256779414437</t>
  </si>
  <si>
    <t>1600001885</t>
  </si>
  <si>
    <t>Credit note raised against 256779414438</t>
  </si>
  <si>
    <t>1600001912</t>
  </si>
  <si>
    <t>Credit note raised against 256779414465</t>
  </si>
  <si>
    <t>1600001928</t>
  </si>
  <si>
    <t>Credit note raised against 256779414481</t>
  </si>
  <si>
    <t>1800009650</t>
  </si>
  <si>
    <t>1800009673</t>
  </si>
  <si>
    <t>1800009674</t>
  </si>
  <si>
    <t>1800009701</t>
  </si>
  <si>
    <t>1800009717</t>
  </si>
  <si>
    <t>1800003114</t>
  </si>
  <si>
    <t>Fixed Storage Charges for Mar 2025</t>
  </si>
  <si>
    <t>1800003222</t>
  </si>
  <si>
    <t>Port SSR Charges - Shifting for Aug to Dec,24.</t>
  </si>
  <si>
    <t>1800003347</t>
  </si>
  <si>
    <t>TIIU6358742-Port SSR Shifting Jan 2025. Exch rate</t>
  </si>
  <si>
    <t>1800003149</t>
  </si>
  <si>
    <t>1800013202</t>
  </si>
  <si>
    <t>LCL Chgs - 01-15 MAY 25 ( BOE9705814 / 9824060 / 9</t>
  </si>
  <si>
    <t>CY Ground rent Chgs - 01 - 15 Nov 25</t>
  </si>
  <si>
    <t>1800015077</t>
  </si>
  <si>
    <t>Inbound chgs - 01 - 15 NOV 25</t>
  </si>
  <si>
    <t>1800015131</t>
  </si>
  <si>
    <t>Outbound chgs - 01 - 15 Nov 25</t>
  </si>
  <si>
    <t>1800007659</t>
  </si>
  <si>
    <t>Inbound Handling charges for Feb 2025</t>
  </si>
  <si>
    <t>1800007691</t>
  </si>
  <si>
    <t>1800007724</t>
  </si>
  <si>
    <t>Inbound Handling charges for 31 Mar 2025</t>
  </si>
  <si>
    <t>1800007766</t>
  </si>
  <si>
    <t>Outbound Handling charges for 31 Mar 25</t>
  </si>
  <si>
    <t>1800012815</t>
  </si>
  <si>
    <t>Scanning  Chgs - 01 - 15 Sep 25</t>
  </si>
  <si>
    <t>CY Ground rent Chgs - 01 - 15 Sep 25</t>
  </si>
  <si>
    <t>1800012991</t>
  </si>
  <si>
    <t>Outbound chgs - 01 - 15 Sep 25</t>
  </si>
  <si>
    <t>1800012929</t>
  </si>
  <si>
    <t>Transportation In Chgs - 01 - 15 SEP 25</t>
  </si>
  <si>
    <t>CY Ground rent Chgs - 16 - 30 Nov 25</t>
  </si>
  <si>
    <t>1800015289</t>
  </si>
  <si>
    <t>Outbound chgs - 16 - 30 Nov 25</t>
  </si>
  <si>
    <t>1800008037</t>
  </si>
  <si>
    <t>Outbound chgs - 01 - 15 Apr 25</t>
  </si>
  <si>
    <t>1800004450</t>
  </si>
  <si>
    <t>Inbound Handling charges for Oct 2024</t>
  </si>
  <si>
    <t>1800013759</t>
  </si>
  <si>
    <t>VAS-16-30 Sept 25</t>
  </si>
  <si>
    <t>1800008302</t>
  </si>
  <si>
    <t>CY Ground rent Chgs - 01 - 30 Apr 25</t>
  </si>
  <si>
    <t>1800008361</t>
  </si>
  <si>
    <t>VAS - 16-30 April 25, Ex.Rate-85.05</t>
  </si>
  <si>
    <t>1800015454</t>
  </si>
  <si>
    <t>Empty Lolo Chgs - 01 - 31 NOV 25</t>
  </si>
  <si>
    <t>1800015475</t>
  </si>
  <si>
    <t>PORT SSR Chgs Nov 25</t>
  </si>
  <si>
    <t>1800009476</t>
  </si>
  <si>
    <t>Unit storage -1-31 May 25</t>
  </si>
  <si>
    <t>1800013275</t>
  </si>
  <si>
    <t>Unit Storage - 1-30 Sept 2025</t>
  </si>
  <si>
    <t>1800013306</t>
  </si>
  <si>
    <t>Empty Lolo Chgs - 01 - 30 SEP 25</t>
  </si>
  <si>
    <t>1800013344</t>
  </si>
  <si>
    <t>Transportation In Chgs - 16 - 30 SEP 25</t>
  </si>
  <si>
    <t>1800013429</t>
  </si>
  <si>
    <t>Outbound chgs - 16 - 30 Sep 25</t>
  </si>
  <si>
    <t>1800013510</t>
  </si>
  <si>
    <t>PORT SSR Chgs Sep 25</t>
  </si>
  <si>
    <t>1800012474</t>
  </si>
  <si>
    <t>Unit-Storage-1-31 Aug 25</t>
  </si>
  <si>
    <t>1800015678</t>
  </si>
  <si>
    <t>Unit Storage - 1-30 Nov 2025</t>
  </si>
  <si>
    <t>CY Ground rent Chgs - 01 - 15 Dec 25</t>
  </si>
  <si>
    <t>1800015965</t>
  </si>
  <si>
    <t>Outbound chgs - 01 - 15 Dec 25</t>
  </si>
  <si>
    <t>1400002371</t>
  </si>
  <si>
    <t>T54SWIC285279</t>
  </si>
  <si>
    <t>1400002370</t>
  </si>
  <si>
    <t>1400002372</t>
  </si>
  <si>
    <t>1800013253</t>
  </si>
  <si>
    <t>Fixed Storage Charges for October 2025</t>
  </si>
  <si>
    <t>1800013254</t>
  </si>
  <si>
    <t>1800013383</t>
  </si>
  <si>
    <t>CY Ground rent Chgs - 16 - 30 Sep 25</t>
  </si>
  <si>
    <t>1800016315</t>
  </si>
  <si>
    <t>CY Ground rent Chgs - 16 - 31 Dec 25</t>
  </si>
  <si>
    <t>1800016504</t>
  </si>
  <si>
    <t>LCL Chgs - 16 - 31 DEC 25</t>
  </si>
  <si>
    <t>1800016419</t>
  </si>
  <si>
    <t>Outbound chgs - 16 - 31 Dec 25</t>
  </si>
  <si>
    <t>1800016509</t>
  </si>
  <si>
    <t>Intra-Dec 25 - 16-31</t>
  </si>
  <si>
    <t>1800016510</t>
  </si>
  <si>
    <t>1800016511</t>
  </si>
  <si>
    <t>1800016512</t>
  </si>
  <si>
    <t>1800016545</t>
  </si>
  <si>
    <t>Fixed Storage Charges for January 2026</t>
  </si>
  <si>
    <t>1800016546</t>
  </si>
  <si>
    <t>Fixed Mangement FEE for January 2026</t>
  </si>
  <si>
    <t>1800016771</t>
  </si>
  <si>
    <t>INTRA  -NOV 25,16-30</t>
  </si>
  <si>
    <t>1800016778</t>
  </si>
  <si>
    <t>VAS - NOV 25,16-30</t>
  </si>
  <si>
    <t>1800017005</t>
  </si>
  <si>
    <t>CY Ground rent Chgs - 01 - 15 Jan 26</t>
  </si>
  <si>
    <t>1800017065</t>
  </si>
  <si>
    <t>LCL Chgs - 01 - 15 JAN 26</t>
  </si>
  <si>
    <t>1800017110</t>
  </si>
  <si>
    <t>Outbound chgs - 01 - 15 JAN 26</t>
  </si>
  <si>
    <t>1800017153</t>
  </si>
  <si>
    <t>VAS-1-15 Jan 2026</t>
  </si>
  <si>
    <t>1600002768</t>
  </si>
  <si>
    <t>CN issued against - 256779415196</t>
  </si>
  <si>
    <t>1600002769</t>
  </si>
  <si>
    <t>CN issued against - 256779416078</t>
  </si>
  <si>
    <t>1600002770</t>
  </si>
  <si>
    <t>CN issued against - 256779414240</t>
  </si>
  <si>
    <t>1600002771</t>
  </si>
  <si>
    <t>CN issued against - 256779417082</t>
  </si>
  <si>
    <t>1800017178</t>
  </si>
  <si>
    <t>Vlookup</t>
  </si>
  <si>
    <t>Ref. 2 (Header)</t>
  </si>
  <si>
    <t>Series</t>
  </si>
  <si>
    <t>Doc. No.</t>
  </si>
  <si>
    <t>Remarks</t>
  </si>
  <si>
    <t>Offset Acct Name</t>
  </si>
  <si>
    <t>Debit (LC)</t>
  </si>
  <si>
    <t>Credit (LC)</t>
  </si>
  <si>
    <t>Cumulative Balance (LC)</t>
  </si>
  <si>
    <t>Debit (FC)</t>
  </si>
  <si>
    <t>Credit (FC)</t>
  </si>
  <si>
    <t>Cumulative Balance (FC)</t>
  </si>
  <si>
    <t>Balance Due (FC)</t>
  </si>
  <si>
    <t>Branch Name</t>
  </si>
  <si>
    <t>Diff</t>
  </si>
  <si>
    <t>BOS2425M</t>
  </si>
  <si>
    <t>PU 7350273</t>
  </si>
  <si>
    <t>A/P Invoices - VD0304</t>
  </si>
  <si>
    <t>Rent - Ascendas</t>
  </si>
  <si>
    <t>Shah TC Global Exim LLP - Mumbai</t>
  </si>
  <si>
    <t>PU 7350274</t>
  </si>
  <si>
    <t>PU 7350275</t>
  </si>
  <si>
    <t>Handeling &amp; Agency Charges</t>
  </si>
  <si>
    <t>PU 7350276</t>
  </si>
  <si>
    <t>Management Fees (Ascendas)</t>
  </si>
  <si>
    <t>PU 7350277</t>
  </si>
  <si>
    <t>PU 7350278</t>
  </si>
  <si>
    <t>PU 7350279</t>
  </si>
  <si>
    <t>Vos Miscellaneous Charges</t>
  </si>
  <si>
    <t>PU 7350280</t>
  </si>
  <si>
    <t>PU 7350281</t>
  </si>
  <si>
    <t>PU 7350282</t>
  </si>
  <si>
    <t>Ground Rent (Container)</t>
  </si>
  <si>
    <t>PU 7350283</t>
  </si>
  <si>
    <t>JRN2425M</t>
  </si>
  <si>
    <t>JE 7353113</t>
  </si>
  <si>
    <t>Being TDS deduction on 246779413797 ascendas</t>
  </si>
  <si>
    <t>Tds Payable- 94Ib - Rent</t>
  </si>
  <si>
    <t>PU 7350284</t>
  </si>
  <si>
    <t>PU 7350285</t>
  </si>
  <si>
    <t>PU 7350287</t>
  </si>
  <si>
    <t>PU 7350288</t>
  </si>
  <si>
    <t>PU 7350289</t>
  </si>
  <si>
    <t>PU 7350290</t>
  </si>
  <si>
    <t>PU 7350291</t>
  </si>
  <si>
    <t>PU 7350292</t>
  </si>
  <si>
    <t>PU 7350293</t>
  </si>
  <si>
    <t>PU 7350294</t>
  </si>
  <si>
    <t>PU 7350295</t>
  </si>
  <si>
    <t>PU 7350296</t>
  </si>
  <si>
    <t>PU 7350297</t>
  </si>
  <si>
    <t>PU 7350298</t>
  </si>
  <si>
    <t>PU 7350299</t>
  </si>
  <si>
    <t>PU 7350300</t>
  </si>
  <si>
    <t>JE 7353132</t>
  </si>
  <si>
    <t>JE 7353133</t>
  </si>
  <si>
    <t>Being TDS deduction on 246779413797 ascendas(Reversal) - 7619</t>
  </si>
  <si>
    <t>PU 7350301</t>
  </si>
  <si>
    <t>PU 7350302</t>
  </si>
  <si>
    <t>PU 7350303</t>
  </si>
  <si>
    <t>PU 7350304</t>
  </si>
  <si>
    <t>PU 7350305</t>
  </si>
  <si>
    <t>PU 7350306</t>
  </si>
  <si>
    <t>PU 7350307</t>
  </si>
  <si>
    <t>PU 7350308</t>
  </si>
  <si>
    <t>PU 7350309</t>
  </si>
  <si>
    <t>PU 7350310</t>
  </si>
  <si>
    <t>PU 7350311</t>
  </si>
  <si>
    <t>PU 7350312</t>
  </si>
  <si>
    <t>PU 7350313</t>
  </si>
  <si>
    <t>PU 7350314</t>
  </si>
  <si>
    <t>PU 7350315</t>
  </si>
  <si>
    <t>PU 7350316</t>
  </si>
  <si>
    <t>PU 7350317</t>
  </si>
  <si>
    <t>PU 7350318</t>
  </si>
  <si>
    <t>PU 7350319</t>
  </si>
  <si>
    <t>JE 7353155</t>
  </si>
  <si>
    <t>Being TDS deduction on 246779413808 ascendas</t>
  </si>
  <si>
    <t>PU 7350320</t>
  </si>
  <si>
    <t>Reefer Plug In</t>
  </si>
  <si>
    <t>PU 7350321</t>
  </si>
  <si>
    <t>PU 7350322</t>
  </si>
  <si>
    <t>PU 7350323</t>
  </si>
  <si>
    <t>PU 7350324</t>
  </si>
  <si>
    <t>PU 7350325</t>
  </si>
  <si>
    <t>PU 7350327</t>
  </si>
  <si>
    <t>PU 7350328</t>
  </si>
  <si>
    <t>PU 7350329</t>
  </si>
  <si>
    <t>PU 7350330</t>
  </si>
  <si>
    <t>LCL CHARGES</t>
  </si>
  <si>
    <t>PU 7350331</t>
  </si>
  <si>
    <t>PU 7350332</t>
  </si>
  <si>
    <t>PU 7350333</t>
  </si>
  <si>
    <t>PU 7350335</t>
  </si>
  <si>
    <t>CL2425M</t>
  </si>
  <si>
    <t>PU 300025</t>
  </si>
  <si>
    <t>A/P Invoice - Cancellation - VD0304</t>
  </si>
  <si>
    <t>PU 7350336</t>
  </si>
  <si>
    <t>JE 7353198</t>
  </si>
  <si>
    <t>JE 7353199</t>
  </si>
  <si>
    <t>Being TDS deduction on 246779413797 ascendas(Reversal) - 7646</t>
  </si>
  <si>
    <t>PU 7350338</t>
  </si>
  <si>
    <t>PU 7350339</t>
  </si>
  <si>
    <t>PU 7350340</t>
  </si>
  <si>
    <t>BOS2526M</t>
  </si>
  <si>
    <t>PU 7360033</t>
  </si>
  <si>
    <t>PU 7360034</t>
  </si>
  <si>
    <t>JRN2526M</t>
  </si>
  <si>
    <t>JE 7360255</t>
  </si>
  <si>
    <t>Being tds deduction for rent against bill no.-256779410224 dated-03-04-2025.</t>
  </si>
  <si>
    <t>PU 7360030</t>
  </si>
  <si>
    <t>PU 7360031</t>
  </si>
  <si>
    <t>PU 7360032</t>
  </si>
  <si>
    <t>OPY2526M</t>
  </si>
  <si>
    <t>PS 7360069</t>
  </si>
  <si>
    <t>Outgoing Payments - VD0304, Being Amount paid to ascendas against bank ref. no-003MISC251560088 dated 5-6-2025.</t>
  </si>
  <si>
    <t>YES BANK - 038784600000486 - CC A/c(SGE)</t>
  </si>
  <si>
    <t>PS 7360072</t>
  </si>
  <si>
    <t>Outgoing Payments - VD0304,Being Amount paid to ascendas against bank ref. no-003MISC251560102 dated 5-6-2025.</t>
  </si>
  <si>
    <t>PS 7360074</t>
  </si>
  <si>
    <t>Outgoing Payments - VD0304,Being Amount paid to ascendas against bank ref. no-003MISC251560090 dated 5-6-2025.</t>
  </si>
  <si>
    <t>PU 7360039</t>
  </si>
  <si>
    <t>PU 7360040</t>
  </si>
  <si>
    <t>BOS2526D</t>
  </si>
  <si>
    <t>PU 5360026</t>
  </si>
  <si>
    <t>Shah TC Global Exim LLP - Delhi</t>
  </si>
  <si>
    <t>PU 7360042</t>
  </si>
  <si>
    <t>PU 7360044</t>
  </si>
  <si>
    <t>PU 7360045</t>
  </si>
  <si>
    <t>PU 7360046</t>
  </si>
  <si>
    <t>PU 7360047</t>
  </si>
  <si>
    <t>PU 7360101</t>
  </si>
  <si>
    <t>PU 7360049</t>
  </si>
  <si>
    <t>PU 7360050</t>
  </si>
  <si>
    <t>PU 7360051</t>
  </si>
  <si>
    <t>PU 7360052</t>
  </si>
  <si>
    <t>JE 7360300</t>
  </si>
  <si>
    <t>Being TDS entry passed for the ground rent charges against bill no. 256779410006 dated 03-04-2025.</t>
  </si>
  <si>
    <t>PU 7360053</t>
  </si>
  <si>
    <t>PU 7360054</t>
  </si>
  <si>
    <t>JE 7360303</t>
  </si>
  <si>
    <t>Being Ground rent charges tds booked against bill no. 256779410015 dated 03-04-2025.</t>
  </si>
  <si>
    <t>JE 7360304</t>
  </si>
  <si>
    <t>BEing Ground Rent Charges tds booked against bill no 256779410012 dated 03-04-2025.</t>
  </si>
  <si>
    <t>PS 7360113</t>
  </si>
  <si>
    <t>Outgoing Payments - VD0304,Being Amount paid to ascendas against bank ref. no-003FT01251640051 dated 13-6-2025.</t>
  </si>
  <si>
    <t>HDFC Bank - INR</t>
  </si>
  <si>
    <t>PS 7360143</t>
  </si>
  <si>
    <t>Outgoing Payments - VD0304,Being Amount paid to ascendas against bank ref. no-003FT01251640038 dated 13-6-2025.</t>
  </si>
  <si>
    <t>Reverse Entry for Payment No. 7360143</t>
  </si>
  <si>
    <t>PS 7360144</t>
  </si>
  <si>
    <t>JE 7360530</t>
  </si>
  <si>
    <t>Being $3.4008 less paid in this bill because in summary sheet 2% tds deduscted instead of 10%</t>
  </si>
  <si>
    <t>Reverse Entry for Payment No. 7360144</t>
  </si>
  <si>
    <t>PS 7360145</t>
  </si>
  <si>
    <t>PU 7360085</t>
  </si>
  <si>
    <t>PU 7360086</t>
  </si>
  <si>
    <t>PU 7360087</t>
  </si>
  <si>
    <t>PU 7360088</t>
  </si>
  <si>
    <t>Transportation (Inbound)</t>
  </si>
  <si>
    <t>PU 7360089</t>
  </si>
  <si>
    <t>PU 7360090</t>
  </si>
  <si>
    <t>PU 7360091</t>
  </si>
  <si>
    <t>PU 7360106</t>
  </si>
  <si>
    <t>PU 7360107</t>
  </si>
  <si>
    <t>PU 7360108</t>
  </si>
  <si>
    <t>PU 7360109</t>
  </si>
  <si>
    <t>PU 7360113</t>
  </si>
  <si>
    <t>PS 7360316</t>
  </si>
  <si>
    <t>Outgoing Payments - VD0304,Being payment done against USD 3798.9858   ASCENDAS PANVEL FTWZ PRIVATE LIMITED, Bank ref no.-  003MISC251990131 dated-18-07-2025.</t>
  </si>
  <si>
    <t>YES BANK - USD</t>
  </si>
  <si>
    <t>Reverse Entry for Payment No. 7360316</t>
  </si>
  <si>
    <t>PS 7360331</t>
  </si>
  <si>
    <t>PU 7360124</t>
  </si>
  <si>
    <t>PU 7360133</t>
  </si>
  <si>
    <t>Empty Return - Outward</t>
  </si>
  <si>
    <t>PU 7360134</t>
  </si>
  <si>
    <t>PU 7360135</t>
  </si>
  <si>
    <t>PU 7360136</t>
  </si>
  <si>
    <t>Inbound &amp; Outbound Handling</t>
  </si>
  <si>
    <t>PU 7360137</t>
  </si>
  <si>
    <t>PU 7360138</t>
  </si>
  <si>
    <t>PU 7360139</t>
  </si>
  <si>
    <t>PU 7360140</t>
  </si>
  <si>
    <t>PU 7360141</t>
  </si>
  <si>
    <t>PU 7360142</t>
  </si>
  <si>
    <t>PU 7360143</t>
  </si>
  <si>
    <t>PU 7360144</t>
  </si>
  <si>
    <t>PU 7360145</t>
  </si>
  <si>
    <t>PU 7360146</t>
  </si>
  <si>
    <t>PU 7360147</t>
  </si>
  <si>
    <t>PU 7360148</t>
  </si>
  <si>
    <t>PU 7360149</t>
  </si>
  <si>
    <t>PU 7360150</t>
  </si>
  <si>
    <t>PU 7360151</t>
  </si>
  <si>
    <t>PU 7360152</t>
  </si>
  <si>
    <t>PU 7360153</t>
  </si>
  <si>
    <t>PU 7360154</t>
  </si>
  <si>
    <t>PU 7360155</t>
  </si>
  <si>
    <t>PU 7360156</t>
  </si>
  <si>
    <t>PU 7360157</t>
  </si>
  <si>
    <t>PU 7360158</t>
  </si>
  <si>
    <t>PU 7360159</t>
  </si>
  <si>
    <t>PU 7360163</t>
  </si>
  <si>
    <t>PU 7360164</t>
  </si>
  <si>
    <t>PU 7360165</t>
  </si>
  <si>
    <t>PU 7360166</t>
  </si>
  <si>
    <t>PU 7360167</t>
  </si>
  <si>
    <t>PU 7360168</t>
  </si>
  <si>
    <t>PU 7360169</t>
  </si>
  <si>
    <t>Empty Lolo (Empty Yard)</t>
  </si>
  <si>
    <t>PU 7360170</t>
  </si>
  <si>
    <t>PU 7360171</t>
  </si>
  <si>
    <t>PU 7360172</t>
  </si>
  <si>
    <t>PU 7360174</t>
  </si>
  <si>
    <t>PU 7360175</t>
  </si>
  <si>
    <t>PS 7360324</t>
  </si>
  <si>
    <t>Outgoing Payments - VD0304,Being payment done against USD 1007.82   ASCENDAS PANVEL FTWZ PRIVATE LIMITED, Bank ref no.- 003MISC252190104 dated-07-08-2025.</t>
  </si>
  <si>
    <t>PS 7360322</t>
  </si>
  <si>
    <t>Outgoing Payments - VD0304,Being payment done against USD 4800.34   ASCENDAS PANVEL FTWZ PRIVATE LIMITED, Bank ref no.-  003MISC252200121 dated-08-08-2025.</t>
  </si>
  <si>
    <t>PU 7360194</t>
  </si>
  <si>
    <t>PU 7360195</t>
  </si>
  <si>
    <t>PU 7360196</t>
  </si>
  <si>
    <t>PU 7360197</t>
  </si>
  <si>
    <t>PU 7360198</t>
  </si>
  <si>
    <t>PU 7360199</t>
  </si>
  <si>
    <t>PU 7360200</t>
  </si>
  <si>
    <t>PU 7360201</t>
  </si>
  <si>
    <t>PU 7360202</t>
  </si>
  <si>
    <t>PU 7360217</t>
  </si>
  <si>
    <t>PU 7360218</t>
  </si>
  <si>
    <t>PU 7360219</t>
  </si>
  <si>
    <t>PU 7360221</t>
  </si>
  <si>
    <t>PU 7360223</t>
  </si>
  <si>
    <t>PU 7360224</t>
  </si>
  <si>
    <t>PS 7360434</t>
  </si>
  <si>
    <t>Outgoing Payments - VD0304,Being payment done against USD 2954.34 ASCENDAS PANVEL FTWZ PRIVATE LIMITED, Bank ref no.- 003MISC252530130 dated-10-09-2025.</t>
  </si>
  <si>
    <t>PS 7360436</t>
  </si>
  <si>
    <t>Outgoing Payments - VD0304,Being payment done against USD 4740.75 ASCENDAS PANVEL FTWZ PRIVATE LIMITED, Bank ref no.- 003MISC252530128 dated-10-09-2025.</t>
  </si>
  <si>
    <t>PS 7360437</t>
  </si>
  <si>
    <t>Outgoing Payments - VD0304,Being payment done against USD 5041.57  ASCENDAS PANVEL FTWZ PRIVATE LIMITED, Bank ref no.- 003MISC252590125 dated-16-09-2025.</t>
  </si>
  <si>
    <t>PS 7360438</t>
  </si>
  <si>
    <t>Outgoing Payments - VD0304,Being payment done against USD 3327.77  ASCENDAS PANVEL FTWZ PRIVATE LIMITED, Bank ref no.- 003MISC252590125 dated-16-09-2025.</t>
  </si>
  <si>
    <t>PU 7360239</t>
  </si>
  <si>
    <t>PU 7360240</t>
  </si>
  <si>
    <t>PU 7360241</t>
  </si>
  <si>
    <t>PU 7360242</t>
  </si>
  <si>
    <t>PU 7360243</t>
  </si>
  <si>
    <t>PU 7360244</t>
  </si>
  <si>
    <t>PU 7360245</t>
  </si>
  <si>
    <t>PU 7360246</t>
  </si>
  <si>
    <t>PU 7360248</t>
  </si>
  <si>
    <t>PU 7360251</t>
  </si>
  <si>
    <t>PU 7360252</t>
  </si>
  <si>
    <t>PU 7360253</t>
  </si>
  <si>
    <t>PU 7360254</t>
  </si>
  <si>
    <t>PU 7360255</t>
  </si>
  <si>
    <t>PU 7360256</t>
  </si>
  <si>
    <t>PU 7360257</t>
  </si>
  <si>
    <t>PU 7360258</t>
  </si>
  <si>
    <t>PU 7360259</t>
  </si>
  <si>
    <t>PU 7360260</t>
  </si>
  <si>
    <t>PU 7360261</t>
  </si>
  <si>
    <t>PU 7360262</t>
  </si>
  <si>
    <t>PU 7360263</t>
  </si>
  <si>
    <t>PU 7360264</t>
  </si>
  <si>
    <t>OB2526M</t>
  </si>
  <si>
    <t>PC 1002</t>
  </si>
  <si>
    <t>A/P Credit Memos - VD0304</t>
  </si>
  <si>
    <t>PC 1003</t>
  </si>
  <si>
    <t>PC 1004</t>
  </si>
  <si>
    <t>PC 1005</t>
  </si>
  <si>
    <t>PU 7360265</t>
  </si>
  <si>
    <t>PU 7360267</t>
  </si>
  <si>
    <t>PU 7360268</t>
  </si>
  <si>
    <t>PC 1006</t>
  </si>
  <si>
    <t>A/P Credit Memo - Cancellation - VD0304</t>
  </si>
  <si>
    <t>PC 1010</t>
  </si>
  <si>
    <t>PC 1011</t>
  </si>
  <si>
    <t>PC 1012</t>
  </si>
  <si>
    <t>PU 7360269</t>
  </si>
  <si>
    <t>Intra SEZ charges</t>
  </si>
  <si>
    <t>PU 7360270</t>
  </si>
  <si>
    <t>PU 7360271</t>
  </si>
  <si>
    <t>PU 7360273</t>
  </si>
  <si>
    <t>PU 7360274</t>
  </si>
  <si>
    <t>PU 7360275</t>
  </si>
  <si>
    <t>PU 7360276</t>
  </si>
  <si>
    <t>PC 1007</t>
  </si>
  <si>
    <t>PC 1008</t>
  </si>
  <si>
    <t>PC 1009</t>
  </si>
  <si>
    <t>PC 1013</t>
  </si>
  <si>
    <t>PC 1014</t>
  </si>
  <si>
    <t>PC 1015</t>
  </si>
  <si>
    <t>PS 7360566</t>
  </si>
  <si>
    <t>Outgoing Payments - VD0304,Being payment done against USD 1752.77 ASCENDAS PANVEL FTWZ PRIVATE LIMITED, Bank ref no.- 003MISC253020092 dated-29-10-2025.</t>
  </si>
  <si>
    <t>PU 7360293</t>
  </si>
  <si>
    <t>PU 7360294</t>
  </si>
  <si>
    <t>PU 7360295</t>
  </si>
  <si>
    <t>PU 7360296</t>
  </si>
  <si>
    <t>PU 7360297</t>
  </si>
  <si>
    <t>PS 7360581</t>
  </si>
  <si>
    <t>Outgoing Payments - VD0304,Being $1989.94 paid to ASCENDAS PANVEL FTWZ PRIVATE LIMITED  against bank ref. no.-003MISC253040153 dated-31-10-2025.</t>
  </si>
  <si>
    <t>PS 7360582</t>
  </si>
  <si>
    <t>Outgoing Payments - VD0304,Being $10502.1628 paid to ASCENDAS PANVEL FTWZ PRIVATE LIMITED  against bank ref. no.-003MISC253040148 dated-31-10-2025.</t>
  </si>
  <si>
    <t>PU 7360331</t>
  </si>
  <si>
    <t>PU 7360332</t>
  </si>
  <si>
    <t>PU 7360335</t>
  </si>
  <si>
    <t>PU 7360336</t>
  </si>
  <si>
    <t>PU 7360337</t>
  </si>
  <si>
    <t>PU 7360338</t>
  </si>
  <si>
    <t>PU 7360339</t>
  </si>
  <si>
    <t>PU 7360340</t>
  </si>
  <si>
    <t>PU 7360341</t>
  </si>
  <si>
    <t>PU 7360342</t>
  </si>
  <si>
    <t>PU 7360343</t>
  </si>
  <si>
    <t>PU 7360344</t>
  </si>
  <si>
    <t>PU 7360346</t>
  </si>
  <si>
    <t>PU 7360347</t>
  </si>
  <si>
    <t>PU 7360348</t>
  </si>
  <si>
    <t>PU 7360349</t>
  </si>
  <si>
    <t>PU 7360351</t>
  </si>
  <si>
    <t>PU 7360352</t>
  </si>
  <si>
    <t>PU 7360353</t>
  </si>
  <si>
    <t>PU 7360354</t>
  </si>
  <si>
    <t>PU 7360355</t>
  </si>
  <si>
    <t>PU 7360356</t>
  </si>
  <si>
    <t>PU 7360357</t>
  </si>
  <si>
    <t>PU 7360358</t>
  </si>
  <si>
    <t>PU 7360360</t>
  </si>
  <si>
    <t>PU 7360361</t>
  </si>
  <si>
    <t>PU 7360362</t>
  </si>
  <si>
    <t>PU 7360363</t>
  </si>
  <si>
    <t>PU 7360364</t>
  </si>
  <si>
    <t>PU 7360365</t>
  </si>
  <si>
    <t>PU 7360366</t>
  </si>
  <si>
    <t>PU 7360367</t>
  </si>
  <si>
    <t>PU 7360368</t>
  </si>
  <si>
    <t>PU 7360369</t>
  </si>
  <si>
    <t>PS 7360740</t>
  </si>
  <si>
    <t>Outgoing Payments - VD0304,Being $2328.2000 paid to ASCENDAS PANVEL FTWZ PRIVATE LIMITED  against bank ref. no.-003MISC253650039 dated-31-12-2025.</t>
  </si>
  <si>
    <t>Yes Bank (Dollar)</t>
  </si>
  <si>
    <t>JE 7362166</t>
  </si>
  <si>
    <t>Being debit note recieved from Ascendas Panvel FTWZ Private Limited against debit note no-256779421715 dated-14-08-2025.</t>
  </si>
  <si>
    <t>PU 7360391</t>
  </si>
  <si>
    <t>PU 7360392</t>
  </si>
  <si>
    <t>PU 7360393</t>
  </si>
  <si>
    <t>PU 7360394</t>
  </si>
  <si>
    <t>PU 7360395</t>
  </si>
  <si>
    <t>PU 7360396</t>
  </si>
  <si>
    <t>As per Customer</t>
  </si>
  <si>
    <t>Reconciliation of Ledger as on 31st January 2026</t>
  </si>
  <si>
    <t>Particulars</t>
  </si>
  <si>
    <t>Amount</t>
  </si>
  <si>
    <t>Add: TDS recorded by customer but not in our books</t>
  </si>
  <si>
    <t>Add: Invoices / CN not recorded in customer books</t>
  </si>
  <si>
    <t>Derived balance</t>
  </si>
  <si>
    <t>Balance as per Ascendus</t>
  </si>
  <si>
    <t>Difference</t>
  </si>
  <si>
    <t>Balance as per Shah TC Exim LLP</t>
  </si>
  <si>
    <t>Gross Amount</t>
  </si>
  <si>
    <t>Net Amount</t>
  </si>
  <si>
    <t>Rate</t>
  </si>
  <si>
    <t>As per Ascendus</t>
  </si>
  <si>
    <t>Diffrence</t>
  </si>
  <si>
    <t>(blank)</t>
  </si>
  <si>
    <t>Sum of Debit (FC)</t>
  </si>
  <si>
    <t>Sum of Credit (FC)</t>
  </si>
  <si>
    <t>vlookup</t>
  </si>
  <si>
    <t>USD Value</t>
  </si>
  <si>
    <t>Less: Invoices in Customers books and not in Ascendus books</t>
  </si>
  <si>
    <t>Sum of USD Value</t>
  </si>
  <si>
    <t>Additional TDS</t>
  </si>
  <si>
    <t xml:space="preserve"> </t>
  </si>
  <si>
    <t xml:space="preserve">Payment Date </t>
  </si>
  <si>
    <t>Currency</t>
  </si>
  <si>
    <t>Recd Amount</t>
  </si>
  <si>
    <t xml:space="preserve">UTR Details </t>
  </si>
  <si>
    <t>Clearing Document</t>
  </si>
  <si>
    <t>Document Header Text</t>
  </si>
  <si>
    <t>TDS</t>
  </si>
  <si>
    <t>Foreign Exchange Gain/Loss</t>
  </si>
  <si>
    <t>Remark</t>
  </si>
  <si>
    <t>2169049302JS</t>
  </si>
  <si>
    <t xml:space="preserve">Not Yet Cleared </t>
  </si>
  <si>
    <t>T54SWIC278972</t>
  </si>
  <si>
    <t>To Be Cleared</t>
  </si>
  <si>
    <t>2225660304JS</t>
  </si>
  <si>
    <t>T54SWIC279192</t>
  </si>
  <si>
    <t>4568362253FS</t>
  </si>
  <si>
    <t>8113643156FS</t>
  </si>
  <si>
    <t>9422978156FS</t>
  </si>
  <si>
    <t>1810304156FS</t>
  </si>
  <si>
    <t>T54SWIC264904</t>
  </si>
  <si>
    <t>1984476199FS</t>
  </si>
  <si>
    <t>T54SWIC268990</t>
  </si>
  <si>
    <t>4989824164FS</t>
  </si>
  <si>
    <t>0758767253FS</t>
  </si>
  <si>
    <t>0798436220FS</t>
  </si>
  <si>
    <t>5940256259FS</t>
  </si>
  <si>
    <t>2220942304JS</t>
  </si>
  <si>
    <t>T54SWIC279194</t>
  </si>
  <si>
    <t>1171852164FS</t>
  </si>
  <si>
    <t>Outgoing Payments - VD0304, Being Amount paid to ascendas against bank ref</t>
  </si>
  <si>
    <t>Outgoing Payments - VD0304,Being Amount paid to ascendas against bank ref</t>
  </si>
  <si>
    <t>Outgoing Payments - VD0304,Being payment done against USD 3798</t>
  </si>
  <si>
    <t>Outgoing Payments - VD0304,Being payment done against USD 1007</t>
  </si>
  <si>
    <t>Outgoing Payments - VD0304,Being payment done against USD 4800</t>
  </si>
  <si>
    <t>Outgoing Payments - VD0304,Being payment done against USD 2954</t>
  </si>
  <si>
    <t>Outgoing Payments - VD0304,Being payment done against USD 4740</t>
  </si>
  <si>
    <t>Outgoing Payments - VD0304,Being payment done against USD 5041</t>
  </si>
  <si>
    <t>Outgoing Payments - VD0304,Being payment done against USD 3327</t>
  </si>
  <si>
    <t>Outgoing Payments - VD0304,Being payment done against USD 1752</t>
  </si>
  <si>
    <t>Outgoing Payments - VD0304,Being $1989</t>
  </si>
  <si>
    <t>Outgoing Payments - VD0304,Being $10502</t>
  </si>
  <si>
    <t>Outgoing Payments - VD0304,Being $2328</t>
  </si>
  <si>
    <t>003MISC251560088</t>
  </si>
  <si>
    <t>003MISC251560102</t>
  </si>
  <si>
    <t>003MISC251560090</t>
  </si>
  <si>
    <t>003FT01251640051</t>
  </si>
  <si>
    <t>003FT01251640038</t>
  </si>
  <si>
    <t>003MISC251990131</t>
  </si>
  <si>
    <t>003MISC252190104</t>
  </si>
  <si>
    <t>003MISC252200121</t>
  </si>
  <si>
    <t>003MISC252530130</t>
  </si>
  <si>
    <t>003MISC252530128</t>
  </si>
  <si>
    <t>003MISC252590125</t>
  </si>
  <si>
    <t>003MISC253020092</t>
  </si>
  <si>
    <t>003MISC253040153</t>
  </si>
  <si>
    <t>003MISC253040148</t>
  </si>
  <si>
    <t>003MISC253650039</t>
  </si>
  <si>
    <t>Ref No</t>
  </si>
  <si>
    <t>Bank Charges</t>
  </si>
  <si>
    <t>Add: Bank Charges and Foreign Exchange gain/loss</t>
  </si>
  <si>
    <t>Less: Invoices under recorded in Ascendus books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</si>
  <si>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</si>
  <si>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</si>
  <si>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</si>
  <si>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</si>
  <si>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</si>
  <si>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</si>
  <si>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</si>
  <si>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Entry Date</t>
  </si>
  <si>
    <t>G/L Account</t>
  </si>
  <si>
    <t>G/L Account: Short Text</t>
  </si>
  <si>
    <t>Special G/L Ind.</t>
  </si>
  <si>
    <t>Posting Key</t>
  </si>
  <si>
    <t>Tax Code</t>
  </si>
  <si>
    <t>Profit Center</t>
  </si>
  <si>
    <t>Trading Partner No.</t>
  </si>
  <si>
    <t>Assignment</t>
  </si>
  <si>
    <t>Item</t>
  </si>
  <si>
    <t>Reference Key 1</t>
  </si>
  <si>
    <t>Reference Key 2</t>
  </si>
  <si>
    <t>Reference Key 3</t>
  </si>
  <si>
    <t>Baseline Payment Dte</t>
  </si>
  <si>
    <t>Clearing Date</t>
  </si>
  <si>
    <t>Selected</t>
  </si>
  <si>
    <t>6779</t>
  </si>
  <si>
    <t>100222372</t>
  </si>
  <si>
    <t>SHAH TC GLOBAL EXIM LLP</t>
  </si>
  <si>
    <t>9</t>
  </si>
  <si>
    <t>212100</t>
  </si>
  <si>
    <t>Trade Debtors (Ctrl)</t>
  </si>
  <si>
    <t>08</t>
  </si>
  <si>
    <t>6779224500</t>
  </si>
  <si>
    <t>1</t>
  </si>
  <si>
    <t>15</t>
  </si>
  <si>
    <t>2</t>
  </si>
  <si>
    <t>8</t>
  </si>
  <si>
    <t>4</t>
  </si>
  <si>
    <t>Not Selected</t>
  </si>
  <si>
    <t>10</t>
  </si>
  <si>
    <t>6779220000</t>
  </si>
  <si>
    <t>7</t>
  </si>
  <si>
    <t>05</t>
  </si>
  <si>
    <t>3</t>
  </si>
  <si>
    <t>11</t>
  </si>
  <si>
    <t>NA</t>
  </si>
  <si>
    <t>5</t>
  </si>
  <si>
    <t>01</t>
  </si>
  <si>
    <t>O0</t>
  </si>
  <si>
    <t>2097261</t>
  </si>
  <si>
    <t>2123158</t>
  </si>
  <si>
    <t>12</t>
  </si>
  <si>
    <t>2139804</t>
  </si>
  <si>
    <t>6</t>
  </si>
  <si>
    <t>2102531</t>
  </si>
  <si>
    <t>2110802</t>
  </si>
  <si>
    <t>2112591</t>
  </si>
  <si>
    <t>2117487</t>
  </si>
  <si>
    <t>1600002155</t>
  </si>
  <si>
    <t>1800012562</t>
  </si>
  <si>
    <t>2096996</t>
  </si>
  <si>
    <t>2100473</t>
  </si>
  <si>
    <t>2123387</t>
  </si>
  <si>
    <t>2123390</t>
  </si>
  <si>
    <t>1800014634</t>
  </si>
  <si>
    <t>2123404</t>
  </si>
  <si>
    <t>2123410</t>
  </si>
  <si>
    <t>2123415</t>
  </si>
  <si>
    <t>2123630</t>
  </si>
  <si>
    <t>1800011832</t>
  </si>
  <si>
    <t>1800011864</t>
  </si>
  <si>
    <t>1800008549</t>
  </si>
  <si>
    <t>1800008594</t>
  </si>
  <si>
    <t>1800000282</t>
  </si>
  <si>
    <t>1800012185</t>
  </si>
  <si>
    <t>1800012249</t>
  </si>
  <si>
    <t>1800012217</t>
  </si>
  <si>
    <t>2104190</t>
  </si>
  <si>
    <t>1800008723</t>
  </si>
  <si>
    <t>O2</t>
  </si>
  <si>
    <t>1800014014</t>
  </si>
  <si>
    <t>2114877</t>
  </si>
  <si>
    <t>2114880</t>
  </si>
  <si>
    <t>2114881</t>
  </si>
  <si>
    <t>2114883</t>
  </si>
  <si>
    <t>2104588</t>
  </si>
  <si>
    <t>1800015045</t>
  </si>
  <si>
    <t>2130610</t>
  </si>
  <si>
    <t>2130611</t>
  </si>
  <si>
    <t>2130612</t>
  </si>
  <si>
    <t>2102479</t>
  </si>
  <si>
    <t>1800012872</t>
  </si>
  <si>
    <t>2102476</t>
  </si>
  <si>
    <t>2102483</t>
  </si>
  <si>
    <t>2102480</t>
  </si>
  <si>
    <t>1800015347</t>
  </si>
  <si>
    <t>2140068</t>
  </si>
  <si>
    <t>2140088</t>
  </si>
  <si>
    <t>2140456</t>
  </si>
  <si>
    <t>2140458</t>
  </si>
  <si>
    <t>2110511</t>
  </si>
  <si>
    <t>2110493</t>
  </si>
  <si>
    <t>2110503</t>
  </si>
  <si>
    <t>2110981</t>
  </si>
  <si>
    <t>2139799</t>
  </si>
  <si>
    <t>1800015802</t>
  </si>
  <si>
    <t>2156176</t>
  </si>
  <si>
    <t>2156419</t>
  </si>
  <si>
    <t>2110507</t>
  </si>
  <si>
    <t>2110504</t>
  </si>
  <si>
    <t>1800013479</t>
  </si>
  <si>
    <t>2110489</t>
  </si>
  <si>
    <t>2158392</t>
  </si>
  <si>
    <t>2158404</t>
  </si>
  <si>
    <t>2158406</t>
  </si>
  <si>
    <t>2158636</t>
  </si>
  <si>
    <t>2158669</t>
  </si>
  <si>
    <t>2159214</t>
  </si>
  <si>
    <t>2163135</t>
  </si>
  <si>
    <t>2163146</t>
  </si>
  <si>
    <t>2163152</t>
  </si>
  <si>
    <t>2163426</t>
  </si>
  <si>
    <t>2168972</t>
  </si>
  <si>
    <t>2168973</t>
  </si>
  <si>
    <t>1400002625</t>
  </si>
  <si>
    <t>003MISC260310029</t>
  </si>
  <si>
    <t>1800017437</t>
  </si>
  <si>
    <t>2172703</t>
  </si>
  <si>
    <t>Fixed Storage Charges for February 2026</t>
  </si>
  <si>
    <t>1800017438</t>
  </si>
  <si>
    <t>Fixed Mangement FEE for February 2026</t>
  </si>
  <si>
    <t>1800017693</t>
  </si>
  <si>
    <t>2173091</t>
  </si>
  <si>
    <t>CY Ground rent Chgs - 16 - 31 Jan 26</t>
  </si>
  <si>
    <t>1800017631</t>
  </si>
  <si>
    <t>2173096</t>
  </si>
  <si>
    <t>6779224501</t>
  </si>
  <si>
    <t>Outbound chgs - 16 - 31 JAN 26</t>
  </si>
  <si>
    <t>1800017759</t>
  </si>
  <si>
    <t>2173092</t>
  </si>
  <si>
    <t>Empty Lolo Chgs - 01 - 31 JAN 26</t>
  </si>
  <si>
    <t>1800017726</t>
  </si>
  <si>
    <t>2173095</t>
  </si>
  <si>
    <t>LCL Chgs - 16 - 31 JAN 26</t>
  </si>
  <si>
    <t>1400002758</t>
  </si>
  <si>
    <t>1400002762</t>
  </si>
  <si>
    <t>T54SWIC264896</t>
  </si>
  <si>
    <t>1800017913</t>
  </si>
  <si>
    <t>2175414</t>
  </si>
  <si>
    <t>CY Ground rent Chgs - 01 - 15 Feb 26</t>
  </si>
  <si>
    <t>1800017905</t>
  </si>
  <si>
    <t>2175417</t>
  </si>
  <si>
    <t>Transportation In Chgs - 01 - 15 Feb 26</t>
  </si>
  <si>
    <t>1800018015</t>
  </si>
  <si>
    <t>2175421</t>
  </si>
  <si>
    <t>Scanning  Chgs - 01 - 15 Feb 26</t>
  </si>
  <si>
    <t>1800018024</t>
  </si>
  <si>
    <t>2175463</t>
  </si>
  <si>
    <t>SEZ-INTRA-1-15 Feb 2026</t>
  </si>
  <si>
    <t>1800018056</t>
  </si>
  <si>
    <t>VAS-1-15 Feb 2026</t>
  </si>
  <si>
    <t>1800018101</t>
  </si>
  <si>
    <t>2175423</t>
  </si>
  <si>
    <t>Transportation In Chgs - 01 - 15 FEB 26</t>
  </si>
  <si>
    <t>1800018149</t>
  </si>
  <si>
    <t>2175570</t>
  </si>
  <si>
    <t>Outbound chgs - 01 - 15 FEB 26</t>
  </si>
  <si>
    <t>1400002859</t>
  </si>
  <si>
    <t>2123409</t>
  </si>
  <si>
    <t>1400002864</t>
  </si>
  <si>
    <t>T54SWIC291025</t>
  </si>
  <si>
    <t>1800018261</t>
  </si>
  <si>
    <t>2184076</t>
  </si>
  <si>
    <t>Fixed Storage Charges for March 2026</t>
  </si>
  <si>
    <t>1800018262</t>
  </si>
  <si>
    <t>Fixed Mangement FEE for March 2026</t>
  </si>
  <si>
    <t>1800018324</t>
  </si>
  <si>
    <t>2184226</t>
  </si>
  <si>
    <t>Transportation In Chgs - 16 - 28 FEB 26</t>
  </si>
  <si>
    <t>1800018456</t>
  </si>
  <si>
    <t>2184502</t>
  </si>
  <si>
    <t>Unit Storage 1-28 Feb 2026</t>
  </si>
  <si>
    <t>1800018594</t>
  </si>
  <si>
    <t>2185684</t>
  </si>
  <si>
    <t>CY Ground rent Chgs - 16 - 28 Feb 26</t>
  </si>
  <si>
    <t>1800018601</t>
  </si>
  <si>
    <t>2185685</t>
  </si>
  <si>
    <t>Transportation In Chgs -16 - 28 Feb 26</t>
  </si>
  <si>
    <t>1800018629</t>
  </si>
  <si>
    <t>2185688</t>
  </si>
  <si>
    <t>Empty Lolo Chgs - 01 - 28 FEB 26</t>
  </si>
  <si>
    <t>1800018710</t>
  </si>
  <si>
    <t>2185692</t>
  </si>
  <si>
    <t>PORT SSR Chgs FEB 26</t>
  </si>
  <si>
    <t>1800018765</t>
  </si>
  <si>
    <t>2185928</t>
  </si>
  <si>
    <t>1800018748</t>
  </si>
  <si>
    <t>2185946</t>
  </si>
  <si>
    <t>Outbound chgs - 16 - 28 FEB 26</t>
  </si>
  <si>
    <t>1600002946</t>
  </si>
  <si>
    <t>2186848</t>
  </si>
  <si>
    <t>CN against Duplicate - 256779452463</t>
  </si>
  <si>
    <t>1800018846</t>
  </si>
  <si>
    <t>2189915</t>
  </si>
  <si>
    <t>Scanning  Chgs - 01 - 15 Mar 26</t>
  </si>
  <si>
    <t>1800019013</t>
  </si>
  <si>
    <t>2190160</t>
  </si>
  <si>
    <t>VAS-1-15 March 2026</t>
  </si>
  <si>
    <t>1400002974</t>
  </si>
  <si>
    <t>T54SWIC293023</t>
  </si>
  <si>
    <t>1800019038</t>
  </si>
  <si>
    <t>CY Ground rent Chgs - 01 - 15 Mar 26</t>
  </si>
  <si>
    <t>1800019070</t>
  </si>
  <si>
    <t>Transportation In Chgs - 01 - 15 MAR 26</t>
  </si>
  <si>
    <t>1800019076</t>
  </si>
  <si>
    <t>1800019108</t>
  </si>
  <si>
    <t>Outbound chgs - 01 - 15 MAR 26</t>
  </si>
  <si>
    <t>1600002969</t>
  </si>
  <si>
    <t>2191936</t>
  </si>
  <si>
    <t>CN against Duplicate - 256779452815</t>
  </si>
  <si>
    <t>)</t>
  </si>
  <si>
    <t>&gt;&gt; to be knocked against Payment</t>
  </si>
  <si>
    <t>&gt;&gt; to be confirmed by customer</t>
  </si>
  <si>
    <t>&gt;&gt; to be confirmed by CL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</si>
</sst>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43" fontId="0" fillId="0" borderId="0" xfId="1" applyFont="1"/>
    <xf numFmtId="0" fontId="2" fillId="0" borderId="0" xfId="0" applyFont="1" applyAlignment="1">
      <alignment vertical="top"/>
    </xf>
    <xf numFmtId="43" fontId="0" fillId="0" borderId="0" xfId="0" applyNumberFormat="1"/>
    <xf numFmtId="43" fontId="0" fillId="0" borderId="0" xfId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3" fontId="0" fillId="3" borderId="1" xfId="1" applyFont="1" applyFill="1" applyBorder="1" applyAlignment="1">
      <alignment vertical="top"/>
    </xf>
    <xf numFmtId="164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vertical="top"/>
    </xf>
    <xf numFmtId="0" fontId="0" fillId="0" borderId="1" xfId="0" applyBorder="1"/>
    <xf numFmtId="164" fontId="0" fillId="0" borderId="1" xfId="1" applyNumberFormat="1" applyFont="1" applyBorder="1"/>
    <xf numFmtId="164" fontId="0" fillId="2" borderId="1" xfId="1" applyNumberFormat="1" applyFont="1" applyFill="1" applyBorder="1" applyAlignment="1">
      <alignment vertical="top" wrapText="1"/>
    </xf>
    <xf numFmtId="164" fontId="0" fillId="0" borderId="0" xfId="1" applyNumberFormat="1" applyFont="1" applyAlignment="1">
      <alignment horizontal="righ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9" fontId="0" fillId="0" borderId="0" xfId="2" applyFont="1"/>
    <xf numFmtId="10" fontId="0" fillId="0" borderId="0" xfId="0" applyNumberFormat="1"/>
    <xf numFmtId="3" fontId="0" fillId="0" borderId="0" xfId="0" applyNumberFormat="1"/>
    <xf numFmtId="14" fontId="0" fillId="7" borderId="11" xfId="0" applyNumberFormat="1" applyFill="1" applyBorder="1"/>
    <xf numFmtId="0" fontId="0" fillId="7" borderId="1" xfId="0" applyFill="1" applyBorder="1"/>
    <xf numFmtId="14" fontId="0" fillId="7" borderId="12" xfId="0" applyNumberFormat="1" applyFill="1" applyBorder="1"/>
    <xf numFmtId="0" fontId="0" fillId="7" borderId="13" xfId="0" applyFill="1" applyBorder="1"/>
    <xf numFmtId="164" fontId="0" fillId="2" borderId="2" xfId="1" applyNumberFormat="1" applyFont="1" applyFill="1" applyBorder="1" applyAlignment="1">
      <alignment vertical="top" wrapText="1"/>
    </xf>
    <xf numFmtId="0" fontId="2" fillId="0" borderId="1" xfId="0" applyFont="1" applyBorder="1"/>
    <xf numFmtId="1" fontId="0" fillId="0" borderId="1" xfId="0" applyNumberFormat="1" applyBorder="1"/>
    <xf numFmtId="14" fontId="0" fillId="0" borderId="1" xfId="0" applyNumberFormat="1" applyBorder="1"/>
    <xf numFmtId="14" fontId="0" fillId="5" borderId="1" xfId="0" applyNumberFormat="1" applyFill="1" applyBorder="1"/>
    <xf numFmtId="0" fontId="2" fillId="5" borderId="1" xfId="0" applyFont="1" applyFill="1" applyBorder="1"/>
    <xf numFmtId="43" fontId="0" fillId="0" borderId="1" xfId="1" applyFont="1" applyBorder="1"/>
    <xf numFmtId="43" fontId="0" fillId="0" borderId="1" xfId="0" applyNumberFormat="1" applyBorder="1"/>
    <xf numFmtId="1" fontId="0" fillId="6" borderId="1" xfId="0" applyNumberFormat="1" applyFill="1" applyBorder="1"/>
    <xf numFmtId="0" fontId="0" fillId="0" borderId="0" xfId="0" applyFill="1" applyBorder="1"/>
    <xf numFmtId="9" fontId="0" fillId="0" borderId="1" xfId="2" applyFont="1" applyBorder="1"/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  <xf numFmtId="9" fontId="0" fillId="2" borderId="1" xfId="2" applyFont="1" applyFill="1" applyBorder="1" applyAlignment="1">
      <alignment vertical="top" wrapText="1"/>
    </xf>
    <xf numFmtId="9" fontId="0" fillId="0" borderId="1" xfId="2" applyFont="1" applyBorder="1" applyAlignment="1">
      <alignment horizontal="right" vertical="top"/>
    </xf>
    <xf numFmtId="9" fontId="0" fillId="0" borderId="1" xfId="2" applyFont="1" applyFill="1" applyBorder="1" applyAlignment="1">
      <alignment horizontal="right" vertical="top"/>
    </xf>
    <xf numFmtId="9" fontId="0" fillId="0" borderId="0" xfId="2" applyFont="1" applyAlignment="1">
      <alignment horizontal="right" vertical="top"/>
    </xf>
    <xf numFmtId="9" fontId="0" fillId="3" borderId="1" xfId="2" applyFont="1" applyFill="1" applyBorder="1" applyAlignment="1">
      <alignment horizontal="right" vertical="top"/>
    </xf>
    <xf numFmtId="9" fontId="0" fillId="4" borderId="1" xfId="2" applyFont="1" applyFill="1" applyBorder="1" applyAlignment="1">
      <alignment horizontal="right" vertical="top"/>
    </xf>
    <xf numFmtId="14" fontId="0" fillId="7" borderId="21" xfId="0" applyNumberFormat="1" applyFill="1" applyBorder="1"/>
    <xf numFmtId="0" fontId="0" fillId="7" borderId="14" xfId="0" applyFill="1" applyBorder="1"/>
    <xf numFmtId="0" fontId="2" fillId="7" borderId="23" xfId="0" applyFont="1" applyFill="1" applyBorder="1"/>
    <xf numFmtId="0" fontId="2" fillId="7" borderId="24" xfId="0" applyFont="1" applyFill="1" applyBorder="1"/>
    <xf numFmtId="14" fontId="0" fillId="8" borderId="14" xfId="0" applyNumberFormat="1" applyFill="1" applyBorder="1" applyAlignment="1">
      <alignment horizontal="right" vertical="top"/>
    </xf>
    <xf numFmtId="0" fontId="0" fillId="8" borderId="14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14" fontId="0" fillId="8" borderId="1" xfId="0" applyNumberFormat="1" applyFill="1" applyBorder="1" applyAlignment="1">
      <alignment horizontal="right" vertical="top"/>
    </xf>
    <xf numFmtId="0" fontId="0" fillId="8" borderId="1" xfId="0" applyFill="1" applyBorder="1" applyAlignment="1">
      <alignment vertical="top"/>
    </xf>
    <xf numFmtId="0" fontId="2" fillId="8" borderId="24" xfId="0" applyFont="1" applyFill="1" applyBorder="1" applyAlignment="1">
      <alignment vertical="top" wrapText="1"/>
    </xf>
    <xf numFmtId="4" fontId="0" fillId="10" borderId="1" xfId="0" applyNumberFormat="1" applyFill="1" applyBorder="1" applyAlignment="1">
      <alignment horizontal="right" vertical="top"/>
    </xf>
    <xf numFmtId="4" fontId="0" fillId="0" borderId="0" xfId="0" applyNumberFormat="1"/>
    <xf numFmtId="1" fontId="0" fillId="5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43" fontId="0" fillId="5" borderId="1" xfId="0" applyNumberFormat="1" applyFill="1" applyBorder="1"/>
    <xf numFmtId="0" fontId="0" fillId="5" borderId="0" xfId="0" applyFill="1"/>
    <xf numFmtId="1" fontId="0" fillId="0" borderId="1" xfId="0" applyNumberFormat="1" applyFill="1" applyBorder="1"/>
    <xf numFmtId="14" fontId="0" fillId="0" borderId="1" xfId="0" applyNumberFormat="1" applyFill="1" applyBorder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" fontId="0" fillId="8" borderId="22" xfId="0" applyNumberFormat="1" applyFill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10" fontId="0" fillId="0" borderId="1" xfId="0" applyNumberFormat="1" applyBorder="1"/>
    <xf numFmtId="4" fontId="0" fillId="0" borderId="1" xfId="0" applyNumberFormat="1" applyBorder="1"/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9" fontId="0" fillId="0" borderId="1" xfId="2" applyFont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43" fontId="2" fillId="0" borderId="1" xfId="1" applyFont="1" applyBorder="1"/>
    <xf numFmtId="1" fontId="0" fillId="0" borderId="0" xfId="0" applyNumberFormat="1" applyFill="1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4" fontId="0" fillId="2" borderId="1" xfId="1" applyNumberFormat="1" applyFont="1" applyFill="1" applyBorder="1" applyAlignment="1">
      <alignment horizontal="center" vertical="top" wrapText="1"/>
    </xf>
    <xf numFmtId="9" fontId="0" fillId="2" borderId="1" xfId="2" applyFont="1" applyFill="1" applyBorder="1" applyAlignment="1">
      <alignment horizontal="center" vertical="top" wrapText="1"/>
    </xf>
    <xf numFmtId="0" fontId="2" fillId="7" borderId="26" xfId="0" applyFont="1" applyFill="1" applyBorder="1"/>
    <xf numFmtId="43" fontId="0" fillId="7" borderId="27" xfId="1" applyFont="1" applyFill="1" applyBorder="1"/>
    <xf numFmtId="43" fontId="0" fillId="7" borderId="25" xfId="1" applyFont="1" applyFill="1" applyBorder="1"/>
    <xf numFmtId="43" fontId="0" fillId="7" borderId="28" xfId="1" applyFont="1" applyFill="1" applyBorder="1"/>
    <xf numFmtId="0" fontId="0" fillId="9" borderId="29" xfId="0" applyFill="1" applyBorder="1"/>
    <xf numFmtId="0" fontId="2" fillId="9" borderId="4" xfId="0" applyFont="1" applyFill="1" applyBorder="1" applyAlignment="1">
      <alignment vertical="top" wrapText="1"/>
    </xf>
    <xf numFmtId="0" fontId="0" fillId="9" borderId="30" xfId="0" applyFill="1" applyBorder="1" applyAlignment="1">
      <alignment wrapText="1"/>
    </xf>
    <xf numFmtId="0" fontId="0" fillId="9" borderId="31" xfId="0" applyFill="1" applyBorder="1" applyAlignment="1">
      <alignment wrapText="1"/>
    </xf>
    <xf numFmtId="0" fontId="0" fillId="9" borderId="31" xfId="0" applyFill="1" applyBorder="1"/>
    <xf numFmtId="0" fontId="0" fillId="9" borderId="32" xfId="0" applyFill="1" applyBorder="1"/>
    <xf numFmtId="0" fontId="2" fillId="8" borderId="23" xfId="0" applyFont="1" applyFill="1" applyBorder="1" applyAlignment="1">
      <alignment vertical="top" wrapText="1"/>
    </xf>
    <xf numFmtId="0" fontId="0" fillId="8" borderId="21" xfId="0" applyFill="1" applyBorder="1" applyAlignment="1">
      <alignment vertical="top"/>
    </xf>
    <xf numFmtId="0" fontId="0" fillId="8" borderId="11" xfId="0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12" xfId="0" applyBorder="1"/>
    <xf numFmtId="0" fontId="0" fillId="0" borderId="13" xfId="0" applyBorder="1"/>
    <xf numFmtId="0" fontId="2" fillId="5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43" fontId="2" fillId="11" borderId="1" xfId="1" applyFont="1" applyFill="1" applyBorder="1" applyAlignment="1">
      <alignment horizontal="left" vertical="center" wrapText="1"/>
    </xf>
    <xf numFmtId="43" fontId="2" fillId="1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3" fontId="0" fillId="0" borderId="1" xfId="1" applyFont="1" applyBorder="1" applyAlignment="1">
      <alignment horizontal="left" vertical="center" wrapText="1"/>
    </xf>
    <xf numFmtId="43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43" fontId="2" fillId="0" borderId="1" xfId="1" applyFont="1" applyBorder="1" applyAlignment="1">
      <alignment horizontal="left" vertical="center" wrapText="1"/>
    </xf>
    <xf numFmtId="43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3" fontId="0" fillId="0" borderId="0" xfId="0" applyNumberFormat="1" applyAlignment="1">
      <alignment horizontal="left" vertical="center" wrapText="1"/>
    </xf>
    <xf numFmtId="43" fontId="0" fillId="0" borderId="0" xfId="1" applyFont="1" applyAlignment="1">
      <alignment horizontal="left" vertical="center" wrapText="1"/>
    </xf>
    <xf numFmtId="164" fontId="0" fillId="0" borderId="1" xfId="1" applyNumberFormat="1" applyFont="1" applyFill="1" applyBorder="1"/>
    <xf numFmtId="164" fontId="2" fillId="0" borderId="1" xfId="0" applyNumberFormat="1" applyFont="1" applyBorder="1" applyAlignment="1">
      <alignment horizontal="left" vertical="center" wrapText="1"/>
    </xf>
    <xf numFmtId="43" fontId="0" fillId="0" borderId="1" xfId="1" applyFont="1" applyFill="1" applyBorder="1"/>
    <xf numFmtId="0" fontId="2" fillId="8" borderId="1" xfId="0" applyFont="1" applyFill="1" applyBorder="1" applyAlignment="1">
      <alignment horizontal="left" vertical="center"/>
    </xf>
    <xf numFmtId="165" fontId="0" fillId="0" borderId="0" xfId="1" applyNumberFormat="1" applyFont="1" applyAlignment="1">
      <alignment horizontal="left" vertical="center" wrapText="1"/>
    </xf>
    <xf numFmtId="43" fontId="3" fillId="0" borderId="5" xfId="1" applyFont="1" applyBorder="1" applyAlignment="1"/>
    <xf numFmtId="43" fontId="3" fillId="0" borderId="3" xfId="1" applyFont="1" applyBorder="1" applyAlignment="1"/>
    <xf numFmtId="43" fontId="4" fillId="0" borderId="6" xfId="1" applyFont="1" applyBorder="1" applyAlignment="1"/>
    <xf numFmtId="43" fontId="4" fillId="0" borderId="7" xfId="1" applyFont="1" applyBorder="1" applyAlignment="1"/>
    <xf numFmtId="43" fontId="4" fillId="0" borderId="8" xfId="1" applyFont="1" applyBorder="1" applyAlignment="1"/>
    <xf numFmtId="43" fontId="4" fillId="0" borderId="9" xfId="1" applyFont="1" applyBorder="1" applyAlignment="1"/>
    <xf numFmtId="43" fontId="4" fillId="0" borderId="10" xfId="1" applyFont="1" applyBorder="1" applyAlignment="1"/>
    <xf numFmtId="0" fontId="0" fillId="0" borderId="0" xfId="0" applyBorder="1"/>
    <xf numFmtId="0" fontId="0" fillId="2" borderId="25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 wrapText="1"/>
    </xf>
    <xf numFmtId="0" fontId="2" fillId="8" borderId="20" xfId="0" applyFont="1" applyFill="1" applyBorder="1" applyAlignment="1">
      <alignment horizontal="center" wrapText="1"/>
    </xf>
  </cellXfs>
  <cellStyles count="6">
    <cellStyle name="Comma" xfId="1" builtinId="3"/>
    <cellStyle name="Comma 2" xfId="4" xr:uid="{FE72C535-1054-42D4-816E-46BB82E9BBD2}"/>
    <cellStyle name="Comma 3" xfId="5" xr:uid="{FF6524EC-7277-4C0B-87B8-932E91A71F2A}"/>
    <cellStyle name="Normal" xfId="0" builtinId="0"/>
    <cellStyle name="Normal 2" xfId="3" xr:uid="{D6771993-965D-4824-AB2E-5FBFE8F57D6B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80.573090162034" createdVersion="7" refreshedVersion="7" minRefreshableVersion="3" recordCount="315" xr:uid="{933BDFAC-1B4F-467C-9C4E-ACAA8C5AEF2A}">
  <cacheSource type="worksheet">
    <worksheetSource ref="A2:O317" sheet="Ascendus Data"/>
  </cacheSource>
  <cacheFields count="17">
    <cacheField name="Document Number" numFmtId="0">
      <sharedItems/>
    </cacheField>
    <cacheField name="Document Type" numFmtId="0">
      <sharedItems count="4">
        <s v="DY"/>
        <s v="DZ"/>
        <s v="DR"/>
        <s v="DG"/>
      </sharedItems>
    </cacheField>
    <cacheField name="Document Date" numFmtId="14">
      <sharedItems containsSemiMixedTypes="0" containsNonDate="0" containsDate="1" containsString="0" minDate="2025-02-19T00:00:00" maxDate="2026-02-03T00:00:00" count="73">
        <d v="2025-09-02T00:00:00"/>
        <d v="2025-08-18T00:00:00"/>
        <d v="2025-10-01T00:00:00"/>
        <d v="2025-08-21T00:00:00"/>
        <d v="2025-06-24T00:00:00"/>
        <d v="2025-08-19T00:00:00"/>
        <d v="2025-09-24T00:00:00"/>
        <d v="2025-11-03T00:00:00"/>
        <d v="2025-11-11T00:00:00"/>
        <d v="2025-07-04T00:00:00"/>
        <d v="2025-05-10T00:00:00"/>
        <d v="2025-06-10T00:00:00"/>
        <d v="2025-08-01T00:00:00"/>
        <d v="2025-09-04T00:00:00"/>
        <d v="2025-11-05T00:00:00"/>
        <d v="2025-12-04T00:00:00"/>
        <d v="2025-08-14T00:00:00"/>
        <d v="2025-03-17T00:00:00"/>
        <d v="2025-05-20T00:00:00"/>
        <d v="2025-07-25T00:00:00"/>
        <d v="2025-03-14T00:00:00"/>
        <d v="2025-06-19T00:00:00"/>
        <d v="2025-09-17T00:00:00"/>
        <d v="2025-10-07T00:00:00"/>
        <d v="2025-02-28T00:00:00"/>
        <d v="2025-03-06T00:00:00"/>
        <d v="2025-10-13T00:00:00"/>
        <d v="2025-03-03T00:00:00"/>
        <d v="2025-04-15T00:00:00"/>
        <d v="2025-10-17T00:00:00"/>
        <d v="2025-04-16T00:00:00"/>
        <d v="2025-02-25T00:00:00"/>
        <d v="2025-08-08T00:00:00"/>
        <d v="2025-06-04T00:00:00"/>
        <d v="2025-05-14T00:00:00"/>
        <d v="2025-05-16T00:00:00"/>
        <d v="2025-05-28T00:00:00"/>
        <d v="2025-07-18T00:00:00"/>
        <d v="2025-03-13T00:00:00"/>
        <d v="2025-03-20T00:00:00"/>
        <d v="2025-02-20T00:00:00"/>
        <d v="2025-08-20T00:00:00"/>
        <d v="2025-02-19T00:00:00"/>
        <d v="2025-09-23T00:00:00"/>
        <d v="2025-06-13T00:00:00"/>
        <d v="2025-08-04T00:00:00"/>
        <d v="2025-04-03T00:00:00"/>
        <d v="2025-10-20T00:00:00"/>
        <d v="2025-04-21T00:00:00"/>
        <d v="2025-07-24T00:00:00"/>
        <d v="2025-06-18T00:00:00"/>
        <d v="2025-03-19T00:00:00"/>
        <d v="2025-11-20T00:00:00"/>
        <d v="2025-04-22T00:00:00"/>
        <d v="2025-09-18T00:00:00"/>
        <d v="2025-12-05T00:00:00"/>
        <d v="2025-04-23T00:00:00"/>
        <d v="2025-03-21T00:00:00"/>
        <d v="2025-12-06T00:00:00"/>
        <d v="2025-06-07T00:00:00"/>
        <d v="2025-10-06T00:00:00"/>
        <d v="2025-10-05T00:00:00"/>
        <d v="2025-09-06T00:00:00"/>
        <d v="2026-01-02T00:00:00"/>
        <d v="2026-01-05T00:00:00"/>
        <d v="2026-01-07T00:00:00"/>
        <d v="2026-01-12T00:00:00"/>
        <d v="2026-01-06T00:00:00"/>
        <d v="2026-01-13T00:00:00"/>
        <d v="2026-01-22T00:00:00"/>
        <d v="2026-01-23T00:00:00"/>
        <d v="2026-01-27T00:00:00"/>
        <d v="2026-02-02T00:00:00"/>
      </sharedItems>
      <fieldGroup par="16" base="2">
        <rangePr groupBy="months" startDate="2025-02-19T00:00:00" endDate="2026-02-03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2-2026"/>
        </groupItems>
      </fieldGroup>
    </cacheField>
    <cacheField name="Reference" numFmtId="0">
      <sharedItems containsMixedTypes="1" containsNumber="1" containsInteger="1" minValue="246779410009" maxValue="256779440457"/>
    </cacheField>
    <cacheField name="Document Currency Key" numFmtId="0">
      <sharedItems/>
    </cacheField>
    <cacheField name="Document Currency Value" numFmtId="4">
      <sharedItems containsSemiMixedTypes="0" containsString="0" containsNumber="1" minValue="-603848.88" maxValue="603848.88"/>
    </cacheField>
    <cacheField name="USD Value" numFmtId="4">
      <sharedItems containsSemiMixedTypes="0" containsString="0" containsNumber="1" minValue="-12549.36" maxValue="6940.7917241379309"/>
    </cacheField>
    <cacheField name="Company Code Currency Key" numFmtId="0">
      <sharedItems/>
    </cacheField>
    <cacheField name="Company Code Currency Value" numFmtId="0">
      <sharedItems containsSemiMixedTypes="0" containsString="0" containsNumber="1" minValue="-920133.52" maxValue="595243.31000000006"/>
    </cacheField>
    <cacheField name="Vlookup" numFmtId="4">
      <sharedItems containsMixedTypes="1" containsNumber="1" minValue="0" maxValue="2092.2930000000001"/>
    </cacheField>
    <cacheField name="Gross Amount" numFmtId="0">
      <sharedItems containsString="0" containsBlank="1" containsNumber="1" minValue="0" maxValue="2723.24"/>
    </cacheField>
    <cacheField name="Net Amount" numFmtId="0">
      <sharedItems containsString="0" containsBlank="1" containsNumber="1" minValue="0" maxValue="2723.24"/>
    </cacheField>
    <cacheField name="Diffrence" numFmtId="0">
      <sharedItems containsString="0" containsBlank="1" containsNumber="1" minValue="-1041.7648000000002" maxValue="945.75"/>
    </cacheField>
    <cacheField name="Rate" numFmtId="9">
      <sharedItems containsString="0" containsBlank="1" containsNumber="1" minValue="-2.5514065293526982" maxValue="1"/>
    </cacheField>
    <cacheField name="Text" numFmtId="0">
      <sharedItems/>
    </cacheField>
    <cacheField name="Quarters" numFmtId="0" databaseField="0">
      <fieldGroup base="2">
        <rangePr groupBy="quarters" startDate="2025-02-19T00:00:00" endDate="2026-02-03T00:00:00"/>
        <groupItems count="6">
          <s v="&lt;19-02-2025"/>
          <s v="Qtr1"/>
          <s v="Qtr2"/>
          <s v="Qtr3"/>
          <s v="Qtr4"/>
          <s v="&gt;03-02-2026"/>
        </groupItems>
      </fieldGroup>
    </cacheField>
    <cacheField name="Years" numFmtId="0" databaseField="0">
      <fieldGroup base="2">
        <rangePr groupBy="years" startDate="2025-02-19T00:00:00" endDate="2026-02-03T00:00:00"/>
        <groupItems count="4">
          <s v="&lt;19-02-2025"/>
          <s v="2025"/>
          <s v="2026"/>
          <s v="&gt;03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80.588404861111" createdVersion="7" refreshedVersion="7" minRefreshableVersion="3" recordCount="278" xr:uid="{C7CBE41D-5EBB-4C85-8953-506D0EC70307}">
  <cacheSource type="worksheet">
    <worksheetSource ref="A1:Q279" sheet="Customer Data"/>
  </cacheSource>
  <cacheFields count="19">
    <cacheField name="Ref. 2 (Header)" numFmtId="1">
      <sharedItems containsString="0" containsBlank="1" containsNumber="1" containsInteger="1" minValue="1002" maxValue="256779440081"/>
    </cacheField>
    <cacheField name="Document Date" numFmtId="14">
      <sharedItems containsSemiMixedTypes="0" containsNonDate="0" containsDate="1" containsString="0" minDate="2025-02-19T00:00:00" maxDate="2026-01-06T00:00:00" count="61">
        <d v="2025-02-20T00:00:00"/>
        <d v="2025-03-19T00:00:00"/>
        <d v="2025-03-17T00:00:00"/>
        <d v="2025-03-20T00:00:00"/>
        <d v="2025-03-21T00:00:00"/>
        <d v="2025-02-19T00:00:00"/>
        <d v="2025-03-14T00:00:00"/>
        <d v="2025-03-13T00:00:00"/>
        <d v="2025-02-25T00:00:00"/>
        <d v="2025-03-06T00:00:00"/>
        <d v="2025-03-31T00:00:00"/>
        <d v="2025-03-03T00:00:00"/>
        <d v="2025-04-16T00:00:00"/>
        <d v="2025-04-03T00:00:00"/>
        <d v="2025-04-22T00:00:00"/>
        <d v="2025-06-05T00:00:00"/>
        <d v="2025-06-07T00:00:00"/>
        <d v="2025-05-20T00:00:00"/>
        <d v="2025-05-10T00:00:00"/>
        <d v="2025-04-21T00:00:00"/>
        <d v="2025-06-13T00:00:00"/>
        <d v="2025-06-10T00:00:00"/>
        <d v="2025-05-16T00:00:00"/>
        <d v="2025-06-04T00:00:00"/>
        <d v="2025-06-19T00:00:00"/>
        <d v="2025-07-18T00:00:00"/>
        <d v="2025-04-15T00:00:00"/>
        <d v="2025-07-29T00:00:00"/>
        <d v="2025-07-04T00:00:00"/>
        <d v="2025-04-23T00:00:00"/>
        <d v="2025-08-07T00:00:00"/>
        <d v="2025-08-08T00:00:00"/>
        <d v="2025-07-25T00:00:00"/>
        <d v="2025-08-01T00:00:00"/>
        <d v="2025-09-10T00:00:00"/>
        <d v="2025-09-16T00:00:00"/>
        <d v="2025-08-20T00:00:00"/>
        <d v="2025-09-04T00:00:00"/>
        <d v="2025-07-14T00:00:00"/>
        <d v="2025-09-24T00:00:00"/>
        <d v="2025-09-18T00:00:00"/>
        <d v="2025-10-10T00:00:00"/>
        <d v="2025-09-17T00:00:00"/>
        <d v="2025-10-11T00:00:00"/>
        <d v="2025-10-29T00:00:00"/>
        <d v="2025-10-05T00:00:00"/>
        <d v="2025-10-31T00:00:00"/>
        <d v="2025-10-20T00:00:00"/>
        <d v="2025-10-07T00:00:00"/>
        <d v="2025-11-05T00:00:00"/>
        <d v="2025-11-03T00:00:00"/>
        <d v="2025-11-20T00:00:00"/>
        <d v="2025-12-05T00:00:00"/>
        <d v="2025-12-06T00:00:00"/>
        <d v="2025-12-04T00:00:00"/>
        <d v="2025-05-28T00:00:00"/>
        <d v="2025-09-06T00:00:00"/>
        <d v="2025-10-06T00:00:00"/>
        <d v="2025-12-31T00:00:00"/>
        <d v="2025-08-14T00:00:00"/>
        <d v="2026-01-05T00:00:00"/>
      </sharedItems>
      <fieldGroup par="18" base="1">
        <rangePr groupBy="months" startDate="2025-02-19T00:00:00" endDate="2026-01-06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26"/>
        </groupItems>
      </fieldGroup>
    </cacheField>
    <cacheField name="Series" numFmtId="0">
      <sharedItems/>
    </cacheField>
    <cacheField name="Doc. No." numFmtId="0">
      <sharedItems/>
    </cacheField>
    <cacheField name="Remarks" numFmtId="0">
      <sharedItems/>
    </cacheField>
    <cacheField name="Offset Acct Name" numFmtId="0">
      <sharedItems/>
    </cacheField>
    <cacheField name="Debit (LC)" numFmtId="43">
      <sharedItems containsString="0" containsBlank="1" containsNumber="1" minValue="-353878.0502" maxValue="1075024.8446"/>
    </cacheField>
    <cacheField name="Credit (LC)" numFmtId="43">
      <sharedItems containsString="0" containsBlank="1" containsNumber="1" minValue="-138252.1" maxValue="231074.27849999999"/>
    </cacheField>
    <cacheField name="Cumulative Balance (LC)" numFmtId="43">
      <sharedItems containsSemiMixedTypes="0" containsString="0" containsNumber="1" minValue="-2307685.3947999999" maxValue="290.90440000000001"/>
    </cacheField>
    <cacheField name="Debit (FC)" numFmtId="43">
      <sharedItems containsString="0" containsBlank="1" containsNumber="1" minValue="-4127.9549999999999" maxValue="12549.359399999999"/>
    </cacheField>
    <cacheField name="Credit (FC)" numFmtId="43">
      <sharedItems containsString="0" containsBlank="1" containsNumber="1" minValue="-1579.76" maxValue="2630.33"/>
    </cacheField>
    <cacheField name="Cumulative Balance (FC)" numFmtId="43">
      <sharedItems containsSemiMixedTypes="0" containsString="0" containsNumber="1" minValue="-26967.571199999998" maxValue="3.4007999999999998"/>
    </cacheField>
    <cacheField name="Balance Due (FC)" numFmtId="43">
      <sharedItems containsString="0" containsBlank="1" containsNumber="1" minValue="-1497.6089999999999" maxValue="2092.2930000000001"/>
    </cacheField>
    <cacheField name="Branch Name" numFmtId="0">
      <sharedItems/>
    </cacheField>
    <cacheField name="Vlookup" numFmtId="43">
      <sharedItems containsNonDate="0" containsString="0" containsBlank="1"/>
    </cacheField>
    <cacheField name="Diff" numFmtId="43">
      <sharedItems containsNonDate="0" containsString="0" containsBlank="1"/>
    </cacheField>
    <cacheField name="Remarks2" numFmtId="0">
      <sharedItems containsNonDate="0" containsString="0" containsBlank="1"/>
    </cacheField>
    <cacheField name="Quarters" numFmtId="0" databaseField="0">
      <fieldGroup base="1">
        <rangePr groupBy="quarters" startDate="2025-02-19T00:00:00" endDate="2026-01-06T00:00:00"/>
        <groupItems count="6">
          <s v="&lt;19-02-2025"/>
          <s v="Qtr1"/>
          <s v="Qtr2"/>
          <s v="Qtr3"/>
          <s v="Qtr4"/>
          <s v="&gt;06-01-2026"/>
        </groupItems>
      </fieldGroup>
    </cacheField>
    <cacheField name="Years" numFmtId="0" databaseField="0">
      <fieldGroup base="1">
        <rangePr groupBy="years" startDate="2025-02-19T00:00:00" endDate="2026-01-06T00:00:00"/>
        <groupItems count="4">
          <s v="&lt;19-02-2025"/>
          <s v="2025"/>
          <s v="2026"/>
          <s v="&gt;06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1400001110"/>
    <x v="0"/>
    <x v="0"/>
    <s v=""/>
    <s v="INR"/>
    <n v="603848.88"/>
    <n v="6940.7917241379309"/>
    <s v="INR"/>
    <n v="595243.31000000006"/>
    <e v="#N/A"/>
    <m/>
    <m/>
    <m/>
    <m/>
    <s v=""/>
  </r>
  <r>
    <s v="1400001110"/>
    <x v="0"/>
    <x v="0"/>
    <s v=""/>
    <s v="INR"/>
    <n v="-603848.88"/>
    <n v="-6940.7917241379309"/>
    <s v="INR"/>
    <n v="-599760.56000000006"/>
    <e v="#N/A"/>
    <m/>
    <m/>
    <m/>
    <m/>
    <s v=""/>
  </r>
  <r>
    <s v="1400000854"/>
    <x v="1"/>
    <x v="1"/>
    <s v=""/>
    <s v="USD"/>
    <n v="-700.45"/>
    <n v="-700.45"/>
    <s v="INR"/>
    <n v="-60884.42"/>
    <e v="#N/A"/>
    <m/>
    <m/>
    <m/>
    <m/>
    <s v=""/>
  </r>
  <r>
    <s v="1400001231"/>
    <x v="1"/>
    <x v="2"/>
    <s v=""/>
    <s v="USD"/>
    <n v="-4719.25"/>
    <n v="-4719.25"/>
    <s v="INR"/>
    <n v="-413002"/>
    <e v="#N/A"/>
    <m/>
    <m/>
    <m/>
    <m/>
    <s v=""/>
  </r>
  <r>
    <s v="1400000977"/>
    <x v="1"/>
    <x v="3"/>
    <s v=""/>
    <s v="USD"/>
    <n v="-3663.7"/>
    <n v="-3663.7"/>
    <s v="INR"/>
    <n v="-313212.57"/>
    <e v="#N/A"/>
    <m/>
    <m/>
    <m/>
    <m/>
    <s v=""/>
  </r>
  <r>
    <s v="1400000990"/>
    <x v="1"/>
    <x v="3"/>
    <s v=""/>
    <s v="USD"/>
    <n v="-3777.49"/>
    <n v="-3777.49"/>
    <s v="INR"/>
    <n v="-324866.67"/>
    <e v="#N/A"/>
    <m/>
    <m/>
    <m/>
    <m/>
    <s v=""/>
  </r>
  <r>
    <s v="1400000126"/>
    <x v="1"/>
    <x v="4"/>
    <s v=""/>
    <s v="USD"/>
    <n v="-3663.7"/>
    <n v="-3663.7"/>
    <s v="INR"/>
    <n v="-3663.7"/>
    <e v="#N/A"/>
    <m/>
    <m/>
    <m/>
    <m/>
    <s v=""/>
  </r>
  <r>
    <s v="1400000127"/>
    <x v="1"/>
    <x v="4"/>
    <s v=""/>
    <s v="USD"/>
    <n v="-3508.06"/>
    <n v="-3508.06"/>
    <s v="INR"/>
    <n v="-3508.06"/>
    <e v="#N/A"/>
    <m/>
    <m/>
    <m/>
    <m/>
    <s v=""/>
  </r>
  <r>
    <s v="1400000128"/>
    <x v="1"/>
    <x v="4"/>
    <s v=""/>
    <s v="USD"/>
    <n v="-3145.98"/>
    <n v="-3145.98"/>
    <s v="INR"/>
    <n v="-3145.98"/>
    <e v="#N/A"/>
    <m/>
    <m/>
    <m/>
    <m/>
    <s v=""/>
  </r>
  <r>
    <s v="1400000133"/>
    <x v="1"/>
    <x v="4"/>
    <s v=""/>
    <s v="USD"/>
    <n v="-12549.36"/>
    <n v="-12549.36"/>
    <s v="INR"/>
    <n v="-12549.36"/>
    <e v="#N/A"/>
    <m/>
    <m/>
    <m/>
    <m/>
    <s v=""/>
  </r>
  <r>
    <s v="1400000134"/>
    <x v="1"/>
    <x v="4"/>
    <s v=""/>
    <s v="USD"/>
    <n v="-4228.22"/>
    <n v="-4228.22"/>
    <s v="INR"/>
    <n v="-4228.22"/>
    <e v="#N/A"/>
    <m/>
    <m/>
    <m/>
    <m/>
    <s v=""/>
  </r>
  <r>
    <s v="1400000149"/>
    <x v="1"/>
    <x v="4"/>
    <s v=""/>
    <s v="USD"/>
    <n v="3663.7"/>
    <n v="3663.7"/>
    <s v="INR"/>
    <n v="3663.7"/>
    <e v="#N/A"/>
    <m/>
    <m/>
    <m/>
    <m/>
    <s v=""/>
  </r>
  <r>
    <s v="1400000854"/>
    <x v="1"/>
    <x v="1"/>
    <s v=""/>
    <s v="USD"/>
    <n v="-4437.8999999999996"/>
    <n v="-4437.8999999999996"/>
    <s v="INR"/>
    <n v="-383425.92"/>
    <e v="#N/A"/>
    <m/>
    <m/>
    <m/>
    <m/>
    <s v=""/>
  </r>
  <r>
    <s v="1400000864"/>
    <x v="1"/>
    <x v="5"/>
    <s v=""/>
    <s v="USD"/>
    <n v="-1102.02"/>
    <n v="-1102.02"/>
    <s v="INR"/>
    <n v="-94695.18"/>
    <e v="#N/A"/>
    <m/>
    <m/>
    <m/>
    <m/>
    <s v="8681446219FS"/>
  </r>
  <r>
    <s v="1400001221"/>
    <x v="1"/>
    <x v="6"/>
    <s v=""/>
    <s v="USD"/>
    <n v="-2932.84"/>
    <n v="-2932.84"/>
    <s v="INR"/>
    <n v="-256665.53"/>
    <e v="#N/A"/>
    <m/>
    <m/>
    <m/>
    <m/>
    <s v=""/>
  </r>
  <r>
    <s v="1400001598"/>
    <x v="1"/>
    <x v="7"/>
    <s v=""/>
    <s v="USD"/>
    <n v="-1731.27"/>
    <n v="-1731.27"/>
    <s v="INR"/>
    <n v="-152682.03"/>
    <e v="#N/A"/>
    <m/>
    <m/>
    <m/>
    <m/>
    <s v=""/>
  </r>
  <r>
    <s v="1400001618"/>
    <x v="1"/>
    <x v="8"/>
    <s v=""/>
    <s v="USD"/>
    <n v="-1968.44"/>
    <n v="-1968.44"/>
    <s v="INR"/>
    <n v="-173229.39"/>
    <e v="#N/A"/>
    <m/>
    <m/>
    <m/>
    <m/>
    <s v=""/>
  </r>
  <r>
    <s v="1400001620"/>
    <x v="1"/>
    <x v="8"/>
    <s v=""/>
    <s v="USD"/>
    <n v="-8339.84"/>
    <n v="-8339.84"/>
    <s v="INR"/>
    <n v="-729855.51"/>
    <e v="#N/A"/>
    <m/>
    <m/>
    <m/>
    <m/>
    <s v=""/>
  </r>
  <r>
    <s v="1400001622"/>
    <x v="1"/>
    <x v="8"/>
    <s v=""/>
    <s v="USD"/>
    <n v="-10455.66"/>
    <n v="-10455.66"/>
    <s v="INR"/>
    <n v="-920133.52"/>
    <e v="#N/A"/>
    <m/>
    <m/>
    <m/>
    <m/>
    <s v=""/>
  </r>
  <r>
    <s v="1400000213"/>
    <x v="0"/>
    <x v="9"/>
    <s v="KNOCK OFF ENTRY"/>
    <s v="USD"/>
    <n v="0"/>
    <n v="0"/>
    <s v="INR"/>
    <n v="0"/>
    <e v="#N/A"/>
    <m/>
    <m/>
    <m/>
    <m/>
    <s v=""/>
  </r>
  <r>
    <s v="1400000214"/>
    <x v="0"/>
    <x v="9"/>
    <s v="KNOCK OFF ENTRY"/>
    <s v="USD"/>
    <n v="1166.5899999999999"/>
    <n v="1166.5899999999999"/>
    <s v="INR"/>
    <n v="101402.13"/>
    <e v="#N/A"/>
    <m/>
    <m/>
    <m/>
    <m/>
    <s v=""/>
  </r>
  <r>
    <s v="1400000214"/>
    <x v="0"/>
    <x v="9"/>
    <s v="KNOCK OFF ENTRY"/>
    <s v="USD"/>
    <n v="-1166.5899999999999"/>
    <n v="-1166.5899999999999"/>
    <s v="INR"/>
    <n v="-101402.13"/>
    <e v="#N/A"/>
    <m/>
    <m/>
    <m/>
    <m/>
    <s v=""/>
  </r>
  <r>
    <s v="1400000215"/>
    <x v="0"/>
    <x v="9"/>
    <s v="KNOCK OFF ENTRY"/>
    <s v="USD"/>
    <n v="1143.1199999999999"/>
    <n v="1143.1199999999999"/>
    <s v="INR"/>
    <n v="99362.07"/>
    <e v="#N/A"/>
    <m/>
    <m/>
    <m/>
    <m/>
    <s v=""/>
  </r>
  <r>
    <s v="1400000215"/>
    <x v="0"/>
    <x v="9"/>
    <s v="KNOCK OFF ENTRY"/>
    <s v="USD"/>
    <n v="-1143.1199999999999"/>
    <n v="-1143.1199999999999"/>
    <s v="INR"/>
    <n v="-99362.07"/>
    <e v="#N/A"/>
    <m/>
    <m/>
    <m/>
    <m/>
    <s v=""/>
  </r>
  <r>
    <s v="1800008260"/>
    <x v="2"/>
    <x v="10"/>
    <n v="256779413144"/>
    <s v="INR"/>
    <n v="100000"/>
    <n v="1163.0111111111112"/>
    <s v="INR"/>
    <n v="100000"/>
    <n v="0"/>
    <n v="1046.71"/>
    <n v="1046.71"/>
    <n v="116.30111111111114"/>
    <n v="0.10000000000000002"/>
    <s v="Fixed Storage Charges fo MAY 2025"/>
  </r>
  <r>
    <s v="1800009592"/>
    <x v="2"/>
    <x v="11"/>
    <n v="256779414356"/>
    <s v="INR"/>
    <n v="100000"/>
    <n v="1169.72"/>
    <s v="INR"/>
    <n v="100000"/>
    <n v="0"/>
    <n v="1052.748"/>
    <n v="1052.748"/>
    <n v="116.97199999999998"/>
    <n v="9.9999999999999978E-2"/>
    <s v="Fixed Storage Charges fo JUNE 2025"/>
  </r>
  <r>
    <s v="1800010154"/>
    <x v="2"/>
    <x v="9"/>
    <n v="256779414914"/>
    <s v="INR"/>
    <n v="100000"/>
    <n v="1162.78"/>
    <s v="INR"/>
    <n v="100000"/>
    <n v="0"/>
    <n v="1046.502"/>
    <n v="1046.502"/>
    <n v="116.27800000000002"/>
    <n v="0.10000000000000002"/>
    <s v="Fixed Storage Charges fo JULY 2025"/>
  </r>
  <r>
    <s v="1800011360"/>
    <x v="2"/>
    <x v="12"/>
    <n v="256779416026"/>
    <s v="INR"/>
    <n v="100000"/>
    <n v="1162.377777777778"/>
    <s v="INR"/>
    <n v="100000"/>
    <n v="0"/>
    <n v="1046.1400000000001"/>
    <n v="1046.1400000000001"/>
    <n v="116.23777777777786"/>
    <n v="0.10000000000000006"/>
    <s v="Fixed Storage Charges for August 2025"/>
  </r>
  <r>
    <s v="1800012712"/>
    <x v="2"/>
    <x v="13"/>
    <n v="256779417346"/>
    <s v="INR"/>
    <n v="100000"/>
    <n v="1142.67"/>
    <s v="INR"/>
    <n v="100000"/>
    <n v="0"/>
    <n v="1028.403"/>
    <n v="1028.403"/>
    <n v="114.26700000000005"/>
    <n v="0.10000000000000003"/>
    <s v="Fixed Storage Charges for September 2025"/>
  </r>
  <r>
    <s v="1800014235"/>
    <x v="2"/>
    <x v="14"/>
    <n v="256779418775"/>
    <s v="INR"/>
    <n v="100000"/>
    <n v="1136.32"/>
    <s v="INR"/>
    <n v="100000"/>
    <n v="0"/>
    <n v="1022.688"/>
    <n v="1022.688"/>
    <n v="113.63199999999995"/>
    <n v="9.9999999999999964E-2"/>
    <s v="Fixed Storage Charges for November 2025"/>
  </r>
  <r>
    <s v="1800015484"/>
    <x v="2"/>
    <x v="15"/>
    <n v="256779419968"/>
    <s v="INR"/>
    <n v="100000"/>
    <n v="1127.3899999999999"/>
    <s v="INR"/>
    <n v="100000"/>
    <n v="0"/>
    <n v="1014.651"/>
    <n v="1014.651"/>
    <n v="112.73899999999992"/>
    <n v="9.9999999999999936E-2"/>
    <s v="Fixed Storage Charges for December 2025"/>
  </r>
  <r>
    <s v="1800008261"/>
    <x v="2"/>
    <x v="10"/>
    <n v="256779413145"/>
    <s v="INR"/>
    <n v="35000"/>
    <n v="407.05"/>
    <s v="INR"/>
    <n v="35000"/>
    <n v="0"/>
    <n v="366.34500000000003"/>
    <n v="366.34500000000003"/>
    <n v="40.704999999999984"/>
    <n v="9.9999999999999964E-2"/>
    <s v="Fixed Storage Charges fo MAY 2025"/>
  </r>
  <r>
    <s v="1800009593"/>
    <x v="2"/>
    <x v="11"/>
    <n v="256779414357"/>
    <s v="INR"/>
    <n v="35000"/>
    <n v="409.4"/>
    <s v="INR"/>
    <n v="35000"/>
    <n v="0"/>
    <n v="368.46"/>
    <n v="368.46"/>
    <n v="40.94"/>
    <n v="0.1"/>
    <s v="Fixed Storage Charges fo JUNE 2025"/>
  </r>
  <r>
    <s v="1800010155"/>
    <x v="2"/>
    <x v="9"/>
    <n v="256779414915"/>
    <s v="INR"/>
    <n v="35000"/>
    <n v="443.14511111111108"/>
    <s v="INR"/>
    <n v="35000"/>
    <n v="0"/>
    <n v="398.8306"/>
    <n v="398.8306"/>
    <n v="44.314511111111074"/>
    <n v="9.9999999999999922E-2"/>
    <s v="Fixed Storage Charges fo JULY 2025"/>
  </r>
  <r>
    <s v="1800011361"/>
    <x v="2"/>
    <x v="12"/>
    <n v="256779416027"/>
    <s v="INR"/>
    <n v="35000"/>
    <n v="442.98888888888888"/>
    <s v="INR"/>
    <n v="35000"/>
    <n v="0"/>
    <n v="398.69"/>
    <n v="398.69"/>
    <n v="44.298888888888882"/>
    <n v="9.9999999999999992E-2"/>
    <s v="Fixed Storage Charges for August 2025"/>
  </r>
  <r>
    <s v="1800012713"/>
    <x v="2"/>
    <x v="13"/>
    <n v="256779417347"/>
    <s v="INR"/>
    <n v="35000"/>
    <n v="399.93"/>
    <s v="INR"/>
    <n v="35000"/>
    <n v="0"/>
    <n v="359.93700000000001"/>
    <n v="359.93700000000001"/>
    <n v="39.992999999999995"/>
    <n v="9.9999999999999992E-2"/>
    <s v="Fixed Storage Charges for September 2025"/>
  </r>
  <r>
    <s v="1800014236"/>
    <x v="2"/>
    <x v="14"/>
    <n v="256779418776"/>
    <s v="INR"/>
    <n v="35000"/>
    <n v="433.06200000000001"/>
    <s v="INR"/>
    <n v="35000"/>
    <n v="0"/>
    <n v="389.75580000000002"/>
    <n v="389.75580000000002"/>
    <n v="43.30619999999999"/>
    <n v="9.9999999999999978E-2"/>
    <s v="Fixed Storage Charges for November 2025"/>
  </r>
  <r>
    <s v="1800015485"/>
    <x v="2"/>
    <x v="15"/>
    <n v="256779419969"/>
    <s v="INR"/>
    <n v="35000"/>
    <n v="429.66466666666662"/>
    <s v="INR"/>
    <n v="35000"/>
    <n v="0"/>
    <n v="386.69819999999999"/>
    <n v="386.69819999999999"/>
    <n v="42.966466666666634"/>
    <n v="9.9999999999999936E-2"/>
    <s v="Fixed Mangement FEE for December 2025"/>
  </r>
  <r>
    <s v="1600002145"/>
    <x v="3"/>
    <x v="3"/>
    <n v="256779421709"/>
    <s v="INR"/>
    <n v="-200000"/>
    <n v="-2298.8505747126437"/>
    <s v="INR"/>
    <n v="-200000"/>
    <e v="#N/A"/>
    <m/>
    <m/>
    <m/>
    <m/>
    <s v="CN issued towards D &amp; D"/>
  </r>
  <r>
    <s v="1800012258"/>
    <x v="2"/>
    <x v="16"/>
    <n v="256779416887"/>
    <s v="INR"/>
    <n v="200000"/>
    <n v="2298.8505747126437"/>
    <s v="INR"/>
    <n v="200000"/>
    <e v="#N/A"/>
    <m/>
    <m/>
    <m/>
    <m/>
    <s v="DN issued towards D &amp; D 256779421709"/>
  </r>
  <r>
    <s v="1800002451"/>
    <x v="2"/>
    <x v="17"/>
    <n v="246779412116"/>
    <s v="USD"/>
    <n v="100"/>
    <n v="100"/>
    <s v="INR"/>
    <n v="8669.1299999999992"/>
    <n v="0"/>
    <n v="98"/>
    <n v="98"/>
    <n v="2"/>
    <n v="0.02"/>
    <s v="Intra Unit Transfer Charges Month Of December,2024"/>
  </r>
  <r>
    <s v="1800002454"/>
    <x v="2"/>
    <x v="17"/>
    <n v="246779412119"/>
    <s v="USD"/>
    <n v="100"/>
    <n v="100"/>
    <s v="INR"/>
    <n v="8669.1299999999992"/>
    <n v="0"/>
    <n v="98"/>
    <n v="98"/>
    <n v="2"/>
    <n v="0.02"/>
    <s v="Intra Unit Transfer Charges Month Of December,2024"/>
  </r>
  <r>
    <s v="1800002456"/>
    <x v="2"/>
    <x v="17"/>
    <n v="246779412121"/>
    <s v="USD"/>
    <n v="100"/>
    <n v="100"/>
    <s v="INR"/>
    <n v="8669.1299999999992"/>
    <n v="0"/>
    <n v="98"/>
    <n v="98"/>
    <n v="2"/>
    <n v="0.02"/>
    <s v="Intra Unit Transfer Charges Month Of December,2024"/>
  </r>
  <r>
    <s v="1800008348"/>
    <x v="2"/>
    <x v="10"/>
    <n v="256779413231"/>
    <s v="USD"/>
    <n v="100"/>
    <n v="100"/>
    <s v="INR"/>
    <n v="8598.3700000000008"/>
    <n v="0"/>
    <n v="98"/>
    <n v="98"/>
    <n v="2"/>
    <n v="0.02"/>
    <s v="Intra Unit Transfer 16-30 April 25"/>
  </r>
  <r>
    <s v="1800009077"/>
    <x v="2"/>
    <x v="18"/>
    <n v="256779413841"/>
    <s v="USD"/>
    <n v="100"/>
    <n v="100"/>
    <s v="INR"/>
    <n v="8598.3700000000008"/>
    <n v="0"/>
    <n v="98"/>
    <n v="98"/>
    <n v="2"/>
    <n v="0.02"/>
    <s v="Unit to Unit, 1-15 May 25"/>
  </r>
  <r>
    <s v="1800009083"/>
    <x v="2"/>
    <x v="18"/>
    <n v="256779413847"/>
    <s v="USD"/>
    <n v="100"/>
    <n v="100"/>
    <s v="INR"/>
    <n v="8598.3700000000008"/>
    <n v="0"/>
    <n v="98"/>
    <n v="98"/>
    <n v="2"/>
    <n v="0.02"/>
    <s v="Unit to Unit, 1-15 May 25"/>
  </r>
  <r>
    <s v="1800009084"/>
    <x v="2"/>
    <x v="18"/>
    <n v="256779413848"/>
    <s v="USD"/>
    <n v="100"/>
    <n v="100"/>
    <s v="INR"/>
    <n v="8598.3700000000008"/>
    <n v="0"/>
    <n v="98"/>
    <n v="98"/>
    <n v="2"/>
    <n v="0.02"/>
    <s v="Unit to Unit, 1-15 May 25"/>
  </r>
  <r>
    <s v="1800011280"/>
    <x v="2"/>
    <x v="19"/>
    <n v="256779416012"/>
    <s v="USD"/>
    <n v="100"/>
    <n v="100"/>
    <s v="INR"/>
    <n v="8600.07"/>
    <n v="0"/>
    <n v="98"/>
    <n v="98"/>
    <n v="2"/>
    <n v="0.02"/>
    <s v="Unit to Unit 16-31 May 25"/>
  </r>
  <r>
    <s v="1800001850"/>
    <x v="2"/>
    <x v="20"/>
    <n v="246779411515"/>
    <s v="USD"/>
    <n v="100"/>
    <n v="100"/>
    <s v="INR"/>
    <n v="8669.1299999999992"/>
    <n v="0"/>
    <n v="98"/>
    <n v="98"/>
    <n v="2"/>
    <n v="0.02"/>
    <s v="Intra Unit Transfer Charges Month Of August,2024"/>
  </r>
  <r>
    <s v="1800009967"/>
    <x v="2"/>
    <x v="21"/>
    <n v="256779414731"/>
    <s v="USD"/>
    <n v="100"/>
    <n v="100"/>
    <s v="INR"/>
    <n v="8549.08"/>
    <e v="#N/A"/>
    <m/>
    <m/>
    <m/>
    <m/>
    <s v="Unit to Unit 1-15 June 25"/>
  </r>
  <r>
    <s v="1800009968"/>
    <x v="2"/>
    <x v="21"/>
    <n v="256779414732"/>
    <s v="USD"/>
    <n v="100"/>
    <n v="100"/>
    <s v="INR"/>
    <n v="8549.08"/>
    <e v="#N/A"/>
    <m/>
    <m/>
    <m/>
    <m/>
    <s v="Unit to Unit 1-15 June 25"/>
  </r>
  <r>
    <s v="1800009969"/>
    <x v="2"/>
    <x v="21"/>
    <n v="256779414733"/>
    <s v="USD"/>
    <n v="100"/>
    <n v="100"/>
    <s v="INR"/>
    <n v="8549.08"/>
    <e v="#N/A"/>
    <m/>
    <m/>
    <m/>
    <m/>
    <s v="Unit to Unit 1-15 June 25"/>
  </r>
  <r>
    <s v="1800009970"/>
    <x v="2"/>
    <x v="21"/>
    <n v="256779414734"/>
    <s v="USD"/>
    <n v="100"/>
    <n v="100"/>
    <s v="INR"/>
    <n v="8549.08"/>
    <e v="#N/A"/>
    <m/>
    <m/>
    <m/>
    <m/>
    <s v="Unit to Unit 1-15 June 25"/>
  </r>
  <r>
    <s v="1800009971"/>
    <x v="2"/>
    <x v="21"/>
    <n v="256779414735"/>
    <s v="USD"/>
    <n v="100"/>
    <n v="100"/>
    <s v="INR"/>
    <n v="8549.08"/>
    <n v="0"/>
    <n v="90"/>
    <n v="90"/>
    <n v="10"/>
    <n v="0.1"/>
    <s v="Unit to Unit 1-15 June 25"/>
  </r>
  <r>
    <s v="1800012780"/>
    <x v="2"/>
    <x v="22"/>
    <n v="256779417434"/>
    <s v="USD"/>
    <n v="100"/>
    <n v="100"/>
    <s v="INR"/>
    <n v="8751.43"/>
    <n v="0"/>
    <n v="98"/>
    <n v="98"/>
    <n v="2"/>
    <n v="0.02"/>
    <s v="Intra SEZ -1-15 Sept-25"/>
  </r>
  <r>
    <s v="1800013748"/>
    <x v="2"/>
    <x v="23"/>
    <n v="256779418169"/>
    <s v="USD"/>
    <n v="100"/>
    <n v="100"/>
    <s v="INR"/>
    <n v="8819.08"/>
    <e v="#N/A"/>
    <m/>
    <m/>
    <m/>
    <m/>
    <s v="Intra - SEZ-16-30 Sept 25"/>
  </r>
  <r>
    <s v="1800013749"/>
    <x v="2"/>
    <x v="23"/>
    <n v="256779418170"/>
    <s v="USD"/>
    <n v="100"/>
    <n v="100"/>
    <s v="INR"/>
    <n v="8819.08"/>
    <n v="0"/>
    <n v="98"/>
    <n v="98"/>
    <n v="2"/>
    <n v="0.02"/>
    <s v="Intra - SEZ-16-30 Sept 25"/>
  </r>
  <r>
    <s v="1800000374"/>
    <x v="2"/>
    <x v="24"/>
    <n v="246779410343"/>
    <s v="USD"/>
    <n v="1700"/>
    <n v="1700"/>
    <s v="INR"/>
    <n v="146716.22"/>
    <e v="#N/A"/>
    <m/>
    <m/>
    <m/>
    <m/>
    <s v="CY Longstanding container Ground Rent charges for"/>
  </r>
  <r>
    <s v="1800000381"/>
    <x v="2"/>
    <x v="24"/>
    <n v="246779410350"/>
    <s v="USD"/>
    <n v="1750"/>
    <n v="1750"/>
    <s v="INR"/>
    <n v="151031.41"/>
    <e v="#N/A"/>
    <m/>
    <m/>
    <m/>
    <m/>
    <s v="CY Longstanding container Ground Rent charges for"/>
  </r>
  <r>
    <s v="1800000387"/>
    <x v="2"/>
    <x v="24"/>
    <n v="246779410356"/>
    <s v="USD"/>
    <n v="1750"/>
    <n v="1750"/>
    <s v="INR"/>
    <n v="151031.41"/>
    <e v="#N/A"/>
    <m/>
    <m/>
    <m/>
    <m/>
    <s v="CY Longstanding container Ground Rent charges for"/>
  </r>
  <r>
    <s v="1800000393"/>
    <x v="2"/>
    <x v="24"/>
    <n v="246779410362"/>
    <s v="USD"/>
    <n v="1700"/>
    <n v="1700"/>
    <s v="INR"/>
    <n v="146716.22"/>
    <e v="#N/A"/>
    <m/>
    <m/>
    <m/>
    <m/>
    <s v="CY Longstanding container Ground Rent charges for"/>
  </r>
  <r>
    <s v="1800000931"/>
    <x v="2"/>
    <x v="25"/>
    <n v="246779410871"/>
    <s v="USD"/>
    <n v="42.51"/>
    <n v="42.51"/>
    <s v="INR"/>
    <n v="3685.25"/>
    <n v="0"/>
    <n v="38.259"/>
    <n v="38.259"/>
    <n v="4.2509999999999977"/>
    <n v="9.999999999999995E-2"/>
    <s v="Storage Charges for the month of November, 2024 Ex"/>
  </r>
  <r>
    <s v="1800000953"/>
    <x v="2"/>
    <x v="25"/>
    <n v="246779410893"/>
    <s v="USD"/>
    <n v="177.18"/>
    <n v="177.18"/>
    <s v="INR"/>
    <n v="15359.96"/>
    <n v="0"/>
    <n v="159.46199999999999"/>
    <n v="159.46199999999999"/>
    <n v="17.718000000000018"/>
    <n v="0.1000000000000001"/>
    <s v="Storage Charges for the month of December, 2024 Ex"/>
  </r>
  <r>
    <s v="1600002439"/>
    <x v="3"/>
    <x v="26"/>
    <n v="256779421983"/>
    <s v="USD"/>
    <n v="-930.14"/>
    <n v="-930.14"/>
    <s v="INR"/>
    <n v="-82029.759999999995"/>
    <e v="#N/A"/>
    <m/>
    <m/>
    <m/>
    <m/>
    <s v="CN issued against 256779418011"/>
  </r>
  <r>
    <s v="1800000414"/>
    <x v="2"/>
    <x v="27"/>
    <n v="246779410376"/>
    <s v="USD"/>
    <n v="711.35"/>
    <n v="711.35"/>
    <s v="INR"/>
    <n v="61667.83"/>
    <n v="0"/>
    <n v="640.21500000000003"/>
    <n v="640.21500000000003"/>
    <n v="71.134999999999991"/>
    <n v="9.9999999999999978E-2"/>
    <s v="Storage Charges for the month of August, 2024"/>
  </r>
  <r>
    <s v="1800000439"/>
    <x v="2"/>
    <x v="27"/>
    <n v="246779410401"/>
    <s v="USD"/>
    <n v="1298.96"/>
    <n v="1298.96"/>
    <s v="INR"/>
    <n v="112608.48"/>
    <n v="0"/>
    <n v="1169.0640000000001"/>
    <n v="1169.0640000000001"/>
    <n v="129.89599999999996"/>
    <n v="9.9999999999999964E-2"/>
    <s v="Storage  for the month of Sept  2024"/>
  </r>
  <r>
    <s v="1800000463"/>
    <x v="2"/>
    <x v="27"/>
    <n v="246779410425"/>
    <s v="USD"/>
    <n v="1687.21"/>
    <n v="1687.21"/>
    <s v="INR"/>
    <n v="146266.35999999999"/>
    <n v="0"/>
    <n v="1518.489"/>
    <n v="1518.489"/>
    <n v="168.721"/>
    <n v="0.1"/>
    <s v="Storage for the month of Oct 2024"/>
  </r>
  <r>
    <s v="1800001956"/>
    <x v="2"/>
    <x v="17"/>
    <n v="246779411621"/>
    <s v="USD"/>
    <n v="444.04"/>
    <n v="444.04"/>
    <s v="INR"/>
    <n v="38494.39"/>
    <n v="0"/>
    <n v="435.1592"/>
    <n v="435.1592"/>
    <n v="8.880800000000022"/>
    <n v="2.0000000000000049E-2"/>
    <s v="VAS Activity Charges for the month of September, 2"/>
  </r>
  <r>
    <s v="1800002095"/>
    <x v="2"/>
    <x v="17"/>
    <n v="246779411760"/>
    <s v="USD"/>
    <n v="520.16999999999996"/>
    <n v="520.16999999999996"/>
    <s v="INR"/>
    <n v="45094.19"/>
    <n v="0"/>
    <n v="509.76659999999998"/>
    <n v="509.76659999999998"/>
    <n v="10.403399999999976"/>
    <n v="1.9999999999999955E-2"/>
    <s v="VAS Activity Charges for the month of October, 24"/>
  </r>
  <r>
    <s v="1800002401"/>
    <x v="2"/>
    <x v="17"/>
    <n v="246779412066"/>
    <s v="USD"/>
    <n v="66.5"/>
    <n v="66.5"/>
    <s v="INR"/>
    <n v="5764.97"/>
    <n v="0"/>
    <n v="65.17"/>
    <n v="65.17"/>
    <n v="1.3299999999999983"/>
    <n v="1.9999999999999973E-2"/>
    <s v="VAS Activity Charges for the month of December, 24"/>
  </r>
  <r>
    <s v="1800002272"/>
    <x v="2"/>
    <x v="17"/>
    <n v="246779411937"/>
    <s v="USD"/>
    <n v="7.27"/>
    <n v="7.27"/>
    <s v="INR"/>
    <n v="630.25"/>
    <n v="0"/>
    <n v="7.1246"/>
    <n v="7.1246"/>
    <n v="0.14539999999999953"/>
    <n v="1.9999999999999938E-2"/>
    <s v="VAS Activity Charges for the month of November, 24"/>
  </r>
  <r>
    <s v="1800002273"/>
    <x v="2"/>
    <x v="17"/>
    <n v="246779411938"/>
    <s v="USD"/>
    <n v="53.26"/>
    <n v="53.26"/>
    <s v="INR"/>
    <n v="4617.18"/>
    <n v="0"/>
    <n v="52.194800000000001"/>
    <n v="52.194800000000001"/>
    <n v="1.0651999999999973"/>
    <n v="1.9999999999999948E-2"/>
    <s v="VAS Activity Charges for the month of November, 24"/>
  </r>
  <r>
    <s v="1800002274"/>
    <x v="2"/>
    <x v="17"/>
    <n v="246779411939"/>
    <s v="USD"/>
    <n v="23.08"/>
    <n v="23.08"/>
    <s v="INR"/>
    <n v="2000.83"/>
    <n v="0"/>
    <n v="22.618400000000001"/>
    <n v="22.618400000000001"/>
    <n v="0.46159999999999712"/>
    <n v="1.9999999999999876E-2"/>
    <s v="VAS Activity Charges for the month of November, 24"/>
  </r>
  <r>
    <s v="1800002275"/>
    <x v="2"/>
    <x v="17"/>
    <n v="246779411940"/>
    <s v="USD"/>
    <n v="52.73"/>
    <n v="52.73"/>
    <s v="INR"/>
    <n v="4571.2299999999996"/>
    <n v="0"/>
    <n v="51.675400000000003"/>
    <n v="51.675400000000003"/>
    <n v="1.0545999999999935"/>
    <n v="1.9999999999999879E-2"/>
    <s v="VAS Activity Charges for the month of November, 24"/>
  </r>
  <r>
    <s v="1800002276"/>
    <x v="2"/>
    <x v="17"/>
    <n v="246779411941"/>
    <s v="USD"/>
    <n v="76.02"/>
    <n v="76.02"/>
    <s v="INR"/>
    <n v="6590.27"/>
    <n v="0"/>
    <n v="74.499600000000001"/>
    <n v="74.499600000000001"/>
    <n v="1.5203999999999951"/>
    <n v="1.9999999999999938E-2"/>
    <s v="VAS Activity Charges for the month of November, 24"/>
  </r>
  <r>
    <s v="1800006261"/>
    <x v="2"/>
    <x v="28"/>
    <n v="256779411152"/>
    <s v="USD"/>
    <n v="164.38"/>
    <n v="164.38"/>
    <s v="INR"/>
    <n v="14288.21"/>
    <n v="0"/>
    <n v="161.09"/>
    <n v="161.09"/>
    <n v="3.289999999999992"/>
    <n v="2.0014600316340139E-2"/>
    <s v="Empty Transportation August 2024"/>
  </r>
  <r>
    <s v="1800006262"/>
    <x v="2"/>
    <x v="28"/>
    <n v="256779411153"/>
    <s v="USD"/>
    <n v="26.54"/>
    <n v="26.54"/>
    <s v="INR"/>
    <n v="2306.91"/>
    <n v="0"/>
    <n v="26.01"/>
    <n v="26.01"/>
    <n v="0.52999999999999758"/>
    <n v="1.9969856819894407E-2"/>
    <s v="LCL Charges August 2024"/>
  </r>
  <r>
    <s v="1800006263"/>
    <x v="2"/>
    <x v="28"/>
    <n v="256779411154"/>
    <s v="USD"/>
    <n v="84.26"/>
    <n v="84.26"/>
    <s v="INR"/>
    <n v="7324.03"/>
    <n v="0"/>
    <n v="82.57"/>
    <n v="82.57"/>
    <n v="1.6900000000000119"/>
    <n v="2.0056966532162494E-2"/>
    <s v="LCL Charges August 2024"/>
  </r>
  <r>
    <s v="1800006264"/>
    <x v="2"/>
    <x v="28"/>
    <n v="256779411155"/>
    <s v="USD"/>
    <n v="36.9"/>
    <n v="36.9"/>
    <s v="INR"/>
    <n v="3207.42"/>
    <n v="0"/>
    <n v="36.159999999999997"/>
    <n v="36.159999999999997"/>
    <n v="0.74000000000000199"/>
    <n v="2.0054200542005476E-2"/>
    <s v="Inbound Handling for August 24"/>
  </r>
  <r>
    <s v="1800006265"/>
    <x v="2"/>
    <x v="28"/>
    <n v="256779411156"/>
    <s v="USD"/>
    <n v="20.23"/>
    <n v="20.23"/>
    <s v="INR"/>
    <n v="1758.43"/>
    <n v="0"/>
    <n v="19.829999999999998"/>
    <n v="19.829999999999998"/>
    <n v="0.40000000000000213"/>
    <n v="1.9772614928324377E-2"/>
    <s v="Inbound Handling for August 24"/>
  </r>
  <r>
    <s v="1800006266"/>
    <x v="2"/>
    <x v="28"/>
    <n v="256779411157"/>
    <s v="USD"/>
    <n v="116.32"/>
    <n v="116.32"/>
    <s v="INR"/>
    <n v="10110.75"/>
    <n v="0"/>
    <n v="113.99"/>
    <n v="113.99"/>
    <n v="2.3299999999999983"/>
    <n v="2.0030949105914703E-2"/>
    <s v="Inbound Handling for August 24"/>
  </r>
  <r>
    <s v="1800006674"/>
    <x v="2"/>
    <x v="28"/>
    <n v="256779411565"/>
    <s v="USD"/>
    <n v="22"/>
    <n v="22"/>
    <s v="INR"/>
    <n v="1912.28"/>
    <n v="0"/>
    <n v="21.56"/>
    <n v="21.56"/>
    <n v="0.44000000000000128"/>
    <n v="2.0000000000000059E-2"/>
    <s v="Outbound Handling Charges Aug 2024"/>
  </r>
  <r>
    <s v="1800006675"/>
    <x v="2"/>
    <x v="28"/>
    <n v="256779411566"/>
    <s v="USD"/>
    <n v="4.4000000000000004"/>
    <n v="4.4000000000000004"/>
    <s v="INR"/>
    <n v="382.46"/>
    <n v="0"/>
    <n v="4.3099999999999996"/>
    <n v="4.3099999999999996"/>
    <n v="9.0000000000000746E-2"/>
    <n v="2.0454545454545621E-2"/>
    <s v="Outbound Handling Charges Aug 2024"/>
  </r>
  <r>
    <s v="1800006676"/>
    <x v="2"/>
    <x v="28"/>
    <n v="256779411567"/>
    <s v="USD"/>
    <n v="5.84"/>
    <n v="5.84"/>
    <s v="INR"/>
    <n v="507.62"/>
    <n v="0"/>
    <n v="5.72"/>
    <n v="5.72"/>
    <n v="0.12000000000000011"/>
    <n v="2.0547945205479472E-2"/>
    <s v="Outbound Handling Charges Aug 2024"/>
  </r>
  <r>
    <s v="1800006677"/>
    <x v="2"/>
    <x v="28"/>
    <n v="256779411568"/>
    <s v="USD"/>
    <n v="0.8"/>
    <n v="0.8"/>
    <s v="INR"/>
    <n v="69.540000000000006"/>
    <n v="0"/>
    <n v="0.78"/>
    <n v="0.78"/>
    <n v="2.0000000000000018E-2"/>
    <n v="2.5000000000000022E-2"/>
    <s v="Outbound Handling Charges Aug 2024"/>
  </r>
  <r>
    <s v="1800006678"/>
    <x v="2"/>
    <x v="28"/>
    <n v="256779411569"/>
    <s v="USD"/>
    <n v="13.85"/>
    <n v="13.85"/>
    <s v="INR"/>
    <n v="1203.8699999999999"/>
    <n v="0"/>
    <n v="13.57"/>
    <n v="13.57"/>
    <n v="0.27999999999999936"/>
    <n v="2.02166064981949E-2"/>
    <s v="Outbound Handling Charges Aug 2024"/>
  </r>
  <r>
    <s v="1800006679"/>
    <x v="2"/>
    <x v="28"/>
    <n v="256779411570"/>
    <s v="USD"/>
    <n v="18.149999999999999"/>
    <n v="18.149999999999999"/>
    <s v="INR"/>
    <n v="1577.63"/>
    <n v="0"/>
    <n v="17.79"/>
    <n v="17.79"/>
    <n v="0.35999999999999943"/>
    <n v="1.9834710743801623E-2"/>
    <s v="Outbound Handling Charges Aug 2024"/>
  </r>
  <r>
    <s v="1800006680"/>
    <x v="2"/>
    <x v="28"/>
    <n v="256779411571"/>
    <s v="USD"/>
    <n v="21.36"/>
    <n v="21.36"/>
    <s v="INR"/>
    <n v="1856.65"/>
    <n v="0"/>
    <n v="20.93"/>
    <n v="20.93"/>
    <n v="0.42999999999999972"/>
    <n v="2.0131086142322084E-2"/>
    <s v="Outbound Handling Charges Aug 2024"/>
  </r>
  <r>
    <s v="1800006681"/>
    <x v="2"/>
    <x v="28"/>
    <n v="256779411572"/>
    <s v="USD"/>
    <n v="1.97"/>
    <n v="1.97"/>
    <s v="INR"/>
    <n v="171.24"/>
    <n v="0"/>
    <n v="1.93"/>
    <n v="1.93"/>
    <n v="4.0000000000000036E-2"/>
    <n v="2.0304568527918801E-2"/>
    <s v="Outbound Handling Charges Aug 2024"/>
  </r>
  <r>
    <s v="1800006682"/>
    <x v="2"/>
    <x v="28"/>
    <n v="256779411573"/>
    <s v="USD"/>
    <n v="24.21"/>
    <n v="24.21"/>
    <s v="INR"/>
    <n v="2104.38"/>
    <n v="0"/>
    <n v="23.73"/>
    <n v="23.73"/>
    <n v="0.48000000000000043"/>
    <n v="1.9826517967781926E-2"/>
    <s v="Outbound Handling Charges Aug 2024"/>
  </r>
  <r>
    <s v="1800006683"/>
    <x v="2"/>
    <x v="28"/>
    <n v="256779411574"/>
    <s v="USD"/>
    <n v="14.7"/>
    <n v="14.7"/>
    <s v="INR"/>
    <n v="1277.75"/>
    <n v="0"/>
    <n v="14.41"/>
    <n v="14.41"/>
    <n v="0.28999999999999915"/>
    <n v="1.9727891156462528E-2"/>
    <s v="Outbound Handling Charges Aug 2024"/>
  </r>
  <r>
    <s v="1800006684"/>
    <x v="2"/>
    <x v="28"/>
    <n v="256779411575"/>
    <s v="USD"/>
    <n v="22.35"/>
    <n v="22.35"/>
    <s v="INR"/>
    <n v="1942.7"/>
    <n v="0"/>
    <n v="21.902999999999999"/>
    <n v="21.902999999999999"/>
    <n v="0.44700000000000273"/>
    <n v="2.0000000000000122E-2"/>
    <s v="Outbound Handling Charges Aug 2024"/>
  </r>
  <r>
    <s v="1800006685"/>
    <x v="2"/>
    <x v="28"/>
    <n v="256779411576"/>
    <s v="USD"/>
    <n v="21.52"/>
    <n v="21.52"/>
    <s v="INR"/>
    <n v="1870.56"/>
    <n v="0"/>
    <n v="21.09"/>
    <n v="21.09"/>
    <n v="0.42999999999999972"/>
    <n v="1.9981412639405192E-2"/>
    <s v="Outbound Handling Charges Aug 2024"/>
  </r>
  <r>
    <s v="1800006686"/>
    <x v="2"/>
    <x v="28"/>
    <n v="256779411577"/>
    <s v="USD"/>
    <n v="1.54"/>
    <n v="1.54"/>
    <s v="INR"/>
    <n v="133.86000000000001"/>
    <n v="0"/>
    <n v="1.51"/>
    <n v="1.51"/>
    <n v="3.0000000000000027E-2"/>
    <n v="1.9480519480519497E-2"/>
    <s v="Outbound Handling Charges Aug 2024"/>
  </r>
  <r>
    <s v="1800006687"/>
    <x v="2"/>
    <x v="28"/>
    <n v="256779411578"/>
    <s v="USD"/>
    <n v="7.19"/>
    <n v="7.19"/>
    <s v="INR"/>
    <n v="624.97"/>
    <n v="0"/>
    <n v="7.05"/>
    <n v="7.05"/>
    <n v="0.14000000000000057"/>
    <n v="1.9471488178025114E-2"/>
    <s v="Outbound Handling Charges Aug 2024"/>
  </r>
  <r>
    <s v="1800006688"/>
    <x v="2"/>
    <x v="28"/>
    <n v="256779411579"/>
    <s v="USD"/>
    <n v="4.8499999999999996"/>
    <n v="4.8499999999999996"/>
    <s v="INR"/>
    <n v="421.57"/>
    <n v="0"/>
    <n v="4.75"/>
    <n v="4.75"/>
    <n v="9.9999999999999645E-2"/>
    <n v="2.0618556701030855E-2"/>
    <s v="Outbound Handling Charges Aug 2024"/>
  </r>
  <r>
    <s v="1800006689"/>
    <x v="2"/>
    <x v="28"/>
    <n v="256779411580"/>
    <s v="USD"/>
    <n v="21.76"/>
    <n v="21.76"/>
    <s v="INR"/>
    <n v="1891.42"/>
    <n v="0"/>
    <n v="21.32"/>
    <n v="21.32"/>
    <n v="0.44000000000000128"/>
    <n v="2.0220588235294174E-2"/>
    <s v="Outbound Handling Charges Aug 2024"/>
  </r>
  <r>
    <s v="1800006690"/>
    <x v="2"/>
    <x v="28"/>
    <n v="256779411581"/>
    <s v="USD"/>
    <n v="2.2000000000000002"/>
    <n v="2.2000000000000002"/>
    <s v="INR"/>
    <n v="191.23"/>
    <n v="0"/>
    <n v="2.16"/>
    <n v="2.16"/>
    <n v="4.0000000000000036E-2"/>
    <n v="1.8181818181818195E-2"/>
    <s v="Outbound Handling Charges Aug 2024"/>
  </r>
  <r>
    <s v="1800006691"/>
    <x v="2"/>
    <x v="28"/>
    <n v="256779411582"/>
    <s v="USD"/>
    <n v="1.1100000000000001"/>
    <n v="1.1100000000000001"/>
    <s v="INR"/>
    <n v="96.48"/>
    <n v="0"/>
    <n v="1.0900000000000001"/>
    <n v="1.0900000000000001"/>
    <n v="2.0000000000000018E-2"/>
    <n v="1.8018018018018032E-2"/>
    <s v="Outbound Handling Charges Aug 2024"/>
  </r>
  <r>
    <s v="1800006692"/>
    <x v="2"/>
    <x v="28"/>
    <n v="256779411583"/>
    <s v="USD"/>
    <n v="11"/>
    <n v="11"/>
    <s v="INR"/>
    <n v="956.14"/>
    <n v="0"/>
    <n v="10.78"/>
    <n v="10.78"/>
    <n v="0.22000000000000064"/>
    <n v="2.0000000000000059E-2"/>
    <s v="Outbound Handling Charges Aug 2024"/>
  </r>
  <r>
    <s v="1800006693"/>
    <x v="2"/>
    <x v="28"/>
    <n v="256779411584"/>
    <s v="USD"/>
    <n v="23.21"/>
    <n v="23.21"/>
    <s v="INR"/>
    <n v="2017.46"/>
    <n v="0"/>
    <n v="22.75"/>
    <n v="22.75"/>
    <n v="0.46000000000000085"/>
    <n v="1.9819043515726015E-2"/>
    <s v="Outbound Handling Charges Aug 2024"/>
  </r>
  <r>
    <s v="1800006694"/>
    <x v="2"/>
    <x v="28"/>
    <n v="256779411585"/>
    <s v="USD"/>
    <n v="7.81"/>
    <n v="7.81"/>
    <s v="INR"/>
    <n v="678.86"/>
    <n v="0"/>
    <n v="7.65"/>
    <n v="7.65"/>
    <n v="0.15999999999999925"/>
    <n v="2.0486555697823209E-2"/>
    <s v="Outbound Handling Charges Aug 2024"/>
  </r>
  <r>
    <s v="1600002472"/>
    <x v="3"/>
    <x v="29"/>
    <n v="256779422014"/>
    <s v="USD"/>
    <n v="-136.47999999999999"/>
    <n v="-136.47999999999999"/>
    <s v="INR"/>
    <n v="-12036.28"/>
    <e v="#N/A"/>
    <m/>
    <m/>
    <m/>
    <m/>
    <s v="Credit note raised against 256779418076"/>
  </r>
  <r>
    <s v="1800006996"/>
    <x v="2"/>
    <x v="30"/>
    <n v="256779411887"/>
    <s v="USD"/>
    <n v="71.22"/>
    <n v="71.22"/>
    <s v="INR"/>
    <n v="6190.57"/>
    <n v="0"/>
    <n v="69.795599999999993"/>
    <n v="69.795599999999993"/>
    <n v="1.4244000000000057"/>
    <n v="2.000000000000008E-2"/>
    <s v="Outbound Handling charges for Dec 2024"/>
  </r>
  <r>
    <s v="1800007093"/>
    <x v="2"/>
    <x v="30"/>
    <n v="256779411984"/>
    <s v="USD"/>
    <n v="39.54"/>
    <n v="39.54"/>
    <s v="INR"/>
    <n v="3436.89"/>
    <n v="0"/>
    <n v="38.749200000000002"/>
    <n v="38.749200000000002"/>
    <n v="0.79079999999999728"/>
    <n v="1.9999999999999931E-2"/>
    <s v="CAAU5283880-Port SSR Shifting Mar 2025. Exch rate"/>
  </r>
  <r>
    <s v="1800007129"/>
    <x v="2"/>
    <x v="30"/>
    <n v="256779412020"/>
    <s v="USD"/>
    <n v="85.21"/>
    <n v="85.21"/>
    <s v="INR"/>
    <n v="7406.61"/>
    <n v="0"/>
    <n v="83.505799999999994"/>
    <n v="83.505799999999994"/>
    <n v="1.7042000000000002"/>
    <n v="2.0000000000000004E-2"/>
    <s v="VAS Activity - Jan 25, Ex Rate. 86.64"/>
  </r>
  <r>
    <s v="1800007210"/>
    <x v="2"/>
    <x v="30"/>
    <n v="256779412101"/>
    <s v="USD"/>
    <n v="171.71"/>
    <n v="171.71"/>
    <s v="INR"/>
    <n v="14925.35"/>
    <n v="0"/>
    <n v="168.28"/>
    <n v="168.28"/>
    <n v="3.4300000000000068"/>
    <n v="1.9975540154912392E-2"/>
    <s v="VAS Activity - Mar 25, 16-31, Ex Rate. 85.58"/>
  </r>
  <r>
    <s v="1800007235"/>
    <x v="2"/>
    <x v="30"/>
    <n v="256779412126"/>
    <s v="USD"/>
    <n v="500.58"/>
    <n v="500.58"/>
    <s v="INR"/>
    <n v="43511.32"/>
    <n v="0"/>
    <n v="450.52199999999999"/>
    <n v="450.52199999999999"/>
    <n v="50.057999999999993"/>
    <n v="9.9999999999999992E-2"/>
    <s v="Storage Charges Mar, 25 Exch Rate 85.58"/>
  </r>
  <r>
    <s v="1800011264"/>
    <x v="2"/>
    <x v="19"/>
    <n v="256779415996"/>
    <s v="USD"/>
    <n v="755.58"/>
    <n v="755.58"/>
    <s v="INR"/>
    <n v="64980.39"/>
    <n v="0"/>
    <n v="740.47"/>
    <n v="740.47"/>
    <n v="15.110000000000014"/>
    <n v="1.9997882421451087E-2"/>
    <s v="VAS 16-31 May 25 Ex.85.48"/>
  </r>
  <r>
    <s v="1800001581"/>
    <x v="2"/>
    <x v="20"/>
    <n v="246779412238"/>
    <s v="USD"/>
    <n v="945.75"/>
    <n v="945.75"/>
    <s v="INR"/>
    <n v="81988.259999999995"/>
    <n v="0"/>
    <n v="0"/>
    <n v="0"/>
    <n v="945.75"/>
    <n v="1"/>
    <s v="VAS Activity Charges for the month of August, 24"/>
  </r>
  <r>
    <s v="1800001784"/>
    <x v="2"/>
    <x v="20"/>
    <n v="246779411449"/>
    <s v="USD"/>
    <n v="945.75"/>
    <n v="945.75"/>
    <s v="INR"/>
    <n v="81988.259999999995"/>
    <n v="0"/>
    <n v="926.83500000000004"/>
    <n v="926.83500000000004"/>
    <n v="18.914999999999964"/>
    <n v="1.9999999999999962E-2"/>
    <s v="VAS Activity Charges for the month of August, 24"/>
  </r>
  <r>
    <s v="1600002155"/>
    <x v="3"/>
    <x v="16"/>
    <n v="256779421715"/>
    <s v="USD"/>
    <n v="-2324.77"/>
    <n v="-2324.77"/>
    <s v="INR"/>
    <n v="-200000.24"/>
    <n v="2092.2930000000001"/>
    <n v="0"/>
    <n v="2092.2930000000001"/>
    <n v="-232.47699999999986"/>
    <n v="9.9999999999999936E-2"/>
    <s v="CN issued towards D &amp; D"/>
  </r>
  <r>
    <s v="1800012461"/>
    <x v="2"/>
    <x v="13"/>
    <n v="256779417161"/>
    <s v="USD"/>
    <n v="787.95"/>
    <n v="787.95"/>
    <s v="INR"/>
    <n v="68956.92"/>
    <n v="0"/>
    <n v="772.19100000000003"/>
    <n v="772.19100000000003"/>
    <n v="15.759000000000015"/>
    <n v="2.0000000000000018E-2"/>
    <s v="VAS -16-31 Aug 25"/>
  </r>
  <r>
    <s v="1800012559"/>
    <x v="2"/>
    <x v="13"/>
    <n v="256779417178"/>
    <s v="USD"/>
    <n v="1560"/>
    <n v="1560"/>
    <s v="INR"/>
    <n v="136522.35"/>
    <n v="0"/>
    <n v="1528.8"/>
    <n v="1528.8"/>
    <n v="31.200000000000045"/>
    <n v="2.0000000000000028E-2"/>
    <s v="CY Refer Pluging Chgs - 01 - 31 May 25"/>
  </r>
  <r>
    <s v="1800012560"/>
    <x v="2"/>
    <x v="13"/>
    <n v="256779417179"/>
    <s v="USD"/>
    <n v="1560"/>
    <n v="1560"/>
    <s v="INR"/>
    <n v="136522.35"/>
    <n v="0"/>
    <n v="1528.8"/>
    <n v="1528.8"/>
    <n v="31.200000000000045"/>
    <n v="2.0000000000000028E-2"/>
    <s v="CY Refer Pluging Chgs - 01 - 30 Jun 25"/>
  </r>
  <r>
    <s v="1800012561"/>
    <x v="2"/>
    <x v="13"/>
    <n v="256779417180"/>
    <s v="USD"/>
    <n v="1799.1"/>
    <n v="1799.1"/>
    <s v="INR"/>
    <n v="157447.03"/>
    <n v="0"/>
    <n v="1748.15"/>
    <n v="1748.15"/>
    <n v="50.949999999999818"/>
    <n v="2.8319715413262087E-2"/>
    <s v="CY Ground rent Chgs - 01 - 31 July 25"/>
  </r>
  <r>
    <s v="1800012562"/>
    <x v="2"/>
    <x v="13"/>
    <n v="256779417181"/>
    <s v="USD"/>
    <n v="1812"/>
    <n v="1812"/>
    <s v="INR"/>
    <n v="158575.97"/>
    <n v="0"/>
    <n v="1759.76"/>
    <n v="1759.76"/>
    <n v="52.240000000000009"/>
    <n v="2.8830022075055192E-2"/>
    <s v="CY Ground rent Chgs - 01 - 31 Aug 25"/>
  </r>
  <r>
    <s v="1800012619"/>
    <x v="2"/>
    <x v="13"/>
    <n v="256779417206"/>
    <s v="USD"/>
    <n v="152.28"/>
    <n v="152.28"/>
    <s v="INR"/>
    <n v="13326.68"/>
    <n v="0"/>
    <n v="149.23439999999999"/>
    <n v="149.23439999999999"/>
    <n v="3.0456000000000074"/>
    <n v="2.0000000000000049E-2"/>
    <s v="Empty Lolo Chgs - 01 - 31 AUG 25"/>
  </r>
  <r>
    <s v="1800012587"/>
    <x v="2"/>
    <x v="13"/>
    <n v="256779417245"/>
    <s v="USD"/>
    <n v="83.89"/>
    <n v="83.89"/>
    <s v="INR"/>
    <n v="7341.58"/>
    <n v="0"/>
    <n v="82.212199999999996"/>
    <n v="82.212199999999996"/>
    <n v="1.6778000000000048"/>
    <n v="2.0000000000000056E-2"/>
    <s v="PORT SSR Chgs Aug 25"/>
  </r>
  <r>
    <s v="1800012647"/>
    <x v="2"/>
    <x v="13"/>
    <n v="256779417287"/>
    <s v="USD"/>
    <n v="410.58"/>
    <n v="410.58"/>
    <s v="INR"/>
    <n v="35931.629999999997"/>
    <n v="0"/>
    <n v="402.36840000000001"/>
    <n v="402.36840000000001"/>
    <n v="8.2115999999999758"/>
    <n v="1.9999999999999941E-2"/>
    <s v="Transportation In Chgs - 16 - 31 AUG 25"/>
  </r>
  <r>
    <s v="1800012685"/>
    <x v="2"/>
    <x v="13"/>
    <n v="256779417325"/>
    <s v="USD"/>
    <n v="97.84"/>
    <n v="97.84"/>
    <s v="INR"/>
    <n v="8562.4"/>
    <n v="0"/>
    <n v="95.883200000000002"/>
    <n v="95.883200000000002"/>
    <n v="1.9568000000000012"/>
    <n v="2.0000000000000011E-2"/>
    <s v="Outbound chgs - 16 - 31 Aug 25"/>
  </r>
  <r>
    <s v="1600002212"/>
    <x v="3"/>
    <x v="13"/>
    <n v="256779421767"/>
    <s v="USD"/>
    <n v="-60"/>
    <n v="-60"/>
    <s v="INR"/>
    <n v="-5250.86"/>
    <e v="#N/A"/>
    <m/>
    <m/>
    <m/>
    <m/>
    <s v="CN Issued towards bill no. 256779417178"/>
  </r>
  <r>
    <s v="1600002213"/>
    <x v="3"/>
    <x v="13"/>
    <n v="256779421768"/>
    <s v="USD"/>
    <n v="-60"/>
    <n v="-60"/>
    <s v="INR"/>
    <n v="-5250.86"/>
    <e v="#N/A"/>
    <m/>
    <m/>
    <m/>
    <m/>
    <s v="CN Issued towards bill no. 256779417179"/>
  </r>
  <r>
    <s v="1600002214"/>
    <x v="3"/>
    <x v="13"/>
    <n v="256779421769"/>
    <s v="USD"/>
    <n v="-62"/>
    <n v="-62"/>
    <s v="INR"/>
    <n v="-5425.89"/>
    <e v="#N/A"/>
    <m/>
    <m/>
    <m/>
    <m/>
    <s v="CN Issued towards bill no. 256779417180"/>
  </r>
  <r>
    <s v="1600002215"/>
    <x v="3"/>
    <x v="13"/>
    <n v="256779421770"/>
    <s v="USD"/>
    <n v="-62"/>
    <n v="-62"/>
    <s v="INR"/>
    <n v="-5425.89"/>
    <e v="#N/A"/>
    <m/>
    <m/>
    <m/>
    <m/>
    <s v="CN Issued towards bill no. 256779417181"/>
  </r>
  <r>
    <s v="1800010008"/>
    <x v="2"/>
    <x v="9"/>
    <n v="256779414772"/>
    <s v="USD"/>
    <n v="220"/>
    <n v="220"/>
    <s v="INR"/>
    <n v="18920.150000000001"/>
    <n v="0"/>
    <n v="215.6"/>
    <n v="215.6"/>
    <n v="4.4000000000000057"/>
    <n v="2.0000000000000025E-2"/>
    <s v="Transportation In Chgs - 01 - 15 Jun 25"/>
  </r>
  <r>
    <s v="1800010066"/>
    <x v="2"/>
    <x v="9"/>
    <n v="256779414830"/>
    <s v="USD"/>
    <n v="142.32"/>
    <n v="142.32"/>
    <s v="INR"/>
    <n v="12239.62"/>
    <n v="0"/>
    <n v="139.4736"/>
    <n v="139.4736"/>
    <n v="2.8463999999999885"/>
    <n v="1.9999999999999921E-2"/>
    <s v="Outbound chgs - 01 - 15 Jun 25"/>
  </r>
  <r>
    <s v="1800010119"/>
    <x v="2"/>
    <x v="9"/>
    <n v="256779414879"/>
    <s v="USD"/>
    <n v="1663.92"/>
    <n v="1663.92"/>
    <s v="INR"/>
    <n v="143098.23000000001"/>
    <n v="0"/>
    <n v="1627.5447999999999"/>
    <n v="1627.5447999999999"/>
    <n v="36.375200000000177"/>
    <n v="2.1861147170537151E-2"/>
    <s v="Transportation In Chgs - 16 - 30 JUN 25"/>
  </r>
  <r>
    <s v="1800010131"/>
    <x v="2"/>
    <x v="9"/>
    <n v="256779414891"/>
    <s v="USD"/>
    <n v="413.33"/>
    <n v="413.33"/>
    <s v="INR"/>
    <n v="35546.660000000003"/>
    <n v="0"/>
    <n v="371.99700000000001"/>
    <n v="371.99700000000001"/>
    <n v="41.33299999999997"/>
    <n v="9.9999999999999936E-2"/>
    <s v="CY Ground rent Chgs - 01 - 30 June 25"/>
  </r>
  <r>
    <s v="1800010144"/>
    <x v="2"/>
    <x v="9"/>
    <n v="256779414904"/>
    <s v="USD"/>
    <n v="68.97"/>
    <n v="68.97"/>
    <s v="INR"/>
    <n v="5931.47"/>
    <n v="0"/>
    <n v="67.590599999999995"/>
    <n v="67.590599999999995"/>
    <n v="1.379400000000004"/>
    <n v="2.0000000000000059E-2"/>
    <s v="Empty Lolo Chgs - 01 - 30 JUN 25"/>
  </r>
  <r>
    <s v="1800010196"/>
    <x v="2"/>
    <x v="9"/>
    <n v="256779414956"/>
    <s v="USD"/>
    <n v="50"/>
    <n v="50"/>
    <s v="INR"/>
    <n v="4300.03"/>
    <n v="0"/>
    <n v="49"/>
    <n v="49"/>
    <n v="1"/>
    <n v="0.02"/>
    <s v="Empty Cont Out Chgs - 01 - 15 May 25"/>
  </r>
  <r>
    <s v="1800010197"/>
    <x v="2"/>
    <x v="9"/>
    <n v="256779414957"/>
    <s v="USD"/>
    <n v="50"/>
    <n v="50"/>
    <s v="INR"/>
    <n v="4300.03"/>
    <n v="0"/>
    <n v="49"/>
    <n v="49"/>
    <n v="1"/>
    <n v="0.02"/>
    <s v="Empty Cont Out Chgs - 01 - 15 May 25"/>
  </r>
  <r>
    <s v="1800010257"/>
    <x v="2"/>
    <x v="9"/>
    <n v="256779415017"/>
    <s v="USD"/>
    <n v="349.26"/>
    <n v="349.26"/>
    <s v="INR"/>
    <n v="30036.59"/>
    <n v="0"/>
    <n v="342.27480000000003"/>
    <n v="342.27480000000003"/>
    <n v="6.9851999999999634"/>
    <n v="1.9999999999999896E-2"/>
    <s v="Outbound chgs - 16 - 30 Jun 25"/>
  </r>
  <r>
    <s v="1800010436"/>
    <x v="2"/>
    <x v="9"/>
    <n v="256779415196"/>
    <s v="USD"/>
    <n v="17.48"/>
    <n v="17.48"/>
    <s v="INR"/>
    <n v="1503.29"/>
    <n v="0"/>
    <n v="15.731999999999999"/>
    <n v="15.731999999999999"/>
    <n v="1.7480000000000011"/>
    <n v="0.10000000000000006"/>
    <s v="Unit Storage - 1-30 June 25"/>
  </r>
  <r>
    <s v="1800010504"/>
    <x v="2"/>
    <x v="9"/>
    <n v="256779415264"/>
    <s v="USD"/>
    <n v="926.11"/>
    <n v="926.11"/>
    <s v="INR"/>
    <n v="79646.080000000002"/>
    <n v="0"/>
    <n v="907.59"/>
    <n v="907.59"/>
    <n v="18.519999999999982"/>
    <n v="1.9997624472254897E-2"/>
    <s v="VAS - 16-30 June 25"/>
  </r>
  <r>
    <s v="1600001539"/>
    <x v="3"/>
    <x v="9"/>
    <n v="256779421172"/>
    <s v="USD"/>
    <n v="-1700"/>
    <n v="-1700"/>
    <s v="INR"/>
    <n v="-146201.14000000001"/>
    <e v="#N/A"/>
    <m/>
    <m/>
    <m/>
    <m/>
    <s v="CN against 256779410006"/>
  </r>
  <r>
    <s v="1600001540"/>
    <x v="3"/>
    <x v="9"/>
    <n v="256779421173"/>
    <s v="USD"/>
    <n v="-1750"/>
    <n v="-1750"/>
    <s v="INR"/>
    <n v="-150501.17000000001"/>
    <e v="#N/A"/>
    <m/>
    <m/>
    <m/>
    <m/>
    <s v="CN against 256779410012"/>
  </r>
  <r>
    <s v="1600001541"/>
    <x v="3"/>
    <x v="9"/>
    <n v="256779421174"/>
    <s v="USD"/>
    <n v="-1700"/>
    <n v="-1700"/>
    <s v="INR"/>
    <n v="-146201.14000000001"/>
    <e v="#N/A"/>
    <m/>
    <m/>
    <m/>
    <m/>
    <s v="CN against 256779410015"/>
  </r>
  <r>
    <s v="1600001542"/>
    <x v="3"/>
    <x v="9"/>
    <n v="256779421175"/>
    <s v="USD"/>
    <n v="-1750"/>
    <n v="-1750"/>
    <s v="INR"/>
    <n v="-150501.17000000001"/>
    <e v="#N/A"/>
    <m/>
    <m/>
    <m/>
    <m/>
    <s v="CN against 256779410224"/>
  </r>
  <r>
    <s v="1800014283"/>
    <x v="2"/>
    <x v="14"/>
    <n v="256779418820"/>
    <s v="USD"/>
    <n v="351.13"/>
    <n v="351.13"/>
    <s v="INR"/>
    <n v="30900.63"/>
    <n v="0"/>
    <n v="344.10739999999998"/>
    <n v="344.10739999999998"/>
    <n v="7.0226000000000113"/>
    <n v="2.0000000000000032E-2"/>
    <s v="VAS-16 -31 Oct 25"/>
  </r>
  <r>
    <s v="1800014544"/>
    <x v="2"/>
    <x v="14"/>
    <n v="256779418876"/>
    <s v="USD"/>
    <n v="745.97"/>
    <n v="745.97"/>
    <s v="INR"/>
    <n v="65647.89"/>
    <n v="0"/>
    <n v="671.37300000000005"/>
    <n v="671.37300000000005"/>
    <n v="74.59699999999998"/>
    <n v="9.9999999999999964E-2"/>
    <s v="Unit Storage - 1-31 Oct 2025"/>
  </r>
  <r>
    <s v="1800014634"/>
    <x v="2"/>
    <x v="14"/>
    <n v="256779419077"/>
    <s v="USD"/>
    <n v="900"/>
    <n v="900"/>
    <s v="INR"/>
    <n v="79203.05"/>
    <n v="0"/>
    <n v="874"/>
    <n v="874"/>
    <n v="26"/>
    <n v="2.8888888888888888E-2"/>
    <s v="CY Ground rent Chgs - 16 - 31 Oct 25"/>
  </r>
  <r>
    <s v="1800014525"/>
    <x v="2"/>
    <x v="14"/>
    <n v="256779419174"/>
    <s v="USD"/>
    <n v="8.2100000000000009"/>
    <n v="8.2100000000000009"/>
    <s v="INR"/>
    <n v="722.51"/>
    <n v="0"/>
    <n v="8.0457999999999998"/>
    <n v="8.0457999999999998"/>
    <n v="0.16420000000000101"/>
    <n v="2.0000000000000122E-2"/>
    <s v="Outbound chgs - 16 - 31 Oct 25"/>
  </r>
  <r>
    <s v="1800014618"/>
    <x v="2"/>
    <x v="14"/>
    <n v="256779419200"/>
    <s v="USD"/>
    <n v="152.26"/>
    <n v="152.26"/>
    <s v="INR"/>
    <n v="13399.4"/>
    <n v="0"/>
    <n v="149.2148"/>
    <n v="149.2148"/>
    <n v="3.0451999999999941"/>
    <n v="1.9999999999999962E-2"/>
    <s v="Empty Lolo Chgs - 01 - 31 OCT 25"/>
  </r>
  <r>
    <s v="1800014731"/>
    <x v="2"/>
    <x v="14"/>
    <n v="256779419232"/>
    <s v="USD"/>
    <n v="25.69"/>
    <n v="25.69"/>
    <s v="INR"/>
    <n v="2260.81"/>
    <n v="0"/>
    <n v="25.176200000000001"/>
    <n v="25.176200000000001"/>
    <n v="0.51379999999999981"/>
    <n v="1.999999999999999E-2"/>
    <s v="PORT SSR Chgs Oct 25"/>
  </r>
  <r>
    <s v="1800000350"/>
    <x v="2"/>
    <x v="31"/>
    <n v="246779410324"/>
    <s v="USD"/>
    <n v="1750"/>
    <n v="1750"/>
    <s v="INR"/>
    <n v="151031.41"/>
    <n v="0"/>
    <n v="1575"/>
    <n v="1575"/>
    <n v="175"/>
    <n v="0.1"/>
    <s v="CY Longstanding container Ground Rent charges for"/>
  </r>
  <r>
    <s v="1800014408"/>
    <x v="2"/>
    <x v="7"/>
    <n v="256779419130"/>
    <s v="USD"/>
    <n v="52.71"/>
    <n v="52.71"/>
    <s v="INR"/>
    <n v="4638.66"/>
    <n v="0"/>
    <n v="51.655799999999999"/>
    <n v="51.655799999999999"/>
    <n v="1.0542000000000016"/>
    <n v="2.0000000000000028E-2"/>
    <s v="LCL Chgs - 16 - 31 OCT 25"/>
  </r>
  <r>
    <s v="1800011648"/>
    <x v="2"/>
    <x v="32"/>
    <n v="256779416078"/>
    <s v="USD"/>
    <n v="1477.42"/>
    <n v="1477.42"/>
    <s v="INR"/>
    <n v="127102.62"/>
    <n v="0"/>
    <n v="1329.6780000000001"/>
    <n v="1329.6780000000001"/>
    <n v="147.74199999999996"/>
    <n v="9.9999999999999964E-2"/>
    <s v="Unit Storage - 1-30 June 25"/>
  </r>
  <r>
    <s v="1800011656"/>
    <x v="2"/>
    <x v="32"/>
    <n v="256779416086"/>
    <s v="USD"/>
    <n v="1449.76"/>
    <n v="1449.76"/>
    <s v="INR"/>
    <n v="124723.03"/>
    <n v="0"/>
    <n v="1304.7840000000001"/>
    <n v="1304.7840000000001"/>
    <n v="144.97599999999989"/>
    <n v="9.9999999999999922E-2"/>
    <s v="Unit Storage - 1-31 July 25"/>
  </r>
  <r>
    <s v="1800011800"/>
    <x v="2"/>
    <x v="32"/>
    <n v="256779416103"/>
    <s v="USD"/>
    <n v="50"/>
    <n v="50"/>
    <s v="INR"/>
    <n v="4301.51"/>
    <e v="#N/A"/>
    <m/>
    <m/>
    <m/>
    <m/>
    <s v="Scanning  Chgs - 16 - 31 Jul 25"/>
  </r>
  <r>
    <s v="1800011832"/>
    <x v="2"/>
    <x v="32"/>
    <n v="256779416141"/>
    <s v="USD"/>
    <n v="299.12"/>
    <n v="299.12"/>
    <s v="INR"/>
    <n v="25733.33"/>
    <n v="0"/>
    <n v="293.13760000000002"/>
    <n v="293.13760000000002"/>
    <n v="5.9823999999999842"/>
    <n v="1.9999999999999948E-2"/>
    <s v="Empty Lolo Chgs - 01 - 31 JUL 25"/>
  </r>
  <r>
    <s v="1800011788"/>
    <x v="2"/>
    <x v="32"/>
    <n v="256779416179"/>
    <s v="USD"/>
    <n v="2787.24"/>
    <n v="2787.24"/>
    <s v="INR"/>
    <n v="239786.59"/>
    <n v="0"/>
    <n v="2723.24"/>
    <n v="2723.24"/>
    <n v="64"/>
    <n v="2.2961782982448588E-2"/>
    <s v="Transportation In Chgs - 16 - 31 JUL 25"/>
  </r>
  <r>
    <s v="1800011706"/>
    <x v="2"/>
    <x v="32"/>
    <n v="256779416224"/>
    <s v="USD"/>
    <n v="304.52999999999997"/>
    <n v="304.52999999999997"/>
    <s v="INR"/>
    <n v="26198.75"/>
    <n v="0"/>
    <n v="298.44"/>
    <n v="298.44"/>
    <n v="6.089999999999975"/>
    <n v="1.9998029750763393E-2"/>
    <s v="Outbound chgs - 16 - 31 Jul 25"/>
  </r>
  <r>
    <s v="1800011595"/>
    <x v="2"/>
    <x v="32"/>
    <n v="256779416445"/>
    <s v="USD"/>
    <n v="586.79"/>
    <n v="586.79"/>
    <s v="INR"/>
    <n v="50481.61"/>
    <n v="0"/>
    <n v="575.04999999999995"/>
    <n v="575.04999999999995"/>
    <n v="11.740000000000009"/>
    <n v="2.0007157586189282E-2"/>
    <s v="VAS 16-31 July 25"/>
  </r>
  <r>
    <s v="1800011864"/>
    <x v="2"/>
    <x v="32"/>
    <n v="256779416515"/>
    <s v="USD"/>
    <n v="396.98"/>
    <n v="396.98"/>
    <s v="INR"/>
    <n v="34152.239999999998"/>
    <n v="0"/>
    <n v="389.04039999999998"/>
    <n v="389.04039999999998"/>
    <n v="7.9396000000000413"/>
    <n v="2.0000000000000104E-2"/>
    <s v="PORT SSR Chgs July 25"/>
  </r>
  <r>
    <s v="1800009453"/>
    <x v="2"/>
    <x v="33"/>
    <n v="256779414217"/>
    <s v="USD"/>
    <n v="71.760000000000005"/>
    <n v="71.760000000000005"/>
    <s v="INR"/>
    <n v="6134.82"/>
    <n v="0"/>
    <n v="70.324799999999996"/>
    <n v="70.324799999999996"/>
    <n v="1.4352000000000089"/>
    <n v="2.0000000000000122E-2"/>
    <s v="Outbound chgs - 16 - 31 MAY 25"/>
  </r>
  <r>
    <s v="1800009511"/>
    <x v="2"/>
    <x v="33"/>
    <n v="256779414275"/>
    <s v="USD"/>
    <n v="136.08000000000001"/>
    <n v="136.08000000000001"/>
    <s v="INR"/>
    <n v="11633.59"/>
    <n v="0"/>
    <n v="133.35839999999999"/>
    <n v="133.35839999999999"/>
    <n v="2.7216000000000236"/>
    <n v="2.000000000000017E-2"/>
    <s v="Empty Lolo Chgs - 01 - 31 MAY 25"/>
  </r>
  <r>
    <s v="1800009553"/>
    <x v="2"/>
    <x v="33"/>
    <n v="256779414317"/>
    <s v="USD"/>
    <n v="697.43"/>
    <n v="697.43"/>
    <s v="INR"/>
    <n v="59623.83"/>
    <n v="0"/>
    <n v="683.48140000000001"/>
    <n v="683.48140000000001"/>
    <n v="13.948599999999942"/>
    <n v="1.9999999999999917E-2"/>
    <s v="LCL Chgs - 16-31 MAY 25"/>
  </r>
  <r>
    <s v="1600000596"/>
    <x v="3"/>
    <x v="34"/>
    <n v="256779420305"/>
    <s v="USD"/>
    <n v="-945.75"/>
    <n v="-945.75"/>
    <s v="INR"/>
    <n v="-81988.259999999995"/>
    <e v="#N/A"/>
    <m/>
    <m/>
    <m/>
    <m/>
    <s v="Credit note against 246779412238"/>
  </r>
  <r>
    <s v="1600000782"/>
    <x v="3"/>
    <x v="34"/>
    <n v="256779420491"/>
    <s v="USD"/>
    <n v="-1166.5899999999999"/>
    <n v="-1166.5899999999999"/>
    <s v="INR"/>
    <n v="-101402.13"/>
    <e v="#N/A"/>
    <m/>
    <m/>
    <m/>
    <m/>
    <s v="Credit note against 256779410230"/>
  </r>
  <r>
    <s v="1600000816"/>
    <x v="3"/>
    <x v="34"/>
    <n v="256779420525"/>
    <s v="USD"/>
    <n v="-1143.1199999999999"/>
    <n v="-1143.1199999999999"/>
    <s v="INR"/>
    <n v="-99362.07"/>
    <e v="#N/A"/>
    <m/>
    <m/>
    <m/>
    <m/>
    <s v="Credit note against 256779410271"/>
  </r>
  <r>
    <s v="1800008488"/>
    <x v="2"/>
    <x v="35"/>
    <n v="256779413256"/>
    <s v="USD"/>
    <n v="270"/>
    <n v="270"/>
    <s v="INR"/>
    <n v="23215.599999999999"/>
    <n v="0"/>
    <n v="264.60000000000002"/>
    <n v="264.60000000000002"/>
    <n v="5.3999999999999773"/>
    <n v="1.9999999999999917E-2"/>
    <s v="Transportation In Chgs - 16 - 30 Apr 25"/>
  </r>
  <r>
    <s v="1800008520"/>
    <x v="2"/>
    <x v="35"/>
    <n v="256779413284"/>
    <s v="USD"/>
    <n v="35"/>
    <n v="35"/>
    <s v="INR"/>
    <n v="3009.43"/>
    <n v="0"/>
    <n v="34.299999999999997"/>
    <n v="34.299999999999997"/>
    <n v="0.70000000000000284"/>
    <n v="2.000000000000008E-2"/>
    <s v="Scanning  Chgs - 16 - 31 Apr 25"/>
  </r>
  <r>
    <s v="1800008549"/>
    <x v="2"/>
    <x v="35"/>
    <n v="256779413313"/>
    <s v="USD"/>
    <n v="86"/>
    <n v="86"/>
    <s v="INR"/>
    <n v="7394.6"/>
    <n v="0"/>
    <n v="84.28"/>
    <n v="84.28"/>
    <n v="1.7199999999999989"/>
    <n v="1.9999999999999987E-2"/>
    <s v="LCL Chgs - 16 - 30 Apr 25"/>
  </r>
  <r>
    <s v="1800008594"/>
    <x v="2"/>
    <x v="35"/>
    <n v="256779413358"/>
    <s v="USD"/>
    <n v="20.11"/>
    <n v="20.11"/>
    <s v="INR"/>
    <n v="1729.13"/>
    <n v="0"/>
    <n v="19.707799999999999"/>
    <n v="19.707799999999999"/>
    <n v="0.40220000000000056"/>
    <n v="2.0000000000000028E-2"/>
    <s v="Outbound chgs - 16 - 30 Apr 25"/>
  </r>
  <r>
    <s v="1800009133"/>
    <x v="2"/>
    <x v="36"/>
    <n v="256779413897"/>
    <s v="USD"/>
    <n v="553.24"/>
    <n v="553.24"/>
    <s v="INR"/>
    <n v="47569.62"/>
    <n v="0"/>
    <n v="497.916"/>
    <n v="497.916"/>
    <n v="55.324000000000012"/>
    <n v="0.10000000000000002"/>
    <s v="Storage Chgs - 01 - 31 Apr 25"/>
  </r>
  <r>
    <s v="1800010770"/>
    <x v="2"/>
    <x v="37"/>
    <n v="256779415432"/>
    <s v="USD"/>
    <n v="296.64"/>
    <n v="296.64"/>
    <s v="INR"/>
    <n v="25511.24"/>
    <n v="0"/>
    <n v="290.70999999999998"/>
    <n v="290.70999999999998"/>
    <n v="5.9300000000000068"/>
    <n v="1.9990560949298838E-2"/>
    <s v="PORT SSR Chgs Apr to June 25"/>
  </r>
  <r>
    <s v="1800010698"/>
    <x v="2"/>
    <x v="37"/>
    <n v="256779415482"/>
    <s v="USD"/>
    <n v="860.97"/>
    <n v="860.97"/>
    <s v="INR"/>
    <n v="74044"/>
    <n v="0"/>
    <n v="842.20999999999992"/>
    <n v="842.20999999999992"/>
    <n v="18.760000000000105"/>
    <n v="2.1789377097924556E-2"/>
    <s v="Transportation In Chgs - 01 - 15 JUL 25"/>
  </r>
  <r>
    <s v="1800010740"/>
    <x v="2"/>
    <x v="37"/>
    <n v="256779415524"/>
    <s v="USD"/>
    <n v="73.12"/>
    <n v="73.12"/>
    <s v="INR"/>
    <n v="6288.37"/>
    <n v="0"/>
    <n v="71.657600000000002"/>
    <n v="71.657600000000002"/>
    <n v="1.4624000000000024"/>
    <n v="2.0000000000000032E-2"/>
    <s v="Outbound chgs - 01 - 15 Jul 25"/>
  </r>
  <r>
    <s v="1800010941"/>
    <x v="2"/>
    <x v="37"/>
    <n v="256779415701"/>
    <s v="USD"/>
    <n v="660"/>
    <n v="660"/>
    <s v="INR"/>
    <n v="56760.44"/>
    <n v="0"/>
    <n v="646.79999999999995"/>
    <n v="646.79999999999995"/>
    <n v="13.200000000000045"/>
    <n v="2.000000000000007E-2"/>
    <s v="Transportation In Chgs - 01 - 15 Jul 25"/>
  </r>
  <r>
    <s v="1800011042"/>
    <x v="2"/>
    <x v="37"/>
    <n v="256779415802"/>
    <s v="USD"/>
    <n v="860.97"/>
    <n v="860.97"/>
    <s v="INR"/>
    <n v="74044"/>
    <e v="#N/A"/>
    <m/>
    <m/>
    <m/>
    <m/>
    <s v="Transportation In Chgs - 01 - 15 JUL 25"/>
  </r>
  <r>
    <s v="1800001469"/>
    <x v="2"/>
    <x v="38"/>
    <n v="246779411301"/>
    <s v="USD"/>
    <n v="85"/>
    <n v="85"/>
    <s v="INR"/>
    <n v="7368.76"/>
    <n v="0"/>
    <n v="83.3"/>
    <n v="83.3"/>
    <n v="1.7000000000000028"/>
    <n v="2.0000000000000035E-2"/>
    <s v="Scanning Charges for the month of September, 2024"/>
  </r>
  <r>
    <s v="1800001451"/>
    <x v="2"/>
    <x v="38"/>
    <n v="246779411315"/>
    <s v="USD"/>
    <n v="35"/>
    <n v="35"/>
    <s v="INR"/>
    <n v="3034.19"/>
    <n v="0"/>
    <n v="34.299999999999997"/>
    <n v="34.299999999999997"/>
    <n v="0.70000000000000284"/>
    <n v="2.000000000000008E-2"/>
    <s v="Scanning Charges for the month of October, 2024"/>
  </r>
  <r>
    <s v="1800001411"/>
    <x v="2"/>
    <x v="38"/>
    <n v="246779411279"/>
    <s v="USD"/>
    <n v="35"/>
    <n v="35"/>
    <s v="INR"/>
    <n v="3034.19"/>
    <n v="0"/>
    <n v="34.299999999999997"/>
    <n v="34.299999999999997"/>
    <n v="0.70000000000000284"/>
    <n v="2.000000000000008E-2"/>
    <s v="Scanning Charges for the month of August, 2024"/>
  </r>
  <r>
    <s v="1800003929"/>
    <x v="2"/>
    <x v="39"/>
    <n v="246779413797"/>
    <s v="USD"/>
    <n v="1750"/>
    <n v="1750"/>
    <s v="INR"/>
    <n v="151709.71"/>
    <n v="0"/>
    <n v="1719"/>
    <n v="1719"/>
    <n v="31"/>
    <n v="1.7714285714285714E-2"/>
    <s v="Ground Rent Jan 25"/>
  </r>
  <r>
    <s v="1800003940"/>
    <x v="2"/>
    <x v="39"/>
    <n v="246779413808"/>
    <s v="USD"/>
    <n v="1600"/>
    <n v="1600"/>
    <s v="INR"/>
    <n v="138706.01999999999"/>
    <n v="0"/>
    <n v="1572"/>
    <n v="1572"/>
    <n v="28"/>
    <n v="1.7500000000000002E-2"/>
    <s v="Ground Rent Feb 25"/>
  </r>
  <r>
    <s v="1800003961"/>
    <x v="2"/>
    <x v="39"/>
    <n v="246779413817"/>
    <s v="USD"/>
    <n v="50"/>
    <n v="50"/>
    <s v="INR"/>
    <n v="4334.5600000000004"/>
    <n v="0"/>
    <n v="49"/>
    <n v="49"/>
    <n v="1"/>
    <n v="0.02"/>
    <s v="Scanning Charges for the month of Feb 2025"/>
  </r>
  <r>
    <s v="1800003972"/>
    <x v="2"/>
    <x v="39"/>
    <n v="246779413828"/>
    <s v="USD"/>
    <n v="50"/>
    <n v="50"/>
    <s v="INR"/>
    <n v="4334.5600000000004"/>
    <n v="0"/>
    <n v="49"/>
    <n v="49"/>
    <n v="1"/>
    <n v="0.02"/>
    <s v="Scanning Charges for the month of Jan 2025"/>
  </r>
  <r>
    <s v="1800004049"/>
    <x v="2"/>
    <x v="39"/>
    <n v="246779413905"/>
    <s v="USD"/>
    <n v="4.4000000000000004"/>
    <n v="4.4000000000000004"/>
    <s v="INR"/>
    <n v="381.44"/>
    <n v="0"/>
    <n v="4.3120000000000003"/>
    <n v="4.3120000000000003"/>
    <n v="8.8000000000000078E-2"/>
    <n v="2.0000000000000018E-2"/>
    <s v="Outbound Handling charges for Feb 2025"/>
  </r>
  <r>
    <s v="1800004275"/>
    <x v="2"/>
    <x v="39"/>
    <n v="246779414143"/>
    <s v="USD"/>
    <n v="566.11"/>
    <n v="566.11"/>
    <s v="INR"/>
    <n v="49076.79"/>
    <n v="0"/>
    <n v="554.78779999999995"/>
    <n v="554.78779999999995"/>
    <n v="11.322200000000066"/>
    <n v="2.0000000000000115E-2"/>
    <s v="Inbound Handling charges for  Sep 2024"/>
  </r>
  <r>
    <s v="1800004276"/>
    <x v="2"/>
    <x v="39"/>
    <n v="246779414144"/>
    <s v="USD"/>
    <n v="126"/>
    <n v="126"/>
    <s v="INR"/>
    <n v="10923.1"/>
    <n v="0"/>
    <n v="123.48"/>
    <n v="123.48"/>
    <n v="2.519999999999996"/>
    <n v="1.9999999999999969E-2"/>
    <s v="LCL charges for Sep 2024"/>
  </r>
  <r>
    <s v="1800004277"/>
    <x v="2"/>
    <x v="39"/>
    <n v="246779414145"/>
    <s v="USD"/>
    <n v="150"/>
    <n v="150"/>
    <s v="INR"/>
    <n v="13003.69"/>
    <n v="0"/>
    <n v="147"/>
    <n v="147"/>
    <n v="3"/>
    <n v="0.02"/>
    <s v="Reefer Plugin charges for Sep 2024"/>
  </r>
  <r>
    <s v="1800004278"/>
    <x v="2"/>
    <x v="39"/>
    <n v="246779414146"/>
    <s v="USD"/>
    <n v="19.350000000000001"/>
    <n v="19.350000000000001"/>
    <s v="INR"/>
    <n v="1677.48"/>
    <n v="0"/>
    <n v="17.414999999999999"/>
    <n v="17.414999999999999"/>
    <n v="1.9350000000000023"/>
    <n v="0.10000000000000012"/>
    <s v="Ground Rent charges for Sep 2024"/>
  </r>
  <r>
    <s v="1800004354"/>
    <x v="2"/>
    <x v="39"/>
    <n v="246779414222"/>
    <s v="USD"/>
    <n v="196.78"/>
    <n v="196.78"/>
    <s v="INR"/>
    <n v="17059.11"/>
    <n v="0"/>
    <n v="192.84440000000001"/>
    <n v="192.84440000000001"/>
    <n v="3.9355999999999938"/>
    <n v="1.9999999999999969E-2"/>
    <s v="Outbound Handling charges for Sep 2024"/>
  </r>
  <r>
    <s v="1800004529"/>
    <x v="2"/>
    <x v="39"/>
    <n v="246779414397"/>
    <s v="USD"/>
    <n v="7.03"/>
    <n v="7.03"/>
    <s v="INR"/>
    <n v="609.44000000000005"/>
    <n v="0"/>
    <n v="6.8894000000000002"/>
    <n v="6.8894000000000002"/>
    <n v="0.14060000000000006"/>
    <n v="2.0000000000000007E-2"/>
    <s v="Loose handling Charges for Nov 2024"/>
  </r>
  <r>
    <s v="1800004530"/>
    <x v="2"/>
    <x v="39"/>
    <n v="246779414398"/>
    <s v="USD"/>
    <n v="32.380000000000003"/>
    <n v="32.380000000000003"/>
    <s v="INR"/>
    <n v="2807.06"/>
    <n v="0"/>
    <n v="31.732399999999998"/>
    <n v="31.732399999999998"/>
    <n v="0.64760000000000417"/>
    <n v="2.0000000000000129E-2"/>
    <s v="Inbound Handling charges for Nov 2024"/>
  </r>
  <r>
    <s v="1800004531"/>
    <x v="2"/>
    <x v="39"/>
    <n v="246779414399"/>
    <s v="USD"/>
    <n v="77.040000000000006"/>
    <n v="77.040000000000006"/>
    <s v="INR"/>
    <n v="6678.69"/>
    <n v="0"/>
    <n v="75.499200000000002"/>
    <n v="75.499200000000002"/>
    <n v="1.5408000000000044"/>
    <n v="2.0000000000000056E-2"/>
    <s v="LCL Movement Charges for Nov 2024"/>
  </r>
  <r>
    <s v="1800004867"/>
    <x v="2"/>
    <x v="39"/>
    <n v="246779414735"/>
    <s v="USD"/>
    <n v="97.4"/>
    <n v="97.4"/>
    <s v="INR"/>
    <n v="8443.73"/>
    <n v="0"/>
    <n v="95.451999999999998"/>
    <n v="95.451999999999998"/>
    <n v="1.9480000000000075"/>
    <n v="2.0000000000000077E-2"/>
    <s v="Outbound Handling charges for Jan 2025"/>
  </r>
  <r>
    <s v="1800005018"/>
    <x v="2"/>
    <x v="39"/>
    <n v="246779414886"/>
    <s v="USD"/>
    <n v="30.8"/>
    <n v="30.8"/>
    <s v="INR"/>
    <n v="2670.09"/>
    <n v="0"/>
    <n v="30.184000000000001"/>
    <n v="30.184000000000001"/>
    <n v="0.61599999999999966"/>
    <n v="1.999999999999999E-2"/>
    <s v="Outbound Handling charges for Jan 2025"/>
  </r>
  <r>
    <s v="1800005019"/>
    <x v="2"/>
    <x v="39"/>
    <n v="246779414887"/>
    <s v="USD"/>
    <n v="7.27"/>
    <n v="7.27"/>
    <s v="INR"/>
    <n v="630.25"/>
    <n v="0"/>
    <n v="7.1246"/>
    <n v="7.1246"/>
    <n v="0.14539999999999953"/>
    <n v="1.9999999999999938E-2"/>
    <s v="Outbound Handling charges for Jan 2025"/>
  </r>
  <r>
    <s v="1800005020"/>
    <x v="2"/>
    <x v="39"/>
    <n v="246779414888"/>
    <s v="USD"/>
    <n v="10.91"/>
    <n v="10.91"/>
    <s v="INR"/>
    <n v="945.8"/>
    <e v="#N/A"/>
    <m/>
    <m/>
    <m/>
    <m/>
    <s v="Outbound Handling charges for Jan 2025"/>
  </r>
  <r>
    <s v="1800005021"/>
    <x v="2"/>
    <x v="39"/>
    <n v="246779414889"/>
    <s v="USD"/>
    <n v="2.52"/>
    <n v="2.52"/>
    <s v="INR"/>
    <n v="218.46"/>
    <n v="0"/>
    <n v="2.4695999999999998"/>
    <n v="2.4695999999999998"/>
    <n v="5.0400000000000222E-2"/>
    <n v="2.0000000000000087E-2"/>
    <s v="Outbound Handling charges for Jan 2025"/>
  </r>
  <r>
    <s v="1800005022"/>
    <x v="2"/>
    <x v="39"/>
    <n v="246779414890"/>
    <s v="USD"/>
    <n v="44"/>
    <n v="44"/>
    <s v="INR"/>
    <n v="3814.42"/>
    <n v="0"/>
    <n v="43.12"/>
    <n v="43.12"/>
    <n v="0.88000000000000256"/>
    <n v="2.0000000000000059E-2"/>
    <s v="Outbound Handling charges for Jan 2025"/>
  </r>
  <r>
    <s v="1800004600"/>
    <x v="2"/>
    <x v="39"/>
    <n v="246779414468"/>
    <s v="USD"/>
    <n v="92.22"/>
    <n v="92.22"/>
    <s v="INR"/>
    <n v="7994.67"/>
    <n v="0"/>
    <n v="90.375600000000006"/>
    <n v="90.375600000000006"/>
    <n v="1.8443999999999932"/>
    <n v="1.9999999999999928E-2"/>
    <s v="Inbound Handling charges for Jan 2025"/>
  </r>
  <r>
    <s v="1800004736"/>
    <x v="2"/>
    <x v="39"/>
    <n v="246779414604"/>
    <s v="USD"/>
    <n v="458.06"/>
    <n v="458.06"/>
    <s v="INR"/>
    <n v="39709.800000000003"/>
    <n v="0"/>
    <n v="448.89879999999999"/>
    <n v="448.89879999999999"/>
    <n v="9.161200000000008"/>
    <n v="2.0000000000000018E-2"/>
    <s v="Outbound Handling charges for Oct 2024"/>
  </r>
  <r>
    <s v="1800004814"/>
    <x v="2"/>
    <x v="39"/>
    <n v="246779414682"/>
    <s v="USD"/>
    <n v="90.86"/>
    <n v="90.86"/>
    <s v="INR"/>
    <n v="7876.77"/>
    <n v="0"/>
    <n v="89.0428"/>
    <n v="89.0428"/>
    <n v="1.8171999999999997"/>
    <n v="1.9999999999999997E-2"/>
    <s v="Outbound Handling charges for Nov 2024"/>
  </r>
  <r>
    <s v="1800000101"/>
    <x v="2"/>
    <x v="40"/>
    <n v="246779410029"/>
    <s v="USD"/>
    <n v="1190.48"/>
    <n v="1190.48"/>
    <s v="INR"/>
    <n v="102742.78"/>
    <n v="0"/>
    <n v="1071.432"/>
    <n v="1071.432"/>
    <n v="119.048"/>
    <n v="0.1"/>
    <s v="Fixed Rental charges for Sept 2024"/>
  </r>
  <r>
    <s v="1800000127"/>
    <x v="2"/>
    <x v="40"/>
    <n v="246779410055"/>
    <s v="USD"/>
    <n v="416.67"/>
    <n v="416.67"/>
    <s v="INR"/>
    <n v="35960.15"/>
    <n v="0"/>
    <n v="408.33659999999998"/>
    <n v="408.33659999999998"/>
    <n v="8.3334000000000401"/>
    <n v="2.0000000000000094E-2"/>
    <s v="Management Fees for Sept 2024"/>
  </r>
  <r>
    <s v="1800000170"/>
    <x v="2"/>
    <x v="40"/>
    <n v="246779410097"/>
    <s v="USD"/>
    <n v="1190.48"/>
    <n v="1190.48"/>
    <s v="INR"/>
    <n v="102742.78"/>
    <n v="0"/>
    <n v="1071.432"/>
    <n v="1071.432"/>
    <n v="119.048"/>
    <n v="0.1"/>
    <s v="Fixed Rental charges for Nov 2024"/>
  </r>
  <r>
    <s v="1800000196"/>
    <x v="2"/>
    <x v="40"/>
    <n v="246779410123"/>
    <s v="USD"/>
    <n v="416.67"/>
    <n v="416.67"/>
    <s v="INR"/>
    <n v="35960.15"/>
    <n v="0"/>
    <n v="408.33659999999998"/>
    <n v="408.33659999999998"/>
    <n v="8.3334000000000401"/>
    <n v="2.0000000000000094E-2"/>
    <s v="Management Fees for Nov 2024"/>
  </r>
  <r>
    <s v="1800000213"/>
    <x v="2"/>
    <x v="40"/>
    <n v="246779410140"/>
    <s v="USD"/>
    <n v="1190.48"/>
    <n v="1190.48"/>
    <s v="INR"/>
    <n v="102742.78"/>
    <n v="0"/>
    <n v="1071.432"/>
    <n v="1071.432"/>
    <n v="119.048"/>
    <n v="0.1"/>
    <s v="Fixed Rental charges for Dec 2024"/>
  </r>
  <r>
    <s v="1800000239"/>
    <x v="2"/>
    <x v="40"/>
    <n v="246779410166"/>
    <s v="USD"/>
    <n v="416.67"/>
    <n v="416.67"/>
    <s v="INR"/>
    <n v="35960.15"/>
    <n v="0"/>
    <n v="408.33659999999998"/>
    <n v="408.33659999999998"/>
    <n v="8.3334000000000401"/>
    <n v="2.0000000000000094E-2"/>
    <s v="Management Fees for Dec 2024"/>
  </r>
  <r>
    <s v="1800000256"/>
    <x v="2"/>
    <x v="40"/>
    <n v="246779410183"/>
    <s v="USD"/>
    <n v="1166.5899999999999"/>
    <n v="1166.5899999999999"/>
    <s v="INR"/>
    <n v="100680.99"/>
    <e v="#N/A"/>
    <m/>
    <m/>
    <m/>
    <m/>
    <s v="Fixed Rental charges for Jan 2025"/>
  </r>
  <r>
    <s v="1800000282"/>
    <x v="2"/>
    <x v="40"/>
    <n v="246779410209"/>
    <s v="USD"/>
    <n v="408.31"/>
    <n v="408.31"/>
    <s v="INR"/>
    <n v="35238.65"/>
    <n v="0"/>
    <n v="1450.0748000000001"/>
    <n v="1450.0748000000001"/>
    <n v="-1041.7648000000002"/>
    <n v="-2.5514065293526982"/>
    <s v="Management Fees for Jan 2025"/>
  </r>
  <r>
    <s v="1800000299"/>
    <x v="2"/>
    <x v="40"/>
    <n v="246779410226"/>
    <s v="USD"/>
    <n v="1143.1199999999999"/>
    <n v="1143.1199999999999"/>
    <s v="INR"/>
    <n v="98655.44"/>
    <n v="0"/>
    <n v="1028.808"/>
    <n v="1028.808"/>
    <n v="114.3119999999999"/>
    <n v="9.9999999999999922E-2"/>
    <s v="Fixed Rental charges for Feb 2025"/>
  </r>
  <r>
    <s v="1800000325"/>
    <x v="2"/>
    <x v="40"/>
    <n v="246779410252"/>
    <s v="USD"/>
    <n v="400.09"/>
    <n v="400.09"/>
    <s v="INR"/>
    <n v="34529.230000000003"/>
    <n v="0"/>
    <n v="392.08819999999997"/>
    <n v="392.08819999999997"/>
    <n v="8.0018000000000029"/>
    <n v="2.0000000000000007E-2"/>
    <s v="Management Fees for Feb 2025"/>
  </r>
  <r>
    <s v="1800000070"/>
    <x v="2"/>
    <x v="40"/>
    <n v="246779410276"/>
    <s v="USD"/>
    <n v="1190.48"/>
    <n v="1190.48"/>
    <s v="INR"/>
    <n v="102742.78"/>
    <n v="0"/>
    <n v="1071.432"/>
    <n v="1071.432"/>
    <n v="119.048"/>
    <n v="0.1"/>
    <s v="Fixed Rental charges for Oct 2024"/>
  </r>
  <r>
    <s v="1800000141"/>
    <x v="2"/>
    <x v="40"/>
    <n v="246779410308"/>
    <s v="USD"/>
    <n v="416.67"/>
    <n v="416.67"/>
    <s v="INR"/>
    <n v="35960.15"/>
    <n v="0"/>
    <n v="408.33659999999998"/>
    <n v="408.33659999999998"/>
    <n v="8.3334000000000401"/>
    <n v="2.0000000000000094E-2"/>
    <s v="Management Fees for Oct 2024"/>
  </r>
  <r>
    <s v="1800000040"/>
    <x v="2"/>
    <x v="40"/>
    <n v="246779410077"/>
    <s v="USD"/>
    <n v="416.67"/>
    <n v="416.67"/>
    <s v="INR"/>
    <n v="35960.15"/>
    <n v="0"/>
    <n v="408.33659999999998"/>
    <n v="408.33659999999998"/>
    <n v="8.3334000000000401"/>
    <n v="2.0000000000000094E-2"/>
    <s v="Management Fees - Aug 2024"/>
  </r>
  <r>
    <s v="1800012185"/>
    <x v="2"/>
    <x v="41"/>
    <n v="256779416817"/>
    <s v="USD"/>
    <n v="180"/>
    <n v="180"/>
    <s v="INR"/>
    <n v="15485.42"/>
    <n v="0"/>
    <n v="176.4"/>
    <n v="176.4"/>
    <n v="3.5999999999999943"/>
    <n v="1.9999999999999969E-2"/>
    <s v="Transportation In Chgs - 01 - 15 Aug 25"/>
  </r>
  <r>
    <s v="1800012249"/>
    <x v="2"/>
    <x v="41"/>
    <n v="256779416845"/>
    <s v="USD"/>
    <n v="492.48"/>
    <n v="492.48"/>
    <s v="INR"/>
    <n v="42368.11"/>
    <n v="0"/>
    <n v="482.63040000000001"/>
    <n v="482.63040000000001"/>
    <n v="9.8496000000000095"/>
    <n v="2.0000000000000018E-2"/>
    <s v="Transportation In Chgs - 01 - 15 AUG 25"/>
  </r>
  <r>
    <s v="1800012217"/>
    <x v="2"/>
    <x v="41"/>
    <n v="256779416879"/>
    <s v="USD"/>
    <n v="84.14"/>
    <n v="84.14"/>
    <s v="INR"/>
    <n v="7238.57"/>
    <n v="0"/>
    <n v="82.4572"/>
    <n v="82.4572"/>
    <n v="1.6828000000000003"/>
    <n v="2.0000000000000004E-2"/>
    <s v="Outbound chgs - 01 - 15 Aug 25"/>
  </r>
  <r>
    <s v="1800000016"/>
    <x v="2"/>
    <x v="42"/>
    <n v="246779410009"/>
    <s v="USD"/>
    <n v="1190.48"/>
    <n v="1190.48"/>
    <s v="INR"/>
    <n v="102742.78"/>
    <n v="0"/>
    <n v="1071.432"/>
    <n v="1071.432"/>
    <n v="119.048"/>
    <n v="0.1"/>
    <s v="Fixed Rental charges for Aug 2024"/>
  </r>
  <r>
    <s v="1600002318"/>
    <x v="3"/>
    <x v="43"/>
    <n v="256779421873"/>
    <s v="USD"/>
    <n v="-260.79000000000002"/>
    <n v="-260.79000000000002"/>
    <s v="INR"/>
    <n v="-22423.69"/>
    <e v="#N/A"/>
    <m/>
    <m/>
    <m/>
    <m/>
    <s v="Credit Note Raised against INV_256779413886"/>
  </r>
  <r>
    <s v="1800009577"/>
    <x v="2"/>
    <x v="44"/>
    <n v="256779414341"/>
    <s v="USD"/>
    <n v="200"/>
    <n v="200"/>
    <s v="INR"/>
    <n v="17098.16"/>
    <n v="0"/>
    <n v="196"/>
    <n v="196"/>
    <n v="4"/>
    <n v="0.02"/>
    <s v="CY Longstanding - March 25,16-31"/>
  </r>
  <r>
    <s v="1800008723"/>
    <x v="2"/>
    <x v="18"/>
    <n v="256779413487"/>
    <s v="USD"/>
    <n v="97.9"/>
    <n v="97.9"/>
    <s v="INR"/>
    <n v="8417.7999999999993"/>
    <n v="0"/>
    <n v="95.941999999999993"/>
    <n v="95.941999999999993"/>
    <n v="1.9580000000000126"/>
    <n v="2.0000000000000129E-2"/>
    <s v="Outbound chgs - 01 - 15 MAY 25"/>
  </r>
  <r>
    <s v="1800009122"/>
    <x v="2"/>
    <x v="18"/>
    <n v="256779413886"/>
    <s v="USD"/>
    <n v="260.79000000000002"/>
    <n v="260.79000000000002"/>
    <s v="INR"/>
    <n v="22423.69"/>
    <e v="#N/A"/>
    <m/>
    <m/>
    <m/>
    <m/>
    <s v="LCL Chgs - 01-15 MAY 25"/>
  </r>
  <r>
    <s v="1800011380"/>
    <x v="2"/>
    <x v="45"/>
    <n v="256779416064"/>
    <s v="USD"/>
    <n v="2006"/>
    <n v="2006"/>
    <s v="INR"/>
    <n v="172517.34"/>
    <e v="#N/A"/>
    <m/>
    <m/>
    <m/>
    <m/>
    <s v="Debit note raised against 256779421172"/>
  </r>
  <r>
    <s v="1800011381"/>
    <x v="2"/>
    <x v="45"/>
    <n v="256779416065"/>
    <s v="USD"/>
    <n v="2065"/>
    <n v="2065"/>
    <s v="INR"/>
    <n v="177591.38"/>
    <e v="#N/A"/>
    <m/>
    <m/>
    <m/>
    <m/>
    <s v="Debit note raised against 256779421173"/>
  </r>
  <r>
    <s v="1800011382"/>
    <x v="2"/>
    <x v="45"/>
    <n v="256779416066"/>
    <s v="USD"/>
    <n v="2006"/>
    <n v="2006"/>
    <s v="INR"/>
    <n v="172517.34"/>
    <e v="#N/A"/>
    <m/>
    <m/>
    <m/>
    <m/>
    <s v="Debit note raised against 256779421174"/>
  </r>
  <r>
    <s v="1800011383"/>
    <x v="2"/>
    <x v="45"/>
    <n v="256779416067"/>
    <s v="USD"/>
    <n v="2065"/>
    <n v="2065"/>
    <s v="INR"/>
    <n v="177591.38"/>
    <e v="#N/A"/>
    <m/>
    <m/>
    <m/>
    <m/>
    <s v="Debit note raised against 256779421175"/>
  </r>
  <r>
    <s v="1800005190"/>
    <x v="2"/>
    <x v="46"/>
    <n v="256779410136"/>
    <s v="USD"/>
    <n v="9.85"/>
    <n v="9.85"/>
    <s v="INR"/>
    <n v="856.18"/>
    <n v="0"/>
    <n v="9.6530000000000005"/>
    <n v="9.6530000000000005"/>
    <n v="0.19699999999999918"/>
    <n v="1.9999999999999917E-2"/>
    <s v="Outbound Handling charges for Mar 25"/>
  </r>
  <r>
    <s v="1800005364"/>
    <x v="2"/>
    <x v="46"/>
    <n v="256779410256"/>
    <s v="USD"/>
    <n v="408.31"/>
    <n v="408.31"/>
    <s v="INR"/>
    <n v="35491.050000000003"/>
    <e v="#N/A"/>
    <m/>
    <m/>
    <m/>
    <m/>
    <s v="Management Fees for Jan 2025"/>
  </r>
  <r>
    <s v="1800005405"/>
    <x v="2"/>
    <x v="46"/>
    <n v="256779410297"/>
    <s v="USD"/>
    <n v="400.09"/>
    <n v="400.09"/>
    <s v="INR"/>
    <n v="34776.550000000003"/>
    <e v="#N/A"/>
    <m/>
    <m/>
    <m/>
    <m/>
    <s v="Management Fees for Feb 2025"/>
  </r>
  <r>
    <s v="1800005338"/>
    <x v="2"/>
    <x v="46"/>
    <n v="256779410230"/>
    <s v="USD"/>
    <n v="1166.5899999999999"/>
    <n v="1166.5899999999999"/>
    <s v="INR"/>
    <n v="101402.13"/>
    <e v="#N/A"/>
    <m/>
    <m/>
    <m/>
    <m/>
    <s v="Fixed Rental charges for Jan 2025"/>
  </r>
  <r>
    <s v="1800005379"/>
    <x v="2"/>
    <x v="46"/>
    <n v="256779410271"/>
    <s v="USD"/>
    <n v="1143.1199999999999"/>
    <n v="1143.1199999999999"/>
    <s v="INR"/>
    <n v="99362.07"/>
    <e v="#N/A"/>
    <m/>
    <m/>
    <m/>
    <m/>
    <s v="Fixed Rental charges for Feb 2025"/>
  </r>
  <r>
    <s v="1800005060"/>
    <x v="2"/>
    <x v="46"/>
    <n v="256779410006"/>
    <s v="USD"/>
    <n v="1700"/>
    <n v="1700"/>
    <s v="INR"/>
    <n v="147767.09"/>
    <n v="20"/>
    <n v="1670"/>
    <n v="1650"/>
    <n v="50"/>
    <n v="2.9411764705882353E-2"/>
    <s v="CY Longstanding container Ground Rent charges for"/>
  </r>
  <r>
    <s v="1800005066"/>
    <x v="2"/>
    <x v="46"/>
    <n v="256779410012"/>
    <s v="USD"/>
    <n v="1750"/>
    <n v="1750"/>
    <s v="INR"/>
    <n v="152113.19"/>
    <n v="20"/>
    <n v="1719"/>
    <n v="1699"/>
    <n v="51"/>
    <n v="2.9142857142857144E-2"/>
    <s v="CY Longstanding container Ground Rent charges for"/>
  </r>
  <r>
    <s v="1800005069"/>
    <x v="2"/>
    <x v="46"/>
    <n v="256779410015"/>
    <s v="USD"/>
    <n v="1700"/>
    <n v="1700"/>
    <s v="INR"/>
    <n v="147767.09"/>
    <n v="20"/>
    <n v="1670"/>
    <n v="1650"/>
    <n v="50"/>
    <n v="2.9411764705882353E-2"/>
    <s v="CY Longstanding container Ground Rent charges for"/>
  </r>
  <r>
    <s v="1800005332"/>
    <x v="2"/>
    <x v="46"/>
    <n v="256779410224"/>
    <s v="USD"/>
    <n v="1750"/>
    <n v="1750"/>
    <s v="INR"/>
    <n v="152113.19"/>
    <n v="20"/>
    <n v="1719"/>
    <n v="1699"/>
    <n v="51"/>
    <n v="2.9142857142857144E-2"/>
    <s v="CY Longstanding container Ground Rent charges for"/>
  </r>
  <r>
    <s v="1800014014"/>
    <x v="2"/>
    <x v="47"/>
    <n v="256779418621"/>
    <s v="USD"/>
    <n v="850"/>
    <n v="850"/>
    <s v="INR"/>
    <n v="74962.149999999994"/>
    <n v="0"/>
    <n v="825"/>
    <n v="825"/>
    <n v="25"/>
    <n v="2.9411764705882353E-2"/>
    <s v="CY Ground rent Chgs - 01 - 15 Oct 25"/>
  </r>
  <r>
    <s v="1800013815"/>
    <x v="2"/>
    <x v="47"/>
    <n v="256779418633"/>
    <s v="USD"/>
    <n v="35"/>
    <n v="35"/>
    <s v="INR"/>
    <n v="3086.68"/>
    <n v="0"/>
    <n v="34.299999999999997"/>
    <n v="34.299999999999997"/>
    <n v="0.70000000000000284"/>
    <n v="2.000000000000008E-2"/>
    <s v="Scanning  Chgs - 01 - 15 Oct 25"/>
  </r>
  <r>
    <s v="1800013845"/>
    <x v="2"/>
    <x v="47"/>
    <n v="256779418663"/>
    <s v="USD"/>
    <n v="293.89"/>
    <n v="293.89"/>
    <s v="INR"/>
    <n v="25918.39"/>
    <n v="0"/>
    <n v="288.01220000000001"/>
    <n v="288.01220000000001"/>
    <n v="5.8777999999999793"/>
    <n v="1.9999999999999931E-2"/>
    <s v="Transportation In Chgs - 01 - 15 OCT 25"/>
  </r>
  <r>
    <s v="1800013926"/>
    <x v="2"/>
    <x v="47"/>
    <n v="256779418703"/>
    <s v="USD"/>
    <n v="9.83"/>
    <n v="9.83"/>
    <s v="INR"/>
    <n v="866.92"/>
    <n v="0"/>
    <n v="9.6334"/>
    <n v="9.6334"/>
    <n v="0.19660000000000011"/>
    <n v="2.0000000000000011E-2"/>
    <s v="Outbound chgs - 01 - 15 Oct 25"/>
  </r>
  <r>
    <s v="1800007251"/>
    <x v="2"/>
    <x v="48"/>
    <n v="256779412142"/>
    <s v="USD"/>
    <n v="1165.3699999999999"/>
    <n v="1165.3699999999999"/>
    <s v="INR"/>
    <n v="100000.4"/>
    <n v="0"/>
    <n v="1048.8330000000001"/>
    <n v="1048.8330000000001"/>
    <n v="116.53699999999981"/>
    <n v="9.9999999999999839E-2"/>
    <s v="Fixed Storage Charges for April 2025"/>
  </r>
  <r>
    <s v="1800007286"/>
    <x v="2"/>
    <x v="48"/>
    <n v="256779412177"/>
    <s v="USD"/>
    <n v="407.88"/>
    <n v="407.88"/>
    <s v="INR"/>
    <n v="35000.18"/>
    <n v="0"/>
    <n v="399.72239999999999"/>
    <n v="399.72239999999999"/>
    <n v="8.1576000000000022"/>
    <n v="2.0000000000000004E-2"/>
    <s v="Fixed Storage Charges for April 2025"/>
  </r>
  <r>
    <s v="1600001839"/>
    <x v="3"/>
    <x v="49"/>
    <n v="256779421459"/>
    <s v="USD"/>
    <n v="-1700"/>
    <n v="-1700"/>
    <s v="INR"/>
    <n v="-146201.14000000001"/>
    <e v="#N/A"/>
    <m/>
    <m/>
    <m/>
    <m/>
    <s v="Credit note raised against 256779410006"/>
  </r>
  <r>
    <s v="1600001840"/>
    <x v="3"/>
    <x v="49"/>
    <n v="256779421460"/>
    <s v="USD"/>
    <n v="-1750"/>
    <n v="-1750"/>
    <s v="INR"/>
    <n v="-150501.17000000001"/>
    <e v="#N/A"/>
    <m/>
    <m/>
    <m/>
    <m/>
    <s v="Credit note raised against 256779410012"/>
  </r>
  <r>
    <s v="1600001841"/>
    <x v="3"/>
    <x v="49"/>
    <n v="256779421461"/>
    <s v="USD"/>
    <n v="-1700"/>
    <n v="-1700"/>
    <s v="INR"/>
    <n v="-146201.14000000001"/>
    <e v="#N/A"/>
    <m/>
    <m/>
    <m/>
    <m/>
    <s v="Credit note raised against 256779410015"/>
  </r>
  <r>
    <s v="1600001842"/>
    <x v="3"/>
    <x v="49"/>
    <n v="256779421462"/>
    <s v="USD"/>
    <n v="-1750"/>
    <n v="-1750"/>
    <s v="INR"/>
    <n v="-150501.17000000001"/>
    <e v="#N/A"/>
    <m/>
    <m/>
    <m/>
    <m/>
    <s v="Credit note raised against 256779410224"/>
  </r>
  <r>
    <s v="1600001862"/>
    <x v="3"/>
    <x v="49"/>
    <n v="256779421482"/>
    <s v="USD"/>
    <n v="-1190.48"/>
    <n v="-1190.48"/>
    <s v="INR"/>
    <n v="-102382.08"/>
    <e v="#N/A"/>
    <m/>
    <m/>
    <m/>
    <m/>
    <s v="Credit note raised against 256779414414"/>
  </r>
  <r>
    <s v="1600001884"/>
    <x v="3"/>
    <x v="49"/>
    <n v="256779421504"/>
    <s v="USD"/>
    <n v="-1190.48"/>
    <n v="-1190.48"/>
    <s v="INR"/>
    <n v="-102382.08"/>
    <e v="#N/A"/>
    <m/>
    <m/>
    <m/>
    <m/>
    <s v="Credit note raised against 256779414437"/>
  </r>
  <r>
    <s v="1600001885"/>
    <x v="3"/>
    <x v="49"/>
    <n v="256779421505"/>
    <s v="USD"/>
    <n v="-416.67"/>
    <n v="-416.67"/>
    <s v="INR"/>
    <n v="-35833.9"/>
    <e v="#N/A"/>
    <m/>
    <m/>
    <m/>
    <m/>
    <s v="Credit note raised against 256779414438"/>
  </r>
  <r>
    <s v="1600001912"/>
    <x v="3"/>
    <x v="49"/>
    <n v="256779421532"/>
    <s v="USD"/>
    <n v="-408.31"/>
    <n v="-408.31"/>
    <s v="INR"/>
    <n v="-35114.93"/>
    <e v="#N/A"/>
    <m/>
    <m/>
    <m/>
    <m/>
    <s v="Credit note raised against 256779414465"/>
  </r>
  <r>
    <s v="1600001928"/>
    <x v="3"/>
    <x v="49"/>
    <n v="256779421548"/>
    <s v="USD"/>
    <n v="-400.09"/>
    <n v="-400.09"/>
    <s v="INR"/>
    <n v="-34408.01"/>
    <e v="#N/A"/>
    <m/>
    <m/>
    <m/>
    <m/>
    <s v="Credit note raised against 256779414481"/>
  </r>
  <r>
    <s v="1800009650"/>
    <x v="2"/>
    <x v="50"/>
    <n v="256779414414"/>
    <s v="USD"/>
    <n v="1190.48"/>
    <n v="1190.48"/>
    <s v="INR"/>
    <n v="101775.06"/>
    <e v="#N/A"/>
    <m/>
    <m/>
    <m/>
    <m/>
    <s v="Fixed Rental charges for Nov 2024"/>
  </r>
  <r>
    <s v="1800009673"/>
    <x v="2"/>
    <x v="50"/>
    <n v="256779414437"/>
    <s v="USD"/>
    <n v="1190.48"/>
    <n v="1190.48"/>
    <s v="INR"/>
    <n v="101775.06"/>
    <e v="#N/A"/>
    <m/>
    <m/>
    <m/>
    <m/>
    <s v="Fixed Rental charges for Dec 2024"/>
  </r>
  <r>
    <s v="1800009674"/>
    <x v="2"/>
    <x v="50"/>
    <n v="256779414438"/>
    <s v="USD"/>
    <n v="416.67"/>
    <n v="416.67"/>
    <s v="INR"/>
    <n v="35621.440000000002"/>
    <e v="#N/A"/>
    <m/>
    <m/>
    <m/>
    <m/>
    <s v="Management Fees for Dec 2024"/>
  </r>
  <r>
    <s v="1800009701"/>
    <x v="2"/>
    <x v="50"/>
    <n v="256779414465"/>
    <s v="USD"/>
    <n v="408.31"/>
    <n v="408.31"/>
    <s v="INR"/>
    <n v="34906.74"/>
    <e v="#N/A"/>
    <m/>
    <m/>
    <m/>
    <m/>
    <s v="Management Fees for Jan 2025"/>
  </r>
  <r>
    <s v="1800009717"/>
    <x v="2"/>
    <x v="50"/>
    <n v="256779414481"/>
    <s v="USD"/>
    <n v="400.09"/>
    <n v="400.09"/>
    <s v="INR"/>
    <n v="34204.01"/>
    <e v="#N/A"/>
    <m/>
    <m/>
    <m/>
    <m/>
    <s v="Management Fees for Feb 2025"/>
  </r>
  <r>
    <s v="1800003114"/>
    <x v="2"/>
    <x v="51"/>
    <n v="246779412981"/>
    <s v="USD"/>
    <n v="1148.6300000000001"/>
    <n v="1148.6300000000001"/>
    <s v="INR"/>
    <n v="99576.18"/>
    <n v="0"/>
    <n v="1033.7670000000001"/>
    <n v="1033.7670000000001"/>
    <n v="114.86300000000006"/>
    <n v="0.10000000000000003"/>
    <s v="Fixed Storage Charges for Mar 2025"/>
  </r>
  <r>
    <s v="1800003222"/>
    <x v="2"/>
    <x v="51"/>
    <n v="246779413089"/>
    <s v="USD"/>
    <n v="79.05"/>
    <n v="79.05"/>
    <s v="INR"/>
    <n v="6852.94"/>
    <n v="0"/>
    <n v="77.468999999999994"/>
    <n v="77.468999999999994"/>
    <n v="1.5810000000000031"/>
    <n v="2.0000000000000039E-2"/>
    <s v="Port SSR Charges - Shifting for Aug to Dec,24."/>
  </r>
  <r>
    <s v="1800003347"/>
    <x v="2"/>
    <x v="51"/>
    <n v="246779413214"/>
    <s v="USD"/>
    <n v="78.12"/>
    <n v="78.12"/>
    <s v="INR"/>
    <n v="6772.32"/>
    <n v="0"/>
    <n v="76.557599999999994"/>
    <n v="76.557599999999994"/>
    <n v="1.5624000000000109"/>
    <n v="2.0000000000000139E-2"/>
    <s v="TIIU6358742-Port SSR Shifting Jan 2025. Exch rate"/>
  </r>
  <r>
    <s v="1800003149"/>
    <x v="2"/>
    <x v="51"/>
    <n v="246779413016"/>
    <s v="USD"/>
    <n v="402.02"/>
    <n v="402.02"/>
    <s v="INR"/>
    <n v="34851.620000000003"/>
    <n v="0"/>
    <n v="361.81799999999998"/>
    <n v="361.81799999999998"/>
    <n v="40.201999999999998"/>
    <n v="0.1"/>
    <s v="Fixed Storage Charges for Mar 2025"/>
  </r>
  <r>
    <s v="1800013202"/>
    <x v="2"/>
    <x v="6"/>
    <n v="256779417818"/>
    <s v="USD"/>
    <n v="260.79000000000002"/>
    <n v="260.79000000000002"/>
    <s v="INR"/>
    <n v="22423.69"/>
    <n v="0"/>
    <n v="254.02540000000002"/>
    <n v="254.02540000000002"/>
    <n v="6.7646000000000015"/>
    <n v="2.5938878024464131E-2"/>
    <s v="LCL Chgs - 01-15 MAY 25 ( BOE9705814 / 9824060 / 9"/>
  </r>
  <r>
    <s v="1800015045"/>
    <x v="2"/>
    <x v="52"/>
    <n v="256779419558"/>
    <s v="USD"/>
    <n v="850"/>
    <n v="850"/>
    <s v="INR"/>
    <n v="74802.880000000005"/>
    <n v="0"/>
    <n v="825"/>
    <n v="825"/>
    <n v="25"/>
    <n v="2.9411764705882353E-2"/>
    <s v="CY Ground rent Chgs - 01 - 15 Nov 25"/>
  </r>
  <r>
    <s v="1800015077"/>
    <x v="2"/>
    <x v="52"/>
    <n v="256779419590"/>
    <s v="USD"/>
    <n v="331.5"/>
    <n v="331.5"/>
    <s v="INR"/>
    <n v="29173.119999999999"/>
    <n v="0"/>
    <n v="324.87"/>
    <n v="324.87"/>
    <n v="6.6299999999999955"/>
    <n v="1.9999999999999987E-2"/>
    <s v="Inbound chgs - 01 - 15 NOV 25"/>
  </r>
  <r>
    <s v="1800015131"/>
    <x v="2"/>
    <x v="52"/>
    <n v="256779419630"/>
    <s v="USD"/>
    <n v="112.58"/>
    <n v="112.58"/>
    <s v="INR"/>
    <n v="9907.42"/>
    <n v="0"/>
    <n v="110.3284"/>
    <n v="110.3284"/>
    <n v="2.2515999999999963"/>
    <n v="1.9999999999999966E-2"/>
    <s v="Outbound chgs - 01 - 15 Nov 25"/>
  </r>
  <r>
    <s v="1800007659"/>
    <x v="2"/>
    <x v="53"/>
    <n v="256779412550"/>
    <s v="USD"/>
    <n v="87.2"/>
    <n v="87.2"/>
    <s v="INR"/>
    <n v="7579.58"/>
    <n v="0"/>
    <n v="85.456000000000003"/>
    <n v="85.456000000000003"/>
    <n v="1.7439999999999998"/>
    <n v="1.9999999999999997E-2"/>
    <s v="Inbound Handling charges for Feb 2025"/>
  </r>
  <r>
    <s v="1800007691"/>
    <x v="2"/>
    <x v="53"/>
    <n v="256779412582"/>
    <s v="USD"/>
    <n v="56.95"/>
    <n v="56.95"/>
    <s v="INR"/>
    <n v="4950.2"/>
    <n v="0"/>
    <n v="55.811"/>
    <n v="55.811"/>
    <n v="1.1390000000000029"/>
    <n v="2.0000000000000049E-2"/>
    <s v="Inbound Handling charges for Feb 2025"/>
  </r>
  <r>
    <s v="1800007724"/>
    <x v="2"/>
    <x v="53"/>
    <n v="256779412615"/>
    <s v="USD"/>
    <n v="87.2"/>
    <n v="87.2"/>
    <s v="INR"/>
    <n v="7579.58"/>
    <n v="0"/>
    <n v="85.456000000000003"/>
    <n v="85.456000000000003"/>
    <n v="1.7439999999999998"/>
    <n v="1.9999999999999997E-2"/>
    <s v="Inbound Handling charges for 31 Mar 2025"/>
  </r>
  <r>
    <s v="1800007766"/>
    <x v="2"/>
    <x v="53"/>
    <n v="256779412657"/>
    <s v="USD"/>
    <n v="4.93"/>
    <n v="4.93"/>
    <s v="INR"/>
    <n v="428.52"/>
    <n v="0"/>
    <n v="4.8314000000000004"/>
    <n v="4.8314000000000004"/>
    <n v="9.8599999999999355E-2"/>
    <n v="1.9999999999999869E-2"/>
    <s v="Outbound Handling charges for 31 Mar 25"/>
  </r>
  <r>
    <s v="1800012815"/>
    <x v="2"/>
    <x v="54"/>
    <n v="256779417420"/>
    <s v="USD"/>
    <n v="35"/>
    <n v="35"/>
    <s v="INR"/>
    <n v="3063"/>
    <n v="0"/>
    <n v="34.299999999999997"/>
    <n v="34.299999999999997"/>
    <n v="0.70000000000000284"/>
    <n v="2.000000000000008E-2"/>
    <s v="Scanning  Chgs - 01 - 15 Sep 25"/>
  </r>
  <r>
    <s v="1800012872"/>
    <x v="2"/>
    <x v="54"/>
    <n v="256779417490"/>
    <s v="USD"/>
    <n v="850"/>
    <n v="850"/>
    <s v="INR"/>
    <n v="74387.179999999993"/>
    <n v="0"/>
    <n v="825"/>
    <n v="825"/>
    <n v="25"/>
    <n v="2.9411764705882353E-2"/>
    <s v="CY Ground rent Chgs - 01 - 15 Sep 25"/>
  </r>
  <r>
    <s v="1800012991"/>
    <x v="2"/>
    <x v="54"/>
    <n v="256779417526"/>
    <s v="USD"/>
    <n v="22.43"/>
    <n v="22.43"/>
    <s v="INR"/>
    <n v="1962.95"/>
    <n v="0"/>
    <n v="21.981400000000001"/>
    <n v="21.981400000000001"/>
    <n v="0.448599999999999"/>
    <n v="1.9999999999999955E-2"/>
    <s v="Outbound chgs - 01 - 15 Sep 25"/>
  </r>
  <r>
    <s v="1800012929"/>
    <x v="2"/>
    <x v="54"/>
    <n v="256779417568"/>
    <s v="USD"/>
    <n v="293.89"/>
    <n v="293.89"/>
    <s v="INR"/>
    <n v="25719.59"/>
    <n v="0"/>
    <n v="288.01220000000001"/>
    <n v="288.01220000000001"/>
    <n v="5.8777999999999793"/>
    <n v="1.9999999999999931E-2"/>
    <s v="Transportation In Chgs - 01 - 15 SEP 25"/>
  </r>
  <r>
    <s v="1800015347"/>
    <x v="2"/>
    <x v="55"/>
    <n v="256779419796"/>
    <s v="USD"/>
    <n v="850"/>
    <n v="850"/>
    <s v="INR"/>
    <n v="75395.12"/>
    <n v="0"/>
    <n v="825"/>
    <n v="825"/>
    <n v="25"/>
    <n v="2.9411764705882353E-2"/>
    <s v="CY Ground rent Chgs - 16 - 30 Nov 25"/>
  </r>
  <r>
    <s v="1800015289"/>
    <x v="2"/>
    <x v="55"/>
    <n v="256779419918"/>
    <s v="USD"/>
    <n v="111.4"/>
    <n v="111.4"/>
    <s v="INR"/>
    <n v="9881.2000000000007"/>
    <n v="0"/>
    <n v="109.172"/>
    <n v="109.172"/>
    <n v="2.2280000000000086"/>
    <n v="2.0000000000000077E-2"/>
    <s v="Outbound chgs - 16 - 30 Nov 25"/>
  </r>
  <r>
    <s v="1800008037"/>
    <x v="2"/>
    <x v="56"/>
    <n v="256779412928"/>
    <s v="USD"/>
    <n v="12.12"/>
    <n v="12.12"/>
    <s v="INR"/>
    <n v="1053.49"/>
    <n v="0"/>
    <n v="11.877599999999999"/>
    <n v="11.877599999999999"/>
    <n v="0.24239999999999995"/>
    <n v="1.9999999999999997E-2"/>
    <s v="Outbound chgs - 01 - 15 Apr 25"/>
  </r>
  <r>
    <s v="1800004450"/>
    <x v="2"/>
    <x v="57"/>
    <n v="246779414318"/>
    <s v="USD"/>
    <n v="45.74"/>
    <n v="45.74"/>
    <s v="INR"/>
    <n v="3965.26"/>
    <n v="0"/>
    <n v="44.825200000000002"/>
    <n v="44.825200000000002"/>
    <n v="0.91479999999999961"/>
    <n v="1.999999999999999E-2"/>
    <s v="Inbound Handling charges for Oct 2024"/>
  </r>
  <r>
    <s v="1800013759"/>
    <x v="2"/>
    <x v="23"/>
    <n v="256779418180"/>
    <s v="USD"/>
    <n v="173.22"/>
    <n v="173.22"/>
    <s v="INR"/>
    <n v="15276.41"/>
    <n v="0"/>
    <n v="169.75559999999999"/>
    <n v="169.75559999999999"/>
    <n v="3.4644000000000119"/>
    <n v="2.000000000000007E-2"/>
    <s v="VAS-16-30 Sept 25"/>
  </r>
  <r>
    <s v="1800008302"/>
    <x v="2"/>
    <x v="10"/>
    <n v="256779413185"/>
    <s v="USD"/>
    <n v="200"/>
    <n v="200"/>
    <s v="INR"/>
    <n v="17196.740000000002"/>
    <n v="0"/>
    <n v="180"/>
    <n v="180"/>
    <n v="20"/>
    <n v="0.1"/>
    <s v="CY Ground rent Chgs - 01 - 30 Apr 25"/>
  </r>
  <r>
    <s v="1800008361"/>
    <x v="2"/>
    <x v="10"/>
    <n v="256779413244"/>
    <s v="USD"/>
    <n v="401.24"/>
    <n v="401.24"/>
    <s v="INR"/>
    <n v="34500.1"/>
    <n v="0"/>
    <n v="393.21519999999998"/>
    <n v="393.21519999999998"/>
    <n v="8.0248000000000275"/>
    <n v="2.0000000000000066E-2"/>
    <s v="VAS - 16-30 April 25, Ex.Rate-85.05"/>
  </r>
  <r>
    <s v="1800015454"/>
    <x v="2"/>
    <x v="58"/>
    <n v="256779419955"/>
    <s v="USD"/>
    <n v="61.99"/>
    <n v="61.99"/>
    <s v="INR"/>
    <n v="5498.52"/>
    <n v="0"/>
    <n v="60.7502"/>
    <n v="60.7502"/>
    <n v="1.2398000000000025"/>
    <n v="2.0000000000000039E-2"/>
    <s v="Empty Lolo Chgs - 01 - 31 NOV 25"/>
  </r>
  <r>
    <s v="1800015475"/>
    <x v="2"/>
    <x v="58"/>
    <n v="256779419992"/>
    <s v="USD"/>
    <n v="124.11"/>
    <n v="124.11"/>
    <s v="INR"/>
    <n v="11008.57"/>
    <n v="0"/>
    <n v="121.62779999999999"/>
    <n v="121.62779999999999"/>
    <n v="2.482200000000006"/>
    <n v="2.0000000000000049E-2"/>
    <s v="PORT SSR Chgs Nov 25"/>
  </r>
  <r>
    <s v="1800009476"/>
    <x v="2"/>
    <x v="59"/>
    <n v="256779414240"/>
    <s v="USD"/>
    <n v="1339"/>
    <n v="1339"/>
    <s v="INR"/>
    <n v="114472.15"/>
    <n v="0"/>
    <n v="1205.0999999999999"/>
    <n v="1205.0999999999999"/>
    <n v="133.90000000000009"/>
    <n v="0.10000000000000006"/>
    <s v="Unit storage -1-31 May 25"/>
  </r>
  <r>
    <s v="1800013275"/>
    <x v="2"/>
    <x v="60"/>
    <n v="256779418011"/>
    <s v="USD"/>
    <n v="930.14"/>
    <n v="930.14"/>
    <s v="INR"/>
    <n v="82029.759999999995"/>
    <n v="0"/>
    <n v="837.12599999999998"/>
    <n v="837.12599999999998"/>
    <n v="93.01400000000001"/>
    <n v="0.1"/>
    <s v="Unit Storage - 1-30 Sept 2025"/>
  </r>
  <r>
    <s v="1800013306"/>
    <x v="2"/>
    <x v="61"/>
    <n v="256779417902"/>
    <s v="USD"/>
    <n v="28.15"/>
    <n v="28.15"/>
    <s v="INR"/>
    <n v="2482.5700000000002"/>
    <n v="0"/>
    <n v="27.587"/>
    <n v="27.587"/>
    <n v="0.56299999999999883"/>
    <n v="1.9999999999999959E-2"/>
    <s v="Empty Lolo Chgs - 01 - 30 SEP 25"/>
  </r>
  <r>
    <s v="1800013344"/>
    <x v="2"/>
    <x v="61"/>
    <n v="256779417940"/>
    <s v="USD"/>
    <n v="331.5"/>
    <n v="331.5"/>
    <s v="INR"/>
    <n v="29235.24"/>
    <n v="0"/>
    <n v="324.87"/>
    <n v="324.87"/>
    <n v="6.6299999999999955"/>
    <n v="1.9999999999999987E-2"/>
    <s v="Transportation In Chgs - 16 - 30 SEP 25"/>
  </r>
  <r>
    <s v="1800013429"/>
    <x v="2"/>
    <x v="61"/>
    <n v="256779418076"/>
    <s v="USD"/>
    <n v="136.47999999999999"/>
    <n v="136.47999999999999"/>
    <s v="INR"/>
    <n v="12036.28"/>
    <e v="#N/A"/>
    <m/>
    <m/>
    <m/>
    <m/>
    <s v="Outbound chgs - 16 - 30 Sep 25"/>
  </r>
  <r>
    <s v="1800013510"/>
    <x v="2"/>
    <x v="61"/>
    <n v="256779418400"/>
    <s v="USD"/>
    <n v="293.3"/>
    <n v="293.3"/>
    <s v="INR"/>
    <n v="25866.35"/>
    <n v="0"/>
    <n v="287.43400000000003"/>
    <n v="287.43400000000003"/>
    <n v="5.8659999999999854"/>
    <n v="1.9999999999999948E-2"/>
    <s v="PORT SSR Chgs Sep 25"/>
  </r>
  <r>
    <s v="1800012474"/>
    <x v="2"/>
    <x v="62"/>
    <n v="256779417082"/>
    <s v="USD"/>
    <n v="1664.01"/>
    <n v="1664.01"/>
    <s v="INR"/>
    <n v="145624.72"/>
    <n v="0"/>
    <n v="1497.6089999999999"/>
    <n v="1497.6089999999999"/>
    <n v="166.40100000000007"/>
    <n v="0.10000000000000005"/>
    <s v="Unit-Storage-1-31 Aug 25"/>
  </r>
  <r>
    <s v="1800015678"/>
    <x v="2"/>
    <x v="63"/>
    <n v="256779440011"/>
    <s v="USD"/>
    <n v="464.42"/>
    <n v="464.42"/>
    <s v="INR"/>
    <n v="42142.93"/>
    <e v="#N/A"/>
    <m/>
    <m/>
    <m/>
    <m/>
    <s v="Unit Storage - 1-30 Nov 2025"/>
  </r>
  <r>
    <s v="1800015802"/>
    <x v="2"/>
    <x v="64"/>
    <n v="256779440052"/>
    <s v="USD"/>
    <n v="846.77"/>
    <n v="846.77"/>
    <s v="INR"/>
    <n v="76838.570000000007"/>
    <n v="0"/>
    <n v="822.09299999999996"/>
    <n v="822.09299999999996"/>
    <n v="24.677000000000021"/>
    <n v="2.9142506229554686E-2"/>
    <s v="CY Ground rent Chgs - 01 - 15 Dec 25"/>
  </r>
  <r>
    <s v="1800015965"/>
    <x v="2"/>
    <x v="64"/>
    <n v="256779440081"/>
    <s v="USD"/>
    <n v="3.45"/>
    <n v="3.45"/>
    <s v="INR"/>
    <n v="313.06"/>
    <n v="0"/>
    <n v="3.3809999999999998"/>
    <n v="3.3809999999999998"/>
    <n v="6.9000000000000394E-2"/>
    <n v="2.0000000000000115E-2"/>
    <s v="Outbound chgs - 01 - 15 Dec 25"/>
  </r>
  <r>
    <s v="1400002371"/>
    <x v="1"/>
    <x v="65"/>
    <s v=""/>
    <s v="USD"/>
    <n v="1530.78"/>
    <n v="1530.78"/>
    <s v="INR"/>
    <n v="135000"/>
    <e v="#N/A"/>
    <m/>
    <m/>
    <m/>
    <m/>
    <s v="T54SWIC285279"/>
  </r>
  <r>
    <s v="1400002371"/>
    <x v="1"/>
    <x v="65"/>
    <s v=""/>
    <s v="USD"/>
    <n v="986.48"/>
    <n v="986.48"/>
    <s v="INR"/>
    <n v="86998.43"/>
    <e v="#N/A"/>
    <m/>
    <m/>
    <m/>
    <m/>
    <s v="T54SWIC285279"/>
  </r>
  <r>
    <s v="1400002370"/>
    <x v="1"/>
    <x v="65"/>
    <s v=""/>
    <s v="USD"/>
    <n v="-1530.78"/>
    <n v="-1530.78"/>
    <s v="INR"/>
    <n v="-135000"/>
    <e v="#N/A"/>
    <m/>
    <m/>
    <m/>
    <m/>
    <s v="T54SWIC285279"/>
  </r>
  <r>
    <s v="1400002370"/>
    <x v="1"/>
    <x v="65"/>
    <s v=""/>
    <s v="USD"/>
    <n v="-986.48"/>
    <n v="-986.48"/>
    <s v="INR"/>
    <n v="-86998.43"/>
    <e v="#N/A"/>
    <m/>
    <m/>
    <m/>
    <m/>
    <s v="T54SWIC285279"/>
  </r>
  <r>
    <s v="1400002372"/>
    <x v="1"/>
    <x v="65"/>
    <s v=""/>
    <s v="USD"/>
    <n v="-1530.78"/>
    <n v="-1530.78"/>
    <s v="INR"/>
    <n v="-135000"/>
    <e v="#N/A"/>
    <m/>
    <m/>
    <m/>
    <m/>
    <s v="T54SWIC285279"/>
  </r>
  <r>
    <s v="1400002372"/>
    <x v="1"/>
    <x v="65"/>
    <s v=""/>
    <s v="USD"/>
    <n v="-986.48"/>
    <n v="-986.48"/>
    <s v="INR"/>
    <n v="-86998.43"/>
    <e v="#N/A"/>
    <m/>
    <m/>
    <m/>
    <m/>
    <s v="T54SWIC285279"/>
  </r>
  <r>
    <s v="1800013253"/>
    <x v="2"/>
    <x v="61"/>
    <n v="256779417873"/>
    <s v="INR"/>
    <n v="100000"/>
    <n v="1133.911111111111"/>
    <s v="INR"/>
    <n v="100000"/>
    <n v="0"/>
    <n v="1020.52"/>
    <n v="1020.52"/>
    <n v="113.39111111111106"/>
    <n v="9.9999999999999964E-2"/>
    <s v="Fixed Storage Charges for October 2025"/>
  </r>
  <r>
    <s v="1800013254"/>
    <x v="2"/>
    <x v="61"/>
    <n v="256779417874"/>
    <s v="INR"/>
    <n v="35000"/>
    <n v="432.14733333333328"/>
    <s v="INR"/>
    <n v="35000"/>
    <n v="0"/>
    <n v="388.93259999999998"/>
    <n v="388.93259999999998"/>
    <n v="43.214733333333299"/>
    <n v="9.9999999999999936E-2"/>
    <s v="Fixed Storage Charges for October 2025"/>
  </r>
  <r>
    <s v="1800013383"/>
    <x v="2"/>
    <x v="61"/>
    <n v="256779417979"/>
    <s v="USD"/>
    <n v="136.47999999999999"/>
    <n v="136.47999999999999"/>
    <s v="INR"/>
    <n v="12036.28"/>
    <n v="0"/>
    <n v="133.75040000000001"/>
    <n v="133.75040000000001"/>
    <n v="2.7295999999999765"/>
    <n v="1.999999999999983E-2"/>
    <s v="Outbound chgs - 16 - 30 Sep 25"/>
  </r>
  <r>
    <s v="1800013479"/>
    <x v="2"/>
    <x v="61"/>
    <n v="256779418095"/>
    <s v="USD"/>
    <n v="850"/>
    <n v="850"/>
    <s v="INR"/>
    <n v="74962.149999999994"/>
    <n v="0"/>
    <n v="825"/>
    <n v="825"/>
    <n v="25"/>
    <n v="2.9411764705882353E-2"/>
    <s v="CY Ground rent Chgs - 16 - 30 Sep 25"/>
  </r>
  <r>
    <s v="1800016315"/>
    <x v="2"/>
    <x v="66"/>
    <n v="256779440168"/>
    <s v="USD"/>
    <n v="903.23"/>
    <n v="903.23"/>
    <s v="INR"/>
    <n v="81961.929999999993"/>
    <e v="#N/A"/>
    <m/>
    <m/>
    <m/>
    <m/>
    <s v="CY Ground rent Chgs - 16 - 31 Dec 25"/>
  </r>
  <r>
    <s v="1800016504"/>
    <x v="2"/>
    <x v="67"/>
    <n v="256779440211"/>
    <s v="USD"/>
    <n v="26.97"/>
    <n v="26.97"/>
    <s v="INR"/>
    <n v="2447.34"/>
    <e v="#N/A"/>
    <m/>
    <m/>
    <m/>
    <m/>
    <s v="LCL Chgs - 16 - 31 DEC 25"/>
  </r>
  <r>
    <s v="1800016419"/>
    <x v="2"/>
    <x v="66"/>
    <n v="256779440230"/>
    <s v="USD"/>
    <n v="40.56"/>
    <n v="40.56"/>
    <s v="INR"/>
    <n v="3680.54"/>
    <e v="#N/A"/>
    <m/>
    <m/>
    <m/>
    <m/>
    <s v="Outbound chgs - 16 - 31 Dec 25"/>
  </r>
  <r>
    <s v="1800016509"/>
    <x v="2"/>
    <x v="67"/>
    <n v="256779440262"/>
    <s v="USD"/>
    <n v="100"/>
    <n v="100"/>
    <s v="INR"/>
    <n v="9074.31"/>
    <e v="#N/A"/>
    <m/>
    <m/>
    <m/>
    <m/>
    <s v="Intra-Dec 25 - 16-31"/>
  </r>
  <r>
    <s v="1800016510"/>
    <x v="2"/>
    <x v="67"/>
    <n v="256779440263"/>
    <s v="USD"/>
    <n v="100"/>
    <n v="100"/>
    <s v="INR"/>
    <n v="9074.31"/>
    <e v="#N/A"/>
    <m/>
    <m/>
    <m/>
    <m/>
    <s v="Intra-Dec 25 - 16-31"/>
  </r>
  <r>
    <s v="1800016511"/>
    <x v="2"/>
    <x v="67"/>
    <n v="256779440264"/>
    <s v="USD"/>
    <n v="100"/>
    <n v="100"/>
    <s v="INR"/>
    <n v="9074.31"/>
    <e v="#N/A"/>
    <m/>
    <m/>
    <m/>
    <m/>
    <s v="Intra-Dec 25 - 16-31"/>
  </r>
  <r>
    <s v="1800016512"/>
    <x v="2"/>
    <x v="67"/>
    <n v="256779440265"/>
    <s v="USD"/>
    <n v="100"/>
    <n v="100"/>
    <s v="INR"/>
    <n v="9074.31"/>
    <e v="#N/A"/>
    <m/>
    <m/>
    <m/>
    <m/>
    <s v="Intra-Dec 25 - 16-31"/>
  </r>
  <r>
    <s v="1800016545"/>
    <x v="2"/>
    <x v="67"/>
    <n v="256779440307"/>
    <s v="INR"/>
    <n v="100000"/>
    <n v="1149.4252873563219"/>
    <s v="INR"/>
    <n v="100000"/>
    <e v="#N/A"/>
    <m/>
    <m/>
    <m/>
    <m/>
    <s v="Fixed Storage Charges for January 2026"/>
  </r>
  <r>
    <s v="1800016546"/>
    <x v="2"/>
    <x v="67"/>
    <n v="256779440308"/>
    <s v="INR"/>
    <n v="35000"/>
    <n v="402.29885057471262"/>
    <s v="INR"/>
    <n v="35000"/>
    <e v="#N/A"/>
    <m/>
    <m/>
    <m/>
    <m/>
    <s v="Fixed Mangement FEE for January 2026"/>
  </r>
  <r>
    <s v="1800016771"/>
    <x v="2"/>
    <x v="68"/>
    <n v="256779440358"/>
    <s v="USD"/>
    <n v="100"/>
    <n v="100"/>
    <s v="INR"/>
    <n v="9074.31"/>
    <e v="#N/A"/>
    <m/>
    <m/>
    <m/>
    <m/>
    <s v="INTRA  -NOV 25,16-30"/>
  </r>
  <r>
    <s v="1800016778"/>
    <x v="2"/>
    <x v="68"/>
    <n v="256779440365"/>
    <s v="USD"/>
    <n v="38.229999999999997"/>
    <n v="38.229999999999997"/>
    <s v="INR"/>
    <n v="3469.11"/>
    <e v="#N/A"/>
    <m/>
    <m/>
    <m/>
    <m/>
    <s v="VAS - NOV 25,16-30"/>
  </r>
  <r>
    <s v="1800017005"/>
    <x v="2"/>
    <x v="69"/>
    <n v="256779440395"/>
    <s v="USD"/>
    <n v="846.77"/>
    <n v="846.77"/>
    <s v="INR"/>
    <n v="76838.570000000007"/>
    <e v="#N/A"/>
    <m/>
    <m/>
    <m/>
    <m/>
    <s v="CY Ground rent Chgs - 01 - 15 Jan 26"/>
  </r>
  <r>
    <s v="1800017065"/>
    <x v="2"/>
    <x v="70"/>
    <n v="256779440414"/>
    <s v="USD"/>
    <n v="82.3"/>
    <n v="82.3"/>
    <s v="INR"/>
    <n v="7468.16"/>
    <e v="#N/A"/>
    <m/>
    <m/>
    <m/>
    <m/>
    <s v="LCL Chgs - 01 - 15 JAN 26"/>
  </r>
  <r>
    <s v="1800017110"/>
    <x v="2"/>
    <x v="70"/>
    <n v="256779440430"/>
    <s v="USD"/>
    <n v="23.82"/>
    <n v="23.82"/>
    <s v="INR"/>
    <n v="2161.5"/>
    <e v="#N/A"/>
    <m/>
    <m/>
    <m/>
    <m/>
    <s v="Outbound chgs - 01 - 15 JAN 26"/>
  </r>
  <r>
    <s v="1800017153"/>
    <x v="2"/>
    <x v="71"/>
    <n v="256779440446"/>
    <s v="USD"/>
    <n v="96.71"/>
    <n v="96.71"/>
    <s v="INR"/>
    <n v="8775.77"/>
    <e v="#N/A"/>
    <m/>
    <m/>
    <m/>
    <m/>
    <s v="VAS-1-15 Jan 2026"/>
  </r>
  <r>
    <s v="1600002768"/>
    <x v="3"/>
    <x v="72"/>
    <n v="256779422238"/>
    <s v="USD"/>
    <n v="-17.48"/>
    <n v="-17.48"/>
    <s v="INR"/>
    <n v="-1579.06"/>
    <e v="#N/A"/>
    <m/>
    <m/>
    <m/>
    <m/>
    <s v="CN issued against - 256779415196"/>
  </r>
  <r>
    <s v="1600002769"/>
    <x v="3"/>
    <x v="72"/>
    <n v="256779422239"/>
    <s v="USD"/>
    <n v="-101.23"/>
    <n v="-101.23"/>
    <s v="INR"/>
    <n v="-9144.6299999999992"/>
    <e v="#N/A"/>
    <m/>
    <m/>
    <m/>
    <m/>
    <s v="CN issued against - 256779416078"/>
  </r>
  <r>
    <s v="1600002770"/>
    <x v="3"/>
    <x v="72"/>
    <n v="256779422240"/>
    <s v="USD"/>
    <n v="-303.16000000000003"/>
    <n v="-303.16000000000003"/>
    <s v="INR"/>
    <n v="-27386.02"/>
    <e v="#N/A"/>
    <m/>
    <m/>
    <m/>
    <m/>
    <s v="CN issued against - 256779414240"/>
  </r>
  <r>
    <s v="1600002771"/>
    <x v="3"/>
    <x v="72"/>
    <n v="256779422241"/>
    <s v="USD"/>
    <n v="-87.28"/>
    <n v="-87.28"/>
    <s v="INR"/>
    <n v="-7884.46"/>
    <e v="#N/A"/>
    <m/>
    <m/>
    <m/>
    <m/>
    <s v="CN issued against - 256779417082"/>
  </r>
  <r>
    <s v="1800017178"/>
    <x v="2"/>
    <x v="72"/>
    <n v="256779440457"/>
    <s v="USD"/>
    <n v="938.8"/>
    <n v="938.8"/>
    <s v="INR"/>
    <n v="84806.69"/>
    <e v="#N/A"/>
    <m/>
    <m/>
    <m/>
    <m/>
    <s v="Unit Storage - 1-30 Sept 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246779410276"/>
    <x v="0"/>
    <s v="BOS2425M"/>
    <s v="PU 7350273"/>
    <s v="A/P Invoices - VD0304"/>
    <s v="Rent - Ascendas"/>
    <m/>
    <n v="91693.278399999996"/>
    <n v="-216491.6692"/>
    <m/>
    <n v="1071.432"/>
    <n v="-2529.6995999999999"/>
    <n v="0"/>
    <s v="Shah TC Global Exim LLP - Mumbai"/>
    <m/>
    <m/>
    <m/>
  </r>
  <r>
    <n v="246779410209"/>
    <x v="0"/>
    <s v="BOS2425M"/>
    <s v="PU 7350274"/>
    <s v="A/P Invoices - VD0304"/>
    <s v="Rent - Ascendas"/>
    <m/>
    <n v="89852.772200000007"/>
    <n v="-306344.44140000001"/>
    <m/>
    <n v="1049.931"/>
    <n v="-3579.6306"/>
    <n v="0"/>
    <s v="Shah TC Global Exim LLP - Mumbai"/>
    <m/>
    <m/>
    <m/>
  </r>
  <r>
    <n v="246779414604"/>
    <x v="0"/>
    <s v="BOS2425M"/>
    <s v="PU 7350275"/>
    <s v="A/P Invoices - VD0304"/>
    <s v="Handeling &amp; Agency Charges"/>
    <m/>
    <n v="38416.774799999999"/>
    <n v="-254908.44399999999"/>
    <m/>
    <n v="448.89879999999999"/>
    <n v="-2978.5983999999999"/>
    <n v="0"/>
    <s v="Shah TC Global Exim LLP - Mumbai"/>
    <m/>
    <m/>
    <m/>
  </r>
  <r>
    <n v="246779410209"/>
    <x v="0"/>
    <s v="BOS2425M"/>
    <s v="PU 7350276"/>
    <s v="A/P Invoices - VD0304"/>
    <s v="Management Fees (Ascendas)"/>
    <m/>
    <n v="34244.169800000003"/>
    <n v="-254206.9952"/>
    <m/>
    <n v="400.1438"/>
    <n v="-2970.4056"/>
    <n v="0"/>
    <s v="Shah TC Global Exim LLP - Mumbai"/>
    <m/>
    <m/>
    <m/>
  </r>
  <r>
    <n v="246779410308"/>
    <x v="0"/>
    <s v="BOS2425M"/>
    <s v="PU 7350277"/>
    <s v="A/P Invoices - VD0304"/>
    <s v="Management Fees (Ascendas)"/>
    <m/>
    <n v="34945.618600000002"/>
    <n v="-289152.61379999999"/>
    <m/>
    <n v="408.33659999999998"/>
    <n v="-3378.7422000000001"/>
    <n v="0"/>
    <s v="Shah TC Global Exim LLP - Mumbai"/>
    <m/>
    <m/>
    <m/>
  </r>
  <r>
    <n v="246779410097"/>
    <x v="0"/>
    <s v="BOS2425M"/>
    <s v="PU 7350278"/>
    <s v="A/P Invoices - VD0304"/>
    <s v="Rent - Ascendas"/>
    <m/>
    <n v="91693.278399999996"/>
    <n v="-380845.8922"/>
    <m/>
    <n v="1071.432"/>
    <n v="-4450.1742000000004"/>
    <n v="0"/>
    <s v="Shah TC Global Exim LLP - Mumbai"/>
    <m/>
    <m/>
    <m/>
  </r>
  <r>
    <n v="246779413214"/>
    <x v="1"/>
    <s v="BOS2425M"/>
    <s v="PU 7350279"/>
    <s v="A/P Invoices - VD0304"/>
    <s v="Vos Miscellaneous Charges"/>
    <m/>
    <n v="6551.5096000000003"/>
    <n v="-387397.40179999999"/>
    <m/>
    <n v="76.557599999999994"/>
    <n v="-4526.7317999999996"/>
    <n v="0"/>
    <s v="Shah TC Global Exim LLP - Mumbai"/>
    <m/>
    <m/>
    <m/>
  </r>
  <r>
    <n v="246779410123"/>
    <x v="0"/>
    <s v="BOS2425M"/>
    <s v="PU 7350280"/>
    <s v="A/P Invoices - VD0304"/>
    <s v="Management Fees (Ascendas)"/>
    <m/>
    <n v="34945.618600000002"/>
    <n v="-422343.02039999998"/>
    <m/>
    <n v="408.33659999999998"/>
    <n v="-4935.0684000000001"/>
    <n v="0"/>
    <s v="Shah TC Global Exim LLP - Mumbai"/>
    <m/>
    <m/>
    <m/>
  </r>
  <r>
    <n v="246779411940"/>
    <x v="2"/>
    <s v="BOS2425M"/>
    <s v="PU 7350281"/>
    <s v="A/P Invoices - VD0304"/>
    <s v="Vos Miscellaneous Charges"/>
    <m/>
    <n v="4422.6333999999997"/>
    <n v="-426765.65379999997"/>
    <m/>
    <n v="51.675400000000003"/>
    <n v="-4986.7438000000002"/>
    <n v="0"/>
    <s v="Shah TC Global Exim LLP - Mumbai"/>
    <m/>
    <m/>
    <m/>
  </r>
  <r>
    <n v="246779413797"/>
    <x v="3"/>
    <s v="BOS2425M"/>
    <s v="PU 7350282"/>
    <s v="A/P Invoices - VD0304"/>
    <s v="Ground Rent (Container)"/>
    <m/>
    <n v="147112"/>
    <n v="-573877.65379999997"/>
    <m/>
    <n v="1719"/>
    <n v="-6705.7438000000002"/>
    <n v="0"/>
    <s v="Shah TC Global Exim LLP - Mumbai"/>
    <m/>
    <m/>
    <m/>
  </r>
  <r>
    <n v="246779411941"/>
    <x v="2"/>
    <s v="BOS2425M"/>
    <s v="PU 7350283"/>
    <s v="A/P Invoices - VD0304"/>
    <s v="Vos Miscellaneous Charges"/>
    <m/>
    <n v="6375.7915999999996"/>
    <n v="-580253.44539999997"/>
    <m/>
    <n v="74.499600000000001"/>
    <n v="-6780.2434000000003"/>
    <n v="0"/>
    <s v="Shah TC Global Exim LLP - Mumbai"/>
    <m/>
    <m/>
    <m/>
  </r>
  <r>
    <m/>
    <x v="3"/>
    <s v="JRN2425M"/>
    <s v="JE 7353113"/>
    <s v="Being TDS deduction on 246779413797 ascendas"/>
    <s v="Tds Payable- 94Ib - Rent"/>
    <n v="1711.6"/>
    <m/>
    <n v="-578541.84539999999"/>
    <n v="20"/>
    <m/>
    <n v="-6760.2434000000003"/>
    <n v="0"/>
    <s v="Shah TC Global Exim LLP - Mumbai"/>
    <m/>
    <m/>
    <m/>
  </r>
  <r>
    <n v="246779413828"/>
    <x v="3"/>
    <s v="BOS2425M"/>
    <s v="PU 7350284"/>
    <s v="A/P Invoices - VD0304"/>
    <s v="Vos Miscellaneous Charges"/>
    <m/>
    <n v="4193"/>
    <n v="-582734.84539999999"/>
    <m/>
    <n v="49"/>
    <n v="-6809.2434000000003"/>
    <n v="0"/>
    <s v="Shah TC Global Exim LLP - Mumbai"/>
    <m/>
    <m/>
    <m/>
  </r>
  <r>
    <n v="246779411938"/>
    <x v="2"/>
    <s v="BOS2425M"/>
    <s v="PU 7350285"/>
    <s v="A/P Invoices - VD0304"/>
    <s v="Vos Miscellaneous Charges"/>
    <m/>
    <n v="4466.9907999999996"/>
    <n v="-587201.83620000002"/>
    <m/>
    <n v="52.194800000000001"/>
    <n v="-6861.4381999999996"/>
    <n v="0"/>
    <s v="Shah TC Global Exim LLP - Mumbai"/>
    <m/>
    <m/>
    <m/>
  </r>
  <r>
    <n v="246779411937"/>
    <x v="2"/>
    <s v="BOS2425M"/>
    <s v="PU 7350287"/>
    <s v="A/P Invoices - VD0304"/>
    <s v="Vos Miscellaneous Charges"/>
    <m/>
    <n v="610.16660000000002"/>
    <n v="-592005.00280000002"/>
    <m/>
    <n v="7.1246"/>
    <n v="-6917.5627999999997"/>
    <n v="0"/>
    <s v="Shah TC Global Exim LLP - Mumbai"/>
    <m/>
    <m/>
    <m/>
  </r>
  <r>
    <n v="246779411939"/>
    <x v="2"/>
    <s v="BOS2425M"/>
    <s v="PU 7350288"/>
    <s v="A/P Invoices - VD0304"/>
    <s v="Vos Miscellaneous Charges"/>
    <m/>
    <n v="1935.1864"/>
    <n v="-593940.18920000002"/>
    <m/>
    <n v="22.618400000000001"/>
    <n v="-6940.1812"/>
    <n v="0"/>
    <s v="Shah TC Global Exim LLP - Mumbai"/>
    <m/>
    <m/>
    <m/>
  </r>
  <r>
    <n v="246779414468"/>
    <x v="3"/>
    <s v="BOS2425M"/>
    <s v="PU 7350289"/>
    <s v="A/P Invoices - VD0304"/>
    <s v="Handeling &amp; Agency Charges"/>
    <m/>
    <n v="7734.1876000000002"/>
    <n v="-597481.37679999997"/>
    <m/>
    <n v="90.375600000000006"/>
    <n v="-6981.5568000000003"/>
    <n v="0"/>
    <s v="Shah TC Global Exim LLP - Mumbai"/>
    <m/>
    <m/>
    <m/>
  </r>
  <r>
    <n v="246779414682"/>
    <x v="3"/>
    <s v="BOS2425M"/>
    <s v="PU 7350290"/>
    <s v="A/P Invoices - VD0304"/>
    <s v="Handeling &amp; Agency Charges"/>
    <m/>
    <n v="7619.7987999999996"/>
    <n v="-605101.17559999996"/>
    <m/>
    <n v="89.0428"/>
    <n v="-7070.5995999999996"/>
    <n v="0"/>
    <s v="Shah TC Global Exim LLP - Mumbai"/>
    <m/>
    <m/>
    <m/>
  </r>
  <r>
    <n v="246779414735"/>
    <x v="3"/>
    <s v="BOS2425M"/>
    <s v="PU 7350291"/>
    <s v="A/P Invoices - VD0304"/>
    <s v="Handeling &amp; Agency Charges"/>
    <m/>
    <n v="8168.4920000000002"/>
    <n v="-613269.66760000004"/>
    <m/>
    <n v="95.451999999999998"/>
    <n v="-7166.0515999999998"/>
    <n v="0"/>
    <s v="Shah TC Global Exim LLP - Mumbai"/>
    <m/>
    <m/>
    <m/>
  </r>
  <r>
    <n v="246779414886"/>
    <x v="3"/>
    <s v="BOS2425M"/>
    <s v="PU 7350292"/>
    <s v="A/P Invoices - VD0304"/>
    <s v="Handeling &amp; Agency Charges"/>
    <m/>
    <n v="2582.864"/>
    <n v="-615852.53159999999"/>
    <m/>
    <n v="30.184000000000001"/>
    <n v="-7196.2356"/>
    <n v="0"/>
    <s v="Shah TC Global Exim LLP - Mumbai"/>
    <m/>
    <m/>
    <m/>
  </r>
  <r>
    <n v="246779414397"/>
    <x v="3"/>
    <s v="BOS2425M"/>
    <s v="PU 7350293"/>
    <s v="A/P Invoices - VD0304"/>
    <s v="Handeling &amp; Agency Charges"/>
    <m/>
    <n v="589.62739999999997"/>
    <n v="-616442.15899999999"/>
    <m/>
    <n v="6.8894000000000002"/>
    <n v="-7203.125"/>
    <n v="0"/>
    <s v="Shah TC Global Exim LLP - Mumbai"/>
    <m/>
    <m/>
    <m/>
  </r>
  <r>
    <n v="246779414887"/>
    <x v="3"/>
    <s v="BOS2425M"/>
    <s v="PU 7350294"/>
    <s v="A/P Invoices - VD0304"/>
    <s v="Handeling &amp; Agency Charges"/>
    <m/>
    <n v="610.16660000000002"/>
    <n v="-617052.32559999998"/>
    <m/>
    <n v="7.1246"/>
    <n v="-7210.2496000000001"/>
    <n v="0"/>
    <s v="Shah TC Global Exim LLP - Mumbai"/>
    <m/>
    <m/>
    <m/>
  </r>
  <r>
    <n v="256779414888"/>
    <x v="3"/>
    <s v="BOS2425M"/>
    <s v="PU 7350295"/>
    <s v="A/P Invoices - VD0304"/>
    <s v="Handeling &amp; Agency Charges"/>
    <m/>
    <n v="914.67780000000005"/>
    <n v="-617967.00340000005"/>
    <m/>
    <n v="10.691800000000001"/>
    <n v="-7220.9413999999997"/>
    <n v="0"/>
    <s v="Shah TC Global Exim LLP - Mumbai"/>
    <m/>
    <m/>
    <m/>
  </r>
  <r>
    <n v="246779414889"/>
    <x v="3"/>
    <s v="BOS2425M"/>
    <s v="PU 7350296"/>
    <s v="A/P Invoices - VD0304"/>
    <s v="Handeling &amp; Agency Charges"/>
    <m/>
    <n v="211.66159999999999"/>
    <n v="-618178.66500000004"/>
    <m/>
    <n v="2.4695999999999998"/>
    <n v="-7223.4110000000001"/>
    <n v="0"/>
    <s v="Shah TC Global Exim LLP - Mumbai"/>
    <m/>
    <m/>
    <m/>
  </r>
  <r>
    <n v="246779414398"/>
    <x v="3"/>
    <s v="BOS2425M"/>
    <s v="PU 7350297"/>
    <s v="A/P Invoices - VD0304"/>
    <s v="Handeling &amp; Agency Charges"/>
    <m/>
    <n v="2716.0803999999998"/>
    <n v="-620894.74540000001"/>
    <m/>
    <n v="31.732399999999998"/>
    <n v="-7255.1433999999999"/>
    <n v="0"/>
    <s v="Shah TC Global Exim LLP - Mumbai"/>
    <m/>
    <m/>
    <m/>
  </r>
  <r>
    <n v="246779414890"/>
    <x v="3"/>
    <s v="BOS2425M"/>
    <s v="PU 7350298"/>
    <s v="A/P Invoices - VD0304"/>
    <s v="Handeling &amp; Agency Charges"/>
    <m/>
    <n v="3690.52"/>
    <n v="-624585.26540000003"/>
    <m/>
    <n v="43.12"/>
    <n v="-7298.2633999999998"/>
    <n v="0"/>
    <s v="Shah TC Global Exim LLP - Mumbai"/>
    <m/>
    <m/>
    <m/>
  </r>
  <r>
    <n v="246779412066"/>
    <x v="2"/>
    <s v="BOS2425M"/>
    <s v="PU 7350299"/>
    <s v="A/P Invoices - VD0304"/>
    <s v="Vos Miscellaneous Charges"/>
    <m/>
    <n v="5577.07"/>
    <n v="-630162.33539999998"/>
    <m/>
    <n v="65.17"/>
    <n v="-7363.4333999999999"/>
    <n v="0"/>
    <s v="Shah TC Global Exim LLP - Mumbai"/>
    <m/>
    <m/>
    <m/>
  </r>
  <r>
    <n v="246779414318"/>
    <x v="4"/>
    <s v="BOS2425M"/>
    <s v="PU 7350300"/>
    <s v="A/P Invoices - VD0304"/>
    <s v="Handeling &amp; Agency Charges"/>
    <m/>
    <n v="3836.4292"/>
    <n v="-633998.76459999999"/>
    <m/>
    <n v="44.825200000000002"/>
    <n v="-7408.2586000000001"/>
    <n v="0"/>
    <s v="Shah TC Global Exim LLP - Mumbai"/>
    <m/>
    <m/>
    <m/>
  </r>
  <r>
    <m/>
    <x v="3"/>
    <s v="JRN2425M"/>
    <s v="JE 7353132"/>
    <s v="Being TDS deduction on 246779413797 ascendas"/>
    <s v="Tds Payable- 94Ib - Rent"/>
    <m/>
    <n v="1711.6"/>
    <n v="-635710.36459999997"/>
    <m/>
    <n v="20"/>
    <n v="-7428.2586000000001"/>
    <n v="0"/>
    <s v="Shah TC Global Exim LLP - Mumbai"/>
    <m/>
    <m/>
    <m/>
  </r>
  <r>
    <m/>
    <x v="3"/>
    <s v="JRN2425M"/>
    <s v="JE 7353133"/>
    <s v="Being TDS deduction on 246779413797 ascendas(Reversal) - 7619"/>
    <s v="Tds Payable- 94Ib - Rent"/>
    <n v="-1711.6"/>
    <m/>
    <n v="-637421.96459999995"/>
    <n v="-20"/>
    <m/>
    <n v="-7448.2586000000001"/>
    <n v="0"/>
    <s v="Shah TC Global Exim LLP - Mumbai"/>
    <m/>
    <m/>
    <m/>
  </r>
  <r>
    <n v="246779410252"/>
    <x v="0"/>
    <s v="BOS2425M"/>
    <s v="PU 7350301"/>
    <s v="A/P Invoices - VD0304"/>
    <s v="Management Fees (Ascendas)"/>
    <m/>
    <n v="33554.7022"/>
    <n v="-670976.66680000001"/>
    <m/>
    <n v="392.08819999999997"/>
    <n v="-7840.3468000000003"/>
    <n v="0"/>
    <s v="Shah TC Global Exim LLP - Mumbai"/>
    <m/>
    <m/>
    <m/>
  </r>
  <r>
    <n v="246779410166"/>
    <x v="0"/>
    <s v="BOS2425M"/>
    <s v="PU 7350302"/>
    <s v="A/P Invoices - VD0304"/>
    <s v="Management Fees (Ascendas)"/>
    <m/>
    <n v="34945.618600000002"/>
    <n v="-705922.28540000005"/>
    <m/>
    <n v="408.33659999999998"/>
    <n v="-8248.6833999999999"/>
    <n v="0"/>
    <s v="Shah TC Global Exim LLP - Mumbai"/>
    <m/>
    <m/>
    <m/>
  </r>
  <r>
    <n v="246779410140"/>
    <x v="0"/>
    <s v="BOS2425M"/>
    <s v="PU 7350303"/>
    <s v="A/P Invoices - VD0304"/>
    <s v="Rent - Ascendas"/>
    <m/>
    <n v="91693.278399999996"/>
    <n v="-797615.5638"/>
    <m/>
    <n v="1071.432"/>
    <n v="-9320.1154000000006"/>
    <n v="0"/>
    <s v="Shah TC Global Exim LLP - Mumbai"/>
    <m/>
    <m/>
    <m/>
  </r>
  <r>
    <n v="246779410226"/>
    <x v="0"/>
    <s v="BOS2425M"/>
    <s v="PU 7350304"/>
    <s v="A/P Invoices - VD0304"/>
    <s v="Rent - Ascendas"/>
    <m/>
    <n v="88045.209600000002"/>
    <n v="-885660.77339999995"/>
    <m/>
    <n v="1028.808"/>
    <n v="-10348.9234"/>
    <n v="0"/>
    <s v="Shah TC Global Exim LLP - Mumbai"/>
    <m/>
    <m/>
    <m/>
  </r>
  <r>
    <n v="246779411760"/>
    <x v="2"/>
    <s v="BOS2425M"/>
    <s v="PU 7350305"/>
    <s v="A/P Invoices - VD0304"/>
    <s v="Vos Miscellaneous Charges"/>
    <m/>
    <n v="43626.1486"/>
    <n v="-929286.92200000002"/>
    <m/>
    <n v="509.76659999999998"/>
    <n v="-10858.69"/>
    <n v="0"/>
    <s v="Shah TC Global Exim LLP - Mumbai"/>
    <m/>
    <m/>
    <m/>
  </r>
  <r>
    <n v="246779413905"/>
    <x v="3"/>
    <s v="BOS2425M"/>
    <s v="PU 7350306"/>
    <s v="A/P Invoices - VD0304"/>
    <s v="Handeling &amp; Agency Charges"/>
    <m/>
    <n v="368.55200000000002"/>
    <n v="-929655.47400000005"/>
    <m/>
    <n v="4.3120000000000003"/>
    <n v="-10863.002"/>
    <n v="0"/>
    <s v="Shah TC Global Exim LLP - Mumbai"/>
    <m/>
    <m/>
    <m/>
  </r>
  <r>
    <n v="246779414399"/>
    <x v="3"/>
    <s v="BOS2425M"/>
    <s v="PU 7350307"/>
    <s v="A/P Invoices - VD0304"/>
    <s v="Handeling &amp; Agency Charges"/>
    <m/>
    <n v="6461.0832"/>
    <n v="-936116.55720000004"/>
    <m/>
    <n v="75.499200000000002"/>
    <n v="-10938.501200000001"/>
    <n v="0"/>
    <s v="Shah TC Global Exim LLP - Mumbai"/>
    <m/>
    <m/>
    <m/>
  </r>
  <r>
    <n v="246779410009"/>
    <x v="5"/>
    <s v="BOS2425M"/>
    <s v="PU 7350308"/>
    <s v="A/P Invoices - VD0304"/>
    <s v="Rent - Ascendas"/>
    <m/>
    <n v="91693.278399999996"/>
    <n v="-1027809.8356"/>
    <m/>
    <n v="1071.432"/>
    <n v="-12009.933199999999"/>
    <n v="0"/>
    <s v="Shah TC Global Exim LLP - Mumbai"/>
    <m/>
    <m/>
    <m/>
  </r>
  <r>
    <n v="246779410077"/>
    <x v="0"/>
    <s v="BOS2425M"/>
    <s v="PU 7350309"/>
    <s v="A/P Invoices - VD0304"/>
    <s v="Management Fees (Ascendas)"/>
    <m/>
    <n v="34945.618600000002"/>
    <n v="-1062755.4542"/>
    <m/>
    <n v="408.33659999999998"/>
    <n v="-12418.2698"/>
    <n v="0"/>
    <s v="Shah TC Global Exim LLP - Mumbai"/>
    <m/>
    <m/>
    <m/>
  </r>
  <r>
    <n v="246779411449"/>
    <x v="6"/>
    <s v="BOS2425M"/>
    <s v="PU 7350310"/>
    <s v="A/P Invoices - VD0304"/>
    <s v="Vos Miscellaneous Charges"/>
    <m/>
    <n v="79318.285000000003"/>
    <n v="-1142073.7392"/>
    <m/>
    <n v="926.83500000000004"/>
    <n v="-13345.104799999999"/>
    <n v="0"/>
    <s v="Shah TC Global Exim LLP - Mumbai"/>
    <m/>
    <m/>
    <m/>
  </r>
  <r>
    <n v="246779412238"/>
    <x v="6"/>
    <s v="BOS2425M"/>
    <s v="PU 7350311"/>
    <s v="A/P Invoices - VD0304"/>
    <s v="Vos Miscellaneous Charges"/>
    <m/>
    <n v="79318.285000000003"/>
    <n v="-1221392.0242000001"/>
    <m/>
    <n v="926.83500000000004"/>
    <n v="-14271.9398"/>
    <n v="0"/>
    <s v="Shah TC Global Exim LLP - Mumbai"/>
    <m/>
    <m/>
    <m/>
  </r>
  <r>
    <n v="246779414222"/>
    <x v="3"/>
    <s v="BOS2425M"/>
    <s v="PU 7350312"/>
    <s v="A/P Invoices - VD0304"/>
    <s v="Handeling &amp; Agency Charges"/>
    <m/>
    <n v="16503.432400000002"/>
    <n v="-1237895.4565999999"/>
    <m/>
    <n v="192.84440000000001"/>
    <n v="-14464.7842"/>
    <n v="0"/>
    <s v="Shah TC Global Exim LLP - Mumbai"/>
    <m/>
    <m/>
    <m/>
  </r>
  <r>
    <n v="246779414143"/>
    <x v="3"/>
    <s v="BOS2425M"/>
    <s v="PU 7350313"/>
    <s v="A/P Invoices - VD0304"/>
    <s v="Handeling &amp; Agency Charges"/>
    <m/>
    <n v="47478.693800000001"/>
    <n v="-1285374.1503999999"/>
    <m/>
    <n v="554.78779999999995"/>
    <n v="-15019.572"/>
    <n v="0"/>
    <s v="Shah TC Global Exim LLP - Mumbai"/>
    <m/>
    <m/>
    <m/>
  </r>
  <r>
    <n v="246779411621"/>
    <x v="2"/>
    <s v="BOS2425M"/>
    <s v="PU 7350314"/>
    <s v="A/P Invoices - VD0304"/>
    <s v="Vos Miscellaneous Charges"/>
    <m/>
    <n v="37240.943200000002"/>
    <n v="-1322615.0936"/>
    <m/>
    <n v="435.1592"/>
    <n v="-15454.7312"/>
    <n v="0"/>
    <s v="Shah TC Global Exim LLP - Mumbai"/>
    <m/>
    <m/>
    <m/>
  </r>
  <r>
    <n v="246779411301"/>
    <x v="7"/>
    <s v="BOS2425M"/>
    <s v="PU 7350315"/>
    <s v="A/P Invoices - VD0304"/>
    <s v="Vos Miscellaneous Charges"/>
    <m/>
    <n v="7129.3"/>
    <n v="-1329744.3936000001"/>
    <m/>
    <n v="83.3"/>
    <n v="-15538.031199999999"/>
    <n v="0"/>
    <s v="Shah TC Global Exim LLP - Mumbai"/>
    <m/>
    <m/>
    <m/>
  </r>
  <r>
    <n v="246779411315"/>
    <x v="7"/>
    <s v="BOS2425M"/>
    <s v="PU 7350316"/>
    <s v="A/P Invoices - VD0304"/>
    <s v="Vos Miscellaneous Charges"/>
    <m/>
    <n v="2935.3"/>
    <n v="-1332679.6936000001"/>
    <m/>
    <n v="34.299999999999997"/>
    <n v="-15572.331200000001"/>
    <n v="0"/>
    <s v="Shah TC Global Exim LLP - Mumbai"/>
    <m/>
    <m/>
    <m/>
  </r>
  <r>
    <n v="246779413817"/>
    <x v="3"/>
    <s v="BOS2425M"/>
    <s v="PU 7350317"/>
    <s v="A/P Invoices - VD0304"/>
    <s v="Vos Miscellaneous Charges"/>
    <m/>
    <n v="4193"/>
    <n v="-1336872.6936000001"/>
    <m/>
    <n v="49"/>
    <n v="-15621.331200000001"/>
    <n v="0"/>
    <s v="Shah TC Global Exim LLP - Mumbai"/>
    <m/>
    <m/>
    <m/>
  </r>
  <r>
    <n v="246779414146"/>
    <x v="3"/>
    <s v="BOS2425M"/>
    <s v="PU 7350318"/>
    <s v="A/P Invoices - VD0304"/>
    <s v="Ground Rent (Container)"/>
    <m/>
    <n v="1489.973"/>
    <n v="-1338362.6666000001"/>
    <m/>
    <n v="17.414999999999999"/>
    <n v="-15638.7462"/>
    <n v="0"/>
    <s v="Shah TC Global Exim LLP - Mumbai"/>
    <m/>
    <m/>
    <m/>
  </r>
  <r>
    <n v="246779413808"/>
    <x v="3"/>
    <s v="BOS2425M"/>
    <s v="PU 7350319"/>
    <s v="A/P Invoices - VD0304"/>
    <s v="Ground Rent (Container)"/>
    <m/>
    <n v="134532"/>
    <n v="-1472894.6666000001"/>
    <m/>
    <n v="1572"/>
    <n v="-17210.746200000001"/>
    <n v="0"/>
    <s v="Shah TC Global Exim LLP - Mumbai"/>
    <m/>
    <m/>
    <m/>
  </r>
  <r>
    <m/>
    <x v="3"/>
    <s v="JRN2425M"/>
    <s v="JE 7353155"/>
    <s v="Being TDS deduction on 246779413808 ascendas"/>
    <s v="Tds Payable- 94Ib - Rent"/>
    <n v="1711.6"/>
    <m/>
    <n v="-1471183.0666"/>
    <n v="20"/>
    <m/>
    <n v="-17190.746200000001"/>
    <n v="0"/>
    <s v="Shah TC Global Exim LLP - Mumbai"/>
    <m/>
    <m/>
    <m/>
  </r>
  <r>
    <n v="246779414145"/>
    <x v="3"/>
    <s v="BOS2425M"/>
    <s v="PU 7350320"/>
    <s v="A/P Invoices - VD0304"/>
    <s v="Reefer Plug In"/>
    <m/>
    <n v="12580"/>
    <n v="-1483763.0666"/>
    <m/>
    <n v="147"/>
    <n v="-17337.746200000001"/>
    <n v="0"/>
    <s v="Shah TC Global Exim LLP - Mumbai"/>
    <m/>
    <m/>
    <m/>
  </r>
  <r>
    <n v="246779410029"/>
    <x v="0"/>
    <s v="BOS2425M"/>
    <s v="PU 7350321"/>
    <s v="A/P Invoices - VD0304"/>
    <s v="Rent - Ascendas"/>
    <m/>
    <n v="91693.278399999996"/>
    <n v="-1575456.345"/>
    <m/>
    <n v="1071.432"/>
    <n v="-18409.178199999998"/>
    <n v="0"/>
    <s v="Shah TC Global Exim LLP - Mumbai"/>
    <m/>
    <m/>
    <m/>
  </r>
  <r>
    <n v="24677910055"/>
    <x v="0"/>
    <s v="BOS2425M"/>
    <s v="PU 7350322"/>
    <s v="A/P Invoices - VD0304"/>
    <s v="Management Fees (Ascendas)"/>
    <m/>
    <n v="34945.618600000002"/>
    <n v="-1610401.9635999999"/>
    <m/>
    <n v="408.33659999999998"/>
    <n v="-18817.514800000001"/>
    <n v="0"/>
    <s v="Shah TC Global Exim LLP - Mumbai"/>
    <m/>
    <m/>
    <m/>
  </r>
  <r>
    <n v="246779411279"/>
    <x v="7"/>
    <s v="BOS2425M"/>
    <s v="PU 7350323"/>
    <s v="A/P Invoices - VD0304"/>
    <s v="Vos Miscellaneous Charges"/>
    <m/>
    <n v="2935.3"/>
    <n v="-1613337.2635999999"/>
    <m/>
    <n v="34.299999999999997"/>
    <n v="-18851.8148"/>
    <n v="0"/>
    <s v="Shah TC Global Exim LLP - Mumbai"/>
    <m/>
    <m/>
    <m/>
  </r>
  <r>
    <n v="246779413089"/>
    <x v="1"/>
    <s v="BOS2425M"/>
    <s v="PU 7350324"/>
    <s v="A/P Invoices - VD0304"/>
    <s v="Vos Miscellaneous Charges"/>
    <m/>
    <n v="6630.0990000000002"/>
    <n v="-1619967.3626000001"/>
    <m/>
    <n v="77.468999999999994"/>
    <n v="-18929.283800000001"/>
    <n v="0"/>
    <s v="Shah TC Global Exim LLP - Mumbai"/>
    <m/>
    <m/>
    <m/>
  </r>
  <r>
    <n v="246779410324"/>
    <x v="8"/>
    <s v="BOS2425M"/>
    <s v="PU 7350325"/>
    <s v="A/P Invoices - VD0304"/>
    <s v="Ground Rent (Container)"/>
    <m/>
    <n v="134788"/>
    <n v="-1754755.3626000001"/>
    <m/>
    <n v="1575"/>
    <n v="-20504.283800000001"/>
    <n v="0"/>
    <s v="Shah TC Global Exim LLP - Mumbai"/>
    <m/>
    <m/>
    <m/>
  </r>
  <r>
    <n v="246779410893"/>
    <x v="9"/>
    <s v="BOS2425M"/>
    <s v="PU 7350327"/>
    <s v="A/P Invoices - VD0304"/>
    <s v="Rent - Ascendas"/>
    <m/>
    <n v="13647.064399999999"/>
    <n v="-1775032.5260000001"/>
    <m/>
    <n v="159.46199999999999"/>
    <n v="-20741.214800000002"/>
    <n v="0"/>
    <s v="Shah TC Global Exim LLP - Mumbai"/>
    <m/>
    <m/>
    <m/>
  </r>
  <r>
    <n v="246779410871"/>
    <x v="9"/>
    <s v="BOS2425M"/>
    <s v="PU 7350328"/>
    <s v="A/P Invoices - VD0304"/>
    <s v="Rent - Ascendas"/>
    <m/>
    <n v="3274.0057999999999"/>
    <n v="-1778306.5318"/>
    <m/>
    <n v="38.259"/>
    <n v="-20779.4738"/>
    <n v="0"/>
    <s v="Shah TC Global Exim LLP - Mumbai"/>
    <m/>
    <m/>
    <m/>
  </r>
  <r>
    <n v="246779412119"/>
    <x v="2"/>
    <s v="BOS2425M"/>
    <s v="PU 7350329"/>
    <s v="A/P Invoices - VD0304"/>
    <s v="Vos Miscellaneous Charges"/>
    <m/>
    <n v="8387"/>
    <n v="-1780063.4328000001"/>
    <m/>
    <n v="98"/>
    <n v="-20800.004799999999"/>
    <n v="0"/>
    <s v="Shah TC Global Exim LLP - Mumbai"/>
    <m/>
    <m/>
    <m/>
  </r>
  <r>
    <n v="246779414144"/>
    <x v="3"/>
    <s v="BOS2425M"/>
    <s v="PU 7350330"/>
    <s v="A/P Invoices - VD0304"/>
    <s v="LCL CHARGES"/>
    <m/>
    <n v="10567.08"/>
    <n v="-1790630.5127999999"/>
    <m/>
    <n v="123.48"/>
    <n v="-20923.484799999998"/>
    <n v="0"/>
    <s v="Shah TC Global Exim LLP - Mumbai"/>
    <m/>
    <m/>
    <m/>
  </r>
  <r>
    <n v="246779412121"/>
    <x v="2"/>
    <s v="BOS2425M"/>
    <s v="PU 7350331"/>
    <s v="A/P Invoices - VD0304"/>
    <s v="Vos Miscellaneous Charges"/>
    <m/>
    <n v="8387"/>
    <n v="-1799017.5127999999"/>
    <m/>
    <n v="98"/>
    <n v="-21021.484799999998"/>
    <n v="0"/>
    <s v="Shah TC Global Exim LLP - Mumbai"/>
    <m/>
    <m/>
    <m/>
  </r>
  <r>
    <n v="246779412116"/>
    <x v="2"/>
    <s v="BOS2425M"/>
    <s v="PU 7350332"/>
    <s v="A/P Invoices - VD0304"/>
    <s v="Vos Miscellaneous Charges"/>
    <m/>
    <n v="8387"/>
    <n v="-1807404.5127999999"/>
    <m/>
    <n v="98"/>
    <n v="-21119.484799999998"/>
    <n v="0"/>
    <s v="Shah TC Global Exim LLP - Mumbai"/>
    <m/>
    <m/>
    <m/>
  </r>
  <r>
    <n v="246779411515"/>
    <x v="6"/>
    <s v="BOS2425M"/>
    <s v="PU 7350333"/>
    <s v="A/P Invoices - VD0304"/>
    <s v="Vos Miscellaneous Charges"/>
    <m/>
    <n v="8387"/>
    <n v="-1815791.5127999999"/>
    <m/>
    <n v="98"/>
    <n v="-21217.484799999998"/>
    <n v="0"/>
    <s v="Shah TC Global Exim LLP - Mumbai"/>
    <m/>
    <m/>
    <m/>
  </r>
  <r>
    <n v="246779413016"/>
    <x v="1"/>
    <s v="BOS2425M"/>
    <s v="PU 7350335"/>
    <s v="A/P Invoices - VD0304"/>
    <s v="Rent - Ascendas"/>
    <m/>
    <n v="30964.871599999999"/>
    <n v="-1935071.9798000001"/>
    <m/>
    <n v="361.81799999999998"/>
    <n v="-22611.269799999998"/>
    <n v="0"/>
    <s v="Shah TC Global Exim LLP - Mumbai"/>
    <m/>
    <m/>
    <m/>
  </r>
  <r>
    <n v="246779412238"/>
    <x v="10"/>
    <s v="CL2425M"/>
    <s v="PU 300025"/>
    <s v="A/P Invoice - Cancellation - VD0304"/>
    <s v="Vos Miscellaneous Charges"/>
    <m/>
    <n v="-79318.285000000003"/>
    <n v="-1855753.6947999999"/>
    <m/>
    <n v="-926.83500000000004"/>
    <n v="-21684.434799999999"/>
    <n v="0"/>
    <s v="Shah TC Global Exim LLP - Mumbai"/>
    <m/>
    <m/>
    <m/>
  </r>
  <r>
    <n v="246779412981"/>
    <x v="1"/>
    <s v="BOS2425M"/>
    <s v="PU 7350336"/>
    <s v="A/P Invoices - VD0304"/>
    <s v="Rent - Ascendas"/>
    <m/>
    <n v="88469.755399999995"/>
    <n v="-1944223.4502000001"/>
    <m/>
    <n v="1033.7670000000001"/>
    <n v="-22718.201799999999"/>
    <n v="0"/>
    <s v="Shah TC Global Exim LLP - Mumbai"/>
    <m/>
    <m/>
    <m/>
  </r>
  <r>
    <m/>
    <x v="3"/>
    <s v="JRN2425M"/>
    <s v="JE 7353198"/>
    <s v="Being TDS deduction on 246779413797 ascendas"/>
    <s v="Tds Payable- 94Ib - Rent"/>
    <n v="1711.6"/>
    <m/>
    <n v="-1854196.2548"/>
    <n v="20"/>
    <m/>
    <n v="-21666.234799999998"/>
    <n v="0"/>
    <s v="Shah TC Global Exim LLP - Mumbai"/>
    <m/>
    <m/>
    <m/>
  </r>
  <r>
    <m/>
    <x v="3"/>
    <s v="JRN2425M"/>
    <s v="JE 7353199"/>
    <s v="Being TDS deduction on 246779413797 ascendas(Reversal) - 7646"/>
    <s v="Tds Payable- 94Ib - Rent"/>
    <m/>
    <n v="-1711.6"/>
    <n v="-1852484.6547999999"/>
    <m/>
    <n v="-20"/>
    <n v="-21646.234799999998"/>
    <n v="0"/>
    <s v="Shah TC Global Exim LLP - Mumbai"/>
    <m/>
    <m/>
    <m/>
  </r>
  <r>
    <n v="246779410425"/>
    <x v="11"/>
    <s v="BOS2425M"/>
    <s v="PU 7350338"/>
    <s v="A/P Invoices - VD0304"/>
    <s v="Rent - Ascendas"/>
    <m/>
    <n v="129952.43180000001"/>
    <n v="-1982437.0866"/>
    <m/>
    <n v="1518.489"/>
    <n v="-23164.7238"/>
    <n v="0"/>
    <s v="Shah TC Global Exim LLP - Mumbai"/>
    <m/>
    <m/>
    <m/>
  </r>
  <r>
    <n v="246779410401"/>
    <x v="11"/>
    <s v="BOS2425M"/>
    <s v="PU 7350339"/>
    <s v="A/P Invoices - VD0304"/>
    <s v="Rent - Ascendas"/>
    <m/>
    <n v="100048.99679999999"/>
    <n v="-2082486.0833999999"/>
    <m/>
    <n v="1169.0640000000001"/>
    <n v="-24333.787799999998"/>
    <n v="0"/>
    <s v="Shah TC Global Exim LLP - Mumbai"/>
    <m/>
    <m/>
    <m/>
  </r>
  <r>
    <n v="246779410376"/>
    <x v="11"/>
    <s v="BOS2425M"/>
    <s v="PU 7350340"/>
    <s v="A/P Invoices - VD0304"/>
    <s v="Rent - Ascendas"/>
    <m/>
    <n v="54789.332999999999"/>
    <n v="-2137275.4164"/>
    <m/>
    <n v="640.21500000000003"/>
    <n v="-24974.002799999998"/>
    <n v="0"/>
    <s v="Shah TC Global Exim LLP - Mumbai"/>
    <m/>
    <m/>
    <m/>
  </r>
  <r>
    <n v="256779411887"/>
    <x v="12"/>
    <s v="BOS2526M"/>
    <s v="PU 7360033"/>
    <s v="A/P Invoices - VD0304"/>
    <s v="Handeling &amp; Agency Charges"/>
    <m/>
    <n v="5965.8855999999996"/>
    <n v="-2143241.3020000001"/>
    <m/>
    <n v="69.795599999999993"/>
    <n v="-25043.7984"/>
    <n v="0"/>
    <s v="Shah TC Global Exim LLP - Mumbai"/>
    <m/>
    <m/>
    <m/>
  </r>
  <r>
    <n v="256779410224"/>
    <x v="13"/>
    <s v="BOS2526M"/>
    <s v="PU 7360034"/>
    <s v="A/P Invoices - VD0304"/>
    <s v="Ground Rent (Container)"/>
    <m/>
    <n v="146940"/>
    <n v="-2290181.3020000001"/>
    <m/>
    <n v="1719"/>
    <n v="-26762.7984"/>
    <n v="0"/>
    <s v="Shah TC Global Exim LLP - Mumbai"/>
    <m/>
    <m/>
    <m/>
  </r>
  <r>
    <n v="256779410224"/>
    <x v="13"/>
    <s v="JRN2526M"/>
    <s v="JE 7360255"/>
    <s v="Being tds deduction for rent against bill no.-256779410224 dated-03-04-2025."/>
    <s v="Tds Payable- 94Ib - Rent"/>
    <n v="1709.6"/>
    <m/>
    <n v="-2288471.702"/>
    <n v="20"/>
    <m/>
    <n v="-26742.7984"/>
    <n v="0"/>
    <s v="Shah TC Global Exim LLP - Mumbai"/>
    <m/>
    <m/>
    <m/>
  </r>
  <r>
    <n v="256779412020"/>
    <x v="12"/>
    <s v="BOS2526M"/>
    <s v="PU 7360030"/>
    <s v="A/P Invoices - VD0304"/>
    <s v="Vos Miscellaneous Charges"/>
    <m/>
    <n v="7137.7507999999998"/>
    <n v="-2295609.4528000001"/>
    <m/>
    <n v="83.505799999999994"/>
    <n v="-26826.304199999999"/>
    <n v="0"/>
    <s v="Shah TC Global Exim LLP - Mumbai"/>
    <m/>
    <m/>
    <m/>
  </r>
  <r>
    <n v="256779412550"/>
    <x v="14"/>
    <s v="BOS2526M"/>
    <s v="PU 7360031"/>
    <s v="A/P Invoices - VD0304"/>
    <s v="Handeling &amp; Agency Charges"/>
    <m/>
    <n v="7304.8559999999998"/>
    <n v="-2302914.3088000002"/>
    <m/>
    <n v="85.456000000000003"/>
    <n v="-26911.760200000001"/>
    <n v="0"/>
    <s v="Shah TC Global Exim LLP - Mumbai"/>
    <m/>
    <m/>
    <m/>
  </r>
  <r>
    <n v="256779412582"/>
    <x v="14"/>
    <s v="BOS2526M"/>
    <s v="PU 7360032"/>
    <s v="A/P Invoices - VD0304"/>
    <s v="Handeling &amp; Agency Charges"/>
    <m/>
    <n v="4771.0860000000002"/>
    <n v="-2307685.3947999999"/>
    <m/>
    <n v="55.811"/>
    <n v="-26967.571199999998"/>
    <n v="0"/>
    <s v="Shah TC Global Exim LLP - Mumbai"/>
    <m/>
    <m/>
    <m/>
  </r>
  <r>
    <m/>
    <x v="15"/>
    <s v="OPY2526M"/>
    <s v="PS 7360069"/>
    <s v="Outgoing Payments - VD0304, Being Amount paid to ascendas against bank ref. no-003MISC251560088 dated 5-6-2025."/>
    <s v="YES BANK - 038784600000486 - CC A/c(SGE)"/>
    <n v="302049.55200000003"/>
    <m/>
    <n v="-2005635.8428"/>
    <n v="3529.5558000000001"/>
    <m/>
    <n v="-23438.0154"/>
    <n v="0"/>
    <s v="Shah TC Global Exim LLP - Mumbai"/>
    <m/>
    <m/>
    <m/>
  </r>
  <r>
    <m/>
    <x v="15"/>
    <s v="OPY2526M"/>
    <s v="PS 7360072"/>
    <s v="Outgoing Payments - VD0304,Being Amount paid to ascendas against bank ref. no-003MISC251560102 dated 5-6-2025."/>
    <s v="YES BANK - 038784600000486 - CC A/c(SGE)"/>
    <n v="271057.80579999997"/>
    <m/>
    <n v="-1734578.037"/>
    <n v="3167.4751999999999"/>
    <m/>
    <n v="-20270.540199999999"/>
    <n v="0"/>
    <s v="Shah TC Global Exim LLP - Mumbai"/>
    <m/>
    <m/>
    <m/>
  </r>
  <r>
    <m/>
    <x v="15"/>
    <s v="OPY2526M"/>
    <s v="PS 7360074"/>
    <s v="Outgoing Payments - VD0304,Being Amount paid to ascendas against bank ref. no-003MISC251560090 dated 5-6-2025."/>
    <s v="YES BANK - 038784600000486 - CC A/c(SGE)"/>
    <n v="315203.35159999999"/>
    <m/>
    <n v="-1419374.6854000001"/>
    <n v="3685.2031999999999"/>
    <m/>
    <n v="-16585.337"/>
    <n v="0"/>
    <s v="Shah TC Global Exim LLP - Mumbai"/>
    <m/>
    <m/>
    <m/>
  </r>
  <r>
    <n v="256779412126"/>
    <x v="12"/>
    <s v="BOS2526M"/>
    <s v="PU 7360039"/>
    <s v="A/P Invoices - VD0304"/>
    <s v="Rent - Ascendas"/>
    <m/>
    <n v="38650.758199999997"/>
    <n v="-1458025.4436000001"/>
    <m/>
    <n v="450.52199999999999"/>
    <n v="-17035.859"/>
    <n v="0"/>
    <s v="Shah TC Global Exim LLP - Mumbai"/>
    <m/>
    <m/>
    <m/>
  </r>
  <r>
    <n v="256779413185"/>
    <x v="16"/>
    <s v="BOS2526M"/>
    <s v="PU 7360040"/>
    <s v="A/P Invoices - VD0304"/>
    <s v="Ground Rent (Container)"/>
    <m/>
    <n v="15442"/>
    <n v="-1473467.4436000001"/>
    <m/>
    <n v="180"/>
    <n v="-17215.859"/>
    <n v="0"/>
    <s v="Shah TC Global Exim LLP - Mumbai"/>
    <m/>
    <m/>
    <m/>
  </r>
  <r>
    <n v="256779413847"/>
    <x v="17"/>
    <s v="BOS2526D"/>
    <s v="PU 5360026"/>
    <s v="A/P Invoices - VD0304"/>
    <s v="Vos Miscellaneous Charges"/>
    <m/>
    <n v="8407"/>
    <n v="-1481874.4436000001"/>
    <m/>
    <n v="98"/>
    <n v="-17313.859"/>
    <n v="0"/>
    <s v="Shah TC Global Exim LLP - Delhi"/>
    <m/>
    <m/>
    <m/>
  </r>
  <r>
    <n v="256779413841"/>
    <x v="17"/>
    <s v="BOS2526M"/>
    <s v="PU 7360042"/>
    <s v="A/P Invoices - VD0304"/>
    <s v="Vos Miscellaneous Charges"/>
    <m/>
    <n v="8407"/>
    <n v="-1490281.4436000001"/>
    <m/>
    <n v="98"/>
    <n v="-17411.859"/>
    <n v="0"/>
    <s v="Shah TC Global Exim LLP - Mumbai"/>
    <m/>
    <m/>
    <m/>
  </r>
  <r>
    <n v="256779413244"/>
    <x v="18"/>
    <s v="BOS2526M"/>
    <s v="PU 7360044"/>
    <s v="A/P Invoices - VD0304"/>
    <s v="Vos Miscellaneous Charges"/>
    <m/>
    <n v="33734.3796"/>
    <n v="-1524113.8232"/>
    <m/>
    <n v="393.21519999999998"/>
    <n v="-17805.074199999999"/>
    <n v="0"/>
    <s v="Shah TC Global Exim LLP - Mumbai"/>
    <m/>
    <m/>
    <m/>
  </r>
  <r>
    <n v="256779413231"/>
    <x v="18"/>
    <s v="BOS2526M"/>
    <s v="PU 7360045"/>
    <s v="A/P Invoices - VD0304"/>
    <s v="Vos Miscellaneous Charges"/>
    <m/>
    <n v="8407"/>
    <n v="-1532520.8232"/>
    <m/>
    <n v="98"/>
    <n v="-17903.074199999999"/>
    <n v="0"/>
    <s v="Shah TC Global Exim LLP - Mumbai"/>
    <m/>
    <m/>
    <m/>
  </r>
  <r>
    <n v="256779412177"/>
    <x v="19"/>
    <s v="BOS2526M"/>
    <s v="PU 7360046"/>
    <s v="A/P Invoices - VD0304"/>
    <s v="Management Fees (Ascendas)"/>
    <m/>
    <n v="34292.025199999996"/>
    <n v="-1566812.8484"/>
    <m/>
    <n v="399.72239999999999"/>
    <n v="-18302.796600000001"/>
    <n v="0"/>
    <s v="Shah TC Global Exim LLP - Mumbai"/>
    <m/>
    <m/>
    <m/>
  </r>
  <r>
    <n v="256779412142"/>
    <x v="19"/>
    <s v="BOS2526M"/>
    <s v="PU 7360047"/>
    <s v="A/P Invoices - VD0304"/>
    <s v="Rent - Ascendas"/>
    <m/>
    <n v="89979.092300000004"/>
    <n v="-1656791.9406999999"/>
    <m/>
    <n v="1048.8330000000001"/>
    <n v="-19351.6296"/>
    <n v="0"/>
    <s v="Shah TC Global Exim LLP - Mumbai"/>
    <m/>
    <m/>
    <m/>
  </r>
  <r>
    <n v="256779413848"/>
    <x v="17"/>
    <s v="BOS2526M"/>
    <s v="PU 7360101"/>
    <s v="A/P Invoices - VD0304"/>
    <s v="Vos Miscellaneous Charges"/>
    <m/>
    <n v="8407"/>
    <n v="-1665100.9406999999"/>
    <m/>
    <n v="98"/>
    <n v="-19449.6296"/>
    <n v="0"/>
    <s v="Shah TC Global Exim LLP - Mumbai"/>
    <m/>
    <m/>
    <m/>
  </r>
  <r>
    <n v="256779411984"/>
    <x v="12"/>
    <s v="BOS2526M"/>
    <s v="PU 7360049"/>
    <s v="A/P Invoices - VD0304"/>
    <s v="Vos Miscellaneous Charges"/>
    <m/>
    <n v="3324.1365999999998"/>
    <n v="-1668425.0773"/>
    <m/>
    <n v="38.749200000000002"/>
    <n v="-19488.378799999999"/>
    <n v="0"/>
    <s v="Shah TC Global Exim LLP - Mumbai"/>
    <m/>
    <m/>
    <m/>
  </r>
  <r>
    <n v="256779412657"/>
    <x v="14"/>
    <s v="BOS2526M"/>
    <s v="PU 7360050"/>
    <s v="A/P Invoices - VD0304"/>
    <s v="Handeling &amp; Agency Charges"/>
    <m/>
    <n v="414.94470000000001"/>
    <n v="-1668840.0220000001"/>
    <m/>
    <n v="4.8314000000000004"/>
    <n v="-19493.210200000001"/>
    <n v="0"/>
    <s v="Shah TC Global Exim LLP - Mumbai"/>
    <m/>
    <m/>
    <m/>
  </r>
  <r>
    <n v="256779412615"/>
    <x v="14"/>
    <s v="BOS2526M"/>
    <s v="PU 7360051"/>
    <s v="A/P Invoices - VD0304"/>
    <s v="Handeling &amp; Agency Charges"/>
    <m/>
    <n v="7330.8879999999999"/>
    <n v="-1676170.91"/>
    <m/>
    <n v="85.456000000000003"/>
    <n v="-19578.6662"/>
    <n v="0"/>
    <s v="Shah TC Global Exim LLP - Mumbai"/>
    <m/>
    <m/>
    <m/>
  </r>
  <r>
    <n v="256779410006"/>
    <x v="13"/>
    <s v="BOS2526M"/>
    <s v="PU 7360052"/>
    <s v="A/P Invoices - VD0304"/>
    <s v="Rent - Ascendas"/>
    <m/>
    <n v="143269"/>
    <n v="-1819439.91"/>
    <m/>
    <n v="1670"/>
    <n v="-21248.6662"/>
    <n v="0"/>
    <s v="Shah TC Global Exim LLP - Mumbai"/>
    <m/>
    <m/>
    <m/>
  </r>
  <r>
    <n v="256779410006"/>
    <x v="13"/>
    <s v="JRN2526M"/>
    <s v="JE 7360300"/>
    <s v="Being TDS entry passed for the ground rent charges against bill no. 256779410006 dated 03-04-2025."/>
    <s v="Tds Payable- 94Ib - Rent"/>
    <n v="1715.8"/>
    <m/>
    <n v="-1817724.11"/>
    <n v="20"/>
    <m/>
    <n v="-21228.6662"/>
    <n v="0"/>
    <s v="Shah TC Global Exim LLP - Mumbai"/>
    <m/>
    <m/>
    <m/>
  </r>
  <r>
    <n v="256779410012"/>
    <x v="13"/>
    <s v="BOS2526M"/>
    <s v="PU 7360053"/>
    <s v="A/P Invoices - VD0304"/>
    <s v="Rent - Ascendas"/>
    <m/>
    <n v="147473.5"/>
    <n v="-1965197.61"/>
    <m/>
    <n v="1719"/>
    <n v="-22947.6662"/>
    <n v="0"/>
    <s v="Shah TC Global Exim LLP - Mumbai"/>
    <m/>
    <m/>
    <m/>
  </r>
  <r>
    <n v="256779410015"/>
    <x v="13"/>
    <s v="BOS2526M"/>
    <s v="PU 7360054"/>
    <s v="A/P Invoices - VD0304"/>
    <s v="Rent - Ascendas"/>
    <m/>
    <n v="143269"/>
    <n v="-2108466.61"/>
    <m/>
    <n v="1670"/>
    <n v="-24617.6662"/>
    <n v="0"/>
    <s v="Shah TC Global Exim LLP - Mumbai"/>
    <m/>
    <m/>
    <m/>
  </r>
  <r>
    <n v="256779410015"/>
    <x v="13"/>
    <s v="JRN2526M"/>
    <s v="JE 7360303"/>
    <s v="Being Ground rent charges tds booked against bill no. 256779410015 dated 03-04-2025."/>
    <s v="Tds Payable- 94Ib - Rent"/>
    <n v="1715.8"/>
    <m/>
    <n v="-2106750.81"/>
    <n v="20"/>
    <m/>
    <n v="-24597.6662"/>
    <n v="0"/>
    <s v="Shah TC Global Exim LLP - Mumbai"/>
    <m/>
    <m/>
    <m/>
  </r>
  <r>
    <n v="256779410012"/>
    <x v="13"/>
    <s v="JRN2526M"/>
    <s v="JE 7360304"/>
    <s v="BEing Ground Rent Charges tds booked against bill no 256779410012 dated 03-04-2025."/>
    <s v="Tds Payable- 94Ib - Rent"/>
    <n v="1715.8"/>
    <m/>
    <n v="-2105035.0099999998"/>
    <n v="20"/>
    <m/>
    <n v="-24577.6662"/>
    <n v="0"/>
    <s v="Shah TC Global Exim LLP - Mumbai"/>
    <m/>
    <m/>
    <m/>
  </r>
  <r>
    <m/>
    <x v="20"/>
    <s v="OPY2526M"/>
    <s v="PS 7360113"/>
    <s v="Outgoing Payments - VD0304,Being Amount paid to ascendas against bank ref. no-003FT01251640051 dated 13-6-2025."/>
    <s v="HDFC Bank - INR"/>
    <n v="1075024.8446"/>
    <m/>
    <n v="-1030010.1654000001"/>
    <n v="12549.359399999999"/>
    <m/>
    <n v="-12028.3068"/>
    <n v="0"/>
    <s v="Shah TC Global Exim LLP - Mumbai"/>
    <m/>
    <m/>
    <m/>
  </r>
  <r>
    <m/>
    <x v="20"/>
    <s v="OPY2526M"/>
    <s v="PS 7360143"/>
    <s v="Outgoing Payments - VD0304,Being Amount paid to ascendas against bank ref. no-003FT01251640038 dated 13-6-2025."/>
    <s v="HDFC Bank - INR"/>
    <n v="353878.0502"/>
    <m/>
    <n v="-676132.1152"/>
    <m/>
    <m/>
    <n v="-12028.3068"/>
    <m/>
    <s v="Shah TC Global Exim LLP - Mumbai"/>
    <m/>
    <m/>
    <m/>
  </r>
  <r>
    <m/>
    <x v="20"/>
    <s v="OPY2526M"/>
    <s v="PS 7360143"/>
    <s v="Reverse Entry for Payment No. 7360143"/>
    <s v="HDFC Bank - INR"/>
    <n v="-353878.0502"/>
    <m/>
    <n v="-1030010.1654000001"/>
    <m/>
    <m/>
    <n v="-12028.3068"/>
    <m/>
    <s v="Shah TC Global Exim LLP - Mumbai"/>
    <m/>
    <m/>
    <m/>
  </r>
  <r>
    <m/>
    <x v="20"/>
    <s v="OPY2526M"/>
    <s v="PS 7360144"/>
    <s v="Outgoing Payments - VD0304,Being Amount paid to ascendas against bank ref. no-003FT01251640038 dated 13-6-2025."/>
    <s v="HDFC Bank - INR"/>
    <n v="353878.0502"/>
    <m/>
    <n v="-676132.1152"/>
    <n v="4127.9549999999999"/>
    <m/>
    <n v="-7900.3518000000004"/>
    <n v="0"/>
    <s v="Shah TC Global Exim LLP - Mumbai"/>
    <m/>
    <m/>
    <m/>
  </r>
  <r>
    <n v="246779410871"/>
    <x v="20"/>
    <s v="JRN2526M"/>
    <s v="JE 7360530"/>
    <s v="Being $3.4008 less paid in this bill because in summary sheet 2% tds deduscted instead of 10%"/>
    <s v="HDFC Bank - INR"/>
    <n v="290.90440000000001"/>
    <m/>
    <n v="-675841.2108"/>
    <n v="3.4007999999999998"/>
    <m/>
    <n v="-7896.951"/>
    <n v="3.4007999999999998"/>
    <s v="Shah TC Global Exim LLP - Mumbai"/>
    <m/>
    <m/>
    <m/>
  </r>
  <r>
    <m/>
    <x v="20"/>
    <s v="OPY2526M"/>
    <s v="PS 7360144"/>
    <s v="Reverse Entry for Payment No. 7360144"/>
    <s v="HDFC Bank - INR"/>
    <n v="-353878.0502"/>
    <m/>
    <n v="-1029719.2610000001"/>
    <n v="-4127.9549999999999"/>
    <m/>
    <n v="-12024.906000000001"/>
    <n v="0"/>
    <s v="Shah TC Global Exim LLP - Mumbai"/>
    <m/>
    <m/>
    <m/>
  </r>
  <r>
    <m/>
    <x v="20"/>
    <s v="OPY2526M"/>
    <s v="PS 7360145"/>
    <s v="Outgoing Payments - VD0304,Being Amount paid to ascendas against bank ref. no-003FT01251640038 dated 13-6-2025."/>
    <s v="HDFC Bank - INR"/>
    <n v="362187.0502"/>
    <m/>
    <n v="-667532.2108"/>
    <n v="4224.8172000000004"/>
    <m/>
    <n v="-7800.0888000000004"/>
    <n v="0"/>
    <s v="Shah TC Global Exim LLP - Mumbai"/>
    <m/>
    <m/>
    <m/>
  </r>
  <r>
    <n v="256779414240"/>
    <x v="16"/>
    <s v="BOS2526M"/>
    <s v="PU 7360085"/>
    <s v="A/P Invoices - VD0304"/>
    <s v="Rent - Ascendas"/>
    <m/>
    <n v="103047.89"/>
    <n v="-770580.10080000001"/>
    <m/>
    <n v="1205.0999999999999"/>
    <n v="-9005.1887999999999"/>
    <n v="0"/>
    <s v="Shah TC Global Exim LLP - Mumbai"/>
    <m/>
    <m/>
    <m/>
  </r>
  <r>
    <n v="256779414357"/>
    <x v="21"/>
    <s v="BOS2526M"/>
    <s v="PU 7360086"/>
    <s v="A/P Invoices - VD0304"/>
    <s v="Rent - Ascendas"/>
    <m/>
    <n v="31506.794000000002"/>
    <n v="-802086.89480000001"/>
    <m/>
    <n v="368.46"/>
    <n v="-9373.6488000000008"/>
    <n v="0"/>
    <s v="Shah TC Global Exim LLP - Mumbai"/>
    <m/>
    <m/>
    <m/>
  </r>
  <r>
    <n v="256779414356"/>
    <x v="21"/>
    <s v="BOS2526M"/>
    <s v="PU 7360087"/>
    <s v="A/P Invoices - VD0304"/>
    <s v="Rent - Ascendas"/>
    <m/>
    <n v="90020.757199999993"/>
    <n v="-892107.652"/>
    <m/>
    <n v="1052.748"/>
    <n v="-10426.3968"/>
    <n v="0"/>
    <s v="Shah TC Global Exim LLP - Mumbai"/>
    <m/>
    <m/>
    <m/>
  </r>
  <r>
    <n v="256779413256"/>
    <x v="22"/>
    <s v="BOS2526M"/>
    <s v="PU 7360088"/>
    <s v="A/P Invoices - VD0304"/>
    <s v="Transportation (Inbound)"/>
    <m/>
    <n v="22625.7"/>
    <n v="-914733.35199999996"/>
    <m/>
    <n v="264.60000000000002"/>
    <n v="-10690.996800000001"/>
    <n v="0"/>
    <s v="Shah TC Global Exim LLP - Mumbai"/>
    <m/>
    <m/>
    <m/>
  </r>
  <r>
    <n v="256779413284"/>
    <x v="22"/>
    <s v="BOS2526M"/>
    <s v="PU 7360089"/>
    <s v="A/P Invoices - VD0304"/>
    <s v="Vos Miscellaneous Charges"/>
    <m/>
    <n v="2932.85"/>
    <n v="-917666.20200000005"/>
    <m/>
    <n v="34.299999999999997"/>
    <n v="-10725.2968"/>
    <n v="0"/>
    <s v="Shah TC Global Exim LLP - Mumbai"/>
    <m/>
    <m/>
    <m/>
  </r>
  <r>
    <n v="256779414275"/>
    <x v="23"/>
    <s v="BOS2526M"/>
    <s v="PU 7360090"/>
    <s v="A/P Invoices - VD0304"/>
    <s v="Vos Miscellaneous Charges"/>
    <m/>
    <n v="11403.200800000001"/>
    <n v="-929069.40280000004"/>
    <m/>
    <n v="133.35839999999999"/>
    <n v="-10858.655199999999"/>
    <n v="0"/>
    <s v="Shah TC Global Exim LLP - Mumbai"/>
    <m/>
    <m/>
    <m/>
  </r>
  <r>
    <n v="256779414317"/>
    <x v="24"/>
    <s v="BOS2526M"/>
    <s v="PU 7360091"/>
    <s v="A/P Invoices - VD0304"/>
    <s v="Vos Miscellaneous Charges"/>
    <m/>
    <n v="58444.239300000001"/>
    <n v="-987513.64210000006"/>
    <m/>
    <n v="683.48140000000001"/>
    <n v="-11542.1366"/>
    <n v="0"/>
    <s v="Shah TC Global Exim LLP - Mumbai"/>
    <m/>
    <m/>
    <m/>
  </r>
  <r>
    <n v="246779414733"/>
    <x v="24"/>
    <s v="BOS2526M"/>
    <s v="PU 7360106"/>
    <s v="A/P Invoices - VD0304"/>
    <s v="Rent - Ascendas"/>
    <m/>
    <n v="7725"/>
    <n v="-1002963.6421000001"/>
    <m/>
    <n v="90"/>
    <n v="-11722.1366"/>
    <n v="0"/>
    <s v="Shah TC Global Exim LLP - Mumbai"/>
    <m/>
    <m/>
    <m/>
  </r>
  <r>
    <n v="246779414732"/>
    <x v="24"/>
    <s v="BOS2526M"/>
    <s v="PU 7360107"/>
    <s v="A/P Invoices - VD0304"/>
    <s v="Rent - Ascendas"/>
    <m/>
    <n v="7725"/>
    <n v="-1010688.6421000001"/>
    <m/>
    <n v="90"/>
    <n v="-11812.1366"/>
    <n v="0"/>
    <s v="Shah TC Global Exim LLP - Mumbai"/>
    <m/>
    <m/>
    <m/>
  </r>
  <r>
    <n v="246779414731"/>
    <x v="24"/>
    <s v="BOS2526M"/>
    <s v="PU 7360108"/>
    <s v="A/P Invoices - VD0304"/>
    <s v="Rent - Ascendas"/>
    <m/>
    <n v="7725"/>
    <n v="-1018413.6421000001"/>
    <m/>
    <n v="90"/>
    <n v="-11902.1366"/>
    <n v="0"/>
    <s v="Shah TC Global Exim LLP - Mumbai"/>
    <m/>
    <m/>
    <m/>
  </r>
  <r>
    <n v="246779414734"/>
    <x v="24"/>
    <s v="BOS2526M"/>
    <s v="PU 7360109"/>
    <s v="A/P Invoices - VD0304"/>
    <s v="Rent - Ascendas"/>
    <m/>
    <n v="7725"/>
    <n v="-995238.64210000006"/>
    <m/>
    <n v="90"/>
    <n v="-11632.1366"/>
    <n v="0"/>
    <s v="Shah TC Global Exim LLP - Mumbai"/>
    <m/>
    <m/>
    <m/>
  </r>
  <r>
    <n v="256779414341"/>
    <x v="20"/>
    <s v="BOS2526M"/>
    <s v="PU 7360113"/>
    <s v="A/P Invoices - VD0304"/>
    <s v="Vos Miscellaneous Charges"/>
    <m/>
    <n v="16823"/>
    <n v="-1035236.6421000001"/>
    <m/>
    <n v="196"/>
    <n v="-12098.1366"/>
    <n v="0"/>
    <s v="Shah TC Global Exim LLP - Mumbai"/>
    <m/>
    <m/>
    <m/>
  </r>
  <r>
    <m/>
    <x v="25"/>
    <s v="OPY2526M"/>
    <s v="PS 7360316"/>
    <s v="Outgoing Payments - VD0304,Being payment done against USD 3798.9858   ASCENDAS PANVEL FTWZ PRIVATE LIMITED, Bank ref no.-  003MISC251990131 dated-18-07-2025."/>
    <s v="YES BANK - USD"/>
    <n v="319981.4313"/>
    <m/>
    <n v="-715255.2108"/>
    <n v="3742.0477999999998"/>
    <m/>
    <n v="-8356.0887999999995"/>
    <n v="0"/>
    <s v="Shah TC Global Exim LLP - Mumbai"/>
    <m/>
    <m/>
    <m/>
  </r>
  <r>
    <m/>
    <x v="25"/>
    <s v="OPY2526M"/>
    <s v="PS 7360316"/>
    <s v="Reverse Entry for Payment No. 7360316"/>
    <s v="YES BANK - USD"/>
    <n v="-319981.4313"/>
    <m/>
    <n v="-1035236.6421000001"/>
    <n v="-3742.0477999999998"/>
    <m/>
    <n v="-12098.1366"/>
    <n v="0"/>
    <s v="Shah TC Global Exim LLP - Mumbai"/>
    <m/>
    <m/>
    <m/>
  </r>
  <r>
    <m/>
    <x v="25"/>
    <s v="OPY2526M"/>
    <s v="PS 7360331"/>
    <s v="Outgoing Payments - VD0304,Being payment done against USD 3798.9858   ASCENDAS PANVEL FTWZ PRIVATE LIMITED, Bank ref no.-  003MISC251990131 dated-18-07-2025."/>
    <s v="YES BANK - USD"/>
    <n v="319981.4313"/>
    <m/>
    <n v="-715255.2108"/>
    <n v="3742.0477999999998"/>
    <m/>
    <n v="-8356.0887999999995"/>
    <n v="0"/>
    <s v="Shah TC Global Exim LLP - Mumbai"/>
    <m/>
    <m/>
    <m/>
  </r>
  <r>
    <n v="256779414735"/>
    <x v="24"/>
    <s v="BOS2526M"/>
    <s v="PU 7360124"/>
    <s v="A/P Invoices - VD0304"/>
    <s v="Rent - Ascendas"/>
    <m/>
    <n v="7758"/>
    <n v="-723013.2108"/>
    <m/>
    <n v="90"/>
    <n v="-8446.0887999999995"/>
    <n v="0"/>
    <s v="Shah TC Global Exim LLP - Mumbai"/>
    <m/>
    <m/>
    <m/>
  </r>
  <r>
    <n v="256779411152"/>
    <x v="26"/>
    <s v="BOS2526M"/>
    <s v="PU 7360133"/>
    <s v="A/P Invoices - VD0304"/>
    <s v="Empty Return - Outward"/>
    <m/>
    <n v="13942.089"/>
    <n v="-736955.29980000004"/>
    <m/>
    <n v="161.09"/>
    <n v="-8607.1787999999997"/>
    <n v="0"/>
    <s v="Shah TC Global Exim LLP - Mumbai"/>
    <m/>
    <m/>
    <m/>
  </r>
  <r>
    <n v="256779411153"/>
    <x v="26"/>
    <s v="BOS2526M"/>
    <s v="PU 7360134"/>
    <s v="A/P Invoices - VD0304"/>
    <s v="LCL CHARGES"/>
    <m/>
    <n v="2251.0369999999998"/>
    <n v="-739206.33680000005"/>
    <m/>
    <n v="26.01"/>
    <n v="-8633.1887999999999"/>
    <n v="0"/>
    <s v="Shah TC Global Exim LLP - Mumbai"/>
    <m/>
    <m/>
    <m/>
  </r>
  <r>
    <n v="256779411154"/>
    <x v="26"/>
    <s v="BOS2526M"/>
    <s v="PU 7360135"/>
    <s v="A/P Invoices - VD0304"/>
    <s v="LCL CHARGES"/>
    <m/>
    <n v="7146.7030000000004"/>
    <n v="-746353.03980000003"/>
    <m/>
    <n v="82.57"/>
    <n v="-8715.7587999999996"/>
    <n v="0"/>
    <s v="Shah TC Global Exim LLP - Mumbai"/>
    <m/>
    <m/>
    <m/>
  </r>
  <r>
    <n v="256779411155"/>
    <x v="26"/>
    <s v="BOS2526M"/>
    <s v="PU 7360136"/>
    <s v="A/P Invoices - VD0304"/>
    <s v="Inbound &amp; Outbound Handling"/>
    <m/>
    <n v="3129.6950000000002"/>
    <n v="-749482.73479999998"/>
    <m/>
    <n v="36.159999999999997"/>
    <n v="-8751.9187999999995"/>
    <n v="0"/>
    <s v="Shah TC Global Exim LLP - Mumbai"/>
    <m/>
    <m/>
    <m/>
  </r>
  <r>
    <n v="256779411156"/>
    <x v="26"/>
    <s v="BOS2526M"/>
    <s v="PU 7360137"/>
    <s v="A/P Invoices - VD0304"/>
    <s v="Inbound &amp; Outbound Handling"/>
    <m/>
    <n v="1715.9065000000001"/>
    <n v="-751198.64130000002"/>
    <m/>
    <n v="19.829999999999998"/>
    <n v="-8771.7487999999994"/>
    <n v="0"/>
    <s v="Shah TC Global Exim LLP - Mumbai"/>
    <m/>
    <m/>
    <m/>
  </r>
  <r>
    <n v="256779411157"/>
    <x v="26"/>
    <s v="BOS2526M"/>
    <s v="PU 7360138"/>
    <s v="A/P Invoices - VD0304"/>
    <s v="Inbound &amp; Outbound Handling"/>
    <m/>
    <n v="9866.4959999999992"/>
    <n v="-761065.13729999994"/>
    <m/>
    <n v="113.99"/>
    <n v="-8885.7387999999992"/>
    <n v="0"/>
    <s v="Shah TC Global Exim LLP - Mumbai"/>
    <m/>
    <m/>
    <m/>
  </r>
  <r>
    <n v="256779411565"/>
    <x v="26"/>
    <s v="BOS2526M"/>
    <s v="PU 7360139"/>
    <s v="A/P Invoices - VD0304"/>
    <s v="Inbound &amp; Outbound Handling"/>
    <m/>
    <n v="1866.1"/>
    <n v="-762931.23730000004"/>
    <m/>
    <n v="21.56"/>
    <n v="-8907.2988000000005"/>
    <n v="0"/>
    <s v="Shah TC Global Exim LLP - Mumbai"/>
    <m/>
    <m/>
    <m/>
  </r>
  <r>
    <n v="256779411566"/>
    <x v="26"/>
    <s v="BOS2526M"/>
    <s v="PU 7360140"/>
    <s v="A/P Invoices - VD0304"/>
    <s v="Inbound &amp; Outbound Handling"/>
    <m/>
    <n v="372.82"/>
    <n v="-763304.05729999999"/>
    <m/>
    <n v="4.3099999999999996"/>
    <n v="-8911.6088"/>
    <n v="0"/>
    <s v="Shah TC Global Exim LLP - Mumbai"/>
    <m/>
    <m/>
    <m/>
  </r>
  <r>
    <n v="256779411567"/>
    <x v="26"/>
    <s v="BOS2526M"/>
    <s v="PU 7360141"/>
    <s v="A/P Invoices - VD0304"/>
    <s v="Inbound &amp; Outbound Handling"/>
    <m/>
    <n v="495.452"/>
    <n v="-763799.50930000003"/>
    <m/>
    <n v="5.72"/>
    <n v="-8917.3287999999993"/>
    <n v="0"/>
    <s v="Shah TC Global Exim LLP - Mumbai"/>
    <m/>
    <m/>
    <m/>
  </r>
  <r>
    <n v="256779411568"/>
    <x v="26"/>
    <s v="BOS2526M"/>
    <s v="PU 7360142"/>
    <s v="A/P Invoices - VD0304"/>
    <s v="Inbound &amp; Outbound Handling"/>
    <m/>
    <n v="68.239999999999995"/>
    <n v="-763867.74930000002"/>
    <m/>
    <n v="0.78"/>
    <n v="-8918.1088"/>
    <n v="0"/>
    <s v="Shah TC Global Exim LLP - Mumbai"/>
    <m/>
    <m/>
    <m/>
  </r>
  <r>
    <n v="256779411569"/>
    <x v="26"/>
    <s v="BOS2526M"/>
    <s v="PU 7360143"/>
    <s v="A/P Invoices - VD0304"/>
    <s v="Inbound &amp; Outbound Handling"/>
    <m/>
    <n v="1174.7175"/>
    <n v="-765042.46680000005"/>
    <m/>
    <n v="13.57"/>
    <n v="-8931.6787999999997"/>
    <n v="0"/>
    <s v="Shah TC Global Exim LLP - Mumbai"/>
    <m/>
    <m/>
    <m/>
  </r>
  <r>
    <n v="256779411570"/>
    <x v="26"/>
    <s v="BOS2526M"/>
    <s v="PU 7360144"/>
    <s v="A/P Invoices - VD0304"/>
    <s v="Inbound &amp; Outbound Handling"/>
    <m/>
    <n v="1539.8824999999999"/>
    <n v="-766582.3493"/>
    <m/>
    <n v="17.79"/>
    <n v="-8949.4688000000006"/>
    <n v="0"/>
    <s v="Shah TC Global Exim LLP - Mumbai"/>
    <m/>
    <m/>
    <m/>
  </r>
  <r>
    <n v="256779411571"/>
    <x v="26"/>
    <s v="BOS2526M"/>
    <s v="PU 7360145"/>
    <s v="A/P Invoices - VD0304"/>
    <s v="Inbound &amp; Outbound Handling"/>
    <m/>
    <n v="1811.7080000000001"/>
    <n v="-768394.05729999999"/>
    <m/>
    <n v="20.93"/>
    <n v="-8970.3988000000008"/>
    <n v="0"/>
    <s v="Shah TC Global Exim LLP - Mumbai"/>
    <m/>
    <m/>
    <m/>
  </r>
  <r>
    <n v="256779411572"/>
    <x v="26"/>
    <s v="BOS2526M"/>
    <s v="PU 7360146"/>
    <s v="A/P Invoices - VD0304"/>
    <s v="Inbound &amp; Outbound Handling"/>
    <m/>
    <n v="167.5035"/>
    <n v="-768561.56079999998"/>
    <m/>
    <n v="1.93"/>
    <n v="-8972.3287999999993"/>
    <n v="0"/>
    <s v="Shah TC Global Exim LLP - Mumbai"/>
    <m/>
    <m/>
    <m/>
  </r>
  <r>
    <n v="256779411573"/>
    <x v="27"/>
    <s v="BOS2526M"/>
    <s v="PU 7360147"/>
    <s v="A/P Invoices - VD0304"/>
    <s v="Inbound &amp; Outbound Handling"/>
    <m/>
    <n v="2053.3755000000001"/>
    <n v="-770614.93629999994"/>
    <m/>
    <n v="23.73"/>
    <n v="-8996.0588000000007"/>
    <n v="0"/>
    <s v="Shah TC Global Exim LLP - Mumbai"/>
    <m/>
    <m/>
    <m/>
  </r>
  <r>
    <n v="256779411574"/>
    <x v="26"/>
    <s v="BOS2526M"/>
    <s v="PU 7360148"/>
    <s v="A/P Invoices - VD0304"/>
    <s v="Inbound &amp; Outbound Handling"/>
    <m/>
    <n v="1247.2850000000001"/>
    <n v="-771862.22129999998"/>
    <m/>
    <n v="14.41"/>
    <n v="-9010.4688000000006"/>
    <n v="0"/>
    <s v="Shah TC Global Exim LLP - Mumbai"/>
    <m/>
    <m/>
    <m/>
  </r>
  <r>
    <n v="256779411575"/>
    <x v="26"/>
    <s v="BOS2526M"/>
    <s v="PU 7360149"/>
    <s v="A/P Invoices - VD0304"/>
    <s v="Inbound &amp; Outbound Handling"/>
    <m/>
    <n v="1895.3924999999999"/>
    <n v="-773757.61380000005"/>
    <m/>
    <n v="21.902999999999999"/>
    <n v="-9032.3718000000008"/>
    <n v="0"/>
    <s v="Shah TC Global Exim LLP - Mumbai"/>
    <m/>
    <m/>
    <m/>
  </r>
  <r>
    <n v="256779411576"/>
    <x v="26"/>
    <s v="BOS2526M"/>
    <s v="PU 7360150"/>
    <s v="A/P Invoices - VD0304"/>
    <s v="Inbound &amp; Outbound Handling"/>
    <m/>
    <n v="1825.556"/>
    <n v="-775583.16980000003"/>
    <m/>
    <n v="21.09"/>
    <n v="-9053.4617999999991"/>
    <n v="0"/>
    <s v="Shah TC Global Exim LLP - Mumbai"/>
    <m/>
    <m/>
    <m/>
  </r>
  <r>
    <n v="256779411577"/>
    <x v="26"/>
    <s v="BOS2526M"/>
    <s v="PU 7360151"/>
    <s v="A/P Invoices - VD0304"/>
    <s v="Inbound &amp; Outbound Handling"/>
    <m/>
    <n v="130.28700000000001"/>
    <n v="-775713.45680000004"/>
    <m/>
    <n v="1.51"/>
    <n v="-9054.9717999999993"/>
    <n v="0"/>
    <s v="Shah TC Global Exim LLP - Mumbai"/>
    <m/>
    <m/>
    <m/>
  </r>
  <r>
    <n v="256779411578"/>
    <x v="26"/>
    <s v="BOS2526M"/>
    <s v="PU 7360152"/>
    <s v="A/P Invoices - VD0304"/>
    <s v="Inbound &amp; Outbound Handling"/>
    <m/>
    <n v="610.29449999999997"/>
    <n v="-776323.7513"/>
    <m/>
    <n v="7.05"/>
    <n v="-9062.0218000000004"/>
    <n v="0"/>
    <s v="Shah TC Global Exim LLP - Mumbai"/>
    <m/>
    <m/>
    <m/>
  </r>
  <r>
    <n v="256779411579"/>
    <x v="26"/>
    <s v="BOS2526M"/>
    <s v="PU 7360153"/>
    <s v="A/P Invoices - VD0304"/>
    <s v="Inbound &amp; Outbound Handling"/>
    <m/>
    <n v="411.76749999999998"/>
    <n v="-776735.51879999996"/>
    <m/>
    <n v="4.75"/>
    <n v="-9066.7718000000004"/>
    <n v="0"/>
    <s v="Shah TC Global Exim LLP - Mumbai"/>
    <m/>
    <m/>
    <m/>
  </r>
  <r>
    <n v="256779411580"/>
    <x v="26"/>
    <s v="BOS2526M"/>
    <s v="PU 7360154"/>
    <s v="A/P Invoices - VD0304"/>
    <s v="Inbound &amp; Outbound Handling"/>
    <m/>
    <n v="1845.328"/>
    <n v="-778580.84680000006"/>
    <m/>
    <n v="21.32"/>
    <n v="-9088.0918000000001"/>
    <n v="0"/>
    <s v="Shah TC Global Exim LLP - Mumbai"/>
    <m/>
    <m/>
    <m/>
  </r>
  <r>
    <n v="256779411581"/>
    <x v="26"/>
    <s v="BOS2526M"/>
    <s v="PU 7360155"/>
    <s v="A/P Invoices - VD0304"/>
    <s v="Inbound &amp; Outbound Handling"/>
    <m/>
    <n v="186.41"/>
    <n v="-778767.25679999997"/>
    <m/>
    <n v="2.16"/>
    <n v="-9090.2518"/>
    <n v="0"/>
    <s v="Shah TC Global Exim LLP - Mumbai"/>
    <m/>
    <m/>
    <m/>
  </r>
  <r>
    <n v="256779411582"/>
    <x v="26"/>
    <s v="BOS2526M"/>
    <s v="PU 7360156"/>
    <s v="A/P Invoices - VD0304"/>
    <s v="Inbound &amp; Outbound Handling"/>
    <m/>
    <n v="94.070499999999996"/>
    <n v="-778861.3273"/>
    <m/>
    <n v="1.0900000000000001"/>
    <n v="-9091.3418000000001"/>
    <n v="0"/>
    <s v="Shah TC Global Exim LLP - Mumbai"/>
    <m/>
    <m/>
    <m/>
  </r>
  <r>
    <n v="256779411583"/>
    <x v="26"/>
    <s v="BOS2526M"/>
    <s v="PU 7360157"/>
    <s v="A/P Invoices - VD0304"/>
    <s v="Inbound &amp; Outbound Handling"/>
    <m/>
    <n v="933.05"/>
    <n v="-779794.37730000005"/>
    <m/>
    <n v="10.78"/>
    <n v="-9102.1218000000008"/>
    <n v="0"/>
    <s v="Shah TC Global Exim LLP - Mumbai"/>
    <m/>
    <m/>
    <m/>
  </r>
  <r>
    <n v="256779411584"/>
    <x v="26"/>
    <s v="BOS2526M"/>
    <s v="PU 7360158"/>
    <s v="A/P Invoices - VD0304"/>
    <s v="Inbound &amp; Outbound Handling"/>
    <m/>
    <n v="1968.8254999999999"/>
    <n v="-781763.20279999997"/>
    <m/>
    <n v="22.75"/>
    <n v="-9124.8718000000008"/>
    <n v="0"/>
    <s v="Shah TC Global Exim LLP - Mumbai"/>
    <m/>
    <m/>
    <m/>
  </r>
  <r>
    <n v="256779411585"/>
    <x v="26"/>
    <s v="BOS2526M"/>
    <s v="PU 7360159"/>
    <s v="A/P Invoices - VD0304"/>
    <s v="Inbound &amp; Outbound Handling"/>
    <m/>
    <n v="661.95550000000003"/>
    <n v="-782425.15830000001"/>
    <m/>
    <n v="7.65"/>
    <n v="-9132.5218000000004"/>
    <n v="0"/>
    <s v="Shah TC Global Exim LLP - Mumbai"/>
    <m/>
    <m/>
    <m/>
  </r>
  <r>
    <n v="256779414772"/>
    <x v="28"/>
    <s v="BOS2526M"/>
    <s v="PU 7360163"/>
    <s v="A/P Invoices - VD0304"/>
    <s v="Transportation (Inbound)"/>
    <m/>
    <n v="18722.8"/>
    <n v="-801147.95830000006"/>
    <m/>
    <n v="215.6"/>
    <n v="-9348.1218000000008"/>
    <n v="0"/>
    <s v="Shah TC Global Exim LLP - Mumbai"/>
    <m/>
    <m/>
    <m/>
  </r>
  <r>
    <n v="256779414956"/>
    <x v="28"/>
    <s v="BOS2526M"/>
    <s v="PU 7360164"/>
    <s v="A/P Invoices - VD0304"/>
    <s v="Empty Return - Outward"/>
    <m/>
    <n v="4255"/>
    <n v="-805402.95830000006"/>
    <m/>
    <n v="49"/>
    <n v="-9397.1218000000008"/>
    <n v="0"/>
    <s v="Shah TC Global Exim LLP - Mumbai"/>
    <m/>
    <m/>
    <m/>
  </r>
  <r>
    <n v="256779414957"/>
    <x v="28"/>
    <s v="BOS2526M"/>
    <s v="PU 7360165"/>
    <s v="A/P Invoices - VD0304"/>
    <s v="Empty Return - Outward"/>
    <m/>
    <n v="4255"/>
    <n v="-809657.95830000006"/>
    <m/>
    <n v="49"/>
    <n v="-9446.1218000000008"/>
    <n v="0"/>
    <s v="Shah TC Global Exim LLP - Mumbai"/>
    <m/>
    <m/>
    <m/>
  </r>
  <r>
    <n v="256779414830"/>
    <x v="28"/>
    <s v="BOS2526M"/>
    <s v="PU 7360166"/>
    <s v="A/P Invoices - VD0304"/>
    <s v="Inbound &amp; Outbound Handling"/>
    <m/>
    <n v="12112.068799999999"/>
    <n v="-821770.02709999995"/>
    <m/>
    <n v="139.4736"/>
    <n v="-9585.5954000000002"/>
    <n v="0"/>
    <s v="Shah TC Global Exim LLP - Mumbai"/>
    <m/>
    <m/>
    <m/>
  </r>
  <r>
    <n v="256779415017"/>
    <x v="28"/>
    <s v="BOS2526M"/>
    <s v="PU 7360167"/>
    <s v="A/P Invoices - VD0304"/>
    <s v="Inbound &amp; Outbound Handling"/>
    <m/>
    <n v="29722.738399999998"/>
    <n v="-851492.76549999998"/>
    <m/>
    <n v="342.27480000000003"/>
    <n v="-9927.8701999999994"/>
    <n v="0"/>
    <s v="Shah TC Global Exim LLP - Mumbai"/>
    <m/>
    <m/>
    <m/>
  </r>
  <r>
    <n v="256779414891"/>
    <x v="28"/>
    <s v="BOS2526M"/>
    <s v="PU 7360168"/>
    <s v="A/P Invoices - VD0304"/>
    <s v="Ground Rent (Container)"/>
    <m/>
    <n v="32304.5772"/>
    <n v="-883797.34270000004"/>
    <m/>
    <n v="371.99700000000001"/>
    <n v="-10299.867200000001"/>
    <n v="0"/>
    <s v="Shah TC Global Exim LLP - Mumbai"/>
    <m/>
    <m/>
    <m/>
  </r>
  <r>
    <n v="256779414904"/>
    <x v="28"/>
    <s v="BOS2526M"/>
    <s v="PU 7360169"/>
    <s v="A/P Invoices - VD0304"/>
    <s v="Empty Lolo (Empty Yard)"/>
    <m/>
    <n v="5869.3548000000001"/>
    <n v="-889666.69750000001"/>
    <m/>
    <n v="67.590599999999995"/>
    <n v="-10367.4578"/>
    <n v="0"/>
    <s v="Shah TC Global Exim LLP - Mumbai"/>
    <m/>
    <m/>
    <m/>
  </r>
  <r>
    <n v="256779414217"/>
    <x v="23"/>
    <s v="BOS2526M"/>
    <s v="PU 7360170"/>
    <s v="A/P Invoices - VD0304"/>
    <s v="Inbound &amp; Outbound Handling"/>
    <m/>
    <n v="6106.6383999999998"/>
    <n v="-895773.33589999995"/>
    <m/>
    <n v="70.324799999999996"/>
    <n v="-10437.7826"/>
    <n v="0"/>
    <s v="Shah TC Global Exim LLP - Mumbai"/>
    <m/>
    <m/>
    <m/>
  </r>
  <r>
    <n v="256779410136"/>
    <x v="13"/>
    <s v="BOS2526M"/>
    <s v="PU 7360171"/>
    <s v="A/P Invoices - VD0304"/>
    <s v="Inbound &amp; Outbound Handling"/>
    <m/>
    <n v="838.37400000000002"/>
    <n v="-896611.70990000002"/>
    <m/>
    <n v="9.6530000000000005"/>
    <n v="-10447.435600000001"/>
    <n v="0"/>
    <s v="Shah TC Global Exim LLP - Mumbai"/>
    <m/>
    <m/>
    <m/>
  </r>
  <r>
    <n v="256779412928"/>
    <x v="29"/>
    <s v="BOS2526M"/>
    <s v="PU 7360172"/>
    <s v="A/P Invoices - VD0304"/>
    <s v="Inbound &amp; Outbound Handling"/>
    <m/>
    <n v="1031.5008"/>
    <n v="-897643.21070000005"/>
    <m/>
    <n v="11.877599999999999"/>
    <n v="-10459.313200000001"/>
    <n v="0"/>
    <s v="Shah TC Global Exim LLP - Mumbai"/>
    <m/>
    <m/>
    <m/>
  </r>
  <r>
    <n v="256779414879"/>
    <x v="28"/>
    <s v="BOS2526M"/>
    <s v="PU 7360174"/>
    <s v="A/P Invoices - VD0304"/>
    <s v="Transportation (Inbound)"/>
    <m/>
    <n v="138310.23639999999"/>
    <n v="-1035953.4471"/>
    <m/>
    <n v="1592.7058"/>
    <n v="-12052.019"/>
    <n v="0"/>
    <s v="Shah TC Global Exim LLP - Mumbai"/>
    <m/>
    <m/>
    <m/>
  </r>
  <r>
    <n v="256779414879"/>
    <x v="28"/>
    <s v="BOS2526M"/>
    <s v="PU 7360175"/>
    <s v="A/P Invoices - VD0304"/>
    <s v="Ground Rent (Container)"/>
    <m/>
    <n v="3025.5763999999999"/>
    <n v="-1038979.0235"/>
    <m/>
    <n v="34.838999999999999"/>
    <n v="-12086.858"/>
    <n v="0"/>
    <s v="Shah TC Global Exim LLP - Mumbai"/>
    <m/>
    <m/>
    <m/>
  </r>
  <r>
    <m/>
    <x v="30"/>
    <s v="OPY2526M"/>
    <s v="PS 7360324"/>
    <s v="Outgoing Payments - VD0304,Being payment done against USD 1007.82   ASCENDAS PANVEL FTWZ PRIVATE LIMITED, Bank ref no.- 003MISC252190104 dated-07-08-2025."/>
    <s v="YES BANK - USD"/>
    <n v="86445.871599999999"/>
    <m/>
    <n v="-952533.15190000006"/>
    <n v="1007.818"/>
    <m/>
    <n v="-11079.04"/>
    <n v="0"/>
    <s v="Shah TC Global Exim LLP - Mumbai"/>
    <m/>
    <m/>
    <m/>
  </r>
  <r>
    <m/>
    <x v="31"/>
    <s v="OPY2526M"/>
    <s v="PS 7360322"/>
    <s v="Outgoing Payments - VD0304,Being payment done against USD 4800.34   ASCENDAS PANVEL FTWZ PRIVATE LIMITED, Bank ref no.-  003MISC252200121 dated-08-08-2025."/>
    <s v="YES BANK - USD"/>
    <n v="411479.42950000003"/>
    <m/>
    <n v="-541053.72239999997"/>
    <n v="4800.3365999999996"/>
    <m/>
    <n v="-6278.7034000000003"/>
    <n v="0"/>
    <s v="Shah TC Global Exim LLP - Mumbai"/>
    <m/>
    <m/>
    <m/>
  </r>
  <r>
    <n v="256779412101"/>
    <x v="22"/>
    <s v="BOS2526M"/>
    <s v="PU 7360194"/>
    <s v="A/P Invoices - VD0304"/>
    <s v="Vos Miscellaneous Charges"/>
    <m/>
    <n v="14655.223900000001"/>
    <n v="-555708.94629999995"/>
    <m/>
    <n v="168.28"/>
    <n v="-6446.9834000000001"/>
    <n v="0"/>
    <s v="Shah TC Global Exim LLP - Mumbai"/>
    <m/>
    <m/>
    <m/>
  </r>
  <r>
    <n v="256779415264"/>
    <x v="28"/>
    <s v="BOS2526M"/>
    <s v="PU 7360195"/>
    <s v="A/P Invoices - VD0304"/>
    <s v="Vos Miscellaneous Charges"/>
    <m/>
    <n v="79041.919899999994"/>
    <n v="-634750.86620000005"/>
    <m/>
    <n v="907.59"/>
    <n v="-7354.5734000000002"/>
    <n v="0"/>
    <s v="Shah TC Global Exim LLP - Mumbai"/>
    <m/>
    <m/>
    <m/>
  </r>
  <r>
    <n v="256779415996"/>
    <x v="32"/>
    <s v="BOS2526M"/>
    <s v="PU 7360196"/>
    <s v="A/P Invoices - VD0304"/>
    <s v="Vos Miscellaneous Charges"/>
    <m/>
    <n v="63294.9784"/>
    <n v="-698045.84459999995"/>
    <m/>
    <n v="740.47"/>
    <n v="-8095.0433999999996"/>
    <n v="0"/>
    <s v="Shah TC Global Exim LLP - Mumbai"/>
    <m/>
    <m/>
    <m/>
  </r>
  <r>
    <n v="256779415482"/>
    <x v="25"/>
    <s v="BOS2526M"/>
    <s v="PU 7360197"/>
    <s v="A/P Invoices - VD0304"/>
    <s v="Transportation (Inbound)"/>
    <m/>
    <n v="71830.685800000007"/>
    <n v="-769876.53040000005"/>
    <m/>
    <n v="824.79"/>
    <n v="-8919.8333999999995"/>
    <n v="0"/>
    <s v="Shah TC Global Exim LLP - Mumbai"/>
    <m/>
    <m/>
    <m/>
  </r>
  <r>
    <n v="256779415482"/>
    <x v="25"/>
    <s v="BOS2526M"/>
    <s v="PU 7360198"/>
    <s v="A/P Invoices - VD0304"/>
    <s v="Ground Rent (Container)"/>
    <m/>
    <n v="1516.1914999999999"/>
    <n v="-771392.7219"/>
    <m/>
    <n v="17.420000000000002"/>
    <n v="-8937.2533999999996"/>
    <n v="0"/>
    <s v="Shah TC Global Exim LLP - Mumbai"/>
    <m/>
    <m/>
    <m/>
  </r>
  <r>
    <n v="256779415701"/>
    <x v="25"/>
    <s v="BOS2526M"/>
    <s v="PU 7360199"/>
    <s v="A/P Invoices - VD0304"/>
    <s v="Transportation (Inbound)"/>
    <m/>
    <n v="56058.2"/>
    <n v="-827450.92189999996"/>
    <m/>
    <n v="646.79999999999995"/>
    <n v="-9584.0534000000007"/>
    <n v="0"/>
    <s v="Shah TC Global Exim LLP - Mumbai"/>
    <m/>
    <m/>
    <m/>
  </r>
  <r>
    <n v="256779416012"/>
    <x v="32"/>
    <s v="BOS2526M"/>
    <s v="PU 7360200"/>
    <s v="A/P Invoices - VD0304"/>
    <s v="Vos Miscellaneous Charges"/>
    <m/>
    <n v="8494"/>
    <n v="-835944.92189999996"/>
    <m/>
    <n v="98"/>
    <n v="-9682.0534000000007"/>
    <n v="0"/>
    <s v="Shah TC Global Exim LLP - Mumbai"/>
    <m/>
    <m/>
    <m/>
  </r>
  <r>
    <n v="256779415432"/>
    <x v="25"/>
    <s v="BOS2526M"/>
    <s v="PU 7360201"/>
    <s v="A/P Invoices - VD0304"/>
    <s v="Vos Miscellaneous Charges"/>
    <m/>
    <n v="25195.788799999998"/>
    <n v="-861140.71070000005"/>
    <m/>
    <n v="290.70999999999998"/>
    <n v="-9972.7633999999998"/>
    <n v="0"/>
    <s v="Shah TC Global Exim LLP - Mumbai"/>
    <m/>
    <m/>
    <m/>
  </r>
  <r>
    <n v="256779413144"/>
    <x v="18"/>
    <s v="BOS2526M"/>
    <s v="PU 7360202"/>
    <s v="A/P Invoices - VD0304"/>
    <s v="Rent - Ascendas"/>
    <m/>
    <n v="89577.395799999998"/>
    <n v="-950718.10649999999"/>
    <m/>
    <n v="1046.71"/>
    <n v="-11019.473400000001"/>
    <n v="0"/>
    <s v="Shah TC Global Exim LLP - Mumbai"/>
    <m/>
    <m/>
    <m/>
  </r>
  <r>
    <n v="256779416027"/>
    <x v="33"/>
    <s v="BOS2526M"/>
    <s v="PU 7360217"/>
    <s v="A/P Invoices - VD0304"/>
    <s v="Management Fees (Ascendas)"/>
    <m/>
    <n v="35025.015500000001"/>
    <n v="-985743.12199999997"/>
    <m/>
    <n v="398.69"/>
    <n v="-11418.163399999999"/>
    <n v="0"/>
    <s v="Shah TC Global Exim LLP - Mumbai"/>
    <m/>
    <m/>
    <m/>
  </r>
  <r>
    <n v="256779416026"/>
    <x v="33"/>
    <s v="BOS2526M"/>
    <s v="PU 7360218"/>
    <s v="A/P Invoices - VD0304"/>
    <s v="Rent - Ascendas"/>
    <m/>
    <n v="91903.082999999999"/>
    <n v="-1077646.2050000001"/>
    <m/>
    <n v="1046.1400000000001"/>
    <n v="-12464.303400000001"/>
    <n v="0"/>
    <s v="Shah TC Global Exim LLP - Mumbai"/>
    <m/>
    <m/>
    <m/>
  </r>
  <r>
    <n v="256779416224"/>
    <x v="31"/>
    <s v="BOS2526M"/>
    <s v="PU 7360219"/>
    <s v="A/P Invoices - VD0304"/>
    <s v="Inbound &amp; Outbound Handling"/>
    <m/>
    <n v="26217.960500000001"/>
    <n v="-1103864.1654999999"/>
    <m/>
    <n v="298.44"/>
    <n v="-12762.743399999999"/>
    <n v="0"/>
    <s v="Shah TC Global Exim LLP - Mumbai"/>
    <m/>
    <m/>
    <m/>
  </r>
  <r>
    <n v="256779416445"/>
    <x v="31"/>
    <s v="BOS2526M"/>
    <s v="PU 7360221"/>
    <s v="A/P Invoices - VD0304"/>
    <s v="Vos Miscellaneous Charges"/>
    <m/>
    <n v="50518.501499999998"/>
    <n v="-1154382.6669999999"/>
    <m/>
    <n v="575.04999999999995"/>
    <n v="-13337.7934"/>
    <n v="0"/>
    <s v="Shah TC Global Exim LLP - Mumbai"/>
    <m/>
    <m/>
    <m/>
  </r>
  <r>
    <n v="256779416179"/>
    <x v="31"/>
    <s v="BOS2526M"/>
    <s v="PU 7360223"/>
    <s v="A/P Invoices - VD0304"/>
    <s v="Transportation (Inbound)"/>
    <m/>
    <n v="231074.27849999999"/>
    <n v="-1385456.9454999999"/>
    <m/>
    <n v="2630.33"/>
    <n v="-15968.1234"/>
    <n v="0"/>
    <s v="Shah TC Global Exim LLP - Mumbai"/>
    <m/>
    <m/>
    <m/>
  </r>
  <r>
    <n v="256779416179"/>
    <x v="31"/>
    <s v="BOS2526M"/>
    <s v="PU 7360224"/>
    <s v="A/P Invoices - VD0304"/>
    <s v="Ground Rent (Container)"/>
    <m/>
    <n v="8161.7555000000002"/>
    <n v="-1393618.7009999999"/>
    <m/>
    <n v="92.91"/>
    <n v="-16061.0334"/>
    <n v="0"/>
    <s v="Shah TC Global Exim LLP - Mumbai"/>
    <m/>
    <m/>
    <m/>
  </r>
  <r>
    <m/>
    <x v="34"/>
    <s v="OPY2526M"/>
    <s v="PS 7360434"/>
    <s v="Outgoing Payments - VD0304,Being payment done against USD 2954.34 ASCENDAS PANVEL FTWZ PRIVATE LIMITED, Bank ref no.- 003MISC252530130 dated-10-09-2025."/>
    <s v="YES BANK - USD"/>
    <n v="256553.8652"/>
    <m/>
    <n v="-1137064.8358"/>
    <n v="2954.3362000000002"/>
    <m/>
    <n v="-13106.697200000001"/>
    <n v="0"/>
    <s v="Shah TC Global Exim LLP - Mumbai"/>
    <m/>
    <m/>
    <m/>
  </r>
  <r>
    <m/>
    <x v="34"/>
    <s v="OPY2526M"/>
    <s v="PS 7360436"/>
    <s v="Outgoing Payments - VD0304,Being payment done against USD 4740.75 ASCENDAS PANVEL FTWZ PRIVATE LIMITED, Bank ref no.- 003MISC252530128 dated-10-09-2025."/>
    <s v="YES BANK - USD"/>
    <n v="409664.38410000002"/>
    <m/>
    <n v="-727400.45169999998"/>
    <n v="4740.7700000000004"/>
    <m/>
    <n v="-8365.9272000000001"/>
    <n v="0"/>
    <s v="Shah TC Global Exim LLP - Mumbai"/>
    <m/>
    <m/>
    <m/>
  </r>
  <r>
    <m/>
    <x v="35"/>
    <s v="OPY2526M"/>
    <s v="PS 7360437"/>
    <s v="Outgoing Payments - VD0304,Being payment done against USD 5041.57  ASCENDAS PANVEL FTWZ PRIVATE LIMITED, Bank ref no.- 003MISC252590125 dated-16-09-2025."/>
    <s v="YES BANK - USD"/>
    <n v="442900.59450000001"/>
    <m/>
    <n v="-284499.85720000003"/>
    <n v="5041.5600000000004"/>
    <m/>
    <n v="-3324.3672000000001"/>
    <n v="0"/>
    <s v="Shah TC Global Exim LLP - Mumbai"/>
    <m/>
    <m/>
    <m/>
  </r>
  <r>
    <m/>
    <x v="35"/>
    <s v="OPY2526M"/>
    <s v="PS 7360438"/>
    <s v="Outgoing Payments - VD0304,Being payment done against USD 3327.77  ASCENDAS PANVEL FTWZ PRIVATE LIMITED, Bank ref no.- 003MISC252590125 dated-16-09-2025."/>
    <s v="YES BANK - USD"/>
    <n v="284790.76160000003"/>
    <m/>
    <n v="290.90440000000001"/>
    <n v="3327.768"/>
    <m/>
    <n v="3.4007999999999998"/>
    <n v="0"/>
    <s v="Shah TC Global Exim LLP - Mumbai"/>
    <m/>
    <m/>
    <m/>
  </r>
  <r>
    <n v="256779413358"/>
    <x v="22"/>
    <s v="BOS2526M"/>
    <s v="PU 7360239"/>
    <s v="A/P Invoices - VD0304"/>
    <s v="Inbound &amp; Outbound Handling"/>
    <m/>
    <n v="1747.1537000000001"/>
    <n v="-1456.2492999999999"/>
    <m/>
    <n v="19.707799999999999"/>
    <n v="-16.306999999999999"/>
    <n v="0"/>
    <s v="Shah TC Global Exim LLP - Mumbai"/>
    <m/>
    <m/>
    <m/>
  </r>
  <r>
    <n v="256779413487"/>
    <x v="17"/>
    <s v="BOS2526M"/>
    <s v="PU 7360240"/>
    <s v="A/P Invoices - VD0304"/>
    <s v="Inbound &amp; Outbound Handling"/>
    <m/>
    <n v="8506.7929999999997"/>
    <n v="-9963.0422999999992"/>
    <m/>
    <n v="95.941999999999993"/>
    <n v="-112.249"/>
    <n v="0"/>
    <s v="Shah TC Global Exim LLP - Mumbai"/>
    <m/>
    <m/>
    <m/>
  </r>
  <r>
    <n v="256779416879"/>
    <x v="36"/>
    <s v="BOS2526M"/>
    <s v="PU 7360241"/>
    <s v="A/P Invoices - VD0304"/>
    <s v="Inbound &amp; Outbound Handling"/>
    <m/>
    <n v="7311.6938"/>
    <n v="-17274.736099999998"/>
    <m/>
    <n v="82.4572"/>
    <n v="-194.7062"/>
    <n v="0"/>
    <s v="Shah TC Global Exim LLP - Mumbai"/>
    <m/>
    <m/>
    <m/>
  </r>
  <r>
    <n v="256779416845"/>
    <x v="36"/>
    <s v="BOS2526M"/>
    <s v="PU 7360242"/>
    <s v="A/P Invoices - VD0304"/>
    <s v="Transportation (Inbound)"/>
    <m/>
    <n v="42795.2016"/>
    <n v="-60069.937700000002"/>
    <m/>
    <n v="482.63040000000001"/>
    <n v="-677.33659999999998"/>
    <n v="0"/>
    <s v="Shah TC Global Exim LLP - Mumbai"/>
    <m/>
    <m/>
    <m/>
  </r>
  <r>
    <n v="256779413313"/>
    <x v="22"/>
    <s v="BOS2526M"/>
    <s v="PU 7360243"/>
    <s v="A/P Invoices - VD0304"/>
    <s v="Inbound &amp; Outbound Handling"/>
    <m/>
    <n v="7472.62"/>
    <n v="-67542.557700000005"/>
    <m/>
    <n v="84.28"/>
    <n v="-761.61659999999995"/>
    <n v="0"/>
    <s v="Shah TC Global Exim LLP - Mumbai"/>
    <m/>
    <m/>
    <m/>
  </r>
  <r>
    <n v="256779416515"/>
    <x v="31"/>
    <s v="BOS2526M"/>
    <s v="PU 7360244"/>
    <s v="A/P Invoices - VD0304"/>
    <s v="Vos Miscellaneous Charges"/>
    <m/>
    <n v="34496.2166"/>
    <n v="-102038.7743"/>
    <m/>
    <n v="389.04039999999998"/>
    <n v="-1150.6569999999999"/>
    <n v="0"/>
    <s v="Shah TC Global Exim LLP - Mumbai"/>
    <m/>
    <m/>
    <m/>
  </r>
  <r>
    <n v="256779416141"/>
    <x v="31"/>
    <s v="BOS2526M"/>
    <s v="PU 7360245"/>
    <s v="A/P Invoices - VD0304"/>
    <s v="Empty Lolo (Empty Yard)"/>
    <m/>
    <n v="25992.970399999998"/>
    <n v="-128031.7447"/>
    <m/>
    <n v="293.13760000000002"/>
    <n v="-1443.7945999999999"/>
    <n v="0"/>
    <s v="Shah TC Global Exim LLP - Mumbai"/>
    <m/>
    <m/>
    <m/>
  </r>
  <r>
    <n v="256779413145"/>
    <x v="18"/>
    <s v="BOS2526M"/>
    <s v="PU 7360246"/>
    <s v="A/P Invoices - VD0304"/>
    <s v="Rent - Ascendas"/>
    <m/>
    <n v="32484.123500000002"/>
    <n v="-160515.8682"/>
    <m/>
    <n v="366.34500000000003"/>
    <n v="-1810.1396"/>
    <n v="0"/>
    <s v="Shah TC Global Exim LLP - Mumbai"/>
    <m/>
    <m/>
    <m/>
  </r>
  <r>
    <n v="256779416817"/>
    <x v="36"/>
    <s v="BOS2526M"/>
    <s v="PU 7360248"/>
    <s v="A/P Invoices - VD0304"/>
    <s v="Transportation (Inbound)"/>
    <m/>
    <n v="15641.6"/>
    <n v="-176157.4682"/>
    <m/>
    <n v="176.4"/>
    <n v="-1986.5396000000001"/>
    <n v="0"/>
    <s v="Shah TC Global Exim LLP - Mumbai"/>
    <m/>
    <m/>
    <m/>
  </r>
  <r>
    <n v="256779417161"/>
    <x v="37"/>
    <s v="BOS2526M"/>
    <s v="PU 7360251"/>
    <s v="A/P Invoices - VD0304"/>
    <s v="Vos Miscellaneous Charges"/>
    <m/>
    <n v="67577.916299999997"/>
    <n v="-243735.38449999999"/>
    <m/>
    <n v="772.19100000000003"/>
    <n v="-2758.7305999999999"/>
    <n v="0"/>
    <s v="Shah TC Global Exim LLP - Mumbai"/>
    <m/>
    <m/>
    <m/>
  </r>
  <r>
    <n v="256779414914"/>
    <x v="38"/>
    <s v="BOS2526M"/>
    <s v="PU 7360252"/>
    <s v="A/P Invoices - VD0304"/>
    <s v="Rent - Ascendas"/>
    <m/>
    <n v="89999.859100000001"/>
    <n v="-333735.24359999999"/>
    <m/>
    <n v="1046.502"/>
    <n v="-3805.2325999999998"/>
    <n v="0"/>
    <s v="Shah TC Global Exim LLP - Mumbai"/>
    <m/>
    <m/>
    <m/>
  </r>
  <r>
    <n v="256779414915"/>
    <x v="38"/>
    <s v="BOS2526M"/>
    <s v="PU 7360253"/>
    <s v="A/P Invoices - VD0304"/>
    <s v="Vos Miscellaneous Charges"/>
    <m/>
    <n v="34299.6927"/>
    <n v="-368034.9363"/>
    <m/>
    <n v="398.8306"/>
    <n v="-4204.0631999999996"/>
    <n v="0"/>
    <s v="Shah TC Global Exim LLP - Mumbai"/>
    <m/>
    <m/>
    <m/>
  </r>
  <r>
    <n v="256779417325"/>
    <x v="37"/>
    <s v="BOS2526M"/>
    <s v="PU 7360254"/>
    <s v="A/P Invoices - VD0304"/>
    <s v="Inbound &amp; Outbound Handling"/>
    <m/>
    <n v="8391.402"/>
    <n v="-376426.3383"/>
    <m/>
    <n v="95.883200000000002"/>
    <n v="-4299.9463999999998"/>
    <n v="0"/>
    <s v="Shah TC Global Exim LLP - Mumbai"/>
    <m/>
    <m/>
    <m/>
  </r>
  <r>
    <n v="256779415524"/>
    <x v="25"/>
    <s v="BOS2526M"/>
    <s v="PU 7360255"/>
    <s v="A/P Invoices - VD0304"/>
    <s v="Inbound &amp; Outbound Handling"/>
    <m/>
    <n v="6162.3689999999997"/>
    <n v="-382588.70730000001"/>
    <m/>
    <n v="71.657600000000002"/>
    <n v="-4371.6040000000003"/>
    <n v="0"/>
    <s v="Shah TC Global Exim LLP - Mumbai"/>
    <m/>
    <m/>
    <m/>
  </r>
  <r>
    <n v="256779417287"/>
    <x v="37"/>
    <s v="BOS2526M"/>
    <s v="PU 7360256"/>
    <s v="A/P Invoices - VD0304"/>
    <s v="Transportation (Inbound)"/>
    <m/>
    <n v="35212.633600000001"/>
    <n v="-417801.34090000001"/>
    <m/>
    <n v="402.36840000000001"/>
    <n v="-4773.9723999999997"/>
    <n v="0"/>
    <s v="Shah TC Global Exim LLP - Mumbai"/>
    <m/>
    <m/>
    <m/>
  </r>
  <r>
    <n v="256779417179"/>
    <x v="37"/>
    <s v="BOS2526M"/>
    <s v="PU 7360257"/>
    <s v="A/P Invoices - VD0304"/>
    <s v="Reefer Plug In"/>
    <m/>
    <n v="133792.3548"/>
    <n v="-551593.69570000004"/>
    <m/>
    <n v="1528.8"/>
    <n v="-6302.7723999999998"/>
    <n v="0"/>
    <s v="Shah TC Global Exim LLP - Mumbai"/>
    <m/>
    <m/>
    <m/>
  </r>
  <r>
    <n v="256779417178"/>
    <x v="37"/>
    <s v="BOS2526M"/>
    <s v="PU 7360258"/>
    <s v="A/P Invoices - VD0304"/>
    <s v="Reefer Plug In"/>
    <m/>
    <n v="133792.3548"/>
    <n v="-685386.05050000001"/>
    <m/>
    <n v="1528.8"/>
    <n v="-7831.5724"/>
    <n v="0"/>
    <s v="Shah TC Global Exim LLP - Mumbai"/>
    <m/>
    <m/>
    <m/>
  </r>
  <r>
    <n v="256779417180"/>
    <x v="37"/>
    <s v="BOS2526M"/>
    <s v="PU 7360259"/>
    <s v="A/P Invoices - VD0304"/>
    <s v="Reefer Plug In"/>
    <m/>
    <n v="138252.1"/>
    <n v="-823638.15049999999"/>
    <m/>
    <n v="1579.76"/>
    <n v="-9411.3323999999993"/>
    <n v="0"/>
    <s v="Shah TC Global Exim LLP - Mumbai"/>
    <m/>
    <m/>
    <m/>
  </r>
  <r>
    <n v="256779417180"/>
    <x v="37"/>
    <s v="BOS2526M"/>
    <s v="PU 7360260"/>
    <s v="A/P Invoices - VD0304"/>
    <s v="Ground Rent (Container)"/>
    <m/>
    <n v="14736.9311"/>
    <n v="-838375.08160000003"/>
    <m/>
    <n v="168.39"/>
    <n v="-9579.7224000000006"/>
    <n v="0"/>
    <s v="Shah TC Global Exim LLP - Mumbai"/>
    <m/>
    <m/>
    <m/>
  </r>
  <r>
    <n v="256779417181"/>
    <x v="37"/>
    <s v="BOS2526M"/>
    <s v="PU 7360261"/>
    <s v="A/P Invoices - VD0304"/>
    <s v="Ground Rent (Container)"/>
    <m/>
    <n v="15752.866"/>
    <n v="-854127.94759999996"/>
    <m/>
    <n v="180"/>
    <n v="-9759.7224000000006"/>
    <n v="0"/>
    <s v="Shah TC Global Exim LLP - Mumbai"/>
    <m/>
    <m/>
    <m/>
  </r>
  <r>
    <n v="256779417181"/>
    <x v="37"/>
    <s v="BOS2526M"/>
    <s v="PU 7360262"/>
    <s v="A/P Invoices - VD0304"/>
    <s v="Reefer Plug In"/>
    <m/>
    <n v="138252.1"/>
    <n v="-992380.04760000005"/>
    <m/>
    <n v="1579.76"/>
    <n v="-11339.482400000001"/>
    <n v="0"/>
    <s v="Shah TC Global Exim LLP - Mumbai"/>
    <m/>
    <m/>
    <m/>
  </r>
  <r>
    <n v="256779417347"/>
    <x v="37"/>
    <s v="BOS2526M"/>
    <s v="PU 7360263"/>
    <s v="A/P Invoices - VD0304"/>
    <s v="Rent - Ascendas"/>
    <m/>
    <n v="31499.606"/>
    <n v="-1023879.6536"/>
    <m/>
    <n v="359.93700000000001"/>
    <n v="-11699.419400000001"/>
    <n v="0"/>
    <s v="Shah TC Global Exim LLP - Mumbai"/>
    <m/>
    <m/>
    <m/>
  </r>
  <r>
    <n v="256779417346"/>
    <x v="37"/>
    <s v="BOS2526M"/>
    <s v="PU 7360264"/>
    <s v="A/P Invoices - VD0304"/>
    <s v="Rent - Ascendas"/>
    <m/>
    <n v="89999.999500000005"/>
    <n v="-1113879.6531"/>
    <m/>
    <n v="1028.403"/>
    <n v="-12727.822399999999"/>
    <n v="0"/>
    <s v="Shah TC Global Exim LLP - Mumbai"/>
    <m/>
    <m/>
    <m/>
  </r>
  <r>
    <n v="7360258"/>
    <x v="37"/>
    <s v="OB2526M"/>
    <s v="PC 1002"/>
    <s v="A/P Credit Memos - VD0304"/>
    <s v="Reefer Plug In"/>
    <m/>
    <n v="-2520.8598000000002"/>
    <n v="-1111358.7933"/>
    <m/>
    <n v="-28.8"/>
    <n v="-12699.0224"/>
    <n v="0"/>
    <s v="Shah TC Global Exim LLP - Mumbai"/>
    <m/>
    <m/>
    <m/>
  </r>
  <r>
    <n v="7360257"/>
    <x v="37"/>
    <s v="OB2526M"/>
    <s v="PC 1003"/>
    <s v="A/P Credit Memos - VD0304"/>
    <s v="Reefer Plug In"/>
    <m/>
    <n v="-2520.8598000000002"/>
    <n v="-1108837.9335"/>
    <m/>
    <n v="-28.8"/>
    <n v="-12670.222400000001"/>
    <n v="0"/>
    <s v="Shah TC Global Exim LLP - Mumbai"/>
    <m/>
    <m/>
    <m/>
  </r>
  <r>
    <n v="7360259"/>
    <x v="37"/>
    <s v="OB2526M"/>
    <s v="PC 1004"/>
    <s v="A/P Credit Memos - VD0304"/>
    <s v="Reefer Plug In"/>
    <m/>
    <n v="-2604.8885"/>
    <n v="-1106233.0449999999"/>
    <m/>
    <n v="-29.76"/>
    <n v="-12640.4624"/>
    <n v="0"/>
    <s v="Shah TC Global Exim LLP - Mumbai"/>
    <m/>
    <m/>
    <m/>
  </r>
  <r>
    <n v="7360262"/>
    <x v="37"/>
    <s v="OB2526M"/>
    <s v="PC 1005"/>
    <s v="A/P Credit Memos - VD0304"/>
    <s v="Reefer Plug In"/>
    <m/>
    <n v="-138252.1"/>
    <n v="-967980.94499999995"/>
    <m/>
    <n v="-1579.76"/>
    <n v="-11060.7024"/>
    <n v="0"/>
    <s v="Shah TC Global Exim LLP - Mumbai"/>
    <m/>
    <m/>
    <m/>
  </r>
  <r>
    <n v="256779417818"/>
    <x v="39"/>
    <s v="BOS2526M"/>
    <s v="PU 7360265"/>
    <s v="A/P Invoices - VD0304"/>
    <s v="LCL CHARGES"/>
    <m/>
    <n v="20344.044699999999"/>
    <n v="-988324.98970000003"/>
    <m/>
    <n v="236.60140000000001"/>
    <n v="-11297.3038"/>
    <n v="0"/>
    <s v="Shah TC Global Exim LLP - Mumbai"/>
    <m/>
    <m/>
    <m/>
  </r>
  <r>
    <n v="256779417526"/>
    <x v="40"/>
    <s v="BOS2526M"/>
    <s v="PU 7360267"/>
    <s v="A/P Invoices - VD0304"/>
    <s v="Inbound &amp; Outbound Handling"/>
    <m/>
    <n v="1923.9464"/>
    <n v="-999485.95050000004"/>
    <m/>
    <n v="21.981400000000001"/>
    <n v="-11426.709199999999"/>
    <n v="0"/>
    <s v="Shah TC Global Exim LLP - Mumbai"/>
    <m/>
    <m/>
    <m/>
  </r>
  <r>
    <n v="256779417568"/>
    <x v="40"/>
    <s v="BOS2526M"/>
    <s v="PU 7360268"/>
    <s v="A/P Invoices - VD0304"/>
    <s v="Transportation (Inbound)"/>
    <m/>
    <n v="25205.5864"/>
    <n v="-1024691.5368999999"/>
    <m/>
    <n v="288.01220000000001"/>
    <n v="-11714.7214"/>
    <n v="0"/>
    <s v="Shah TC Global Exim LLP - Mumbai"/>
    <m/>
    <m/>
    <m/>
  </r>
  <r>
    <n v="1005"/>
    <x v="41"/>
    <s v="OB2526M"/>
    <s v="PC 1006"/>
    <s v="A/P Credit Memo - Cancellation - VD0304"/>
    <s v="Reefer Plug In"/>
    <m/>
    <n v="138252.1"/>
    <n v="-1153706.6225000001"/>
    <m/>
    <n v="1579.76"/>
    <n v="-13187.0574"/>
    <n v="0"/>
    <s v="Shah TC Global Exim LLP - Mumbai"/>
    <m/>
    <m/>
    <m/>
  </r>
  <r>
    <n v="1002"/>
    <x v="41"/>
    <s v="OB2526M"/>
    <s v="PC 1010"/>
    <s v="A/P Credit Memo - Cancellation - VD0304"/>
    <s v="Reefer Plug In"/>
    <m/>
    <n v="2520.8598000000002"/>
    <n v="-1156227.4823"/>
    <m/>
    <n v="28.8"/>
    <n v="-13215.857400000001"/>
    <n v="0"/>
    <s v="Shah TC Global Exim LLP - Mumbai"/>
    <m/>
    <m/>
    <m/>
  </r>
  <r>
    <n v="1003"/>
    <x v="41"/>
    <s v="OB2526M"/>
    <s v="PC 1011"/>
    <s v="A/P Credit Memo - Cancellation - VD0304"/>
    <s v="Reefer Plug In"/>
    <m/>
    <n v="2520.8598000000002"/>
    <n v="-1158748.3421"/>
    <m/>
    <n v="28.8"/>
    <n v="-13244.6574"/>
    <n v="0"/>
    <s v="Shah TC Global Exim LLP - Mumbai"/>
    <m/>
    <m/>
    <m/>
  </r>
  <r>
    <n v="1004"/>
    <x v="41"/>
    <s v="OB2526M"/>
    <s v="PC 1012"/>
    <s v="A/P Credit Memo - Cancellation - VD0304"/>
    <s v="Reefer Plug In"/>
    <m/>
    <n v="2604.8885"/>
    <n v="-1161353.2305999999"/>
    <m/>
    <n v="29.76"/>
    <n v="-13274.4174"/>
    <n v="0"/>
    <s v="Shah TC Global Exim LLP - Mumbai"/>
    <m/>
    <m/>
    <m/>
  </r>
  <r>
    <n v="256779417434"/>
    <x v="42"/>
    <s v="BOS2526M"/>
    <s v="PU 7360269"/>
    <s v="A/P Invoices - VD0304"/>
    <s v="Intra SEZ charges"/>
    <m/>
    <n v="8576.4330000000009"/>
    <n v="-1169929.6636000001"/>
    <m/>
    <n v="98"/>
    <n v="-13372.4174"/>
    <n v="0"/>
    <s v="Shah TC Global Exim LLP - Mumbai"/>
    <m/>
    <m/>
    <m/>
  </r>
  <r>
    <n v="256779417490"/>
    <x v="40"/>
    <s v="BOS2526M"/>
    <s v="PU 7360270"/>
    <s v="A/P Invoices - VD0304"/>
    <s v="Ground Rent (Container)"/>
    <m/>
    <n v="7876.433"/>
    <n v="-1177806.0966"/>
    <m/>
    <n v="90"/>
    <n v="-13462.4174"/>
    <n v="0"/>
    <s v="Shah TC Global Exim LLP - Mumbai"/>
    <m/>
    <m/>
    <m/>
  </r>
  <r>
    <n v="256779417490"/>
    <x v="40"/>
    <s v="BOS2526M"/>
    <s v="PU 7360271"/>
    <s v="A/P Invoices - VD0304"/>
    <s v="Reefer Plug In"/>
    <m/>
    <n v="64322.747499999998"/>
    <n v="-1242128.8441000001"/>
    <m/>
    <n v="735"/>
    <n v="-14197.4174"/>
    <n v="0"/>
    <s v="Shah TC Global Exim LLP - Mumbai"/>
    <m/>
    <m/>
    <m/>
  </r>
  <r>
    <n v="256779417245"/>
    <x v="37"/>
    <s v="BOS2526M"/>
    <s v="PU 7360273"/>
    <s v="A/P Invoices - VD0304"/>
    <s v="Vos Miscellaneous Charges"/>
    <m/>
    <n v="7194.5771000000004"/>
    <n v="-1252365.5711999999"/>
    <m/>
    <n v="82.212199999999996"/>
    <n v="-14313.929599999999"/>
    <n v="0"/>
    <s v="Shah TC Global Exim LLP - Mumbai"/>
    <m/>
    <m/>
    <m/>
  </r>
  <r>
    <n v="256779417206"/>
    <x v="37"/>
    <s v="BOS2526M"/>
    <s v="PU 7360274"/>
    <s v="A/P Invoices - VD0304"/>
    <s v="Empty Lolo (Empty Yard)"/>
    <m/>
    <n v="13059.682199999999"/>
    <n v="-1265425.2534"/>
    <m/>
    <n v="149.23439999999999"/>
    <n v="-14463.164000000001"/>
    <n v="0"/>
    <s v="Shah TC Global Exim LLP - Mumbai"/>
    <m/>
    <m/>
    <m/>
  </r>
  <r>
    <n v="256779417420"/>
    <x v="40"/>
    <s v="BOS2526M"/>
    <s v="PU 7360275"/>
    <s v="A/P Invoices - VD0304"/>
    <s v="Vos Miscellaneous Charges"/>
    <m/>
    <n v="3002.0016000000001"/>
    <n v="-1268427.2549999999"/>
    <m/>
    <n v="34.299999999999997"/>
    <n v="-14497.464"/>
    <n v="0"/>
    <s v="Shah TC Global Exim LLP - Mumbai"/>
    <m/>
    <m/>
    <m/>
  </r>
  <r>
    <n v="256779417818"/>
    <x v="39"/>
    <s v="BOS2526M"/>
    <s v="PU 7360276"/>
    <s v="A/P Invoices - VD0304"/>
    <s v="Ground Rent (Container)"/>
    <m/>
    <n v="1498.6443999999999"/>
    <n v="-1266883.7494000001"/>
    <m/>
    <n v="17.423999999999999"/>
    <n v="-14480.588"/>
    <n v="0"/>
    <s v="Shah TC Global Exim LLP - Mumbai"/>
    <m/>
    <m/>
    <m/>
  </r>
  <r>
    <n v="7360262"/>
    <x v="37"/>
    <s v="OB2526M"/>
    <s v="PC 1007"/>
    <s v="A/P Credit Memos - VD0304"/>
    <s v="Reefer Plug In"/>
    <m/>
    <n v="-5316.8885"/>
    <n v="-1261566.8609"/>
    <m/>
    <n v="-60.76"/>
    <n v="-14419.828"/>
    <n v="0"/>
    <s v="Shah TC Global Exim LLP - Mumbai"/>
    <m/>
    <m/>
    <m/>
  </r>
  <r>
    <n v="7360258"/>
    <x v="37"/>
    <s v="OB2526M"/>
    <s v="PC 1008"/>
    <s v="A/P Credit Memos - VD0304"/>
    <s v="Reefer Plug In"/>
    <m/>
    <n v="-5250.8598000000002"/>
    <n v="-1256316.0011"/>
    <m/>
    <n v="-60"/>
    <n v="-14359.828"/>
    <n v="0"/>
    <s v="Shah TC Global Exim LLP - Mumbai"/>
    <m/>
    <m/>
    <m/>
  </r>
  <r>
    <n v="1008"/>
    <x v="43"/>
    <s v="OB2526M"/>
    <s v="PC 1009"/>
    <s v="A/P Credit Memo - Cancellation - VD0304"/>
    <s v="Reefer Plug In"/>
    <m/>
    <n v="5250.8598000000002"/>
    <n v="-1261566.8609"/>
    <m/>
    <n v="60"/>
    <n v="-14419.828"/>
    <n v="0"/>
    <s v="Shah TC Global Exim LLP - Mumbai"/>
    <m/>
    <m/>
    <m/>
  </r>
  <r>
    <n v="7360258"/>
    <x v="37"/>
    <s v="OB2526M"/>
    <s v="PC 1013"/>
    <s v="A/P Credit Memos - VD0304"/>
    <s v="Reefer Plug In"/>
    <m/>
    <n v="-5145.8598000000002"/>
    <n v="-1256421.0011"/>
    <m/>
    <n v="-58.8"/>
    <n v="-14361.028"/>
    <n v="0"/>
    <s v="Shah TC Global Exim LLP - Mumbai"/>
    <m/>
    <m/>
    <m/>
  </r>
  <r>
    <n v="7360257"/>
    <x v="37"/>
    <s v="OB2526M"/>
    <s v="PC 1014"/>
    <s v="A/P Credit Memos - VD0304"/>
    <s v="Reefer Plug In"/>
    <m/>
    <n v="-5145.8598000000002"/>
    <n v="-1251275.1413"/>
    <m/>
    <n v="-58.8"/>
    <n v="-14302.227999999999"/>
    <n v="0"/>
    <s v="Shah TC Global Exim LLP - Mumbai"/>
    <m/>
    <m/>
    <m/>
  </r>
  <r>
    <n v="7360259"/>
    <x v="37"/>
    <s v="OB2526M"/>
    <s v="PC 1015"/>
    <s v="A/P Credit Memos - VD0304"/>
    <s v="Reefer Plug In"/>
    <m/>
    <n v="-5316.8885"/>
    <n v="-1245958.2527999999"/>
    <m/>
    <n v="-60.76"/>
    <n v="-14241.468000000001"/>
    <n v="0"/>
    <s v="Shah TC Global Exim LLP - Mumbai"/>
    <m/>
    <m/>
    <m/>
  </r>
  <r>
    <n v="7360566"/>
    <x v="44"/>
    <s v="OPY2526M"/>
    <s v="PS 7360566"/>
    <s v="Outgoing Payments - VD0304,Being payment done against USD 1752.77 ASCENDAS PANVEL FTWZ PRIVATE LIMITED, Bank ref no.- 003MISC253020092 dated-29-10-2025."/>
    <s v="YES BANK - USD"/>
    <n v="153004.0963"/>
    <m/>
    <n v="-1092954.1565"/>
    <n v="1752.7655999999999"/>
    <m/>
    <n v="-12488.7024"/>
    <n v="0"/>
    <s v="Shah TC Global Exim LLP - Mumbai"/>
    <m/>
    <m/>
    <m/>
  </r>
  <r>
    <n v="256779417873"/>
    <x v="45"/>
    <s v="BOS2526M"/>
    <s v="PU 7360293"/>
    <s v="A/P Invoices - VD0304"/>
    <s v="Rent - Ascendas"/>
    <m/>
    <n v="89999.522899999996"/>
    <n v="-1182953.6794"/>
    <m/>
    <n v="1020.52"/>
    <n v="-13509.222400000001"/>
    <n v="0"/>
    <s v="Shah TC Global Exim LLP - Mumbai"/>
    <m/>
    <m/>
    <m/>
  </r>
  <r>
    <n v="256779417874"/>
    <x v="45"/>
    <s v="BOS2526M"/>
    <s v="PU 7360294"/>
    <s v="A/P Invoices - VD0304"/>
    <s v="Management Fees (Ascendas)"/>
    <m/>
    <n v="34299.965300000003"/>
    <n v="-1217253.6447000001"/>
    <m/>
    <n v="388.93259999999998"/>
    <n v="-13898.155000000001"/>
    <n v="0"/>
    <s v="Shah TC Global Exim LLP - Mumbai"/>
    <m/>
    <m/>
    <m/>
  </r>
  <r>
    <n v="256779418095"/>
    <x v="45"/>
    <s v="BOS2526M"/>
    <s v="PU 7360295"/>
    <s v="A/P Invoices - VD0304"/>
    <s v="Ground Rent (Container)"/>
    <m/>
    <n v="7937"/>
    <n v="-1225190.6447000001"/>
    <m/>
    <n v="90"/>
    <n v="-13988.155000000001"/>
    <n v="0"/>
    <s v="Shah TC Global Exim LLP - Mumbai"/>
    <m/>
    <m/>
    <m/>
  </r>
  <r>
    <n v="256779418095"/>
    <x v="45"/>
    <s v="BOS2526M"/>
    <s v="PU 7360296"/>
    <s v="A/P Invoices - VD0304"/>
    <s v="Reefer Plug In"/>
    <m/>
    <n v="64819.5"/>
    <n v="-1290010.1447000001"/>
    <m/>
    <n v="735"/>
    <n v="-14723.155000000001"/>
    <n v="0"/>
    <s v="Shah TC Global Exim LLP - Mumbai"/>
    <m/>
    <m/>
    <m/>
  </r>
  <r>
    <n v="256779417979"/>
    <x v="45"/>
    <s v="BOS2526M"/>
    <s v="PU 7360297"/>
    <s v="A/P Invoices - VD0304"/>
    <s v="Inbound &amp; Outbound Handling"/>
    <m/>
    <n v="11795.171200000001"/>
    <n v="-1301805.3159"/>
    <m/>
    <n v="133.75040000000001"/>
    <n v="-14856.9054"/>
    <n v="0"/>
    <s v="Shah TC Global Exim LLP - Mumbai"/>
    <m/>
    <m/>
    <m/>
  </r>
  <r>
    <m/>
    <x v="46"/>
    <s v="OPY2526M"/>
    <s v="PS 7360581"/>
    <s v="Outgoing Payments - VD0304,Being $1989.94 paid to ASCENDAS PANVEL FTWZ PRIVATE LIMITED  against bank ref. no.-003MISC253040153 dated-31-10-2025."/>
    <s v="YES BANK - USD"/>
    <n v="176448.3726"/>
    <m/>
    <n v="-1125356.9432999999"/>
    <n v="1989.9404"/>
    <m/>
    <n v="-12866.965"/>
    <n v="0"/>
    <s v="Shah TC Global Exim LLP - Mumbai"/>
    <m/>
    <m/>
    <m/>
  </r>
  <r>
    <m/>
    <x v="46"/>
    <s v="OPY2526M"/>
    <s v="PS 7360582"/>
    <s v="Outgoing Payments - VD0304,Being $10502.1628 paid to ASCENDAS PANVEL FTWZ PRIVATE LIMITED  against bank ref. no.-003MISC253040148 dated-31-10-2025."/>
    <s v="YES BANK - USD"/>
    <n v="916796.68830000004"/>
    <m/>
    <n v="-208560.255"/>
    <n v="10502.1628"/>
    <m/>
    <n v="-2364.8022000000001"/>
    <n v="0"/>
    <s v="Shah TC Global Exim LLP - Mumbai"/>
    <m/>
    <m/>
    <m/>
  </r>
  <r>
    <n v="256779417902"/>
    <x v="45"/>
    <s v="BOS2526M"/>
    <s v="PU 7360331"/>
    <s v="A/P Invoices - VD0304"/>
    <s v="Empty Lolo (Empty Yard)"/>
    <m/>
    <n v="2432.5484999999999"/>
    <n v="-210992.80350000001"/>
    <m/>
    <n v="27.587"/>
    <n v="-2392.3892000000001"/>
    <n v="-27.587"/>
    <s v="Shah TC Global Exim LLP - Mumbai"/>
    <m/>
    <m/>
    <m/>
  </r>
  <r>
    <n v="256779417940"/>
    <x v="45"/>
    <s v="BOS2526M"/>
    <s v="PU 7360332"/>
    <s v="A/P Invoices - VD0304"/>
    <s v="Transportation (Inbound)"/>
    <m/>
    <n v="28649.985000000001"/>
    <n v="-239642.7885"/>
    <m/>
    <n v="324.87"/>
    <n v="-2717.2592"/>
    <n v="-324.87"/>
    <s v="Shah TC Global Exim LLP - Mumbai"/>
    <m/>
    <m/>
    <m/>
  </r>
  <r>
    <n v="256779418400"/>
    <x v="45"/>
    <s v="BOS2526M"/>
    <s v="PU 7360335"/>
    <s v="A/P Invoices - VD0304"/>
    <s v="Vos Miscellaneous Charges"/>
    <m/>
    <n v="25349.127"/>
    <n v="-264991.9155"/>
    <m/>
    <n v="287.43400000000003"/>
    <n v="-3004.6932000000002"/>
    <n v="-287.43400000000003"/>
    <s v="Shah TC Global Exim LLP - Mumbai"/>
    <m/>
    <m/>
    <m/>
  </r>
  <r>
    <n v="256779418621"/>
    <x v="47"/>
    <s v="BOS2526M"/>
    <s v="PU 7360336"/>
    <s v="A/P Invoices - VD0304"/>
    <s v="Reefer Plug In"/>
    <m/>
    <n v="64819.5"/>
    <n v="-329811.4155"/>
    <m/>
    <n v="735"/>
    <n v="-3739.6932000000002"/>
    <n v="-735"/>
    <s v="Shah TC Global Exim LLP - Mumbai"/>
    <m/>
    <m/>
    <m/>
  </r>
  <r>
    <n v="256779418621"/>
    <x v="47"/>
    <s v="BOS2526M"/>
    <s v="PU 7360337"/>
    <s v="A/P Invoices - VD0304"/>
    <s v="Ground Rent (Container)"/>
    <m/>
    <n v="7937"/>
    <n v="-337748.4155"/>
    <m/>
    <n v="90"/>
    <n v="-3829.6932000000002"/>
    <n v="-90"/>
    <s v="Shah TC Global Exim LLP - Mumbai"/>
    <m/>
    <m/>
    <m/>
  </r>
  <r>
    <n v="256779418633"/>
    <x v="47"/>
    <s v="BOS2526M"/>
    <s v="PU 7360338"/>
    <s v="A/P Invoices - VD0304"/>
    <s v="Vos Miscellaneous Charges"/>
    <m/>
    <n v="3024.65"/>
    <n v="-340773.06550000003"/>
    <m/>
    <n v="34.299999999999997"/>
    <n v="-3863.9931999999999"/>
    <n v="-34.299999999999997"/>
    <s v="Shah TC Global Exim LLP - Mumbai"/>
    <m/>
    <m/>
    <m/>
  </r>
  <r>
    <n v="256779418663"/>
    <x v="47"/>
    <s v="BOS2526M"/>
    <s v="PU 7360339"/>
    <s v="A/P Invoices - VD0304"/>
    <s v="Transportation (Inbound)"/>
    <m/>
    <n v="25400.159100000001"/>
    <n v="-366173.22460000002"/>
    <m/>
    <n v="288.01220000000001"/>
    <n v="-4152.0054"/>
    <n v="-288.01220000000001"/>
    <s v="Shah TC Global Exim LLP - Mumbai"/>
    <m/>
    <m/>
    <m/>
  </r>
  <r>
    <n v="256779418180"/>
    <x v="48"/>
    <s v="BOS2526M"/>
    <s v="PU 7360340"/>
    <s v="A/P Invoices - VD0304"/>
    <s v="Vos Miscellaneous Charges"/>
    <m/>
    <n v="14970.2718"/>
    <n v="-381143.4964"/>
    <m/>
    <n v="169.75559999999999"/>
    <n v="-4321.7610000000004"/>
    <n v="-169.75559999999999"/>
    <s v="Shah TC Global Exim LLP - Mumbai"/>
    <m/>
    <m/>
    <m/>
  </r>
  <r>
    <n v="256779418170"/>
    <x v="48"/>
    <s v="BOS2526M"/>
    <s v="PU 7360341"/>
    <s v="A/P Invoices - VD0304"/>
    <s v="Intra SEZ charges"/>
    <m/>
    <n v="8643"/>
    <n v="-389786.4964"/>
    <m/>
    <n v="98"/>
    <n v="-4419.7610000000004"/>
    <n v="-98"/>
    <s v="Shah TC Global Exim LLP - Mumbai"/>
    <m/>
    <m/>
    <m/>
  </r>
  <r>
    <n v="256779418820"/>
    <x v="49"/>
    <s v="BOS2526M"/>
    <s v="PU 7360342"/>
    <s v="A/P Invoices - VD0304"/>
    <s v="Vos Miscellaneous Charges"/>
    <m/>
    <n v="30281.439999999999"/>
    <n v="-420067.93640000001"/>
    <m/>
    <n v="344.10739999999998"/>
    <n v="-4763.8684000000003"/>
    <n v="-344.10739999999998"/>
    <s v="Shah TC Global Exim LLP - Mumbai"/>
    <m/>
    <m/>
    <m/>
  </r>
  <r>
    <n v="256779418703"/>
    <x v="47"/>
    <s v="BOS2526M"/>
    <s v="PU 7360343"/>
    <s v="A/P Invoices - VD0304"/>
    <s v="Inbound &amp; Outbound Handling"/>
    <m/>
    <n v="849.90769999999998"/>
    <n v="-420917.84409999999"/>
    <m/>
    <n v="9.6334"/>
    <n v="-4773.5018"/>
    <n v="-9.6334"/>
    <s v="Shah TC Global Exim LLP - Mumbai"/>
    <m/>
    <m/>
    <m/>
  </r>
  <r>
    <n v="256779419174"/>
    <x v="49"/>
    <s v="BOS2526M"/>
    <s v="PU 7360344"/>
    <s v="A/P Invoices - VD0304"/>
    <s v="Inbound &amp; Outbound Handling"/>
    <m/>
    <n v="708.50779999999997"/>
    <n v="-421626.35190000001"/>
    <m/>
    <n v="8.0457999999999998"/>
    <n v="-4781.5475999999999"/>
    <n v="-8.0457999999999998"/>
    <s v="Shah TC Global Exim LLP - Mumbai"/>
    <m/>
    <m/>
    <m/>
  </r>
  <r>
    <n v="256779419130"/>
    <x v="50"/>
    <s v="BOS2526M"/>
    <s v="PU 7360346"/>
    <s v="A/P Invoices - VD0304"/>
    <s v="LCL CHARGES"/>
    <m/>
    <n v="4545.4799999999996"/>
    <n v="-426171.83189999999"/>
    <m/>
    <n v="51.655799999999999"/>
    <n v="-4833.2034000000003"/>
    <n v="-51.655799999999999"/>
    <s v="Shah TC Global Exim LLP - Mumbai"/>
    <m/>
    <m/>
    <m/>
  </r>
  <r>
    <n v="256779419077"/>
    <x v="49"/>
    <s v="BOS2526M"/>
    <s v="PU 7360347"/>
    <s v="A/P Invoices - VD0304"/>
    <s v="Ground Rent (Container)"/>
    <m/>
    <n v="7920"/>
    <n v="-434091.83189999999"/>
    <m/>
    <n v="90"/>
    <n v="-4923.2034000000003"/>
    <n v="-90"/>
    <s v="Shah TC Global Exim LLP - Mumbai"/>
    <m/>
    <m/>
    <m/>
  </r>
  <r>
    <n v="256779419077"/>
    <x v="49"/>
    <s v="BOS2526M"/>
    <s v="PU 7360348"/>
    <s v="A/P Invoices - VD0304"/>
    <s v="Reefer Plug In"/>
    <m/>
    <n v="68992"/>
    <n v="-503083.83189999999"/>
    <m/>
    <n v="784"/>
    <n v="-5707.2034000000003"/>
    <n v="-784"/>
    <s v="Shah TC Global Exim LLP - Mumbai"/>
    <m/>
    <m/>
    <m/>
  </r>
  <r>
    <n v="256779418775"/>
    <x v="49"/>
    <s v="BOS2526M"/>
    <s v="PU 7360349"/>
    <s v="A/P Invoices - VD0304"/>
    <s v="Rent - Ascendas"/>
    <m/>
    <n v="89996.160000000003"/>
    <n v="-593079.99190000002"/>
    <m/>
    <n v="1022.688"/>
    <n v="-6729.8914000000004"/>
    <n v="-1022.688"/>
    <s v="Shah TC Global Exim LLP - Mumbai"/>
    <m/>
    <m/>
    <m/>
  </r>
  <r>
    <n v="256779418776"/>
    <x v="49"/>
    <s v="BOS2526M"/>
    <s v="PU 7360351"/>
    <s v="A/P Invoices - VD0304"/>
    <s v="Management Fees (Ascendas)"/>
    <m/>
    <n v="34299.828200000004"/>
    <n v="-627379.82010000001"/>
    <m/>
    <n v="389.75580000000002"/>
    <n v="-7119.6472000000003"/>
    <n v="-389.75580000000002"/>
    <s v="Shah TC Global Exim LLP - Mumbai"/>
    <m/>
    <m/>
    <m/>
  </r>
  <r>
    <n v="256779419630"/>
    <x v="51"/>
    <s v="BOS2526M"/>
    <s v="PU 7360352"/>
    <s v="A/P Invoices - VD0304"/>
    <s v="Inbound &amp; Outbound Handling"/>
    <m/>
    <n v="9709.4215999999997"/>
    <n v="-637089.24170000001"/>
    <m/>
    <n v="110.3284"/>
    <n v="-7229.9755999999998"/>
    <n v="-110.3284"/>
    <s v="Shah TC Global Exim LLP - Mumbai"/>
    <m/>
    <m/>
    <m/>
  </r>
  <r>
    <n v="256779419918"/>
    <x v="52"/>
    <s v="BOS2526M"/>
    <s v="PU 7360353"/>
    <s v="A/P Invoices - VD0304"/>
    <s v="Inbound &amp; Outbound Handling"/>
    <m/>
    <n v="9607.5776000000005"/>
    <n v="-646696.81929999997"/>
    <m/>
    <n v="109.172"/>
    <n v="-7339.1476000000002"/>
    <n v="-109.172"/>
    <s v="Shah TC Global Exim LLP - Mumbai"/>
    <m/>
    <m/>
    <m/>
  </r>
  <r>
    <n v="256779419796"/>
    <x v="52"/>
    <s v="BOS2526M"/>
    <s v="PU 7360354"/>
    <s v="A/P Invoices - VD0304"/>
    <s v="Ground Rent (Container)"/>
    <m/>
    <n v="7983"/>
    <n v="-654679.81929999997"/>
    <m/>
    <n v="90"/>
    <n v="-7429.1476000000002"/>
    <n v="-90"/>
    <s v="Shah TC Global Exim LLP - Mumbai"/>
    <m/>
    <m/>
    <m/>
  </r>
  <r>
    <n v="256779419796"/>
    <x v="52"/>
    <s v="BOS2526M"/>
    <s v="PU 7360355"/>
    <s v="A/P Invoices - VD0304"/>
    <s v="Reefer Plug In"/>
    <m/>
    <n v="65194"/>
    <n v="-719873.81929999997"/>
    <m/>
    <n v="735"/>
    <n v="-8164.1476000000002"/>
    <n v="-735"/>
    <s v="Shah TC Global Exim LLP - Mumbai"/>
    <m/>
    <m/>
    <m/>
  </r>
  <r>
    <n v="256779419590"/>
    <x v="51"/>
    <s v="BOS2526M"/>
    <s v="PU 7360356"/>
    <s v="A/P Invoices - VD0304"/>
    <s v="Inbound &amp; Outbound Handling"/>
    <m/>
    <n v="28590.123800000001"/>
    <n v="-748463.94310000003"/>
    <m/>
    <n v="324.87"/>
    <n v="-8489.0175999999992"/>
    <n v="-324.87"/>
    <s v="Shah TC Global Exim LLP - Mumbai"/>
    <m/>
    <m/>
    <m/>
  </r>
  <r>
    <n v="256779419955"/>
    <x v="53"/>
    <s v="BOS2526M"/>
    <s v="PU 7360357"/>
    <s v="A/P Invoices - VD0304"/>
    <s v="Empty Lolo (Empty Yard)"/>
    <m/>
    <n v="5388.5217000000002"/>
    <n v="-753852.46479999996"/>
    <m/>
    <n v="60.7502"/>
    <n v="-8549.7677999999996"/>
    <n v="-60.7502"/>
    <s v="Shah TC Global Exim LLP - Mumbai"/>
    <m/>
    <m/>
    <m/>
  </r>
  <r>
    <n v="256779419968"/>
    <x v="54"/>
    <s v="BOS2526M"/>
    <s v="PU 7360358"/>
    <s v="A/P Invoices - VD0304"/>
    <s v="Rent - Ascendas"/>
    <m/>
    <n v="89999.493000000002"/>
    <n v="-843851.95779999997"/>
    <m/>
    <n v="1014.651"/>
    <n v="-9564.4187999999995"/>
    <n v="-1014.651"/>
    <s v="Shah TC Global Exim LLP - Mumbai"/>
    <m/>
    <m/>
    <m/>
  </r>
  <r>
    <n v="256779419969"/>
    <x v="54"/>
    <s v="BOS2526M"/>
    <s v="PU 7360360"/>
    <s v="A/P Invoices - VD0304"/>
    <s v="Management Fees (Ascendas)"/>
    <m/>
    <n v="34300.133000000002"/>
    <n v="-878152.09080000001"/>
    <m/>
    <n v="386.69819999999999"/>
    <n v="-9951.1170000000002"/>
    <n v="-386.69819999999999"/>
    <s v="Shah TC Global Exim LLP - Mumbai"/>
    <m/>
    <m/>
    <m/>
  </r>
  <r>
    <n v="256779419558"/>
    <x v="51"/>
    <s v="BOS2526M"/>
    <s v="PU 7360361"/>
    <s v="A/P Invoices - VD0304"/>
    <s v="Ground Rent (Container)"/>
    <m/>
    <n v="7920.3389999999999"/>
    <n v="-886072.42980000004"/>
    <m/>
    <n v="90"/>
    <n v="-10041.117"/>
    <n v="-90"/>
    <s v="Shah TC Global Exim LLP - Mumbai"/>
    <m/>
    <m/>
    <m/>
  </r>
  <r>
    <n v="256779419558"/>
    <x v="51"/>
    <s v="BOS2526M"/>
    <s v="PU 7360362"/>
    <s v="A/P Invoices - VD0304"/>
    <s v="Reefer Plug In"/>
    <m/>
    <n v="64682.542500000003"/>
    <n v="-950754.97230000002"/>
    <m/>
    <n v="735"/>
    <n v="-10776.117"/>
    <n v="-735"/>
    <s v="Shah TC Global Exim LLP - Mumbai"/>
    <m/>
    <m/>
    <m/>
  </r>
  <r>
    <n v="256779413897"/>
    <x v="55"/>
    <s v="BOS2526M"/>
    <s v="PU 7360363"/>
    <s v="A/P Invoices - VD0304"/>
    <s v="Rent - Ascendas"/>
    <m/>
    <n v="42810.575199999999"/>
    <n v="-993565.54749999999"/>
    <m/>
    <n v="497.916"/>
    <n v="-11274.032999999999"/>
    <n v="-497.916"/>
    <s v="Shah TC Global Exim LLP - Mumbai"/>
    <m/>
    <m/>
    <m/>
  </r>
  <r>
    <n v="256779416078"/>
    <x v="31"/>
    <s v="BOS2526M"/>
    <s v="PU 7360364"/>
    <s v="A/P Invoices - VD0304"/>
    <s v="Rent - Ascendas"/>
    <m/>
    <n v="114392.44259999999"/>
    <n v="-1107957.9901000001"/>
    <m/>
    <n v="1329.6780000000001"/>
    <n v="-12603.710999999999"/>
    <n v="-1329.6780000000001"/>
    <s v="Shah TC Global Exim LLP - Mumbai"/>
    <m/>
    <m/>
    <m/>
  </r>
  <r>
    <n v="256779415196"/>
    <x v="28"/>
    <s v="BOS2526M"/>
    <s v="PU 7360365"/>
    <s v="A/P Invoices - VD0304"/>
    <s v="Rent - Ascendas"/>
    <m/>
    <n v="1353.28"/>
    <n v="-1109311.2701000001"/>
    <m/>
    <n v="15.731999999999999"/>
    <n v="-12619.442999999999"/>
    <n v="-15.731999999999999"/>
    <s v="Shah TC Global Exim LLP - Mumbai"/>
    <m/>
    <m/>
    <m/>
  </r>
  <r>
    <n v="256779416086"/>
    <x v="31"/>
    <s v="BOS2526M"/>
    <s v="PU 7360366"/>
    <s v="A/P Invoices - VD0304"/>
    <s v="Rent - Ascendas"/>
    <m/>
    <n v="112251.02680000001"/>
    <n v="-1221562.2969"/>
    <m/>
    <n v="1304.7840000000001"/>
    <n v="-13924.227000000001"/>
    <n v="-1304.7840000000001"/>
    <s v="Shah TC Global Exim LLP - Mumbai"/>
    <m/>
    <m/>
    <m/>
  </r>
  <r>
    <n v="256779417082"/>
    <x v="56"/>
    <s v="BOS2526M"/>
    <s v="PU 7360367"/>
    <s v="A/P Invoices - VD0304"/>
    <s v="Rent - Ascendas"/>
    <m/>
    <n v="131062.7203"/>
    <n v="-1352625.0171999999"/>
    <m/>
    <n v="1497.6089999999999"/>
    <n v="-15421.835999999999"/>
    <n v="-1497.6089999999999"/>
    <s v="Shah TC Global Exim LLP - Mumbai"/>
    <m/>
    <m/>
    <m/>
  </r>
  <r>
    <n v="256779418011"/>
    <x v="57"/>
    <s v="BOS2526M"/>
    <s v="PU 7360368"/>
    <s v="A/P Invoices - VD0304"/>
    <s v="Rent - Ascendas"/>
    <m/>
    <n v="73826.046600000001"/>
    <n v="-1426451.0637999999"/>
    <m/>
    <n v="837.12599999999998"/>
    <n v="-16258.962"/>
    <n v="-837.12599999999998"/>
    <s v="Shah TC Global Exim LLP - Mumbai"/>
    <m/>
    <m/>
    <m/>
  </r>
  <r>
    <n v="256779418876"/>
    <x v="49"/>
    <s v="BOS2526M"/>
    <s v="PU 7360369"/>
    <s v="A/P Invoices - VD0304"/>
    <s v="Rent - Ascendas"/>
    <m/>
    <n v="59082.888800000001"/>
    <n v="-1485533.9526"/>
    <m/>
    <n v="671.37300000000005"/>
    <n v="-16930.334999999999"/>
    <n v="-671.37300000000005"/>
    <s v="Shah TC Global Exim LLP - Mumbai"/>
    <m/>
    <m/>
    <m/>
  </r>
  <r>
    <m/>
    <x v="58"/>
    <s v="OPY2526M"/>
    <s v="PS 7360740"/>
    <s v="Outgoing Payments - VD0304,Being $2328.2000 paid to ASCENDAS PANVEL FTWZ PRIVATE LIMITED  against bank ref. no.-003MISC253650039 dated-31-12-2025."/>
    <s v="Yes Bank (Dollar)"/>
    <n v="208851.1594"/>
    <m/>
    <n v="-1276682.7932"/>
    <n v="2368.203"/>
    <m/>
    <n v="-14562.132"/>
    <n v="0"/>
    <s v="Shah TC Global Exim LLP - Mumbai"/>
    <m/>
    <m/>
    <m/>
  </r>
  <r>
    <n v="256779421715"/>
    <x v="59"/>
    <s v="JRN2526M"/>
    <s v="JE 7362166"/>
    <s v="Being debit note recieved from Ascendas Panvel FTWZ Private Limited against debit note no-256779421715 dated-14-08-2025."/>
    <s v="Rent - Ascendas"/>
    <n v="179999.96679999999"/>
    <m/>
    <n v="-1096682.8263999999"/>
    <n v="2092.2930000000001"/>
    <m/>
    <n v="-12469.839"/>
    <n v="2092.2930000000001"/>
    <s v="Shah TC Global Exim LLP - Mumbai"/>
    <m/>
    <m/>
    <m/>
  </r>
  <r>
    <n v="256779440052"/>
    <x v="60"/>
    <s v="BOS2526M"/>
    <s v="PU 7360391"/>
    <s v="A/P Invoices - VD0304"/>
    <s v="Ground Rent (Container)"/>
    <m/>
    <n v="7902.9098000000004"/>
    <n v="-1104585.7361999999"/>
    <m/>
    <n v="87.093000000000004"/>
    <n v="-12556.932000000001"/>
    <n v="-87.093000000000004"/>
    <s v="Shah TC Global Exim LLP - Mumbai"/>
    <m/>
    <m/>
    <m/>
  </r>
  <r>
    <n v="256779440052"/>
    <x v="60"/>
    <s v="BOS2526M"/>
    <s v="PU 7360392"/>
    <s v="A/P Invoices - VD0304"/>
    <s v="Reefer Plug In"/>
    <m/>
    <n v="66694"/>
    <n v="-1171279.7361999999"/>
    <m/>
    <n v="735"/>
    <n v="-13291.932000000001"/>
    <n v="-735"/>
    <s v="Shah TC Global Exim LLP - Mumbai"/>
    <m/>
    <m/>
    <m/>
  </r>
  <r>
    <n v="256779440081"/>
    <x v="60"/>
    <s v="BOS2526M"/>
    <s v="PU 7360393"/>
    <s v="A/P Invoices - VD0304"/>
    <s v="Inbound &amp; Outbound Handling"/>
    <m/>
    <n v="307.053"/>
    <n v="-1171586.7892"/>
    <m/>
    <n v="3.3809999999999998"/>
    <n v="-13295.313"/>
    <n v="-3.3809999999999998"/>
    <s v="Shah TC Global Exim LLP - Mumbai"/>
    <m/>
    <m/>
    <m/>
  </r>
  <r>
    <n v="256779419232"/>
    <x v="49"/>
    <s v="BOS2526M"/>
    <s v="PU 7360394"/>
    <s v="A/P Invoices - VD0304"/>
    <s v="Vos Miscellaneous Charges"/>
    <m/>
    <n v="2233.4737"/>
    <n v="-1173820.2629"/>
    <m/>
    <n v="25.176200000000001"/>
    <n v="-13320.4892"/>
    <n v="-25.176200000000001"/>
    <s v="Shah TC Global Exim LLP - Mumbai"/>
    <m/>
    <m/>
    <m/>
  </r>
  <r>
    <n v="256779419200"/>
    <x v="49"/>
    <s v="BOS2526M"/>
    <s v="PU 7360395"/>
    <s v="A/P Invoices - VD0304"/>
    <s v="Vos Miscellaneous Charges"/>
    <m/>
    <n v="13131.454"/>
    <n v="-1186951.7169000001"/>
    <m/>
    <n v="149.2148"/>
    <n v="-13469.704"/>
    <n v="-149.2148"/>
    <s v="Shah TC Global Exim LLP - Mumbai"/>
    <m/>
    <m/>
    <m/>
  </r>
  <r>
    <n v="256779419992"/>
    <x v="53"/>
    <s v="BOS2526M"/>
    <s v="PU 7360396"/>
    <s v="A/P Invoices - VD0304"/>
    <s v="Vos Miscellaneous Charges"/>
    <m/>
    <n v="10788.5744"/>
    <n v="-1197740.2912999999"/>
    <m/>
    <n v="121.62779999999999"/>
    <n v="-13591.3318"/>
    <n v="-121.62779999999999"/>
    <s v="Shah TC Global Exim LLP - Mumbai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BE1CD-477F-4163-B988-8A23A96F3139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G17" firstHeaderRow="1" firstDataRow="2" firstDataCol="3"/>
  <pivotFields count="17">
    <pivotField compact="0" outline="0" showAll="0" defaultSubtotal="0"/>
    <pivotField axis="axisCol" compact="0" outline="0" showAll="0" defaultSubtotal="0">
      <items count="4">
        <item x="3"/>
        <item x="2"/>
        <item x="0"/>
        <item x="1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numFmtId="4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6"/>
    <field x="15"/>
    <field x="2"/>
  </rowFields>
  <rowItems count="13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USD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BC091-B376-4521-BA3A-A0361CBCF671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E15" firstHeaderRow="0" firstDataRow="1" firstDataCol="3"/>
  <pivotFields count="19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dataField="1" compact="0" outline="0" showAll="0" defaultSubtotal="0"/>
    <pivotField dataField="1"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8"/>
    <field x="17"/>
    <field x="1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-2"/>
  </colFields>
  <colItems count="2">
    <i>
      <x/>
    </i>
    <i i="1">
      <x v="1"/>
    </i>
  </colItems>
  <dataFields count="2">
    <dataField name="Sum of Debit (FC)" fld="9" baseField="0" baseItem="0"/>
    <dataField name="Sum of Credit (FC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A80A-7F54-41F2-A2D6-C4D222095786}">
  <dimension ref="A1:C12"/>
  <sheetViews>
    <sheetView workbookViewId="0">
      <selection activeCell="B5" sqref="B5"/>
    </sheetView>
  </sheetViews>
  <sheetFormatPr defaultRowHeight="14.5" x14ac:dyDescent="0.35"/>
  <cols>
    <col min="1" max="1" width="84.08984375" style="3" bestFit="1" customWidth="1"/>
    <col min="2" max="2" width="13.90625" style="3" bestFit="1" customWidth="1"/>
    <col min="3" max="3" width="29.453125" bestFit="1" customWidth="1"/>
  </cols>
  <sheetData>
    <row r="1" spans="1:3" ht="15" thickBot="1" x14ac:dyDescent="0.4">
      <c r="A1" s="157" t="s">
        <v>896</v>
      </c>
      <c r="B1" s="158"/>
    </row>
    <row r="2" spans="1:3" ht="15" thickBot="1" x14ac:dyDescent="0.4">
      <c r="A2" s="146" t="s">
        <v>897</v>
      </c>
      <c r="B2" s="145" t="s">
        <v>898</v>
      </c>
    </row>
    <row r="3" spans="1:3" x14ac:dyDescent="0.35">
      <c r="A3" s="147" t="s">
        <v>904</v>
      </c>
      <c r="B3" s="148">
        <f>-'Customer Data'!L279</f>
        <v>13295.313</v>
      </c>
    </row>
    <row r="4" spans="1:3" x14ac:dyDescent="0.35">
      <c r="A4" s="147" t="s">
        <v>899</v>
      </c>
      <c r="B4" s="148">
        <f>'TDS Deducted'!O1-'Payment Reco Updated'!M19</f>
        <v>4115.9927999999991</v>
      </c>
      <c r="C4" t="s">
        <v>1199</v>
      </c>
    </row>
    <row r="5" spans="1:3" x14ac:dyDescent="0.35">
      <c r="A5" s="147" t="s">
        <v>900</v>
      </c>
      <c r="B5" s="149">
        <f>'Invoice not in Customer books'!I1</f>
        <v>7523.3641379310393</v>
      </c>
      <c r="C5" t="s">
        <v>1200</v>
      </c>
    </row>
    <row r="6" spans="1:3" x14ac:dyDescent="0.35">
      <c r="A6" s="147" t="s">
        <v>978</v>
      </c>
      <c r="B6" s="149">
        <f>-('Payment Reco Updated'!L19+'Payment Reco Updated'!N19)</f>
        <v>226.32000000000113</v>
      </c>
      <c r="C6" t="s">
        <v>1201</v>
      </c>
    </row>
    <row r="7" spans="1:3" x14ac:dyDescent="0.35">
      <c r="A7" s="147" t="s">
        <v>979</v>
      </c>
      <c r="B7" s="149">
        <f>'Difference in Invoice Amount'!M4</f>
        <v>-96.01480000000015</v>
      </c>
      <c r="C7" t="s">
        <v>1201</v>
      </c>
    </row>
    <row r="8" spans="1:3" x14ac:dyDescent="0.35">
      <c r="A8" s="147" t="s">
        <v>915</v>
      </c>
      <c r="B8" s="149">
        <f>-'Customer Data Vlookup'!S11</f>
        <v>-131.57180000000002</v>
      </c>
      <c r="C8" t="s">
        <v>1201</v>
      </c>
    </row>
    <row r="9" spans="1:3" x14ac:dyDescent="0.35">
      <c r="A9" s="147" t="s">
        <v>901</v>
      </c>
      <c r="B9" s="149">
        <f>SUM(B3:B8)</f>
        <v>24933.403337931035</v>
      </c>
    </row>
    <row r="10" spans="1:3" x14ac:dyDescent="0.35">
      <c r="A10" s="147" t="s">
        <v>902</v>
      </c>
      <c r="B10" s="149">
        <f>'Ascendus Data'!G1</f>
        <v>25229.422137931029</v>
      </c>
    </row>
    <row r="11" spans="1:3" ht="15" thickBot="1" x14ac:dyDescent="0.4">
      <c r="A11" s="150"/>
      <c r="B11" s="151"/>
    </row>
    <row r="12" spans="1:3" ht="15" thickBot="1" x14ac:dyDescent="0.4">
      <c r="A12" s="146" t="s">
        <v>903</v>
      </c>
      <c r="B12" s="145">
        <f>B9-B10-B11</f>
        <v>-296.01879999999437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E622-BCAD-4BBB-9748-D3A87305A28E}">
  <dimension ref="A1:O23"/>
  <sheetViews>
    <sheetView zoomScale="85" zoomScaleNormal="85" workbookViewId="0">
      <selection activeCell="M19" sqref="M19"/>
    </sheetView>
  </sheetViews>
  <sheetFormatPr defaultRowHeight="14.5" x14ac:dyDescent="0.35"/>
  <cols>
    <col min="1" max="1" width="14.08984375" style="127" bestFit="1" customWidth="1"/>
    <col min="2" max="2" width="56.81640625" style="127" customWidth="1"/>
    <col min="3" max="3" width="17.26953125" style="127" bestFit="1" customWidth="1"/>
    <col min="4" max="4" width="9.08984375" style="127" bestFit="1" customWidth="1"/>
    <col min="5" max="5" width="13.26953125" style="127" bestFit="1" customWidth="1"/>
    <col min="6" max="6" width="8.26953125" style="127" bestFit="1" customWidth="1"/>
    <col min="7" max="7" width="11.54296875" style="127" bestFit="1" customWidth="1"/>
    <col min="8" max="8" width="14.26953125" style="127" bestFit="1" customWidth="1"/>
    <col min="9" max="9" width="16.7265625" style="127" bestFit="1" customWidth="1"/>
    <col min="10" max="10" width="20.1796875" style="127" bestFit="1" customWidth="1"/>
    <col min="11" max="11" width="11.81640625" style="139" customWidth="1"/>
    <col min="12" max="12" width="10.36328125" style="139" customWidth="1"/>
    <col min="13" max="13" width="10.453125" style="139" customWidth="1"/>
    <col min="14" max="14" width="17.453125" style="127" customWidth="1"/>
    <col min="15" max="15" width="13.81640625" style="127" customWidth="1"/>
    <col min="16" max="16384" width="8.7265625" style="127"/>
  </cols>
  <sheetData>
    <row r="1" spans="1:15" s="137" customFormat="1" ht="43.5" x14ac:dyDescent="0.35">
      <c r="A1" s="143" t="s">
        <v>2</v>
      </c>
      <c r="B1" s="143" t="s">
        <v>549</v>
      </c>
      <c r="C1" s="143" t="s">
        <v>976</v>
      </c>
      <c r="D1" s="143" t="s">
        <v>554</v>
      </c>
      <c r="E1" s="123" t="s">
        <v>919</v>
      </c>
      <c r="F1" s="123" t="s">
        <v>920</v>
      </c>
      <c r="G1" s="123" t="s">
        <v>921</v>
      </c>
      <c r="H1" s="123" t="s">
        <v>922</v>
      </c>
      <c r="I1" s="124" t="s">
        <v>923</v>
      </c>
      <c r="J1" s="124" t="s">
        <v>924</v>
      </c>
      <c r="K1" s="125" t="s">
        <v>36</v>
      </c>
      <c r="L1" s="126" t="s">
        <v>977</v>
      </c>
      <c r="M1" s="126" t="s">
        <v>925</v>
      </c>
      <c r="N1" s="126" t="s">
        <v>926</v>
      </c>
      <c r="O1" s="126" t="s">
        <v>927</v>
      </c>
    </row>
    <row r="2" spans="1:15" ht="15" customHeight="1" x14ac:dyDescent="0.35">
      <c r="A2" s="79">
        <v>45876</v>
      </c>
      <c r="B2" s="49" t="s">
        <v>951</v>
      </c>
      <c r="C2" s="49" t="s">
        <v>967</v>
      </c>
      <c r="D2" s="140">
        <v>1007.818</v>
      </c>
      <c r="E2" s="128">
        <v>45877</v>
      </c>
      <c r="F2" s="129" t="s">
        <v>46</v>
      </c>
      <c r="G2" s="129">
        <v>986.32</v>
      </c>
      <c r="H2" s="129" t="s">
        <v>57</v>
      </c>
      <c r="I2" s="129">
        <v>1400000864</v>
      </c>
      <c r="J2" s="129" t="s">
        <v>57</v>
      </c>
      <c r="K2" s="130">
        <v>-1102.02</v>
      </c>
      <c r="L2" s="130">
        <f>D2-G2</f>
        <v>21.497999999999934</v>
      </c>
      <c r="M2" s="130">
        <v>94.2</v>
      </c>
      <c r="N2" s="131">
        <f>-(K2+G2+M2)</f>
        <v>21.499999999999929</v>
      </c>
      <c r="O2" s="129"/>
    </row>
    <row r="3" spans="1:15" x14ac:dyDescent="0.35">
      <c r="A3" s="79">
        <v>45959</v>
      </c>
      <c r="B3" s="49" t="s">
        <v>957</v>
      </c>
      <c r="C3" s="49" t="s">
        <v>972</v>
      </c>
      <c r="D3" s="140">
        <v>1752.7655999999999</v>
      </c>
      <c r="E3" s="128">
        <v>45960</v>
      </c>
      <c r="F3" s="129" t="s">
        <v>46</v>
      </c>
      <c r="G3" s="132">
        <v>1731.27</v>
      </c>
      <c r="H3" s="129" t="s">
        <v>928</v>
      </c>
      <c r="I3" s="129" t="s">
        <v>929</v>
      </c>
      <c r="J3" s="129" t="s">
        <v>930</v>
      </c>
      <c r="K3" s="130">
        <v>-1731.27</v>
      </c>
      <c r="L3" s="130">
        <f t="shared" ref="L3:L18" si="0">D3-G3</f>
        <v>21.495599999999968</v>
      </c>
      <c r="M3" s="130">
        <f t="shared" ref="M3:M18" si="1">K3+G3</f>
        <v>0</v>
      </c>
      <c r="N3" s="131">
        <f t="shared" ref="N3:N18" si="2">-(K3+G3+M3)</f>
        <v>0</v>
      </c>
      <c r="O3" s="129" t="s">
        <v>931</v>
      </c>
    </row>
    <row r="4" spans="1:15" x14ac:dyDescent="0.35">
      <c r="A4" s="79">
        <v>45961</v>
      </c>
      <c r="B4" s="49" t="s">
        <v>958</v>
      </c>
      <c r="C4" s="49" t="s">
        <v>973</v>
      </c>
      <c r="D4" s="140">
        <v>1989.9404</v>
      </c>
      <c r="E4" s="128">
        <v>45964</v>
      </c>
      <c r="F4" s="129" t="s">
        <v>46</v>
      </c>
      <c r="G4" s="132">
        <v>1968.44</v>
      </c>
      <c r="H4" s="129" t="s">
        <v>932</v>
      </c>
      <c r="I4" s="129" t="s">
        <v>929</v>
      </c>
      <c r="J4" s="129" t="s">
        <v>933</v>
      </c>
      <c r="K4" s="130">
        <v>-1968.44</v>
      </c>
      <c r="L4" s="130">
        <f t="shared" si="0"/>
        <v>21.5003999999999</v>
      </c>
      <c r="M4" s="130">
        <f t="shared" si="1"/>
        <v>0</v>
      </c>
      <c r="N4" s="131">
        <f t="shared" si="2"/>
        <v>0</v>
      </c>
      <c r="O4" s="129" t="s">
        <v>931</v>
      </c>
    </row>
    <row r="5" spans="1:15" x14ac:dyDescent="0.35">
      <c r="A5" s="79">
        <v>46022</v>
      </c>
      <c r="B5" s="49" t="s">
        <v>960</v>
      </c>
      <c r="C5" s="49" t="s">
        <v>975</v>
      </c>
      <c r="D5" s="140">
        <v>2368.203</v>
      </c>
      <c r="E5" s="128">
        <v>46024</v>
      </c>
      <c r="F5" s="129" t="s">
        <v>46</v>
      </c>
      <c r="G5" s="132">
        <v>2346.6999999999998</v>
      </c>
      <c r="H5" s="129" t="s">
        <v>501</v>
      </c>
      <c r="I5" s="129">
        <v>1400002372</v>
      </c>
      <c r="J5" s="129" t="s">
        <v>501</v>
      </c>
      <c r="K5" s="130">
        <v>-2517.2600000000002</v>
      </c>
      <c r="L5" s="130">
        <f t="shared" si="0"/>
        <v>21.503000000000156</v>
      </c>
      <c r="M5" s="130">
        <v>184.34</v>
      </c>
      <c r="N5" s="131">
        <f t="shared" si="2"/>
        <v>-13.779999999999603</v>
      </c>
      <c r="O5" s="129"/>
    </row>
    <row r="6" spans="1:15" x14ac:dyDescent="0.35">
      <c r="A6" s="79">
        <v>45910</v>
      </c>
      <c r="B6" s="49" t="s">
        <v>953</v>
      </c>
      <c r="C6" s="49" t="s">
        <v>969</v>
      </c>
      <c r="D6" s="140">
        <v>2954.3362000000002</v>
      </c>
      <c r="E6" s="128">
        <v>45911</v>
      </c>
      <c r="F6" s="129" t="s">
        <v>46</v>
      </c>
      <c r="G6" s="132">
        <v>2932.84</v>
      </c>
      <c r="H6" s="129" t="s">
        <v>934</v>
      </c>
      <c r="I6" s="129" t="s">
        <v>929</v>
      </c>
      <c r="J6" s="129" t="s">
        <v>934</v>
      </c>
      <c r="K6" s="130">
        <v>-2932.84</v>
      </c>
      <c r="L6" s="130">
        <f t="shared" si="0"/>
        <v>21.496200000000044</v>
      </c>
      <c r="M6" s="130">
        <f t="shared" si="1"/>
        <v>0</v>
      </c>
      <c r="N6" s="131">
        <f t="shared" si="2"/>
        <v>0</v>
      </c>
      <c r="O6" s="129" t="s">
        <v>931</v>
      </c>
    </row>
    <row r="7" spans="1:15" x14ac:dyDescent="0.35">
      <c r="A7" s="79">
        <v>45813</v>
      </c>
      <c r="B7" s="49" t="s">
        <v>949</v>
      </c>
      <c r="C7" s="49" t="s">
        <v>962</v>
      </c>
      <c r="D7" s="140">
        <v>3167.4751999999999</v>
      </c>
      <c r="E7" s="128">
        <v>45814</v>
      </c>
      <c r="F7" s="129" t="s">
        <v>46</v>
      </c>
      <c r="G7" s="132">
        <v>3145.98</v>
      </c>
      <c r="H7" s="129" t="s">
        <v>935</v>
      </c>
      <c r="I7" s="129" t="s">
        <v>929</v>
      </c>
      <c r="J7" s="129" t="s">
        <v>935</v>
      </c>
      <c r="K7" s="130">
        <v>-3145.98</v>
      </c>
      <c r="L7" s="130">
        <f t="shared" si="0"/>
        <v>21.495199999999841</v>
      </c>
      <c r="M7" s="130">
        <f t="shared" si="1"/>
        <v>0</v>
      </c>
      <c r="N7" s="131">
        <f t="shared" si="2"/>
        <v>0</v>
      </c>
      <c r="O7" s="129" t="s">
        <v>931</v>
      </c>
    </row>
    <row r="8" spans="1:15" x14ac:dyDescent="0.35">
      <c r="A8" s="79">
        <v>45813</v>
      </c>
      <c r="B8" s="49" t="s">
        <v>948</v>
      </c>
      <c r="C8" s="49" t="s">
        <v>961</v>
      </c>
      <c r="D8" s="140">
        <v>3529.5558000000001</v>
      </c>
      <c r="E8" s="128">
        <v>45814</v>
      </c>
      <c r="F8" s="129" t="s">
        <v>46</v>
      </c>
      <c r="G8" s="132">
        <v>3508.06</v>
      </c>
      <c r="H8" s="129" t="s">
        <v>936</v>
      </c>
      <c r="I8" s="129" t="s">
        <v>929</v>
      </c>
      <c r="J8" s="129" t="s">
        <v>936</v>
      </c>
      <c r="K8" s="130">
        <v>-3508.06</v>
      </c>
      <c r="L8" s="130">
        <f t="shared" si="0"/>
        <v>21.495800000000145</v>
      </c>
      <c r="M8" s="130">
        <f t="shared" si="1"/>
        <v>0</v>
      </c>
      <c r="N8" s="131">
        <f t="shared" si="2"/>
        <v>0</v>
      </c>
      <c r="O8" s="129" t="s">
        <v>931</v>
      </c>
    </row>
    <row r="9" spans="1:15" x14ac:dyDescent="0.35">
      <c r="A9" s="79">
        <v>45813</v>
      </c>
      <c r="B9" s="49" t="s">
        <v>949</v>
      </c>
      <c r="C9" s="49" t="s">
        <v>963</v>
      </c>
      <c r="D9" s="140">
        <v>3685.2031999999999</v>
      </c>
      <c r="E9" s="128">
        <v>45814</v>
      </c>
      <c r="F9" s="129" t="s">
        <v>46</v>
      </c>
      <c r="G9" s="132">
        <v>3663.7</v>
      </c>
      <c r="H9" s="129" t="s">
        <v>937</v>
      </c>
      <c r="I9" s="129" t="s">
        <v>929</v>
      </c>
      <c r="J9" s="129" t="s">
        <v>938</v>
      </c>
      <c r="K9" s="130">
        <v>-3663.7</v>
      </c>
      <c r="L9" s="130">
        <f t="shared" si="0"/>
        <v>21.503200000000106</v>
      </c>
      <c r="M9" s="130">
        <f t="shared" si="1"/>
        <v>0</v>
      </c>
      <c r="N9" s="131">
        <f t="shared" si="2"/>
        <v>0</v>
      </c>
      <c r="O9" s="129" t="s">
        <v>931</v>
      </c>
    </row>
    <row r="10" spans="1:15" x14ac:dyDescent="0.35">
      <c r="A10" s="79">
        <v>45856</v>
      </c>
      <c r="B10" s="49" t="s">
        <v>950</v>
      </c>
      <c r="C10" s="49" t="s">
        <v>966</v>
      </c>
      <c r="D10" s="140">
        <v>3742.0477999999998</v>
      </c>
      <c r="E10" s="128">
        <v>45859</v>
      </c>
      <c r="F10" s="129" t="s">
        <v>46</v>
      </c>
      <c r="G10" s="132">
        <v>3777.49</v>
      </c>
      <c r="H10" s="129" t="s">
        <v>939</v>
      </c>
      <c r="I10" s="129" t="s">
        <v>929</v>
      </c>
      <c r="J10" s="129" t="s">
        <v>940</v>
      </c>
      <c r="K10" s="130">
        <v>-3777.49</v>
      </c>
      <c r="L10" s="130">
        <f t="shared" si="0"/>
        <v>-35.442199999999957</v>
      </c>
      <c r="M10" s="130">
        <f t="shared" si="1"/>
        <v>0</v>
      </c>
      <c r="N10" s="131">
        <f t="shared" si="2"/>
        <v>0</v>
      </c>
      <c r="O10" s="129" t="s">
        <v>931</v>
      </c>
    </row>
    <row r="11" spans="1:15" x14ac:dyDescent="0.35">
      <c r="A11" s="79">
        <v>45821</v>
      </c>
      <c r="B11" s="49" t="s">
        <v>949</v>
      </c>
      <c r="C11" s="49" t="s">
        <v>965</v>
      </c>
      <c r="D11" s="140">
        <v>4224.8172000000004</v>
      </c>
      <c r="E11" s="128">
        <v>45824</v>
      </c>
      <c r="F11" s="129" t="s">
        <v>46</v>
      </c>
      <c r="G11" s="132">
        <v>4228.22</v>
      </c>
      <c r="H11" s="129" t="s">
        <v>941</v>
      </c>
      <c r="I11" s="129" t="s">
        <v>929</v>
      </c>
      <c r="J11" s="129" t="s">
        <v>941</v>
      </c>
      <c r="K11" s="130">
        <v>-4228.22</v>
      </c>
      <c r="L11" s="130">
        <f>D11+D12-G11</f>
        <v>-1.9999999994979589E-3</v>
      </c>
      <c r="M11" s="130">
        <f t="shared" si="1"/>
        <v>0</v>
      </c>
      <c r="N11" s="131">
        <f t="shared" si="2"/>
        <v>0</v>
      </c>
      <c r="O11" s="129" t="s">
        <v>931</v>
      </c>
    </row>
    <row r="12" spans="1:15" x14ac:dyDescent="0.35">
      <c r="A12" s="79">
        <v>45821</v>
      </c>
      <c r="B12" s="49" t="s">
        <v>697</v>
      </c>
      <c r="C12" s="49" t="s">
        <v>691</v>
      </c>
      <c r="D12" s="142">
        <v>3.4007999999999998</v>
      </c>
      <c r="E12" s="128"/>
      <c r="F12" s="129"/>
      <c r="G12" s="132"/>
      <c r="H12" s="129"/>
      <c r="I12" s="129"/>
      <c r="J12" s="129"/>
      <c r="K12" s="130"/>
      <c r="L12" s="130">
        <v>0</v>
      </c>
      <c r="M12" s="130"/>
      <c r="N12" s="131">
        <f t="shared" si="2"/>
        <v>0</v>
      </c>
      <c r="O12" s="129"/>
    </row>
    <row r="13" spans="1:15" x14ac:dyDescent="0.35">
      <c r="A13" s="79">
        <v>45910</v>
      </c>
      <c r="B13" s="49" t="s">
        <v>954</v>
      </c>
      <c r="C13" s="49" t="s">
        <v>970</v>
      </c>
      <c r="D13" s="140">
        <v>4740.7700000000004</v>
      </c>
      <c r="E13" s="128">
        <v>45911</v>
      </c>
      <c r="F13" s="129" t="s">
        <v>46</v>
      </c>
      <c r="G13" s="132">
        <v>4719.25</v>
      </c>
      <c r="H13" s="129" t="s">
        <v>942</v>
      </c>
      <c r="I13" s="129" t="s">
        <v>929</v>
      </c>
      <c r="J13" s="129" t="s">
        <v>942</v>
      </c>
      <c r="K13" s="130">
        <v>-4719.25</v>
      </c>
      <c r="L13" s="130">
        <f t="shared" si="0"/>
        <v>21.520000000000437</v>
      </c>
      <c r="M13" s="130">
        <f t="shared" si="1"/>
        <v>0</v>
      </c>
      <c r="N13" s="131">
        <f t="shared" si="2"/>
        <v>0</v>
      </c>
      <c r="O13" s="129" t="s">
        <v>931</v>
      </c>
    </row>
    <row r="14" spans="1:15" x14ac:dyDescent="0.35">
      <c r="A14" s="79">
        <v>45877</v>
      </c>
      <c r="B14" s="49" t="s">
        <v>952</v>
      </c>
      <c r="C14" s="49" t="s">
        <v>968</v>
      </c>
      <c r="D14" s="140">
        <v>4800.3365999999996</v>
      </c>
      <c r="E14" s="128">
        <v>45880</v>
      </c>
      <c r="F14" s="129" t="s">
        <v>46</v>
      </c>
      <c r="G14" s="132">
        <v>4778.84</v>
      </c>
      <c r="H14" s="129" t="s">
        <v>943</v>
      </c>
      <c r="I14" s="129">
        <v>1400000854</v>
      </c>
      <c r="J14" s="129"/>
      <c r="K14" s="130">
        <v>-5138.3499999999995</v>
      </c>
      <c r="L14" s="130">
        <f t="shared" si="0"/>
        <v>21.496599999999489</v>
      </c>
      <c r="M14" s="130">
        <v>338</v>
      </c>
      <c r="N14" s="131">
        <f t="shared" si="2"/>
        <v>21.509999999999309</v>
      </c>
      <c r="O14" s="129"/>
    </row>
    <row r="15" spans="1:15" x14ac:dyDescent="0.35">
      <c r="A15" s="79">
        <v>45916</v>
      </c>
      <c r="B15" s="49" t="s">
        <v>955</v>
      </c>
      <c r="C15" s="49" t="s">
        <v>971</v>
      </c>
      <c r="D15" s="140">
        <v>5041.5600000000004</v>
      </c>
      <c r="E15" s="128">
        <v>45918</v>
      </c>
      <c r="F15" s="129" t="s">
        <v>46</v>
      </c>
      <c r="G15" s="132">
        <v>8339.84</v>
      </c>
      <c r="H15" s="129" t="s">
        <v>944</v>
      </c>
      <c r="I15" s="129" t="s">
        <v>929</v>
      </c>
      <c r="J15" s="129" t="s">
        <v>944</v>
      </c>
      <c r="K15" s="130">
        <v>-8339.84</v>
      </c>
      <c r="L15" s="130">
        <f>D15+D16-G15</f>
        <v>29.488000000001193</v>
      </c>
      <c r="M15" s="130">
        <f t="shared" si="1"/>
        <v>0</v>
      </c>
      <c r="N15" s="131">
        <f t="shared" si="2"/>
        <v>0</v>
      </c>
      <c r="O15" s="129" t="s">
        <v>931</v>
      </c>
    </row>
    <row r="16" spans="1:15" x14ac:dyDescent="0.35">
      <c r="A16" s="79">
        <v>45916</v>
      </c>
      <c r="B16" s="49" t="s">
        <v>956</v>
      </c>
      <c r="C16" s="49" t="s">
        <v>971</v>
      </c>
      <c r="D16" s="140">
        <v>3327.768</v>
      </c>
      <c r="E16" s="128"/>
      <c r="F16" s="129"/>
      <c r="G16" s="132"/>
      <c r="H16" s="129"/>
      <c r="I16" s="129"/>
      <c r="J16" s="129"/>
      <c r="K16" s="130"/>
      <c r="L16" s="130">
        <v>0</v>
      </c>
      <c r="M16" s="130"/>
      <c r="N16" s="131">
        <f t="shared" si="2"/>
        <v>0</v>
      </c>
      <c r="O16" s="129"/>
    </row>
    <row r="17" spans="1:15" x14ac:dyDescent="0.35">
      <c r="A17" s="79">
        <v>45961</v>
      </c>
      <c r="B17" s="49" t="s">
        <v>959</v>
      </c>
      <c r="C17" s="49" t="s">
        <v>974</v>
      </c>
      <c r="D17" s="140">
        <v>10502.1628</v>
      </c>
      <c r="E17" s="128">
        <v>45964</v>
      </c>
      <c r="F17" s="129" t="s">
        <v>46</v>
      </c>
      <c r="G17" s="132">
        <v>10455.66</v>
      </c>
      <c r="H17" s="129" t="s">
        <v>945</v>
      </c>
      <c r="I17" s="129" t="s">
        <v>929</v>
      </c>
      <c r="J17" s="129" t="s">
        <v>946</v>
      </c>
      <c r="K17" s="130">
        <v>-10455.66</v>
      </c>
      <c r="L17" s="130">
        <f t="shared" si="0"/>
        <v>46.502800000000207</v>
      </c>
      <c r="M17" s="130">
        <f t="shared" si="1"/>
        <v>0</v>
      </c>
      <c r="N17" s="131">
        <f t="shared" si="2"/>
        <v>0</v>
      </c>
      <c r="O17" s="129" t="s">
        <v>931</v>
      </c>
    </row>
    <row r="18" spans="1:15" s="137" customFormat="1" x14ac:dyDescent="0.35">
      <c r="A18" s="79">
        <v>45821</v>
      </c>
      <c r="B18" s="49" t="s">
        <v>949</v>
      </c>
      <c r="C18" s="49" t="s">
        <v>964</v>
      </c>
      <c r="D18" s="140">
        <v>12549.359399999999</v>
      </c>
      <c r="E18" s="128">
        <v>45824</v>
      </c>
      <c r="F18" s="129" t="s">
        <v>46</v>
      </c>
      <c r="G18" s="132">
        <v>12549.36</v>
      </c>
      <c r="H18" s="129" t="s">
        <v>947</v>
      </c>
      <c r="I18" s="129" t="s">
        <v>929</v>
      </c>
      <c r="J18" s="129" t="s">
        <v>947</v>
      </c>
      <c r="K18" s="130">
        <v>-12549.36</v>
      </c>
      <c r="L18" s="130">
        <f t="shared" si="0"/>
        <v>-6.0000000121362973E-4</v>
      </c>
      <c r="M18" s="130">
        <f t="shared" si="1"/>
        <v>0</v>
      </c>
      <c r="N18" s="131">
        <f t="shared" si="2"/>
        <v>0</v>
      </c>
      <c r="O18" s="129" t="s">
        <v>931</v>
      </c>
    </row>
    <row r="19" spans="1:15" x14ac:dyDescent="0.35">
      <c r="A19" s="129"/>
      <c r="B19" s="129"/>
      <c r="C19" s="129"/>
      <c r="D19" s="141">
        <f>SUM(D2:D18)</f>
        <v>69387.51999999999</v>
      </c>
      <c r="E19" s="133"/>
      <c r="F19" s="133"/>
      <c r="G19" s="134">
        <f>SUM(G2:G18)</f>
        <v>69131.97</v>
      </c>
      <c r="H19" s="133"/>
      <c r="I19" s="133"/>
      <c r="J19" s="133"/>
      <c r="K19" s="135">
        <f>SUM(K2:K18)</f>
        <v>-69777.740000000005</v>
      </c>
      <c r="L19" s="135">
        <f>-SUM(L2:L18)</f>
        <v>-255.55000000000075</v>
      </c>
      <c r="M19" s="135">
        <f>SUM(M2:M18)</f>
        <v>616.54</v>
      </c>
      <c r="N19" s="136">
        <f>SUM(N2:N18)</f>
        <v>29.229999999999634</v>
      </c>
      <c r="O19" s="133"/>
    </row>
    <row r="20" spans="1:15" x14ac:dyDescent="0.35">
      <c r="G20" s="138"/>
    </row>
    <row r="23" spans="1:15" x14ac:dyDescent="0.35">
      <c r="G23" s="144">
        <f>K19+D19</f>
        <v>-390.22000000001572</v>
      </c>
    </row>
  </sheetData>
  <autoFilter ref="A1:D1" xr:uid="{ABF0E622-BCAD-4BBB-9748-D3A87305A28E}">
    <sortState xmlns:xlrd2="http://schemas.microsoft.com/office/spreadsheetml/2017/richdata2" ref="A2:D18">
      <sortCondition ref="D1"/>
    </sortState>
  </autoFilter>
  <pageMargins left="0.7" right="0.7" top="0.75" bottom="0.75" header="0.3" footer="0.3"/>
  <pageSetup orientation="portrait" r:id="rId1"/>
  <ignoredErrors>
    <ignoredError sqref="L19:M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F105-8ED4-4394-BBC5-5E2F166B88D6}">
  <dimension ref="A1:O322"/>
  <sheetViews>
    <sheetView zoomScale="70" zoomScaleNormal="70" workbookViewId="0">
      <selection activeCell="J4" sqref="J4"/>
    </sheetView>
  </sheetViews>
  <sheetFormatPr defaultRowHeight="14.5" x14ac:dyDescent="0.35"/>
  <cols>
    <col min="1" max="1" width="19.08984375" bestFit="1" customWidth="1"/>
    <col min="2" max="2" width="11.7265625" bestFit="1" customWidth="1"/>
    <col min="3" max="3" width="16.1796875" bestFit="1" customWidth="1"/>
    <col min="4" max="4" width="16.08984375" bestFit="1" customWidth="1"/>
    <col min="5" max="6" width="11.7265625" bestFit="1" customWidth="1"/>
    <col min="7" max="7" width="11.7265625" customWidth="1"/>
    <col min="8" max="8" width="11" bestFit="1" customWidth="1"/>
    <col min="9" max="9" width="11.453125" style="20" bestFit="1" customWidth="1"/>
    <col min="10" max="13" width="11.453125" style="20" customWidth="1"/>
    <col min="14" max="14" width="11.453125" style="31" customWidth="1"/>
    <col min="15" max="15" width="46.08984375" bestFit="1" customWidth="1"/>
    <col min="16" max="16384" width="8.7265625" style="50"/>
  </cols>
  <sheetData>
    <row r="1" spans="1:15" customFormat="1" x14ac:dyDescent="0.35">
      <c r="A1" s="23"/>
      <c r="B1" s="23"/>
      <c r="C1" s="23"/>
      <c r="D1" s="23"/>
      <c r="E1" s="23"/>
      <c r="F1" s="44">
        <v>25229.422137931029</v>
      </c>
      <c r="G1" s="24">
        <f>SUBTOTAL(9,G3:G317)</f>
        <v>25229.422137931029</v>
      </c>
      <c r="H1" s="23"/>
      <c r="I1" s="24">
        <f>SUBTOTAL(9,I3:I317)</f>
        <v>4171298.8700000015</v>
      </c>
      <c r="J1" s="24"/>
      <c r="K1" s="24"/>
      <c r="L1" s="24"/>
      <c r="M1" s="24"/>
      <c r="N1" s="48"/>
      <c r="O1" s="23"/>
    </row>
    <row r="2" spans="1:15" customFormat="1" ht="58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25" t="s">
        <v>918</v>
      </c>
      <c r="K2" s="25" t="s">
        <v>905</v>
      </c>
      <c r="L2" s="25" t="s">
        <v>906</v>
      </c>
      <c r="M2" s="25" t="s">
        <v>909</v>
      </c>
      <c r="N2" s="55" t="s">
        <v>907</v>
      </c>
      <c r="O2" s="7" t="s">
        <v>39</v>
      </c>
    </row>
    <row r="3" spans="1:15" x14ac:dyDescent="0.35">
      <c r="A3" s="88">
        <v>1400001110</v>
      </c>
      <c r="B3" s="27" t="s">
        <v>6</v>
      </c>
      <c r="C3" s="28">
        <v>45902</v>
      </c>
      <c r="D3" s="27" t="s">
        <v>41</v>
      </c>
      <c r="E3" s="27" t="s">
        <v>42</v>
      </c>
      <c r="F3" s="30">
        <v>603848.88</v>
      </c>
      <c r="G3" s="71">
        <f t="shared" ref="G3:G4" si="0">F3/87</f>
        <v>6940.7917241379309</v>
      </c>
      <c r="H3" s="27" t="s">
        <v>42</v>
      </c>
      <c r="I3" s="30">
        <v>595243.31000000006</v>
      </c>
      <c r="J3" s="30" t="e" cm="1">
        <f t="array" ref="J3">_xlfn.XLOOKUP(D3,'Customer Data Vlookup'!$L:$L,'Customer Data Vlookup'!$M:$N,,0)</f>
        <v>#N/A</v>
      </c>
      <c r="K3" s="30"/>
      <c r="L3" s="30"/>
      <c r="M3" s="30"/>
      <c r="N3" s="56"/>
      <c r="O3" s="27" t="s">
        <v>41</v>
      </c>
    </row>
    <row r="4" spans="1:15" x14ac:dyDescent="0.35">
      <c r="A4" s="88">
        <v>1400001110</v>
      </c>
      <c r="B4" s="27" t="s">
        <v>6</v>
      </c>
      <c r="C4" s="28">
        <v>45902</v>
      </c>
      <c r="D4" s="27" t="s">
        <v>41</v>
      </c>
      <c r="E4" s="27" t="s">
        <v>42</v>
      </c>
      <c r="F4" s="30">
        <v>-603848.88</v>
      </c>
      <c r="G4" s="71">
        <f t="shared" si="0"/>
        <v>-6940.7917241379309</v>
      </c>
      <c r="H4" s="27" t="s">
        <v>42</v>
      </c>
      <c r="I4" s="30">
        <v>-599760.56000000006</v>
      </c>
      <c r="J4" s="30" t="e" cm="1">
        <f t="array" ref="J4">_xlfn.XLOOKUP(D4,'Customer Data Vlookup'!$L:$L,'Customer Data Vlookup'!$M:$N,,0)</f>
        <v>#N/A</v>
      </c>
      <c r="K4" s="30"/>
      <c r="L4" s="30"/>
      <c r="M4" s="30"/>
      <c r="N4" s="56"/>
      <c r="O4" s="27" t="s">
        <v>41</v>
      </c>
    </row>
    <row r="5" spans="1:15" x14ac:dyDescent="0.35">
      <c r="A5" s="88">
        <v>1400000854</v>
      </c>
      <c r="B5" s="27" t="s">
        <v>7</v>
      </c>
      <c r="C5" s="28">
        <v>45887</v>
      </c>
      <c r="D5" s="27" t="s">
        <v>41</v>
      </c>
      <c r="E5" s="27" t="s">
        <v>46</v>
      </c>
      <c r="F5" s="30">
        <v>-700.45</v>
      </c>
      <c r="G5" s="30">
        <f>F5</f>
        <v>-700.45</v>
      </c>
      <c r="H5" s="27" t="s">
        <v>42</v>
      </c>
      <c r="I5" s="30">
        <v>-60884.42</v>
      </c>
      <c r="J5" s="30" t="e" cm="1">
        <f t="array" ref="J5">_xlfn.XLOOKUP(D5,'Customer Data Vlookup'!$L:$L,'Customer Data Vlookup'!$M:$N,,0)</f>
        <v>#N/A</v>
      </c>
      <c r="K5" s="30"/>
      <c r="L5" s="30"/>
      <c r="M5" s="30"/>
      <c r="N5" s="56"/>
      <c r="O5" s="27" t="s">
        <v>41</v>
      </c>
    </row>
    <row r="6" spans="1:15" x14ac:dyDescent="0.35">
      <c r="A6" s="88">
        <v>1400001231</v>
      </c>
      <c r="B6" s="27" t="s">
        <v>7</v>
      </c>
      <c r="C6" s="28">
        <v>45931</v>
      </c>
      <c r="D6" s="27" t="s">
        <v>41</v>
      </c>
      <c r="E6" s="27" t="s">
        <v>46</v>
      </c>
      <c r="F6" s="30">
        <v>-4719.25</v>
      </c>
      <c r="G6" s="30">
        <f t="shared" ref="G6:G26" si="1">F6</f>
        <v>-4719.25</v>
      </c>
      <c r="H6" s="27" t="s">
        <v>42</v>
      </c>
      <c r="I6" s="30">
        <v>-413002</v>
      </c>
      <c r="J6" s="30" t="e" cm="1">
        <f t="array" ref="J6">_xlfn.XLOOKUP(D6,'Customer Data Vlookup'!$L:$L,'Customer Data Vlookup'!$M:$N,,0)</f>
        <v>#N/A</v>
      </c>
      <c r="K6" s="30"/>
      <c r="L6" s="30"/>
      <c r="M6" s="30"/>
      <c r="N6" s="56"/>
      <c r="O6" s="27" t="s">
        <v>41</v>
      </c>
    </row>
    <row r="7" spans="1:15" x14ac:dyDescent="0.35">
      <c r="A7" s="88">
        <v>1400000977</v>
      </c>
      <c r="B7" s="27" t="s">
        <v>7</v>
      </c>
      <c r="C7" s="28">
        <v>45890</v>
      </c>
      <c r="D7" s="27" t="s">
        <v>41</v>
      </c>
      <c r="E7" s="27" t="s">
        <v>46</v>
      </c>
      <c r="F7" s="30">
        <v>-3663.7</v>
      </c>
      <c r="G7" s="30">
        <f t="shared" si="1"/>
        <v>-3663.7</v>
      </c>
      <c r="H7" s="27" t="s">
        <v>42</v>
      </c>
      <c r="I7" s="30">
        <v>-313212.57</v>
      </c>
      <c r="J7" s="30" t="e" cm="1">
        <f t="array" ref="J7">_xlfn.XLOOKUP(D7,'Customer Data Vlookup'!$L:$L,'Customer Data Vlookup'!$M:$N,,0)</f>
        <v>#N/A</v>
      </c>
      <c r="K7" s="30"/>
      <c r="L7" s="30"/>
      <c r="M7" s="30"/>
      <c r="N7" s="56"/>
      <c r="O7" s="27" t="s">
        <v>41</v>
      </c>
    </row>
    <row r="8" spans="1:15" x14ac:dyDescent="0.35">
      <c r="A8" s="88">
        <v>1400000990</v>
      </c>
      <c r="B8" s="27" t="s">
        <v>7</v>
      </c>
      <c r="C8" s="28">
        <v>45890</v>
      </c>
      <c r="D8" s="27" t="s">
        <v>41</v>
      </c>
      <c r="E8" s="27" t="s">
        <v>46</v>
      </c>
      <c r="F8" s="30">
        <v>-3777.49</v>
      </c>
      <c r="G8" s="30">
        <f t="shared" si="1"/>
        <v>-3777.49</v>
      </c>
      <c r="H8" s="27" t="s">
        <v>42</v>
      </c>
      <c r="I8" s="30">
        <v>-324866.67</v>
      </c>
      <c r="J8" s="30" t="e" cm="1">
        <f t="array" ref="J8">_xlfn.XLOOKUP(D8,'Customer Data Vlookup'!$L:$L,'Customer Data Vlookup'!$M:$N,,0)</f>
        <v>#N/A</v>
      </c>
      <c r="K8" s="30"/>
      <c r="L8" s="30"/>
      <c r="M8" s="30"/>
      <c r="N8" s="56"/>
      <c r="O8" s="27" t="s">
        <v>41</v>
      </c>
    </row>
    <row r="9" spans="1:15" x14ac:dyDescent="0.35">
      <c r="A9" s="89">
        <v>1400000126</v>
      </c>
      <c r="B9" s="51" t="s">
        <v>7</v>
      </c>
      <c r="C9" s="52">
        <v>45832</v>
      </c>
      <c r="D9" s="51" t="s">
        <v>41</v>
      </c>
      <c r="E9" s="51" t="s">
        <v>46</v>
      </c>
      <c r="F9" s="53">
        <v>-3663.7</v>
      </c>
      <c r="G9" s="30">
        <f t="shared" si="1"/>
        <v>-3663.7</v>
      </c>
      <c r="H9" s="51" t="s">
        <v>42</v>
      </c>
      <c r="I9" s="53">
        <v>-3663.7</v>
      </c>
      <c r="J9" s="30" t="e" cm="1">
        <f t="array" ref="J9">_xlfn.XLOOKUP(D9,'Customer Data Vlookup'!$L:$L,'Customer Data Vlookup'!$M:$N,,0)</f>
        <v>#N/A</v>
      </c>
      <c r="K9" s="53"/>
      <c r="L9" s="53"/>
      <c r="M9" s="53"/>
      <c r="N9" s="57"/>
      <c r="O9" s="51" t="s">
        <v>41</v>
      </c>
    </row>
    <row r="10" spans="1:15" x14ac:dyDescent="0.35">
      <c r="A10" s="89">
        <v>1400000127</v>
      </c>
      <c r="B10" s="51" t="s">
        <v>7</v>
      </c>
      <c r="C10" s="52">
        <v>45832</v>
      </c>
      <c r="D10" s="51" t="s">
        <v>41</v>
      </c>
      <c r="E10" s="51" t="s">
        <v>46</v>
      </c>
      <c r="F10" s="53">
        <v>-3508.06</v>
      </c>
      <c r="G10" s="30">
        <f t="shared" si="1"/>
        <v>-3508.06</v>
      </c>
      <c r="H10" s="51" t="s">
        <v>42</v>
      </c>
      <c r="I10" s="53">
        <v>-3508.06</v>
      </c>
      <c r="J10" s="30" t="e" cm="1">
        <f t="array" ref="J10">_xlfn.XLOOKUP(D10,'Customer Data Vlookup'!$L:$L,'Customer Data Vlookup'!$M:$N,,0)</f>
        <v>#N/A</v>
      </c>
      <c r="K10" s="53"/>
      <c r="L10" s="53"/>
      <c r="M10" s="53"/>
      <c r="N10" s="57"/>
      <c r="O10" s="51" t="s">
        <v>41</v>
      </c>
    </row>
    <row r="11" spans="1:15" x14ac:dyDescent="0.35">
      <c r="A11" s="89">
        <v>1400000128</v>
      </c>
      <c r="B11" s="51" t="s">
        <v>7</v>
      </c>
      <c r="C11" s="52">
        <v>45832</v>
      </c>
      <c r="D11" s="51" t="s">
        <v>41</v>
      </c>
      <c r="E11" s="51" t="s">
        <v>46</v>
      </c>
      <c r="F11" s="53">
        <v>-3145.98</v>
      </c>
      <c r="G11" s="30">
        <f t="shared" si="1"/>
        <v>-3145.98</v>
      </c>
      <c r="H11" s="51" t="s">
        <v>42</v>
      </c>
      <c r="I11" s="53">
        <v>-3145.98</v>
      </c>
      <c r="J11" s="30" t="e" cm="1">
        <f t="array" ref="J11">_xlfn.XLOOKUP(D11,'Customer Data Vlookup'!$L:$L,'Customer Data Vlookup'!$M:$N,,0)</f>
        <v>#N/A</v>
      </c>
      <c r="K11" s="53"/>
      <c r="L11" s="53"/>
      <c r="M11" s="53"/>
      <c r="N11" s="57"/>
      <c r="O11" s="51" t="s">
        <v>41</v>
      </c>
    </row>
    <row r="12" spans="1:15" x14ac:dyDescent="0.35">
      <c r="A12" s="89">
        <v>1400000133</v>
      </c>
      <c r="B12" s="51" t="s">
        <v>7</v>
      </c>
      <c r="C12" s="52">
        <v>45832</v>
      </c>
      <c r="D12" s="51" t="s">
        <v>41</v>
      </c>
      <c r="E12" s="51" t="s">
        <v>46</v>
      </c>
      <c r="F12" s="53">
        <v>-12549.36</v>
      </c>
      <c r="G12" s="30">
        <f t="shared" si="1"/>
        <v>-12549.36</v>
      </c>
      <c r="H12" s="51" t="s">
        <v>42</v>
      </c>
      <c r="I12" s="53">
        <v>-12549.36</v>
      </c>
      <c r="J12" s="30" t="e" cm="1">
        <f t="array" ref="J12">_xlfn.XLOOKUP(D12,'Customer Data Vlookup'!$L:$L,'Customer Data Vlookup'!$M:$N,,0)</f>
        <v>#N/A</v>
      </c>
      <c r="K12" s="53"/>
      <c r="L12" s="53"/>
      <c r="M12" s="53"/>
      <c r="N12" s="57"/>
      <c r="O12" s="51" t="s">
        <v>41</v>
      </c>
    </row>
    <row r="13" spans="1:15" x14ac:dyDescent="0.35">
      <c r="A13" s="89">
        <v>1400000134</v>
      </c>
      <c r="B13" s="51" t="s">
        <v>7</v>
      </c>
      <c r="C13" s="52">
        <v>45832</v>
      </c>
      <c r="D13" s="51" t="s">
        <v>41</v>
      </c>
      <c r="E13" s="51" t="s">
        <v>46</v>
      </c>
      <c r="F13" s="53">
        <v>-4228.22</v>
      </c>
      <c r="G13" s="30">
        <f t="shared" si="1"/>
        <v>-4228.22</v>
      </c>
      <c r="H13" s="51" t="s">
        <v>42</v>
      </c>
      <c r="I13" s="53">
        <v>-4228.22</v>
      </c>
      <c r="J13" s="30" t="e" cm="1">
        <f t="array" ref="J13">_xlfn.XLOOKUP(D13,'Customer Data Vlookup'!$L:$L,'Customer Data Vlookup'!$M:$N,,0)</f>
        <v>#N/A</v>
      </c>
      <c r="K13" s="53"/>
      <c r="L13" s="53"/>
      <c r="M13" s="53"/>
      <c r="N13" s="57"/>
      <c r="O13" s="51" t="s">
        <v>41</v>
      </c>
    </row>
    <row r="14" spans="1:15" x14ac:dyDescent="0.35">
      <c r="A14" s="89">
        <v>1400000149</v>
      </c>
      <c r="B14" s="51" t="s">
        <v>7</v>
      </c>
      <c r="C14" s="52">
        <v>45832</v>
      </c>
      <c r="D14" s="51" t="s">
        <v>41</v>
      </c>
      <c r="E14" s="51" t="s">
        <v>46</v>
      </c>
      <c r="F14" s="53">
        <v>3663.7</v>
      </c>
      <c r="G14" s="30">
        <f t="shared" si="1"/>
        <v>3663.7</v>
      </c>
      <c r="H14" s="51" t="s">
        <v>42</v>
      </c>
      <c r="I14" s="53">
        <v>3663.7</v>
      </c>
      <c r="J14" s="30" t="e" cm="1">
        <f t="array" ref="J14">_xlfn.XLOOKUP(D14,'Customer Data Vlookup'!$L:$L,'Customer Data Vlookup'!$M:$N,,0)</f>
        <v>#N/A</v>
      </c>
      <c r="K14" s="53"/>
      <c r="L14" s="53"/>
      <c r="M14" s="53"/>
      <c r="N14" s="57"/>
      <c r="O14" s="51" t="s">
        <v>41</v>
      </c>
    </row>
    <row r="15" spans="1:15" x14ac:dyDescent="0.35">
      <c r="A15" s="89">
        <v>1400000854</v>
      </c>
      <c r="B15" s="51" t="s">
        <v>7</v>
      </c>
      <c r="C15" s="52">
        <v>45887</v>
      </c>
      <c r="D15" s="51" t="s">
        <v>41</v>
      </c>
      <c r="E15" s="51" t="s">
        <v>46</v>
      </c>
      <c r="F15" s="53">
        <v>-4437.8999999999996</v>
      </c>
      <c r="G15" s="30">
        <f t="shared" si="1"/>
        <v>-4437.8999999999996</v>
      </c>
      <c r="H15" s="51" t="s">
        <v>42</v>
      </c>
      <c r="I15" s="53">
        <v>-383425.92</v>
      </c>
      <c r="J15" s="30" t="e" cm="1">
        <f t="array" ref="J15">_xlfn.XLOOKUP(D15,'Customer Data Vlookup'!$L:$L,'Customer Data Vlookup'!$M:$N,,0)</f>
        <v>#N/A</v>
      </c>
      <c r="K15" s="53"/>
      <c r="L15" s="53"/>
      <c r="M15" s="53"/>
      <c r="N15" s="57"/>
      <c r="O15" s="51" t="s">
        <v>41</v>
      </c>
    </row>
    <row r="16" spans="1:15" x14ac:dyDescent="0.35">
      <c r="A16" s="88">
        <v>1400000864</v>
      </c>
      <c r="B16" s="27" t="s">
        <v>7</v>
      </c>
      <c r="C16" s="28">
        <v>45888</v>
      </c>
      <c r="D16" s="27" t="s">
        <v>41</v>
      </c>
      <c r="E16" s="27" t="s">
        <v>46</v>
      </c>
      <c r="F16" s="30">
        <v>-1102.02</v>
      </c>
      <c r="G16" s="30">
        <f t="shared" si="1"/>
        <v>-1102.02</v>
      </c>
      <c r="H16" s="27" t="s">
        <v>42</v>
      </c>
      <c r="I16" s="30">
        <v>-94695.18</v>
      </c>
      <c r="J16" s="30" t="e" cm="1">
        <f t="array" ref="J16">_xlfn.XLOOKUP(D16,'Customer Data Vlookup'!$L:$L,'Customer Data Vlookup'!$M:$N,,0)</f>
        <v>#N/A</v>
      </c>
      <c r="K16" s="30"/>
      <c r="L16" s="30"/>
      <c r="M16" s="30"/>
      <c r="N16" s="56"/>
      <c r="O16" s="27" t="s">
        <v>57</v>
      </c>
    </row>
    <row r="17" spans="1:15" x14ac:dyDescent="0.35">
      <c r="A17" s="88">
        <v>1400001221</v>
      </c>
      <c r="B17" s="27" t="s">
        <v>7</v>
      </c>
      <c r="C17" s="28">
        <v>45924</v>
      </c>
      <c r="D17" s="27" t="s">
        <v>41</v>
      </c>
      <c r="E17" s="27" t="s">
        <v>46</v>
      </c>
      <c r="F17" s="30">
        <v>-2932.84</v>
      </c>
      <c r="G17" s="30">
        <f t="shared" si="1"/>
        <v>-2932.84</v>
      </c>
      <c r="H17" s="27" t="s">
        <v>42</v>
      </c>
      <c r="I17" s="30">
        <v>-256665.53</v>
      </c>
      <c r="J17" s="30" t="e" cm="1">
        <f t="array" ref="J17">_xlfn.XLOOKUP(D17,'Customer Data Vlookup'!$L:$L,'Customer Data Vlookup'!$M:$N,,0)</f>
        <v>#N/A</v>
      </c>
      <c r="K17" s="30"/>
      <c r="L17" s="30"/>
      <c r="M17" s="30"/>
      <c r="N17" s="56"/>
      <c r="O17" s="27" t="s">
        <v>41</v>
      </c>
    </row>
    <row r="18" spans="1:15" x14ac:dyDescent="0.35">
      <c r="A18" s="88">
        <v>1400001598</v>
      </c>
      <c r="B18" s="27" t="s">
        <v>7</v>
      </c>
      <c r="C18" s="28">
        <v>45964</v>
      </c>
      <c r="D18" s="27" t="s">
        <v>41</v>
      </c>
      <c r="E18" s="27" t="s">
        <v>46</v>
      </c>
      <c r="F18" s="30">
        <v>-1731.27</v>
      </c>
      <c r="G18" s="30">
        <f t="shared" si="1"/>
        <v>-1731.27</v>
      </c>
      <c r="H18" s="27" t="s">
        <v>42</v>
      </c>
      <c r="I18" s="30">
        <v>-152682.03</v>
      </c>
      <c r="J18" s="30" t="e" cm="1">
        <f t="array" ref="J18">_xlfn.XLOOKUP(D18,'Customer Data Vlookup'!$L:$L,'Customer Data Vlookup'!$M:$N,,0)</f>
        <v>#N/A</v>
      </c>
      <c r="K18" s="30"/>
      <c r="L18" s="30"/>
      <c r="M18" s="30"/>
      <c r="N18" s="56"/>
      <c r="O18" s="27" t="s">
        <v>41</v>
      </c>
    </row>
    <row r="19" spans="1:15" x14ac:dyDescent="0.35">
      <c r="A19" s="88">
        <v>1400001618</v>
      </c>
      <c r="B19" s="27" t="s">
        <v>7</v>
      </c>
      <c r="C19" s="28">
        <v>45972</v>
      </c>
      <c r="D19" s="27" t="s">
        <v>41</v>
      </c>
      <c r="E19" s="27" t="s">
        <v>46</v>
      </c>
      <c r="F19" s="30">
        <v>-1968.44</v>
      </c>
      <c r="G19" s="30">
        <f t="shared" si="1"/>
        <v>-1968.44</v>
      </c>
      <c r="H19" s="27" t="s">
        <v>42</v>
      </c>
      <c r="I19" s="30">
        <v>-173229.39</v>
      </c>
      <c r="J19" s="30" t="e" cm="1">
        <f t="array" ref="J19">_xlfn.XLOOKUP(D19,'Customer Data Vlookup'!$L:$L,'Customer Data Vlookup'!$M:$N,,0)</f>
        <v>#N/A</v>
      </c>
      <c r="K19" s="30"/>
      <c r="L19" s="30"/>
      <c r="M19" s="30"/>
      <c r="N19" s="56"/>
      <c r="O19" s="27" t="s">
        <v>41</v>
      </c>
    </row>
    <row r="20" spans="1:15" x14ac:dyDescent="0.35">
      <c r="A20" s="88">
        <v>1400001620</v>
      </c>
      <c r="B20" s="27" t="s">
        <v>7</v>
      </c>
      <c r="C20" s="28">
        <v>45972</v>
      </c>
      <c r="D20" s="27" t="s">
        <v>41</v>
      </c>
      <c r="E20" s="27" t="s">
        <v>46</v>
      </c>
      <c r="F20" s="30">
        <v>-8339.84</v>
      </c>
      <c r="G20" s="30">
        <f t="shared" si="1"/>
        <v>-8339.84</v>
      </c>
      <c r="H20" s="27" t="s">
        <v>42</v>
      </c>
      <c r="I20" s="30">
        <v>-729855.51</v>
      </c>
      <c r="J20" s="30" t="e" cm="1">
        <f t="array" ref="J20">_xlfn.XLOOKUP(D20,'Customer Data Vlookup'!$L:$L,'Customer Data Vlookup'!$M:$N,,0)</f>
        <v>#N/A</v>
      </c>
      <c r="K20" s="30"/>
      <c r="L20" s="30"/>
      <c r="M20" s="30"/>
      <c r="N20" s="56"/>
      <c r="O20" s="27" t="s">
        <v>41</v>
      </c>
    </row>
    <row r="21" spans="1:15" x14ac:dyDescent="0.35">
      <c r="A21" s="88">
        <v>1400001622</v>
      </c>
      <c r="B21" s="27" t="s">
        <v>7</v>
      </c>
      <c r="C21" s="28">
        <v>45972</v>
      </c>
      <c r="D21" s="27" t="s">
        <v>41</v>
      </c>
      <c r="E21" s="27" t="s">
        <v>46</v>
      </c>
      <c r="F21" s="30">
        <v>-10455.66</v>
      </c>
      <c r="G21" s="30">
        <f t="shared" si="1"/>
        <v>-10455.66</v>
      </c>
      <c r="H21" s="27" t="s">
        <v>42</v>
      </c>
      <c r="I21" s="30">
        <v>-920133.52</v>
      </c>
      <c r="J21" s="30" t="e" cm="1">
        <f t="array" ref="J21">_xlfn.XLOOKUP(D21,'Customer Data Vlookup'!$L:$L,'Customer Data Vlookup'!$M:$N,,0)</f>
        <v>#N/A</v>
      </c>
      <c r="K21" s="30"/>
      <c r="L21" s="30"/>
      <c r="M21" s="30"/>
      <c r="N21" s="56"/>
      <c r="O21" s="27" t="s">
        <v>41</v>
      </c>
    </row>
    <row r="22" spans="1:15" x14ac:dyDescent="0.35">
      <c r="A22" s="88">
        <v>1400000213</v>
      </c>
      <c r="B22" s="27" t="s">
        <v>6</v>
      </c>
      <c r="C22" s="28">
        <v>45842</v>
      </c>
      <c r="D22" s="27" t="s">
        <v>64</v>
      </c>
      <c r="E22" s="27" t="s">
        <v>46</v>
      </c>
      <c r="F22" s="30">
        <v>0</v>
      </c>
      <c r="G22" s="30">
        <f t="shared" si="1"/>
        <v>0</v>
      </c>
      <c r="H22" s="27" t="s">
        <v>42</v>
      </c>
      <c r="I22" s="30">
        <v>0</v>
      </c>
      <c r="J22" s="30" t="e" cm="1">
        <f t="array" ref="J22">_xlfn.XLOOKUP(D22,'Customer Data Vlookup'!$L:$L,'Customer Data Vlookup'!$M:$N,,0)</f>
        <v>#N/A</v>
      </c>
      <c r="K22" s="30"/>
      <c r="L22" s="30"/>
      <c r="M22" s="30"/>
      <c r="N22" s="56"/>
      <c r="O22" s="27" t="s">
        <v>41</v>
      </c>
    </row>
    <row r="23" spans="1:15" x14ac:dyDescent="0.35">
      <c r="A23" s="88">
        <v>1400000214</v>
      </c>
      <c r="B23" s="27" t="s">
        <v>6</v>
      </c>
      <c r="C23" s="28">
        <v>45842</v>
      </c>
      <c r="D23" s="27" t="s">
        <v>64</v>
      </c>
      <c r="E23" s="27" t="s">
        <v>46</v>
      </c>
      <c r="F23" s="30">
        <v>1166.5899999999999</v>
      </c>
      <c r="G23" s="30">
        <f t="shared" si="1"/>
        <v>1166.5899999999999</v>
      </c>
      <c r="H23" s="27" t="s">
        <v>42</v>
      </c>
      <c r="I23" s="30">
        <v>101402.13</v>
      </c>
      <c r="J23" s="30" t="e" cm="1">
        <f t="array" ref="J23">_xlfn.XLOOKUP(D23,'Customer Data Vlookup'!$L:$L,'Customer Data Vlookup'!$M:$N,,0)</f>
        <v>#N/A</v>
      </c>
      <c r="K23" s="30"/>
      <c r="L23" s="30"/>
      <c r="M23" s="30"/>
      <c r="N23" s="56"/>
      <c r="O23" s="27" t="s">
        <v>41</v>
      </c>
    </row>
    <row r="24" spans="1:15" x14ac:dyDescent="0.35">
      <c r="A24" s="88">
        <v>1400000214</v>
      </c>
      <c r="B24" s="27" t="s">
        <v>6</v>
      </c>
      <c r="C24" s="28">
        <v>45842</v>
      </c>
      <c r="D24" s="27" t="s">
        <v>64</v>
      </c>
      <c r="E24" s="27" t="s">
        <v>46</v>
      </c>
      <c r="F24" s="30">
        <v>-1166.5899999999999</v>
      </c>
      <c r="G24" s="30">
        <f t="shared" si="1"/>
        <v>-1166.5899999999999</v>
      </c>
      <c r="H24" s="27" t="s">
        <v>42</v>
      </c>
      <c r="I24" s="30">
        <v>-101402.13</v>
      </c>
      <c r="J24" s="30" t="e" cm="1">
        <f t="array" ref="J24">_xlfn.XLOOKUP(D24,'Customer Data Vlookup'!$L:$L,'Customer Data Vlookup'!$M:$N,,0)</f>
        <v>#N/A</v>
      </c>
      <c r="K24" s="30"/>
      <c r="L24" s="30"/>
      <c r="M24" s="30"/>
      <c r="N24" s="56"/>
      <c r="O24" s="27" t="s">
        <v>41</v>
      </c>
    </row>
    <row r="25" spans="1:15" x14ac:dyDescent="0.35">
      <c r="A25" s="88">
        <v>1400000215</v>
      </c>
      <c r="B25" s="27" t="s">
        <v>6</v>
      </c>
      <c r="C25" s="28">
        <v>45842</v>
      </c>
      <c r="D25" s="27" t="s">
        <v>64</v>
      </c>
      <c r="E25" s="27" t="s">
        <v>46</v>
      </c>
      <c r="F25" s="30">
        <v>1143.1199999999999</v>
      </c>
      <c r="G25" s="30">
        <f t="shared" si="1"/>
        <v>1143.1199999999999</v>
      </c>
      <c r="H25" s="27" t="s">
        <v>42</v>
      </c>
      <c r="I25" s="30">
        <v>99362.07</v>
      </c>
      <c r="J25" s="30" t="e" cm="1">
        <f t="array" ref="J25">_xlfn.XLOOKUP(D25,'Customer Data Vlookup'!$L:$L,'Customer Data Vlookup'!$M:$N,,0)</f>
        <v>#N/A</v>
      </c>
      <c r="K25" s="30"/>
      <c r="L25" s="30"/>
      <c r="M25" s="30"/>
      <c r="N25" s="56"/>
      <c r="O25" s="27" t="s">
        <v>41</v>
      </c>
    </row>
    <row r="26" spans="1:15" x14ac:dyDescent="0.35">
      <c r="A26" s="88">
        <v>1400000215</v>
      </c>
      <c r="B26" s="27" t="s">
        <v>6</v>
      </c>
      <c r="C26" s="28">
        <v>45842</v>
      </c>
      <c r="D26" s="27" t="s">
        <v>64</v>
      </c>
      <c r="E26" s="27" t="s">
        <v>46</v>
      </c>
      <c r="F26" s="30">
        <v>-1143.1199999999999</v>
      </c>
      <c r="G26" s="30">
        <f t="shared" si="1"/>
        <v>-1143.1199999999999</v>
      </c>
      <c r="H26" s="27" t="s">
        <v>42</v>
      </c>
      <c r="I26" s="30">
        <v>-99362.07</v>
      </c>
      <c r="J26" s="30" t="e" cm="1">
        <f t="array" ref="J26">_xlfn.XLOOKUP(D26,'Customer Data Vlookup'!$L:$L,'Customer Data Vlookup'!$M:$N,,0)</f>
        <v>#N/A</v>
      </c>
      <c r="K26" s="30"/>
      <c r="L26" s="30"/>
      <c r="M26" s="30"/>
      <c r="N26" s="56"/>
      <c r="O26" s="27" t="s">
        <v>41</v>
      </c>
    </row>
    <row r="27" spans="1:15" x14ac:dyDescent="0.35">
      <c r="A27" s="88">
        <v>1800008260</v>
      </c>
      <c r="B27" s="27" t="s">
        <v>5</v>
      </c>
      <c r="C27" s="28">
        <v>45787</v>
      </c>
      <c r="D27" s="29">
        <v>256779413144</v>
      </c>
      <c r="E27" s="27" t="s">
        <v>42</v>
      </c>
      <c r="F27" s="30">
        <v>100000</v>
      </c>
      <c r="G27" s="30">
        <f>L27/0.9</f>
        <v>1163.0111111111112</v>
      </c>
      <c r="H27" s="27" t="s">
        <v>42</v>
      </c>
      <c r="I27" s="30">
        <v>100000</v>
      </c>
      <c r="J27" s="30" cm="1">
        <f t="array" ref="J27:K27">_xlfn.XLOOKUP(D27,'Customer Data Vlookup'!$L:$L,'Customer Data Vlookup'!$M:$N,,0)</f>
        <v>0</v>
      </c>
      <c r="K27" s="30">
        <v>1046.71</v>
      </c>
      <c r="L27" s="30">
        <f>K27-J27</f>
        <v>1046.71</v>
      </c>
      <c r="M27" s="30">
        <f>G27-L27</f>
        <v>116.30111111111114</v>
      </c>
      <c r="N27" s="56">
        <f>M27/G27</f>
        <v>0.10000000000000002</v>
      </c>
      <c r="O27" s="27" t="s">
        <v>68</v>
      </c>
    </row>
    <row r="28" spans="1:15" x14ac:dyDescent="0.35">
      <c r="A28" s="88">
        <v>1800009592</v>
      </c>
      <c r="B28" s="27" t="s">
        <v>5</v>
      </c>
      <c r="C28" s="28">
        <v>45818</v>
      </c>
      <c r="D28" s="29">
        <v>256779414356</v>
      </c>
      <c r="E28" s="27" t="s">
        <v>42</v>
      </c>
      <c r="F28" s="30">
        <v>100000</v>
      </c>
      <c r="G28" s="30">
        <f t="shared" ref="G28:G40" si="2">L28/0.9</f>
        <v>1169.72</v>
      </c>
      <c r="H28" s="27" t="s">
        <v>42</v>
      </c>
      <c r="I28" s="30">
        <v>100000</v>
      </c>
      <c r="J28" s="30" cm="1">
        <f t="array" ref="J28:K28">_xlfn.XLOOKUP(D28,'Customer Data Vlookup'!$L:$L,'Customer Data Vlookup'!$M:$N,,0)</f>
        <v>0</v>
      </c>
      <c r="K28" s="30">
        <v>1052.748</v>
      </c>
      <c r="L28" s="30">
        <f t="shared" ref="L28:L40" si="3">K28-J28</f>
        <v>1052.748</v>
      </c>
      <c r="M28" s="30">
        <f t="shared" ref="M28:M40" si="4">G28-L28</f>
        <v>116.97199999999998</v>
      </c>
      <c r="N28" s="56">
        <f t="shared" ref="N28:N40" si="5">M28/G28</f>
        <v>9.9999999999999978E-2</v>
      </c>
      <c r="O28" s="27" t="s">
        <v>70</v>
      </c>
    </row>
    <row r="29" spans="1:15" x14ac:dyDescent="0.35">
      <c r="A29" s="88">
        <v>1800010154</v>
      </c>
      <c r="B29" s="27" t="s">
        <v>5</v>
      </c>
      <c r="C29" s="28">
        <v>45842</v>
      </c>
      <c r="D29" s="29">
        <v>256779414914</v>
      </c>
      <c r="E29" s="27" t="s">
        <v>42</v>
      </c>
      <c r="F29" s="30">
        <v>100000</v>
      </c>
      <c r="G29" s="30">
        <f t="shared" si="2"/>
        <v>1162.78</v>
      </c>
      <c r="H29" s="27" t="s">
        <v>42</v>
      </c>
      <c r="I29" s="30">
        <v>100000</v>
      </c>
      <c r="J29" s="30" cm="1">
        <f t="array" ref="J29:K29">_xlfn.XLOOKUP(D29,'Customer Data Vlookup'!$L:$L,'Customer Data Vlookup'!$M:$N,,0)</f>
        <v>0</v>
      </c>
      <c r="K29" s="30">
        <v>1046.502</v>
      </c>
      <c r="L29" s="30">
        <f t="shared" si="3"/>
        <v>1046.502</v>
      </c>
      <c r="M29" s="30">
        <f t="shared" si="4"/>
        <v>116.27800000000002</v>
      </c>
      <c r="N29" s="56">
        <f t="shared" si="5"/>
        <v>0.10000000000000002</v>
      </c>
      <c r="O29" s="27" t="s">
        <v>72</v>
      </c>
    </row>
    <row r="30" spans="1:15" x14ac:dyDescent="0.35">
      <c r="A30" s="88">
        <v>1800011360</v>
      </c>
      <c r="B30" s="27" t="s">
        <v>5</v>
      </c>
      <c r="C30" s="28">
        <v>45870</v>
      </c>
      <c r="D30" s="29">
        <v>256779416026</v>
      </c>
      <c r="E30" s="27" t="s">
        <v>42</v>
      </c>
      <c r="F30" s="30">
        <v>100000</v>
      </c>
      <c r="G30" s="30">
        <f t="shared" si="2"/>
        <v>1162.377777777778</v>
      </c>
      <c r="H30" s="27" t="s">
        <v>42</v>
      </c>
      <c r="I30" s="30">
        <v>100000</v>
      </c>
      <c r="J30" s="30" cm="1">
        <f t="array" ref="J30:K30">_xlfn.XLOOKUP(D30,'Customer Data Vlookup'!$L:$L,'Customer Data Vlookup'!$M:$N,,0)</f>
        <v>0</v>
      </c>
      <c r="K30" s="30">
        <v>1046.1400000000001</v>
      </c>
      <c r="L30" s="30">
        <f t="shared" si="3"/>
        <v>1046.1400000000001</v>
      </c>
      <c r="M30" s="30">
        <f t="shared" si="4"/>
        <v>116.23777777777786</v>
      </c>
      <c r="N30" s="56">
        <f t="shared" si="5"/>
        <v>0.10000000000000006</v>
      </c>
      <c r="O30" s="27" t="s">
        <v>74</v>
      </c>
    </row>
    <row r="31" spans="1:15" x14ac:dyDescent="0.35">
      <c r="A31" s="88">
        <v>1800012712</v>
      </c>
      <c r="B31" s="27" t="s">
        <v>5</v>
      </c>
      <c r="C31" s="28">
        <v>45904</v>
      </c>
      <c r="D31" s="29">
        <v>256779417346</v>
      </c>
      <c r="E31" s="27" t="s">
        <v>42</v>
      </c>
      <c r="F31" s="30">
        <v>100000</v>
      </c>
      <c r="G31" s="30">
        <f t="shared" si="2"/>
        <v>1142.67</v>
      </c>
      <c r="H31" s="27" t="s">
        <v>42</v>
      </c>
      <c r="I31" s="30">
        <v>100000</v>
      </c>
      <c r="J31" s="30" cm="1">
        <f t="array" ref="J31:K31">_xlfn.XLOOKUP(D31,'Customer Data Vlookup'!$L:$L,'Customer Data Vlookup'!$M:$N,,0)</f>
        <v>0</v>
      </c>
      <c r="K31" s="30">
        <v>1028.403</v>
      </c>
      <c r="L31" s="30">
        <f t="shared" si="3"/>
        <v>1028.403</v>
      </c>
      <c r="M31" s="30">
        <f t="shared" si="4"/>
        <v>114.26700000000005</v>
      </c>
      <c r="N31" s="56">
        <f t="shared" si="5"/>
        <v>0.10000000000000003</v>
      </c>
      <c r="O31" s="27" t="s">
        <v>76</v>
      </c>
    </row>
    <row r="32" spans="1:15" x14ac:dyDescent="0.35">
      <c r="A32" s="88">
        <v>1800014235</v>
      </c>
      <c r="B32" s="27" t="s">
        <v>5</v>
      </c>
      <c r="C32" s="28">
        <v>45966</v>
      </c>
      <c r="D32" s="29">
        <v>256779418775</v>
      </c>
      <c r="E32" s="27" t="s">
        <v>42</v>
      </c>
      <c r="F32" s="30">
        <v>100000</v>
      </c>
      <c r="G32" s="30">
        <f t="shared" si="2"/>
        <v>1136.32</v>
      </c>
      <c r="H32" s="27" t="s">
        <v>42</v>
      </c>
      <c r="I32" s="30">
        <v>100000</v>
      </c>
      <c r="J32" s="30" cm="1">
        <f t="array" ref="J32:K32">_xlfn.XLOOKUP(D32,'Customer Data Vlookup'!$L:$L,'Customer Data Vlookup'!$M:$N,,0)</f>
        <v>0</v>
      </c>
      <c r="K32" s="30">
        <v>1022.688</v>
      </c>
      <c r="L32" s="30">
        <f t="shared" si="3"/>
        <v>1022.688</v>
      </c>
      <c r="M32" s="30">
        <f t="shared" si="4"/>
        <v>113.63199999999995</v>
      </c>
      <c r="N32" s="56">
        <f t="shared" si="5"/>
        <v>9.9999999999999964E-2</v>
      </c>
      <c r="O32" s="27" t="s">
        <v>78</v>
      </c>
    </row>
    <row r="33" spans="1:15" x14ac:dyDescent="0.35">
      <c r="A33" s="88">
        <v>1800015484</v>
      </c>
      <c r="B33" s="27" t="s">
        <v>5</v>
      </c>
      <c r="C33" s="28">
        <v>45995</v>
      </c>
      <c r="D33" s="29">
        <v>256779419968</v>
      </c>
      <c r="E33" s="27" t="s">
        <v>42</v>
      </c>
      <c r="F33" s="30">
        <v>100000</v>
      </c>
      <c r="G33" s="30">
        <f t="shared" si="2"/>
        <v>1127.3899999999999</v>
      </c>
      <c r="H33" s="27" t="s">
        <v>42</v>
      </c>
      <c r="I33" s="30">
        <v>100000</v>
      </c>
      <c r="J33" s="30" cm="1">
        <f t="array" ref="J33:K33">_xlfn.XLOOKUP(D33,'Customer Data Vlookup'!$L:$L,'Customer Data Vlookup'!$M:$N,,0)</f>
        <v>0</v>
      </c>
      <c r="K33" s="30">
        <v>1014.651</v>
      </c>
      <c r="L33" s="30">
        <f t="shared" si="3"/>
        <v>1014.651</v>
      </c>
      <c r="M33" s="30">
        <f t="shared" si="4"/>
        <v>112.73899999999992</v>
      </c>
      <c r="N33" s="56">
        <f t="shared" si="5"/>
        <v>9.9999999999999936E-2</v>
      </c>
      <c r="O33" s="27" t="s">
        <v>80</v>
      </c>
    </row>
    <row r="34" spans="1:15" x14ac:dyDescent="0.35">
      <c r="A34" s="88">
        <v>1800008261</v>
      </c>
      <c r="B34" s="27" t="s">
        <v>5</v>
      </c>
      <c r="C34" s="28">
        <v>45787</v>
      </c>
      <c r="D34" s="29">
        <v>256779413145</v>
      </c>
      <c r="E34" s="27" t="s">
        <v>42</v>
      </c>
      <c r="F34" s="30">
        <v>35000</v>
      </c>
      <c r="G34" s="30">
        <f t="shared" si="2"/>
        <v>407.05</v>
      </c>
      <c r="H34" s="27" t="s">
        <v>42</v>
      </c>
      <c r="I34" s="30">
        <v>35000</v>
      </c>
      <c r="J34" s="30" cm="1">
        <f t="array" ref="J34:K34">_xlfn.XLOOKUP(D34,'Customer Data Vlookup'!$L:$L,'Customer Data Vlookup'!$M:$N,,0)</f>
        <v>0</v>
      </c>
      <c r="K34" s="30">
        <v>366.34500000000003</v>
      </c>
      <c r="L34" s="30">
        <f t="shared" si="3"/>
        <v>366.34500000000003</v>
      </c>
      <c r="M34" s="30">
        <f t="shared" si="4"/>
        <v>40.704999999999984</v>
      </c>
      <c r="N34" s="56">
        <f t="shared" si="5"/>
        <v>9.9999999999999964E-2</v>
      </c>
      <c r="O34" s="27" t="s">
        <v>68</v>
      </c>
    </row>
    <row r="35" spans="1:15" x14ac:dyDescent="0.35">
      <c r="A35" s="88">
        <v>1800009593</v>
      </c>
      <c r="B35" s="27" t="s">
        <v>5</v>
      </c>
      <c r="C35" s="28">
        <v>45818</v>
      </c>
      <c r="D35" s="29">
        <v>256779414357</v>
      </c>
      <c r="E35" s="27" t="s">
        <v>42</v>
      </c>
      <c r="F35" s="30">
        <v>35000</v>
      </c>
      <c r="G35" s="30">
        <f t="shared" si="2"/>
        <v>409.4</v>
      </c>
      <c r="H35" s="27" t="s">
        <v>42</v>
      </c>
      <c r="I35" s="30">
        <v>35000</v>
      </c>
      <c r="J35" s="30" cm="1">
        <f t="array" ref="J35:K35">_xlfn.XLOOKUP(D35,'Customer Data Vlookup'!$L:$L,'Customer Data Vlookup'!$M:$N,,0)</f>
        <v>0</v>
      </c>
      <c r="K35" s="30">
        <v>368.46</v>
      </c>
      <c r="L35" s="30">
        <f t="shared" si="3"/>
        <v>368.46</v>
      </c>
      <c r="M35" s="30">
        <f t="shared" si="4"/>
        <v>40.94</v>
      </c>
      <c r="N35" s="56">
        <f t="shared" si="5"/>
        <v>0.1</v>
      </c>
      <c r="O35" s="27" t="s">
        <v>70</v>
      </c>
    </row>
    <row r="36" spans="1:15" x14ac:dyDescent="0.35">
      <c r="A36" s="88">
        <v>1800010155</v>
      </c>
      <c r="B36" s="27" t="s">
        <v>5</v>
      </c>
      <c r="C36" s="28">
        <v>45842</v>
      </c>
      <c r="D36" s="29">
        <v>256779414915</v>
      </c>
      <c r="E36" s="27" t="s">
        <v>42</v>
      </c>
      <c r="F36" s="30">
        <v>35000</v>
      </c>
      <c r="G36" s="30">
        <f t="shared" si="2"/>
        <v>443.14511111111108</v>
      </c>
      <c r="H36" s="27" t="s">
        <v>42</v>
      </c>
      <c r="I36" s="30">
        <v>35000</v>
      </c>
      <c r="J36" s="30" cm="1">
        <f t="array" ref="J36:K36">_xlfn.XLOOKUP(D36,'Customer Data Vlookup'!$L:$L,'Customer Data Vlookup'!$M:$N,,0)</f>
        <v>0</v>
      </c>
      <c r="K36" s="30">
        <v>398.8306</v>
      </c>
      <c r="L36" s="30">
        <f t="shared" si="3"/>
        <v>398.8306</v>
      </c>
      <c r="M36" s="30">
        <f t="shared" si="4"/>
        <v>44.314511111111074</v>
      </c>
      <c r="N36" s="56">
        <f t="shared" si="5"/>
        <v>9.9999999999999922E-2</v>
      </c>
      <c r="O36" s="27" t="s">
        <v>72</v>
      </c>
    </row>
    <row r="37" spans="1:15" x14ac:dyDescent="0.35">
      <c r="A37" s="88">
        <v>1800011361</v>
      </c>
      <c r="B37" s="27" t="s">
        <v>5</v>
      </c>
      <c r="C37" s="28">
        <v>45870</v>
      </c>
      <c r="D37" s="29">
        <v>256779416027</v>
      </c>
      <c r="E37" s="27" t="s">
        <v>42</v>
      </c>
      <c r="F37" s="30">
        <v>35000</v>
      </c>
      <c r="G37" s="30">
        <f t="shared" si="2"/>
        <v>442.98888888888888</v>
      </c>
      <c r="H37" s="27" t="s">
        <v>42</v>
      </c>
      <c r="I37" s="30">
        <v>35000</v>
      </c>
      <c r="J37" s="30" cm="1">
        <f t="array" ref="J37:K37">_xlfn.XLOOKUP(D37,'Customer Data Vlookup'!$L:$L,'Customer Data Vlookup'!$M:$N,,0)</f>
        <v>0</v>
      </c>
      <c r="K37" s="30">
        <v>398.69</v>
      </c>
      <c r="L37" s="30">
        <f t="shared" si="3"/>
        <v>398.69</v>
      </c>
      <c r="M37" s="30">
        <f t="shared" si="4"/>
        <v>44.298888888888882</v>
      </c>
      <c r="N37" s="56">
        <f t="shared" si="5"/>
        <v>9.9999999999999992E-2</v>
      </c>
      <c r="O37" s="27" t="s">
        <v>74</v>
      </c>
    </row>
    <row r="38" spans="1:15" x14ac:dyDescent="0.35">
      <c r="A38" s="88">
        <v>1800012713</v>
      </c>
      <c r="B38" s="27" t="s">
        <v>5</v>
      </c>
      <c r="C38" s="28">
        <v>45904</v>
      </c>
      <c r="D38" s="29">
        <v>256779417347</v>
      </c>
      <c r="E38" s="27" t="s">
        <v>42</v>
      </c>
      <c r="F38" s="30">
        <v>35000</v>
      </c>
      <c r="G38" s="30">
        <f t="shared" si="2"/>
        <v>399.93</v>
      </c>
      <c r="H38" s="27" t="s">
        <v>42</v>
      </c>
      <c r="I38" s="30">
        <v>35000</v>
      </c>
      <c r="J38" s="30" cm="1">
        <f t="array" ref="J38:K38">_xlfn.XLOOKUP(D38,'Customer Data Vlookup'!$L:$L,'Customer Data Vlookup'!$M:$N,,0)</f>
        <v>0</v>
      </c>
      <c r="K38" s="30">
        <v>359.93700000000001</v>
      </c>
      <c r="L38" s="30">
        <f t="shared" si="3"/>
        <v>359.93700000000001</v>
      </c>
      <c r="M38" s="30">
        <f t="shared" si="4"/>
        <v>39.992999999999995</v>
      </c>
      <c r="N38" s="56">
        <f t="shared" si="5"/>
        <v>9.9999999999999992E-2</v>
      </c>
      <c r="O38" s="27" t="s">
        <v>76</v>
      </c>
    </row>
    <row r="39" spans="1:15" x14ac:dyDescent="0.35">
      <c r="A39" s="88">
        <v>1800014236</v>
      </c>
      <c r="B39" s="27" t="s">
        <v>5</v>
      </c>
      <c r="C39" s="28">
        <v>45966</v>
      </c>
      <c r="D39" s="29">
        <v>256779418776</v>
      </c>
      <c r="E39" s="27" t="s">
        <v>42</v>
      </c>
      <c r="F39" s="30">
        <v>35000</v>
      </c>
      <c r="G39" s="30">
        <f t="shared" si="2"/>
        <v>433.06200000000001</v>
      </c>
      <c r="H39" s="27" t="s">
        <v>42</v>
      </c>
      <c r="I39" s="30">
        <v>35000</v>
      </c>
      <c r="J39" s="30" cm="1">
        <f t="array" ref="J39:K39">_xlfn.XLOOKUP(D39,'Customer Data Vlookup'!$L:$L,'Customer Data Vlookup'!$M:$N,,0)</f>
        <v>0</v>
      </c>
      <c r="K39" s="30">
        <v>389.75580000000002</v>
      </c>
      <c r="L39" s="30">
        <f t="shared" si="3"/>
        <v>389.75580000000002</v>
      </c>
      <c r="M39" s="30">
        <f t="shared" si="4"/>
        <v>43.30619999999999</v>
      </c>
      <c r="N39" s="56">
        <f t="shared" si="5"/>
        <v>9.9999999999999978E-2</v>
      </c>
      <c r="O39" s="27" t="s">
        <v>78</v>
      </c>
    </row>
    <row r="40" spans="1:15" x14ac:dyDescent="0.35">
      <c r="A40" s="88">
        <v>1800015485</v>
      </c>
      <c r="B40" s="27" t="s">
        <v>5</v>
      </c>
      <c r="C40" s="28">
        <v>45995</v>
      </c>
      <c r="D40" s="29">
        <v>256779419969</v>
      </c>
      <c r="E40" s="27" t="s">
        <v>42</v>
      </c>
      <c r="F40" s="30">
        <v>35000</v>
      </c>
      <c r="G40" s="30">
        <f t="shared" si="2"/>
        <v>429.66466666666662</v>
      </c>
      <c r="H40" s="27" t="s">
        <v>42</v>
      </c>
      <c r="I40" s="30">
        <v>35000</v>
      </c>
      <c r="J40" s="30" cm="1">
        <f t="array" ref="J40:K40">_xlfn.XLOOKUP(D40,'Customer Data Vlookup'!$L:$L,'Customer Data Vlookup'!$M:$N,,0)</f>
        <v>0</v>
      </c>
      <c r="K40" s="30">
        <v>386.69819999999999</v>
      </c>
      <c r="L40" s="30">
        <f t="shared" si="3"/>
        <v>386.69819999999999</v>
      </c>
      <c r="M40" s="30">
        <f t="shared" si="4"/>
        <v>42.966466666666634</v>
      </c>
      <c r="N40" s="56">
        <f t="shared" si="5"/>
        <v>9.9999999999999936E-2</v>
      </c>
      <c r="O40" s="27" t="s">
        <v>88</v>
      </c>
    </row>
    <row r="41" spans="1:15" x14ac:dyDescent="0.35">
      <c r="A41" s="88">
        <v>1600002145</v>
      </c>
      <c r="B41" s="27" t="s">
        <v>4</v>
      </c>
      <c r="C41" s="28">
        <v>45890</v>
      </c>
      <c r="D41" s="29">
        <v>256779421709</v>
      </c>
      <c r="E41" s="27" t="s">
        <v>42</v>
      </c>
      <c r="F41" s="30">
        <v>-200000</v>
      </c>
      <c r="G41" s="71">
        <f t="shared" ref="G41:G42" si="6">F41/87</f>
        <v>-2298.8505747126437</v>
      </c>
      <c r="H41" s="27" t="s">
        <v>42</v>
      </c>
      <c r="I41" s="30">
        <v>-200000</v>
      </c>
      <c r="J41" s="30" t="e" cm="1">
        <f t="array" ref="J41">_xlfn.XLOOKUP(D41,'Customer Data Vlookup'!$L:$L,'Customer Data Vlookup'!$M:$N,,0)</f>
        <v>#N/A</v>
      </c>
      <c r="K41" s="30"/>
      <c r="L41" s="30"/>
      <c r="M41" s="30"/>
      <c r="N41" s="56"/>
      <c r="O41" s="27" t="s">
        <v>90</v>
      </c>
    </row>
    <row r="42" spans="1:15" x14ac:dyDescent="0.35">
      <c r="A42" s="88">
        <v>1800012258</v>
      </c>
      <c r="B42" s="27" t="s">
        <v>5</v>
      </c>
      <c r="C42" s="28">
        <v>45883</v>
      </c>
      <c r="D42" s="29">
        <v>256779416887</v>
      </c>
      <c r="E42" s="27" t="s">
        <v>42</v>
      </c>
      <c r="F42" s="30">
        <v>200000</v>
      </c>
      <c r="G42" s="71">
        <f t="shared" si="6"/>
        <v>2298.8505747126437</v>
      </c>
      <c r="H42" s="27" t="s">
        <v>42</v>
      </c>
      <c r="I42" s="54">
        <v>200000</v>
      </c>
      <c r="J42" s="30" t="e" cm="1">
        <f t="array" ref="J42">_xlfn.XLOOKUP(D42,'Customer Data Vlookup'!$L:$L,'Customer Data Vlookup'!$M:$N,,0)</f>
        <v>#N/A</v>
      </c>
      <c r="K42" s="54"/>
      <c r="L42" s="54"/>
      <c r="M42" s="54"/>
      <c r="N42" s="56"/>
      <c r="O42" s="27" t="s">
        <v>92</v>
      </c>
    </row>
    <row r="43" spans="1:15" x14ac:dyDescent="0.35">
      <c r="A43" s="88">
        <v>1800002451</v>
      </c>
      <c r="B43" s="27" t="s">
        <v>5</v>
      </c>
      <c r="C43" s="28">
        <v>45733</v>
      </c>
      <c r="D43" s="29">
        <v>246779412116</v>
      </c>
      <c r="E43" s="27" t="s">
        <v>46</v>
      </c>
      <c r="F43" s="30">
        <v>100</v>
      </c>
      <c r="G43" s="30">
        <f t="shared" ref="G43:G106" si="7">F43</f>
        <v>100</v>
      </c>
      <c r="H43" s="27" t="s">
        <v>42</v>
      </c>
      <c r="I43" s="30">
        <v>8669.1299999999992</v>
      </c>
      <c r="J43" s="30" cm="1">
        <f t="array" ref="J43:K43">_xlfn.XLOOKUP(D43,'Customer Data Vlookup'!$L:$L,'Customer Data Vlookup'!$M:$N,,0)</f>
        <v>0</v>
      </c>
      <c r="K43" s="30">
        <v>98</v>
      </c>
      <c r="L43" s="30">
        <f t="shared" ref="L43:L51" si="8">K43-J43</f>
        <v>98</v>
      </c>
      <c r="M43" s="30">
        <f>F43-L43</f>
        <v>2</v>
      </c>
      <c r="N43" s="56">
        <f>M43/F43</f>
        <v>0.02</v>
      </c>
      <c r="O43" s="27" t="s">
        <v>94</v>
      </c>
    </row>
    <row r="44" spans="1:15" x14ac:dyDescent="0.35">
      <c r="A44" s="88">
        <v>1800002454</v>
      </c>
      <c r="B44" s="27" t="s">
        <v>5</v>
      </c>
      <c r="C44" s="28">
        <v>45733</v>
      </c>
      <c r="D44" s="29">
        <v>246779412119</v>
      </c>
      <c r="E44" s="27" t="s">
        <v>46</v>
      </c>
      <c r="F44" s="30">
        <v>100</v>
      </c>
      <c r="G44" s="30">
        <f t="shared" si="7"/>
        <v>100</v>
      </c>
      <c r="H44" s="27" t="s">
        <v>42</v>
      </c>
      <c r="I44" s="30">
        <v>8669.1299999999992</v>
      </c>
      <c r="J44" s="30" cm="1">
        <f t="array" ref="J44:K44">_xlfn.XLOOKUP(D44,'Customer Data Vlookup'!$L:$L,'Customer Data Vlookup'!$M:$N,,0)</f>
        <v>0</v>
      </c>
      <c r="K44" s="30">
        <v>98</v>
      </c>
      <c r="L44" s="30">
        <f t="shared" si="8"/>
        <v>98</v>
      </c>
      <c r="M44" s="30">
        <f t="shared" ref="M44:M51" si="9">F44-L44</f>
        <v>2</v>
      </c>
      <c r="N44" s="56">
        <f t="shared" ref="N44:N51" si="10">M44/F44</f>
        <v>0.02</v>
      </c>
      <c r="O44" s="27" t="s">
        <v>94</v>
      </c>
    </row>
    <row r="45" spans="1:15" x14ac:dyDescent="0.35">
      <c r="A45" s="88">
        <v>1800002456</v>
      </c>
      <c r="B45" s="27" t="s">
        <v>5</v>
      </c>
      <c r="C45" s="28">
        <v>45733</v>
      </c>
      <c r="D45" s="29">
        <v>246779412121</v>
      </c>
      <c r="E45" s="27" t="s">
        <v>46</v>
      </c>
      <c r="F45" s="30">
        <v>100</v>
      </c>
      <c r="G45" s="30">
        <f t="shared" si="7"/>
        <v>100</v>
      </c>
      <c r="H45" s="27" t="s">
        <v>42</v>
      </c>
      <c r="I45" s="30">
        <v>8669.1299999999992</v>
      </c>
      <c r="J45" s="30" cm="1">
        <f t="array" ref="J45:K45">_xlfn.XLOOKUP(D45,'Customer Data Vlookup'!$L:$L,'Customer Data Vlookup'!$M:$N,,0)</f>
        <v>0</v>
      </c>
      <c r="K45" s="30">
        <v>98</v>
      </c>
      <c r="L45" s="30">
        <f t="shared" si="8"/>
        <v>98</v>
      </c>
      <c r="M45" s="30">
        <f t="shared" si="9"/>
        <v>2</v>
      </c>
      <c r="N45" s="56">
        <f t="shared" si="10"/>
        <v>0.02</v>
      </c>
      <c r="O45" s="27" t="s">
        <v>94</v>
      </c>
    </row>
    <row r="46" spans="1:15" x14ac:dyDescent="0.35">
      <c r="A46" s="88">
        <v>1800008348</v>
      </c>
      <c r="B46" s="27" t="s">
        <v>5</v>
      </c>
      <c r="C46" s="28">
        <v>45787</v>
      </c>
      <c r="D46" s="29">
        <v>256779413231</v>
      </c>
      <c r="E46" s="27" t="s">
        <v>46</v>
      </c>
      <c r="F46" s="30">
        <v>100</v>
      </c>
      <c r="G46" s="30">
        <f t="shared" si="7"/>
        <v>100</v>
      </c>
      <c r="H46" s="27" t="s">
        <v>42</v>
      </c>
      <c r="I46" s="30">
        <v>8598.3700000000008</v>
      </c>
      <c r="J46" s="30" cm="1">
        <f t="array" ref="J46:K46">_xlfn.XLOOKUP(D46,'Customer Data Vlookup'!$L:$L,'Customer Data Vlookup'!$M:$N,,0)</f>
        <v>0</v>
      </c>
      <c r="K46" s="30">
        <v>98</v>
      </c>
      <c r="L46" s="30">
        <f t="shared" si="8"/>
        <v>98</v>
      </c>
      <c r="M46" s="30">
        <f t="shared" si="9"/>
        <v>2</v>
      </c>
      <c r="N46" s="56">
        <f t="shared" si="10"/>
        <v>0.02</v>
      </c>
      <c r="O46" s="27" t="s">
        <v>98</v>
      </c>
    </row>
    <row r="47" spans="1:15" x14ac:dyDescent="0.35">
      <c r="A47" s="88">
        <v>1800009077</v>
      </c>
      <c r="B47" s="27" t="s">
        <v>5</v>
      </c>
      <c r="C47" s="28">
        <v>45797</v>
      </c>
      <c r="D47" s="29">
        <v>256779413841</v>
      </c>
      <c r="E47" s="27" t="s">
        <v>46</v>
      </c>
      <c r="F47" s="30">
        <v>100</v>
      </c>
      <c r="G47" s="30">
        <f t="shared" si="7"/>
        <v>100</v>
      </c>
      <c r="H47" s="27" t="s">
        <v>42</v>
      </c>
      <c r="I47" s="30">
        <v>8598.3700000000008</v>
      </c>
      <c r="J47" s="30" cm="1">
        <f t="array" ref="J47:K47">_xlfn.XLOOKUP(D47,'Customer Data Vlookup'!$L:$L,'Customer Data Vlookup'!$M:$N,,0)</f>
        <v>0</v>
      </c>
      <c r="K47" s="30">
        <v>98</v>
      </c>
      <c r="L47" s="30">
        <f t="shared" si="8"/>
        <v>98</v>
      </c>
      <c r="M47" s="30">
        <f t="shared" si="9"/>
        <v>2</v>
      </c>
      <c r="N47" s="56">
        <f t="shared" si="10"/>
        <v>0.02</v>
      </c>
      <c r="O47" s="27" t="s">
        <v>100</v>
      </c>
    </row>
    <row r="48" spans="1:15" x14ac:dyDescent="0.35">
      <c r="A48" s="88">
        <v>1800009083</v>
      </c>
      <c r="B48" s="27" t="s">
        <v>5</v>
      </c>
      <c r="C48" s="28">
        <v>45797</v>
      </c>
      <c r="D48" s="29">
        <v>256779413847</v>
      </c>
      <c r="E48" s="27" t="s">
        <v>46</v>
      </c>
      <c r="F48" s="30">
        <v>100</v>
      </c>
      <c r="G48" s="30">
        <f t="shared" si="7"/>
        <v>100</v>
      </c>
      <c r="H48" s="27" t="s">
        <v>42</v>
      </c>
      <c r="I48" s="30">
        <v>8598.3700000000008</v>
      </c>
      <c r="J48" s="30" cm="1">
        <f t="array" ref="J48:K48">_xlfn.XLOOKUP(D48,'Customer Data Vlookup'!$L:$L,'Customer Data Vlookup'!$M:$N,,0)</f>
        <v>0</v>
      </c>
      <c r="K48" s="30">
        <v>98</v>
      </c>
      <c r="L48" s="30">
        <f t="shared" si="8"/>
        <v>98</v>
      </c>
      <c r="M48" s="30">
        <f t="shared" si="9"/>
        <v>2</v>
      </c>
      <c r="N48" s="56">
        <f t="shared" si="10"/>
        <v>0.02</v>
      </c>
      <c r="O48" s="27" t="s">
        <v>100</v>
      </c>
    </row>
    <row r="49" spans="1:15" x14ac:dyDescent="0.35">
      <c r="A49" s="88">
        <v>1800009084</v>
      </c>
      <c r="B49" s="27" t="s">
        <v>5</v>
      </c>
      <c r="C49" s="28">
        <v>45797</v>
      </c>
      <c r="D49" s="29">
        <v>256779413848</v>
      </c>
      <c r="E49" s="27" t="s">
        <v>46</v>
      </c>
      <c r="F49" s="30">
        <v>100</v>
      </c>
      <c r="G49" s="30">
        <f t="shared" si="7"/>
        <v>100</v>
      </c>
      <c r="H49" s="27" t="s">
        <v>42</v>
      </c>
      <c r="I49" s="30">
        <v>8598.3700000000008</v>
      </c>
      <c r="J49" s="30" cm="1">
        <f t="array" ref="J49:K49">_xlfn.XLOOKUP(D49,'Customer Data Vlookup'!$L:$L,'Customer Data Vlookup'!$M:$N,,0)</f>
        <v>0</v>
      </c>
      <c r="K49" s="30">
        <v>98</v>
      </c>
      <c r="L49" s="30">
        <f t="shared" si="8"/>
        <v>98</v>
      </c>
      <c r="M49" s="30">
        <f t="shared" si="9"/>
        <v>2</v>
      </c>
      <c r="N49" s="56">
        <f t="shared" si="10"/>
        <v>0.02</v>
      </c>
      <c r="O49" s="27" t="s">
        <v>100</v>
      </c>
    </row>
    <row r="50" spans="1:15" x14ac:dyDescent="0.35">
      <c r="A50" s="88">
        <v>1800011280</v>
      </c>
      <c r="B50" s="27" t="s">
        <v>5</v>
      </c>
      <c r="C50" s="28">
        <v>45863</v>
      </c>
      <c r="D50" s="29">
        <v>256779416012</v>
      </c>
      <c r="E50" s="27" t="s">
        <v>46</v>
      </c>
      <c r="F50" s="30">
        <v>100</v>
      </c>
      <c r="G50" s="30">
        <f t="shared" si="7"/>
        <v>100</v>
      </c>
      <c r="H50" s="27" t="s">
        <v>42</v>
      </c>
      <c r="I50" s="30">
        <v>8600.07</v>
      </c>
      <c r="J50" s="30" cm="1">
        <f t="array" ref="J50:K50">_xlfn.XLOOKUP(D50,'Customer Data Vlookup'!$L:$L,'Customer Data Vlookup'!$M:$N,,0)</f>
        <v>0</v>
      </c>
      <c r="K50" s="30">
        <v>98</v>
      </c>
      <c r="L50" s="30">
        <f t="shared" si="8"/>
        <v>98</v>
      </c>
      <c r="M50" s="30">
        <f t="shared" si="9"/>
        <v>2</v>
      </c>
      <c r="N50" s="56">
        <f t="shared" si="10"/>
        <v>0.02</v>
      </c>
      <c r="O50" s="27" t="s">
        <v>104</v>
      </c>
    </row>
    <row r="51" spans="1:15" x14ac:dyDescent="0.35">
      <c r="A51" s="88">
        <v>1800001850</v>
      </c>
      <c r="B51" s="27" t="s">
        <v>5</v>
      </c>
      <c r="C51" s="28">
        <v>45730</v>
      </c>
      <c r="D51" s="29">
        <v>246779411515</v>
      </c>
      <c r="E51" s="27" t="s">
        <v>46</v>
      </c>
      <c r="F51" s="30">
        <v>100</v>
      </c>
      <c r="G51" s="30">
        <f t="shared" si="7"/>
        <v>100</v>
      </c>
      <c r="H51" s="27" t="s">
        <v>42</v>
      </c>
      <c r="I51" s="30">
        <v>8669.1299999999992</v>
      </c>
      <c r="J51" s="30" cm="1">
        <f t="array" ref="J51:K51">_xlfn.XLOOKUP(D51,'Customer Data Vlookup'!$L:$L,'Customer Data Vlookup'!$M:$N,,0)</f>
        <v>0</v>
      </c>
      <c r="K51" s="30">
        <v>98</v>
      </c>
      <c r="L51" s="30">
        <f t="shared" si="8"/>
        <v>98</v>
      </c>
      <c r="M51" s="30">
        <f t="shared" si="9"/>
        <v>2</v>
      </c>
      <c r="N51" s="56">
        <f t="shared" si="10"/>
        <v>0.02</v>
      </c>
      <c r="O51" s="27" t="s">
        <v>106</v>
      </c>
    </row>
    <row r="52" spans="1:15" x14ac:dyDescent="0.35">
      <c r="A52" s="88">
        <v>1800009967</v>
      </c>
      <c r="B52" s="27" t="s">
        <v>5</v>
      </c>
      <c r="C52" s="28">
        <v>45827</v>
      </c>
      <c r="D52" s="29">
        <v>256779414731</v>
      </c>
      <c r="E52" s="27" t="s">
        <v>46</v>
      </c>
      <c r="F52" s="30">
        <v>100</v>
      </c>
      <c r="G52" s="30">
        <f t="shared" si="7"/>
        <v>100</v>
      </c>
      <c r="H52" s="27" t="s">
        <v>42</v>
      </c>
      <c r="I52" s="54">
        <v>8549.08</v>
      </c>
      <c r="J52" s="30" t="e" cm="1">
        <f t="array" ref="J52">_xlfn.XLOOKUP(D52,'Customer Data Vlookup'!$L:$L,'Customer Data Vlookup'!$M:$N,,0)</f>
        <v>#N/A</v>
      </c>
      <c r="K52" s="54"/>
      <c r="L52" s="54"/>
      <c r="M52" s="54"/>
      <c r="N52" s="56"/>
      <c r="O52" s="27" t="s">
        <v>108</v>
      </c>
    </row>
    <row r="53" spans="1:15" x14ac:dyDescent="0.35">
      <c r="A53" s="88">
        <v>1800009968</v>
      </c>
      <c r="B53" s="27" t="s">
        <v>5</v>
      </c>
      <c r="C53" s="28">
        <v>45827</v>
      </c>
      <c r="D53" s="29">
        <v>256779414732</v>
      </c>
      <c r="E53" s="27" t="s">
        <v>46</v>
      </c>
      <c r="F53" s="30">
        <v>100</v>
      </c>
      <c r="G53" s="30">
        <f t="shared" si="7"/>
        <v>100</v>
      </c>
      <c r="H53" s="27" t="s">
        <v>42</v>
      </c>
      <c r="I53" s="54">
        <v>8549.08</v>
      </c>
      <c r="J53" s="30" t="e" cm="1">
        <f t="array" ref="J53">_xlfn.XLOOKUP(D53,'Customer Data Vlookup'!$L:$L,'Customer Data Vlookup'!$M:$N,,0)</f>
        <v>#N/A</v>
      </c>
      <c r="K53" s="54"/>
      <c r="L53" s="54"/>
      <c r="M53" s="54"/>
      <c r="N53" s="56"/>
      <c r="O53" s="27" t="s">
        <v>108</v>
      </c>
    </row>
    <row r="54" spans="1:15" x14ac:dyDescent="0.35">
      <c r="A54" s="88">
        <v>1800009969</v>
      </c>
      <c r="B54" s="27" t="s">
        <v>5</v>
      </c>
      <c r="C54" s="28">
        <v>45827</v>
      </c>
      <c r="D54" s="29">
        <v>256779414733</v>
      </c>
      <c r="E54" s="27" t="s">
        <v>46</v>
      </c>
      <c r="F54" s="30">
        <v>100</v>
      </c>
      <c r="G54" s="30">
        <f t="shared" si="7"/>
        <v>100</v>
      </c>
      <c r="H54" s="27" t="s">
        <v>42</v>
      </c>
      <c r="I54" s="54">
        <v>8549.08</v>
      </c>
      <c r="J54" s="30" t="e" cm="1">
        <f t="array" ref="J54">_xlfn.XLOOKUP(D54,'Customer Data Vlookup'!$L:$L,'Customer Data Vlookup'!$M:$N,,0)</f>
        <v>#N/A</v>
      </c>
      <c r="K54" s="54"/>
      <c r="L54" s="54"/>
      <c r="M54" s="54"/>
      <c r="N54" s="56"/>
      <c r="O54" s="27" t="s">
        <v>108</v>
      </c>
    </row>
    <row r="55" spans="1:15" x14ac:dyDescent="0.35">
      <c r="A55" s="88">
        <v>1800009970</v>
      </c>
      <c r="B55" s="27" t="s">
        <v>5</v>
      </c>
      <c r="C55" s="28">
        <v>45827</v>
      </c>
      <c r="D55" s="29">
        <v>256779414734</v>
      </c>
      <c r="E55" s="27" t="s">
        <v>46</v>
      </c>
      <c r="F55" s="30">
        <v>100</v>
      </c>
      <c r="G55" s="30">
        <f t="shared" si="7"/>
        <v>100</v>
      </c>
      <c r="H55" s="27" t="s">
        <v>42</v>
      </c>
      <c r="I55" s="54">
        <v>8549.08</v>
      </c>
      <c r="J55" s="30" t="e" cm="1">
        <f t="array" ref="J55">_xlfn.XLOOKUP(D55,'Customer Data Vlookup'!$L:$L,'Customer Data Vlookup'!$M:$N,,0)</f>
        <v>#N/A</v>
      </c>
      <c r="K55" s="54"/>
      <c r="L55" s="54"/>
      <c r="M55" s="54"/>
      <c r="N55" s="56"/>
      <c r="O55" s="27" t="s">
        <v>108</v>
      </c>
    </row>
    <row r="56" spans="1:15" x14ac:dyDescent="0.35">
      <c r="A56" s="88">
        <v>1800009971</v>
      </c>
      <c r="B56" s="27" t="s">
        <v>5</v>
      </c>
      <c r="C56" s="28">
        <v>45827</v>
      </c>
      <c r="D56" s="29">
        <v>256779414735</v>
      </c>
      <c r="E56" s="27" t="s">
        <v>46</v>
      </c>
      <c r="F56" s="30">
        <v>100</v>
      </c>
      <c r="G56" s="30">
        <f t="shared" si="7"/>
        <v>100</v>
      </c>
      <c r="H56" s="27" t="s">
        <v>42</v>
      </c>
      <c r="I56" s="30">
        <v>8549.08</v>
      </c>
      <c r="J56" s="30" cm="1">
        <f t="array" ref="J56:K56">_xlfn.XLOOKUP(D56,'Customer Data Vlookup'!$L:$L,'Customer Data Vlookup'!$M:$N,,0)</f>
        <v>0</v>
      </c>
      <c r="K56" s="30">
        <v>90</v>
      </c>
      <c r="L56" s="30">
        <f t="shared" ref="L56:L57" si="11">K56-J56</f>
        <v>90</v>
      </c>
      <c r="M56" s="30">
        <f t="shared" ref="M56:M57" si="12">F56-L56</f>
        <v>10</v>
      </c>
      <c r="N56" s="56">
        <f t="shared" ref="N56:N57" si="13">M56/F56</f>
        <v>0.1</v>
      </c>
      <c r="O56" s="27" t="s">
        <v>108</v>
      </c>
    </row>
    <row r="57" spans="1:15" x14ac:dyDescent="0.35">
      <c r="A57" s="88">
        <v>1800012780</v>
      </c>
      <c r="B57" s="27" t="s">
        <v>5</v>
      </c>
      <c r="C57" s="28">
        <v>45917</v>
      </c>
      <c r="D57" s="29">
        <v>256779417434</v>
      </c>
      <c r="E57" s="27" t="s">
        <v>46</v>
      </c>
      <c r="F57" s="30">
        <v>100</v>
      </c>
      <c r="G57" s="30">
        <f t="shared" si="7"/>
        <v>100</v>
      </c>
      <c r="H57" s="27" t="s">
        <v>42</v>
      </c>
      <c r="I57" s="30">
        <v>8751.43</v>
      </c>
      <c r="J57" s="30" cm="1">
        <f t="array" ref="J57:K57">_xlfn.XLOOKUP(D57,'Customer Data Vlookup'!$L:$L,'Customer Data Vlookup'!$M:$N,,0)</f>
        <v>0</v>
      </c>
      <c r="K57" s="30">
        <v>98</v>
      </c>
      <c r="L57" s="30">
        <f t="shared" si="11"/>
        <v>98</v>
      </c>
      <c r="M57" s="30">
        <f t="shared" si="12"/>
        <v>2</v>
      </c>
      <c r="N57" s="56">
        <f t="shared" si="13"/>
        <v>0.02</v>
      </c>
      <c r="O57" s="27" t="s">
        <v>114</v>
      </c>
    </row>
    <row r="58" spans="1:15" x14ac:dyDescent="0.35">
      <c r="A58" s="88">
        <v>1800013748</v>
      </c>
      <c r="B58" s="27" t="s">
        <v>5</v>
      </c>
      <c r="C58" s="28">
        <v>45937</v>
      </c>
      <c r="D58" s="29">
        <v>256779418169</v>
      </c>
      <c r="E58" s="27" t="s">
        <v>46</v>
      </c>
      <c r="F58" s="30">
        <v>100</v>
      </c>
      <c r="G58" s="30">
        <f t="shared" si="7"/>
        <v>100</v>
      </c>
      <c r="H58" s="27" t="s">
        <v>42</v>
      </c>
      <c r="I58" s="54">
        <v>8819.08</v>
      </c>
      <c r="J58" s="30" t="e" cm="1">
        <f t="array" ref="J58">_xlfn.XLOOKUP(D58,'Customer Data Vlookup'!$L:$L,'Customer Data Vlookup'!$M:$N,,0)</f>
        <v>#N/A</v>
      </c>
      <c r="K58" s="54"/>
      <c r="L58" s="54"/>
      <c r="M58" s="54"/>
      <c r="N58" s="56"/>
      <c r="O58" s="27" t="s">
        <v>116</v>
      </c>
    </row>
    <row r="59" spans="1:15" x14ac:dyDescent="0.35">
      <c r="A59" s="88">
        <v>1800013749</v>
      </c>
      <c r="B59" s="27" t="s">
        <v>5</v>
      </c>
      <c r="C59" s="28">
        <v>45937</v>
      </c>
      <c r="D59" s="29">
        <v>256779418170</v>
      </c>
      <c r="E59" s="27" t="s">
        <v>46</v>
      </c>
      <c r="F59" s="30">
        <v>100</v>
      </c>
      <c r="G59" s="30">
        <f t="shared" si="7"/>
        <v>100</v>
      </c>
      <c r="H59" s="27" t="s">
        <v>42</v>
      </c>
      <c r="I59" s="30">
        <v>8819.08</v>
      </c>
      <c r="J59" s="30" cm="1">
        <f t="array" ref="J59:K59">_xlfn.XLOOKUP(D59,'Customer Data Vlookup'!$L:$L,'Customer Data Vlookup'!$M:$N,,0)</f>
        <v>0</v>
      </c>
      <c r="K59" s="30">
        <v>98</v>
      </c>
      <c r="L59" s="30">
        <f>K59-J59</f>
        <v>98</v>
      </c>
      <c r="M59" s="30">
        <f>F59-L59</f>
        <v>2</v>
      </c>
      <c r="N59" s="56">
        <f>M59/F59</f>
        <v>0.02</v>
      </c>
      <c r="O59" s="27" t="s">
        <v>116</v>
      </c>
    </row>
    <row r="60" spans="1:15" x14ac:dyDescent="0.35">
      <c r="A60" s="88">
        <v>1800000374</v>
      </c>
      <c r="B60" s="27" t="s">
        <v>5</v>
      </c>
      <c r="C60" s="28">
        <v>45716</v>
      </c>
      <c r="D60" s="29">
        <v>246779410343</v>
      </c>
      <c r="E60" s="27" t="s">
        <v>46</v>
      </c>
      <c r="F60" s="30">
        <v>1700</v>
      </c>
      <c r="G60" s="30">
        <f t="shared" si="7"/>
        <v>1700</v>
      </c>
      <c r="H60" s="27" t="s">
        <v>42</v>
      </c>
      <c r="I60" s="54">
        <v>146716.22</v>
      </c>
      <c r="J60" s="30" t="e" cm="1">
        <f t="array" ref="J60">_xlfn.XLOOKUP(D60,'Customer Data Vlookup'!$L:$L,'Customer Data Vlookup'!$M:$N,,0)</f>
        <v>#N/A</v>
      </c>
      <c r="K60" s="54"/>
      <c r="L60" s="54"/>
      <c r="M60" s="54"/>
      <c r="N60" s="56"/>
      <c r="O60" s="27" t="s">
        <v>119</v>
      </c>
    </row>
    <row r="61" spans="1:15" x14ac:dyDescent="0.35">
      <c r="A61" s="88">
        <v>1800000381</v>
      </c>
      <c r="B61" s="27" t="s">
        <v>5</v>
      </c>
      <c r="C61" s="28">
        <v>45716</v>
      </c>
      <c r="D61" s="29">
        <v>246779410350</v>
      </c>
      <c r="E61" s="27" t="s">
        <v>46</v>
      </c>
      <c r="F61" s="30">
        <v>1750</v>
      </c>
      <c r="G61" s="30">
        <f t="shared" si="7"/>
        <v>1750</v>
      </c>
      <c r="H61" s="27" t="s">
        <v>42</v>
      </c>
      <c r="I61" s="54">
        <v>151031.41</v>
      </c>
      <c r="J61" s="30" t="e" cm="1">
        <f t="array" ref="J61">_xlfn.XLOOKUP(D61,'Customer Data Vlookup'!$L:$L,'Customer Data Vlookup'!$M:$N,,0)</f>
        <v>#N/A</v>
      </c>
      <c r="K61" s="54"/>
      <c r="L61" s="54"/>
      <c r="M61" s="54"/>
      <c r="N61" s="56"/>
      <c r="O61" s="27" t="s">
        <v>119</v>
      </c>
    </row>
    <row r="62" spans="1:15" x14ac:dyDescent="0.35">
      <c r="A62" s="88">
        <v>1800000387</v>
      </c>
      <c r="B62" s="27" t="s">
        <v>5</v>
      </c>
      <c r="C62" s="28">
        <v>45716</v>
      </c>
      <c r="D62" s="29">
        <v>246779410356</v>
      </c>
      <c r="E62" s="27" t="s">
        <v>46</v>
      </c>
      <c r="F62" s="30">
        <v>1750</v>
      </c>
      <c r="G62" s="30">
        <f t="shared" si="7"/>
        <v>1750</v>
      </c>
      <c r="H62" s="27" t="s">
        <v>42</v>
      </c>
      <c r="I62" s="54">
        <v>151031.41</v>
      </c>
      <c r="J62" s="30" t="e" cm="1">
        <f t="array" ref="J62">_xlfn.XLOOKUP(D62,'Customer Data Vlookup'!$L:$L,'Customer Data Vlookup'!$M:$N,,0)</f>
        <v>#N/A</v>
      </c>
      <c r="K62" s="54"/>
      <c r="L62" s="54"/>
      <c r="M62" s="54"/>
      <c r="N62" s="56"/>
      <c r="O62" s="27" t="s">
        <v>119</v>
      </c>
    </row>
    <row r="63" spans="1:15" x14ac:dyDescent="0.35">
      <c r="A63" s="88">
        <v>1800000393</v>
      </c>
      <c r="B63" s="27" t="s">
        <v>5</v>
      </c>
      <c r="C63" s="28">
        <v>45716</v>
      </c>
      <c r="D63" s="29">
        <v>246779410362</v>
      </c>
      <c r="E63" s="27" t="s">
        <v>46</v>
      </c>
      <c r="F63" s="30">
        <v>1700</v>
      </c>
      <c r="G63" s="30">
        <f t="shared" si="7"/>
        <v>1700</v>
      </c>
      <c r="H63" s="27" t="s">
        <v>42</v>
      </c>
      <c r="I63" s="54">
        <v>146716.22</v>
      </c>
      <c r="J63" s="30" t="e" cm="1">
        <f t="array" ref="J63">_xlfn.XLOOKUP(D63,'Customer Data Vlookup'!$L:$L,'Customer Data Vlookup'!$M:$N,,0)</f>
        <v>#N/A</v>
      </c>
      <c r="K63" s="54"/>
      <c r="L63" s="54"/>
      <c r="M63" s="54"/>
      <c r="N63" s="56"/>
      <c r="O63" s="27" t="s">
        <v>119</v>
      </c>
    </row>
    <row r="64" spans="1:15" x14ac:dyDescent="0.35">
      <c r="A64" s="88">
        <v>1800000931</v>
      </c>
      <c r="B64" s="27" t="s">
        <v>5</v>
      </c>
      <c r="C64" s="28">
        <v>45722</v>
      </c>
      <c r="D64" s="29">
        <v>246779410871</v>
      </c>
      <c r="E64" s="27" t="s">
        <v>46</v>
      </c>
      <c r="F64" s="30">
        <v>42.51</v>
      </c>
      <c r="G64" s="30">
        <f t="shared" si="7"/>
        <v>42.51</v>
      </c>
      <c r="H64" s="27" t="s">
        <v>42</v>
      </c>
      <c r="I64" s="30">
        <v>3685.25</v>
      </c>
      <c r="J64" s="30" cm="1">
        <f t="array" ref="J64:K64">_xlfn.XLOOKUP(D64,'Customer Data Vlookup'!$L:$L,'Customer Data Vlookup'!$M:$N,,0)</f>
        <v>0</v>
      </c>
      <c r="K64" s="30">
        <v>38.259</v>
      </c>
      <c r="L64" s="30">
        <f t="shared" ref="L64:L65" si="14">K64-J64</f>
        <v>38.259</v>
      </c>
      <c r="M64" s="30">
        <f t="shared" ref="M64:M65" si="15">F64-L64</f>
        <v>4.2509999999999977</v>
      </c>
      <c r="N64" s="56">
        <f t="shared" ref="N64:N65" si="16">M64/F64</f>
        <v>9.999999999999995E-2</v>
      </c>
      <c r="O64" s="27" t="s">
        <v>124</v>
      </c>
    </row>
    <row r="65" spans="1:15" x14ac:dyDescent="0.35">
      <c r="A65" s="88">
        <v>1800000953</v>
      </c>
      <c r="B65" s="27" t="s">
        <v>5</v>
      </c>
      <c r="C65" s="28">
        <v>45722</v>
      </c>
      <c r="D65" s="29">
        <v>246779410893</v>
      </c>
      <c r="E65" s="27" t="s">
        <v>46</v>
      </c>
      <c r="F65" s="30">
        <v>177.18</v>
      </c>
      <c r="G65" s="30">
        <f t="shared" si="7"/>
        <v>177.18</v>
      </c>
      <c r="H65" s="27" t="s">
        <v>42</v>
      </c>
      <c r="I65" s="30">
        <v>15359.96</v>
      </c>
      <c r="J65" s="30" cm="1">
        <f t="array" ref="J65:K65">_xlfn.XLOOKUP(D65,'Customer Data Vlookup'!$L:$L,'Customer Data Vlookup'!$M:$N,,0)</f>
        <v>0</v>
      </c>
      <c r="K65" s="30">
        <v>159.46199999999999</v>
      </c>
      <c r="L65" s="30">
        <f t="shared" si="14"/>
        <v>159.46199999999999</v>
      </c>
      <c r="M65" s="30">
        <f t="shared" si="15"/>
        <v>17.718000000000018</v>
      </c>
      <c r="N65" s="56">
        <f t="shared" si="16"/>
        <v>0.1000000000000001</v>
      </c>
      <c r="O65" s="27" t="s">
        <v>126</v>
      </c>
    </row>
    <row r="66" spans="1:15" x14ac:dyDescent="0.35">
      <c r="A66" s="88">
        <v>1600002439</v>
      </c>
      <c r="B66" s="27" t="s">
        <v>4</v>
      </c>
      <c r="C66" s="28">
        <v>45943</v>
      </c>
      <c r="D66" s="29">
        <v>256779421983</v>
      </c>
      <c r="E66" s="27" t="s">
        <v>46</v>
      </c>
      <c r="F66" s="30">
        <v>-930.14</v>
      </c>
      <c r="G66" s="30">
        <f t="shared" si="7"/>
        <v>-930.14</v>
      </c>
      <c r="H66" s="27" t="s">
        <v>42</v>
      </c>
      <c r="I66" s="30">
        <v>-82029.759999999995</v>
      </c>
      <c r="J66" s="30" t="e" cm="1">
        <f t="array" ref="J66">_xlfn.XLOOKUP(D66,'Customer Data Vlookup'!$L:$L,'Customer Data Vlookup'!$M:$N,,0)</f>
        <v>#N/A</v>
      </c>
      <c r="K66" s="30"/>
      <c r="L66" s="30"/>
      <c r="M66" s="30"/>
      <c r="N66" s="56"/>
      <c r="O66" s="27" t="s">
        <v>128</v>
      </c>
    </row>
    <row r="67" spans="1:15" x14ac:dyDescent="0.35">
      <c r="A67" s="88">
        <v>1800000414</v>
      </c>
      <c r="B67" s="27" t="s">
        <v>5</v>
      </c>
      <c r="C67" s="28">
        <v>45719</v>
      </c>
      <c r="D67" s="29">
        <v>246779410376</v>
      </c>
      <c r="E67" s="27" t="s">
        <v>46</v>
      </c>
      <c r="F67" s="30">
        <v>711.35</v>
      </c>
      <c r="G67" s="30">
        <f t="shared" si="7"/>
        <v>711.35</v>
      </c>
      <c r="H67" s="27" t="s">
        <v>42</v>
      </c>
      <c r="I67" s="30">
        <v>61667.83</v>
      </c>
      <c r="J67" s="30" cm="1">
        <f t="array" ref="J67:K67">_xlfn.XLOOKUP(D67,'Customer Data Vlookup'!$L:$L,'Customer Data Vlookup'!$M:$N,,0)</f>
        <v>0</v>
      </c>
      <c r="K67" s="30">
        <v>640.21500000000003</v>
      </c>
      <c r="L67" s="30">
        <f t="shared" ref="L67:L104" si="17">K67-J67</f>
        <v>640.21500000000003</v>
      </c>
      <c r="M67" s="30">
        <f t="shared" ref="M67:M104" si="18">F67-L67</f>
        <v>71.134999999999991</v>
      </c>
      <c r="N67" s="56">
        <f t="shared" ref="N67:N104" si="19">M67/F67</f>
        <v>9.9999999999999978E-2</v>
      </c>
      <c r="O67" s="27" t="s">
        <v>130</v>
      </c>
    </row>
    <row r="68" spans="1:15" x14ac:dyDescent="0.35">
      <c r="A68" s="88">
        <v>1800000439</v>
      </c>
      <c r="B68" s="27" t="s">
        <v>5</v>
      </c>
      <c r="C68" s="28">
        <v>45719</v>
      </c>
      <c r="D68" s="29">
        <v>246779410401</v>
      </c>
      <c r="E68" s="27" t="s">
        <v>46</v>
      </c>
      <c r="F68" s="30">
        <v>1298.96</v>
      </c>
      <c r="G68" s="30">
        <f t="shared" si="7"/>
        <v>1298.96</v>
      </c>
      <c r="H68" s="27" t="s">
        <v>42</v>
      </c>
      <c r="I68" s="30">
        <v>112608.48</v>
      </c>
      <c r="J68" s="30" cm="1">
        <f t="array" ref="J68:K68">_xlfn.XLOOKUP(D68,'Customer Data Vlookup'!$L:$L,'Customer Data Vlookup'!$M:$N,,0)</f>
        <v>0</v>
      </c>
      <c r="K68" s="30">
        <v>1169.0640000000001</v>
      </c>
      <c r="L68" s="30">
        <f t="shared" si="17"/>
        <v>1169.0640000000001</v>
      </c>
      <c r="M68" s="30">
        <f t="shared" si="18"/>
        <v>129.89599999999996</v>
      </c>
      <c r="N68" s="56">
        <f t="shared" si="19"/>
        <v>9.9999999999999964E-2</v>
      </c>
      <c r="O68" s="27" t="s">
        <v>132</v>
      </c>
    </row>
    <row r="69" spans="1:15" x14ac:dyDescent="0.35">
      <c r="A69" s="88">
        <v>1800000463</v>
      </c>
      <c r="B69" s="27" t="s">
        <v>5</v>
      </c>
      <c r="C69" s="28">
        <v>45719</v>
      </c>
      <c r="D69" s="29">
        <v>246779410425</v>
      </c>
      <c r="E69" s="27" t="s">
        <v>46</v>
      </c>
      <c r="F69" s="30">
        <v>1687.21</v>
      </c>
      <c r="G69" s="30">
        <f t="shared" si="7"/>
        <v>1687.21</v>
      </c>
      <c r="H69" s="27" t="s">
        <v>42</v>
      </c>
      <c r="I69" s="30">
        <v>146266.35999999999</v>
      </c>
      <c r="J69" s="30" cm="1">
        <f t="array" ref="J69:K69">_xlfn.XLOOKUP(D69,'Customer Data Vlookup'!$L:$L,'Customer Data Vlookup'!$M:$N,,0)</f>
        <v>0</v>
      </c>
      <c r="K69" s="30">
        <v>1518.489</v>
      </c>
      <c r="L69" s="30">
        <f t="shared" si="17"/>
        <v>1518.489</v>
      </c>
      <c r="M69" s="30">
        <f t="shared" si="18"/>
        <v>168.721</v>
      </c>
      <c r="N69" s="56">
        <f t="shared" si="19"/>
        <v>0.1</v>
      </c>
      <c r="O69" s="27" t="s">
        <v>134</v>
      </c>
    </row>
    <row r="70" spans="1:15" x14ac:dyDescent="0.35">
      <c r="A70" s="88">
        <v>1800001956</v>
      </c>
      <c r="B70" s="27" t="s">
        <v>5</v>
      </c>
      <c r="C70" s="28">
        <v>45733</v>
      </c>
      <c r="D70" s="29">
        <v>246779411621</v>
      </c>
      <c r="E70" s="27" t="s">
        <v>46</v>
      </c>
      <c r="F70" s="30">
        <v>444.04</v>
      </c>
      <c r="G70" s="30">
        <f t="shared" si="7"/>
        <v>444.04</v>
      </c>
      <c r="H70" s="27" t="s">
        <v>42</v>
      </c>
      <c r="I70" s="30">
        <v>38494.39</v>
      </c>
      <c r="J70" s="30" cm="1">
        <f t="array" ref="J70:K70">_xlfn.XLOOKUP(D70,'Customer Data Vlookup'!$L:$L,'Customer Data Vlookup'!$M:$N,,0)</f>
        <v>0</v>
      </c>
      <c r="K70" s="30">
        <v>435.1592</v>
      </c>
      <c r="L70" s="30">
        <f t="shared" si="17"/>
        <v>435.1592</v>
      </c>
      <c r="M70" s="30">
        <f t="shared" si="18"/>
        <v>8.880800000000022</v>
      </c>
      <c r="N70" s="56">
        <f t="shared" si="19"/>
        <v>2.0000000000000049E-2</v>
      </c>
      <c r="O70" s="27" t="s">
        <v>136</v>
      </c>
    </row>
    <row r="71" spans="1:15" x14ac:dyDescent="0.35">
      <c r="A71" s="88">
        <v>1800002095</v>
      </c>
      <c r="B71" s="27" t="s">
        <v>5</v>
      </c>
      <c r="C71" s="28">
        <v>45733</v>
      </c>
      <c r="D71" s="29">
        <v>246779411760</v>
      </c>
      <c r="E71" s="27" t="s">
        <v>46</v>
      </c>
      <c r="F71" s="30">
        <v>520.16999999999996</v>
      </c>
      <c r="G71" s="30">
        <f t="shared" si="7"/>
        <v>520.16999999999996</v>
      </c>
      <c r="H71" s="27" t="s">
        <v>42</v>
      </c>
      <c r="I71" s="30">
        <v>45094.19</v>
      </c>
      <c r="J71" s="30" cm="1">
        <f t="array" ref="J71:K71">_xlfn.XLOOKUP(D71,'Customer Data Vlookup'!$L:$L,'Customer Data Vlookup'!$M:$N,,0)</f>
        <v>0</v>
      </c>
      <c r="K71" s="30">
        <v>509.76659999999998</v>
      </c>
      <c r="L71" s="30">
        <f t="shared" si="17"/>
        <v>509.76659999999998</v>
      </c>
      <c r="M71" s="30">
        <f t="shared" si="18"/>
        <v>10.403399999999976</v>
      </c>
      <c r="N71" s="56">
        <f t="shared" si="19"/>
        <v>1.9999999999999955E-2</v>
      </c>
      <c r="O71" s="27" t="s">
        <v>138</v>
      </c>
    </row>
    <row r="72" spans="1:15" x14ac:dyDescent="0.35">
      <c r="A72" s="88">
        <v>1800002401</v>
      </c>
      <c r="B72" s="27" t="s">
        <v>5</v>
      </c>
      <c r="C72" s="28">
        <v>45733</v>
      </c>
      <c r="D72" s="29">
        <v>246779412066</v>
      </c>
      <c r="E72" s="27" t="s">
        <v>46</v>
      </c>
      <c r="F72" s="30">
        <v>66.5</v>
      </c>
      <c r="G72" s="30">
        <f t="shared" si="7"/>
        <v>66.5</v>
      </c>
      <c r="H72" s="27" t="s">
        <v>42</v>
      </c>
      <c r="I72" s="30">
        <v>5764.97</v>
      </c>
      <c r="J72" s="30" cm="1">
        <f t="array" ref="J72:K72">_xlfn.XLOOKUP(D72,'Customer Data Vlookup'!$L:$L,'Customer Data Vlookup'!$M:$N,,0)</f>
        <v>0</v>
      </c>
      <c r="K72" s="30">
        <v>65.17</v>
      </c>
      <c r="L72" s="30">
        <f t="shared" si="17"/>
        <v>65.17</v>
      </c>
      <c r="M72" s="30">
        <f t="shared" si="18"/>
        <v>1.3299999999999983</v>
      </c>
      <c r="N72" s="56">
        <f t="shared" si="19"/>
        <v>1.9999999999999973E-2</v>
      </c>
      <c r="O72" s="27" t="s">
        <v>140</v>
      </c>
    </row>
    <row r="73" spans="1:15" x14ac:dyDescent="0.35">
      <c r="A73" s="88">
        <v>1800002272</v>
      </c>
      <c r="B73" s="27" t="s">
        <v>5</v>
      </c>
      <c r="C73" s="28">
        <v>45733</v>
      </c>
      <c r="D73" s="29">
        <v>246779411937</v>
      </c>
      <c r="E73" s="27" t="s">
        <v>46</v>
      </c>
      <c r="F73" s="30">
        <v>7.27</v>
      </c>
      <c r="G73" s="30">
        <f t="shared" si="7"/>
        <v>7.27</v>
      </c>
      <c r="H73" s="27" t="s">
        <v>42</v>
      </c>
      <c r="I73" s="30">
        <v>630.25</v>
      </c>
      <c r="J73" s="30" cm="1">
        <f t="array" ref="J73:K73">_xlfn.XLOOKUP(D73,'Customer Data Vlookup'!$L:$L,'Customer Data Vlookup'!$M:$N,,0)</f>
        <v>0</v>
      </c>
      <c r="K73" s="30">
        <v>7.1246</v>
      </c>
      <c r="L73" s="30">
        <f t="shared" si="17"/>
        <v>7.1246</v>
      </c>
      <c r="M73" s="30">
        <f t="shared" si="18"/>
        <v>0.14539999999999953</v>
      </c>
      <c r="N73" s="56">
        <f t="shared" si="19"/>
        <v>1.9999999999999938E-2</v>
      </c>
      <c r="O73" s="27" t="s">
        <v>142</v>
      </c>
    </row>
    <row r="74" spans="1:15" x14ac:dyDescent="0.35">
      <c r="A74" s="88">
        <v>1800002273</v>
      </c>
      <c r="B74" s="27" t="s">
        <v>5</v>
      </c>
      <c r="C74" s="28">
        <v>45733</v>
      </c>
      <c r="D74" s="29">
        <v>246779411938</v>
      </c>
      <c r="E74" s="27" t="s">
        <v>46</v>
      </c>
      <c r="F74" s="30">
        <v>53.26</v>
      </c>
      <c r="G74" s="30">
        <f t="shared" si="7"/>
        <v>53.26</v>
      </c>
      <c r="H74" s="27" t="s">
        <v>42</v>
      </c>
      <c r="I74" s="30">
        <v>4617.18</v>
      </c>
      <c r="J74" s="30" cm="1">
        <f t="array" ref="J74:K74">_xlfn.XLOOKUP(D74,'Customer Data Vlookup'!$L:$L,'Customer Data Vlookup'!$M:$N,,0)</f>
        <v>0</v>
      </c>
      <c r="K74" s="30">
        <v>52.194800000000001</v>
      </c>
      <c r="L74" s="30">
        <f t="shared" si="17"/>
        <v>52.194800000000001</v>
      </c>
      <c r="M74" s="30">
        <f t="shared" si="18"/>
        <v>1.0651999999999973</v>
      </c>
      <c r="N74" s="56">
        <f t="shared" si="19"/>
        <v>1.9999999999999948E-2</v>
      </c>
      <c r="O74" s="27" t="s">
        <v>142</v>
      </c>
    </row>
    <row r="75" spans="1:15" x14ac:dyDescent="0.35">
      <c r="A75" s="88">
        <v>1800002274</v>
      </c>
      <c r="B75" s="27" t="s">
        <v>5</v>
      </c>
      <c r="C75" s="28">
        <v>45733</v>
      </c>
      <c r="D75" s="29">
        <v>246779411939</v>
      </c>
      <c r="E75" s="27" t="s">
        <v>46</v>
      </c>
      <c r="F75" s="30">
        <v>23.08</v>
      </c>
      <c r="G75" s="30">
        <f t="shared" si="7"/>
        <v>23.08</v>
      </c>
      <c r="H75" s="27" t="s">
        <v>42</v>
      </c>
      <c r="I75" s="30">
        <v>2000.83</v>
      </c>
      <c r="J75" s="30" cm="1">
        <f t="array" ref="J75:K75">_xlfn.XLOOKUP(D75,'Customer Data Vlookup'!$L:$L,'Customer Data Vlookup'!$M:$N,,0)</f>
        <v>0</v>
      </c>
      <c r="K75" s="30">
        <v>22.618400000000001</v>
      </c>
      <c r="L75" s="30">
        <f t="shared" si="17"/>
        <v>22.618400000000001</v>
      </c>
      <c r="M75" s="30">
        <f t="shared" si="18"/>
        <v>0.46159999999999712</v>
      </c>
      <c r="N75" s="56">
        <f t="shared" si="19"/>
        <v>1.9999999999999876E-2</v>
      </c>
      <c r="O75" s="27" t="s">
        <v>142</v>
      </c>
    </row>
    <row r="76" spans="1:15" x14ac:dyDescent="0.35">
      <c r="A76" s="88">
        <v>1800002275</v>
      </c>
      <c r="B76" s="27" t="s">
        <v>5</v>
      </c>
      <c r="C76" s="28">
        <v>45733</v>
      </c>
      <c r="D76" s="29">
        <v>246779411940</v>
      </c>
      <c r="E76" s="27" t="s">
        <v>46</v>
      </c>
      <c r="F76" s="30">
        <v>52.73</v>
      </c>
      <c r="G76" s="30">
        <f t="shared" si="7"/>
        <v>52.73</v>
      </c>
      <c r="H76" s="27" t="s">
        <v>42</v>
      </c>
      <c r="I76" s="30">
        <v>4571.2299999999996</v>
      </c>
      <c r="J76" s="30" cm="1">
        <f t="array" ref="J76:K76">_xlfn.XLOOKUP(D76,'Customer Data Vlookup'!$L:$L,'Customer Data Vlookup'!$M:$N,,0)</f>
        <v>0</v>
      </c>
      <c r="K76" s="30">
        <v>51.675400000000003</v>
      </c>
      <c r="L76" s="30">
        <f t="shared" si="17"/>
        <v>51.675400000000003</v>
      </c>
      <c r="M76" s="30">
        <f t="shared" si="18"/>
        <v>1.0545999999999935</v>
      </c>
      <c r="N76" s="56">
        <f t="shared" si="19"/>
        <v>1.9999999999999879E-2</v>
      </c>
      <c r="O76" s="27" t="s">
        <v>142</v>
      </c>
    </row>
    <row r="77" spans="1:15" x14ac:dyDescent="0.35">
      <c r="A77" s="88">
        <v>1800002276</v>
      </c>
      <c r="B77" s="27" t="s">
        <v>5</v>
      </c>
      <c r="C77" s="28">
        <v>45733</v>
      </c>
      <c r="D77" s="29">
        <v>246779411941</v>
      </c>
      <c r="E77" s="27" t="s">
        <v>46</v>
      </c>
      <c r="F77" s="30">
        <v>76.02</v>
      </c>
      <c r="G77" s="30">
        <f t="shared" si="7"/>
        <v>76.02</v>
      </c>
      <c r="H77" s="27" t="s">
        <v>42</v>
      </c>
      <c r="I77" s="30">
        <v>6590.27</v>
      </c>
      <c r="J77" s="30" cm="1">
        <f t="array" ref="J77:K77">_xlfn.XLOOKUP(D77,'Customer Data Vlookup'!$L:$L,'Customer Data Vlookup'!$M:$N,,0)</f>
        <v>0</v>
      </c>
      <c r="K77" s="30">
        <v>74.499600000000001</v>
      </c>
      <c r="L77" s="30">
        <f t="shared" si="17"/>
        <v>74.499600000000001</v>
      </c>
      <c r="M77" s="30">
        <f t="shared" si="18"/>
        <v>1.5203999999999951</v>
      </c>
      <c r="N77" s="56">
        <f t="shared" si="19"/>
        <v>1.9999999999999938E-2</v>
      </c>
      <c r="O77" s="27" t="s">
        <v>142</v>
      </c>
    </row>
    <row r="78" spans="1:15" x14ac:dyDescent="0.35">
      <c r="A78" s="88">
        <v>1800006261</v>
      </c>
      <c r="B78" s="27" t="s">
        <v>5</v>
      </c>
      <c r="C78" s="28">
        <v>45762</v>
      </c>
      <c r="D78" s="29">
        <v>256779411152</v>
      </c>
      <c r="E78" s="27" t="s">
        <v>46</v>
      </c>
      <c r="F78" s="30">
        <v>164.38</v>
      </c>
      <c r="G78" s="30">
        <f t="shared" si="7"/>
        <v>164.38</v>
      </c>
      <c r="H78" s="27" t="s">
        <v>42</v>
      </c>
      <c r="I78" s="30">
        <v>14288.21</v>
      </c>
      <c r="J78" s="30" cm="1">
        <f t="array" ref="J78:K78">_xlfn.XLOOKUP(D78,'Customer Data Vlookup'!$L:$L,'Customer Data Vlookup'!$M:$N,,0)</f>
        <v>0</v>
      </c>
      <c r="K78" s="30">
        <v>161.09</v>
      </c>
      <c r="L78" s="30">
        <f t="shared" si="17"/>
        <v>161.09</v>
      </c>
      <c r="M78" s="30">
        <f t="shared" si="18"/>
        <v>3.289999999999992</v>
      </c>
      <c r="N78" s="56">
        <f t="shared" si="19"/>
        <v>2.0014600316340139E-2</v>
      </c>
      <c r="O78" s="27" t="s">
        <v>148</v>
      </c>
    </row>
    <row r="79" spans="1:15" x14ac:dyDescent="0.35">
      <c r="A79" s="88">
        <v>1800006262</v>
      </c>
      <c r="B79" s="27" t="s">
        <v>5</v>
      </c>
      <c r="C79" s="28">
        <v>45762</v>
      </c>
      <c r="D79" s="29">
        <v>256779411153</v>
      </c>
      <c r="E79" s="27" t="s">
        <v>46</v>
      </c>
      <c r="F79" s="30">
        <v>26.54</v>
      </c>
      <c r="G79" s="30">
        <f t="shared" si="7"/>
        <v>26.54</v>
      </c>
      <c r="H79" s="27" t="s">
        <v>42</v>
      </c>
      <c r="I79" s="30">
        <v>2306.91</v>
      </c>
      <c r="J79" s="30" cm="1">
        <f t="array" ref="J79:K79">_xlfn.XLOOKUP(D79,'Customer Data Vlookup'!$L:$L,'Customer Data Vlookup'!$M:$N,,0)</f>
        <v>0</v>
      </c>
      <c r="K79" s="30">
        <v>26.01</v>
      </c>
      <c r="L79" s="30">
        <f t="shared" si="17"/>
        <v>26.01</v>
      </c>
      <c r="M79" s="30">
        <f t="shared" si="18"/>
        <v>0.52999999999999758</v>
      </c>
      <c r="N79" s="56">
        <f t="shared" si="19"/>
        <v>1.9969856819894407E-2</v>
      </c>
      <c r="O79" s="27" t="s">
        <v>150</v>
      </c>
    </row>
    <row r="80" spans="1:15" x14ac:dyDescent="0.35">
      <c r="A80" s="88">
        <v>1800006263</v>
      </c>
      <c r="B80" s="27" t="s">
        <v>5</v>
      </c>
      <c r="C80" s="28">
        <v>45762</v>
      </c>
      <c r="D80" s="29">
        <v>256779411154</v>
      </c>
      <c r="E80" s="27" t="s">
        <v>46</v>
      </c>
      <c r="F80" s="30">
        <v>84.26</v>
      </c>
      <c r="G80" s="30">
        <f t="shared" si="7"/>
        <v>84.26</v>
      </c>
      <c r="H80" s="27" t="s">
        <v>42</v>
      </c>
      <c r="I80" s="30">
        <v>7324.03</v>
      </c>
      <c r="J80" s="30" cm="1">
        <f t="array" ref="J80:K80">_xlfn.XLOOKUP(D80,'Customer Data Vlookup'!$L:$L,'Customer Data Vlookup'!$M:$N,,0)</f>
        <v>0</v>
      </c>
      <c r="K80" s="30">
        <v>82.57</v>
      </c>
      <c r="L80" s="30">
        <f t="shared" si="17"/>
        <v>82.57</v>
      </c>
      <c r="M80" s="30">
        <f t="shared" si="18"/>
        <v>1.6900000000000119</v>
      </c>
      <c r="N80" s="56">
        <f t="shared" si="19"/>
        <v>2.0056966532162494E-2</v>
      </c>
      <c r="O80" s="27" t="s">
        <v>150</v>
      </c>
    </row>
    <row r="81" spans="1:15" x14ac:dyDescent="0.35">
      <c r="A81" s="88">
        <v>1800006264</v>
      </c>
      <c r="B81" s="27" t="s">
        <v>5</v>
      </c>
      <c r="C81" s="28">
        <v>45762</v>
      </c>
      <c r="D81" s="29">
        <v>256779411155</v>
      </c>
      <c r="E81" s="27" t="s">
        <v>46</v>
      </c>
      <c r="F81" s="30">
        <v>36.9</v>
      </c>
      <c r="G81" s="30">
        <f t="shared" si="7"/>
        <v>36.9</v>
      </c>
      <c r="H81" s="27" t="s">
        <v>42</v>
      </c>
      <c r="I81" s="30">
        <v>3207.42</v>
      </c>
      <c r="J81" s="30" cm="1">
        <f t="array" ref="J81:K81">_xlfn.XLOOKUP(D81,'Customer Data Vlookup'!$L:$L,'Customer Data Vlookup'!$M:$N,,0)</f>
        <v>0</v>
      </c>
      <c r="K81" s="30">
        <v>36.159999999999997</v>
      </c>
      <c r="L81" s="30">
        <f t="shared" si="17"/>
        <v>36.159999999999997</v>
      </c>
      <c r="M81" s="30">
        <f t="shared" si="18"/>
        <v>0.74000000000000199</v>
      </c>
      <c r="N81" s="56">
        <f t="shared" si="19"/>
        <v>2.0054200542005476E-2</v>
      </c>
      <c r="O81" s="27" t="s">
        <v>153</v>
      </c>
    </row>
    <row r="82" spans="1:15" x14ac:dyDescent="0.35">
      <c r="A82" s="88">
        <v>1800006265</v>
      </c>
      <c r="B82" s="27" t="s">
        <v>5</v>
      </c>
      <c r="C82" s="28">
        <v>45762</v>
      </c>
      <c r="D82" s="29">
        <v>256779411156</v>
      </c>
      <c r="E82" s="27" t="s">
        <v>46</v>
      </c>
      <c r="F82" s="30">
        <v>20.23</v>
      </c>
      <c r="G82" s="30">
        <f t="shared" si="7"/>
        <v>20.23</v>
      </c>
      <c r="H82" s="27" t="s">
        <v>42</v>
      </c>
      <c r="I82" s="30">
        <v>1758.43</v>
      </c>
      <c r="J82" s="30" cm="1">
        <f t="array" ref="J82:K82">_xlfn.XLOOKUP(D82,'Customer Data Vlookup'!$L:$L,'Customer Data Vlookup'!$M:$N,,0)</f>
        <v>0</v>
      </c>
      <c r="K82" s="30">
        <v>19.829999999999998</v>
      </c>
      <c r="L82" s="30">
        <f t="shared" si="17"/>
        <v>19.829999999999998</v>
      </c>
      <c r="M82" s="30">
        <f t="shared" si="18"/>
        <v>0.40000000000000213</v>
      </c>
      <c r="N82" s="56">
        <f t="shared" si="19"/>
        <v>1.9772614928324377E-2</v>
      </c>
      <c r="O82" s="27" t="s">
        <v>153</v>
      </c>
    </row>
    <row r="83" spans="1:15" x14ac:dyDescent="0.35">
      <c r="A83" s="88">
        <v>1800006266</v>
      </c>
      <c r="B83" s="27" t="s">
        <v>5</v>
      </c>
      <c r="C83" s="28">
        <v>45762</v>
      </c>
      <c r="D83" s="29">
        <v>256779411157</v>
      </c>
      <c r="E83" s="27" t="s">
        <v>46</v>
      </c>
      <c r="F83" s="30">
        <v>116.32</v>
      </c>
      <c r="G83" s="30">
        <f t="shared" si="7"/>
        <v>116.32</v>
      </c>
      <c r="H83" s="27" t="s">
        <v>42</v>
      </c>
      <c r="I83" s="30">
        <v>10110.75</v>
      </c>
      <c r="J83" s="30" cm="1">
        <f t="array" ref="J83:K83">_xlfn.XLOOKUP(D83,'Customer Data Vlookup'!$L:$L,'Customer Data Vlookup'!$M:$N,,0)</f>
        <v>0</v>
      </c>
      <c r="K83" s="30">
        <v>113.99</v>
      </c>
      <c r="L83" s="30">
        <f t="shared" si="17"/>
        <v>113.99</v>
      </c>
      <c r="M83" s="30">
        <f t="shared" si="18"/>
        <v>2.3299999999999983</v>
      </c>
      <c r="N83" s="56">
        <f t="shared" si="19"/>
        <v>2.0030949105914703E-2</v>
      </c>
      <c r="O83" s="27" t="s">
        <v>153</v>
      </c>
    </row>
    <row r="84" spans="1:15" x14ac:dyDescent="0.35">
      <c r="A84" s="88">
        <v>1800006674</v>
      </c>
      <c r="B84" s="27" t="s">
        <v>5</v>
      </c>
      <c r="C84" s="28">
        <v>45762</v>
      </c>
      <c r="D84" s="29">
        <v>256779411565</v>
      </c>
      <c r="E84" s="27" t="s">
        <v>46</v>
      </c>
      <c r="F84" s="30">
        <v>22</v>
      </c>
      <c r="G84" s="30">
        <f t="shared" si="7"/>
        <v>22</v>
      </c>
      <c r="H84" s="27" t="s">
        <v>42</v>
      </c>
      <c r="I84" s="30">
        <v>1912.28</v>
      </c>
      <c r="J84" s="30" cm="1">
        <f t="array" ref="J84:K84">_xlfn.XLOOKUP(D84,'Customer Data Vlookup'!$L:$L,'Customer Data Vlookup'!$M:$N,,0)</f>
        <v>0</v>
      </c>
      <c r="K84" s="30">
        <v>21.56</v>
      </c>
      <c r="L84" s="30">
        <f t="shared" si="17"/>
        <v>21.56</v>
      </c>
      <c r="M84" s="30">
        <f t="shared" si="18"/>
        <v>0.44000000000000128</v>
      </c>
      <c r="N84" s="56">
        <f t="shared" si="19"/>
        <v>2.0000000000000059E-2</v>
      </c>
      <c r="O84" s="27" t="s">
        <v>157</v>
      </c>
    </row>
    <row r="85" spans="1:15" x14ac:dyDescent="0.35">
      <c r="A85" s="88">
        <v>1800006675</v>
      </c>
      <c r="B85" s="27" t="s">
        <v>5</v>
      </c>
      <c r="C85" s="28">
        <v>45762</v>
      </c>
      <c r="D85" s="29">
        <v>256779411566</v>
      </c>
      <c r="E85" s="27" t="s">
        <v>46</v>
      </c>
      <c r="F85" s="30">
        <v>4.4000000000000004</v>
      </c>
      <c r="G85" s="30">
        <f t="shared" si="7"/>
        <v>4.4000000000000004</v>
      </c>
      <c r="H85" s="27" t="s">
        <v>42</v>
      </c>
      <c r="I85" s="30">
        <v>382.46</v>
      </c>
      <c r="J85" s="30" cm="1">
        <f t="array" ref="J85:K85">_xlfn.XLOOKUP(D85,'Customer Data Vlookup'!$L:$L,'Customer Data Vlookup'!$M:$N,,0)</f>
        <v>0</v>
      </c>
      <c r="K85" s="30">
        <v>4.3099999999999996</v>
      </c>
      <c r="L85" s="30">
        <f t="shared" si="17"/>
        <v>4.3099999999999996</v>
      </c>
      <c r="M85" s="30">
        <f t="shared" si="18"/>
        <v>9.0000000000000746E-2</v>
      </c>
      <c r="N85" s="56">
        <f t="shared" si="19"/>
        <v>2.0454545454545621E-2</v>
      </c>
      <c r="O85" s="27" t="s">
        <v>157</v>
      </c>
    </row>
    <row r="86" spans="1:15" x14ac:dyDescent="0.35">
      <c r="A86" s="88">
        <v>1800006676</v>
      </c>
      <c r="B86" s="27" t="s">
        <v>5</v>
      </c>
      <c r="C86" s="28">
        <v>45762</v>
      </c>
      <c r="D86" s="29">
        <v>256779411567</v>
      </c>
      <c r="E86" s="27" t="s">
        <v>46</v>
      </c>
      <c r="F86" s="30">
        <v>5.84</v>
      </c>
      <c r="G86" s="30">
        <f t="shared" si="7"/>
        <v>5.84</v>
      </c>
      <c r="H86" s="27" t="s">
        <v>42</v>
      </c>
      <c r="I86" s="30">
        <v>507.62</v>
      </c>
      <c r="J86" s="30" cm="1">
        <f t="array" ref="J86:K86">_xlfn.XLOOKUP(D86,'Customer Data Vlookup'!$L:$L,'Customer Data Vlookup'!$M:$N,,0)</f>
        <v>0</v>
      </c>
      <c r="K86" s="30">
        <v>5.72</v>
      </c>
      <c r="L86" s="30">
        <f t="shared" si="17"/>
        <v>5.72</v>
      </c>
      <c r="M86" s="30">
        <f t="shared" si="18"/>
        <v>0.12000000000000011</v>
      </c>
      <c r="N86" s="56">
        <f t="shared" si="19"/>
        <v>2.0547945205479472E-2</v>
      </c>
      <c r="O86" s="27" t="s">
        <v>157</v>
      </c>
    </row>
    <row r="87" spans="1:15" x14ac:dyDescent="0.35">
      <c r="A87" s="88">
        <v>1800006677</v>
      </c>
      <c r="B87" s="27" t="s">
        <v>5</v>
      </c>
      <c r="C87" s="28">
        <v>45762</v>
      </c>
      <c r="D87" s="29">
        <v>256779411568</v>
      </c>
      <c r="E87" s="27" t="s">
        <v>46</v>
      </c>
      <c r="F87" s="30">
        <v>0.8</v>
      </c>
      <c r="G87" s="30">
        <f t="shared" si="7"/>
        <v>0.8</v>
      </c>
      <c r="H87" s="27" t="s">
        <v>42</v>
      </c>
      <c r="I87" s="30">
        <v>69.540000000000006</v>
      </c>
      <c r="J87" s="30" cm="1">
        <f t="array" ref="J87:K87">_xlfn.XLOOKUP(D87,'Customer Data Vlookup'!$L:$L,'Customer Data Vlookup'!$M:$N,,0)</f>
        <v>0</v>
      </c>
      <c r="K87" s="30">
        <v>0.78</v>
      </c>
      <c r="L87" s="30">
        <f t="shared" si="17"/>
        <v>0.78</v>
      </c>
      <c r="M87" s="30">
        <f t="shared" si="18"/>
        <v>2.0000000000000018E-2</v>
      </c>
      <c r="N87" s="56">
        <f t="shared" si="19"/>
        <v>2.5000000000000022E-2</v>
      </c>
      <c r="O87" s="27" t="s">
        <v>157</v>
      </c>
    </row>
    <row r="88" spans="1:15" x14ac:dyDescent="0.35">
      <c r="A88" s="88">
        <v>1800006678</v>
      </c>
      <c r="B88" s="27" t="s">
        <v>5</v>
      </c>
      <c r="C88" s="28">
        <v>45762</v>
      </c>
      <c r="D88" s="29">
        <v>256779411569</v>
      </c>
      <c r="E88" s="27" t="s">
        <v>46</v>
      </c>
      <c r="F88" s="30">
        <v>13.85</v>
      </c>
      <c r="G88" s="30">
        <f t="shared" si="7"/>
        <v>13.85</v>
      </c>
      <c r="H88" s="27" t="s">
        <v>42</v>
      </c>
      <c r="I88" s="30">
        <v>1203.8699999999999</v>
      </c>
      <c r="J88" s="30" cm="1">
        <f t="array" ref="J88:K88">_xlfn.XLOOKUP(D88,'Customer Data Vlookup'!$L:$L,'Customer Data Vlookup'!$M:$N,,0)</f>
        <v>0</v>
      </c>
      <c r="K88" s="30">
        <v>13.57</v>
      </c>
      <c r="L88" s="30">
        <f t="shared" si="17"/>
        <v>13.57</v>
      </c>
      <c r="M88" s="30">
        <f t="shared" si="18"/>
        <v>0.27999999999999936</v>
      </c>
      <c r="N88" s="56">
        <f t="shared" si="19"/>
        <v>2.02166064981949E-2</v>
      </c>
      <c r="O88" s="27" t="s">
        <v>157</v>
      </c>
    </row>
    <row r="89" spans="1:15" x14ac:dyDescent="0.35">
      <c r="A89" s="88">
        <v>1800006679</v>
      </c>
      <c r="B89" s="27" t="s">
        <v>5</v>
      </c>
      <c r="C89" s="28">
        <v>45762</v>
      </c>
      <c r="D89" s="29">
        <v>256779411570</v>
      </c>
      <c r="E89" s="27" t="s">
        <v>46</v>
      </c>
      <c r="F89" s="30">
        <v>18.149999999999999</v>
      </c>
      <c r="G89" s="30">
        <f t="shared" si="7"/>
        <v>18.149999999999999</v>
      </c>
      <c r="H89" s="27" t="s">
        <v>42</v>
      </c>
      <c r="I89" s="30">
        <v>1577.63</v>
      </c>
      <c r="J89" s="30" cm="1">
        <f t="array" ref="J89:K89">_xlfn.XLOOKUP(D89,'Customer Data Vlookup'!$L:$L,'Customer Data Vlookup'!$M:$N,,0)</f>
        <v>0</v>
      </c>
      <c r="K89" s="30">
        <v>17.79</v>
      </c>
      <c r="L89" s="30">
        <f t="shared" si="17"/>
        <v>17.79</v>
      </c>
      <c r="M89" s="30">
        <f t="shared" si="18"/>
        <v>0.35999999999999943</v>
      </c>
      <c r="N89" s="56">
        <f t="shared" si="19"/>
        <v>1.9834710743801623E-2</v>
      </c>
      <c r="O89" s="27" t="s">
        <v>157</v>
      </c>
    </row>
    <row r="90" spans="1:15" x14ac:dyDescent="0.35">
      <c r="A90" s="88">
        <v>1800006680</v>
      </c>
      <c r="B90" s="27" t="s">
        <v>5</v>
      </c>
      <c r="C90" s="28">
        <v>45762</v>
      </c>
      <c r="D90" s="29">
        <v>256779411571</v>
      </c>
      <c r="E90" s="27" t="s">
        <v>46</v>
      </c>
      <c r="F90" s="30">
        <v>21.36</v>
      </c>
      <c r="G90" s="30">
        <f t="shared" si="7"/>
        <v>21.36</v>
      </c>
      <c r="H90" s="27" t="s">
        <v>42</v>
      </c>
      <c r="I90" s="30">
        <v>1856.65</v>
      </c>
      <c r="J90" s="30" cm="1">
        <f t="array" ref="J90:K90">_xlfn.XLOOKUP(D90,'Customer Data Vlookup'!$L:$L,'Customer Data Vlookup'!$M:$N,,0)</f>
        <v>0</v>
      </c>
      <c r="K90" s="30">
        <v>20.93</v>
      </c>
      <c r="L90" s="30">
        <f t="shared" si="17"/>
        <v>20.93</v>
      </c>
      <c r="M90" s="30">
        <f t="shared" si="18"/>
        <v>0.42999999999999972</v>
      </c>
      <c r="N90" s="56">
        <f t="shared" si="19"/>
        <v>2.0131086142322084E-2</v>
      </c>
      <c r="O90" s="27" t="s">
        <v>157</v>
      </c>
    </row>
    <row r="91" spans="1:15" x14ac:dyDescent="0.35">
      <c r="A91" s="88">
        <v>1800006681</v>
      </c>
      <c r="B91" s="27" t="s">
        <v>5</v>
      </c>
      <c r="C91" s="28">
        <v>45762</v>
      </c>
      <c r="D91" s="29">
        <v>256779411572</v>
      </c>
      <c r="E91" s="27" t="s">
        <v>46</v>
      </c>
      <c r="F91" s="30">
        <v>1.97</v>
      </c>
      <c r="G91" s="30">
        <f t="shared" si="7"/>
        <v>1.97</v>
      </c>
      <c r="H91" s="27" t="s">
        <v>42</v>
      </c>
      <c r="I91" s="30">
        <v>171.24</v>
      </c>
      <c r="J91" s="30" cm="1">
        <f t="array" ref="J91:K91">_xlfn.XLOOKUP(D91,'Customer Data Vlookup'!$L:$L,'Customer Data Vlookup'!$M:$N,,0)</f>
        <v>0</v>
      </c>
      <c r="K91" s="30">
        <v>1.93</v>
      </c>
      <c r="L91" s="30">
        <f t="shared" si="17"/>
        <v>1.93</v>
      </c>
      <c r="M91" s="30">
        <f t="shared" si="18"/>
        <v>4.0000000000000036E-2</v>
      </c>
      <c r="N91" s="56">
        <f t="shared" si="19"/>
        <v>2.0304568527918801E-2</v>
      </c>
      <c r="O91" s="27" t="s">
        <v>157</v>
      </c>
    </row>
    <row r="92" spans="1:15" x14ac:dyDescent="0.35">
      <c r="A92" s="88">
        <v>1800006682</v>
      </c>
      <c r="B92" s="27" t="s">
        <v>5</v>
      </c>
      <c r="C92" s="28">
        <v>45762</v>
      </c>
      <c r="D92" s="29">
        <v>256779411573</v>
      </c>
      <c r="E92" s="27" t="s">
        <v>46</v>
      </c>
      <c r="F92" s="30">
        <v>24.21</v>
      </c>
      <c r="G92" s="30">
        <f t="shared" si="7"/>
        <v>24.21</v>
      </c>
      <c r="H92" s="27" t="s">
        <v>42</v>
      </c>
      <c r="I92" s="30">
        <v>2104.38</v>
      </c>
      <c r="J92" s="30" cm="1">
        <f t="array" ref="J92:K92">_xlfn.XLOOKUP(D92,'Customer Data Vlookup'!$L:$L,'Customer Data Vlookup'!$M:$N,,0)</f>
        <v>0</v>
      </c>
      <c r="K92" s="30">
        <v>23.73</v>
      </c>
      <c r="L92" s="30">
        <f t="shared" si="17"/>
        <v>23.73</v>
      </c>
      <c r="M92" s="30">
        <f t="shared" si="18"/>
        <v>0.48000000000000043</v>
      </c>
      <c r="N92" s="56">
        <f t="shared" si="19"/>
        <v>1.9826517967781926E-2</v>
      </c>
      <c r="O92" s="27" t="s">
        <v>157</v>
      </c>
    </row>
    <row r="93" spans="1:15" x14ac:dyDescent="0.35">
      <c r="A93" s="88">
        <v>1800006683</v>
      </c>
      <c r="B93" s="27" t="s">
        <v>5</v>
      </c>
      <c r="C93" s="28">
        <v>45762</v>
      </c>
      <c r="D93" s="29">
        <v>256779411574</v>
      </c>
      <c r="E93" s="27" t="s">
        <v>46</v>
      </c>
      <c r="F93" s="30">
        <v>14.7</v>
      </c>
      <c r="G93" s="30">
        <f t="shared" si="7"/>
        <v>14.7</v>
      </c>
      <c r="H93" s="27" t="s">
        <v>42</v>
      </c>
      <c r="I93" s="30">
        <v>1277.75</v>
      </c>
      <c r="J93" s="30" cm="1">
        <f t="array" ref="J93:K93">_xlfn.XLOOKUP(D93,'Customer Data Vlookup'!$L:$L,'Customer Data Vlookup'!$M:$N,,0)</f>
        <v>0</v>
      </c>
      <c r="K93" s="30">
        <v>14.41</v>
      </c>
      <c r="L93" s="30">
        <f t="shared" si="17"/>
        <v>14.41</v>
      </c>
      <c r="M93" s="30">
        <f t="shared" si="18"/>
        <v>0.28999999999999915</v>
      </c>
      <c r="N93" s="56">
        <f t="shared" si="19"/>
        <v>1.9727891156462528E-2</v>
      </c>
      <c r="O93" s="27" t="s">
        <v>157</v>
      </c>
    </row>
    <row r="94" spans="1:15" x14ac:dyDescent="0.35">
      <c r="A94" s="88">
        <v>1800006684</v>
      </c>
      <c r="B94" s="27" t="s">
        <v>5</v>
      </c>
      <c r="C94" s="28">
        <v>45762</v>
      </c>
      <c r="D94" s="29">
        <v>256779411575</v>
      </c>
      <c r="E94" s="27" t="s">
        <v>46</v>
      </c>
      <c r="F94" s="30">
        <v>22.35</v>
      </c>
      <c r="G94" s="30">
        <f t="shared" si="7"/>
        <v>22.35</v>
      </c>
      <c r="H94" s="27" t="s">
        <v>42</v>
      </c>
      <c r="I94" s="30">
        <v>1942.7</v>
      </c>
      <c r="J94" s="30" cm="1">
        <f t="array" ref="J94:K94">_xlfn.XLOOKUP(D94,'Customer Data Vlookup'!$L:$L,'Customer Data Vlookup'!$M:$N,,0)</f>
        <v>0</v>
      </c>
      <c r="K94" s="30">
        <v>21.902999999999999</v>
      </c>
      <c r="L94" s="30">
        <f t="shared" si="17"/>
        <v>21.902999999999999</v>
      </c>
      <c r="M94" s="30">
        <f t="shared" si="18"/>
        <v>0.44700000000000273</v>
      </c>
      <c r="N94" s="56">
        <f t="shared" si="19"/>
        <v>2.0000000000000122E-2</v>
      </c>
      <c r="O94" s="27" t="s">
        <v>157</v>
      </c>
    </row>
    <row r="95" spans="1:15" x14ac:dyDescent="0.35">
      <c r="A95" s="88">
        <v>1800006685</v>
      </c>
      <c r="B95" s="27" t="s">
        <v>5</v>
      </c>
      <c r="C95" s="28">
        <v>45762</v>
      </c>
      <c r="D95" s="29">
        <v>256779411576</v>
      </c>
      <c r="E95" s="27" t="s">
        <v>46</v>
      </c>
      <c r="F95" s="30">
        <v>21.52</v>
      </c>
      <c r="G95" s="30">
        <f t="shared" si="7"/>
        <v>21.52</v>
      </c>
      <c r="H95" s="27" t="s">
        <v>42</v>
      </c>
      <c r="I95" s="30">
        <v>1870.56</v>
      </c>
      <c r="J95" s="30" cm="1">
        <f t="array" ref="J95:K95">_xlfn.XLOOKUP(D95,'Customer Data Vlookup'!$L:$L,'Customer Data Vlookup'!$M:$N,,0)</f>
        <v>0</v>
      </c>
      <c r="K95" s="30">
        <v>21.09</v>
      </c>
      <c r="L95" s="30">
        <f t="shared" si="17"/>
        <v>21.09</v>
      </c>
      <c r="M95" s="30">
        <f t="shared" si="18"/>
        <v>0.42999999999999972</v>
      </c>
      <c r="N95" s="56">
        <f t="shared" si="19"/>
        <v>1.9981412639405192E-2</v>
      </c>
      <c r="O95" s="27" t="s">
        <v>157</v>
      </c>
    </row>
    <row r="96" spans="1:15" x14ac:dyDescent="0.35">
      <c r="A96" s="88">
        <v>1800006686</v>
      </c>
      <c r="B96" s="27" t="s">
        <v>5</v>
      </c>
      <c r="C96" s="28">
        <v>45762</v>
      </c>
      <c r="D96" s="29">
        <v>256779411577</v>
      </c>
      <c r="E96" s="27" t="s">
        <v>46</v>
      </c>
      <c r="F96" s="30">
        <v>1.54</v>
      </c>
      <c r="G96" s="30">
        <f t="shared" si="7"/>
        <v>1.54</v>
      </c>
      <c r="H96" s="27" t="s">
        <v>42</v>
      </c>
      <c r="I96" s="30">
        <v>133.86000000000001</v>
      </c>
      <c r="J96" s="30" cm="1">
        <f t="array" ref="J96:K96">_xlfn.XLOOKUP(D96,'Customer Data Vlookup'!$L:$L,'Customer Data Vlookup'!$M:$N,,0)</f>
        <v>0</v>
      </c>
      <c r="K96" s="30">
        <v>1.51</v>
      </c>
      <c r="L96" s="30">
        <f t="shared" si="17"/>
        <v>1.51</v>
      </c>
      <c r="M96" s="30">
        <f t="shared" si="18"/>
        <v>3.0000000000000027E-2</v>
      </c>
      <c r="N96" s="56">
        <f t="shared" si="19"/>
        <v>1.9480519480519497E-2</v>
      </c>
      <c r="O96" s="27" t="s">
        <v>157</v>
      </c>
    </row>
    <row r="97" spans="1:15" x14ac:dyDescent="0.35">
      <c r="A97" s="88">
        <v>1800006687</v>
      </c>
      <c r="B97" s="27" t="s">
        <v>5</v>
      </c>
      <c r="C97" s="28">
        <v>45762</v>
      </c>
      <c r="D97" s="29">
        <v>256779411578</v>
      </c>
      <c r="E97" s="27" t="s">
        <v>46</v>
      </c>
      <c r="F97" s="30">
        <v>7.19</v>
      </c>
      <c r="G97" s="30">
        <f t="shared" si="7"/>
        <v>7.19</v>
      </c>
      <c r="H97" s="27" t="s">
        <v>42</v>
      </c>
      <c r="I97" s="30">
        <v>624.97</v>
      </c>
      <c r="J97" s="30" cm="1">
        <f t="array" ref="J97:K97">_xlfn.XLOOKUP(D97,'Customer Data Vlookup'!$L:$L,'Customer Data Vlookup'!$M:$N,,0)</f>
        <v>0</v>
      </c>
      <c r="K97" s="30">
        <v>7.05</v>
      </c>
      <c r="L97" s="30">
        <f t="shared" si="17"/>
        <v>7.05</v>
      </c>
      <c r="M97" s="30">
        <f t="shared" si="18"/>
        <v>0.14000000000000057</v>
      </c>
      <c r="N97" s="56">
        <f t="shared" si="19"/>
        <v>1.9471488178025114E-2</v>
      </c>
      <c r="O97" s="27" t="s">
        <v>157</v>
      </c>
    </row>
    <row r="98" spans="1:15" x14ac:dyDescent="0.35">
      <c r="A98" s="88">
        <v>1800006688</v>
      </c>
      <c r="B98" s="27" t="s">
        <v>5</v>
      </c>
      <c r="C98" s="28">
        <v>45762</v>
      </c>
      <c r="D98" s="29">
        <v>256779411579</v>
      </c>
      <c r="E98" s="27" t="s">
        <v>46</v>
      </c>
      <c r="F98" s="30">
        <v>4.8499999999999996</v>
      </c>
      <c r="G98" s="30">
        <f t="shared" si="7"/>
        <v>4.8499999999999996</v>
      </c>
      <c r="H98" s="27" t="s">
        <v>42</v>
      </c>
      <c r="I98" s="30">
        <v>421.57</v>
      </c>
      <c r="J98" s="30" cm="1">
        <f t="array" ref="J98:K98">_xlfn.XLOOKUP(D98,'Customer Data Vlookup'!$L:$L,'Customer Data Vlookup'!$M:$N,,0)</f>
        <v>0</v>
      </c>
      <c r="K98" s="30">
        <v>4.75</v>
      </c>
      <c r="L98" s="30">
        <f t="shared" si="17"/>
        <v>4.75</v>
      </c>
      <c r="M98" s="30">
        <f t="shared" si="18"/>
        <v>9.9999999999999645E-2</v>
      </c>
      <c r="N98" s="56">
        <f t="shared" si="19"/>
        <v>2.0618556701030855E-2</v>
      </c>
      <c r="O98" s="27" t="s">
        <v>157</v>
      </c>
    </row>
    <row r="99" spans="1:15" x14ac:dyDescent="0.35">
      <c r="A99" s="88">
        <v>1800006689</v>
      </c>
      <c r="B99" s="27" t="s">
        <v>5</v>
      </c>
      <c r="C99" s="28">
        <v>45762</v>
      </c>
      <c r="D99" s="29">
        <v>256779411580</v>
      </c>
      <c r="E99" s="27" t="s">
        <v>46</v>
      </c>
      <c r="F99" s="30">
        <v>21.76</v>
      </c>
      <c r="G99" s="30">
        <f t="shared" si="7"/>
        <v>21.76</v>
      </c>
      <c r="H99" s="27" t="s">
        <v>42</v>
      </c>
      <c r="I99" s="30">
        <v>1891.42</v>
      </c>
      <c r="J99" s="30" cm="1">
        <f t="array" ref="J99:K99">_xlfn.XLOOKUP(D99,'Customer Data Vlookup'!$L:$L,'Customer Data Vlookup'!$M:$N,,0)</f>
        <v>0</v>
      </c>
      <c r="K99" s="30">
        <v>21.32</v>
      </c>
      <c r="L99" s="30">
        <f t="shared" si="17"/>
        <v>21.32</v>
      </c>
      <c r="M99" s="30">
        <f t="shared" si="18"/>
        <v>0.44000000000000128</v>
      </c>
      <c r="N99" s="56">
        <f t="shared" si="19"/>
        <v>2.0220588235294174E-2</v>
      </c>
      <c r="O99" s="27" t="s">
        <v>157</v>
      </c>
    </row>
    <row r="100" spans="1:15" x14ac:dyDescent="0.35">
      <c r="A100" s="88">
        <v>1800006690</v>
      </c>
      <c r="B100" s="27" t="s">
        <v>5</v>
      </c>
      <c r="C100" s="28">
        <v>45762</v>
      </c>
      <c r="D100" s="29">
        <v>256779411581</v>
      </c>
      <c r="E100" s="27" t="s">
        <v>46</v>
      </c>
      <c r="F100" s="30">
        <v>2.2000000000000002</v>
      </c>
      <c r="G100" s="30">
        <f t="shared" si="7"/>
        <v>2.2000000000000002</v>
      </c>
      <c r="H100" s="27" t="s">
        <v>42</v>
      </c>
      <c r="I100" s="30">
        <v>191.23</v>
      </c>
      <c r="J100" s="30" cm="1">
        <f t="array" ref="J100:K100">_xlfn.XLOOKUP(D100,'Customer Data Vlookup'!$L:$L,'Customer Data Vlookup'!$M:$N,,0)</f>
        <v>0</v>
      </c>
      <c r="K100" s="30">
        <v>2.16</v>
      </c>
      <c r="L100" s="30">
        <f t="shared" si="17"/>
        <v>2.16</v>
      </c>
      <c r="M100" s="30">
        <f t="shared" si="18"/>
        <v>4.0000000000000036E-2</v>
      </c>
      <c r="N100" s="56">
        <f t="shared" si="19"/>
        <v>1.8181818181818195E-2</v>
      </c>
      <c r="O100" s="27" t="s">
        <v>157</v>
      </c>
    </row>
    <row r="101" spans="1:15" x14ac:dyDescent="0.35">
      <c r="A101" s="88">
        <v>1800006691</v>
      </c>
      <c r="B101" s="27" t="s">
        <v>5</v>
      </c>
      <c r="C101" s="28">
        <v>45762</v>
      </c>
      <c r="D101" s="29">
        <v>256779411582</v>
      </c>
      <c r="E101" s="27" t="s">
        <v>46</v>
      </c>
      <c r="F101" s="30">
        <v>1.1100000000000001</v>
      </c>
      <c r="G101" s="30">
        <f t="shared" si="7"/>
        <v>1.1100000000000001</v>
      </c>
      <c r="H101" s="27" t="s">
        <v>42</v>
      </c>
      <c r="I101" s="30">
        <v>96.48</v>
      </c>
      <c r="J101" s="30" cm="1">
        <f t="array" ref="J101:K101">_xlfn.XLOOKUP(D101,'Customer Data Vlookup'!$L:$L,'Customer Data Vlookup'!$M:$N,,0)</f>
        <v>0</v>
      </c>
      <c r="K101" s="30">
        <v>1.0900000000000001</v>
      </c>
      <c r="L101" s="30">
        <f t="shared" si="17"/>
        <v>1.0900000000000001</v>
      </c>
      <c r="M101" s="30">
        <f t="shared" si="18"/>
        <v>2.0000000000000018E-2</v>
      </c>
      <c r="N101" s="56">
        <f t="shared" si="19"/>
        <v>1.8018018018018032E-2</v>
      </c>
      <c r="O101" s="27" t="s">
        <v>157</v>
      </c>
    </row>
    <row r="102" spans="1:15" x14ac:dyDescent="0.35">
      <c r="A102" s="88">
        <v>1800006692</v>
      </c>
      <c r="B102" s="27" t="s">
        <v>5</v>
      </c>
      <c r="C102" s="28">
        <v>45762</v>
      </c>
      <c r="D102" s="29">
        <v>256779411583</v>
      </c>
      <c r="E102" s="27" t="s">
        <v>46</v>
      </c>
      <c r="F102" s="30">
        <v>11</v>
      </c>
      <c r="G102" s="30">
        <f t="shared" si="7"/>
        <v>11</v>
      </c>
      <c r="H102" s="27" t="s">
        <v>42</v>
      </c>
      <c r="I102" s="30">
        <v>956.14</v>
      </c>
      <c r="J102" s="30" cm="1">
        <f t="array" ref="J102:K102">_xlfn.XLOOKUP(D102,'Customer Data Vlookup'!$L:$L,'Customer Data Vlookup'!$M:$N,,0)</f>
        <v>0</v>
      </c>
      <c r="K102" s="30">
        <v>10.78</v>
      </c>
      <c r="L102" s="30">
        <f t="shared" si="17"/>
        <v>10.78</v>
      </c>
      <c r="M102" s="30">
        <f t="shared" si="18"/>
        <v>0.22000000000000064</v>
      </c>
      <c r="N102" s="56">
        <f t="shared" si="19"/>
        <v>2.0000000000000059E-2</v>
      </c>
      <c r="O102" s="27" t="s">
        <v>157</v>
      </c>
    </row>
    <row r="103" spans="1:15" x14ac:dyDescent="0.35">
      <c r="A103" s="88">
        <v>1800006693</v>
      </c>
      <c r="B103" s="27" t="s">
        <v>5</v>
      </c>
      <c r="C103" s="28">
        <v>45762</v>
      </c>
      <c r="D103" s="29">
        <v>256779411584</v>
      </c>
      <c r="E103" s="27" t="s">
        <v>46</v>
      </c>
      <c r="F103" s="30">
        <v>23.21</v>
      </c>
      <c r="G103" s="30">
        <f t="shared" si="7"/>
        <v>23.21</v>
      </c>
      <c r="H103" s="27" t="s">
        <v>42</v>
      </c>
      <c r="I103" s="30">
        <v>2017.46</v>
      </c>
      <c r="J103" s="30" cm="1">
        <f t="array" ref="J103:K103">_xlfn.XLOOKUP(D103,'Customer Data Vlookup'!$L:$L,'Customer Data Vlookup'!$M:$N,,0)</f>
        <v>0</v>
      </c>
      <c r="K103" s="30">
        <v>22.75</v>
      </c>
      <c r="L103" s="30">
        <f t="shared" si="17"/>
        <v>22.75</v>
      </c>
      <c r="M103" s="30">
        <f t="shared" si="18"/>
        <v>0.46000000000000085</v>
      </c>
      <c r="N103" s="56">
        <f t="shared" si="19"/>
        <v>1.9819043515726015E-2</v>
      </c>
      <c r="O103" s="27" t="s">
        <v>157</v>
      </c>
    </row>
    <row r="104" spans="1:15" x14ac:dyDescent="0.35">
      <c r="A104" s="88">
        <v>1800006694</v>
      </c>
      <c r="B104" s="27" t="s">
        <v>5</v>
      </c>
      <c r="C104" s="28">
        <v>45762</v>
      </c>
      <c r="D104" s="29">
        <v>256779411585</v>
      </c>
      <c r="E104" s="27" t="s">
        <v>46</v>
      </c>
      <c r="F104" s="30">
        <v>7.81</v>
      </c>
      <c r="G104" s="30">
        <f t="shared" si="7"/>
        <v>7.81</v>
      </c>
      <c r="H104" s="27" t="s">
        <v>42</v>
      </c>
      <c r="I104" s="30">
        <v>678.86</v>
      </c>
      <c r="J104" s="30" cm="1">
        <f t="array" ref="J104:K104">_xlfn.XLOOKUP(D104,'Customer Data Vlookup'!$L:$L,'Customer Data Vlookup'!$M:$N,,0)</f>
        <v>0</v>
      </c>
      <c r="K104" s="30">
        <v>7.65</v>
      </c>
      <c r="L104" s="30">
        <f t="shared" si="17"/>
        <v>7.65</v>
      </c>
      <c r="M104" s="30">
        <f t="shared" si="18"/>
        <v>0.15999999999999925</v>
      </c>
      <c r="N104" s="56">
        <f t="shared" si="19"/>
        <v>2.0486555697823209E-2</v>
      </c>
      <c r="O104" s="27" t="s">
        <v>157</v>
      </c>
    </row>
    <row r="105" spans="1:15" x14ac:dyDescent="0.35">
      <c r="A105" s="88">
        <v>1600002472</v>
      </c>
      <c r="B105" s="27" t="s">
        <v>4</v>
      </c>
      <c r="C105" s="28">
        <v>45947</v>
      </c>
      <c r="D105" s="29">
        <v>256779422014</v>
      </c>
      <c r="E105" s="27" t="s">
        <v>46</v>
      </c>
      <c r="F105" s="30">
        <v>-136.47999999999999</v>
      </c>
      <c r="G105" s="30">
        <f t="shared" si="7"/>
        <v>-136.47999999999999</v>
      </c>
      <c r="H105" s="27" t="s">
        <v>42</v>
      </c>
      <c r="I105" s="30">
        <v>-12036.28</v>
      </c>
      <c r="J105" s="30" t="e" cm="1">
        <f t="array" ref="J105">_xlfn.XLOOKUP(D105,'Customer Data Vlookup'!$L:$L,'Customer Data Vlookup'!$M:$N,,0)</f>
        <v>#N/A</v>
      </c>
      <c r="K105" s="30"/>
      <c r="L105" s="30"/>
      <c r="M105" s="30"/>
      <c r="N105" s="56"/>
      <c r="O105" s="27" t="s">
        <v>179</v>
      </c>
    </row>
    <row r="106" spans="1:15" x14ac:dyDescent="0.35">
      <c r="A106" s="88">
        <v>1800006996</v>
      </c>
      <c r="B106" s="27" t="s">
        <v>5</v>
      </c>
      <c r="C106" s="28">
        <v>45763</v>
      </c>
      <c r="D106" s="29">
        <v>256779411887</v>
      </c>
      <c r="E106" s="27" t="s">
        <v>46</v>
      </c>
      <c r="F106" s="30">
        <v>71.22</v>
      </c>
      <c r="G106" s="30">
        <f t="shared" si="7"/>
        <v>71.22</v>
      </c>
      <c r="H106" s="27" t="s">
        <v>42</v>
      </c>
      <c r="I106" s="30">
        <v>6190.57</v>
      </c>
      <c r="J106" s="30" cm="1">
        <f t="array" ref="J106:K106">_xlfn.XLOOKUP(D106,'Customer Data Vlookup'!$L:$L,'Customer Data Vlookup'!$M:$N,,0)</f>
        <v>0</v>
      </c>
      <c r="K106" s="30">
        <v>69.795599999999993</v>
      </c>
      <c r="L106" s="30">
        <f t="shared" ref="L106:L113" si="20">K106-J106</f>
        <v>69.795599999999993</v>
      </c>
      <c r="M106" s="30">
        <f t="shared" ref="M106:M113" si="21">F106-L106</f>
        <v>1.4244000000000057</v>
      </c>
      <c r="N106" s="56">
        <f t="shared" ref="N106:N113" si="22">M106/F106</f>
        <v>2.000000000000008E-2</v>
      </c>
      <c r="O106" s="27" t="s">
        <v>181</v>
      </c>
    </row>
    <row r="107" spans="1:15" x14ac:dyDescent="0.35">
      <c r="A107" s="88">
        <v>1800007093</v>
      </c>
      <c r="B107" s="27" t="s">
        <v>5</v>
      </c>
      <c r="C107" s="28">
        <v>45763</v>
      </c>
      <c r="D107" s="29">
        <v>256779411984</v>
      </c>
      <c r="E107" s="27" t="s">
        <v>46</v>
      </c>
      <c r="F107" s="30">
        <v>39.54</v>
      </c>
      <c r="G107" s="30">
        <f t="shared" ref="G107:G170" si="23">F107</f>
        <v>39.54</v>
      </c>
      <c r="H107" s="27" t="s">
        <v>42</v>
      </c>
      <c r="I107" s="30">
        <v>3436.89</v>
      </c>
      <c r="J107" s="30" cm="1">
        <f t="array" ref="J107:K107">_xlfn.XLOOKUP(D107,'Customer Data Vlookup'!$L:$L,'Customer Data Vlookup'!$M:$N,,0)</f>
        <v>0</v>
      </c>
      <c r="K107" s="30">
        <v>38.749200000000002</v>
      </c>
      <c r="L107" s="30">
        <f t="shared" si="20"/>
        <v>38.749200000000002</v>
      </c>
      <c r="M107" s="30">
        <f t="shared" si="21"/>
        <v>0.79079999999999728</v>
      </c>
      <c r="N107" s="56">
        <f t="shared" si="22"/>
        <v>1.9999999999999931E-2</v>
      </c>
      <c r="O107" s="27" t="s">
        <v>183</v>
      </c>
    </row>
    <row r="108" spans="1:15" x14ac:dyDescent="0.35">
      <c r="A108" s="88">
        <v>1800007129</v>
      </c>
      <c r="B108" s="27" t="s">
        <v>5</v>
      </c>
      <c r="C108" s="28">
        <v>45763</v>
      </c>
      <c r="D108" s="29">
        <v>256779412020</v>
      </c>
      <c r="E108" s="27" t="s">
        <v>46</v>
      </c>
      <c r="F108" s="30">
        <v>85.21</v>
      </c>
      <c r="G108" s="30">
        <f t="shared" si="23"/>
        <v>85.21</v>
      </c>
      <c r="H108" s="27" t="s">
        <v>42</v>
      </c>
      <c r="I108" s="30">
        <v>7406.61</v>
      </c>
      <c r="J108" s="30" cm="1">
        <f t="array" ref="J108:K108">_xlfn.XLOOKUP(D108,'Customer Data Vlookup'!$L:$L,'Customer Data Vlookup'!$M:$N,,0)</f>
        <v>0</v>
      </c>
      <c r="K108" s="30">
        <v>83.505799999999994</v>
      </c>
      <c r="L108" s="30">
        <f t="shared" si="20"/>
        <v>83.505799999999994</v>
      </c>
      <c r="M108" s="30">
        <f t="shared" si="21"/>
        <v>1.7042000000000002</v>
      </c>
      <c r="N108" s="56">
        <f t="shared" si="22"/>
        <v>2.0000000000000004E-2</v>
      </c>
      <c r="O108" s="27" t="s">
        <v>185</v>
      </c>
    </row>
    <row r="109" spans="1:15" x14ac:dyDescent="0.35">
      <c r="A109" s="88">
        <v>1800007210</v>
      </c>
      <c r="B109" s="27" t="s">
        <v>5</v>
      </c>
      <c r="C109" s="28">
        <v>45763</v>
      </c>
      <c r="D109" s="29">
        <v>256779412101</v>
      </c>
      <c r="E109" s="27" t="s">
        <v>46</v>
      </c>
      <c r="F109" s="30">
        <v>171.71</v>
      </c>
      <c r="G109" s="30">
        <f t="shared" si="23"/>
        <v>171.71</v>
      </c>
      <c r="H109" s="27" t="s">
        <v>42</v>
      </c>
      <c r="I109" s="30">
        <v>14925.35</v>
      </c>
      <c r="J109" s="30" cm="1">
        <f t="array" ref="J109:K109">_xlfn.XLOOKUP(D109,'Customer Data Vlookup'!$L:$L,'Customer Data Vlookup'!$M:$N,,0)</f>
        <v>0</v>
      </c>
      <c r="K109" s="30">
        <v>168.28</v>
      </c>
      <c r="L109" s="30">
        <f t="shared" si="20"/>
        <v>168.28</v>
      </c>
      <c r="M109" s="30">
        <f t="shared" si="21"/>
        <v>3.4300000000000068</v>
      </c>
      <c r="N109" s="56">
        <f t="shared" si="22"/>
        <v>1.9975540154912392E-2</v>
      </c>
      <c r="O109" s="27" t="s">
        <v>187</v>
      </c>
    </row>
    <row r="110" spans="1:15" x14ac:dyDescent="0.35">
      <c r="A110" s="88">
        <v>1800007235</v>
      </c>
      <c r="B110" s="27" t="s">
        <v>5</v>
      </c>
      <c r="C110" s="28">
        <v>45763</v>
      </c>
      <c r="D110" s="29">
        <v>256779412126</v>
      </c>
      <c r="E110" s="27" t="s">
        <v>46</v>
      </c>
      <c r="F110" s="30">
        <v>500.58</v>
      </c>
      <c r="G110" s="30">
        <f t="shared" si="23"/>
        <v>500.58</v>
      </c>
      <c r="H110" s="27" t="s">
        <v>42</v>
      </c>
      <c r="I110" s="30">
        <v>43511.32</v>
      </c>
      <c r="J110" s="30" cm="1">
        <f t="array" ref="J110:K110">_xlfn.XLOOKUP(D110,'Customer Data Vlookup'!$L:$L,'Customer Data Vlookup'!$M:$N,,0)</f>
        <v>0</v>
      </c>
      <c r="K110" s="30">
        <v>450.52199999999999</v>
      </c>
      <c r="L110" s="30">
        <f t="shared" si="20"/>
        <v>450.52199999999999</v>
      </c>
      <c r="M110" s="30">
        <f t="shared" si="21"/>
        <v>50.057999999999993</v>
      </c>
      <c r="N110" s="56">
        <f t="shared" si="22"/>
        <v>9.9999999999999992E-2</v>
      </c>
      <c r="O110" s="27" t="s">
        <v>189</v>
      </c>
    </row>
    <row r="111" spans="1:15" x14ac:dyDescent="0.35">
      <c r="A111" s="88">
        <v>1800011264</v>
      </c>
      <c r="B111" s="27" t="s">
        <v>5</v>
      </c>
      <c r="C111" s="28">
        <v>45863</v>
      </c>
      <c r="D111" s="29">
        <v>256779415996</v>
      </c>
      <c r="E111" s="27" t="s">
        <v>46</v>
      </c>
      <c r="F111" s="30">
        <v>755.58</v>
      </c>
      <c r="G111" s="30">
        <f t="shared" si="23"/>
        <v>755.58</v>
      </c>
      <c r="H111" s="27" t="s">
        <v>42</v>
      </c>
      <c r="I111" s="30">
        <v>64980.39</v>
      </c>
      <c r="J111" s="30" cm="1">
        <f t="array" ref="J111:K111">_xlfn.XLOOKUP(D111,'Customer Data Vlookup'!$L:$L,'Customer Data Vlookup'!$M:$N,,0)</f>
        <v>0</v>
      </c>
      <c r="K111" s="30">
        <v>740.47</v>
      </c>
      <c r="L111" s="30">
        <f t="shared" si="20"/>
        <v>740.47</v>
      </c>
      <c r="M111" s="30">
        <f t="shared" si="21"/>
        <v>15.110000000000014</v>
      </c>
      <c r="N111" s="56">
        <f t="shared" si="22"/>
        <v>1.9997882421451087E-2</v>
      </c>
      <c r="O111" s="27" t="s">
        <v>191</v>
      </c>
    </row>
    <row r="112" spans="1:15" x14ac:dyDescent="0.35">
      <c r="A112" s="88">
        <v>1800001581</v>
      </c>
      <c r="B112" s="27" t="s">
        <v>5</v>
      </c>
      <c r="C112" s="28">
        <v>45730</v>
      </c>
      <c r="D112" s="29">
        <v>246779412238</v>
      </c>
      <c r="E112" s="27" t="s">
        <v>46</v>
      </c>
      <c r="F112" s="30">
        <v>945.75</v>
      </c>
      <c r="G112" s="30">
        <f t="shared" si="23"/>
        <v>945.75</v>
      </c>
      <c r="H112" s="27" t="s">
        <v>42</v>
      </c>
      <c r="I112" s="30">
        <v>81988.259999999995</v>
      </c>
      <c r="J112" s="30" cm="1">
        <f t="array" ref="J112:K112">_xlfn.XLOOKUP(D112,'Customer Data Vlookup'!$L:$L,'Customer Data Vlookup'!$M:$N,,0)</f>
        <v>0</v>
      </c>
      <c r="K112" s="30">
        <v>0</v>
      </c>
      <c r="L112" s="30">
        <f t="shared" si="20"/>
        <v>0</v>
      </c>
      <c r="M112" s="30">
        <f t="shared" si="21"/>
        <v>945.75</v>
      </c>
      <c r="N112" s="56">
        <f t="shared" si="22"/>
        <v>1</v>
      </c>
      <c r="O112" s="27" t="s">
        <v>193</v>
      </c>
    </row>
    <row r="113" spans="1:15" x14ac:dyDescent="0.35">
      <c r="A113" s="88">
        <v>1800001784</v>
      </c>
      <c r="B113" s="27" t="s">
        <v>5</v>
      </c>
      <c r="C113" s="28">
        <v>45730</v>
      </c>
      <c r="D113" s="29">
        <v>246779411449</v>
      </c>
      <c r="E113" s="27" t="s">
        <v>46</v>
      </c>
      <c r="F113" s="30">
        <v>945.75</v>
      </c>
      <c r="G113" s="30">
        <f t="shared" si="23"/>
        <v>945.75</v>
      </c>
      <c r="H113" s="27" t="s">
        <v>42</v>
      </c>
      <c r="I113" s="30">
        <v>81988.259999999995</v>
      </c>
      <c r="J113" s="30" cm="1">
        <f t="array" ref="J113:K113">_xlfn.XLOOKUP(D113,'Customer Data Vlookup'!$L:$L,'Customer Data Vlookup'!$M:$N,,0)</f>
        <v>0</v>
      </c>
      <c r="K113" s="30">
        <v>926.83500000000004</v>
      </c>
      <c r="L113" s="30">
        <f t="shared" si="20"/>
        <v>926.83500000000004</v>
      </c>
      <c r="M113" s="30">
        <f t="shared" si="21"/>
        <v>18.914999999999964</v>
      </c>
      <c r="N113" s="56">
        <f t="shared" si="22"/>
        <v>1.9999999999999962E-2</v>
      </c>
      <c r="O113" s="27" t="s">
        <v>193</v>
      </c>
    </row>
    <row r="114" spans="1:15" x14ac:dyDescent="0.35">
      <c r="A114" s="88">
        <v>1600002155</v>
      </c>
      <c r="B114" s="27" t="s">
        <v>4</v>
      </c>
      <c r="C114" s="28">
        <v>45883</v>
      </c>
      <c r="D114" s="29">
        <v>256779421715</v>
      </c>
      <c r="E114" s="27" t="s">
        <v>46</v>
      </c>
      <c r="F114" s="30">
        <v>-2324.77</v>
      </c>
      <c r="G114" s="30">
        <f t="shared" si="23"/>
        <v>-2324.77</v>
      </c>
      <c r="H114" s="27" t="s">
        <v>42</v>
      </c>
      <c r="I114" s="30">
        <v>-200000.24</v>
      </c>
      <c r="J114" s="30" cm="1">
        <f t="array" ref="J114:K114">_xlfn.XLOOKUP(D114,'Customer Data Vlookup'!$L:$L,'Customer Data Vlookup'!$M:$N,,0)</f>
        <v>2092.2930000000001</v>
      </c>
      <c r="K114" s="30">
        <v>0</v>
      </c>
      <c r="L114" s="30">
        <f>J114</f>
        <v>2092.2930000000001</v>
      </c>
      <c r="M114" s="30">
        <f>F114+L114</f>
        <v>-232.47699999999986</v>
      </c>
      <c r="N114" s="56">
        <f>M114/F114</f>
        <v>9.9999999999999936E-2</v>
      </c>
      <c r="O114" s="27" t="s">
        <v>90</v>
      </c>
    </row>
    <row r="115" spans="1:15" x14ac:dyDescent="0.35">
      <c r="A115" s="88">
        <v>1800012461</v>
      </c>
      <c r="B115" s="27" t="s">
        <v>5</v>
      </c>
      <c r="C115" s="28">
        <v>45904</v>
      </c>
      <c r="D115" s="29">
        <v>256779417161</v>
      </c>
      <c r="E115" s="27" t="s">
        <v>46</v>
      </c>
      <c r="F115" s="30">
        <v>787.95</v>
      </c>
      <c r="G115" s="30">
        <f t="shared" si="23"/>
        <v>787.95</v>
      </c>
      <c r="H115" s="27" t="s">
        <v>42</v>
      </c>
      <c r="I115" s="30">
        <v>68956.92</v>
      </c>
      <c r="J115" s="30" cm="1">
        <f t="array" ref="J115:K115">_xlfn.XLOOKUP(D115,'Customer Data Vlookup'!$L:$L,'Customer Data Vlookup'!$M:$N,,0)</f>
        <v>0</v>
      </c>
      <c r="K115" s="30">
        <v>772.19100000000003</v>
      </c>
      <c r="L115" s="30">
        <f t="shared" ref="L115:L123" si="24">K115-J115</f>
        <v>772.19100000000003</v>
      </c>
      <c r="M115" s="30">
        <f t="shared" ref="M115:M123" si="25">F115-L115</f>
        <v>15.759000000000015</v>
      </c>
      <c r="N115" s="56">
        <f t="shared" ref="N115:N123" si="26">M115/F115</f>
        <v>2.0000000000000018E-2</v>
      </c>
      <c r="O115" s="27" t="s">
        <v>196</v>
      </c>
    </row>
    <row r="116" spans="1:15" x14ac:dyDescent="0.35">
      <c r="A116" s="88">
        <v>1800012559</v>
      </c>
      <c r="B116" s="27" t="s">
        <v>5</v>
      </c>
      <c r="C116" s="28">
        <v>45904</v>
      </c>
      <c r="D116" s="29">
        <v>256779417178</v>
      </c>
      <c r="E116" s="27" t="s">
        <v>46</v>
      </c>
      <c r="F116" s="30">
        <v>1560</v>
      </c>
      <c r="G116" s="30">
        <f t="shared" si="23"/>
        <v>1560</v>
      </c>
      <c r="H116" s="27" t="s">
        <v>42</v>
      </c>
      <c r="I116" s="30">
        <v>136522.35</v>
      </c>
      <c r="J116" s="30" cm="1">
        <f t="array" ref="J116:K116">_xlfn.XLOOKUP(D116,'Customer Data Vlookup'!$L:$L,'Customer Data Vlookup'!$M:$N,,0)</f>
        <v>0</v>
      </c>
      <c r="K116" s="30">
        <v>1528.8</v>
      </c>
      <c r="L116" s="30">
        <f t="shared" si="24"/>
        <v>1528.8</v>
      </c>
      <c r="M116" s="30">
        <f t="shared" si="25"/>
        <v>31.200000000000045</v>
      </c>
      <c r="N116" s="56">
        <f t="shared" si="26"/>
        <v>2.0000000000000028E-2</v>
      </c>
      <c r="O116" s="27" t="s">
        <v>198</v>
      </c>
    </row>
    <row r="117" spans="1:15" x14ac:dyDescent="0.35">
      <c r="A117" s="88">
        <v>1800012560</v>
      </c>
      <c r="B117" s="27" t="s">
        <v>5</v>
      </c>
      <c r="C117" s="28">
        <v>45904</v>
      </c>
      <c r="D117" s="29">
        <v>256779417179</v>
      </c>
      <c r="E117" s="27" t="s">
        <v>46</v>
      </c>
      <c r="F117" s="30">
        <v>1560</v>
      </c>
      <c r="G117" s="30">
        <f t="shared" si="23"/>
        <v>1560</v>
      </c>
      <c r="H117" s="27" t="s">
        <v>42</v>
      </c>
      <c r="I117" s="30">
        <v>136522.35</v>
      </c>
      <c r="J117" s="30" cm="1">
        <f t="array" ref="J117:K117">_xlfn.XLOOKUP(D117,'Customer Data Vlookup'!$L:$L,'Customer Data Vlookup'!$M:$N,,0)</f>
        <v>0</v>
      </c>
      <c r="K117" s="30">
        <v>1528.8</v>
      </c>
      <c r="L117" s="30">
        <f t="shared" si="24"/>
        <v>1528.8</v>
      </c>
      <c r="M117" s="30">
        <f t="shared" si="25"/>
        <v>31.200000000000045</v>
      </c>
      <c r="N117" s="56">
        <f t="shared" si="26"/>
        <v>2.0000000000000028E-2</v>
      </c>
      <c r="O117" s="27" t="s">
        <v>200</v>
      </c>
    </row>
    <row r="118" spans="1:15" x14ac:dyDescent="0.35">
      <c r="A118" s="88">
        <v>1800012561</v>
      </c>
      <c r="B118" s="27" t="s">
        <v>5</v>
      </c>
      <c r="C118" s="28">
        <v>45904</v>
      </c>
      <c r="D118" s="29">
        <v>256779417180</v>
      </c>
      <c r="E118" s="27" t="s">
        <v>46</v>
      </c>
      <c r="F118" s="30">
        <v>1799.1</v>
      </c>
      <c r="G118" s="30">
        <f t="shared" si="23"/>
        <v>1799.1</v>
      </c>
      <c r="H118" s="27" t="s">
        <v>42</v>
      </c>
      <c r="I118" s="30">
        <v>157447.03</v>
      </c>
      <c r="J118" s="30" cm="1">
        <f t="array" ref="J118:K118">_xlfn.XLOOKUP(D118,'Customer Data Vlookup'!$L:$L,'Customer Data Vlookup'!$M:$N,,0)</f>
        <v>0</v>
      </c>
      <c r="K118" s="30">
        <v>1748.15</v>
      </c>
      <c r="L118" s="30">
        <f t="shared" si="24"/>
        <v>1748.15</v>
      </c>
      <c r="M118" s="30">
        <f t="shared" si="25"/>
        <v>50.949999999999818</v>
      </c>
      <c r="N118" s="56">
        <f t="shared" si="26"/>
        <v>2.8319715413262087E-2</v>
      </c>
      <c r="O118" s="27" t="s">
        <v>202</v>
      </c>
    </row>
    <row r="119" spans="1:15" x14ac:dyDescent="0.35">
      <c r="A119" s="88">
        <v>1800012562</v>
      </c>
      <c r="B119" s="27" t="s">
        <v>5</v>
      </c>
      <c r="C119" s="28">
        <v>45904</v>
      </c>
      <c r="D119" s="29">
        <v>256779417181</v>
      </c>
      <c r="E119" s="27" t="s">
        <v>46</v>
      </c>
      <c r="F119" s="30">
        <v>1812</v>
      </c>
      <c r="G119" s="30">
        <f t="shared" si="23"/>
        <v>1812</v>
      </c>
      <c r="H119" s="27" t="s">
        <v>42</v>
      </c>
      <c r="I119" s="30">
        <v>158575.97</v>
      </c>
      <c r="J119" s="30" cm="1">
        <f t="array" ref="J119:K119">_xlfn.XLOOKUP(D119,'Customer Data Vlookup'!$L:$L,'Customer Data Vlookup'!$M:$N,,0)</f>
        <v>0</v>
      </c>
      <c r="K119" s="30">
        <v>1759.76</v>
      </c>
      <c r="L119" s="30">
        <f t="shared" si="24"/>
        <v>1759.76</v>
      </c>
      <c r="M119" s="30">
        <f t="shared" si="25"/>
        <v>52.240000000000009</v>
      </c>
      <c r="N119" s="56">
        <f t="shared" si="26"/>
        <v>2.8830022075055192E-2</v>
      </c>
      <c r="O119" s="27" t="s">
        <v>203</v>
      </c>
    </row>
    <row r="120" spans="1:15" x14ac:dyDescent="0.35">
      <c r="A120" s="88">
        <v>1800012619</v>
      </c>
      <c r="B120" s="27" t="s">
        <v>5</v>
      </c>
      <c r="C120" s="28">
        <v>45904</v>
      </c>
      <c r="D120" s="29">
        <v>256779417206</v>
      </c>
      <c r="E120" s="27" t="s">
        <v>46</v>
      </c>
      <c r="F120" s="30">
        <v>152.28</v>
      </c>
      <c r="G120" s="30">
        <f t="shared" si="23"/>
        <v>152.28</v>
      </c>
      <c r="H120" s="27" t="s">
        <v>42</v>
      </c>
      <c r="I120" s="30">
        <v>13326.68</v>
      </c>
      <c r="J120" s="30" cm="1">
        <f t="array" ref="J120:K120">_xlfn.XLOOKUP(D120,'Customer Data Vlookup'!$L:$L,'Customer Data Vlookup'!$M:$N,,0)</f>
        <v>0</v>
      </c>
      <c r="K120" s="30">
        <v>149.23439999999999</v>
      </c>
      <c r="L120" s="30">
        <f t="shared" si="24"/>
        <v>149.23439999999999</v>
      </c>
      <c r="M120" s="30">
        <f t="shared" si="25"/>
        <v>3.0456000000000074</v>
      </c>
      <c r="N120" s="56">
        <f t="shared" si="26"/>
        <v>2.0000000000000049E-2</v>
      </c>
      <c r="O120" s="27" t="s">
        <v>205</v>
      </c>
    </row>
    <row r="121" spans="1:15" x14ac:dyDescent="0.35">
      <c r="A121" s="88">
        <v>1800012587</v>
      </c>
      <c r="B121" s="27" t="s">
        <v>5</v>
      </c>
      <c r="C121" s="28">
        <v>45904</v>
      </c>
      <c r="D121" s="29">
        <v>256779417245</v>
      </c>
      <c r="E121" s="27" t="s">
        <v>46</v>
      </c>
      <c r="F121" s="30">
        <v>83.89</v>
      </c>
      <c r="G121" s="30">
        <f t="shared" si="23"/>
        <v>83.89</v>
      </c>
      <c r="H121" s="27" t="s">
        <v>42</v>
      </c>
      <c r="I121" s="30">
        <v>7341.58</v>
      </c>
      <c r="J121" s="30" cm="1">
        <f t="array" ref="J121:K121">_xlfn.XLOOKUP(D121,'Customer Data Vlookup'!$L:$L,'Customer Data Vlookup'!$M:$N,,0)</f>
        <v>0</v>
      </c>
      <c r="K121" s="30">
        <v>82.212199999999996</v>
      </c>
      <c r="L121" s="30">
        <f t="shared" si="24"/>
        <v>82.212199999999996</v>
      </c>
      <c r="M121" s="30">
        <f t="shared" si="25"/>
        <v>1.6778000000000048</v>
      </c>
      <c r="N121" s="56">
        <f t="shared" si="26"/>
        <v>2.0000000000000056E-2</v>
      </c>
      <c r="O121" s="27" t="s">
        <v>207</v>
      </c>
    </row>
    <row r="122" spans="1:15" x14ac:dyDescent="0.35">
      <c r="A122" s="88">
        <v>1800012647</v>
      </c>
      <c r="B122" s="27" t="s">
        <v>5</v>
      </c>
      <c r="C122" s="28">
        <v>45904</v>
      </c>
      <c r="D122" s="29">
        <v>256779417287</v>
      </c>
      <c r="E122" s="27" t="s">
        <v>46</v>
      </c>
      <c r="F122" s="30">
        <v>410.58</v>
      </c>
      <c r="G122" s="30">
        <f t="shared" si="23"/>
        <v>410.58</v>
      </c>
      <c r="H122" s="27" t="s">
        <v>42</v>
      </c>
      <c r="I122" s="30">
        <v>35931.629999999997</v>
      </c>
      <c r="J122" s="30" cm="1">
        <f t="array" ref="J122:K122">_xlfn.XLOOKUP(D122,'Customer Data Vlookup'!$L:$L,'Customer Data Vlookup'!$M:$N,,0)</f>
        <v>0</v>
      </c>
      <c r="K122" s="30">
        <v>402.36840000000001</v>
      </c>
      <c r="L122" s="30">
        <f t="shared" si="24"/>
        <v>402.36840000000001</v>
      </c>
      <c r="M122" s="30">
        <f t="shared" si="25"/>
        <v>8.2115999999999758</v>
      </c>
      <c r="N122" s="56">
        <f t="shared" si="26"/>
        <v>1.9999999999999941E-2</v>
      </c>
      <c r="O122" s="27" t="s">
        <v>209</v>
      </c>
    </row>
    <row r="123" spans="1:15" x14ac:dyDescent="0.35">
      <c r="A123" s="88">
        <v>1800012685</v>
      </c>
      <c r="B123" s="27" t="s">
        <v>5</v>
      </c>
      <c r="C123" s="28">
        <v>45904</v>
      </c>
      <c r="D123" s="29">
        <v>256779417325</v>
      </c>
      <c r="E123" s="27" t="s">
        <v>46</v>
      </c>
      <c r="F123" s="30">
        <v>97.84</v>
      </c>
      <c r="G123" s="30">
        <f t="shared" si="23"/>
        <v>97.84</v>
      </c>
      <c r="H123" s="27" t="s">
        <v>42</v>
      </c>
      <c r="I123" s="30">
        <v>8562.4</v>
      </c>
      <c r="J123" s="30" cm="1">
        <f t="array" ref="J123:K123">_xlfn.XLOOKUP(D123,'Customer Data Vlookup'!$L:$L,'Customer Data Vlookup'!$M:$N,,0)</f>
        <v>0</v>
      </c>
      <c r="K123" s="30">
        <v>95.883200000000002</v>
      </c>
      <c r="L123" s="30">
        <f t="shared" si="24"/>
        <v>95.883200000000002</v>
      </c>
      <c r="M123" s="30">
        <f t="shared" si="25"/>
        <v>1.9568000000000012</v>
      </c>
      <c r="N123" s="56">
        <f t="shared" si="26"/>
        <v>2.0000000000000011E-2</v>
      </c>
      <c r="O123" s="27" t="s">
        <v>211</v>
      </c>
    </row>
    <row r="124" spans="1:15" x14ac:dyDescent="0.35">
      <c r="A124" s="88">
        <v>1600002212</v>
      </c>
      <c r="B124" s="27" t="s">
        <v>4</v>
      </c>
      <c r="C124" s="28">
        <v>45904</v>
      </c>
      <c r="D124" s="29">
        <v>256779421767</v>
      </c>
      <c r="E124" s="27" t="s">
        <v>46</v>
      </c>
      <c r="F124" s="30">
        <v>-60</v>
      </c>
      <c r="G124" s="30">
        <f t="shared" si="23"/>
        <v>-60</v>
      </c>
      <c r="H124" s="27" t="s">
        <v>42</v>
      </c>
      <c r="I124" s="30">
        <v>-5250.86</v>
      </c>
      <c r="J124" s="30" t="e" cm="1">
        <f t="array" ref="J124">_xlfn.XLOOKUP(D124,'Customer Data Vlookup'!$L:$L,'Customer Data Vlookup'!$M:$N,,0)</f>
        <v>#N/A</v>
      </c>
      <c r="K124" s="30"/>
      <c r="L124" s="30"/>
      <c r="M124" s="30"/>
      <c r="N124" s="56"/>
      <c r="O124" s="27" t="s">
        <v>213</v>
      </c>
    </row>
    <row r="125" spans="1:15" x14ac:dyDescent="0.35">
      <c r="A125" s="88">
        <v>1600002213</v>
      </c>
      <c r="B125" s="27" t="s">
        <v>4</v>
      </c>
      <c r="C125" s="28">
        <v>45904</v>
      </c>
      <c r="D125" s="29">
        <v>256779421768</v>
      </c>
      <c r="E125" s="27" t="s">
        <v>46</v>
      </c>
      <c r="F125" s="30">
        <v>-60</v>
      </c>
      <c r="G125" s="30">
        <f t="shared" si="23"/>
        <v>-60</v>
      </c>
      <c r="H125" s="27" t="s">
        <v>42</v>
      </c>
      <c r="I125" s="30">
        <v>-5250.86</v>
      </c>
      <c r="J125" s="30" t="e" cm="1">
        <f t="array" ref="J125">_xlfn.XLOOKUP(D125,'Customer Data Vlookup'!$L:$L,'Customer Data Vlookup'!$M:$N,,0)</f>
        <v>#N/A</v>
      </c>
      <c r="K125" s="30"/>
      <c r="L125" s="30"/>
      <c r="M125" s="30"/>
      <c r="N125" s="56"/>
      <c r="O125" s="27" t="s">
        <v>215</v>
      </c>
    </row>
    <row r="126" spans="1:15" x14ac:dyDescent="0.35">
      <c r="A126" s="88">
        <v>1600002214</v>
      </c>
      <c r="B126" s="27" t="s">
        <v>4</v>
      </c>
      <c r="C126" s="28">
        <v>45904</v>
      </c>
      <c r="D126" s="29">
        <v>256779421769</v>
      </c>
      <c r="E126" s="27" t="s">
        <v>46</v>
      </c>
      <c r="F126" s="30">
        <v>-62</v>
      </c>
      <c r="G126" s="30">
        <f t="shared" si="23"/>
        <v>-62</v>
      </c>
      <c r="H126" s="27" t="s">
        <v>42</v>
      </c>
      <c r="I126" s="30">
        <v>-5425.89</v>
      </c>
      <c r="J126" s="30" t="e" cm="1">
        <f t="array" ref="J126">_xlfn.XLOOKUP(D126,'Customer Data Vlookup'!$L:$L,'Customer Data Vlookup'!$M:$N,,0)</f>
        <v>#N/A</v>
      </c>
      <c r="K126" s="30"/>
      <c r="L126" s="30"/>
      <c r="M126" s="30"/>
      <c r="N126" s="56"/>
      <c r="O126" s="27" t="s">
        <v>217</v>
      </c>
    </row>
    <row r="127" spans="1:15" x14ac:dyDescent="0.35">
      <c r="A127" s="88">
        <v>1600002215</v>
      </c>
      <c r="B127" s="27" t="s">
        <v>4</v>
      </c>
      <c r="C127" s="28">
        <v>45904</v>
      </c>
      <c r="D127" s="29">
        <v>256779421770</v>
      </c>
      <c r="E127" s="27" t="s">
        <v>46</v>
      </c>
      <c r="F127" s="30">
        <v>-62</v>
      </c>
      <c r="G127" s="30">
        <f t="shared" si="23"/>
        <v>-62</v>
      </c>
      <c r="H127" s="27" t="s">
        <v>42</v>
      </c>
      <c r="I127" s="30">
        <v>-5425.89</v>
      </c>
      <c r="J127" s="30" t="e" cm="1">
        <f t="array" ref="J127">_xlfn.XLOOKUP(D127,'Customer Data Vlookup'!$L:$L,'Customer Data Vlookup'!$M:$N,,0)</f>
        <v>#N/A</v>
      </c>
      <c r="K127" s="30"/>
      <c r="L127" s="30"/>
      <c r="M127" s="30"/>
      <c r="N127" s="56"/>
      <c r="O127" s="27" t="s">
        <v>219</v>
      </c>
    </row>
    <row r="128" spans="1:15" x14ac:dyDescent="0.35">
      <c r="A128" s="88">
        <v>1800010008</v>
      </c>
      <c r="B128" s="27" t="s">
        <v>5</v>
      </c>
      <c r="C128" s="28">
        <v>45842</v>
      </c>
      <c r="D128" s="29">
        <v>256779414772</v>
      </c>
      <c r="E128" s="27" t="s">
        <v>46</v>
      </c>
      <c r="F128" s="30">
        <v>220</v>
      </c>
      <c r="G128" s="30">
        <f t="shared" si="23"/>
        <v>220</v>
      </c>
      <c r="H128" s="27" t="s">
        <v>42</v>
      </c>
      <c r="I128" s="30">
        <v>18920.150000000001</v>
      </c>
      <c r="J128" s="30" cm="1">
        <f t="array" ref="J128:K128">_xlfn.XLOOKUP(D128,'Customer Data Vlookup'!$L:$L,'Customer Data Vlookup'!$M:$N,,0)</f>
        <v>0</v>
      </c>
      <c r="K128" s="30">
        <v>215.6</v>
      </c>
      <c r="L128" s="30">
        <f t="shared" ref="L128:L137" si="27">K128-J128</f>
        <v>215.6</v>
      </c>
      <c r="M128" s="30">
        <f t="shared" ref="M128:M137" si="28">F128-L128</f>
        <v>4.4000000000000057</v>
      </c>
      <c r="N128" s="56">
        <f t="shared" ref="N128:N137" si="29">M128/F128</f>
        <v>2.0000000000000025E-2</v>
      </c>
      <c r="O128" s="27" t="s">
        <v>221</v>
      </c>
    </row>
    <row r="129" spans="1:15" x14ac:dyDescent="0.35">
      <c r="A129" s="88">
        <v>1800010066</v>
      </c>
      <c r="B129" s="27" t="s">
        <v>5</v>
      </c>
      <c r="C129" s="28">
        <v>45842</v>
      </c>
      <c r="D129" s="29">
        <v>256779414830</v>
      </c>
      <c r="E129" s="27" t="s">
        <v>46</v>
      </c>
      <c r="F129" s="30">
        <v>142.32</v>
      </c>
      <c r="G129" s="30">
        <f t="shared" si="23"/>
        <v>142.32</v>
      </c>
      <c r="H129" s="27" t="s">
        <v>42</v>
      </c>
      <c r="I129" s="30">
        <v>12239.62</v>
      </c>
      <c r="J129" s="30" cm="1">
        <f t="array" ref="J129:K129">_xlfn.XLOOKUP(D129,'Customer Data Vlookup'!$L:$L,'Customer Data Vlookup'!$M:$N,,0)</f>
        <v>0</v>
      </c>
      <c r="K129" s="30">
        <v>139.4736</v>
      </c>
      <c r="L129" s="30">
        <f t="shared" si="27"/>
        <v>139.4736</v>
      </c>
      <c r="M129" s="30">
        <f t="shared" si="28"/>
        <v>2.8463999999999885</v>
      </c>
      <c r="N129" s="56">
        <f t="shared" si="29"/>
        <v>1.9999999999999921E-2</v>
      </c>
      <c r="O129" s="27" t="s">
        <v>223</v>
      </c>
    </row>
    <row r="130" spans="1:15" x14ac:dyDescent="0.35">
      <c r="A130" s="88">
        <v>1800010119</v>
      </c>
      <c r="B130" s="27" t="s">
        <v>5</v>
      </c>
      <c r="C130" s="28">
        <v>45842</v>
      </c>
      <c r="D130" s="29">
        <v>256779414879</v>
      </c>
      <c r="E130" s="27" t="s">
        <v>46</v>
      </c>
      <c r="F130" s="30">
        <v>1663.92</v>
      </c>
      <c r="G130" s="30">
        <f t="shared" si="23"/>
        <v>1663.92</v>
      </c>
      <c r="H130" s="27" t="s">
        <v>42</v>
      </c>
      <c r="I130" s="30">
        <v>143098.23000000001</v>
      </c>
      <c r="J130" s="30" cm="1">
        <f t="array" ref="J130:K130">_xlfn.XLOOKUP(D130,'Customer Data Vlookup'!$L:$L,'Customer Data Vlookup'!$M:$N,,0)</f>
        <v>0</v>
      </c>
      <c r="K130" s="30">
        <v>1627.5447999999999</v>
      </c>
      <c r="L130" s="30">
        <f t="shared" si="27"/>
        <v>1627.5447999999999</v>
      </c>
      <c r="M130" s="30">
        <f t="shared" si="28"/>
        <v>36.375200000000177</v>
      </c>
      <c r="N130" s="56">
        <f t="shared" si="29"/>
        <v>2.1861147170537151E-2</v>
      </c>
      <c r="O130" s="27" t="s">
        <v>225</v>
      </c>
    </row>
    <row r="131" spans="1:15" x14ac:dyDescent="0.35">
      <c r="A131" s="88">
        <v>1800010131</v>
      </c>
      <c r="B131" s="27" t="s">
        <v>5</v>
      </c>
      <c r="C131" s="28">
        <v>45842</v>
      </c>
      <c r="D131" s="29">
        <v>256779414891</v>
      </c>
      <c r="E131" s="27" t="s">
        <v>46</v>
      </c>
      <c r="F131" s="30">
        <v>413.33</v>
      </c>
      <c r="G131" s="30">
        <f t="shared" si="23"/>
        <v>413.33</v>
      </c>
      <c r="H131" s="27" t="s">
        <v>42</v>
      </c>
      <c r="I131" s="30">
        <v>35546.660000000003</v>
      </c>
      <c r="J131" s="30" cm="1">
        <f t="array" ref="J131:K131">_xlfn.XLOOKUP(D131,'Customer Data Vlookup'!$L:$L,'Customer Data Vlookup'!$M:$N,,0)</f>
        <v>0</v>
      </c>
      <c r="K131" s="30">
        <v>371.99700000000001</v>
      </c>
      <c r="L131" s="30">
        <f t="shared" si="27"/>
        <v>371.99700000000001</v>
      </c>
      <c r="M131" s="30">
        <f t="shared" si="28"/>
        <v>41.33299999999997</v>
      </c>
      <c r="N131" s="56">
        <f t="shared" si="29"/>
        <v>9.9999999999999936E-2</v>
      </c>
      <c r="O131" s="27" t="s">
        <v>227</v>
      </c>
    </row>
    <row r="132" spans="1:15" x14ac:dyDescent="0.35">
      <c r="A132" s="88">
        <v>1800010144</v>
      </c>
      <c r="B132" s="27" t="s">
        <v>5</v>
      </c>
      <c r="C132" s="28">
        <v>45842</v>
      </c>
      <c r="D132" s="29">
        <v>256779414904</v>
      </c>
      <c r="E132" s="27" t="s">
        <v>46</v>
      </c>
      <c r="F132" s="30">
        <v>68.97</v>
      </c>
      <c r="G132" s="30">
        <f t="shared" si="23"/>
        <v>68.97</v>
      </c>
      <c r="H132" s="27" t="s">
        <v>42</v>
      </c>
      <c r="I132" s="30">
        <v>5931.47</v>
      </c>
      <c r="J132" s="30" cm="1">
        <f t="array" ref="J132:K132">_xlfn.XLOOKUP(D132,'Customer Data Vlookup'!$L:$L,'Customer Data Vlookup'!$M:$N,,0)</f>
        <v>0</v>
      </c>
      <c r="K132" s="30">
        <v>67.590599999999995</v>
      </c>
      <c r="L132" s="30">
        <f t="shared" si="27"/>
        <v>67.590599999999995</v>
      </c>
      <c r="M132" s="30">
        <f t="shared" si="28"/>
        <v>1.379400000000004</v>
      </c>
      <c r="N132" s="56">
        <f t="shared" si="29"/>
        <v>2.0000000000000059E-2</v>
      </c>
      <c r="O132" s="27" t="s">
        <v>229</v>
      </c>
    </row>
    <row r="133" spans="1:15" x14ac:dyDescent="0.35">
      <c r="A133" s="88">
        <v>1800010196</v>
      </c>
      <c r="B133" s="27" t="s">
        <v>5</v>
      </c>
      <c r="C133" s="28">
        <v>45842</v>
      </c>
      <c r="D133" s="29">
        <v>256779414956</v>
      </c>
      <c r="E133" s="27" t="s">
        <v>46</v>
      </c>
      <c r="F133" s="30">
        <v>50</v>
      </c>
      <c r="G133" s="30">
        <f t="shared" si="23"/>
        <v>50</v>
      </c>
      <c r="H133" s="27" t="s">
        <v>42</v>
      </c>
      <c r="I133" s="30">
        <v>4300.03</v>
      </c>
      <c r="J133" s="30" cm="1">
        <f t="array" ref="J133:K133">_xlfn.XLOOKUP(D133,'Customer Data Vlookup'!$L:$L,'Customer Data Vlookup'!$M:$N,,0)</f>
        <v>0</v>
      </c>
      <c r="K133" s="30">
        <v>49</v>
      </c>
      <c r="L133" s="30">
        <f t="shared" si="27"/>
        <v>49</v>
      </c>
      <c r="M133" s="30">
        <f t="shared" si="28"/>
        <v>1</v>
      </c>
      <c r="N133" s="56">
        <f t="shared" si="29"/>
        <v>0.02</v>
      </c>
      <c r="O133" s="27" t="s">
        <v>231</v>
      </c>
    </row>
    <row r="134" spans="1:15" x14ac:dyDescent="0.35">
      <c r="A134" s="88">
        <v>1800010197</v>
      </c>
      <c r="B134" s="27" t="s">
        <v>5</v>
      </c>
      <c r="C134" s="28">
        <v>45842</v>
      </c>
      <c r="D134" s="29">
        <v>256779414957</v>
      </c>
      <c r="E134" s="27" t="s">
        <v>46</v>
      </c>
      <c r="F134" s="30">
        <v>50</v>
      </c>
      <c r="G134" s="30">
        <f t="shared" si="23"/>
        <v>50</v>
      </c>
      <c r="H134" s="27" t="s">
        <v>42</v>
      </c>
      <c r="I134" s="30">
        <v>4300.03</v>
      </c>
      <c r="J134" s="30" cm="1">
        <f t="array" ref="J134:K134">_xlfn.XLOOKUP(D134,'Customer Data Vlookup'!$L:$L,'Customer Data Vlookup'!$M:$N,,0)</f>
        <v>0</v>
      </c>
      <c r="K134" s="30">
        <v>49</v>
      </c>
      <c r="L134" s="30">
        <f t="shared" si="27"/>
        <v>49</v>
      </c>
      <c r="M134" s="30">
        <f t="shared" si="28"/>
        <v>1</v>
      </c>
      <c r="N134" s="56">
        <f t="shared" si="29"/>
        <v>0.02</v>
      </c>
      <c r="O134" s="27" t="s">
        <v>231</v>
      </c>
    </row>
    <row r="135" spans="1:15" x14ac:dyDescent="0.35">
      <c r="A135" s="88">
        <v>1800010257</v>
      </c>
      <c r="B135" s="27" t="s">
        <v>5</v>
      </c>
      <c r="C135" s="28">
        <v>45842</v>
      </c>
      <c r="D135" s="29">
        <v>256779415017</v>
      </c>
      <c r="E135" s="27" t="s">
        <v>46</v>
      </c>
      <c r="F135" s="30">
        <v>349.26</v>
      </c>
      <c r="G135" s="30">
        <f t="shared" si="23"/>
        <v>349.26</v>
      </c>
      <c r="H135" s="27" t="s">
        <v>42</v>
      </c>
      <c r="I135" s="30">
        <v>30036.59</v>
      </c>
      <c r="J135" s="30" cm="1">
        <f t="array" ref="J135:K135">_xlfn.XLOOKUP(D135,'Customer Data Vlookup'!$L:$L,'Customer Data Vlookup'!$M:$N,,0)</f>
        <v>0</v>
      </c>
      <c r="K135" s="30">
        <v>342.27480000000003</v>
      </c>
      <c r="L135" s="30">
        <f t="shared" si="27"/>
        <v>342.27480000000003</v>
      </c>
      <c r="M135" s="30">
        <f t="shared" si="28"/>
        <v>6.9851999999999634</v>
      </c>
      <c r="N135" s="56">
        <f t="shared" si="29"/>
        <v>1.9999999999999896E-2</v>
      </c>
      <c r="O135" s="27" t="s">
        <v>234</v>
      </c>
    </row>
    <row r="136" spans="1:15" x14ac:dyDescent="0.35">
      <c r="A136" s="88">
        <v>1800010436</v>
      </c>
      <c r="B136" s="27" t="s">
        <v>5</v>
      </c>
      <c r="C136" s="28">
        <v>45842</v>
      </c>
      <c r="D136" s="29">
        <v>256779415196</v>
      </c>
      <c r="E136" s="27" t="s">
        <v>46</v>
      </c>
      <c r="F136" s="30">
        <v>17.48</v>
      </c>
      <c r="G136" s="30">
        <f t="shared" si="23"/>
        <v>17.48</v>
      </c>
      <c r="H136" s="27" t="s">
        <v>42</v>
      </c>
      <c r="I136" s="30">
        <v>1503.29</v>
      </c>
      <c r="J136" s="30" cm="1">
        <f t="array" ref="J136:K136">_xlfn.XLOOKUP(D136,'Customer Data Vlookup'!$L:$L,'Customer Data Vlookup'!$M:$N,,0)</f>
        <v>0</v>
      </c>
      <c r="K136" s="30">
        <v>15.731999999999999</v>
      </c>
      <c r="L136" s="30">
        <f t="shared" si="27"/>
        <v>15.731999999999999</v>
      </c>
      <c r="M136" s="30">
        <f t="shared" si="28"/>
        <v>1.7480000000000011</v>
      </c>
      <c r="N136" s="56">
        <f t="shared" si="29"/>
        <v>0.10000000000000006</v>
      </c>
      <c r="O136" s="27" t="s">
        <v>236</v>
      </c>
    </row>
    <row r="137" spans="1:15" x14ac:dyDescent="0.35">
      <c r="A137" s="88">
        <v>1800010504</v>
      </c>
      <c r="B137" s="27" t="s">
        <v>5</v>
      </c>
      <c r="C137" s="28">
        <v>45842</v>
      </c>
      <c r="D137" s="29">
        <v>256779415264</v>
      </c>
      <c r="E137" s="27" t="s">
        <v>46</v>
      </c>
      <c r="F137" s="30">
        <v>926.11</v>
      </c>
      <c r="G137" s="30">
        <f t="shared" si="23"/>
        <v>926.11</v>
      </c>
      <c r="H137" s="27" t="s">
        <v>42</v>
      </c>
      <c r="I137" s="30">
        <v>79646.080000000002</v>
      </c>
      <c r="J137" s="30" cm="1">
        <f t="array" ref="J137:K137">_xlfn.XLOOKUP(D137,'Customer Data Vlookup'!$L:$L,'Customer Data Vlookup'!$M:$N,,0)</f>
        <v>0</v>
      </c>
      <c r="K137" s="30">
        <v>907.59</v>
      </c>
      <c r="L137" s="30">
        <f t="shared" si="27"/>
        <v>907.59</v>
      </c>
      <c r="M137" s="30">
        <f t="shared" si="28"/>
        <v>18.519999999999982</v>
      </c>
      <c r="N137" s="56">
        <f t="shared" si="29"/>
        <v>1.9997624472254897E-2</v>
      </c>
      <c r="O137" s="27" t="s">
        <v>238</v>
      </c>
    </row>
    <row r="138" spans="1:15" x14ac:dyDescent="0.35">
      <c r="A138" s="88">
        <v>1600001539</v>
      </c>
      <c r="B138" s="27" t="s">
        <v>4</v>
      </c>
      <c r="C138" s="28">
        <v>45842</v>
      </c>
      <c r="D138" s="29">
        <v>256779421172</v>
      </c>
      <c r="E138" s="27" t="s">
        <v>46</v>
      </c>
      <c r="F138" s="30">
        <v>-1700</v>
      </c>
      <c r="G138" s="30">
        <f t="shared" si="23"/>
        <v>-1700</v>
      </c>
      <c r="H138" s="27" t="s">
        <v>42</v>
      </c>
      <c r="I138" s="30">
        <v>-146201.14000000001</v>
      </c>
      <c r="J138" s="30" t="e" cm="1">
        <f t="array" ref="J138">_xlfn.XLOOKUP(D138,'Customer Data Vlookup'!$L:$L,'Customer Data Vlookup'!$M:$N,,0)</f>
        <v>#N/A</v>
      </c>
      <c r="K138" s="30"/>
      <c r="L138" s="30"/>
      <c r="M138" s="30"/>
      <c r="N138" s="56"/>
      <c r="O138" s="27" t="s">
        <v>240</v>
      </c>
    </row>
    <row r="139" spans="1:15" x14ac:dyDescent="0.35">
      <c r="A139" s="88">
        <v>1600001540</v>
      </c>
      <c r="B139" s="27" t="s">
        <v>4</v>
      </c>
      <c r="C139" s="28">
        <v>45842</v>
      </c>
      <c r="D139" s="29">
        <v>256779421173</v>
      </c>
      <c r="E139" s="27" t="s">
        <v>46</v>
      </c>
      <c r="F139" s="30">
        <v>-1750</v>
      </c>
      <c r="G139" s="30">
        <f t="shared" si="23"/>
        <v>-1750</v>
      </c>
      <c r="H139" s="27" t="s">
        <v>42</v>
      </c>
      <c r="I139" s="30">
        <v>-150501.17000000001</v>
      </c>
      <c r="J139" s="30" t="e" cm="1">
        <f t="array" ref="J139">_xlfn.XLOOKUP(D139,'Customer Data Vlookup'!$L:$L,'Customer Data Vlookup'!$M:$N,,0)</f>
        <v>#N/A</v>
      </c>
      <c r="K139" s="30"/>
      <c r="L139" s="30"/>
      <c r="M139" s="30"/>
      <c r="N139" s="56"/>
      <c r="O139" s="27" t="s">
        <v>242</v>
      </c>
    </row>
    <row r="140" spans="1:15" x14ac:dyDescent="0.35">
      <c r="A140" s="88">
        <v>1600001541</v>
      </c>
      <c r="B140" s="27" t="s">
        <v>4</v>
      </c>
      <c r="C140" s="28">
        <v>45842</v>
      </c>
      <c r="D140" s="29">
        <v>256779421174</v>
      </c>
      <c r="E140" s="27" t="s">
        <v>46</v>
      </c>
      <c r="F140" s="30">
        <v>-1700</v>
      </c>
      <c r="G140" s="30">
        <f t="shared" si="23"/>
        <v>-1700</v>
      </c>
      <c r="H140" s="27" t="s">
        <v>42</v>
      </c>
      <c r="I140" s="30">
        <v>-146201.14000000001</v>
      </c>
      <c r="J140" s="30" t="e" cm="1">
        <f t="array" ref="J140">_xlfn.XLOOKUP(D140,'Customer Data Vlookup'!$L:$L,'Customer Data Vlookup'!$M:$N,,0)</f>
        <v>#N/A</v>
      </c>
      <c r="K140" s="30"/>
      <c r="L140" s="30"/>
      <c r="M140" s="30"/>
      <c r="N140" s="56"/>
      <c r="O140" s="27" t="s">
        <v>244</v>
      </c>
    </row>
    <row r="141" spans="1:15" x14ac:dyDescent="0.35">
      <c r="A141" s="88">
        <v>1600001542</v>
      </c>
      <c r="B141" s="27" t="s">
        <v>4</v>
      </c>
      <c r="C141" s="28">
        <v>45842</v>
      </c>
      <c r="D141" s="29">
        <v>256779421175</v>
      </c>
      <c r="E141" s="27" t="s">
        <v>46</v>
      </c>
      <c r="F141" s="30">
        <v>-1750</v>
      </c>
      <c r="G141" s="30">
        <f t="shared" si="23"/>
        <v>-1750</v>
      </c>
      <c r="H141" s="27" t="s">
        <v>42</v>
      </c>
      <c r="I141" s="30">
        <v>-150501.17000000001</v>
      </c>
      <c r="J141" s="30" t="e" cm="1">
        <f t="array" ref="J141">_xlfn.XLOOKUP(D141,'Customer Data Vlookup'!$L:$L,'Customer Data Vlookup'!$M:$N,,0)</f>
        <v>#N/A</v>
      </c>
      <c r="K141" s="30"/>
      <c r="L141" s="30"/>
      <c r="M141" s="30"/>
      <c r="N141" s="56"/>
      <c r="O141" s="27" t="s">
        <v>246</v>
      </c>
    </row>
    <row r="142" spans="1:15" x14ac:dyDescent="0.35">
      <c r="A142" s="88">
        <v>1800014283</v>
      </c>
      <c r="B142" s="27" t="s">
        <v>5</v>
      </c>
      <c r="C142" s="28">
        <v>45966</v>
      </c>
      <c r="D142" s="29">
        <v>256779418820</v>
      </c>
      <c r="E142" s="27" t="s">
        <v>46</v>
      </c>
      <c r="F142" s="30">
        <v>351.13</v>
      </c>
      <c r="G142" s="30">
        <f t="shared" si="23"/>
        <v>351.13</v>
      </c>
      <c r="H142" s="27" t="s">
        <v>42</v>
      </c>
      <c r="I142" s="30">
        <v>30900.63</v>
      </c>
      <c r="J142" s="30" cm="1">
        <f t="array" ref="J142:K142">_xlfn.XLOOKUP(D142,'Customer Data Vlookup'!$L:$L,'Customer Data Vlookup'!$M:$N,,0)</f>
        <v>0</v>
      </c>
      <c r="K142" s="30">
        <v>344.10739999999998</v>
      </c>
      <c r="L142" s="30">
        <f t="shared" ref="L142:L151" si="30">K142-J142</f>
        <v>344.10739999999998</v>
      </c>
      <c r="M142" s="30">
        <f t="shared" ref="M142:M151" si="31">F142-L142</f>
        <v>7.0226000000000113</v>
      </c>
      <c r="N142" s="56">
        <f t="shared" ref="N142:N151" si="32">M142/F142</f>
        <v>2.0000000000000032E-2</v>
      </c>
      <c r="O142" s="27" t="s">
        <v>248</v>
      </c>
    </row>
    <row r="143" spans="1:15" x14ac:dyDescent="0.35">
      <c r="A143" s="88">
        <v>1800014544</v>
      </c>
      <c r="B143" s="27" t="s">
        <v>5</v>
      </c>
      <c r="C143" s="28">
        <v>45966</v>
      </c>
      <c r="D143" s="29">
        <v>256779418876</v>
      </c>
      <c r="E143" s="27" t="s">
        <v>46</v>
      </c>
      <c r="F143" s="30">
        <v>745.97</v>
      </c>
      <c r="G143" s="30">
        <f t="shared" si="23"/>
        <v>745.97</v>
      </c>
      <c r="H143" s="27" t="s">
        <v>42</v>
      </c>
      <c r="I143" s="30">
        <v>65647.89</v>
      </c>
      <c r="J143" s="30" cm="1">
        <f t="array" ref="J143:K143">_xlfn.XLOOKUP(D143,'Customer Data Vlookup'!$L:$L,'Customer Data Vlookup'!$M:$N,,0)</f>
        <v>0</v>
      </c>
      <c r="K143" s="30">
        <v>671.37300000000005</v>
      </c>
      <c r="L143" s="30">
        <f t="shared" si="30"/>
        <v>671.37300000000005</v>
      </c>
      <c r="M143" s="30">
        <f t="shared" si="31"/>
        <v>74.59699999999998</v>
      </c>
      <c r="N143" s="56">
        <f t="shared" si="32"/>
        <v>9.9999999999999964E-2</v>
      </c>
      <c r="O143" s="27" t="s">
        <v>250</v>
      </c>
    </row>
    <row r="144" spans="1:15" x14ac:dyDescent="0.35">
      <c r="A144" s="88">
        <v>1800014634</v>
      </c>
      <c r="B144" s="27" t="s">
        <v>5</v>
      </c>
      <c r="C144" s="28">
        <v>45966</v>
      </c>
      <c r="D144" s="29">
        <v>256779419077</v>
      </c>
      <c r="E144" s="27" t="s">
        <v>46</v>
      </c>
      <c r="F144" s="30">
        <v>900</v>
      </c>
      <c r="G144" s="30">
        <f t="shared" si="23"/>
        <v>900</v>
      </c>
      <c r="H144" s="27" t="s">
        <v>42</v>
      </c>
      <c r="I144" s="30">
        <v>79203.05</v>
      </c>
      <c r="J144" s="30" cm="1">
        <f t="array" ref="J144:K144">_xlfn.XLOOKUP(D144,'Customer Data Vlookup'!$L:$L,'Customer Data Vlookup'!$M:$N,,0)</f>
        <v>0</v>
      </c>
      <c r="K144" s="30">
        <v>874</v>
      </c>
      <c r="L144" s="30">
        <f t="shared" si="30"/>
        <v>874</v>
      </c>
      <c r="M144" s="30">
        <f t="shared" si="31"/>
        <v>26</v>
      </c>
      <c r="N144" s="56">
        <f t="shared" si="32"/>
        <v>2.8888888888888888E-2</v>
      </c>
      <c r="O144" s="27" t="s">
        <v>251</v>
      </c>
    </row>
    <row r="145" spans="1:15" x14ac:dyDescent="0.35">
      <c r="A145" s="88">
        <v>1800014525</v>
      </c>
      <c r="B145" s="27" t="s">
        <v>5</v>
      </c>
      <c r="C145" s="28">
        <v>45966</v>
      </c>
      <c r="D145" s="29">
        <v>256779419174</v>
      </c>
      <c r="E145" s="27" t="s">
        <v>46</v>
      </c>
      <c r="F145" s="30">
        <v>8.2100000000000009</v>
      </c>
      <c r="G145" s="30">
        <f t="shared" si="23"/>
        <v>8.2100000000000009</v>
      </c>
      <c r="H145" s="27" t="s">
        <v>42</v>
      </c>
      <c r="I145" s="30">
        <v>722.51</v>
      </c>
      <c r="J145" s="30" cm="1">
        <f t="array" ref="J145:K145">_xlfn.XLOOKUP(D145,'Customer Data Vlookup'!$L:$L,'Customer Data Vlookup'!$M:$N,,0)</f>
        <v>0</v>
      </c>
      <c r="K145" s="30">
        <v>8.0457999999999998</v>
      </c>
      <c r="L145" s="30">
        <f t="shared" si="30"/>
        <v>8.0457999999999998</v>
      </c>
      <c r="M145" s="30">
        <f t="shared" si="31"/>
        <v>0.16420000000000101</v>
      </c>
      <c r="N145" s="56">
        <f t="shared" si="32"/>
        <v>2.0000000000000122E-2</v>
      </c>
      <c r="O145" s="27" t="s">
        <v>253</v>
      </c>
    </row>
    <row r="146" spans="1:15" x14ac:dyDescent="0.35">
      <c r="A146" s="88">
        <v>1800014618</v>
      </c>
      <c r="B146" s="27" t="s">
        <v>5</v>
      </c>
      <c r="C146" s="28">
        <v>45966</v>
      </c>
      <c r="D146" s="29">
        <v>256779419200</v>
      </c>
      <c r="E146" s="27" t="s">
        <v>46</v>
      </c>
      <c r="F146" s="30">
        <v>152.26</v>
      </c>
      <c r="G146" s="30">
        <f t="shared" si="23"/>
        <v>152.26</v>
      </c>
      <c r="H146" s="27" t="s">
        <v>42</v>
      </c>
      <c r="I146" s="30">
        <v>13399.4</v>
      </c>
      <c r="J146" s="30" cm="1">
        <f t="array" ref="J146:K146">_xlfn.XLOOKUP(D146,'Customer Data Vlookup'!$L:$L,'Customer Data Vlookup'!$M:$N,,0)</f>
        <v>0</v>
      </c>
      <c r="K146" s="30">
        <v>149.2148</v>
      </c>
      <c r="L146" s="30">
        <f t="shared" si="30"/>
        <v>149.2148</v>
      </c>
      <c r="M146" s="30">
        <f t="shared" si="31"/>
        <v>3.0451999999999941</v>
      </c>
      <c r="N146" s="56">
        <f t="shared" si="32"/>
        <v>1.9999999999999962E-2</v>
      </c>
      <c r="O146" s="27" t="s">
        <v>255</v>
      </c>
    </row>
    <row r="147" spans="1:15" x14ac:dyDescent="0.35">
      <c r="A147" s="88">
        <v>1800014731</v>
      </c>
      <c r="B147" s="27" t="s">
        <v>5</v>
      </c>
      <c r="C147" s="28">
        <v>45966</v>
      </c>
      <c r="D147" s="29">
        <v>256779419232</v>
      </c>
      <c r="E147" s="27" t="s">
        <v>46</v>
      </c>
      <c r="F147" s="30">
        <v>25.69</v>
      </c>
      <c r="G147" s="30">
        <f t="shared" si="23"/>
        <v>25.69</v>
      </c>
      <c r="H147" s="27" t="s">
        <v>42</v>
      </c>
      <c r="I147" s="30">
        <v>2260.81</v>
      </c>
      <c r="J147" s="30" cm="1">
        <f t="array" ref="J147:K147">_xlfn.XLOOKUP(D147,'Customer Data Vlookup'!$L:$L,'Customer Data Vlookup'!$M:$N,,0)</f>
        <v>0</v>
      </c>
      <c r="K147" s="30">
        <v>25.176200000000001</v>
      </c>
      <c r="L147" s="30">
        <f t="shared" si="30"/>
        <v>25.176200000000001</v>
      </c>
      <c r="M147" s="30">
        <f t="shared" si="31"/>
        <v>0.51379999999999981</v>
      </c>
      <c r="N147" s="56">
        <f t="shared" si="32"/>
        <v>1.999999999999999E-2</v>
      </c>
      <c r="O147" s="27" t="s">
        <v>257</v>
      </c>
    </row>
    <row r="148" spans="1:15" x14ac:dyDescent="0.35">
      <c r="A148" s="88">
        <v>1800000350</v>
      </c>
      <c r="B148" s="27" t="s">
        <v>5</v>
      </c>
      <c r="C148" s="28">
        <v>45713</v>
      </c>
      <c r="D148" s="29">
        <v>246779410324</v>
      </c>
      <c r="E148" s="27" t="s">
        <v>46</v>
      </c>
      <c r="F148" s="30">
        <v>1750</v>
      </c>
      <c r="G148" s="30">
        <f t="shared" si="23"/>
        <v>1750</v>
      </c>
      <c r="H148" s="27" t="s">
        <v>42</v>
      </c>
      <c r="I148" s="30">
        <v>151031.41</v>
      </c>
      <c r="J148" s="30" cm="1">
        <f t="array" ref="J148:K148">_xlfn.XLOOKUP(D148,'Customer Data Vlookup'!$L:$L,'Customer Data Vlookup'!$M:$N,,0)</f>
        <v>0</v>
      </c>
      <c r="K148" s="30">
        <v>1575</v>
      </c>
      <c r="L148" s="30">
        <f t="shared" si="30"/>
        <v>1575</v>
      </c>
      <c r="M148" s="30">
        <f t="shared" si="31"/>
        <v>175</v>
      </c>
      <c r="N148" s="56">
        <f t="shared" si="32"/>
        <v>0.1</v>
      </c>
      <c r="O148" s="27" t="s">
        <v>119</v>
      </c>
    </row>
    <row r="149" spans="1:15" x14ac:dyDescent="0.35">
      <c r="A149" s="88">
        <v>1800014408</v>
      </c>
      <c r="B149" s="27" t="s">
        <v>5</v>
      </c>
      <c r="C149" s="28">
        <v>45964</v>
      </c>
      <c r="D149" s="29">
        <v>256779419130</v>
      </c>
      <c r="E149" s="27" t="s">
        <v>46</v>
      </c>
      <c r="F149" s="30">
        <v>52.71</v>
      </c>
      <c r="G149" s="30">
        <f t="shared" si="23"/>
        <v>52.71</v>
      </c>
      <c r="H149" s="27" t="s">
        <v>42</v>
      </c>
      <c r="I149" s="30">
        <v>4638.66</v>
      </c>
      <c r="J149" s="30" cm="1">
        <f t="array" ref="J149:K149">_xlfn.XLOOKUP(D149,'Customer Data Vlookup'!$L:$L,'Customer Data Vlookup'!$M:$N,,0)</f>
        <v>0</v>
      </c>
      <c r="K149" s="30">
        <v>51.655799999999999</v>
      </c>
      <c r="L149" s="30">
        <f t="shared" si="30"/>
        <v>51.655799999999999</v>
      </c>
      <c r="M149" s="30">
        <f t="shared" si="31"/>
        <v>1.0542000000000016</v>
      </c>
      <c r="N149" s="56">
        <f t="shared" si="32"/>
        <v>2.0000000000000028E-2</v>
      </c>
      <c r="O149" s="27" t="s">
        <v>260</v>
      </c>
    </row>
    <row r="150" spans="1:15" x14ac:dyDescent="0.35">
      <c r="A150" s="88">
        <v>1800011648</v>
      </c>
      <c r="B150" s="27" t="s">
        <v>5</v>
      </c>
      <c r="C150" s="28">
        <v>45877</v>
      </c>
      <c r="D150" s="29">
        <v>256779416078</v>
      </c>
      <c r="E150" s="27" t="s">
        <v>46</v>
      </c>
      <c r="F150" s="30">
        <v>1477.42</v>
      </c>
      <c r="G150" s="30">
        <f t="shared" si="23"/>
        <v>1477.42</v>
      </c>
      <c r="H150" s="27" t="s">
        <v>42</v>
      </c>
      <c r="I150" s="30">
        <v>127102.62</v>
      </c>
      <c r="J150" s="30" cm="1">
        <f t="array" ref="J150:K150">_xlfn.XLOOKUP(D150,'Customer Data Vlookup'!$L:$L,'Customer Data Vlookup'!$M:$N,,0)</f>
        <v>0</v>
      </c>
      <c r="K150" s="30">
        <v>1329.6780000000001</v>
      </c>
      <c r="L150" s="30">
        <f t="shared" si="30"/>
        <v>1329.6780000000001</v>
      </c>
      <c r="M150" s="30">
        <f t="shared" si="31"/>
        <v>147.74199999999996</v>
      </c>
      <c r="N150" s="56">
        <f t="shared" si="32"/>
        <v>9.9999999999999964E-2</v>
      </c>
      <c r="O150" s="27" t="s">
        <v>236</v>
      </c>
    </row>
    <row r="151" spans="1:15" x14ac:dyDescent="0.35">
      <c r="A151" s="88">
        <v>1800011656</v>
      </c>
      <c r="B151" s="27" t="s">
        <v>5</v>
      </c>
      <c r="C151" s="28">
        <v>45877</v>
      </c>
      <c r="D151" s="29">
        <v>256779416086</v>
      </c>
      <c r="E151" s="27" t="s">
        <v>46</v>
      </c>
      <c r="F151" s="30">
        <v>1449.76</v>
      </c>
      <c r="G151" s="30">
        <f t="shared" si="23"/>
        <v>1449.76</v>
      </c>
      <c r="H151" s="27" t="s">
        <v>42</v>
      </c>
      <c r="I151" s="30">
        <v>124723.03</v>
      </c>
      <c r="J151" s="30" cm="1">
        <f t="array" ref="J151:K151">_xlfn.XLOOKUP(D151,'Customer Data Vlookup'!$L:$L,'Customer Data Vlookup'!$M:$N,,0)</f>
        <v>0</v>
      </c>
      <c r="K151" s="30">
        <v>1304.7840000000001</v>
      </c>
      <c r="L151" s="30">
        <f t="shared" si="30"/>
        <v>1304.7840000000001</v>
      </c>
      <c r="M151" s="30">
        <f t="shared" si="31"/>
        <v>144.97599999999989</v>
      </c>
      <c r="N151" s="56">
        <f t="shared" si="32"/>
        <v>9.9999999999999922E-2</v>
      </c>
      <c r="O151" s="27" t="s">
        <v>263</v>
      </c>
    </row>
    <row r="152" spans="1:15" x14ac:dyDescent="0.35">
      <c r="A152" s="88">
        <v>1800011800</v>
      </c>
      <c r="B152" s="27" t="s">
        <v>5</v>
      </c>
      <c r="C152" s="28">
        <v>45877</v>
      </c>
      <c r="D152" s="29">
        <v>256779416103</v>
      </c>
      <c r="E152" s="27" t="s">
        <v>46</v>
      </c>
      <c r="F152" s="30">
        <v>50</v>
      </c>
      <c r="G152" s="30">
        <f t="shared" si="23"/>
        <v>50</v>
      </c>
      <c r="H152" s="27" t="s">
        <v>42</v>
      </c>
      <c r="I152" s="54">
        <v>4301.51</v>
      </c>
      <c r="J152" s="30" t="e" cm="1">
        <f t="array" ref="J152">_xlfn.XLOOKUP(D152,'Customer Data Vlookup'!$L:$L,'Customer Data Vlookup'!$M:$N,,0)</f>
        <v>#N/A</v>
      </c>
      <c r="K152" s="54"/>
      <c r="L152" s="54"/>
      <c r="M152" s="54"/>
      <c r="N152" s="56"/>
      <c r="O152" s="27" t="s">
        <v>265</v>
      </c>
    </row>
    <row r="153" spans="1:15" x14ac:dyDescent="0.35">
      <c r="A153" s="88">
        <v>1800011832</v>
      </c>
      <c r="B153" s="27" t="s">
        <v>5</v>
      </c>
      <c r="C153" s="28">
        <v>45877</v>
      </c>
      <c r="D153" s="29">
        <v>256779416141</v>
      </c>
      <c r="E153" s="27" t="s">
        <v>46</v>
      </c>
      <c r="F153" s="30">
        <v>299.12</v>
      </c>
      <c r="G153" s="30">
        <f t="shared" si="23"/>
        <v>299.12</v>
      </c>
      <c r="H153" s="27" t="s">
        <v>42</v>
      </c>
      <c r="I153" s="30">
        <v>25733.33</v>
      </c>
      <c r="J153" s="30" cm="1">
        <f t="array" ref="J153:K153">_xlfn.XLOOKUP(D153,'Customer Data Vlookup'!$L:$L,'Customer Data Vlookup'!$M:$N,,0)</f>
        <v>0</v>
      </c>
      <c r="K153" s="30">
        <v>293.13760000000002</v>
      </c>
      <c r="L153" s="30">
        <f t="shared" ref="L153:L160" si="33">K153-J153</f>
        <v>293.13760000000002</v>
      </c>
      <c r="M153" s="30">
        <f t="shared" ref="M153:M160" si="34">F153-L153</f>
        <v>5.9823999999999842</v>
      </c>
      <c r="N153" s="56">
        <f t="shared" ref="N153:N160" si="35">M153/F153</f>
        <v>1.9999999999999948E-2</v>
      </c>
      <c r="O153" s="27" t="s">
        <v>266</v>
      </c>
    </row>
    <row r="154" spans="1:15" x14ac:dyDescent="0.35">
      <c r="A154" s="88">
        <v>1800011788</v>
      </c>
      <c r="B154" s="27" t="s">
        <v>5</v>
      </c>
      <c r="C154" s="28">
        <v>45877</v>
      </c>
      <c r="D154" s="29">
        <v>256779416179</v>
      </c>
      <c r="E154" s="27" t="s">
        <v>46</v>
      </c>
      <c r="F154" s="30">
        <v>2787.24</v>
      </c>
      <c r="G154" s="30">
        <f t="shared" si="23"/>
        <v>2787.24</v>
      </c>
      <c r="H154" s="27" t="s">
        <v>42</v>
      </c>
      <c r="I154" s="30">
        <v>239786.59</v>
      </c>
      <c r="J154" s="30" cm="1">
        <f t="array" ref="J154:K154">_xlfn.XLOOKUP(D154,'Customer Data Vlookup'!$L:$L,'Customer Data Vlookup'!$M:$N,,0)</f>
        <v>0</v>
      </c>
      <c r="K154" s="30">
        <v>2723.24</v>
      </c>
      <c r="L154" s="30">
        <f t="shared" si="33"/>
        <v>2723.24</v>
      </c>
      <c r="M154" s="30">
        <f t="shared" si="34"/>
        <v>64</v>
      </c>
      <c r="N154" s="56">
        <f t="shared" si="35"/>
        <v>2.2961782982448588E-2</v>
      </c>
      <c r="O154" s="27" t="s">
        <v>268</v>
      </c>
    </row>
    <row r="155" spans="1:15" x14ac:dyDescent="0.35">
      <c r="A155" s="88">
        <v>1800011706</v>
      </c>
      <c r="B155" s="27" t="s">
        <v>5</v>
      </c>
      <c r="C155" s="28">
        <v>45877</v>
      </c>
      <c r="D155" s="29">
        <v>256779416224</v>
      </c>
      <c r="E155" s="27" t="s">
        <v>46</v>
      </c>
      <c r="F155" s="30">
        <v>304.52999999999997</v>
      </c>
      <c r="G155" s="30">
        <f t="shared" si="23"/>
        <v>304.52999999999997</v>
      </c>
      <c r="H155" s="27" t="s">
        <v>42</v>
      </c>
      <c r="I155" s="30">
        <v>26198.75</v>
      </c>
      <c r="J155" s="30" cm="1">
        <f t="array" ref="J155:K155">_xlfn.XLOOKUP(D155,'Customer Data Vlookup'!$L:$L,'Customer Data Vlookup'!$M:$N,,0)</f>
        <v>0</v>
      </c>
      <c r="K155" s="30">
        <v>298.44</v>
      </c>
      <c r="L155" s="30">
        <f t="shared" si="33"/>
        <v>298.44</v>
      </c>
      <c r="M155" s="30">
        <f t="shared" si="34"/>
        <v>6.089999999999975</v>
      </c>
      <c r="N155" s="56">
        <f t="shared" si="35"/>
        <v>1.9998029750763393E-2</v>
      </c>
      <c r="O155" s="27" t="s">
        <v>270</v>
      </c>
    </row>
    <row r="156" spans="1:15" x14ac:dyDescent="0.35">
      <c r="A156" s="88">
        <v>1800011595</v>
      </c>
      <c r="B156" s="27" t="s">
        <v>5</v>
      </c>
      <c r="C156" s="28">
        <v>45877</v>
      </c>
      <c r="D156" s="29">
        <v>256779416445</v>
      </c>
      <c r="E156" s="27" t="s">
        <v>46</v>
      </c>
      <c r="F156" s="30">
        <v>586.79</v>
      </c>
      <c r="G156" s="30">
        <f t="shared" si="23"/>
        <v>586.79</v>
      </c>
      <c r="H156" s="27" t="s">
        <v>42</v>
      </c>
      <c r="I156" s="30">
        <v>50481.61</v>
      </c>
      <c r="J156" s="30" cm="1">
        <f t="array" ref="J156:K156">_xlfn.XLOOKUP(D156,'Customer Data Vlookup'!$L:$L,'Customer Data Vlookup'!$M:$N,,0)</f>
        <v>0</v>
      </c>
      <c r="K156" s="30">
        <v>575.04999999999995</v>
      </c>
      <c r="L156" s="30">
        <f t="shared" si="33"/>
        <v>575.04999999999995</v>
      </c>
      <c r="M156" s="30">
        <f t="shared" si="34"/>
        <v>11.740000000000009</v>
      </c>
      <c r="N156" s="56">
        <f t="shared" si="35"/>
        <v>2.0007157586189282E-2</v>
      </c>
      <c r="O156" s="27" t="s">
        <v>272</v>
      </c>
    </row>
    <row r="157" spans="1:15" x14ac:dyDescent="0.35">
      <c r="A157" s="88">
        <v>1800011864</v>
      </c>
      <c r="B157" s="27" t="s">
        <v>5</v>
      </c>
      <c r="C157" s="28">
        <v>45877</v>
      </c>
      <c r="D157" s="29">
        <v>256779416515</v>
      </c>
      <c r="E157" s="27" t="s">
        <v>46</v>
      </c>
      <c r="F157" s="30">
        <v>396.98</v>
      </c>
      <c r="G157" s="30">
        <f t="shared" si="23"/>
        <v>396.98</v>
      </c>
      <c r="H157" s="27" t="s">
        <v>42</v>
      </c>
      <c r="I157" s="30">
        <v>34152.239999999998</v>
      </c>
      <c r="J157" s="30" cm="1">
        <f t="array" ref="J157:K157">_xlfn.XLOOKUP(D157,'Customer Data Vlookup'!$L:$L,'Customer Data Vlookup'!$M:$N,,0)</f>
        <v>0</v>
      </c>
      <c r="K157" s="30">
        <v>389.04039999999998</v>
      </c>
      <c r="L157" s="30">
        <f t="shared" si="33"/>
        <v>389.04039999999998</v>
      </c>
      <c r="M157" s="30">
        <f t="shared" si="34"/>
        <v>7.9396000000000413</v>
      </c>
      <c r="N157" s="56">
        <f t="shared" si="35"/>
        <v>2.0000000000000104E-2</v>
      </c>
      <c r="O157" s="27" t="s">
        <v>273</v>
      </c>
    </row>
    <row r="158" spans="1:15" x14ac:dyDescent="0.35">
      <c r="A158" s="88">
        <v>1800009453</v>
      </c>
      <c r="B158" s="27" t="s">
        <v>5</v>
      </c>
      <c r="C158" s="28">
        <v>45812</v>
      </c>
      <c r="D158" s="29">
        <v>256779414217</v>
      </c>
      <c r="E158" s="27" t="s">
        <v>46</v>
      </c>
      <c r="F158" s="30">
        <v>71.760000000000005</v>
      </c>
      <c r="G158" s="30">
        <f t="shared" si="23"/>
        <v>71.760000000000005</v>
      </c>
      <c r="H158" s="27" t="s">
        <v>42</v>
      </c>
      <c r="I158" s="30">
        <v>6134.82</v>
      </c>
      <c r="J158" s="30" cm="1">
        <f t="array" ref="J158:K158">_xlfn.XLOOKUP(D158,'Customer Data Vlookup'!$L:$L,'Customer Data Vlookup'!$M:$N,,0)</f>
        <v>0</v>
      </c>
      <c r="K158" s="30">
        <v>70.324799999999996</v>
      </c>
      <c r="L158" s="30">
        <f t="shared" si="33"/>
        <v>70.324799999999996</v>
      </c>
      <c r="M158" s="30">
        <f t="shared" si="34"/>
        <v>1.4352000000000089</v>
      </c>
      <c r="N158" s="56">
        <f t="shared" si="35"/>
        <v>2.0000000000000122E-2</v>
      </c>
      <c r="O158" s="27" t="s">
        <v>275</v>
      </c>
    </row>
    <row r="159" spans="1:15" x14ac:dyDescent="0.35">
      <c r="A159" s="88">
        <v>1800009511</v>
      </c>
      <c r="B159" s="27" t="s">
        <v>5</v>
      </c>
      <c r="C159" s="28">
        <v>45812</v>
      </c>
      <c r="D159" s="29">
        <v>256779414275</v>
      </c>
      <c r="E159" s="27" t="s">
        <v>46</v>
      </c>
      <c r="F159" s="30">
        <v>136.08000000000001</v>
      </c>
      <c r="G159" s="30">
        <f t="shared" si="23"/>
        <v>136.08000000000001</v>
      </c>
      <c r="H159" s="27" t="s">
        <v>42</v>
      </c>
      <c r="I159" s="30">
        <v>11633.59</v>
      </c>
      <c r="J159" s="30" cm="1">
        <f t="array" ref="J159:K159">_xlfn.XLOOKUP(D159,'Customer Data Vlookup'!$L:$L,'Customer Data Vlookup'!$M:$N,,0)</f>
        <v>0</v>
      </c>
      <c r="K159" s="30">
        <v>133.35839999999999</v>
      </c>
      <c r="L159" s="30">
        <f t="shared" si="33"/>
        <v>133.35839999999999</v>
      </c>
      <c r="M159" s="30">
        <f t="shared" si="34"/>
        <v>2.7216000000000236</v>
      </c>
      <c r="N159" s="56">
        <f t="shared" si="35"/>
        <v>2.000000000000017E-2</v>
      </c>
      <c r="O159" s="27" t="s">
        <v>277</v>
      </c>
    </row>
    <row r="160" spans="1:15" x14ac:dyDescent="0.35">
      <c r="A160" s="88">
        <v>1800009553</v>
      </c>
      <c r="B160" s="27" t="s">
        <v>5</v>
      </c>
      <c r="C160" s="28">
        <v>45812</v>
      </c>
      <c r="D160" s="29">
        <v>256779414317</v>
      </c>
      <c r="E160" s="27" t="s">
        <v>46</v>
      </c>
      <c r="F160" s="30">
        <v>697.43</v>
      </c>
      <c r="G160" s="30">
        <f t="shared" si="23"/>
        <v>697.43</v>
      </c>
      <c r="H160" s="27" t="s">
        <v>42</v>
      </c>
      <c r="I160" s="30">
        <v>59623.83</v>
      </c>
      <c r="J160" s="30" cm="1">
        <f t="array" ref="J160:K160">_xlfn.XLOOKUP(D160,'Customer Data Vlookup'!$L:$L,'Customer Data Vlookup'!$M:$N,,0)</f>
        <v>0</v>
      </c>
      <c r="K160" s="30">
        <v>683.48140000000001</v>
      </c>
      <c r="L160" s="30">
        <f t="shared" si="33"/>
        <v>683.48140000000001</v>
      </c>
      <c r="M160" s="30">
        <f t="shared" si="34"/>
        <v>13.948599999999942</v>
      </c>
      <c r="N160" s="56">
        <f t="shared" si="35"/>
        <v>1.9999999999999917E-2</v>
      </c>
      <c r="O160" s="27" t="s">
        <v>279</v>
      </c>
    </row>
    <row r="161" spans="1:15" x14ac:dyDescent="0.35">
      <c r="A161" s="88">
        <v>1600000596</v>
      </c>
      <c r="B161" s="27" t="s">
        <v>4</v>
      </c>
      <c r="C161" s="28">
        <v>45791</v>
      </c>
      <c r="D161" s="29">
        <v>256779420305</v>
      </c>
      <c r="E161" s="27" t="s">
        <v>46</v>
      </c>
      <c r="F161" s="30">
        <v>-945.75</v>
      </c>
      <c r="G161" s="30">
        <f t="shared" si="23"/>
        <v>-945.75</v>
      </c>
      <c r="H161" s="27" t="s">
        <v>42</v>
      </c>
      <c r="I161" s="30">
        <v>-81988.259999999995</v>
      </c>
      <c r="J161" s="30" t="e" cm="1">
        <f t="array" ref="J161">_xlfn.XLOOKUP(D161,'Customer Data Vlookup'!$L:$L,'Customer Data Vlookup'!$M:$N,,0)</f>
        <v>#N/A</v>
      </c>
      <c r="K161" s="30"/>
      <c r="L161" s="30"/>
      <c r="M161" s="30"/>
      <c r="N161" s="56"/>
      <c r="O161" s="27" t="s">
        <v>281</v>
      </c>
    </row>
    <row r="162" spans="1:15" x14ac:dyDescent="0.35">
      <c r="A162" s="88">
        <v>1600000782</v>
      </c>
      <c r="B162" s="27" t="s">
        <v>4</v>
      </c>
      <c r="C162" s="28">
        <v>45791</v>
      </c>
      <c r="D162" s="29">
        <v>256779420491</v>
      </c>
      <c r="E162" s="27" t="s">
        <v>46</v>
      </c>
      <c r="F162" s="30">
        <v>-1166.5899999999999</v>
      </c>
      <c r="G162" s="30">
        <f t="shared" si="23"/>
        <v>-1166.5899999999999</v>
      </c>
      <c r="H162" s="27" t="s">
        <v>42</v>
      </c>
      <c r="I162" s="30">
        <v>-101402.13</v>
      </c>
      <c r="J162" s="30" t="e" cm="1">
        <f t="array" ref="J162">_xlfn.XLOOKUP(D162,'Customer Data Vlookup'!$L:$L,'Customer Data Vlookup'!$M:$N,,0)</f>
        <v>#N/A</v>
      </c>
      <c r="K162" s="30"/>
      <c r="L162" s="30"/>
      <c r="M162" s="30"/>
      <c r="N162" s="56"/>
      <c r="O162" s="27" t="s">
        <v>283</v>
      </c>
    </row>
    <row r="163" spans="1:15" x14ac:dyDescent="0.35">
      <c r="A163" s="88">
        <v>1600000816</v>
      </c>
      <c r="B163" s="27" t="s">
        <v>4</v>
      </c>
      <c r="C163" s="28">
        <v>45791</v>
      </c>
      <c r="D163" s="29">
        <v>256779420525</v>
      </c>
      <c r="E163" s="27" t="s">
        <v>46</v>
      </c>
      <c r="F163" s="30">
        <v>-1143.1199999999999</v>
      </c>
      <c r="G163" s="30">
        <f t="shared" si="23"/>
        <v>-1143.1199999999999</v>
      </c>
      <c r="H163" s="27" t="s">
        <v>42</v>
      </c>
      <c r="I163" s="30">
        <v>-99362.07</v>
      </c>
      <c r="J163" s="30" t="e" cm="1">
        <f t="array" ref="J163">_xlfn.XLOOKUP(D163,'Customer Data Vlookup'!$L:$L,'Customer Data Vlookup'!$M:$N,,0)</f>
        <v>#N/A</v>
      </c>
      <c r="K163" s="30"/>
      <c r="L163" s="30"/>
      <c r="M163" s="30"/>
      <c r="N163" s="56"/>
      <c r="O163" s="27" t="s">
        <v>285</v>
      </c>
    </row>
    <row r="164" spans="1:15" x14ac:dyDescent="0.35">
      <c r="A164" s="88">
        <v>1800008488</v>
      </c>
      <c r="B164" s="27" t="s">
        <v>5</v>
      </c>
      <c r="C164" s="28">
        <v>45793</v>
      </c>
      <c r="D164" s="29">
        <v>256779413256</v>
      </c>
      <c r="E164" s="27" t="s">
        <v>46</v>
      </c>
      <c r="F164" s="30">
        <v>270</v>
      </c>
      <c r="G164" s="30">
        <f t="shared" si="23"/>
        <v>270</v>
      </c>
      <c r="H164" s="27" t="s">
        <v>42</v>
      </c>
      <c r="I164" s="30">
        <v>23215.599999999999</v>
      </c>
      <c r="J164" s="30" cm="1">
        <f t="array" ref="J164:K164">_xlfn.XLOOKUP(D164,'Customer Data Vlookup'!$L:$L,'Customer Data Vlookup'!$M:$N,,0)</f>
        <v>0</v>
      </c>
      <c r="K164" s="30">
        <v>264.60000000000002</v>
      </c>
      <c r="L164" s="30">
        <f t="shared" ref="L164:L172" si="36">K164-J164</f>
        <v>264.60000000000002</v>
      </c>
      <c r="M164" s="30">
        <f t="shared" ref="M164:M172" si="37">F164-L164</f>
        <v>5.3999999999999773</v>
      </c>
      <c r="N164" s="56">
        <f t="shared" ref="N164:N172" si="38">M164/F164</f>
        <v>1.9999999999999917E-2</v>
      </c>
      <c r="O164" s="27" t="s">
        <v>287</v>
      </c>
    </row>
    <row r="165" spans="1:15" x14ac:dyDescent="0.35">
      <c r="A165" s="88">
        <v>1800008520</v>
      </c>
      <c r="B165" s="27" t="s">
        <v>5</v>
      </c>
      <c r="C165" s="28">
        <v>45793</v>
      </c>
      <c r="D165" s="29">
        <v>256779413284</v>
      </c>
      <c r="E165" s="27" t="s">
        <v>46</v>
      </c>
      <c r="F165" s="30">
        <v>35</v>
      </c>
      <c r="G165" s="30">
        <f t="shared" si="23"/>
        <v>35</v>
      </c>
      <c r="H165" s="27" t="s">
        <v>42</v>
      </c>
      <c r="I165" s="30">
        <v>3009.43</v>
      </c>
      <c r="J165" s="30" cm="1">
        <f t="array" ref="J165:K165">_xlfn.XLOOKUP(D165,'Customer Data Vlookup'!$L:$L,'Customer Data Vlookup'!$M:$N,,0)</f>
        <v>0</v>
      </c>
      <c r="K165" s="30">
        <v>34.299999999999997</v>
      </c>
      <c r="L165" s="30">
        <f t="shared" si="36"/>
        <v>34.299999999999997</v>
      </c>
      <c r="M165" s="30">
        <f t="shared" si="37"/>
        <v>0.70000000000000284</v>
      </c>
      <c r="N165" s="56">
        <f t="shared" si="38"/>
        <v>2.000000000000008E-2</v>
      </c>
      <c r="O165" s="27" t="s">
        <v>289</v>
      </c>
    </row>
    <row r="166" spans="1:15" x14ac:dyDescent="0.35">
      <c r="A166" s="88">
        <v>1800008549</v>
      </c>
      <c r="B166" s="27" t="s">
        <v>5</v>
      </c>
      <c r="C166" s="28">
        <v>45793</v>
      </c>
      <c r="D166" s="29">
        <v>256779413313</v>
      </c>
      <c r="E166" s="27" t="s">
        <v>46</v>
      </c>
      <c r="F166" s="30">
        <v>86</v>
      </c>
      <c r="G166" s="30">
        <f t="shared" si="23"/>
        <v>86</v>
      </c>
      <c r="H166" s="27" t="s">
        <v>42</v>
      </c>
      <c r="I166" s="30">
        <v>7394.6</v>
      </c>
      <c r="J166" s="30" cm="1">
        <f t="array" ref="J166:K166">_xlfn.XLOOKUP(D166,'Customer Data Vlookup'!$L:$L,'Customer Data Vlookup'!$M:$N,,0)</f>
        <v>0</v>
      </c>
      <c r="K166" s="30">
        <v>84.28</v>
      </c>
      <c r="L166" s="30">
        <f t="shared" si="36"/>
        <v>84.28</v>
      </c>
      <c r="M166" s="30">
        <f t="shared" si="37"/>
        <v>1.7199999999999989</v>
      </c>
      <c r="N166" s="56">
        <f t="shared" si="38"/>
        <v>1.9999999999999987E-2</v>
      </c>
      <c r="O166" s="27" t="s">
        <v>290</v>
      </c>
    </row>
    <row r="167" spans="1:15" x14ac:dyDescent="0.35">
      <c r="A167" s="88">
        <v>1800008594</v>
      </c>
      <c r="B167" s="27" t="s">
        <v>5</v>
      </c>
      <c r="C167" s="28">
        <v>45793</v>
      </c>
      <c r="D167" s="29">
        <v>256779413358</v>
      </c>
      <c r="E167" s="27" t="s">
        <v>46</v>
      </c>
      <c r="F167" s="30">
        <v>20.11</v>
      </c>
      <c r="G167" s="30">
        <f t="shared" si="23"/>
        <v>20.11</v>
      </c>
      <c r="H167" s="27" t="s">
        <v>42</v>
      </c>
      <c r="I167" s="30">
        <v>1729.13</v>
      </c>
      <c r="J167" s="30" cm="1">
        <f t="array" ref="J167:K167">_xlfn.XLOOKUP(D167,'Customer Data Vlookup'!$L:$L,'Customer Data Vlookup'!$M:$N,,0)</f>
        <v>0</v>
      </c>
      <c r="K167" s="30">
        <v>19.707799999999999</v>
      </c>
      <c r="L167" s="30">
        <f t="shared" si="36"/>
        <v>19.707799999999999</v>
      </c>
      <c r="M167" s="30">
        <f t="shared" si="37"/>
        <v>0.40220000000000056</v>
      </c>
      <c r="N167" s="56">
        <f t="shared" si="38"/>
        <v>2.0000000000000028E-2</v>
      </c>
      <c r="O167" s="27" t="s">
        <v>291</v>
      </c>
    </row>
    <row r="168" spans="1:15" x14ac:dyDescent="0.35">
      <c r="A168" s="88">
        <v>1800009133</v>
      </c>
      <c r="B168" s="27" t="s">
        <v>5</v>
      </c>
      <c r="C168" s="28">
        <v>45805</v>
      </c>
      <c r="D168" s="29">
        <v>256779413897</v>
      </c>
      <c r="E168" s="27" t="s">
        <v>46</v>
      </c>
      <c r="F168" s="30">
        <v>553.24</v>
      </c>
      <c r="G168" s="30">
        <f t="shared" si="23"/>
        <v>553.24</v>
      </c>
      <c r="H168" s="27" t="s">
        <v>42</v>
      </c>
      <c r="I168" s="30">
        <v>47569.62</v>
      </c>
      <c r="J168" s="30" cm="1">
        <f t="array" ref="J168:K168">_xlfn.XLOOKUP(D168,'Customer Data Vlookup'!$L:$L,'Customer Data Vlookup'!$M:$N,,0)</f>
        <v>0</v>
      </c>
      <c r="K168" s="30">
        <v>497.916</v>
      </c>
      <c r="L168" s="30">
        <f t="shared" si="36"/>
        <v>497.916</v>
      </c>
      <c r="M168" s="30">
        <f t="shared" si="37"/>
        <v>55.324000000000012</v>
      </c>
      <c r="N168" s="56">
        <f t="shared" si="38"/>
        <v>0.10000000000000002</v>
      </c>
      <c r="O168" s="27" t="s">
        <v>293</v>
      </c>
    </row>
    <row r="169" spans="1:15" x14ac:dyDescent="0.35">
      <c r="A169" s="88">
        <v>1800010770</v>
      </c>
      <c r="B169" s="27" t="s">
        <v>5</v>
      </c>
      <c r="C169" s="28">
        <v>45856</v>
      </c>
      <c r="D169" s="29">
        <v>256779415432</v>
      </c>
      <c r="E169" s="27" t="s">
        <v>46</v>
      </c>
      <c r="F169" s="30">
        <v>296.64</v>
      </c>
      <c r="G169" s="30">
        <f t="shared" si="23"/>
        <v>296.64</v>
      </c>
      <c r="H169" s="27" t="s">
        <v>42</v>
      </c>
      <c r="I169" s="30">
        <v>25511.24</v>
      </c>
      <c r="J169" s="30" cm="1">
        <f t="array" ref="J169:K169">_xlfn.XLOOKUP(D169,'Customer Data Vlookup'!$L:$L,'Customer Data Vlookup'!$M:$N,,0)</f>
        <v>0</v>
      </c>
      <c r="K169" s="30">
        <v>290.70999999999998</v>
      </c>
      <c r="L169" s="30">
        <f t="shared" si="36"/>
        <v>290.70999999999998</v>
      </c>
      <c r="M169" s="30">
        <f t="shared" si="37"/>
        <v>5.9300000000000068</v>
      </c>
      <c r="N169" s="56">
        <f t="shared" si="38"/>
        <v>1.9990560949298838E-2</v>
      </c>
      <c r="O169" s="27" t="s">
        <v>295</v>
      </c>
    </row>
    <row r="170" spans="1:15" x14ac:dyDescent="0.35">
      <c r="A170" s="88">
        <v>1800010698</v>
      </c>
      <c r="B170" s="27" t="s">
        <v>5</v>
      </c>
      <c r="C170" s="28">
        <v>45856</v>
      </c>
      <c r="D170" s="29">
        <v>256779415482</v>
      </c>
      <c r="E170" s="27" t="s">
        <v>46</v>
      </c>
      <c r="F170" s="30">
        <v>860.97</v>
      </c>
      <c r="G170" s="30">
        <f t="shared" si="23"/>
        <v>860.97</v>
      </c>
      <c r="H170" s="27" t="s">
        <v>42</v>
      </c>
      <c r="I170" s="30">
        <v>74044</v>
      </c>
      <c r="J170" s="30" cm="1">
        <f t="array" ref="J170:K170">_xlfn.XLOOKUP(D170,'Customer Data Vlookup'!$L:$L,'Customer Data Vlookup'!$M:$N,,0)</f>
        <v>0</v>
      </c>
      <c r="K170" s="30">
        <v>842.20999999999992</v>
      </c>
      <c r="L170" s="30">
        <f t="shared" si="36"/>
        <v>842.20999999999992</v>
      </c>
      <c r="M170" s="30">
        <f t="shared" si="37"/>
        <v>18.760000000000105</v>
      </c>
      <c r="N170" s="56">
        <f t="shared" si="38"/>
        <v>2.1789377097924556E-2</v>
      </c>
      <c r="O170" s="27" t="s">
        <v>297</v>
      </c>
    </row>
    <row r="171" spans="1:15" x14ac:dyDescent="0.35">
      <c r="A171" s="88">
        <v>1800010740</v>
      </c>
      <c r="B171" s="27" t="s">
        <v>5</v>
      </c>
      <c r="C171" s="28">
        <v>45856</v>
      </c>
      <c r="D171" s="29">
        <v>256779415524</v>
      </c>
      <c r="E171" s="27" t="s">
        <v>46</v>
      </c>
      <c r="F171" s="30">
        <v>73.12</v>
      </c>
      <c r="G171" s="30">
        <f t="shared" ref="G171:G234" si="39">F171</f>
        <v>73.12</v>
      </c>
      <c r="H171" s="27" t="s">
        <v>42</v>
      </c>
      <c r="I171" s="30">
        <v>6288.37</v>
      </c>
      <c r="J171" s="30" cm="1">
        <f t="array" ref="J171:K171">_xlfn.XLOOKUP(D171,'Customer Data Vlookup'!$L:$L,'Customer Data Vlookup'!$M:$N,,0)</f>
        <v>0</v>
      </c>
      <c r="K171" s="30">
        <v>71.657600000000002</v>
      </c>
      <c r="L171" s="30">
        <f t="shared" si="36"/>
        <v>71.657600000000002</v>
      </c>
      <c r="M171" s="30">
        <f t="shared" si="37"/>
        <v>1.4624000000000024</v>
      </c>
      <c r="N171" s="56">
        <f t="shared" si="38"/>
        <v>2.0000000000000032E-2</v>
      </c>
      <c r="O171" s="27" t="s">
        <v>299</v>
      </c>
    </row>
    <row r="172" spans="1:15" x14ac:dyDescent="0.35">
      <c r="A172" s="88">
        <v>1800010941</v>
      </c>
      <c r="B172" s="27" t="s">
        <v>5</v>
      </c>
      <c r="C172" s="28">
        <v>45856</v>
      </c>
      <c r="D172" s="29">
        <v>256779415701</v>
      </c>
      <c r="E172" s="27" t="s">
        <v>46</v>
      </c>
      <c r="F172" s="30">
        <v>660</v>
      </c>
      <c r="G172" s="30">
        <f t="shared" si="39"/>
        <v>660</v>
      </c>
      <c r="H172" s="27" t="s">
        <v>42</v>
      </c>
      <c r="I172" s="30">
        <v>56760.44</v>
      </c>
      <c r="J172" s="30" cm="1">
        <f t="array" ref="J172:K172">_xlfn.XLOOKUP(D172,'Customer Data Vlookup'!$L:$L,'Customer Data Vlookup'!$M:$N,,0)</f>
        <v>0</v>
      </c>
      <c r="K172" s="30">
        <v>646.79999999999995</v>
      </c>
      <c r="L172" s="30">
        <f t="shared" si="36"/>
        <v>646.79999999999995</v>
      </c>
      <c r="M172" s="30">
        <f t="shared" si="37"/>
        <v>13.200000000000045</v>
      </c>
      <c r="N172" s="56">
        <f t="shared" si="38"/>
        <v>2.000000000000007E-2</v>
      </c>
      <c r="O172" s="27" t="s">
        <v>301</v>
      </c>
    </row>
    <row r="173" spans="1:15" x14ac:dyDescent="0.35">
      <c r="A173" s="88">
        <v>1800011042</v>
      </c>
      <c r="B173" s="27" t="s">
        <v>5</v>
      </c>
      <c r="C173" s="28">
        <v>45856</v>
      </c>
      <c r="D173" s="29">
        <v>256779415802</v>
      </c>
      <c r="E173" s="27" t="s">
        <v>46</v>
      </c>
      <c r="F173" s="30">
        <v>860.97</v>
      </c>
      <c r="G173" s="30">
        <f t="shared" si="39"/>
        <v>860.97</v>
      </c>
      <c r="H173" s="27" t="s">
        <v>42</v>
      </c>
      <c r="I173" s="54">
        <v>74044</v>
      </c>
      <c r="J173" s="30" t="e" cm="1">
        <f t="array" ref="J173">_xlfn.XLOOKUP(D173,'Customer Data Vlookup'!$L:$L,'Customer Data Vlookup'!$M:$N,,0)</f>
        <v>#N/A</v>
      </c>
      <c r="K173" s="54"/>
      <c r="L173" s="54"/>
      <c r="M173" s="54"/>
      <c r="N173" s="56"/>
      <c r="O173" s="27" t="s">
        <v>297</v>
      </c>
    </row>
    <row r="174" spans="1:15" x14ac:dyDescent="0.35">
      <c r="A174" s="88">
        <v>1800001469</v>
      </c>
      <c r="B174" s="27" t="s">
        <v>5</v>
      </c>
      <c r="C174" s="28">
        <v>45729</v>
      </c>
      <c r="D174" s="29">
        <v>246779411301</v>
      </c>
      <c r="E174" s="27" t="s">
        <v>46</v>
      </c>
      <c r="F174" s="30">
        <v>85</v>
      </c>
      <c r="G174" s="30">
        <f t="shared" si="39"/>
        <v>85</v>
      </c>
      <c r="H174" s="27" t="s">
        <v>42</v>
      </c>
      <c r="I174" s="30">
        <v>7368.76</v>
      </c>
      <c r="J174" s="30" cm="1">
        <f t="array" ref="J174:K174">_xlfn.XLOOKUP(D174,'Customer Data Vlookup'!$L:$L,'Customer Data Vlookup'!$M:$N,,0)</f>
        <v>0</v>
      </c>
      <c r="K174" s="30">
        <v>83.3</v>
      </c>
      <c r="L174" s="30">
        <f t="shared" ref="L174:L192" si="40">K174-J174</f>
        <v>83.3</v>
      </c>
      <c r="M174" s="30">
        <f t="shared" ref="M174:M192" si="41">F174-L174</f>
        <v>1.7000000000000028</v>
      </c>
      <c r="N174" s="56">
        <f t="shared" ref="N174:N192" si="42">M174/F174</f>
        <v>2.0000000000000035E-2</v>
      </c>
      <c r="O174" s="27" t="s">
        <v>304</v>
      </c>
    </row>
    <row r="175" spans="1:15" x14ac:dyDescent="0.35">
      <c r="A175" s="88">
        <v>1800001451</v>
      </c>
      <c r="B175" s="27" t="s">
        <v>5</v>
      </c>
      <c r="C175" s="28">
        <v>45729</v>
      </c>
      <c r="D175" s="29">
        <v>246779411315</v>
      </c>
      <c r="E175" s="27" t="s">
        <v>46</v>
      </c>
      <c r="F175" s="30">
        <v>35</v>
      </c>
      <c r="G175" s="30">
        <f t="shared" si="39"/>
        <v>35</v>
      </c>
      <c r="H175" s="27" t="s">
        <v>42</v>
      </c>
      <c r="I175" s="30">
        <v>3034.19</v>
      </c>
      <c r="J175" s="30" cm="1">
        <f t="array" ref="J175:K175">_xlfn.XLOOKUP(D175,'Customer Data Vlookup'!$L:$L,'Customer Data Vlookup'!$M:$N,,0)</f>
        <v>0</v>
      </c>
      <c r="K175" s="30">
        <v>34.299999999999997</v>
      </c>
      <c r="L175" s="30">
        <f t="shared" si="40"/>
        <v>34.299999999999997</v>
      </c>
      <c r="M175" s="30">
        <f t="shared" si="41"/>
        <v>0.70000000000000284</v>
      </c>
      <c r="N175" s="56">
        <f t="shared" si="42"/>
        <v>2.000000000000008E-2</v>
      </c>
      <c r="O175" s="27" t="s">
        <v>306</v>
      </c>
    </row>
    <row r="176" spans="1:15" x14ac:dyDescent="0.35">
      <c r="A176" s="88">
        <v>1800001411</v>
      </c>
      <c r="B176" s="27" t="s">
        <v>5</v>
      </c>
      <c r="C176" s="28">
        <v>45729</v>
      </c>
      <c r="D176" s="29">
        <v>246779411279</v>
      </c>
      <c r="E176" s="27" t="s">
        <v>46</v>
      </c>
      <c r="F176" s="30">
        <v>35</v>
      </c>
      <c r="G176" s="30">
        <f t="shared" si="39"/>
        <v>35</v>
      </c>
      <c r="H176" s="27" t="s">
        <v>42</v>
      </c>
      <c r="I176" s="30">
        <v>3034.19</v>
      </c>
      <c r="J176" s="30" cm="1">
        <f t="array" ref="J176:K176">_xlfn.XLOOKUP(D176,'Customer Data Vlookup'!$L:$L,'Customer Data Vlookup'!$M:$N,,0)</f>
        <v>0</v>
      </c>
      <c r="K176" s="30">
        <v>34.299999999999997</v>
      </c>
      <c r="L176" s="30">
        <f t="shared" si="40"/>
        <v>34.299999999999997</v>
      </c>
      <c r="M176" s="30">
        <f t="shared" si="41"/>
        <v>0.70000000000000284</v>
      </c>
      <c r="N176" s="56">
        <f t="shared" si="42"/>
        <v>2.000000000000008E-2</v>
      </c>
      <c r="O176" s="27" t="s">
        <v>308</v>
      </c>
    </row>
    <row r="177" spans="1:15" x14ac:dyDescent="0.35">
      <c r="A177" s="88">
        <v>1800003929</v>
      </c>
      <c r="B177" s="27" t="s">
        <v>5</v>
      </c>
      <c r="C177" s="28">
        <v>45736</v>
      </c>
      <c r="D177" s="29">
        <v>246779413797</v>
      </c>
      <c r="E177" s="27" t="s">
        <v>46</v>
      </c>
      <c r="F177" s="30">
        <v>1750</v>
      </c>
      <c r="G177" s="30">
        <f t="shared" si="39"/>
        <v>1750</v>
      </c>
      <c r="H177" s="27" t="s">
        <v>42</v>
      </c>
      <c r="I177" s="30">
        <v>151709.71</v>
      </c>
      <c r="J177" s="30" cm="1">
        <f t="array" ref="J177:K177">_xlfn.XLOOKUP(D177,'Customer Data Vlookup'!$L:$L,'Customer Data Vlookup'!$M:$N,,0)</f>
        <v>0</v>
      </c>
      <c r="K177" s="30">
        <v>1719</v>
      </c>
      <c r="L177" s="30">
        <f t="shared" si="40"/>
        <v>1719</v>
      </c>
      <c r="M177" s="30">
        <f t="shared" si="41"/>
        <v>31</v>
      </c>
      <c r="N177" s="56">
        <f t="shared" si="42"/>
        <v>1.7714285714285714E-2</v>
      </c>
      <c r="O177" s="27" t="s">
        <v>310</v>
      </c>
    </row>
    <row r="178" spans="1:15" x14ac:dyDescent="0.35">
      <c r="A178" s="88">
        <v>1800003940</v>
      </c>
      <c r="B178" s="27" t="s">
        <v>5</v>
      </c>
      <c r="C178" s="28">
        <v>45736</v>
      </c>
      <c r="D178" s="29">
        <v>246779413808</v>
      </c>
      <c r="E178" s="27" t="s">
        <v>46</v>
      </c>
      <c r="F178" s="30">
        <v>1600</v>
      </c>
      <c r="G178" s="30">
        <f t="shared" si="39"/>
        <v>1600</v>
      </c>
      <c r="H178" s="27" t="s">
        <v>42</v>
      </c>
      <c r="I178" s="30">
        <v>138706.01999999999</v>
      </c>
      <c r="J178" s="30" cm="1">
        <f t="array" ref="J178:K178">_xlfn.XLOOKUP(D178,'Customer Data Vlookup'!$L:$L,'Customer Data Vlookup'!$M:$N,,0)</f>
        <v>0</v>
      </c>
      <c r="K178" s="30">
        <v>1572</v>
      </c>
      <c r="L178" s="30">
        <f t="shared" si="40"/>
        <v>1572</v>
      </c>
      <c r="M178" s="30">
        <f t="shared" si="41"/>
        <v>28</v>
      </c>
      <c r="N178" s="56">
        <f t="shared" si="42"/>
        <v>1.7500000000000002E-2</v>
      </c>
      <c r="O178" s="27" t="s">
        <v>312</v>
      </c>
    </row>
    <row r="179" spans="1:15" x14ac:dyDescent="0.35">
      <c r="A179" s="88">
        <v>1800003961</v>
      </c>
      <c r="B179" s="27" t="s">
        <v>5</v>
      </c>
      <c r="C179" s="28">
        <v>45736</v>
      </c>
      <c r="D179" s="29">
        <v>246779413817</v>
      </c>
      <c r="E179" s="27" t="s">
        <v>46</v>
      </c>
      <c r="F179" s="30">
        <v>50</v>
      </c>
      <c r="G179" s="30">
        <f t="shared" si="39"/>
        <v>50</v>
      </c>
      <c r="H179" s="27" t="s">
        <v>42</v>
      </c>
      <c r="I179" s="30">
        <v>4334.5600000000004</v>
      </c>
      <c r="J179" s="30" cm="1">
        <f t="array" ref="J179:K179">_xlfn.XLOOKUP(D179,'Customer Data Vlookup'!$L:$L,'Customer Data Vlookup'!$M:$N,,0)</f>
        <v>0</v>
      </c>
      <c r="K179" s="30">
        <v>49</v>
      </c>
      <c r="L179" s="30">
        <f t="shared" si="40"/>
        <v>49</v>
      </c>
      <c r="M179" s="30">
        <f t="shared" si="41"/>
        <v>1</v>
      </c>
      <c r="N179" s="56">
        <f t="shared" si="42"/>
        <v>0.02</v>
      </c>
      <c r="O179" s="27" t="s">
        <v>314</v>
      </c>
    </row>
    <row r="180" spans="1:15" x14ac:dyDescent="0.35">
      <c r="A180" s="88">
        <v>1800003972</v>
      </c>
      <c r="B180" s="27" t="s">
        <v>5</v>
      </c>
      <c r="C180" s="28">
        <v>45736</v>
      </c>
      <c r="D180" s="29">
        <v>246779413828</v>
      </c>
      <c r="E180" s="27" t="s">
        <v>46</v>
      </c>
      <c r="F180" s="30">
        <v>50</v>
      </c>
      <c r="G180" s="30">
        <f t="shared" si="39"/>
        <v>50</v>
      </c>
      <c r="H180" s="27" t="s">
        <v>42</v>
      </c>
      <c r="I180" s="30">
        <v>4334.5600000000004</v>
      </c>
      <c r="J180" s="30" cm="1">
        <f t="array" ref="J180:K180">_xlfn.XLOOKUP(D180,'Customer Data Vlookup'!$L:$L,'Customer Data Vlookup'!$M:$N,,0)</f>
        <v>0</v>
      </c>
      <c r="K180" s="30">
        <v>49</v>
      </c>
      <c r="L180" s="30">
        <f t="shared" si="40"/>
        <v>49</v>
      </c>
      <c r="M180" s="30">
        <f t="shared" si="41"/>
        <v>1</v>
      </c>
      <c r="N180" s="56">
        <f t="shared" si="42"/>
        <v>0.02</v>
      </c>
      <c r="O180" s="27" t="s">
        <v>316</v>
      </c>
    </row>
    <row r="181" spans="1:15" x14ac:dyDescent="0.35">
      <c r="A181" s="88">
        <v>1800004049</v>
      </c>
      <c r="B181" s="27" t="s">
        <v>5</v>
      </c>
      <c r="C181" s="28">
        <v>45736</v>
      </c>
      <c r="D181" s="29">
        <v>246779413905</v>
      </c>
      <c r="E181" s="27" t="s">
        <v>46</v>
      </c>
      <c r="F181" s="30">
        <v>4.4000000000000004</v>
      </c>
      <c r="G181" s="30">
        <f t="shared" si="39"/>
        <v>4.4000000000000004</v>
      </c>
      <c r="H181" s="27" t="s">
        <v>42</v>
      </c>
      <c r="I181" s="30">
        <v>381.44</v>
      </c>
      <c r="J181" s="30" cm="1">
        <f t="array" ref="J181:K181">_xlfn.XLOOKUP(D181,'Customer Data Vlookup'!$L:$L,'Customer Data Vlookup'!$M:$N,,0)</f>
        <v>0</v>
      </c>
      <c r="K181" s="30">
        <v>4.3120000000000003</v>
      </c>
      <c r="L181" s="30">
        <f t="shared" si="40"/>
        <v>4.3120000000000003</v>
      </c>
      <c r="M181" s="30">
        <f t="shared" si="41"/>
        <v>8.8000000000000078E-2</v>
      </c>
      <c r="N181" s="56">
        <f t="shared" si="42"/>
        <v>2.0000000000000018E-2</v>
      </c>
      <c r="O181" s="27" t="s">
        <v>318</v>
      </c>
    </row>
    <row r="182" spans="1:15" x14ac:dyDescent="0.35">
      <c r="A182" s="88">
        <v>1800004275</v>
      </c>
      <c r="B182" s="27" t="s">
        <v>5</v>
      </c>
      <c r="C182" s="28">
        <v>45736</v>
      </c>
      <c r="D182" s="29">
        <v>246779414143</v>
      </c>
      <c r="E182" s="27" t="s">
        <v>46</v>
      </c>
      <c r="F182" s="30">
        <v>566.11</v>
      </c>
      <c r="G182" s="30">
        <f t="shared" si="39"/>
        <v>566.11</v>
      </c>
      <c r="H182" s="27" t="s">
        <v>42</v>
      </c>
      <c r="I182" s="30">
        <v>49076.79</v>
      </c>
      <c r="J182" s="30" cm="1">
        <f t="array" ref="J182:K182">_xlfn.XLOOKUP(D182,'Customer Data Vlookup'!$L:$L,'Customer Data Vlookup'!$M:$N,,0)</f>
        <v>0</v>
      </c>
      <c r="K182" s="30">
        <v>554.78779999999995</v>
      </c>
      <c r="L182" s="30">
        <f t="shared" si="40"/>
        <v>554.78779999999995</v>
      </c>
      <c r="M182" s="30">
        <f t="shared" si="41"/>
        <v>11.322200000000066</v>
      </c>
      <c r="N182" s="56">
        <f t="shared" si="42"/>
        <v>2.0000000000000115E-2</v>
      </c>
      <c r="O182" s="27" t="s">
        <v>320</v>
      </c>
    </row>
    <row r="183" spans="1:15" x14ac:dyDescent="0.35">
      <c r="A183" s="88">
        <v>1800004276</v>
      </c>
      <c r="B183" s="27" t="s">
        <v>5</v>
      </c>
      <c r="C183" s="28">
        <v>45736</v>
      </c>
      <c r="D183" s="29">
        <v>246779414144</v>
      </c>
      <c r="E183" s="27" t="s">
        <v>46</v>
      </c>
      <c r="F183" s="30">
        <v>126</v>
      </c>
      <c r="G183" s="30">
        <f t="shared" si="39"/>
        <v>126</v>
      </c>
      <c r="H183" s="27" t="s">
        <v>42</v>
      </c>
      <c r="I183" s="30">
        <v>10923.1</v>
      </c>
      <c r="J183" s="30" cm="1">
        <f t="array" ref="J183:K183">_xlfn.XLOOKUP(D183,'Customer Data Vlookup'!$L:$L,'Customer Data Vlookup'!$M:$N,,0)</f>
        <v>0</v>
      </c>
      <c r="K183" s="30">
        <v>123.48</v>
      </c>
      <c r="L183" s="30">
        <f t="shared" si="40"/>
        <v>123.48</v>
      </c>
      <c r="M183" s="30">
        <f t="shared" si="41"/>
        <v>2.519999999999996</v>
      </c>
      <c r="N183" s="56">
        <f t="shared" si="42"/>
        <v>1.9999999999999969E-2</v>
      </c>
      <c r="O183" s="27" t="s">
        <v>322</v>
      </c>
    </row>
    <row r="184" spans="1:15" x14ac:dyDescent="0.35">
      <c r="A184" s="88">
        <v>1800004277</v>
      </c>
      <c r="B184" s="27" t="s">
        <v>5</v>
      </c>
      <c r="C184" s="28">
        <v>45736</v>
      </c>
      <c r="D184" s="29">
        <v>246779414145</v>
      </c>
      <c r="E184" s="27" t="s">
        <v>46</v>
      </c>
      <c r="F184" s="30">
        <v>150</v>
      </c>
      <c r="G184" s="30">
        <f t="shared" si="39"/>
        <v>150</v>
      </c>
      <c r="H184" s="27" t="s">
        <v>42</v>
      </c>
      <c r="I184" s="30">
        <v>13003.69</v>
      </c>
      <c r="J184" s="30" cm="1">
        <f t="array" ref="J184:K184">_xlfn.XLOOKUP(D184,'Customer Data Vlookup'!$L:$L,'Customer Data Vlookup'!$M:$N,,0)</f>
        <v>0</v>
      </c>
      <c r="K184" s="30">
        <v>147</v>
      </c>
      <c r="L184" s="30">
        <f t="shared" si="40"/>
        <v>147</v>
      </c>
      <c r="M184" s="30">
        <f t="shared" si="41"/>
        <v>3</v>
      </c>
      <c r="N184" s="56">
        <f t="shared" si="42"/>
        <v>0.02</v>
      </c>
      <c r="O184" s="27" t="s">
        <v>324</v>
      </c>
    </row>
    <row r="185" spans="1:15" x14ac:dyDescent="0.35">
      <c r="A185" s="88">
        <v>1800004278</v>
      </c>
      <c r="B185" s="27" t="s">
        <v>5</v>
      </c>
      <c r="C185" s="28">
        <v>45736</v>
      </c>
      <c r="D185" s="29">
        <v>246779414146</v>
      </c>
      <c r="E185" s="27" t="s">
        <v>46</v>
      </c>
      <c r="F185" s="30">
        <v>19.350000000000001</v>
      </c>
      <c r="G185" s="30">
        <f t="shared" si="39"/>
        <v>19.350000000000001</v>
      </c>
      <c r="H185" s="27" t="s">
        <v>42</v>
      </c>
      <c r="I185" s="30">
        <v>1677.48</v>
      </c>
      <c r="J185" s="30" cm="1">
        <f t="array" ref="J185:K185">_xlfn.XLOOKUP(D185,'Customer Data Vlookup'!$L:$L,'Customer Data Vlookup'!$M:$N,,0)</f>
        <v>0</v>
      </c>
      <c r="K185" s="30">
        <v>17.414999999999999</v>
      </c>
      <c r="L185" s="30">
        <f t="shared" si="40"/>
        <v>17.414999999999999</v>
      </c>
      <c r="M185" s="30">
        <f t="shared" si="41"/>
        <v>1.9350000000000023</v>
      </c>
      <c r="N185" s="56">
        <f t="shared" si="42"/>
        <v>0.10000000000000012</v>
      </c>
      <c r="O185" s="27" t="s">
        <v>326</v>
      </c>
    </row>
    <row r="186" spans="1:15" x14ac:dyDescent="0.35">
      <c r="A186" s="88">
        <v>1800004354</v>
      </c>
      <c r="B186" s="27" t="s">
        <v>5</v>
      </c>
      <c r="C186" s="28">
        <v>45736</v>
      </c>
      <c r="D186" s="29">
        <v>246779414222</v>
      </c>
      <c r="E186" s="27" t="s">
        <v>46</v>
      </c>
      <c r="F186" s="30">
        <v>196.78</v>
      </c>
      <c r="G186" s="30">
        <f t="shared" si="39"/>
        <v>196.78</v>
      </c>
      <c r="H186" s="27" t="s">
        <v>42</v>
      </c>
      <c r="I186" s="30">
        <v>17059.11</v>
      </c>
      <c r="J186" s="30" cm="1">
        <f t="array" ref="J186:K186">_xlfn.XLOOKUP(D186,'Customer Data Vlookup'!$L:$L,'Customer Data Vlookup'!$M:$N,,0)</f>
        <v>0</v>
      </c>
      <c r="K186" s="30">
        <v>192.84440000000001</v>
      </c>
      <c r="L186" s="30">
        <f t="shared" si="40"/>
        <v>192.84440000000001</v>
      </c>
      <c r="M186" s="30">
        <f t="shared" si="41"/>
        <v>3.9355999999999938</v>
      </c>
      <c r="N186" s="56">
        <f t="shared" si="42"/>
        <v>1.9999999999999969E-2</v>
      </c>
      <c r="O186" s="27" t="s">
        <v>328</v>
      </c>
    </row>
    <row r="187" spans="1:15" x14ac:dyDescent="0.35">
      <c r="A187" s="88">
        <v>1800004529</v>
      </c>
      <c r="B187" s="27" t="s">
        <v>5</v>
      </c>
      <c r="C187" s="28">
        <v>45736</v>
      </c>
      <c r="D187" s="29">
        <v>246779414397</v>
      </c>
      <c r="E187" s="27" t="s">
        <v>46</v>
      </c>
      <c r="F187" s="30">
        <v>7.03</v>
      </c>
      <c r="G187" s="30">
        <f t="shared" si="39"/>
        <v>7.03</v>
      </c>
      <c r="H187" s="27" t="s">
        <v>42</v>
      </c>
      <c r="I187" s="30">
        <v>609.44000000000005</v>
      </c>
      <c r="J187" s="30" cm="1">
        <f t="array" ref="J187:K187">_xlfn.XLOOKUP(D187,'Customer Data Vlookup'!$L:$L,'Customer Data Vlookup'!$M:$N,,0)</f>
        <v>0</v>
      </c>
      <c r="K187" s="30">
        <v>6.8894000000000002</v>
      </c>
      <c r="L187" s="30">
        <f t="shared" si="40"/>
        <v>6.8894000000000002</v>
      </c>
      <c r="M187" s="30">
        <f t="shared" si="41"/>
        <v>0.14060000000000006</v>
      </c>
      <c r="N187" s="56">
        <f t="shared" si="42"/>
        <v>2.0000000000000007E-2</v>
      </c>
      <c r="O187" s="27" t="s">
        <v>330</v>
      </c>
    </row>
    <row r="188" spans="1:15" x14ac:dyDescent="0.35">
      <c r="A188" s="88">
        <v>1800004530</v>
      </c>
      <c r="B188" s="27" t="s">
        <v>5</v>
      </c>
      <c r="C188" s="28">
        <v>45736</v>
      </c>
      <c r="D188" s="29">
        <v>246779414398</v>
      </c>
      <c r="E188" s="27" t="s">
        <v>46</v>
      </c>
      <c r="F188" s="30">
        <v>32.380000000000003</v>
      </c>
      <c r="G188" s="30">
        <f t="shared" si="39"/>
        <v>32.380000000000003</v>
      </c>
      <c r="H188" s="27" t="s">
        <v>42</v>
      </c>
      <c r="I188" s="30">
        <v>2807.06</v>
      </c>
      <c r="J188" s="30" cm="1">
        <f t="array" ref="J188:K188">_xlfn.XLOOKUP(D188,'Customer Data Vlookup'!$L:$L,'Customer Data Vlookup'!$M:$N,,0)</f>
        <v>0</v>
      </c>
      <c r="K188" s="30">
        <v>31.732399999999998</v>
      </c>
      <c r="L188" s="30">
        <f t="shared" si="40"/>
        <v>31.732399999999998</v>
      </c>
      <c r="M188" s="30">
        <f t="shared" si="41"/>
        <v>0.64760000000000417</v>
      </c>
      <c r="N188" s="56">
        <f t="shared" si="42"/>
        <v>2.0000000000000129E-2</v>
      </c>
      <c r="O188" s="27" t="s">
        <v>332</v>
      </c>
    </row>
    <row r="189" spans="1:15" x14ac:dyDescent="0.35">
      <c r="A189" s="88">
        <v>1800004531</v>
      </c>
      <c r="B189" s="27" t="s">
        <v>5</v>
      </c>
      <c r="C189" s="28">
        <v>45736</v>
      </c>
      <c r="D189" s="29">
        <v>246779414399</v>
      </c>
      <c r="E189" s="27" t="s">
        <v>46</v>
      </c>
      <c r="F189" s="30">
        <v>77.040000000000006</v>
      </c>
      <c r="G189" s="30">
        <f t="shared" si="39"/>
        <v>77.040000000000006</v>
      </c>
      <c r="H189" s="27" t="s">
        <v>42</v>
      </c>
      <c r="I189" s="30">
        <v>6678.69</v>
      </c>
      <c r="J189" s="30" cm="1">
        <f t="array" ref="J189:K189">_xlfn.XLOOKUP(D189,'Customer Data Vlookup'!$L:$L,'Customer Data Vlookup'!$M:$N,,0)</f>
        <v>0</v>
      </c>
      <c r="K189" s="30">
        <v>75.499200000000002</v>
      </c>
      <c r="L189" s="30">
        <f t="shared" si="40"/>
        <v>75.499200000000002</v>
      </c>
      <c r="M189" s="30">
        <f t="shared" si="41"/>
        <v>1.5408000000000044</v>
      </c>
      <c r="N189" s="56">
        <f t="shared" si="42"/>
        <v>2.0000000000000056E-2</v>
      </c>
      <c r="O189" s="27" t="s">
        <v>334</v>
      </c>
    </row>
    <row r="190" spans="1:15" x14ac:dyDescent="0.35">
      <c r="A190" s="88">
        <v>1800004867</v>
      </c>
      <c r="B190" s="27" t="s">
        <v>5</v>
      </c>
      <c r="C190" s="28">
        <v>45736</v>
      </c>
      <c r="D190" s="29">
        <v>246779414735</v>
      </c>
      <c r="E190" s="27" t="s">
        <v>46</v>
      </c>
      <c r="F190" s="30">
        <v>97.4</v>
      </c>
      <c r="G190" s="30">
        <f t="shared" si="39"/>
        <v>97.4</v>
      </c>
      <c r="H190" s="27" t="s">
        <v>42</v>
      </c>
      <c r="I190" s="30">
        <v>8443.73</v>
      </c>
      <c r="J190" s="30" cm="1">
        <f t="array" ref="J190:K190">_xlfn.XLOOKUP(D190,'Customer Data Vlookup'!$L:$L,'Customer Data Vlookup'!$M:$N,,0)</f>
        <v>0</v>
      </c>
      <c r="K190" s="30">
        <v>95.451999999999998</v>
      </c>
      <c r="L190" s="30">
        <f t="shared" si="40"/>
        <v>95.451999999999998</v>
      </c>
      <c r="M190" s="30">
        <f t="shared" si="41"/>
        <v>1.9480000000000075</v>
      </c>
      <c r="N190" s="56">
        <f t="shared" si="42"/>
        <v>2.0000000000000077E-2</v>
      </c>
      <c r="O190" s="27" t="s">
        <v>336</v>
      </c>
    </row>
    <row r="191" spans="1:15" x14ac:dyDescent="0.35">
      <c r="A191" s="88">
        <v>1800005018</v>
      </c>
      <c r="B191" s="27" t="s">
        <v>5</v>
      </c>
      <c r="C191" s="28">
        <v>45736</v>
      </c>
      <c r="D191" s="29">
        <v>246779414886</v>
      </c>
      <c r="E191" s="27" t="s">
        <v>46</v>
      </c>
      <c r="F191" s="30">
        <v>30.8</v>
      </c>
      <c r="G191" s="30">
        <f t="shared" si="39"/>
        <v>30.8</v>
      </c>
      <c r="H191" s="27" t="s">
        <v>42</v>
      </c>
      <c r="I191" s="30">
        <v>2670.09</v>
      </c>
      <c r="J191" s="30" cm="1">
        <f t="array" ref="J191:K191">_xlfn.XLOOKUP(D191,'Customer Data Vlookup'!$L:$L,'Customer Data Vlookup'!$M:$N,,0)</f>
        <v>0</v>
      </c>
      <c r="K191" s="30">
        <v>30.184000000000001</v>
      </c>
      <c r="L191" s="30">
        <f t="shared" si="40"/>
        <v>30.184000000000001</v>
      </c>
      <c r="M191" s="30">
        <f t="shared" si="41"/>
        <v>0.61599999999999966</v>
      </c>
      <c r="N191" s="56">
        <f t="shared" si="42"/>
        <v>1.999999999999999E-2</v>
      </c>
      <c r="O191" s="27" t="s">
        <v>336</v>
      </c>
    </row>
    <row r="192" spans="1:15" x14ac:dyDescent="0.35">
      <c r="A192" s="88">
        <v>1800005019</v>
      </c>
      <c r="B192" s="27" t="s">
        <v>5</v>
      </c>
      <c r="C192" s="28">
        <v>45736</v>
      </c>
      <c r="D192" s="29">
        <v>246779414887</v>
      </c>
      <c r="E192" s="27" t="s">
        <v>46</v>
      </c>
      <c r="F192" s="30">
        <v>7.27</v>
      </c>
      <c r="G192" s="30">
        <f t="shared" si="39"/>
        <v>7.27</v>
      </c>
      <c r="H192" s="27" t="s">
        <v>42</v>
      </c>
      <c r="I192" s="30">
        <v>630.25</v>
      </c>
      <c r="J192" s="30" cm="1">
        <f t="array" ref="J192:K192">_xlfn.XLOOKUP(D192,'Customer Data Vlookup'!$L:$L,'Customer Data Vlookup'!$M:$N,,0)</f>
        <v>0</v>
      </c>
      <c r="K192" s="30">
        <v>7.1246</v>
      </c>
      <c r="L192" s="30">
        <f t="shared" si="40"/>
        <v>7.1246</v>
      </c>
      <c r="M192" s="30">
        <f t="shared" si="41"/>
        <v>0.14539999999999953</v>
      </c>
      <c r="N192" s="56">
        <f t="shared" si="42"/>
        <v>1.9999999999999938E-2</v>
      </c>
      <c r="O192" s="27" t="s">
        <v>336</v>
      </c>
    </row>
    <row r="193" spans="1:15" x14ac:dyDescent="0.35">
      <c r="A193" s="88">
        <v>1800005020</v>
      </c>
      <c r="B193" s="27" t="s">
        <v>5</v>
      </c>
      <c r="C193" s="28">
        <v>45736</v>
      </c>
      <c r="D193" s="29">
        <v>246779414888</v>
      </c>
      <c r="E193" s="27" t="s">
        <v>46</v>
      </c>
      <c r="F193" s="30">
        <v>10.91</v>
      </c>
      <c r="G193" s="30">
        <f t="shared" si="39"/>
        <v>10.91</v>
      </c>
      <c r="H193" s="27" t="s">
        <v>42</v>
      </c>
      <c r="I193" s="54">
        <v>945.8</v>
      </c>
      <c r="J193" s="30" t="e" cm="1">
        <f t="array" ref="J193">_xlfn.XLOOKUP(D193,'Customer Data Vlookup'!$L:$L,'Customer Data Vlookup'!$M:$N,,0)</f>
        <v>#N/A</v>
      </c>
      <c r="K193" s="54"/>
      <c r="L193" s="54"/>
      <c r="M193" s="54"/>
      <c r="N193" s="56"/>
      <c r="O193" s="27" t="s">
        <v>336</v>
      </c>
    </row>
    <row r="194" spans="1:15" x14ac:dyDescent="0.35">
      <c r="A194" s="88">
        <v>1800005021</v>
      </c>
      <c r="B194" s="27" t="s">
        <v>5</v>
      </c>
      <c r="C194" s="28">
        <v>45736</v>
      </c>
      <c r="D194" s="29">
        <v>246779414889</v>
      </c>
      <c r="E194" s="27" t="s">
        <v>46</v>
      </c>
      <c r="F194" s="30">
        <v>2.52</v>
      </c>
      <c r="G194" s="30">
        <f t="shared" si="39"/>
        <v>2.52</v>
      </c>
      <c r="H194" s="27" t="s">
        <v>42</v>
      </c>
      <c r="I194" s="30">
        <v>218.46</v>
      </c>
      <c r="J194" s="30" cm="1">
        <f t="array" ref="J194:K194">_xlfn.XLOOKUP(D194,'Customer Data Vlookup'!$L:$L,'Customer Data Vlookup'!$M:$N,,0)</f>
        <v>0</v>
      </c>
      <c r="K194" s="30">
        <v>2.4695999999999998</v>
      </c>
      <c r="L194" s="30">
        <f t="shared" ref="L194:L204" si="43">K194-J194</f>
        <v>2.4695999999999998</v>
      </c>
      <c r="M194" s="30">
        <f t="shared" ref="M194:M204" si="44">F194-L194</f>
        <v>5.0400000000000222E-2</v>
      </c>
      <c r="N194" s="56">
        <f t="shared" ref="N194:N204" si="45">M194/F194</f>
        <v>2.0000000000000087E-2</v>
      </c>
      <c r="O194" s="27" t="s">
        <v>336</v>
      </c>
    </row>
    <row r="195" spans="1:15" x14ac:dyDescent="0.35">
      <c r="A195" s="88">
        <v>1800005022</v>
      </c>
      <c r="B195" s="27" t="s">
        <v>5</v>
      </c>
      <c r="C195" s="28">
        <v>45736</v>
      </c>
      <c r="D195" s="29">
        <v>246779414890</v>
      </c>
      <c r="E195" s="27" t="s">
        <v>46</v>
      </c>
      <c r="F195" s="30">
        <v>44</v>
      </c>
      <c r="G195" s="30">
        <f t="shared" si="39"/>
        <v>44</v>
      </c>
      <c r="H195" s="27" t="s">
        <v>42</v>
      </c>
      <c r="I195" s="30">
        <v>3814.42</v>
      </c>
      <c r="J195" s="30" cm="1">
        <f t="array" ref="J195:K195">_xlfn.XLOOKUP(D195,'Customer Data Vlookup'!$L:$L,'Customer Data Vlookup'!$M:$N,,0)</f>
        <v>0</v>
      </c>
      <c r="K195" s="30">
        <v>43.12</v>
      </c>
      <c r="L195" s="30">
        <f t="shared" si="43"/>
        <v>43.12</v>
      </c>
      <c r="M195" s="30">
        <f t="shared" si="44"/>
        <v>0.88000000000000256</v>
      </c>
      <c r="N195" s="56">
        <f t="shared" si="45"/>
        <v>2.0000000000000059E-2</v>
      </c>
      <c r="O195" s="27" t="s">
        <v>336</v>
      </c>
    </row>
    <row r="196" spans="1:15" x14ac:dyDescent="0.35">
      <c r="A196" s="88">
        <v>1800004600</v>
      </c>
      <c r="B196" s="27" t="s">
        <v>5</v>
      </c>
      <c r="C196" s="28">
        <v>45736</v>
      </c>
      <c r="D196" s="29">
        <v>246779414468</v>
      </c>
      <c r="E196" s="27" t="s">
        <v>46</v>
      </c>
      <c r="F196" s="30">
        <v>92.22</v>
      </c>
      <c r="G196" s="30">
        <f t="shared" si="39"/>
        <v>92.22</v>
      </c>
      <c r="H196" s="27" t="s">
        <v>42</v>
      </c>
      <c r="I196" s="30">
        <v>7994.67</v>
      </c>
      <c r="J196" s="30" cm="1">
        <f t="array" ref="J196:K196">_xlfn.XLOOKUP(D196,'Customer Data Vlookup'!$L:$L,'Customer Data Vlookup'!$M:$N,,0)</f>
        <v>0</v>
      </c>
      <c r="K196" s="30">
        <v>90.375600000000006</v>
      </c>
      <c r="L196" s="30">
        <f t="shared" si="43"/>
        <v>90.375600000000006</v>
      </c>
      <c r="M196" s="30">
        <f t="shared" si="44"/>
        <v>1.8443999999999932</v>
      </c>
      <c r="N196" s="56">
        <f t="shared" si="45"/>
        <v>1.9999999999999928E-2</v>
      </c>
      <c r="O196" s="27" t="s">
        <v>343</v>
      </c>
    </row>
    <row r="197" spans="1:15" x14ac:dyDescent="0.35">
      <c r="A197" s="88">
        <v>1800004736</v>
      </c>
      <c r="B197" s="27" t="s">
        <v>5</v>
      </c>
      <c r="C197" s="28">
        <v>45736</v>
      </c>
      <c r="D197" s="29">
        <v>246779414604</v>
      </c>
      <c r="E197" s="27" t="s">
        <v>46</v>
      </c>
      <c r="F197" s="30">
        <v>458.06</v>
      </c>
      <c r="G197" s="30">
        <f t="shared" si="39"/>
        <v>458.06</v>
      </c>
      <c r="H197" s="27" t="s">
        <v>42</v>
      </c>
      <c r="I197" s="30">
        <v>39709.800000000003</v>
      </c>
      <c r="J197" s="30" cm="1">
        <f t="array" ref="J197:K197">_xlfn.XLOOKUP(D197,'Customer Data Vlookup'!$L:$L,'Customer Data Vlookup'!$M:$N,,0)</f>
        <v>0</v>
      </c>
      <c r="K197" s="30">
        <v>448.89879999999999</v>
      </c>
      <c r="L197" s="30">
        <f t="shared" si="43"/>
        <v>448.89879999999999</v>
      </c>
      <c r="M197" s="30">
        <f t="shared" si="44"/>
        <v>9.161200000000008</v>
      </c>
      <c r="N197" s="56">
        <f t="shared" si="45"/>
        <v>2.0000000000000018E-2</v>
      </c>
      <c r="O197" s="27" t="s">
        <v>345</v>
      </c>
    </row>
    <row r="198" spans="1:15" x14ac:dyDescent="0.35">
      <c r="A198" s="88">
        <v>1800004814</v>
      </c>
      <c r="B198" s="27" t="s">
        <v>5</v>
      </c>
      <c r="C198" s="28">
        <v>45736</v>
      </c>
      <c r="D198" s="29">
        <v>246779414682</v>
      </c>
      <c r="E198" s="27" t="s">
        <v>46</v>
      </c>
      <c r="F198" s="30">
        <v>90.86</v>
      </c>
      <c r="G198" s="30">
        <f t="shared" si="39"/>
        <v>90.86</v>
      </c>
      <c r="H198" s="27" t="s">
        <v>42</v>
      </c>
      <c r="I198" s="30">
        <v>7876.77</v>
      </c>
      <c r="J198" s="30" cm="1">
        <f t="array" ref="J198:K198">_xlfn.XLOOKUP(D198,'Customer Data Vlookup'!$L:$L,'Customer Data Vlookup'!$M:$N,,0)</f>
        <v>0</v>
      </c>
      <c r="K198" s="30">
        <v>89.0428</v>
      </c>
      <c r="L198" s="30">
        <f t="shared" si="43"/>
        <v>89.0428</v>
      </c>
      <c r="M198" s="30">
        <f t="shared" si="44"/>
        <v>1.8171999999999997</v>
      </c>
      <c r="N198" s="56">
        <f t="shared" si="45"/>
        <v>1.9999999999999997E-2</v>
      </c>
      <c r="O198" s="27" t="s">
        <v>347</v>
      </c>
    </row>
    <row r="199" spans="1:15" x14ac:dyDescent="0.35">
      <c r="A199" s="88">
        <v>1800000101</v>
      </c>
      <c r="B199" s="27" t="s">
        <v>5</v>
      </c>
      <c r="C199" s="28">
        <v>45708</v>
      </c>
      <c r="D199" s="29">
        <v>246779410029</v>
      </c>
      <c r="E199" s="27" t="s">
        <v>46</v>
      </c>
      <c r="F199" s="30">
        <v>1190.48</v>
      </c>
      <c r="G199" s="30">
        <f t="shared" si="39"/>
        <v>1190.48</v>
      </c>
      <c r="H199" s="27" t="s">
        <v>42</v>
      </c>
      <c r="I199" s="30">
        <v>102742.78</v>
      </c>
      <c r="J199" s="30" cm="1">
        <f t="array" ref="J199:K199">_xlfn.XLOOKUP(D199,'Customer Data Vlookup'!$L:$L,'Customer Data Vlookup'!$M:$N,,0)</f>
        <v>0</v>
      </c>
      <c r="K199" s="30">
        <v>1071.432</v>
      </c>
      <c r="L199" s="30">
        <f t="shared" si="43"/>
        <v>1071.432</v>
      </c>
      <c r="M199" s="30">
        <f t="shared" si="44"/>
        <v>119.048</v>
      </c>
      <c r="N199" s="56">
        <f t="shared" si="45"/>
        <v>0.1</v>
      </c>
      <c r="O199" s="27" t="s">
        <v>349</v>
      </c>
    </row>
    <row r="200" spans="1:15" x14ac:dyDescent="0.35">
      <c r="A200" s="88">
        <v>1800000127</v>
      </c>
      <c r="B200" s="27" t="s">
        <v>5</v>
      </c>
      <c r="C200" s="28">
        <v>45708</v>
      </c>
      <c r="D200" s="29">
        <v>246779410055</v>
      </c>
      <c r="E200" s="27" t="s">
        <v>46</v>
      </c>
      <c r="F200" s="30">
        <v>416.67</v>
      </c>
      <c r="G200" s="30">
        <f t="shared" si="39"/>
        <v>416.67</v>
      </c>
      <c r="H200" s="27" t="s">
        <v>42</v>
      </c>
      <c r="I200" s="54">
        <v>35960.15</v>
      </c>
      <c r="J200" s="30" cm="1">
        <f t="array" ref="J200:K200">_xlfn.XLOOKUP(D200,'Customer Data Vlookup'!$L:$L,'Customer Data Vlookup'!$M:$N,,0)</f>
        <v>0</v>
      </c>
      <c r="K200" s="54">
        <v>408.33659999999998</v>
      </c>
      <c r="L200" s="30">
        <f t="shared" si="43"/>
        <v>408.33659999999998</v>
      </c>
      <c r="M200" s="30">
        <f t="shared" si="44"/>
        <v>8.3334000000000401</v>
      </c>
      <c r="N200" s="56">
        <f t="shared" si="45"/>
        <v>2.0000000000000094E-2</v>
      </c>
      <c r="O200" s="27" t="s">
        <v>351</v>
      </c>
    </row>
    <row r="201" spans="1:15" x14ac:dyDescent="0.35">
      <c r="A201" s="88">
        <v>1800000170</v>
      </c>
      <c r="B201" s="27" t="s">
        <v>5</v>
      </c>
      <c r="C201" s="28">
        <v>45708</v>
      </c>
      <c r="D201" s="29">
        <v>246779410097</v>
      </c>
      <c r="E201" s="27" t="s">
        <v>46</v>
      </c>
      <c r="F201" s="30">
        <v>1190.48</v>
      </c>
      <c r="G201" s="30">
        <f t="shared" si="39"/>
        <v>1190.48</v>
      </c>
      <c r="H201" s="27" t="s">
        <v>42</v>
      </c>
      <c r="I201" s="30">
        <v>102742.78</v>
      </c>
      <c r="J201" s="30" cm="1">
        <f t="array" ref="J201:K201">_xlfn.XLOOKUP(D201,'Customer Data Vlookup'!$L:$L,'Customer Data Vlookup'!$M:$N,,0)</f>
        <v>0</v>
      </c>
      <c r="K201" s="30">
        <v>1071.432</v>
      </c>
      <c r="L201" s="30">
        <f t="shared" si="43"/>
        <v>1071.432</v>
      </c>
      <c r="M201" s="30">
        <f t="shared" si="44"/>
        <v>119.048</v>
      </c>
      <c r="N201" s="56">
        <f t="shared" si="45"/>
        <v>0.1</v>
      </c>
      <c r="O201" s="27" t="s">
        <v>353</v>
      </c>
    </row>
    <row r="202" spans="1:15" x14ac:dyDescent="0.35">
      <c r="A202" s="88">
        <v>1800000196</v>
      </c>
      <c r="B202" s="27" t="s">
        <v>5</v>
      </c>
      <c r="C202" s="28">
        <v>45708</v>
      </c>
      <c r="D202" s="29">
        <v>246779410123</v>
      </c>
      <c r="E202" s="27" t="s">
        <v>46</v>
      </c>
      <c r="F202" s="30">
        <v>416.67</v>
      </c>
      <c r="G202" s="30">
        <f t="shared" si="39"/>
        <v>416.67</v>
      </c>
      <c r="H202" s="27" t="s">
        <v>42</v>
      </c>
      <c r="I202" s="30">
        <v>35960.15</v>
      </c>
      <c r="J202" s="30" cm="1">
        <f t="array" ref="J202:K202">_xlfn.XLOOKUP(D202,'Customer Data Vlookup'!$L:$L,'Customer Data Vlookup'!$M:$N,,0)</f>
        <v>0</v>
      </c>
      <c r="K202" s="30">
        <v>408.33659999999998</v>
      </c>
      <c r="L202" s="30">
        <f t="shared" si="43"/>
        <v>408.33659999999998</v>
      </c>
      <c r="M202" s="30">
        <f t="shared" si="44"/>
        <v>8.3334000000000401</v>
      </c>
      <c r="N202" s="56">
        <f t="shared" si="45"/>
        <v>2.0000000000000094E-2</v>
      </c>
      <c r="O202" s="27" t="s">
        <v>355</v>
      </c>
    </row>
    <row r="203" spans="1:15" x14ac:dyDescent="0.35">
      <c r="A203" s="88">
        <v>1800000213</v>
      </c>
      <c r="B203" s="27" t="s">
        <v>5</v>
      </c>
      <c r="C203" s="28">
        <v>45708</v>
      </c>
      <c r="D203" s="29">
        <v>246779410140</v>
      </c>
      <c r="E203" s="27" t="s">
        <v>46</v>
      </c>
      <c r="F203" s="30">
        <v>1190.48</v>
      </c>
      <c r="G203" s="30">
        <f t="shared" si="39"/>
        <v>1190.48</v>
      </c>
      <c r="H203" s="27" t="s">
        <v>42</v>
      </c>
      <c r="I203" s="30">
        <v>102742.78</v>
      </c>
      <c r="J203" s="30" cm="1">
        <f t="array" ref="J203:K203">_xlfn.XLOOKUP(D203,'Customer Data Vlookup'!$L:$L,'Customer Data Vlookup'!$M:$N,,0)</f>
        <v>0</v>
      </c>
      <c r="K203" s="30">
        <v>1071.432</v>
      </c>
      <c r="L203" s="30">
        <f t="shared" si="43"/>
        <v>1071.432</v>
      </c>
      <c r="M203" s="30">
        <f t="shared" si="44"/>
        <v>119.048</v>
      </c>
      <c r="N203" s="56">
        <f t="shared" si="45"/>
        <v>0.1</v>
      </c>
      <c r="O203" s="27" t="s">
        <v>357</v>
      </c>
    </row>
    <row r="204" spans="1:15" x14ac:dyDescent="0.35">
      <c r="A204" s="88">
        <v>1800000239</v>
      </c>
      <c r="B204" s="27" t="s">
        <v>5</v>
      </c>
      <c r="C204" s="28">
        <v>45708</v>
      </c>
      <c r="D204" s="29">
        <v>246779410166</v>
      </c>
      <c r="E204" s="27" t="s">
        <v>46</v>
      </c>
      <c r="F204" s="30">
        <v>416.67</v>
      </c>
      <c r="G204" s="30">
        <f t="shared" si="39"/>
        <v>416.67</v>
      </c>
      <c r="H204" s="27" t="s">
        <v>42</v>
      </c>
      <c r="I204" s="30">
        <v>35960.15</v>
      </c>
      <c r="J204" s="30" cm="1">
        <f t="array" ref="J204:K204">_xlfn.XLOOKUP(D204,'Customer Data Vlookup'!$L:$L,'Customer Data Vlookup'!$M:$N,,0)</f>
        <v>0</v>
      </c>
      <c r="K204" s="30">
        <v>408.33659999999998</v>
      </c>
      <c r="L204" s="30">
        <f t="shared" si="43"/>
        <v>408.33659999999998</v>
      </c>
      <c r="M204" s="30">
        <f t="shared" si="44"/>
        <v>8.3334000000000401</v>
      </c>
      <c r="N204" s="56">
        <f t="shared" si="45"/>
        <v>2.0000000000000094E-2</v>
      </c>
      <c r="O204" s="27" t="s">
        <v>359</v>
      </c>
    </row>
    <row r="205" spans="1:15" x14ac:dyDescent="0.35">
      <c r="A205" s="88">
        <v>1800000256</v>
      </c>
      <c r="B205" s="27" t="s">
        <v>5</v>
      </c>
      <c r="C205" s="28">
        <v>45708</v>
      </c>
      <c r="D205" s="29">
        <v>246779410183</v>
      </c>
      <c r="E205" s="27" t="s">
        <v>46</v>
      </c>
      <c r="F205" s="30">
        <v>1166.5899999999999</v>
      </c>
      <c r="G205" s="30">
        <f t="shared" si="39"/>
        <v>1166.5899999999999</v>
      </c>
      <c r="H205" s="27" t="s">
        <v>42</v>
      </c>
      <c r="I205" s="54">
        <v>100680.99</v>
      </c>
      <c r="J205" s="30" t="e" cm="1">
        <f t="array" ref="J205">_xlfn.XLOOKUP(D205,'Customer Data Vlookup'!$L:$L,'Customer Data Vlookup'!$M:$N,,0)</f>
        <v>#N/A</v>
      </c>
      <c r="K205" s="54"/>
      <c r="L205" s="54"/>
      <c r="M205" s="54"/>
      <c r="N205" s="56"/>
      <c r="O205" s="27" t="s">
        <v>361</v>
      </c>
    </row>
    <row r="206" spans="1:15" x14ac:dyDescent="0.35">
      <c r="A206" s="88">
        <v>1800000282</v>
      </c>
      <c r="B206" s="27" t="s">
        <v>5</v>
      </c>
      <c r="C206" s="28">
        <v>45708</v>
      </c>
      <c r="D206" s="29">
        <v>246779410209</v>
      </c>
      <c r="E206" s="27" t="s">
        <v>46</v>
      </c>
      <c r="F206" s="30">
        <v>408.31</v>
      </c>
      <c r="G206" s="30">
        <f t="shared" si="39"/>
        <v>408.31</v>
      </c>
      <c r="H206" s="27" t="s">
        <v>42</v>
      </c>
      <c r="I206" s="30">
        <v>35238.65</v>
      </c>
      <c r="J206" s="30" cm="1">
        <f t="array" ref="J206:K206">_xlfn.XLOOKUP(D206,'Customer Data Vlookup'!$L:$L,'Customer Data Vlookup'!$M:$N,,0)</f>
        <v>0</v>
      </c>
      <c r="K206" s="30">
        <v>1450.0748000000001</v>
      </c>
      <c r="L206" s="30">
        <f t="shared" ref="L206:L215" si="46">K206-J206</f>
        <v>1450.0748000000001</v>
      </c>
      <c r="M206" s="30">
        <f t="shared" ref="M206:M215" si="47">F206-L206</f>
        <v>-1041.7648000000002</v>
      </c>
      <c r="N206" s="56">
        <f t="shared" ref="N206:N215" si="48">M206/F206</f>
        <v>-2.5514065293526982</v>
      </c>
      <c r="O206" s="27" t="s">
        <v>362</v>
      </c>
    </row>
    <row r="207" spans="1:15" x14ac:dyDescent="0.35">
      <c r="A207" s="88">
        <v>1800000299</v>
      </c>
      <c r="B207" s="27" t="s">
        <v>5</v>
      </c>
      <c r="C207" s="28">
        <v>45708</v>
      </c>
      <c r="D207" s="29">
        <v>246779410226</v>
      </c>
      <c r="E207" s="27" t="s">
        <v>46</v>
      </c>
      <c r="F207" s="30">
        <v>1143.1199999999999</v>
      </c>
      <c r="G207" s="30">
        <f t="shared" si="39"/>
        <v>1143.1199999999999</v>
      </c>
      <c r="H207" s="27" t="s">
        <v>42</v>
      </c>
      <c r="I207" s="30">
        <v>98655.44</v>
      </c>
      <c r="J207" s="30" cm="1">
        <f t="array" ref="J207:K207">_xlfn.XLOOKUP(D207,'Customer Data Vlookup'!$L:$L,'Customer Data Vlookup'!$M:$N,,0)</f>
        <v>0</v>
      </c>
      <c r="K207" s="30">
        <v>1028.808</v>
      </c>
      <c r="L207" s="30">
        <f t="shared" si="46"/>
        <v>1028.808</v>
      </c>
      <c r="M207" s="30">
        <f t="shared" si="47"/>
        <v>114.3119999999999</v>
      </c>
      <c r="N207" s="56">
        <f t="shared" si="48"/>
        <v>9.9999999999999922E-2</v>
      </c>
      <c r="O207" s="27" t="s">
        <v>364</v>
      </c>
    </row>
    <row r="208" spans="1:15" x14ac:dyDescent="0.35">
      <c r="A208" s="88">
        <v>1800000325</v>
      </c>
      <c r="B208" s="27" t="s">
        <v>5</v>
      </c>
      <c r="C208" s="28">
        <v>45708</v>
      </c>
      <c r="D208" s="29">
        <v>246779410252</v>
      </c>
      <c r="E208" s="27" t="s">
        <v>46</v>
      </c>
      <c r="F208" s="30">
        <v>400.09</v>
      </c>
      <c r="G208" s="30">
        <f t="shared" si="39"/>
        <v>400.09</v>
      </c>
      <c r="H208" s="27" t="s">
        <v>42</v>
      </c>
      <c r="I208" s="30">
        <v>34529.230000000003</v>
      </c>
      <c r="J208" s="30" cm="1">
        <f t="array" ref="J208:K208">_xlfn.XLOOKUP(D208,'Customer Data Vlookup'!$L:$L,'Customer Data Vlookup'!$M:$N,,0)</f>
        <v>0</v>
      </c>
      <c r="K208" s="30">
        <v>392.08819999999997</v>
      </c>
      <c r="L208" s="30">
        <f t="shared" si="46"/>
        <v>392.08819999999997</v>
      </c>
      <c r="M208" s="30">
        <f t="shared" si="47"/>
        <v>8.0018000000000029</v>
      </c>
      <c r="N208" s="56">
        <f t="shared" si="48"/>
        <v>2.0000000000000007E-2</v>
      </c>
      <c r="O208" s="27" t="s">
        <v>366</v>
      </c>
    </row>
    <row r="209" spans="1:15" x14ac:dyDescent="0.35">
      <c r="A209" s="88">
        <v>1800000070</v>
      </c>
      <c r="B209" s="27" t="s">
        <v>5</v>
      </c>
      <c r="C209" s="28">
        <v>45708</v>
      </c>
      <c r="D209" s="29">
        <v>246779410276</v>
      </c>
      <c r="E209" s="27" t="s">
        <v>46</v>
      </c>
      <c r="F209" s="30">
        <v>1190.48</v>
      </c>
      <c r="G209" s="30">
        <f t="shared" si="39"/>
        <v>1190.48</v>
      </c>
      <c r="H209" s="27" t="s">
        <v>42</v>
      </c>
      <c r="I209" s="30">
        <v>102742.78</v>
      </c>
      <c r="J209" s="30" cm="1">
        <f t="array" ref="J209:K209">_xlfn.XLOOKUP(D209,'Customer Data Vlookup'!$L:$L,'Customer Data Vlookup'!$M:$N,,0)</f>
        <v>0</v>
      </c>
      <c r="K209" s="30">
        <v>1071.432</v>
      </c>
      <c r="L209" s="30">
        <f t="shared" si="46"/>
        <v>1071.432</v>
      </c>
      <c r="M209" s="30">
        <f t="shared" si="47"/>
        <v>119.048</v>
      </c>
      <c r="N209" s="56">
        <f t="shared" si="48"/>
        <v>0.1</v>
      </c>
      <c r="O209" s="27" t="s">
        <v>368</v>
      </c>
    </row>
    <row r="210" spans="1:15" x14ac:dyDescent="0.35">
      <c r="A210" s="88">
        <v>1800000141</v>
      </c>
      <c r="B210" s="27" t="s">
        <v>5</v>
      </c>
      <c r="C210" s="28">
        <v>45708</v>
      </c>
      <c r="D210" s="29">
        <v>246779410308</v>
      </c>
      <c r="E210" s="27" t="s">
        <v>46</v>
      </c>
      <c r="F210" s="30">
        <v>416.67</v>
      </c>
      <c r="G210" s="30">
        <f t="shared" si="39"/>
        <v>416.67</v>
      </c>
      <c r="H210" s="27" t="s">
        <v>42</v>
      </c>
      <c r="I210" s="30">
        <v>35960.15</v>
      </c>
      <c r="J210" s="30" cm="1">
        <f t="array" ref="J210:K210">_xlfn.XLOOKUP(D210,'Customer Data Vlookup'!$L:$L,'Customer Data Vlookup'!$M:$N,,0)</f>
        <v>0</v>
      </c>
      <c r="K210" s="30">
        <v>408.33659999999998</v>
      </c>
      <c r="L210" s="30">
        <f t="shared" si="46"/>
        <v>408.33659999999998</v>
      </c>
      <c r="M210" s="30">
        <f t="shared" si="47"/>
        <v>8.3334000000000401</v>
      </c>
      <c r="N210" s="56">
        <f t="shared" si="48"/>
        <v>2.0000000000000094E-2</v>
      </c>
      <c r="O210" s="27" t="s">
        <v>370</v>
      </c>
    </row>
    <row r="211" spans="1:15" x14ac:dyDescent="0.35">
      <c r="A211" s="88">
        <v>1800000040</v>
      </c>
      <c r="B211" s="27" t="s">
        <v>5</v>
      </c>
      <c r="C211" s="28">
        <v>45708</v>
      </c>
      <c r="D211" s="29">
        <v>246779410077</v>
      </c>
      <c r="E211" s="27" t="s">
        <v>46</v>
      </c>
      <c r="F211" s="30">
        <v>416.67</v>
      </c>
      <c r="G211" s="30">
        <f t="shared" si="39"/>
        <v>416.67</v>
      </c>
      <c r="H211" s="27" t="s">
        <v>42</v>
      </c>
      <c r="I211" s="30">
        <v>35960.15</v>
      </c>
      <c r="J211" s="30" cm="1">
        <f t="array" ref="J211:K211">_xlfn.XLOOKUP(D211,'Customer Data Vlookup'!$L:$L,'Customer Data Vlookup'!$M:$N,,0)</f>
        <v>0</v>
      </c>
      <c r="K211" s="30">
        <v>408.33659999999998</v>
      </c>
      <c r="L211" s="30">
        <f t="shared" si="46"/>
        <v>408.33659999999998</v>
      </c>
      <c r="M211" s="30">
        <f t="shared" si="47"/>
        <v>8.3334000000000401</v>
      </c>
      <c r="N211" s="56">
        <f t="shared" si="48"/>
        <v>2.0000000000000094E-2</v>
      </c>
      <c r="O211" s="27" t="s">
        <v>372</v>
      </c>
    </row>
    <row r="212" spans="1:15" x14ac:dyDescent="0.35">
      <c r="A212" s="88">
        <v>1800012185</v>
      </c>
      <c r="B212" s="27" t="s">
        <v>5</v>
      </c>
      <c r="C212" s="28">
        <v>45889</v>
      </c>
      <c r="D212" s="29">
        <v>256779416817</v>
      </c>
      <c r="E212" s="27" t="s">
        <v>46</v>
      </c>
      <c r="F212" s="30">
        <v>180</v>
      </c>
      <c r="G212" s="30">
        <f t="shared" si="39"/>
        <v>180</v>
      </c>
      <c r="H212" s="27" t="s">
        <v>42</v>
      </c>
      <c r="I212" s="30">
        <v>15485.42</v>
      </c>
      <c r="J212" s="30" cm="1">
        <f t="array" ref="J212:K212">_xlfn.XLOOKUP(D212,'Customer Data Vlookup'!$L:$L,'Customer Data Vlookup'!$M:$N,,0)</f>
        <v>0</v>
      </c>
      <c r="K212" s="30">
        <v>176.4</v>
      </c>
      <c r="L212" s="30">
        <f t="shared" si="46"/>
        <v>176.4</v>
      </c>
      <c r="M212" s="30">
        <f t="shared" si="47"/>
        <v>3.5999999999999943</v>
      </c>
      <c r="N212" s="56">
        <f t="shared" si="48"/>
        <v>1.9999999999999969E-2</v>
      </c>
      <c r="O212" s="27" t="s">
        <v>373</v>
      </c>
    </row>
    <row r="213" spans="1:15" x14ac:dyDescent="0.35">
      <c r="A213" s="88">
        <v>1800012249</v>
      </c>
      <c r="B213" s="27" t="s">
        <v>5</v>
      </c>
      <c r="C213" s="28">
        <v>45889</v>
      </c>
      <c r="D213" s="29">
        <v>256779416845</v>
      </c>
      <c r="E213" s="27" t="s">
        <v>46</v>
      </c>
      <c r="F213" s="30">
        <v>492.48</v>
      </c>
      <c r="G213" s="30">
        <f t="shared" si="39"/>
        <v>492.48</v>
      </c>
      <c r="H213" s="27" t="s">
        <v>42</v>
      </c>
      <c r="I213" s="30">
        <v>42368.11</v>
      </c>
      <c r="J213" s="30" cm="1">
        <f t="array" ref="J213:K213">_xlfn.XLOOKUP(D213,'Customer Data Vlookup'!$L:$L,'Customer Data Vlookup'!$M:$N,,0)</f>
        <v>0</v>
      </c>
      <c r="K213" s="30">
        <v>482.63040000000001</v>
      </c>
      <c r="L213" s="30">
        <f t="shared" si="46"/>
        <v>482.63040000000001</v>
      </c>
      <c r="M213" s="30">
        <f t="shared" si="47"/>
        <v>9.8496000000000095</v>
      </c>
      <c r="N213" s="56">
        <f t="shared" si="48"/>
        <v>2.0000000000000018E-2</v>
      </c>
      <c r="O213" s="27" t="s">
        <v>374</v>
      </c>
    </row>
    <row r="214" spans="1:15" x14ac:dyDescent="0.35">
      <c r="A214" s="88">
        <v>1800012217</v>
      </c>
      <c r="B214" s="27" t="s">
        <v>5</v>
      </c>
      <c r="C214" s="28">
        <v>45889</v>
      </c>
      <c r="D214" s="29">
        <v>256779416879</v>
      </c>
      <c r="E214" s="27" t="s">
        <v>46</v>
      </c>
      <c r="F214" s="30">
        <v>84.14</v>
      </c>
      <c r="G214" s="30">
        <f t="shared" si="39"/>
        <v>84.14</v>
      </c>
      <c r="H214" s="27" t="s">
        <v>42</v>
      </c>
      <c r="I214" s="30">
        <v>7238.57</v>
      </c>
      <c r="J214" s="30" cm="1">
        <f t="array" ref="J214:K214">_xlfn.XLOOKUP(D214,'Customer Data Vlookup'!$L:$L,'Customer Data Vlookup'!$M:$N,,0)</f>
        <v>0</v>
      </c>
      <c r="K214" s="30">
        <v>82.4572</v>
      </c>
      <c r="L214" s="30">
        <f t="shared" si="46"/>
        <v>82.4572</v>
      </c>
      <c r="M214" s="30">
        <f t="shared" si="47"/>
        <v>1.6828000000000003</v>
      </c>
      <c r="N214" s="56">
        <f t="shared" si="48"/>
        <v>2.0000000000000004E-2</v>
      </c>
      <c r="O214" s="27" t="s">
        <v>375</v>
      </c>
    </row>
    <row r="215" spans="1:15" x14ac:dyDescent="0.35">
      <c r="A215" s="88">
        <v>1800000016</v>
      </c>
      <c r="B215" s="27" t="s">
        <v>5</v>
      </c>
      <c r="C215" s="28">
        <v>45707</v>
      </c>
      <c r="D215" s="29">
        <v>246779410009</v>
      </c>
      <c r="E215" s="27" t="s">
        <v>46</v>
      </c>
      <c r="F215" s="30">
        <v>1190.48</v>
      </c>
      <c r="G215" s="30">
        <f t="shared" si="39"/>
        <v>1190.48</v>
      </c>
      <c r="H215" s="27" t="s">
        <v>42</v>
      </c>
      <c r="I215" s="30">
        <v>102742.78</v>
      </c>
      <c r="J215" s="30" cm="1">
        <f t="array" ref="J215:K215">_xlfn.XLOOKUP(D215,'Customer Data Vlookup'!$L:$L,'Customer Data Vlookup'!$M:$N,,0)</f>
        <v>0</v>
      </c>
      <c r="K215" s="30">
        <v>1071.432</v>
      </c>
      <c r="L215" s="30">
        <f t="shared" si="46"/>
        <v>1071.432</v>
      </c>
      <c r="M215" s="30">
        <f t="shared" si="47"/>
        <v>119.048</v>
      </c>
      <c r="N215" s="56">
        <f t="shared" si="48"/>
        <v>0.1</v>
      </c>
      <c r="O215" s="27" t="s">
        <v>377</v>
      </c>
    </row>
    <row r="216" spans="1:15" x14ac:dyDescent="0.35">
      <c r="A216" s="88">
        <v>1600002318</v>
      </c>
      <c r="B216" s="27" t="s">
        <v>4</v>
      </c>
      <c r="C216" s="28">
        <v>45923</v>
      </c>
      <c r="D216" s="29">
        <v>256779421873</v>
      </c>
      <c r="E216" s="27" t="s">
        <v>46</v>
      </c>
      <c r="F216" s="30">
        <v>-260.79000000000002</v>
      </c>
      <c r="G216" s="30">
        <f t="shared" si="39"/>
        <v>-260.79000000000002</v>
      </c>
      <c r="H216" s="27" t="s">
        <v>42</v>
      </c>
      <c r="I216" s="30">
        <v>-22423.69</v>
      </c>
      <c r="J216" s="30" t="e" cm="1">
        <f t="array" ref="J216">_xlfn.XLOOKUP(D216,'Customer Data Vlookup'!$L:$L,'Customer Data Vlookup'!$M:$N,,0)</f>
        <v>#N/A</v>
      </c>
      <c r="K216" s="30"/>
      <c r="L216" s="30"/>
      <c r="M216" s="30"/>
      <c r="N216" s="56"/>
      <c r="O216" s="27" t="s">
        <v>379</v>
      </c>
    </row>
    <row r="217" spans="1:15" x14ac:dyDescent="0.35">
      <c r="A217" s="88">
        <v>1800009577</v>
      </c>
      <c r="B217" s="27" t="s">
        <v>5</v>
      </c>
      <c r="C217" s="28">
        <v>45821</v>
      </c>
      <c r="D217" s="29">
        <v>256779414341</v>
      </c>
      <c r="E217" s="27" t="s">
        <v>46</v>
      </c>
      <c r="F217" s="30">
        <v>200</v>
      </c>
      <c r="G217" s="30">
        <f t="shared" si="39"/>
        <v>200</v>
      </c>
      <c r="H217" s="27" t="s">
        <v>42</v>
      </c>
      <c r="I217" s="30">
        <v>17098.16</v>
      </c>
      <c r="J217" s="30" cm="1">
        <f t="array" ref="J217:K217">_xlfn.XLOOKUP(D217,'Customer Data Vlookup'!$L:$L,'Customer Data Vlookup'!$M:$N,,0)</f>
        <v>0</v>
      </c>
      <c r="K217" s="30">
        <v>196</v>
      </c>
      <c r="L217" s="30">
        <f t="shared" ref="L217:L218" si="49">K217-J217</f>
        <v>196</v>
      </c>
      <c r="M217" s="30">
        <f t="shared" ref="M217:M218" si="50">F217-L217</f>
        <v>4</v>
      </c>
      <c r="N217" s="56">
        <f t="shared" ref="N217:N218" si="51">M217/F217</f>
        <v>0.02</v>
      </c>
      <c r="O217" s="27" t="s">
        <v>381</v>
      </c>
    </row>
    <row r="218" spans="1:15" x14ac:dyDescent="0.35">
      <c r="A218" s="88">
        <v>1800008723</v>
      </c>
      <c r="B218" s="27" t="s">
        <v>5</v>
      </c>
      <c r="C218" s="28">
        <v>45797</v>
      </c>
      <c r="D218" s="29">
        <v>256779413487</v>
      </c>
      <c r="E218" s="27" t="s">
        <v>46</v>
      </c>
      <c r="F218" s="30">
        <v>97.9</v>
      </c>
      <c r="G218" s="30">
        <f t="shared" si="39"/>
        <v>97.9</v>
      </c>
      <c r="H218" s="27" t="s">
        <v>42</v>
      </c>
      <c r="I218" s="30">
        <v>8417.7999999999993</v>
      </c>
      <c r="J218" s="30" cm="1">
        <f t="array" ref="J218:K218">_xlfn.XLOOKUP(D218,'Customer Data Vlookup'!$L:$L,'Customer Data Vlookup'!$M:$N,,0)</f>
        <v>0</v>
      </c>
      <c r="K218" s="30">
        <v>95.941999999999993</v>
      </c>
      <c r="L218" s="30">
        <f t="shared" si="49"/>
        <v>95.941999999999993</v>
      </c>
      <c r="M218" s="30">
        <f t="shared" si="50"/>
        <v>1.9580000000000126</v>
      </c>
      <c r="N218" s="56">
        <f t="shared" si="51"/>
        <v>2.0000000000000129E-2</v>
      </c>
      <c r="O218" s="27" t="s">
        <v>382</v>
      </c>
    </row>
    <row r="219" spans="1:15" x14ac:dyDescent="0.35">
      <c r="A219" s="88">
        <v>1800009122</v>
      </c>
      <c r="B219" s="27" t="s">
        <v>5</v>
      </c>
      <c r="C219" s="28">
        <v>45797</v>
      </c>
      <c r="D219" s="29">
        <v>256779413886</v>
      </c>
      <c r="E219" s="27" t="s">
        <v>46</v>
      </c>
      <c r="F219" s="30">
        <v>260.79000000000002</v>
      </c>
      <c r="G219" s="30">
        <f t="shared" si="39"/>
        <v>260.79000000000002</v>
      </c>
      <c r="H219" s="27" t="s">
        <v>42</v>
      </c>
      <c r="I219" s="54">
        <v>22423.69</v>
      </c>
      <c r="J219" s="30" t="e" cm="1">
        <f t="array" ref="J219">_xlfn.XLOOKUP(D219,'Customer Data Vlookup'!$L:$L,'Customer Data Vlookup'!$M:$N,,0)</f>
        <v>#N/A</v>
      </c>
      <c r="K219" s="54"/>
      <c r="L219" s="54"/>
      <c r="M219" s="54"/>
      <c r="N219" s="56"/>
      <c r="O219" s="27" t="s">
        <v>384</v>
      </c>
    </row>
    <row r="220" spans="1:15" x14ac:dyDescent="0.35">
      <c r="A220" s="88">
        <v>1800011380</v>
      </c>
      <c r="B220" s="27" t="s">
        <v>5</v>
      </c>
      <c r="C220" s="28">
        <v>45873</v>
      </c>
      <c r="D220" s="29">
        <v>256779416064</v>
      </c>
      <c r="E220" s="27" t="s">
        <v>46</v>
      </c>
      <c r="F220" s="30">
        <v>2006</v>
      </c>
      <c r="G220" s="30">
        <f t="shared" si="39"/>
        <v>2006</v>
      </c>
      <c r="H220" s="27" t="s">
        <v>42</v>
      </c>
      <c r="I220" s="54">
        <v>172517.34</v>
      </c>
      <c r="J220" s="30" t="e" cm="1">
        <f t="array" ref="J220">_xlfn.XLOOKUP(D220,'Customer Data Vlookup'!$L:$L,'Customer Data Vlookup'!$M:$N,,0)</f>
        <v>#N/A</v>
      </c>
      <c r="K220" s="54"/>
      <c r="L220" s="54"/>
      <c r="M220" s="54"/>
      <c r="N220" s="56"/>
      <c r="O220" s="27" t="s">
        <v>386</v>
      </c>
    </row>
    <row r="221" spans="1:15" x14ac:dyDescent="0.35">
      <c r="A221" s="88">
        <v>1800011381</v>
      </c>
      <c r="B221" s="27" t="s">
        <v>5</v>
      </c>
      <c r="C221" s="28">
        <v>45873</v>
      </c>
      <c r="D221" s="29">
        <v>256779416065</v>
      </c>
      <c r="E221" s="27" t="s">
        <v>46</v>
      </c>
      <c r="F221" s="30">
        <v>2065</v>
      </c>
      <c r="G221" s="30">
        <f t="shared" si="39"/>
        <v>2065</v>
      </c>
      <c r="H221" s="27" t="s">
        <v>42</v>
      </c>
      <c r="I221" s="54">
        <v>177591.38</v>
      </c>
      <c r="J221" s="30" t="e" cm="1">
        <f t="array" ref="J221">_xlfn.XLOOKUP(D221,'Customer Data Vlookup'!$L:$L,'Customer Data Vlookup'!$M:$N,,0)</f>
        <v>#N/A</v>
      </c>
      <c r="K221" s="54"/>
      <c r="L221" s="54"/>
      <c r="M221" s="54"/>
      <c r="N221" s="56"/>
      <c r="O221" s="27" t="s">
        <v>388</v>
      </c>
    </row>
    <row r="222" spans="1:15" x14ac:dyDescent="0.35">
      <c r="A222" s="88">
        <v>1800011382</v>
      </c>
      <c r="B222" s="27" t="s">
        <v>5</v>
      </c>
      <c r="C222" s="28">
        <v>45873</v>
      </c>
      <c r="D222" s="29">
        <v>256779416066</v>
      </c>
      <c r="E222" s="27" t="s">
        <v>46</v>
      </c>
      <c r="F222" s="30">
        <v>2006</v>
      </c>
      <c r="G222" s="30">
        <f t="shared" si="39"/>
        <v>2006</v>
      </c>
      <c r="H222" s="27" t="s">
        <v>42</v>
      </c>
      <c r="I222" s="54">
        <v>172517.34</v>
      </c>
      <c r="J222" s="30" t="e" cm="1">
        <f t="array" ref="J222">_xlfn.XLOOKUP(D222,'Customer Data Vlookup'!$L:$L,'Customer Data Vlookup'!$M:$N,,0)</f>
        <v>#N/A</v>
      </c>
      <c r="K222" s="54"/>
      <c r="L222" s="54"/>
      <c r="M222" s="54"/>
      <c r="N222" s="56"/>
      <c r="O222" s="27" t="s">
        <v>390</v>
      </c>
    </row>
    <row r="223" spans="1:15" x14ac:dyDescent="0.35">
      <c r="A223" s="88">
        <v>1800011383</v>
      </c>
      <c r="B223" s="27" t="s">
        <v>5</v>
      </c>
      <c r="C223" s="28">
        <v>45873</v>
      </c>
      <c r="D223" s="29">
        <v>256779416067</v>
      </c>
      <c r="E223" s="27" t="s">
        <v>46</v>
      </c>
      <c r="F223" s="30">
        <v>2065</v>
      </c>
      <c r="G223" s="30">
        <f t="shared" si="39"/>
        <v>2065</v>
      </c>
      <c r="H223" s="27" t="s">
        <v>42</v>
      </c>
      <c r="I223" s="54">
        <v>177591.38</v>
      </c>
      <c r="J223" s="30" t="e" cm="1">
        <f t="array" ref="J223">_xlfn.XLOOKUP(D223,'Customer Data Vlookup'!$L:$L,'Customer Data Vlookup'!$M:$N,,0)</f>
        <v>#N/A</v>
      </c>
      <c r="K223" s="54"/>
      <c r="L223" s="54"/>
      <c r="M223" s="54"/>
      <c r="N223" s="56"/>
      <c r="O223" s="27" t="s">
        <v>392</v>
      </c>
    </row>
    <row r="224" spans="1:15" x14ac:dyDescent="0.35">
      <c r="A224" s="88">
        <v>1800005190</v>
      </c>
      <c r="B224" s="27" t="s">
        <v>5</v>
      </c>
      <c r="C224" s="28">
        <v>45750</v>
      </c>
      <c r="D224" s="29">
        <v>256779410136</v>
      </c>
      <c r="E224" s="27" t="s">
        <v>46</v>
      </c>
      <c r="F224" s="30">
        <v>9.85</v>
      </c>
      <c r="G224" s="30">
        <f t="shared" si="39"/>
        <v>9.85</v>
      </c>
      <c r="H224" s="27" t="s">
        <v>42</v>
      </c>
      <c r="I224" s="30">
        <v>856.18</v>
      </c>
      <c r="J224" s="30" cm="1">
        <f t="array" ref="J224:K224">_xlfn.XLOOKUP(D224,'Customer Data Vlookup'!$L:$L,'Customer Data Vlookup'!$M:$N,,0)</f>
        <v>0</v>
      </c>
      <c r="K224" s="30">
        <v>9.6530000000000005</v>
      </c>
      <c r="L224" s="30">
        <f>K224-J224</f>
        <v>9.6530000000000005</v>
      </c>
      <c r="M224" s="30">
        <f>F224-L224</f>
        <v>0.19699999999999918</v>
      </c>
      <c r="N224" s="56">
        <f>M224/F224</f>
        <v>1.9999999999999917E-2</v>
      </c>
      <c r="O224" s="27" t="s">
        <v>394</v>
      </c>
    </row>
    <row r="225" spans="1:15" x14ac:dyDescent="0.35">
      <c r="A225" s="88">
        <v>1800005364</v>
      </c>
      <c r="B225" s="27" t="s">
        <v>5</v>
      </c>
      <c r="C225" s="28">
        <v>45750</v>
      </c>
      <c r="D225" s="29">
        <v>256779410256</v>
      </c>
      <c r="E225" s="27" t="s">
        <v>46</v>
      </c>
      <c r="F225" s="30">
        <v>408.31</v>
      </c>
      <c r="G225" s="30">
        <f t="shared" si="39"/>
        <v>408.31</v>
      </c>
      <c r="H225" s="27" t="s">
        <v>42</v>
      </c>
      <c r="I225" s="54">
        <v>35491.050000000003</v>
      </c>
      <c r="J225" s="30" t="e" cm="1">
        <f t="array" ref="J225">_xlfn.XLOOKUP(D225,'Customer Data Vlookup'!$L:$L,'Customer Data Vlookup'!$M:$N,,0)</f>
        <v>#N/A</v>
      </c>
      <c r="K225" s="54"/>
      <c r="L225" s="54"/>
      <c r="M225" s="54"/>
      <c r="N225" s="56"/>
      <c r="O225" s="27" t="s">
        <v>362</v>
      </c>
    </row>
    <row r="226" spans="1:15" x14ac:dyDescent="0.35">
      <c r="A226" s="88">
        <v>1800005405</v>
      </c>
      <c r="B226" s="27" t="s">
        <v>5</v>
      </c>
      <c r="C226" s="28">
        <v>45750</v>
      </c>
      <c r="D226" s="29">
        <v>256779410297</v>
      </c>
      <c r="E226" s="27" t="s">
        <v>46</v>
      </c>
      <c r="F226" s="30">
        <v>400.09</v>
      </c>
      <c r="G226" s="30">
        <f t="shared" si="39"/>
        <v>400.09</v>
      </c>
      <c r="H226" s="27" t="s">
        <v>42</v>
      </c>
      <c r="I226" s="54">
        <v>34776.550000000003</v>
      </c>
      <c r="J226" s="30" t="e" cm="1">
        <f t="array" ref="J226">_xlfn.XLOOKUP(D226,'Customer Data Vlookup'!$L:$L,'Customer Data Vlookup'!$M:$N,,0)</f>
        <v>#N/A</v>
      </c>
      <c r="K226" s="54"/>
      <c r="L226" s="54"/>
      <c r="M226" s="54"/>
      <c r="N226" s="56"/>
      <c r="O226" s="27" t="s">
        <v>366</v>
      </c>
    </row>
    <row r="227" spans="1:15" x14ac:dyDescent="0.35">
      <c r="A227" s="88">
        <v>1800005338</v>
      </c>
      <c r="B227" s="27" t="s">
        <v>5</v>
      </c>
      <c r="C227" s="28">
        <v>45750</v>
      </c>
      <c r="D227" s="29">
        <v>256779410230</v>
      </c>
      <c r="E227" s="27" t="s">
        <v>46</v>
      </c>
      <c r="F227" s="30">
        <v>1166.5899999999999</v>
      </c>
      <c r="G227" s="30">
        <f t="shared" si="39"/>
        <v>1166.5899999999999</v>
      </c>
      <c r="H227" s="27" t="s">
        <v>42</v>
      </c>
      <c r="I227" s="54">
        <v>101402.13</v>
      </c>
      <c r="J227" s="30" t="e" cm="1">
        <f t="array" ref="J227">_xlfn.XLOOKUP(D227,'Customer Data Vlookup'!$L:$L,'Customer Data Vlookup'!$M:$N,,0)</f>
        <v>#N/A</v>
      </c>
      <c r="K227" s="54"/>
      <c r="L227" s="54"/>
      <c r="M227" s="54"/>
      <c r="N227" s="56"/>
      <c r="O227" s="27" t="s">
        <v>361</v>
      </c>
    </row>
    <row r="228" spans="1:15" x14ac:dyDescent="0.35">
      <c r="A228" s="88">
        <v>1800005379</v>
      </c>
      <c r="B228" s="27" t="s">
        <v>5</v>
      </c>
      <c r="C228" s="28">
        <v>45750</v>
      </c>
      <c r="D228" s="29">
        <v>256779410271</v>
      </c>
      <c r="E228" s="27" t="s">
        <v>46</v>
      </c>
      <c r="F228" s="30">
        <v>1143.1199999999999</v>
      </c>
      <c r="G228" s="30">
        <f t="shared" si="39"/>
        <v>1143.1199999999999</v>
      </c>
      <c r="H228" s="27" t="s">
        <v>42</v>
      </c>
      <c r="I228" s="54">
        <v>99362.07</v>
      </c>
      <c r="J228" s="30" t="e" cm="1">
        <f t="array" ref="J228">_xlfn.XLOOKUP(D228,'Customer Data Vlookup'!$L:$L,'Customer Data Vlookup'!$M:$N,,0)</f>
        <v>#N/A</v>
      </c>
      <c r="K228" s="54"/>
      <c r="L228" s="54"/>
      <c r="M228" s="54"/>
      <c r="N228" s="56"/>
      <c r="O228" s="27" t="s">
        <v>364</v>
      </c>
    </row>
    <row r="229" spans="1:15" x14ac:dyDescent="0.35">
      <c r="A229" s="88">
        <v>1800005060</v>
      </c>
      <c r="B229" s="27" t="s">
        <v>5</v>
      </c>
      <c r="C229" s="28">
        <v>45750</v>
      </c>
      <c r="D229" s="29">
        <v>256779410006</v>
      </c>
      <c r="E229" s="27" t="s">
        <v>46</v>
      </c>
      <c r="F229" s="30">
        <v>1700</v>
      </c>
      <c r="G229" s="30">
        <f t="shared" si="39"/>
        <v>1700</v>
      </c>
      <c r="H229" s="27" t="s">
        <v>42</v>
      </c>
      <c r="I229" s="30">
        <v>147767.09</v>
      </c>
      <c r="J229" s="30" cm="1">
        <f t="array" ref="J229:K229">_xlfn.XLOOKUP(D229,'Customer Data Vlookup'!$L:$L,'Customer Data Vlookup'!$M:$N,,0)</f>
        <v>20</v>
      </c>
      <c r="K229" s="30">
        <v>1670</v>
      </c>
      <c r="L229" s="30">
        <f t="shared" ref="L229:L238" si="52">K229-J229</f>
        <v>1650</v>
      </c>
      <c r="M229" s="30">
        <f t="shared" ref="M229:M238" si="53">F229-L229</f>
        <v>50</v>
      </c>
      <c r="N229" s="56">
        <f t="shared" ref="N229:N238" si="54">M229/F229</f>
        <v>2.9411764705882353E-2</v>
      </c>
      <c r="O229" s="27" t="s">
        <v>119</v>
      </c>
    </row>
    <row r="230" spans="1:15" x14ac:dyDescent="0.35">
      <c r="A230" s="88">
        <v>1800005066</v>
      </c>
      <c r="B230" s="27" t="s">
        <v>5</v>
      </c>
      <c r="C230" s="28">
        <v>45750</v>
      </c>
      <c r="D230" s="29">
        <v>256779410012</v>
      </c>
      <c r="E230" s="27" t="s">
        <v>46</v>
      </c>
      <c r="F230" s="30">
        <v>1750</v>
      </c>
      <c r="G230" s="30">
        <f t="shared" si="39"/>
        <v>1750</v>
      </c>
      <c r="H230" s="27" t="s">
        <v>42</v>
      </c>
      <c r="I230" s="30">
        <v>152113.19</v>
      </c>
      <c r="J230" s="30" cm="1">
        <f t="array" ref="J230:K230">_xlfn.XLOOKUP(D230,'Customer Data Vlookup'!$L:$L,'Customer Data Vlookup'!$M:$N,,0)</f>
        <v>20</v>
      </c>
      <c r="K230" s="30">
        <v>1719</v>
      </c>
      <c r="L230" s="30">
        <f t="shared" si="52"/>
        <v>1699</v>
      </c>
      <c r="M230" s="30">
        <f t="shared" si="53"/>
        <v>51</v>
      </c>
      <c r="N230" s="56">
        <f t="shared" si="54"/>
        <v>2.9142857142857144E-2</v>
      </c>
      <c r="O230" s="27" t="s">
        <v>119</v>
      </c>
    </row>
    <row r="231" spans="1:15" x14ac:dyDescent="0.35">
      <c r="A231" s="88">
        <v>1800005069</v>
      </c>
      <c r="B231" s="27" t="s">
        <v>5</v>
      </c>
      <c r="C231" s="28">
        <v>45750</v>
      </c>
      <c r="D231" s="29">
        <v>256779410015</v>
      </c>
      <c r="E231" s="27" t="s">
        <v>46</v>
      </c>
      <c r="F231" s="30">
        <v>1700</v>
      </c>
      <c r="G231" s="30">
        <f t="shared" si="39"/>
        <v>1700</v>
      </c>
      <c r="H231" s="27" t="s">
        <v>42</v>
      </c>
      <c r="I231" s="30">
        <v>147767.09</v>
      </c>
      <c r="J231" s="30" cm="1">
        <f t="array" ref="J231:K231">_xlfn.XLOOKUP(D231,'Customer Data Vlookup'!$L:$L,'Customer Data Vlookup'!$M:$N,,0)</f>
        <v>20</v>
      </c>
      <c r="K231" s="30">
        <v>1670</v>
      </c>
      <c r="L231" s="30">
        <f t="shared" si="52"/>
        <v>1650</v>
      </c>
      <c r="M231" s="30">
        <f t="shared" si="53"/>
        <v>50</v>
      </c>
      <c r="N231" s="56">
        <f t="shared" si="54"/>
        <v>2.9411764705882353E-2</v>
      </c>
      <c r="O231" s="27" t="s">
        <v>119</v>
      </c>
    </row>
    <row r="232" spans="1:15" x14ac:dyDescent="0.35">
      <c r="A232" s="88">
        <v>1800005332</v>
      </c>
      <c r="B232" s="27" t="s">
        <v>5</v>
      </c>
      <c r="C232" s="28">
        <v>45750</v>
      </c>
      <c r="D232" s="29">
        <v>256779410224</v>
      </c>
      <c r="E232" s="27" t="s">
        <v>46</v>
      </c>
      <c r="F232" s="30">
        <v>1750</v>
      </c>
      <c r="G232" s="30">
        <f t="shared" si="39"/>
        <v>1750</v>
      </c>
      <c r="H232" s="27" t="s">
        <v>42</v>
      </c>
      <c r="I232" s="30">
        <v>152113.19</v>
      </c>
      <c r="J232" s="30" cm="1">
        <f t="array" ref="J232:K232">_xlfn.XLOOKUP(D232,'Customer Data Vlookup'!$L:$L,'Customer Data Vlookup'!$M:$N,,0)</f>
        <v>20</v>
      </c>
      <c r="K232" s="30">
        <v>1719</v>
      </c>
      <c r="L232" s="30">
        <f t="shared" si="52"/>
        <v>1699</v>
      </c>
      <c r="M232" s="30">
        <f t="shared" si="53"/>
        <v>51</v>
      </c>
      <c r="N232" s="56">
        <f t="shared" si="54"/>
        <v>2.9142857142857144E-2</v>
      </c>
      <c r="O232" s="27" t="s">
        <v>119</v>
      </c>
    </row>
    <row r="233" spans="1:15" x14ac:dyDescent="0.35">
      <c r="A233" s="88">
        <v>1800014014</v>
      </c>
      <c r="B233" s="27" t="s">
        <v>5</v>
      </c>
      <c r="C233" s="28">
        <v>45950</v>
      </c>
      <c r="D233" s="29">
        <v>256779418621</v>
      </c>
      <c r="E233" s="27" t="s">
        <v>46</v>
      </c>
      <c r="F233" s="30">
        <v>850</v>
      </c>
      <c r="G233" s="30">
        <f t="shared" si="39"/>
        <v>850</v>
      </c>
      <c r="H233" s="27" t="s">
        <v>42</v>
      </c>
      <c r="I233" s="30">
        <v>74962.149999999994</v>
      </c>
      <c r="J233" s="30" cm="1">
        <f t="array" ref="J233:K233">_xlfn.XLOOKUP(D233,'Customer Data Vlookup'!$L:$L,'Customer Data Vlookup'!$M:$N,,0)</f>
        <v>0</v>
      </c>
      <c r="K233" s="30">
        <v>825</v>
      </c>
      <c r="L233" s="30">
        <f t="shared" si="52"/>
        <v>825</v>
      </c>
      <c r="M233" s="30">
        <f t="shared" si="53"/>
        <v>25</v>
      </c>
      <c r="N233" s="56">
        <f t="shared" si="54"/>
        <v>2.9411764705882353E-2</v>
      </c>
      <c r="O233" s="27" t="s">
        <v>403</v>
      </c>
    </row>
    <row r="234" spans="1:15" x14ac:dyDescent="0.35">
      <c r="A234" s="88">
        <v>1800013815</v>
      </c>
      <c r="B234" s="27" t="s">
        <v>5</v>
      </c>
      <c r="C234" s="28">
        <v>45950</v>
      </c>
      <c r="D234" s="29">
        <v>256779418633</v>
      </c>
      <c r="E234" s="27" t="s">
        <v>46</v>
      </c>
      <c r="F234" s="30">
        <v>35</v>
      </c>
      <c r="G234" s="30">
        <f t="shared" si="39"/>
        <v>35</v>
      </c>
      <c r="H234" s="27" t="s">
        <v>42</v>
      </c>
      <c r="I234" s="30">
        <v>3086.68</v>
      </c>
      <c r="J234" s="30" cm="1">
        <f t="array" ref="J234:K234">_xlfn.XLOOKUP(D234,'Customer Data Vlookup'!$L:$L,'Customer Data Vlookup'!$M:$N,,0)</f>
        <v>0</v>
      </c>
      <c r="K234" s="30">
        <v>34.299999999999997</v>
      </c>
      <c r="L234" s="30">
        <f t="shared" si="52"/>
        <v>34.299999999999997</v>
      </c>
      <c r="M234" s="30">
        <f t="shared" si="53"/>
        <v>0.70000000000000284</v>
      </c>
      <c r="N234" s="56">
        <f t="shared" si="54"/>
        <v>2.000000000000008E-2</v>
      </c>
      <c r="O234" s="27" t="s">
        <v>405</v>
      </c>
    </row>
    <row r="235" spans="1:15" x14ac:dyDescent="0.35">
      <c r="A235" s="88">
        <v>1800013845</v>
      </c>
      <c r="B235" s="27" t="s">
        <v>5</v>
      </c>
      <c r="C235" s="28">
        <v>45950</v>
      </c>
      <c r="D235" s="29">
        <v>256779418663</v>
      </c>
      <c r="E235" s="27" t="s">
        <v>46</v>
      </c>
      <c r="F235" s="30">
        <v>293.89</v>
      </c>
      <c r="G235" s="30">
        <f t="shared" ref="G235:G293" si="55">F235</f>
        <v>293.89</v>
      </c>
      <c r="H235" s="27" t="s">
        <v>42</v>
      </c>
      <c r="I235" s="30">
        <v>25918.39</v>
      </c>
      <c r="J235" s="30" cm="1">
        <f t="array" ref="J235:K235">_xlfn.XLOOKUP(D235,'Customer Data Vlookup'!$L:$L,'Customer Data Vlookup'!$M:$N,,0)</f>
        <v>0</v>
      </c>
      <c r="K235" s="30">
        <v>288.01220000000001</v>
      </c>
      <c r="L235" s="30">
        <f t="shared" si="52"/>
        <v>288.01220000000001</v>
      </c>
      <c r="M235" s="30">
        <f t="shared" si="53"/>
        <v>5.8777999999999793</v>
      </c>
      <c r="N235" s="56">
        <f t="shared" si="54"/>
        <v>1.9999999999999931E-2</v>
      </c>
      <c r="O235" s="27" t="s">
        <v>407</v>
      </c>
    </row>
    <row r="236" spans="1:15" x14ac:dyDescent="0.35">
      <c r="A236" s="88">
        <v>1800013926</v>
      </c>
      <c r="B236" s="27" t="s">
        <v>5</v>
      </c>
      <c r="C236" s="28">
        <v>45950</v>
      </c>
      <c r="D236" s="29">
        <v>256779418703</v>
      </c>
      <c r="E236" s="27" t="s">
        <v>46</v>
      </c>
      <c r="F236" s="30">
        <v>9.83</v>
      </c>
      <c r="G236" s="30">
        <f t="shared" si="55"/>
        <v>9.83</v>
      </c>
      <c r="H236" s="27" t="s">
        <v>42</v>
      </c>
      <c r="I236" s="30">
        <v>866.92</v>
      </c>
      <c r="J236" s="30" cm="1">
        <f t="array" ref="J236:K236">_xlfn.XLOOKUP(D236,'Customer Data Vlookup'!$L:$L,'Customer Data Vlookup'!$M:$N,,0)</f>
        <v>0</v>
      </c>
      <c r="K236" s="30">
        <v>9.6334</v>
      </c>
      <c r="L236" s="30">
        <f t="shared" si="52"/>
        <v>9.6334</v>
      </c>
      <c r="M236" s="30">
        <f t="shared" si="53"/>
        <v>0.19660000000000011</v>
      </c>
      <c r="N236" s="56">
        <f t="shared" si="54"/>
        <v>2.0000000000000011E-2</v>
      </c>
      <c r="O236" s="27" t="s">
        <v>409</v>
      </c>
    </row>
    <row r="237" spans="1:15" x14ac:dyDescent="0.35">
      <c r="A237" s="88">
        <v>1800007251</v>
      </c>
      <c r="B237" s="27" t="s">
        <v>5</v>
      </c>
      <c r="C237" s="28">
        <v>45768</v>
      </c>
      <c r="D237" s="29">
        <v>256779412142</v>
      </c>
      <c r="E237" s="27" t="s">
        <v>46</v>
      </c>
      <c r="F237" s="30">
        <v>1165.3699999999999</v>
      </c>
      <c r="G237" s="30">
        <f t="shared" si="55"/>
        <v>1165.3699999999999</v>
      </c>
      <c r="H237" s="27" t="s">
        <v>42</v>
      </c>
      <c r="I237" s="30">
        <v>100000.4</v>
      </c>
      <c r="J237" s="30" cm="1">
        <f t="array" ref="J237:K237">_xlfn.XLOOKUP(D237,'Customer Data Vlookup'!$L:$L,'Customer Data Vlookup'!$M:$N,,0)</f>
        <v>0</v>
      </c>
      <c r="K237" s="30">
        <v>1048.8330000000001</v>
      </c>
      <c r="L237" s="30">
        <f t="shared" si="52"/>
        <v>1048.8330000000001</v>
      </c>
      <c r="M237" s="30">
        <f t="shared" si="53"/>
        <v>116.53699999999981</v>
      </c>
      <c r="N237" s="56">
        <f t="shared" si="54"/>
        <v>9.9999999999999839E-2</v>
      </c>
      <c r="O237" s="27" t="s">
        <v>411</v>
      </c>
    </row>
    <row r="238" spans="1:15" x14ac:dyDescent="0.35">
      <c r="A238" s="88">
        <v>1800007286</v>
      </c>
      <c r="B238" s="27" t="s">
        <v>5</v>
      </c>
      <c r="C238" s="28">
        <v>45768</v>
      </c>
      <c r="D238" s="29">
        <v>256779412177</v>
      </c>
      <c r="E238" s="27" t="s">
        <v>46</v>
      </c>
      <c r="F238" s="30">
        <v>407.88</v>
      </c>
      <c r="G238" s="30">
        <f t="shared" si="55"/>
        <v>407.88</v>
      </c>
      <c r="H238" s="27" t="s">
        <v>42</v>
      </c>
      <c r="I238" s="30">
        <v>35000.18</v>
      </c>
      <c r="J238" s="30" cm="1">
        <f t="array" ref="J238:K238">_xlfn.XLOOKUP(D238,'Customer Data Vlookup'!$L:$L,'Customer Data Vlookup'!$M:$N,,0)</f>
        <v>0</v>
      </c>
      <c r="K238" s="30">
        <v>399.72239999999999</v>
      </c>
      <c r="L238" s="30">
        <f t="shared" si="52"/>
        <v>399.72239999999999</v>
      </c>
      <c r="M238" s="30">
        <f t="shared" si="53"/>
        <v>8.1576000000000022</v>
      </c>
      <c r="N238" s="56">
        <f t="shared" si="54"/>
        <v>2.0000000000000004E-2</v>
      </c>
      <c r="O238" s="27" t="s">
        <v>411</v>
      </c>
    </row>
    <row r="239" spans="1:15" x14ac:dyDescent="0.35">
      <c r="A239" s="88">
        <v>1600001839</v>
      </c>
      <c r="B239" s="27" t="s">
        <v>4</v>
      </c>
      <c r="C239" s="28">
        <v>45862</v>
      </c>
      <c r="D239" s="29">
        <v>256779421459</v>
      </c>
      <c r="E239" s="27" t="s">
        <v>46</v>
      </c>
      <c r="F239" s="30">
        <v>-1700</v>
      </c>
      <c r="G239" s="30">
        <f t="shared" si="55"/>
        <v>-1700</v>
      </c>
      <c r="H239" s="27" t="s">
        <v>42</v>
      </c>
      <c r="I239" s="30">
        <v>-146201.14000000001</v>
      </c>
      <c r="J239" s="30" t="e" cm="1">
        <f t="array" ref="J239">_xlfn.XLOOKUP(D239,'Customer Data Vlookup'!$L:$L,'Customer Data Vlookup'!$M:$N,,0)</f>
        <v>#N/A</v>
      </c>
      <c r="K239" s="30"/>
      <c r="L239" s="30"/>
      <c r="M239" s="30"/>
      <c r="N239" s="56"/>
      <c r="O239" s="27" t="s">
        <v>414</v>
      </c>
    </row>
    <row r="240" spans="1:15" x14ac:dyDescent="0.35">
      <c r="A240" s="88">
        <v>1600001840</v>
      </c>
      <c r="B240" s="27" t="s">
        <v>4</v>
      </c>
      <c r="C240" s="28">
        <v>45862</v>
      </c>
      <c r="D240" s="29">
        <v>256779421460</v>
      </c>
      <c r="E240" s="27" t="s">
        <v>46</v>
      </c>
      <c r="F240" s="30">
        <v>-1750</v>
      </c>
      <c r="G240" s="30">
        <f t="shared" si="55"/>
        <v>-1750</v>
      </c>
      <c r="H240" s="27" t="s">
        <v>42</v>
      </c>
      <c r="I240" s="30">
        <v>-150501.17000000001</v>
      </c>
      <c r="J240" s="30" t="e" cm="1">
        <f t="array" ref="J240">_xlfn.XLOOKUP(D240,'Customer Data Vlookup'!$L:$L,'Customer Data Vlookup'!$M:$N,,0)</f>
        <v>#N/A</v>
      </c>
      <c r="K240" s="30"/>
      <c r="L240" s="30"/>
      <c r="M240" s="30"/>
      <c r="N240" s="56"/>
      <c r="O240" s="27" t="s">
        <v>416</v>
      </c>
    </row>
    <row r="241" spans="1:15" x14ac:dyDescent="0.35">
      <c r="A241" s="88">
        <v>1600001841</v>
      </c>
      <c r="B241" s="27" t="s">
        <v>4</v>
      </c>
      <c r="C241" s="28">
        <v>45862</v>
      </c>
      <c r="D241" s="29">
        <v>256779421461</v>
      </c>
      <c r="E241" s="27" t="s">
        <v>46</v>
      </c>
      <c r="F241" s="30">
        <v>-1700</v>
      </c>
      <c r="G241" s="30">
        <f t="shared" si="55"/>
        <v>-1700</v>
      </c>
      <c r="H241" s="27" t="s">
        <v>42</v>
      </c>
      <c r="I241" s="30">
        <v>-146201.14000000001</v>
      </c>
      <c r="J241" s="30" t="e" cm="1">
        <f t="array" ref="J241">_xlfn.XLOOKUP(D241,'Customer Data Vlookup'!$L:$L,'Customer Data Vlookup'!$M:$N,,0)</f>
        <v>#N/A</v>
      </c>
      <c r="K241" s="30"/>
      <c r="L241" s="30"/>
      <c r="M241" s="30"/>
      <c r="N241" s="56"/>
      <c r="O241" s="27" t="s">
        <v>418</v>
      </c>
    </row>
    <row r="242" spans="1:15" x14ac:dyDescent="0.35">
      <c r="A242" s="88">
        <v>1600001842</v>
      </c>
      <c r="B242" s="27" t="s">
        <v>4</v>
      </c>
      <c r="C242" s="28">
        <v>45862</v>
      </c>
      <c r="D242" s="29">
        <v>256779421462</v>
      </c>
      <c r="E242" s="27" t="s">
        <v>46</v>
      </c>
      <c r="F242" s="30">
        <v>-1750</v>
      </c>
      <c r="G242" s="30">
        <f t="shared" si="55"/>
        <v>-1750</v>
      </c>
      <c r="H242" s="27" t="s">
        <v>42</v>
      </c>
      <c r="I242" s="30">
        <v>-150501.17000000001</v>
      </c>
      <c r="J242" s="30" t="e" cm="1">
        <f t="array" ref="J242">_xlfn.XLOOKUP(D242,'Customer Data Vlookup'!$L:$L,'Customer Data Vlookup'!$M:$N,,0)</f>
        <v>#N/A</v>
      </c>
      <c r="K242" s="30"/>
      <c r="L242" s="30"/>
      <c r="M242" s="30"/>
      <c r="N242" s="56"/>
      <c r="O242" s="27" t="s">
        <v>420</v>
      </c>
    </row>
    <row r="243" spans="1:15" x14ac:dyDescent="0.35">
      <c r="A243" s="88">
        <v>1600001862</v>
      </c>
      <c r="B243" s="27" t="s">
        <v>4</v>
      </c>
      <c r="C243" s="28">
        <v>45862</v>
      </c>
      <c r="D243" s="29">
        <v>256779421482</v>
      </c>
      <c r="E243" s="27" t="s">
        <v>46</v>
      </c>
      <c r="F243" s="30">
        <v>-1190.48</v>
      </c>
      <c r="G243" s="30">
        <f t="shared" si="55"/>
        <v>-1190.48</v>
      </c>
      <c r="H243" s="27" t="s">
        <v>42</v>
      </c>
      <c r="I243" s="30">
        <v>-102382.08</v>
      </c>
      <c r="J243" s="30" t="e" cm="1">
        <f t="array" ref="J243">_xlfn.XLOOKUP(D243,'Customer Data Vlookup'!$L:$L,'Customer Data Vlookup'!$M:$N,,0)</f>
        <v>#N/A</v>
      </c>
      <c r="K243" s="30"/>
      <c r="L243" s="30"/>
      <c r="M243" s="30"/>
      <c r="N243" s="56"/>
      <c r="O243" s="27" t="s">
        <v>422</v>
      </c>
    </row>
    <row r="244" spans="1:15" x14ac:dyDescent="0.35">
      <c r="A244" s="88">
        <v>1600001884</v>
      </c>
      <c r="B244" s="27" t="s">
        <v>4</v>
      </c>
      <c r="C244" s="28">
        <v>45862</v>
      </c>
      <c r="D244" s="29">
        <v>256779421504</v>
      </c>
      <c r="E244" s="27" t="s">
        <v>46</v>
      </c>
      <c r="F244" s="30">
        <v>-1190.48</v>
      </c>
      <c r="G244" s="30">
        <f t="shared" si="55"/>
        <v>-1190.48</v>
      </c>
      <c r="H244" s="27" t="s">
        <v>42</v>
      </c>
      <c r="I244" s="30">
        <v>-102382.08</v>
      </c>
      <c r="J244" s="30" t="e" cm="1">
        <f t="array" ref="J244">_xlfn.XLOOKUP(D244,'Customer Data Vlookup'!$L:$L,'Customer Data Vlookup'!$M:$N,,0)</f>
        <v>#N/A</v>
      </c>
      <c r="K244" s="30"/>
      <c r="L244" s="30"/>
      <c r="M244" s="30"/>
      <c r="N244" s="56"/>
      <c r="O244" s="27" t="s">
        <v>424</v>
      </c>
    </row>
    <row r="245" spans="1:15" x14ac:dyDescent="0.35">
      <c r="A245" s="88">
        <v>1600001885</v>
      </c>
      <c r="B245" s="27" t="s">
        <v>4</v>
      </c>
      <c r="C245" s="28">
        <v>45862</v>
      </c>
      <c r="D245" s="29">
        <v>256779421505</v>
      </c>
      <c r="E245" s="27" t="s">
        <v>46</v>
      </c>
      <c r="F245" s="30">
        <v>-416.67</v>
      </c>
      <c r="G245" s="30">
        <f t="shared" si="55"/>
        <v>-416.67</v>
      </c>
      <c r="H245" s="27" t="s">
        <v>42</v>
      </c>
      <c r="I245" s="30">
        <v>-35833.9</v>
      </c>
      <c r="J245" s="30" t="e" cm="1">
        <f t="array" ref="J245">_xlfn.XLOOKUP(D245,'Customer Data Vlookup'!$L:$L,'Customer Data Vlookup'!$M:$N,,0)</f>
        <v>#N/A</v>
      </c>
      <c r="K245" s="30"/>
      <c r="L245" s="30"/>
      <c r="M245" s="30"/>
      <c r="N245" s="56"/>
      <c r="O245" s="27" t="s">
        <v>426</v>
      </c>
    </row>
    <row r="246" spans="1:15" x14ac:dyDescent="0.35">
      <c r="A246" s="88">
        <v>1600001912</v>
      </c>
      <c r="B246" s="27" t="s">
        <v>4</v>
      </c>
      <c r="C246" s="28">
        <v>45862</v>
      </c>
      <c r="D246" s="29">
        <v>256779421532</v>
      </c>
      <c r="E246" s="27" t="s">
        <v>46</v>
      </c>
      <c r="F246" s="30">
        <v>-408.31</v>
      </c>
      <c r="G246" s="30">
        <f t="shared" si="55"/>
        <v>-408.31</v>
      </c>
      <c r="H246" s="27" t="s">
        <v>42</v>
      </c>
      <c r="I246" s="30">
        <v>-35114.93</v>
      </c>
      <c r="J246" s="30" t="e" cm="1">
        <f t="array" ref="J246">_xlfn.XLOOKUP(D246,'Customer Data Vlookup'!$L:$L,'Customer Data Vlookup'!$M:$N,,0)</f>
        <v>#N/A</v>
      </c>
      <c r="K246" s="30"/>
      <c r="L246" s="30"/>
      <c r="M246" s="30"/>
      <c r="N246" s="56"/>
      <c r="O246" s="27" t="s">
        <v>428</v>
      </c>
    </row>
    <row r="247" spans="1:15" x14ac:dyDescent="0.35">
      <c r="A247" s="88">
        <v>1600001928</v>
      </c>
      <c r="B247" s="27" t="s">
        <v>4</v>
      </c>
      <c r="C247" s="28">
        <v>45862</v>
      </c>
      <c r="D247" s="29">
        <v>256779421548</v>
      </c>
      <c r="E247" s="27" t="s">
        <v>46</v>
      </c>
      <c r="F247" s="30">
        <v>-400.09</v>
      </c>
      <c r="G247" s="30">
        <f t="shared" si="55"/>
        <v>-400.09</v>
      </c>
      <c r="H247" s="27" t="s">
        <v>42</v>
      </c>
      <c r="I247" s="30">
        <v>-34408.01</v>
      </c>
      <c r="J247" s="30" t="e" cm="1">
        <f t="array" ref="J247">_xlfn.XLOOKUP(D247,'Customer Data Vlookup'!$L:$L,'Customer Data Vlookup'!$M:$N,,0)</f>
        <v>#N/A</v>
      </c>
      <c r="K247" s="30"/>
      <c r="L247" s="30"/>
      <c r="M247" s="30"/>
      <c r="N247" s="56"/>
      <c r="O247" s="27" t="s">
        <v>430</v>
      </c>
    </row>
    <row r="248" spans="1:15" x14ac:dyDescent="0.35">
      <c r="A248" s="88">
        <v>1800009650</v>
      </c>
      <c r="B248" s="27" t="s">
        <v>5</v>
      </c>
      <c r="C248" s="28">
        <v>45826</v>
      </c>
      <c r="D248" s="29">
        <v>256779414414</v>
      </c>
      <c r="E248" s="27" t="s">
        <v>46</v>
      </c>
      <c r="F248" s="30">
        <v>1190.48</v>
      </c>
      <c r="G248" s="30">
        <f t="shared" si="55"/>
        <v>1190.48</v>
      </c>
      <c r="H248" s="27" t="s">
        <v>42</v>
      </c>
      <c r="I248" s="54">
        <v>101775.06</v>
      </c>
      <c r="J248" s="30" t="e" cm="1">
        <f t="array" ref="J248">_xlfn.XLOOKUP(D248,'Customer Data Vlookup'!$L:$L,'Customer Data Vlookup'!$M:$N,,0)</f>
        <v>#N/A</v>
      </c>
      <c r="K248" s="54"/>
      <c r="L248" s="54"/>
      <c r="M248" s="54"/>
      <c r="N248" s="56"/>
      <c r="O248" s="27" t="s">
        <v>353</v>
      </c>
    </row>
    <row r="249" spans="1:15" x14ac:dyDescent="0.35">
      <c r="A249" s="88">
        <v>1800009673</v>
      </c>
      <c r="B249" s="27" t="s">
        <v>5</v>
      </c>
      <c r="C249" s="28">
        <v>45826</v>
      </c>
      <c r="D249" s="29">
        <v>256779414437</v>
      </c>
      <c r="E249" s="27" t="s">
        <v>46</v>
      </c>
      <c r="F249" s="30">
        <v>1190.48</v>
      </c>
      <c r="G249" s="30">
        <f t="shared" si="55"/>
        <v>1190.48</v>
      </c>
      <c r="H249" s="27" t="s">
        <v>42</v>
      </c>
      <c r="I249" s="54">
        <v>101775.06</v>
      </c>
      <c r="J249" s="30" t="e" cm="1">
        <f t="array" ref="J249">_xlfn.XLOOKUP(D249,'Customer Data Vlookup'!$L:$L,'Customer Data Vlookup'!$M:$N,,0)</f>
        <v>#N/A</v>
      </c>
      <c r="K249" s="54"/>
      <c r="L249" s="54"/>
      <c r="M249" s="54"/>
      <c r="N249" s="56"/>
      <c r="O249" s="27" t="s">
        <v>357</v>
      </c>
    </row>
    <row r="250" spans="1:15" x14ac:dyDescent="0.35">
      <c r="A250" s="88">
        <v>1800009674</v>
      </c>
      <c r="B250" s="27" t="s">
        <v>5</v>
      </c>
      <c r="C250" s="28">
        <v>45826</v>
      </c>
      <c r="D250" s="29">
        <v>256779414438</v>
      </c>
      <c r="E250" s="27" t="s">
        <v>46</v>
      </c>
      <c r="F250" s="30">
        <v>416.67</v>
      </c>
      <c r="G250" s="30">
        <f t="shared" si="55"/>
        <v>416.67</v>
      </c>
      <c r="H250" s="27" t="s">
        <v>42</v>
      </c>
      <c r="I250" s="54">
        <v>35621.440000000002</v>
      </c>
      <c r="J250" s="30" t="e" cm="1">
        <f t="array" ref="J250">_xlfn.XLOOKUP(D250,'Customer Data Vlookup'!$L:$L,'Customer Data Vlookup'!$M:$N,,0)</f>
        <v>#N/A</v>
      </c>
      <c r="K250" s="54"/>
      <c r="L250" s="54"/>
      <c r="M250" s="54"/>
      <c r="N250" s="56"/>
      <c r="O250" s="27" t="s">
        <v>359</v>
      </c>
    </row>
    <row r="251" spans="1:15" x14ac:dyDescent="0.35">
      <c r="A251" s="88">
        <v>1800009701</v>
      </c>
      <c r="B251" s="27" t="s">
        <v>5</v>
      </c>
      <c r="C251" s="28">
        <v>45826</v>
      </c>
      <c r="D251" s="29">
        <v>256779414465</v>
      </c>
      <c r="E251" s="27" t="s">
        <v>46</v>
      </c>
      <c r="F251" s="30">
        <v>408.31</v>
      </c>
      <c r="G251" s="30">
        <f t="shared" si="55"/>
        <v>408.31</v>
      </c>
      <c r="H251" s="27" t="s">
        <v>42</v>
      </c>
      <c r="I251" s="54">
        <v>34906.74</v>
      </c>
      <c r="J251" s="30" t="e" cm="1">
        <f t="array" ref="J251">_xlfn.XLOOKUP(D251,'Customer Data Vlookup'!$L:$L,'Customer Data Vlookup'!$M:$N,,0)</f>
        <v>#N/A</v>
      </c>
      <c r="K251" s="54"/>
      <c r="L251" s="54"/>
      <c r="M251" s="54"/>
      <c r="N251" s="56"/>
      <c r="O251" s="27" t="s">
        <v>362</v>
      </c>
    </row>
    <row r="252" spans="1:15" x14ac:dyDescent="0.35">
      <c r="A252" s="88">
        <v>1800009717</v>
      </c>
      <c r="B252" s="27" t="s">
        <v>5</v>
      </c>
      <c r="C252" s="28">
        <v>45826</v>
      </c>
      <c r="D252" s="29">
        <v>256779414481</v>
      </c>
      <c r="E252" s="27" t="s">
        <v>46</v>
      </c>
      <c r="F252" s="30">
        <v>400.09</v>
      </c>
      <c r="G252" s="30">
        <f t="shared" si="55"/>
        <v>400.09</v>
      </c>
      <c r="H252" s="27" t="s">
        <v>42</v>
      </c>
      <c r="I252" s="54">
        <v>34204.01</v>
      </c>
      <c r="J252" s="30" t="e" cm="1">
        <f t="array" ref="J252">_xlfn.XLOOKUP(D252,'Customer Data Vlookup'!$L:$L,'Customer Data Vlookup'!$M:$N,,0)</f>
        <v>#N/A</v>
      </c>
      <c r="K252" s="54"/>
      <c r="L252" s="54"/>
      <c r="M252" s="54"/>
      <c r="N252" s="56"/>
      <c r="O252" s="27" t="s">
        <v>366</v>
      </c>
    </row>
    <row r="253" spans="1:15" x14ac:dyDescent="0.35">
      <c r="A253" s="88">
        <v>1800003114</v>
      </c>
      <c r="B253" s="27" t="s">
        <v>5</v>
      </c>
      <c r="C253" s="28">
        <v>45735</v>
      </c>
      <c r="D253" s="29">
        <v>246779412981</v>
      </c>
      <c r="E253" s="27" t="s">
        <v>46</v>
      </c>
      <c r="F253" s="30">
        <v>1148.6300000000001</v>
      </c>
      <c r="G253" s="30">
        <f t="shared" si="55"/>
        <v>1148.6300000000001</v>
      </c>
      <c r="H253" s="27" t="s">
        <v>42</v>
      </c>
      <c r="I253" s="30">
        <v>99576.18</v>
      </c>
      <c r="J253" s="30" cm="1">
        <f t="array" ref="J253:K253">_xlfn.XLOOKUP(D253,'Customer Data Vlookup'!$L:$L,'Customer Data Vlookup'!$M:$N,,0)</f>
        <v>0</v>
      </c>
      <c r="K253" s="30">
        <v>1033.7670000000001</v>
      </c>
      <c r="L253" s="30">
        <f t="shared" ref="L253:L281" si="56">K253-J253</f>
        <v>1033.7670000000001</v>
      </c>
      <c r="M253" s="30">
        <f t="shared" ref="M253:M281" si="57">F253-L253</f>
        <v>114.86300000000006</v>
      </c>
      <c r="N253" s="56">
        <f t="shared" ref="N253:N281" si="58">M253/F253</f>
        <v>0.10000000000000003</v>
      </c>
      <c r="O253" s="27" t="s">
        <v>437</v>
      </c>
    </row>
    <row r="254" spans="1:15" x14ac:dyDescent="0.35">
      <c r="A254" s="88">
        <v>1800003222</v>
      </c>
      <c r="B254" s="27" t="s">
        <v>5</v>
      </c>
      <c r="C254" s="28">
        <v>45735</v>
      </c>
      <c r="D254" s="29">
        <v>246779413089</v>
      </c>
      <c r="E254" s="27" t="s">
        <v>46</v>
      </c>
      <c r="F254" s="30">
        <v>79.05</v>
      </c>
      <c r="G254" s="30">
        <f t="shared" si="55"/>
        <v>79.05</v>
      </c>
      <c r="H254" s="27" t="s">
        <v>42</v>
      </c>
      <c r="I254" s="30">
        <v>6852.94</v>
      </c>
      <c r="J254" s="30" cm="1">
        <f t="array" ref="J254:K254">_xlfn.XLOOKUP(D254,'Customer Data Vlookup'!$L:$L,'Customer Data Vlookup'!$M:$N,,0)</f>
        <v>0</v>
      </c>
      <c r="K254" s="30">
        <v>77.468999999999994</v>
      </c>
      <c r="L254" s="30">
        <f t="shared" si="56"/>
        <v>77.468999999999994</v>
      </c>
      <c r="M254" s="30">
        <f t="shared" si="57"/>
        <v>1.5810000000000031</v>
      </c>
      <c r="N254" s="56">
        <f t="shared" si="58"/>
        <v>2.0000000000000039E-2</v>
      </c>
      <c r="O254" s="27" t="s">
        <v>439</v>
      </c>
    </row>
    <row r="255" spans="1:15" x14ac:dyDescent="0.35">
      <c r="A255" s="88">
        <v>1800003347</v>
      </c>
      <c r="B255" s="27" t="s">
        <v>5</v>
      </c>
      <c r="C255" s="28">
        <v>45735</v>
      </c>
      <c r="D255" s="29">
        <v>246779413214</v>
      </c>
      <c r="E255" s="27" t="s">
        <v>46</v>
      </c>
      <c r="F255" s="30">
        <v>78.12</v>
      </c>
      <c r="G255" s="30">
        <f t="shared" si="55"/>
        <v>78.12</v>
      </c>
      <c r="H255" s="27" t="s">
        <v>42</v>
      </c>
      <c r="I255" s="30">
        <v>6772.32</v>
      </c>
      <c r="J255" s="30" cm="1">
        <f t="array" ref="J255:K255">_xlfn.XLOOKUP(D255,'Customer Data Vlookup'!$L:$L,'Customer Data Vlookup'!$M:$N,,0)</f>
        <v>0</v>
      </c>
      <c r="K255" s="30">
        <v>76.557599999999994</v>
      </c>
      <c r="L255" s="30">
        <f t="shared" si="56"/>
        <v>76.557599999999994</v>
      </c>
      <c r="M255" s="30">
        <f t="shared" si="57"/>
        <v>1.5624000000000109</v>
      </c>
      <c r="N255" s="56">
        <f t="shared" si="58"/>
        <v>2.0000000000000139E-2</v>
      </c>
      <c r="O255" s="27" t="s">
        <v>441</v>
      </c>
    </row>
    <row r="256" spans="1:15" x14ac:dyDescent="0.35">
      <c r="A256" s="88">
        <v>1800003149</v>
      </c>
      <c r="B256" s="27" t="s">
        <v>5</v>
      </c>
      <c r="C256" s="28">
        <v>45735</v>
      </c>
      <c r="D256" s="29">
        <v>246779413016</v>
      </c>
      <c r="E256" s="27" t="s">
        <v>46</v>
      </c>
      <c r="F256" s="30">
        <v>402.02</v>
      </c>
      <c r="G256" s="30">
        <f t="shared" si="55"/>
        <v>402.02</v>
      </c>
      <c r="H256" s="27" t="s">
        <v>42</v>
      </c>
      <c r="I256" s="30">
        <v>34851.620000000003</v>
      </c>
      <c r="J256" s="30" cm="1">
        <f t="array" ref="J256:K256">_xlfn.XLOOKUP(D256,'Customer Data Vlookup'!$L:$L,'Customer Data Vlookup'!$M:$N,,0)</f>
        <v>0</v>
      </c>
      <c r="K256" s="30">
        <v>361.81799999999998</v>
      </c>
      <c r="L256" s="30">
        <f t="shared" si="56"/>
        <v>361.81799999999998</v>
      </c>
      <c r="M256" s="30">
        <f t="shared" si="57"/>
        <v>40.201999999999998</v>
      </c>
      <c r="N256" s="56">
        <f t="shared" si="58"/>
        <v>0.1</v>
      </c>
      <c r="O256" s="27" t="s">
        <v>437</v>
      </c>
    </row>
    <row r="257" spans="1:15" x14ac:dyDescent="0.35">
      <c r="A257" s="88">
        <v>1800013202</v>
      </c>
      <c r="B257" s="27" t="s">
        <v>5</v>
      </c>
      <c r="C257" s="28">
        <v>45924</v>
      </c>
      <c r="D257" s="29">
        <v>256779417818</v>
      </c>
      <c r="E257" s="27" t="s">
        <v>46</v>
      </c>
      <c r="F257" s="30">
        <v>260.79000000000002</v>
      </c>
      <c r="G257" s="30">
        <f t="shared" si="55"/>
        <v>260.79000000000002</v>
      </c>
      <c r="H257" s="27" t="s">
        <v>42</v>
      </c>
      <c r="I257" s="30">
        <v>22423.69</v>
      </c>
      <c r="J257" s="30" cm="1">
        <f t="array" ref="J257:K257">_xlfn.XLOOKUP(D257,'Customer Data Vlookup'!$L:$L,'Customer Data Vlookup'!$M:$N,,0)</f>
        <v>0</v>
      </c>
      <c r="K257" s="30">
        <v>254.02540000000002</v>
      </c>
      <c r="L257" s="30">
        <f t="shared" si="56"/>
        <v>254.02540000000002</v>
      </c>
      <c r="M257" s="30">
        <f t="shared" si="57"/>
        <v>6.7646000000000015</v>
      </c>
      <c r="N257" s="56">
        <f t="shared" si="58"/>
        <v>2.5938878024464131E-2</v>
      </c>
      <c r="O257" s="27" t="s">
        <v>444</v>
      </c>
    </row>
    <row r="258" spans="1:15" x14ac:dyDescent="0.35">
      <c r="A258" s="88">
        <v>1800015045</v>
      </c>
      <c r="B258" s="27" t="s">
        <v>5</v>
      </c>
      <c r="C258" s="28">
        <v>45981</v>
      </c>
      <c r="D258" s="29">
        <v>256779419558</v>
      </c>
      <c r="E258" s="27" t="s">
        <v>46</v>
      </c>
      <c r="F258" s="30">
        <v>850</v>
      </c>
      <c r="G258" s="30">
        <f t="shared" si="55"/>
        <v>850</v>
      </c>
      <c r="H258" s="27" t="s">
        <v>42</v>
      </c>
      <c r="I258" s="30">
        <v>74802.880000000005</v>
      </c>
      <c r="J258" s="30" cm="1">
        <f t="array" ref="J258:K258">_xlfn.XLOOKUP(D258,'Customer Data Vlookup'!$L:$L,'Customer Data Vlookup'!$M:$N,,0)</f>
        <v>0</v>
      </c>
      <c r="K258" s="30">
        <v>825</v>
      </c>
      <c r="L258" s="30">
        <f t="shared" si="56"/>
        <v>825</v>
      </c>
      <c r="M258" s="30">
        <f t="shared" si="57"/>
        <v>25</v>
      </c>
      <c r="N258" s="56">
        <f t="shared" si="58"/>
        <v>2.9411764705882353E-2</v>
      </c>
      <c r="O258" s="27" t="s">
        <v>445</v>
      </c>
    </row>
    <row r="259" spans="1:15" x14ac:dyDescent="0.35">
      <c r="A259" s="88">
        <v>1800015077</v>
      </c>
      <c r="B259" s="27" t="s">
        <v>5</v>
      </c>
      <c r="C259" s="28">
        <v>45981</v>
      </c>
      <c r="D259" s="29">
        <v>256779419590</v>
      </c>
      <c r="E259" s="27" t="s">
        <v>46</v>
      </c>
      <c r="F259" s="30">
        <v>331.5</v>
      </c>
      <c r="G259" s="30">
        <f t="shared" si="55"/>
        <v>331.5</v>
      </c>
      <c r="H259" s="27" t="s">
        <v>42</v>
      </c>
      <c r="I259" s="30">
        <v>29173.119999999999</v>
      </c>
      <c r="J259" s="30" cm="1">
        <f t="array" ref="J259:K259">_xlfn.XLOOKUP(D259,'Customer Data Vlookup'!$L:$L,'Customer Data Vlookup'!$M:$N,,0)</f>
        <v>0</v>
      </c>
      <c r="K259" s="30">
        <v>324.87</v>
      </c>
      <c r="L259" s="30">
        <f t="shared" si="56"/>
        <v>324.87</v>
      </c>
      <c r="M259" s="30">
        <f t="shared" si="57"/>
        <v>6.6299999999999955</v>
      </c>
      <c r="N259" s="56">
        <f t="shared" si="58"/>
        <v>1.9999999999999987E-2</v>
      </c>
      <c r="O259" s="27" t="s">
        <v>447</v>
      </c>
    </row>
    <row r="260" spans="1:15" x14ac:dyDescent="0.35">
      <c r="A260" s="88">
        <v>1800015131</v>
      </c>
      <c r="B260" s="27" t="s">
        <v>5</v>
      </c>
      <c r="C260" s="28">
        <v>45981</v>
      </c>
      <c r="D260" s="29">
        <v>256779419630</v>
      </c>
      <c r="E260" s="27" t="s">
        <v>46</v>
      </c>
      <c r="F260" s="30">
        <v>112.58</v>
      </c>
      <c r="G260" s="30">
        <f t="shared" si="55"/>
        <v>112.58</v>
      </c>
      <c r="H260" s="27" t="s">
        <v>42</v>
      </c>
      <c r="I260" s="30">
        <v>9907.42</v>
      </c>
      <c r="J260" s="30" cm="1">
        <f t="array" ref="J260:K260">_xlfn.XLOOKUP(D260,'Customer Data Vlookup'!$L:$L,'Customer Data Vlookup'!$M:$N,,0)</f>
        <v>0</v>
      </c>
      <c r="K260" s="30">
        <v>110.3284</v>
      </c>
      <c r="L260" s="30">
        <f t="shared" si="56"/>
        <v>110.3284</v>
      </c>
      <c r="M260" s="30">
        <f t="shared" si="57"/>
        <v>2.2515999999999963</v>
      </c>
      <c r="N260" s="56">
        <f t="shared" si="58"/>
        <v>1.9999999999999966E-2</v>
      </c>
      <c r="O260" s="27" t="s">
        <v>449</v>
      </c>
    </row>
    <row r="261" spans="1:15" x14ac:dyDescent="0.35">
      <c r="A261" s="88">
        <v>1800007659</v>
      </c>
      <c r="B261" s="27" t="s">
        <v>5</v>
      </c>
      <c r="C261" s="28">
        <v>45769</v>
      </c>
      <c r="D261" s="29">
        <v>256779412550</v>
      </c>
      <c r="E261" s="27" t="s">
        <v>46</v>
      </c>
      <c r="F261" s="30">
        <v>87.2</v>
      </c>
      <c r="G261" s="30">
        <f t="shared" si="55"/>
        <v>87.2</v>
      </c>
      <c r="H261" s="27" t="s">
        <v>42</v>
      </c>
      <c r="I261" s="30">
        <v>7579.58</v>
      </c>
      <c r="J261" s="30" cm="1">
        <f t="array" ref="J261:K261">_xlfn.XLOOKUP(D261,'Customer Data Vlookup'!$L:$L,'Customer Data Vlookup'!$M:$N,,0)</f>
        <v>0</v>
      </c>
      <c r="K261" s="30">
        <v>85.456000000000003</v>
      </c>
      <c r="L261" s="30">
        <f t="shared" si="56"/>
        <v>85.456000000000003</v>
      </c>
      <c r="M261" s="30">
        <f t="shared" si="57"/>
        <v>1.7439999999999998</v>
      </c>
      <c r="N261" s="56">
        <f t="shared" si="58"/>
        <v>1.9999999999999997E-2</v>
      </c>
      <c r="O261" s="27" t="s">
        <v>451</v>
      </c>
    </row>
    <row r="262" spans="1:15" x14ac:dyDescent="0.35">
      <c r="A262" s="88">
        <v>1800007691</v>
      </c>
      <c r="B262" s="27" t="s">
        <v>5</v>
      </c>
      <c r="C262" s="28">
        <v>45769</v>
      </c>
      <c r="D262" s="29">
        <v>256779412582</v>
      </c>
      <c r="E262" s="27" t="s">
        <v>46</v>
      </c>
      <c r="F262" s="30">
        <v>56.95</v>
      </c>
      <c r="G262" s="30">
        <f t="shared" si="55"/>
        <v>56.95</v>
      </c>
      <c r="H262" s="27" t="s">
        <v>42</v>
      </c>
      <c r="I262" s="30">
        <v>4950.2</v>
      </c>
      <c r="J262" s="30" cm="1">
        <f t="array" ref="J262:K262">_xlfn.XLOOKUP(D262,'Customer Data Vlookup'!$L:$L,'Customer Data Vlookup'!$M:$N,,0)</f>
        <v>0</v>
      </c>
      <c r="K262" s="30">
        <v>55.811</v>
      </c>
      <c r="L262" s="30">
        <f t="shared" si="56"/>
        <v>55.811</v>
      </c>
      <c r="M262" s="30">
        <f t="shared" si="57"/>
        <v>1.1390000000000029</v>
      </c>
      <c r="N262" s="56">
        <f t="shared" si="58"/>
        <v>2.0000000000000049E-2</v>
      </c>
      <c r="O262" s="27" t="s">
        <v>451</v>
      </c>
    </row>
    <row r="263" spans="1:15" x14ac:dyDescent="0.35">
      <c r="A263" s="88">
        <v>1800007724</v>
      </c>
      <c r="B263" s="27" t="s">
        <v>5</v>
      </c>
      <c r="C263" s="28">
        <v>45769</v>
      </c>
      <c r="D263" s="29">
        <v>256779412615</v>
      </c>
      <c r="E263" s="27" t="s">
        <v>46</v>
      </c>
      <c r="F263" s="30">
        <v>87.2</v>
      </c>
      <c r="G263" s="30">
        <f t="shared" si="55"/>
        <v>87.2</v>
      </c>
      <c r="H263" s="27" t="s">
        <v>42</v>
      </c>
      <c r="I263" s="30">
        <v>7579.58</v>
      </c>
      <c r="J263" s="30" cm="1">
        <f t="array" ref="J263:K263">_xlfn.XLOOKUP(D263,'Customer Data Vlookup'!$L:$L,'Customer Data Vlookup'!$M:$N,,0)</f>
        <v>0</v>
      </c>
      <c r="K263" s="30">
        <v>85.456000000000003</v>
      </c>
      <c r="L263" s="30">
        <f t="shared" si="56"/>
        <v>85.456000000000003</v>
      </c>
      <c r="M263" s="30">
        <f t="shared" si="57"/>
        <v>1.7439999999999998</v>
      </c>
      <c r="N263" s="56">
        <f t="shared" si="58"/>
        <v>1.9999999999999997E-2</v>
      </c>
      <c r="O263" s="27" t="s">
        <v>454</v>
      </c>
    </row>
    <row r="264" spans="1:15" x14ac:dyDescent="0.35">
      <c r="A264" s="88">
        <v>1800007766</v>
      </c>
      <c r="B264" s="27" t="s">
        <v>5</v>
      </c>
      <c r="C264" s="28">
        <v>45769</v>
      </c>
      <c r="D264" s="29">
        <v>256779412657</v>
      </c>
      <c r="E264" s="27" t="s">
        <v>46</v>
      </c>
      <c r="F264" s="30">
        <v>4.93</v>
      </c>
      <c r="G264" s="30">
        <f t="shared" si="55"/>
        <v>4.93</v>
      </c>
      <c r="H264" s="27" t="s">
        <v>42</v>
      </c>
      <c r="I264" s="30">
        <v>428.52</v>
      </c>
      <c r="J264" s="30" cm="1">
        <f t="array" ref="J264:K264">_xlfn.XLOOKUP(D264,'Customer Data Vlookup'!$L:$L,'Customer Data Vlookup'!$M:$N,,0)</f>
        <v>0</v>
      </c>
      <c r="K264" s="30">
        <v>4.8314000000000004</v>
      </c>
      <c r="L264" s="30">
        <f t="shared" si="56"/>
        <v>4.8314000000000004</v>
      </c>
      <c r="M264" s="30">
        <f t="shared" si="57"/>
        <v>9.8599999999999355E-2</v>
      </c>
      <c r="N264" s="56">
        <f t="shared" si="58"/>
        <v>1.9999999999999869E-2</v>
      </c>
      <c r="O264" s="27" t="s">
        <v>456</v>
      </c>
    </row>
    <row r="265" spans="1:15" x14ac:dyDescent="0.35">
      <c r="A265" s="88">
        <v>1800012815</v>
      </c>
      <c r="B265" s="27" t="s">
        <v>5</v>
      </c>
      <c r="C265" s="28">
        <v>45918</v>
      </c>
      <c r="D265" s="29">
        <v>256779417420</v>
      </c>
      <c r="E265" s="27" t="s">
        <v>46</v>
      </c>
      <c r="F265" s="30">
        <v>35</v>
      </c>
      <c r="G265" s="30">
        <f t="shared" si="55"/>
        <v>35</v>
      </c>
      <c r="H265" s="27" t="s">
        <v>42</v>
      </c>
      <c r="I265" s="30">
        <v>3063</v>
      </c>
      <c r="J265" s="30" cm="1">
        <f t="array" ref="J265:K265">_xlfn.XLOOKUP(D265,'Customer Data Vlookup'!$L:$L,'Customer Data Vlookup'!$M:$N,,0)</f>
        <v>0</v>
      </c>
      <c r="K265" s="30">
        <v>34.299999999999997</v>
      </c>
      <c r="L265" s="30">
        <f t="shared" si="56"/>
        <v>34.299999999999997</v>
      </c>
      <c r="M265" s="30">
        <f t="shared" si="57"/>
        <v>0.70000000000000284</v>
      </c>
      <c r="N265" s="56">
        <f t="shared" si="58"/>
        <v>2.000000000000008E-2</v>
      </c>
      <c r="O265" s="27" t="s">
        <v>458</v>
      </c>
    </row>
    <row r="266" spans="1:15" x14ac:dyDescent="0.35">
      <c r="A266" s="88">
        <v>1800012872</v>
      </c>
      <c r="B266" s="27" t="s">
        <v>5</v>
      </c>
      <c r="C266" s="28">
        <v>45918</v>
      </c>
      <c r="D266" s="29">
        <v>256779417490</v>
      </c>
      <c r="E266" s="27" t="s">
        <v>46</v>
      </c>
      <c r="F266" s="30">
        <v>850</v>
      </c>
      <c r="G266" s="30">
        <f t="shared" si="55"/>
        <v>850</v>
      </c>
      <c r="H266" s="27" t="s">
        <v>42</v>
      </c>
      <c r="I266" s="30">
        <v>74387.179999999993</v>
      </c>
      <c r="J266" s="30" cm="1">
        <f t="array" ref="J266:K266">_xlfn.XLOOKUP(D266,'Customer Data Vlookup'!$L:$L,'Customer Data Vlookup'!$M:$N,,0)</f>
        <v>0</v>
      </c>
      <c r="K266" s="30">
        <v>825</v>
      </c>
      <c r="L266" s="30">
        <f t="shared" si="56"/>
        <v>825</v>
      </c>
      <c r="M266" s="30">
        <f t="shared" si="57"/>
        <v>25</v>
      </c>
      <c r="N266" s="56">
        <f t="shared" si="58"/>
        <v>2.9411764705882353E-2</v>
      </c>
      <c r="O266" s="27" t="s">
        <v>459</v>
      </c>
    </row>
    <row r="267" spans="1:15" x14ac:dyDescent="0.35">
      <c r="A267" s="88">
        <v>1800012991</v>
      </c>
      <c r="B267" s="27" t="s">
        <v>5</v>
      </c>
      <c r="C267" s="28">
        <v>45918</v>
      </c>
      <c r="D267" s="29">
        <v>256779417526</v>
      </c>
      <c r="E267" s="27" t="s">
        <v>46</v>
      </c>
      <c r="F267" s="30">
        <v>22.43</v>
      </c>
      <c r="G267" s="30">
        <f t="shared" si="55"/>
        <v>22.43</v>
      </c>
      <c r="H267" s="27" t="s">
        <v>42</v>
      </c>
      <c r="I267" s="30">
        <v>1962.95</v>
      </c>
      <c r="J267" s="30" cm="1">
        <f t="array" ref="J267:K267">_xlfn.XLOOKUP(D267,'Customer Data Vlookup'!$L:$L,'Customer Data Vlookup'!$M:$N,,0)</f>
        <v>0</v>
      </c>
      <c r="K267" s="30">
        <v>21.981400000000001</v>
      </c>
      <c r="L267" s="30">
        <f t="shared" si="56"/>
        <v>21.981400000000001</v>
      </c>
      <c r="M267" s="30">
        <f t="shared" si="57"/>
        <v>0.448599999999999</v>
      </c>
      <c r="N267" s="56">
        <f t="shared" si="58"/>
        <v>1.9999999999999955E-2</v>
      </c>
      <c r="O267" s="27" t="s">
        <v>461</v>
      </c>
    </row>
    <row r="268" spans="1:15" x14ac:dyDescent="0.35">
      <c r="A268" s="88">
        <v>1800012929</v>
      </c>
      <c r="B268" s="27" t="s">
        <v>5</v>
      </c>
      <c r="C268" s="28">
        <v>45918</v>
      </c>
      <c r="D268" s="29">
        <v>256779417568</v>
      </c>
      <c r="E268" s="27" t="s">
        <v>46</v>
      </c>
      <c r="F268" s="30">
        <v>293.89</v>
      </c>
      <c r="G268" s="30">
        <f t="shared" si="55"/>
        <v>293.89</v>
      </c>
      <c r="H268" s="27" t="s">
        <v>42</v>
      </c>
      <c r="I268" s="30">
        <v>25719.59</v>
      </c>
      <c r="J268" s="30" cm="1">
        <f t="array" ref="J268:K268">_xlfn.XLOOKUP(D268,'Customer Data Vlookup'!$L:$L,'Customer Data Vlookup'!$M:$N,,0)</f>
        <v>0</v>
      </c>
      <c r="K268" s="30">
        <v>288.01220000000001</v>
      </c>
      <c r="L268" s="30">
        <f t="shared" si="56"/>
        <v>288.01220000000001</v>
      </c>
      <c r="M268" s="30">
        <f t="shared" si="57"/>
        <v>5.8777999999999793</v>
      </c>
      <c r="N268" s="56">
        <f t="shared" si="58"/>
        <v>1.9999999999999931E-2</v>
      </c>
      <c r="O268" s="27" t="s">
        <v>463</v>
      </c>
    </row>
    <row r="269" spans="1:15" x14ac:dyDescent="0.35">
      <c r="A269" s="88">
        <v>1800015347</v>
      </c>
      <c r="B269" s="27" t="s">
        <v>5</v>
      </c>
      <c r="C269" s="28">
        <v>45996</v>
      </c>
      <c r="D269" s="29">
        <v>256779419796</v>
      </c>
      <c r="E269" s="27" t="s">
        <v>46</v>
      </c>
      <c r="F269" s="30">
        <v>850</v>
      </c>
      <c r="G269" s="30">
        <f t="shared" si="55"/>
        <v>850</v>
      </c>
      <c r="H269" s="27" t="s">
        <v>42</v>
      </c>
      <c r="I269" s="30">
        <v>75395.12</v>
      </c>
      <c r="J269" s="30" cm="1">
        <f t="array" ref="J269:K269">_xlfn.XLOOKUP(D269,'Customer Data Vlookup'!$L:$L,'Customer Data Vlookup'!$M:$N,,0)</f>
        <v>0</v>
      </c>
      <c r="K269" s="30">
        <v>825</v>
      </c>
      <c r="L269" s="30">
        <f t="shared" si="56"/>
        <v>825</v>
      </c>
      <c r="M269" s="30">
        <f t="shared" si="57"/>
        <v>25</v>
      </c>
      <c r="N269" s="56">
        <f t="shared" si="58"/>
        <v>2.9411764705882353E-2</v>
      </c>
      <c r="O269" s="27" t="s">
        <v>464</v>
      </c>
    </row>
    <row r="270" spans="1:15" x14ac:dyDescent="0.35">
      <c r="A270" s="88">
        <v>1800015289</v>
      </c>
      <c r="B270" s="27" t="s">
        <v>5</v>
      </c>
      <c r="C270" s="28">
        <v>45996</v>
      </c>
      <c r="D270" s="29">
        <v>256779419918</v>
      </c>
      <c r="E270" s="27" t="s">
        <v>46</v>
      </c>
      <c r="F270" s="30">
        <v>111.4</v>
      </c>
      <c r="G270" s="30">
        <f t="shared" si="55"/>
        <v>111.4</v>
      </c>
      <c r="H270" s="27" t="s">
        <v>42</v>
      </c>
      <c r="I270" s="30">
        <v>9881.2000000000007</v>
      </c>
      <c r="J270" s="30" cm="1">
        <f t="array" ref="J270:K270">_xlfn.XLOOKUP(D270,'Customer Data Vlookup'!$L:$L,'Customer Data Vlookup'!$M:$N,,0)</f>
        <v>0</v>
      </c>
      <c r="K270" s="30">
        <v>109.172</v>
      </c>
      <c r="L270" s="30">
        <f t="shared" si="56"/>
        <v>109.172</v>
      </c>
      <c r="M270" s="30">
        <f t="shared" si="57"/>
        <v>2.2280000000000086</v>
      </c>
      <c r="N270" s="56">
        <f t="shared" si="58"/>
        <v>2.0000000000000077E-2</v>
      </c>
      <c r="O270" s="27" t="s">
        <v>466</v>
      </c>
    </row>
    <row r="271" spans="1:15" x14ac:dyDescent="0.35">
      <c r="A271" s="88">
        <v>1800008037</v>
      </c>
      <c r="B271" s="27" t="s">
        <v>5</v>
      </c>
      <c r="C271" s="28">
        <v>45770</v>
      </c>
      <c r="D271" s="29">
        <v>256779412928</v>
      </c>
      <c r="E271" s="27" t="s">
        <v>46</v>
      </c>
      <c r="F271" s="30">
        <v>12.12</v>
      </c>
      <c r="G271" s="30">
        <f t="shared" si="55"/>
        <v>12.12</v>
      </c>
      <c r="H271" s="27" t="s">
        <v>42</v>
      </c>
      <c r="I271" s="30">
        <v>1053.49</v>
      </c>
      <c r="J271" s="30" cm="1">
        <f t="array" ref="J271:K271">_xlfn.XLOOKUP(D271,'Customer Data Vlookup'!$L:$L,'Customer Data Vlookup'!$M:$N,,0)</f>
        <v>0</v>
      </c>
      <c r="K271" s="30">
        <v>11.877599999999999</v>
      </c>
      <c r="L271" s="30">
        <f t="shared" si="56"/>
        <v>11.877599999999999</v>
      </c>
      <c r="M271" s="30">
        <f t="shared" si="57"/>
        <v>0.24239999999999995</v>
      </c>
      <c r="N271" s="56">
        <f t="shared" si="58"/>
        <v>1.9999999999999997E-2</v>
      </c>
      <c r="O271" s="27" t="s">
        <v>468</v>
      </c>
    </row>
    <row r="272" spans="1:15" x14ac:dyDescent="0.35">
      <c r="A272" s="88">
        <v>1800004450</v>
      </c>
      <c r="B272" s="27" t="s">
        <v>5</v>
      </c>
      <c r="C272" s="28">
        <v>45737</v>
      </c>
      <c r="D272" s="29">
        <v>246779414318</v>
      </c>
      <c r="E272" s="27" t="s">
        <v>46</v>
      </c>
      <c r="F272" s="30">
        <v>45.74</v>
      </c>
      <c r="G272" s="30">
        <f t="shared" si="55"/>
        <v>45.74</v>
      </c>
      <c r="H272" s="27" t="s">
        <v>42</v>
      </c>
      <c r="I272" s="30">
        <v>3965.26</v>
      </c>
      <c r="J272" s="30" cm="1">
        <f t="array" ref="J272:K272">_xlfn.XLOOKUP(D272,'Customer Data Vlookup'!$L:$L,'Customer Data Vlookup'!$M:$N,,0)</f>
        <v>0</v>
      </c>
      <c r="K272" s="30">
        <v>44.825200000000002</v>
      </c>
      <c r="L272" s="30">
        <f t="shared" si="56"/>
        <v>44.825200000000002</v>
      </c>
      <c r="M272" s="30">
        <f t="shared" si="57"/>
        <v>0.91479999999999961</v>
      </c>
      <c r="N272" s="56">
        <f t="shared" si="58"/>
        <v>1.999999999999999E-2</v>
      </c>
      <c r="O272" s="27" t="s">
        <v>470</v>
      </c>
    </row>
    <row r="273" spans="1:15" x14ac:dyDescent="0.35">
      <c r="A273" s="88">
        <v>1800013759</v>
      </c>
      <c r="B273" s="27" t="s">
        <v>5</v>
      </c>
      <c r="C273" s="28">
        <v>45937</v>
      </c>
      <c r="D273" s="29">
        <v>256779418180</v>
      </c>
      <c r="E273" s="27" t="s">
        <v>46</v>
      </c>
      <c r="F273" s="30">
        <v>173.22</v>
      </c>
      <c r="G273" s="30">
        <f t="shared" si="55"/>
        <v>173.22</v>
      </c>
      <c r="H273" s="27" t="s">
        <v>42</v>
      </c>
      <c r="I273" s="30">
        <v>15276.41</v>
      </c>
      <c r="J273" s="30" cm="1">
        <f t="array" ref="J273:K273">_xlfn.XLOOKUP(D273,'Customer Data Vlookup'!$L:$L,'Customer Data Vlookup'!$M:$N,,0)</f>
        <v>0</v>
      </c>
      <c r="K273" s="30">
        <v>169.75559999999999</v>
      </c>
      <c r="L273" s="30">
        <f t="shared" si="56"/>
        <v>169.75559999999999</v>
      </c>
      <c r="M273" s="30">
        <f t="shared" si="57"/>
        <v>3.4644000000000119</v>
      </c>
      <c r="N273" s="56">
        <f t="shared" si="58"/>
        <v>2.000000000000007E-2</v>
      </c>
      <c r="O273" s="27" t="s">
        <v>472</v>
      </c>
    </row>
    <row r="274" spans="1:15" x14ac:dyDescent="0.35">
      <c r="A274" s="88">
        <v>1800008302</v>
      </c>
      <c r="B274" s="27" t="s">
        <v>5</v>
      </c>
      <c r="C274" s="28">
        <v>45787</v>
      </c>
      <c r="D274" s="29">
        <v>256779413185</v>
      </c>
      <c r="E274" s="27" t="s">
        <v>46</v>
      </c>
      <c r="F274" s="30">
        <v>200</v>
      </c>
      <c r="G274" s="30">
        <f t="shared" si="55"/>
        <v>200</v>
      </c>
      <c r="H274" s="27" t="s">
        <v>42</v>
      </c>
      <c r="I274" s="30">
        <v>17196.740000000002</v>
      </c>
      <c r="J274" s="30" cm="1">
        <f t="array" ref="J274:K274">_xlfn.XLOOKUP(D274,'Customer Data Vlookup'!$L:$L,'Customer Data Vlookup'!$M:$N,,0)</f>
        <v>0</v>
      </c>
      <c r="K274" s="30">
        <v>180</v>
      </c>
      <c r="L274" s="30">
        <f t="shared" si="56"/>
        <v>180</v>
      </c>
      <c r="M274" s="30">
        <f t="shared" si="57"/>
        <v>20</v>
      </c>
      <c r="N274" s="56">
        <f t="shared" si="58"/>
        <v>0.1</v>
      </c>
      <c r="O274" s="27" t="s">
        <v>474</v>
      </c>
    </row>
    <row r="275" spans="1:15" x14ac:dyDescent="0.35">
      <c r="A275" s="88">
        <v>1800008361</v>
      </c>
      <c r="B275" s="27" t="s">
        <v>5</v>
      </c>
      <c r="C275" s="28">
        <v>45787</v>
      </c>
      <c r="D275" s="29">
        <v>256779413244</v>
      </c>
      <c r="E275" s="27" t="s">
        <v>46</v>
      </c>
      <c r="F275" s="30">
        <v>401.24</v>
      </c>
      <c r="G275" s="30">
        <f t="shared" si="55"/>
        <v>401.24</v>
      </c>
      <c r="H275" s="27" t="s">
        <v>42</v>
      </c>
      <c r="I275" s="30">
        <v>34500.1</v>
      </c>
      <c r="J275" s="30" cm="1">
        <f t="array" ref="J275:K275">_xlfn.XLOOKUP(D275,'Customer Data Vlookup'!$L:$L,'Customer Data Vlookup'!$M:$N,,0)</f>
        <v>0</v>
      </c>
      <c r="K275" s="30">
        <v>393.21519999999998</v>
      </c>
      <c r="L275" s="30">
        <f t="shared" si="56"/>
        <v>393.21519999999998</v>
      </c>
      <c r="M275" s="30">
        <f t="shared" si="57"/>
        <v>8.0248000000000275</v>
      </c>
      <c r="N275" s="56">
        <f t="shared" si="58"/>
        <v>2.0000000000000066E-2</v>
      </c>
      <c r="O275" s="27" t="s">
        <v>476</v>
      </c>
    </row>
    <row r="276" spans="1:15" x14ac:dyDescent="0.35">
      <c r="A276" s="88">
        <v>1800015454</v>
      </c>
      <c r="B276" s="27" t="s">
        <v>5</v>
      </c>
      <c r="C276" s="28">
        <v>45997</v>
      </c>
      <c r="D276" s="29">
        <v>256779419955</v>
      </c>
      <c r="E276" s="27" t="s">
        <v>46</v>
      </c>
      <c r="F276" s="30">
        <v>61.99</v>
      </c>
      <c r="G276" s="30">
        <f t="shared" si="55"/>
        <v>61.99</v>
      </c>
      <c r="H276" s="27" t="s">
        <v>42</v>
      </c>
      <c r="I276" s="30">
        <v>5498.52</v>
      </c>
      <c r="J276" s="30" cm="1">
        <f t="array" ref="J276:K276">_xlfn.XLOOKUP(D276,'Customer Data Vlookup'!$L:$L,'Customer Data Vlookup'!$M:$N,,0)</f>
        <v>0</v>
      </c>
      <c r="K276" s="30">
        <v>60.7502</v>
      </c>
      <c r="L276" s="30">
        <f t="shared" si="56"/>
        <v>60.7502</v>
      </c>
      <c r="M276" s="30">
        <f t="shared" si="57"/>
        <v>1.2398000000000025</v>
      </c>
      <c r="N276" s="56">
        <f t="shared" si="58"/>
        <v>2.0000000000000039E-2</v>
      </c>
      <c r="O276" s="27" t="s">
        <v>478</v>
      </c>
    </row>
    <row r="277" spans="1:15" x14ac:dyDescent="0.35">
      <c r="A277" s="88">
        <v>1800015475</v>
      </c>
      <c r="B277" s="27" t="s">
        <v>5</v>
      </c>
      <c r="C277" s="28">
        <v>45997</v>
      </c>
      <c r="D277" s="29">
        <v>256779419992</v>
      </c>
      <c r="E277" s="27" t="s">
        <v>46</v>
      </c>
      <c r="F277" s="30">
        <v>124.11</v>
      </c>
      <c r="G277" s="30">
        <f t="shared" si="55"/>
        <v>124.11</v>
      </c>
      <c r="H277" s="27" t="s">
        <v>42</v>
      </c>
      <c r="I277" s="30">
        <v>11008.57</v>
      </c>
      <c r="J277" s="30" cm="1">
        <f t="array" ref="J277:K277">_xlfn.XLOOKUP(D277,'Customer Data Vlookup'!$L:$L,'Customer Data Vlookup'!$M:$N,,0)</f>
        <v>0</v>
      </c>
      <c r="K277" s="30">
        <v>121.62779999999999</v>
      </c>
      <c r="L277" s="30">
        <f t="shared" si="56"/>
        <v>121.62779999999999</v>
      </c>
      <c r="M277" s="30">
        <f t="shared" si="57"/>
        <v>2.482200000000006</v>
      </c>
      <c r="N277" s="56">
        <f t="shared" si="58"/>
        <v>2.0000000000000049E-2</v>
      </c>
      <c r="O277" s="27" t="s">
        <v>480</v>
      </c>
    </row>
    <row r="278" spans="1:15" x14ac:dyDescent="0.35">
      <c r="A278" s="88">
        <v>1800009476</v>
      </c>
      <c r="B278" s="27" t="s">
        <v>5</v>
      </c>
      <c r="C278" s="28">
        <v>45815</v>
      </c>
      <c r="D278" s="29">
        <v>256779414240</v>
      </c>
      <c r="E278" s="27" t="s">
        <v>46</v>
      </c>
      <c r="F278" s="30">
        <v>1339</v>
      </c>
      <c r="G278" s="30">
        <f t="shared" si="55"/>
        <v>1339</v>
      </c>
      <c r="H278" s="27" t="s">
        <v>42</v>
      </c>
      <c r="I278" s="30">
        <v>114472.15</v>
      </c>
      <c r="J278" s="30" cm="1">
        <f t="array" ref="J278:K278">_xlfn.XLOOKUP(D278,'Customer Data Vlookup'!$L:$L,'Customer Data Vlookup'!$M:$N,,0)</f>
        <v>0</v>
      </c>
      <c r="K278" s="30">
        <v>1205.0999999999999</v>
      </c>
      <c r="L278" s="30">
        <f t="shared" si="56"/>
        <v>1205.0999999999999</v>
      </c>
      <c r="M278" s="30">
        <f t="shared" si="57"/>
        <v>133.90000000000009</v>
      </c>
      <c r="N278" s="56">
        <f t="shared" si="58"/>
        <v>0.10000000000000006</v>
      </c>
      <c r="O278" s="27" t="s">
        <v>482</v>
      </c>
    </row>
    <row r="279" spans="1:15" x14ac:dyDescent="0.35">
      <c r="A279" s="88">
        <v>1800013275</v>
      </c>
      <c r="B279" s="27" t="s">
        <v>5</v>
      </c>
      <c r="C279" s="28">
        <v>45936</v>
      </c>
      <c r="D279" s="29">
        <v>256779418011</v>
      </c>
      <c r="E279" s="27" t="s">
        <v>46</v>
      </c>
      <c r="F279" s="30">
        <v>930.14</v>
      </c>
      <c r="G279" s="30">
        <f t="shared" si="55"/>
        <v>930.14</v>
      </c>
      <c r="H279" s="27" t="s">
        <v>42</v>
      </c>
      <c r="I279" s="30">
        <v>82029.759999999995</v>
      </c>
      <c r="J279" s="30" cm="1">
        <f t="array" ref="J279:K279">_xlfn.XLOOKUP(D279,'Customer Data Vlookup'!$L:$L,'Customer Data Vlookup'!$M:$N,,0)</f>
        <v>0</v>
      </c>
      <c r="K279" s="30">
        <v>837.12599999999998</v>
      </c>
      <c r="L279" s="30">
        <f t="shared" si="56"/>
        <v>837.12599999999998</v>
      </c>
      <c r="M279" s="30">
        <f t="shared" si="57"/>
        <v>93.01400000000001</v>
      </c>
      <c r="N279" s="56">
        <f t="shared" si="58"/>
        <v>0.1</v>
      </c>
      <c r="O279" s="27" t="s">
        <v>484</v>
      </c>
    </row>
    <row r="280" spans="1:15" x14ac:dyDescent="0.35">
      <c r="A280" s="88">
        <v>1800013306</v>
      </c>
      <c r="B280" s="27" t="s">
        <v>5</v>
      </c>
      <c r="C280" s="28">
        <v>45935</v>
      </c>
      <c r="D280" s="29">
        <v>256779417902</v>
      </c>
      <c r="E280" s="27" t="s">
        <v>46</v>
      </c>
      <c r="F280" s="30">
        <v>28.15</v>
      </c>
      <c r="G280" s="30">
        <f t="shared" si="55"/>
        <v>28.15</v>
      </c>
      <c r="H280" s="27" t="s">
        <v>42</v>
      </c>
      <c r="I280" s="30">
        <v>2482.5700000000002</v>
      </c>
      <c r="J280" s="30" cm="1">
        <f t="array" ref="J280:K280">_xlfn.XLOOKUP(D280,'Customer Data Vlookup'!$L:$L,'Customer Data Vlookup'!$M:$N,,0)</f>
        <v>0</v>
      </c>
      <c r="K280" s="30">
        <v>27.587</v>
      </c>
      <c r="L280" s="30">
        <f t="shared" si="56"/>
        <v>27.587</v>
      </c>
      <c r="M280" s="30">
        <f t="shared" si="57"/>
        <v>0.56299999999999883</v>
      </c>
      <c r="N280" s="56">
        <f t="shared" si="58"/>
        <v>1.9999999999999959E-2</v>
      </c>
      <c r="O280" s="27" t="s">
        <v>486</v>
      </c>
    </row>
    <row r="281" spans="1:15" x14ac:dyDescent="0.35">
      <c r="A281" s="88">
        <v>1800013344</v>
      </c>
      <c r="B281" s="27" t="s">
        <v>5</v>
      </c>
      <c r="C281" s="28">
        <v>45935</v>
      </c>
      <c r="D281" s="29">
        <v>256779417940</v>
      </c>
      <c r="E281" s="27" t="s">
        <v>46</v>
      </c>
      <c r="F281" s="30">
        <v>331.5</v>
      </c>
      <c r="G281" s="30">
        <f t="shared" si="55"/>
        <v>331.5</v>
      </c>
      <c r="H281" s="27" t="s">
        <v>42</v>
      </c>
      <c r="I281" s="30">
        <v>29235.24</v>
      </c>
      <c r="J281" s="30" cm="1">
        <f t="array" ref="J281:K281">_xlfn.XLOOKUP(D281,'Customer Data Vlookup'!$L:$L,'Customer Data Vlookup'!$M:$N,,0)</f>
        <v>0</v>
      </c>
      <c r="K281" s="30">
        <v>324.87</v>
      </c>
      <c r="L281" s="30">
        <f t="shared" si="56"/>
        <v>324.87</v>
      </c>
      <c r="M281" s="30">
        <f t="shared" si="57"/>
        <v>6.6299999999999955</v>
      </c>
      <c r="N281" s="56">
        <f t="shared" si="58"/>
        <v>1.9999999999999987E-2</v>
      </c>
      <c r="O281" s="27" t="s">
        <v>488</v>
      </c>
    </row>
    <row r="282" spans="1:15" x14ac:dyDescent="0.35">
      <c r="A282" s="88">
        <v>1800013429</v>
      </c>
      <c r="B282" s="27" t="s">
        <v>5</v>
      </c>
      <c r="C282" s="28">
        <v>45935</v>
      </c>
      <c r="D282" s="29">
        <v>256779418076</v>
      </c>
      <c r="E282" s="27" t="s">
        <v>46</v>
      </c>
      <c r="F282" s="30">
        <v>136.47999999999999</v>
      </c>
      <c r="G282" s="30">
        <f t="shared" si="55"/>
        <v>136.47999999999999</v>
      </c>
      <c r="H282" s="27" t="s">
        <v>42</v>
      </c>
      <c r="I282" s="54">
        <v>12036.28</v>
      </c>
      <c r="J282" s="30" t="e" cm="1">
        <f t="array" ref="J282">_xlfn.XLOOKUP(D282,'Customer Data Vlookup'!$L:$L,'Customer Data Vlookup'!$M:$N,,0)</f>
        <v>#N/A</v>
      </c>
      <c r="K282" s="54"/>
      <c r="L282" s="54"/>
      <c r="M282" s="54"/>
      <c r="N282" s="56"/>
      <c r="O282" s="27" t="s">
        <v>490</v>
      </c>
    </row>
    <row r="283" spans="1:15" x14ac:dyDescent="0.35">
      <c r="A283" s="88">
        <v>1800013510</v>
      </c>
      <c r="B283" s="27" t="s">
        <v>5</v>
      </c>
      <c r="C283" s="28">
        <v>45935</v>
      </c>
      <c r="D283" s="29">
        <v>256779418400</v>
      </c>
      <c r="E283" s="27" t="s">
        <v>46</v>
      </c>
      <c r="F283" s="30">
        <v>293.3</v>
      </c>
      <c r="G283" s="30">
        <f t="shared" si="55"/>
        <v>293.3</v>
      </c>
      <c r="H283" s="27" t="s">
        <v>42</v>
      </c>
      <c r="I283" s="30">
        <v>25866.35</v>
      </c>
      <c r="J283" s="30" cm="1">
        <f t="array" ref="J283:K283">_xlfn.XLOOKUP(D283,'Customer Data Vlookup'!$L:$L,'Customer Data Vlookup'!$M:$N,,0)</f>
        <v>0</v>
      </c>
      <c r="K283" s="30">
        <v>287.43400000000003</v>
      </c>
      <c r="L283" s="30">
        <f t="shared" ref="L283:L284" si="59">K283-J283</f>
        <v>287.43400000000003</v>
      </c>
      <c r="M283" s="30">
        <f t="shared" ref="M283:M284" si="60">F283-L283</f>
        <v>5.8659999999999854</v>
      </c>
      <c r="N283" s="56">
        <f t="shared" ref="N283:N284" si="61">M283/F283</f>
        <v>1.9999999999999948E-2</v>
      </c>
      <c r="O283" s="27" t="s">
        <v>492</v>
      </c>
    </row>
    <row r="284" spans="1:15" x14ac:dyDescent="0.35">
      <c r="A284" s="88">
        <v>1800012474</v>
      </c>
      <c r="B284" s="27" t="s">
        <v>5</v>
      </c>
      <c r="C284" s="28">
        <v>45906</v>
      </c>
      <c r="D284" s="29">
        <v>256779417082</v>
      </c>
      <c r="E284" s="27" t="s">
        <v>46</v>
      </c>
      <c r="F284" s="30">
        <v>1664.01</v>
      </c>
      <c r="G284" s="30">
        <f t="shared" si="55"/>
        <v>1664.01</v>
      </c>
      <c r="H284" s="27" t="s">
        <v>42</v>
      </c>
      <c r="I284" s="30">
        <v>145624.72</v>
      </c>
      <c r="J284" s="30" cm="1">
        <f t="array" ref="J284:K284">_xlfn.XLOOKUP(D284,'Customer Data Vlookup'!$L:$L,'Customer Data Vlookup'!$M:$N,,0)</f>
        <v>0</v>
      </c>
      <c r="K284" s="30">
        <v>1497.6089999999999</v>
      </c>
      <c r="L284" s="30">
        <f t="shared" si="59"/>
        <v>1497.6089999999999</v>
      </c>
      <c r="M284" s="30">
        <f t="shared" si="60"/>
        <v>166.40100000000007</v>
      </c>
      <c r="N284" s="56">
        <f t="shared" si="61"/>
        <v>0.10000000000000005</v>
      </c>
      <c r="O284" s="27" t="s">
        <v>494</v>
      </c>
    </row>
    <row r="285" spans="1:15" x14ac:dyDescent="0.35">
      <c r="A285" s="88">
        <v>1800015678</v>
      </c>
      <c r="B285" s="27" t="s">
        <v>5</v>
      </c>
      <c r="C285" s="28">
        <v>46024</v>
      </c>
      <c r="D285" s="29">
        <v>256779440011</v>
      </c>
      <c r="E285" s="27" t="s">
        <v>46</v>
      </c>
      <c r="F285" s="30">
        <v>464.42</v>
      </c>
      <c r="G285" s="30">
        <f t="shared" si="55"/>
        <v>464.42</v>
      </c>
      <c r="H285" s="27" t="s">
        <v>42</v>
      </c>
      <c r="I285" s="54">
        <v>42142.93</v>
      </c>
      <c r="J285" s="30" t="e" cm="1">
        <f t="array" ref="J285">_xlfn.XLOOKUP(D285,'Customer Data Vlookup'!$L:$L,'Customer Data Vlookup'!$M:$N,,0)</f>
        <v>#N/A</v>
      </c>
      <c r="K285" s="54"/>
      <c r="L285" s="54"/>
      <c r="M285" s="54"/>
      <c r="N285" s="56"/>
      <c r="O285" s="27" t="s">
        <v>496</v>
      </c>
    </row>
    <row r="286" spans="1:15" x14ac:dyDescent="0.35">
      <c r="A286" s="88">
        <v>1800015802</v>
      </c>
      <c r="B286" s="27" t="s">
        <v>5</v>
      </c>
      <c r="C286" s="28">
        <v>46027</v>
      </c>
      <c r="D286" s="29">
        <v>256779440052</v>
      </c>
      <c r="E286" s="27" t="s">
        <v>46</v>
      </c>
      <c r="F286" s="30">
        <v>846.77</v>
      </c>
      <c r="G286" s="30">
        <f t="shared" si="55"/>
        <v>846.77</v>
      </c>
      <c r="H286" s="27" t="s">
        <v>42</v>
      </c>
      <c r="I286" s="30">
        <v>76838.570000000007</v>
      </c>
      <c r="J286" s="30" cm="1">
        <f t="array" ref="J286:K286">_xlfn.XLOOKUP(D286,'Customer Data Vlookup'!$L:$L,'Customer Data Vlookup'!$M:$N,,0)</f>
        <v>0</v>
      </c>
      <c r="K286" s="30">
        <v>822.09299999999996</v>
      </c>
      <c r="L286" s="30">
        <f t="shared" ref="L286:L287" si="62">K286-J286</f>
        <v>822.09299999999996</v>
      </c>
      <c r="M286" s="30">
        <f t="shared" ref="M286:M287" si="63">F286-L286</f>
        <v>24.677000000000021</v>
      </c>
      <c r="N286" s="56">
        <f t="shared" ref="N286:N287" si="64">M286/F286</f>
        <v>2.9142506229554686E-2</v>
      </c>
      <c r="O286" s="27" t="s">
        <v>497</v>
      </c>
    </row>
    <row r="287" spans="1:15" x14ac:dyDescent="0.35">
      <c r="A287" s="88">
        <v>1800015965</v>
      </c>
      <c r="B287" s="27" t="s">
        <v>5</v>
      </c>
      <c r="C287" s="28">
        <v>46027</v>
      </c>
      <c r="D287" s="29">
        <v>256779440081</v>
      </c>
      <c r="E287" s="27" t="s">
        <v>46</v>
      </c>
      <c r="F287" s="30">
        <v>3.45</v>
      </c>
      <c r="G287" s="30">
        <f t="shared" si="55"/>
        <v>3.45</v>
      </c>
      <c r="H287" s="27" t="s">
        <v>42</v>
      </c>
      <c r="I287" s="30">
        <v>313.06</v>
      </c>
      <c r="J287" s="30" cm="1">
        <f t="array" ref="J287:K287">_xlfn.XLOOKUP(D287,'Customer Data Vlookup'!$L:$L,'Customer Data Vlookup'!$M:$N,,0)</f>
        <v>0</v>
      </c>
      <c r="K287" s="30">
        <v>3.3809999999999998</v>
      </c>
      <c r="L287" s="30">
        <f t="shared" si="62"/>
        <v>3.3809999999999998</v>
      </c>
      <c r="M287" s="30">
        <f t="shared" si="63"/>
        <v>6.9000000000000394E-2</v>
      </c>
      <c r="N287" s="56">
        <f t="shared" si="64"/>
        <v>2.0000000000000115E-2</v>
      </c>
      <c r="O287" s="27" t="s">
        <v>499</v>
      </c>
    </row>
    <row r="288" spans="1:15" x14ac:dyDescent="0.35">
      <c r="A288" s="88">
        <v>1400002371</v>
      </c>
      <c r="B288" s="27" t="s">
        <v>7</v>
      </c>
      <c r="C288" s="28">
        <v>46029</v>
      </c>
      <c r="D288" s="29" t="s">
        <v>41</v>
      </c>
      <c r="E288" s="27" t="s">
        <v>46</v>
      </c>
      <c r="F288" s="30">
        <v>1530.78</v>
      </c>
      <c r="G288" s="30">
        <f t="shared" si="55"/>
        <v>1530.78</v>
      </c>
      <c r="H288" s="27" t="s">
        <v>42</v>
      </c>
      <c r="I288" s="30">
        <v>135000</v>
      </c>
      <c r="J288" s="30" t="e" cm="1">
        <f t="array" ref="J288">_xlfn.XLOOKUP(D288,'Customer Data Vlookup'!$L:$L,'Customer Data Vlookup'!$M:$N,,0)</f>
        <v>#N/A</v>
      </c>
      <c r="K288" s="30"/>
      <c r="L288" s="30"/>
      <c r="M288" s="30"/>
      <c r="N288" s="56"/>
      <c r="O288" s="27" t="s">
        <v>501</v>
      </c>
    </row>
    <row r="289" spans="1:15" x14ac:dyDescent="0.35">
      <c r="A289" s="88">
        <v>1400002371</v>
      </c>
      <c r="B289" s="27" t="s">
        <v>7</v>
      </c>
      <c r="C289" s="28">
        <v>46029</v>
      </c>
      <c r="D289" s="29" t="s">
        <v>41</v>
      </c>
      <c r="E289" s="27" t="s">
        <v>46</v>
      </c>
      <c r="F289" s="30">
        <v>986.48</v>
      </c>
      <c r="G289" s="30">
        <f t="shared" si="55"/>
        <v>986.48</v>
      </c>
      <c r="H289" s="27" t="s">
        <v>42</v>
      </c>
      <c r="I289" s="30">
        <v>86998.43</v>
      </c>
      <c r="J289" s="30" t="e" cm="1">
        <f t="array" ref="J289">_xlfn.XLOOKUP(D289,'Customer Data Vlookup'!$L:$L,'Customer Data Vlookup'!$M:$N,,0)</f>
        <v>#N/A</v>
      </c>
      <c r="K289" s="30"/>
      <c r="L289" s="30"/>
      <c r="M289" s="30"/>
      <c r="N289" s="56"/>
      <c r="O289" s="27" t="s">
        <v>501</v>
      </c>
    </row>
    <row r="290" spans="1:15" x14ac:dyDescent="0.35">
      <c r="A290" s="88">
        <v>1400002370</v>
      </c>
      <c r="B290" s="27" t="s">
        <v>7</v>
      </c>
      <c r="C290" s="28">
        <v>46029</v>
      </c>
      <c r="D290" s="29" t="s">
        <v>41</v>
      </c>
      <c r="E290" s="27" t="s">
        <v>46</v>
      </c>
      <c r="F290" s="30">
        <v>-1530.78</v>
      </c>
      <c r="G290" s="30">
        <f t="shared" si="55"/>
        <v>-1530.78</v>
      </c>
      <c r="H290" s="27" t="s">
        <v>42</v>
      </c>
      <c r="I290" s="30">
        <v>-135000</v>
      </c>
      <c r="J290" s="30" t="e" cm="1">
        <f t="array" ref="J290">_xlfn.XLOOKUP(D290,'Customer Data Vlookup'!$L:$L,'Customer Data Vlookup'!$M:$N,,0)</f>
        <v>#N/A</v>
      </c>
      <c r="K290" s="30"/>
      <c r="L290" s="30"/>
      <c r="M290" s="30"/>
      <c r="N290" s="56"/>
      <c r="O290" s="27" t="s">
        <v>501</v>
      </c>
    </row>
    <row r="291" spans="1:15" x14ac:dyDescent="0.35">
      <c r="A291" s="88">
        <v>1400002370</v>
      </c>
      <c r="B291" s="27" t="s">
        <v>7</v>
      </c>
      <c r="C291" s="28">
        <v>46029</v>
      </c>
      <c r="D291" s="29" t="s">
        <v>41</v>
      </c>
      <c r="E291" s="27" t="s">
        <v>46</v>
      </c>
      <c r="F291" s="30">
        <v>-986.48</v>
      </c>
      <c r="G291" s="30">
        <f t="shared" si="55"/>
        <v>-986.48</v>
      </c>
      <c r="H291" s="27" t="s">
        <v>42</v>
      </c>
      <c r="I291" s="30">
        <v>-86998.43</v>
      </c>
      <c r="J291" s="30" t="e" cm="1">
        <f t="array" ref="J291">_xlfn.XLOOKUP(D291,'Customer Data Vlookup'!$L:$L,'Customer Data Vlookup'!$M:$N,,0)</f>
        <v>#N/A</v>
      </c>
      <c r="K291" s="30"/>
      <c r="L291" s="30"/>
      <c r="M291" s="30"/>
      <c r="N291" s="56"/>
      <c r="O291" s="27" t="s">
        <v>501</v>
      </c>
    </row>
    <row r="292" spans="1:15" x14ac:dyDescent="0.35">
      <c r="A292" s="88">
        <v>1400002372</v>
      </c>
      <c r="B292" s="27" t="s">
        <v>7</v>
      </c>
      <c r="C292" s="28">
        <v>46029</v>
      </c>
      <c r="D292" s="29" t="s">
        <v>41</v>
      </c>
      <c r="E292" s="27" t="s">
        <v>46</v>
      </c>
      <c r="F292" s="30">
        <v>-1530.78</v>
      </c>
      <c r="G292" s="30">
        <f t="shared" si="55"/>
        <v>-1530.78</v>
      </c>
      <c r="H292" s="27" t="s">
        <v>42</v>
      </c>
      <c r="I292" s="30">
        <v>-135000</v>
      </c>
      <c r="J292" s="30" t="e" cm="1">
        <f t="array" ref="J292">_xlfn.XLOOKUP(D292,'Customer Data Vlookup'!$L:$L,'Customer Data Vlookup'!$M:$N,,0)</f>
        <v>#N/A</v>
      </c>
      <c r="K292" s="30"/>
      <c r="L292" s="30"/>
      <c r="M292" s="30"/>
      <c r="N292" s="56"/>
      <c r="O292" s="27" t="s">
        <v>501</v>
      </c>
    </row>
    <row r="293" spans="1:15" x14ac:dyDescent="0.35">
      <c r="A293" s="88">
        <v>1400002372</v>
      </c>
      <c r="B293" s="27" t="s">
        <v>7</v>
      </c>
      <c r="C293" s="28">
        <v>46029</v>
      </c>
      <c r="D293" s="29" t="s">
        <v>41</v>
      </c>
      <c r="E293" s="27" t="s">
        <v>46</v>
      </c>
      <c r="F293" s="30">
        <v>-986.48</v>
      </c>
      <c r="G293" s="30">
        <f t="shared" si="55"/>
        <v>-986.48</v>
      </c>
      <c r="H293" s="27" t="s">
        <v>42</v>
      </c>
      <c r="I293" s="30">
        <v>-86998.43</v>
      </c>
      <c r="J293" s="30" t="e" cm="1">
        <f t="array" ref="J293">_xlfn.XLOOKUP(D293,'Customer Data Vlookup'!$L:$L,'Customer Data Vlookup'!$M:$N,,0)</f>
        <v>#N/A</v>
      </c>
      <c r="K293" s="30"/>
      <c r="L293" s="30"/>
      <c r="M293" s="30"/>
      <c r="N293" s="56"/>
      <c r="O293" s="27" t="s">
        <v>501</v>
      </c>
    </row>
    <row r="294" spans="1:15" x14ac:dyDescent="0.35">
      <c r="A294" s="88">
        <v>1800013253</v>
      </c>
      <c r="B294" s="27" t="s">
        <v>5</v>
      </c>
      <c r="C294" s="28">
        <v>45935</v>
      </c>
      <c r="D294" s="29">
        <v>256779417873</v>
      </c>
      <c r="E294" s="27" t="s">
        <v>42</v>
      </c>
      <c r="F294" s="30">
        <v>100000</v>
      </c>
      <c r="G294" s="30">
        <f t="shared" ref="G294:G295" si="65">L294/0.9</f>
        <v>1133.911111111111</v>
      </c>
      <c r="H294" s="27" t="s">
        <v>42</v>
      </c>
      <c r="I294" s="30">
        <v>100000</v>
      </c>
      <c r="J294" s="30" cm="1">
        <f t="array" ref="J294:K294">_xlfn.XLOOKUP(D294,'Customer Data Vlookup'!$L:$L,'Customer Data Vlookup'!$M:$N,,0)</f>
        <v>0</v>
      </c>
      <c r="K294" s="30">
        <v>1020.52</v>
      </c>
      <c r="L294" s="30">
        <f t="shared" ref="L294:L297" si="66">K294-J294</f>
        <v>1020.52</v>
      </c>
      <c r="M294" s="30">
        <f t="shared" ref="M294:M295" si="67">G294-L294</f>
        <v>113.39111111111106</v>
      </c>
      <c r="N294" s="56">
        <f t="shared" ref="N294:N295" si="68">M294/G294</f>
        <v>9.9999999999999964E-2</v>
      </c>
      <c r="O294" s="27" t="s">
        <v>505</v>
      </c>
    </row>
    <row r="295" spans="1:15" x14ac:dyDescent="0.35">
      <c r="A295" s="88">
        <v>1800013254</v>
      </c>
      <c r="B295" s="27" t="s">
        <v>5</v>
      </c>
      <c r="C295" s="28">
        <v>45935</v>
      </c>
      <c r="D295" s="29">
        <v>256779417874</v>
      </c>
      <c r="E295" s="27" t="s">
        <v>42</v>
      </c>
      <c r="F295" s="30">
        <v>35000</v>
      </c>
      <c r="G295" s="30">
        <f t="shared" si="65"/>
        <v>432.14733333333328</v>
      </c>
      <c r="H295" s="27" t="s">
        <v>42</v>
      </c>
      <c r="I295" s="30">
        <v>35000</v>
      </c>
      <c r="J295" s="30" cm="1">
        <f t="array" ref="J295:K295">_xlfn.XLOOKUP(D295,'Customer Data Vlookup'!$L:$L,'Customer Data Vlookup'!$M:$N,,0)</f>
        <v>0</v>
      </c>
      <c r="K295" s="30">
        <v>388.93259999999998</v>
      </c>
      <c r="L295" s="30">
        <f t="shared" si="66"/>
        <v>388.93259999999998</v>
      </c>
      <c r="M295" s="30">
        <f t="shared" si="67"/>
        <v>43.214733333333299</v>
      </c>
      <c r="N295" s="56">
        <f t="shared" si="68"/>
        <v>9.9999999999999936E-2</v>
      </c>
      <c r="O295" s="27" t="s">
        <v>505</v>
      </c>
    </row>
    <row r="296" spans="1:15" x14ac:dyDescent="0.35">
      <c r="A296" s="88">
        <v>1800013383</v>
      </c>
      <c r="B296" s="27" t="s">
        <v>5</v>
      </c>
      <c r="C296" s="28">
        <v>45935</v>
      </c>
      <c r="D296" s="29">
        <v>256779417979</v>
      </c>
      <c r="E296" s="27" t="s">
        <v>46</v>
      </c>
      <c r="F296" s="30">
        <v>136.47999999999999</v>
      </c>
      <c r="G296" s="30">
        <f t="shared" ref="G296:G304" si="69">F296</f>
        <v>136.47999999999999</v>
      </c>
      <c r="H296" s="27" t="s">
        <v>42</v>
      </c>
      <c r="I296" s="30">
        <v>12036.28</v>
      </c>
      <c r="J296" s="30" cm="1">
        <f t="array" ref="J296:K296">_xlfn.XLOOKUP(D296,'Customer Data Vlookup'!$L:$L,'Customer Data Vlookup'!$M:$N,,0)</f>
        <v>0</v>
      </c>
      <c r="K296" s="30">
        <v>133.75040000000001</v>
      </c>
      <c r="L296" s="30">
        <f t="shared" si="66"/>
        <v>133.75040000000001</v>
      </c>
      <c r="M296" s="30">
        <f t="shared" ref="M296:M297" si="70">F296-L296</f>
        <v>2.7295999999999765</v>
      </c>
      <c r="N296" s="56">
        <f t="shared" ref="N296:N297" si="71">M296/F296</f>
        <v>1.999999999999983E-2</v>
      </c>
      <c r="O296" s="27" t="s">
        <v>490</v>
      </c>
    </row>
    <row r="297" spans="1:15" x14ac:dyDescent="0.35">
      <c r="A297" s="88">
        <v>1800013479</v>
      </c>
      <c r="B297" s="27" t="s">
        <v>5</v>
      </c>
      <c r="C297" s="28">
        <v>45935</v>
      </c>
      <c r="D297" s="29">
        <v>256779418095</v>
      </c>
      <c r="E297" s="27" t="s">
        <v>46</v>
      </c>
      <c r="F297" s="30">
        <v>850</v>
      </c>
      <c r="G297" s="30">
        <f t="shared" si="69"/>
        <v>850</v>
      </c>
      <c r="H297" s="27" t="s">
        <v>42</v>
      </c>
      <c r="I297" s="30">
        <v>74962.149999999994</v>
      </c>
      <c r="J297" s="30" cm="1">
        <f t="array" ref="J297:K297">_xlfn.XLOOKUP(D297,'Customer Data Vlookup'!$L:$L,'Customer Data Vlookup'!$M:$N,,0)</f>
        <v>0</v>
      </c>
      <c r="K297" s="30">
        <v>825</v>
      </c>
      <c r="L297" s="30">
        <f t="shared" si="66"/>
        <v>825</v>
      </c>
      <c r="M297" s="30">
        <f t="shared" si="70"/>
        <v>25</v>
      </c>
      <c r="N297" s="56">
        <f t="shared" si="71"/>
        <v>2.9411764705882353E-2</v>
      </c>
      <c r="O297" s="27" t="s">
        <v>508</v>
      </c>
    </row>
    <row r="298" spans="1:15" x14ac:dyDescent="0.35">
      <c r="A298" s="88">
        <v>1800016315</v>
      </c>
      <c r="B298" s="27" t="s">
        <v>5</v>
      </c>
      <c r="C298" s="28">
        <v>46034</v>
      </c>
      <c r="D298" s="29">
        <v>256779440168</v>
      </c>
      <c r="E298" s="27" t="s">
        <v>46</v>
      </c>
      <c r="F298" s="30">
        <v>903.23</v>
      </c>
      <c r="G298" s="30">
        <f t="shared" si="69"/>
        <v>903.23</v>
      </c>
      <c r="H298" s="27" t="s">
        <v>42</v>
      </c>
      <c r="I298" s="54">
        <v>81961.929999999993</v>
      </c>
      <c r="J298" s="30" t="e" cm="1">
        <f t="array" ref="J298">_xlfn.XLOOKUP(D298,'Customer Data Vlookup'!$L:$L,'Customer Data Vlookup'!$M:$N,,0)</f>
        <v>#N/A</v>
      </c>
      <c r="K298" s="54"/>
      <c r="L298" s="54"/>
      <c r="M298" s="54"/>
      <c r="N298" s="56"/>
      <c r="O298" s="27" t="s">
        <v>510</v>
      </c>
    </row>
    <row r="299" spans="1:15" x14ac:dyDescent="0.35">
      <c r="A299" s="88">
        <v>1800016504</v>
      </c>
      <c r="B299" s="27" t="s">
        <v>5</v>
      </c>
      <c r="C299" s="28">
        <v>46028</v>
      </c>
      <c r="D299" s="29">
        <v>256779440211</v>
      </c>
      <c r="E299" s="27" t="s">
        <v>46</v>
      </c>
      <c r="F299" s="30">
        <v>26.97</v>
      </c>
      <c r="G299" s="30">
        <f t="shared" si="69"/>
        <v>26.97</v>
      </c>
      <c r="H299" s="27" t="s">
        <v>42</v>
      </c>
      <c r="I299" s="54">
        <v>2447.34</v>
      </c>
      <c r="J299" s="30" t="e" cm="1">
        <f t="array" ref="J299">_xlfn.XLOOKUP(D299,'Customer Data Vlookup'!$L:$L,'Customer Data Vlookup'!$M:$N,,0)</f>
        <v>#N/A</v>
      </c>
      <c r="K299" s="54"/>
      <c r="L299" s="54"/>
      <c r="M299" s="54"/>
      <c r="N299" s="56"/>
      <c r="O299" s="27" t="s">
        <v>512</v>
      </c>
    </row>
    <row r="300" spans="1:15" x14ac:dyDescent="0.35">
      <c r="A300" s="88">
        <v>1800016419</v>
      </c>
      <c r="B300" s="27" t="s">
        <v>5</v>
      </c>
      <c r="C300" s="28">
        <v>46034</v>
      </c>
      <c r="D300" s="29">
        <v>256779440230</v>
      </c>
      <c r="E300" s="27" t="s">
        <v>46</v>
      </c>
      <c r="F300" s="30">
        <v>40.56</v>
      </c>
      <c r="G300" s="30">
        <f t="shared" si="69"/>
        <v>40.56</v>
      </c>
      <c r="H300" s="27" t="s">
        <v>42</v>
      </c>
      <c r="I300" s="54">
        <v>3680.54</v>
      </c>
      <c r="J300" s="30" t="e" cm="1">
        <f t="array" ref="J300">_xlfn.XLOOKUP(D300,'Customer Data Vlookup'!$L:$L,'Customer Data Vlookup'!$M:$N,,0)</f>
        <v>#N/A</v>
      </c>
      <c r="K300" s="54"/>
      <c r="L300" s="54"/>
      <c r="M300" s="54"/>
      <c r="N300" s="56"/>
      <c r="O300" s="27" t="s">
        <v>514</v>
      </c>
    </row>
    <row r="301" spans="1:15" x14ac:dyDescent="0.35">
      <c r="A301" s="88">
        <v>1800016509</v>
      </c>
      <c r="B301" s="27" t="s">
        <v>5</v>
      </c>
      <c r="C301" s="28">
        <v>46028</v>
      </c>
      <c r="D301" s="29">
        <v>256779440262</v>
      </c>
      <c r="E301" s="27" t="s">
        <v>46</v>
      </c>
      <c r="F301" s="30">
        <v>100</v>
      </c>
      <c r="G301" s="30">
        <f t="shared" si="69"/>
        <v>100</v>
      </c>
      <c r="H301" s="27" t="s">
        <v>42</v>
      </c>
      <c r="I301" s="54">
        <v>9074.31</v>
      </c>
      <c r="J301" s="30" t="e" cm="1">
        <f t="array" ref="J301">_xlfn.XLOOKUP(D301,'Customer Data Vlookup'!$L:$L,'Customer Data Vlookup'!$M:$N,,0)</f>
        <v>#N/A</v>
      </c>
      <c r="K301" s="54"/>
      <c r="L301" s="54"/>
      <c r="M301" s="54"/>
      <c r="N301" s="56"/>
      <c r="O301" s="27" t="s">
        <v>516</v>
      </c>
    </row>
    <row r="302" spans="1:15" x14ac:dyDescent="0.35">
      <c r="A302" s="88">
        <v>1800016510</v>
      </c>
      <c r="B302" s="27" t="s">
        <v>5</v>
      </c>
      <c r="C302" s="28">
        <v>46028</v>
      </c>
      <c r="D302" s="29">
        <v>256779440263</v>
      </c>
      <c r="E302" s="27" t="s">
        <v>46</v>
      </c>
      <c r="F302" s="30">
        <v>100</v>
      </c>
      <c r="G302" s="30">
        <f t="shared" si="69"/>
        <v>100</v>
      </c>
      <c r="H302" s="27" t="s">
        <v>42</v>
      </c>
      <c r="I302" s="54">
        <v>9074.31</v>
      </c>
      <c r="J302" s="30" t="e" cm="1">
        <f t="array" ref="J302">_xlfn.XLOOKUP(D302,'Customer Data Vlookup'!$L:$L,'Customer Data Vlookup'!$M:$N,,0)</f>
        <v>#N/A</v>
      </c>
      <c r="K302" s="54"/>
      <c r="L302" s="54"/>
      <c r="M302" s="54"/>
      <c r="N302" s="56"/>
      <c r="O302" s="27" t="s">
        <v>516</v>
      </c>
    </row>
    <row r="303" spans="1:15" x14ac:dyDescent="0.35">
      <c r="A303" s="88">
        <v>1800016511</v>
      </c>
      <c r="B303" s="27" t="s">
        <v>5</v>
      </c>
      <c r="C303" s="28">
        <v>46028</v>
      </c>
      <c r="D303" s="29">
        <v>256779440264</v>
      </c>
      <c r="E303" s="27" t="s">
        <v>46</v>
      </c>
      <c r="F303" s="30">
        <v>100</v>
      </c>
      <c r="G303" s="30">
        <f t="shared" si="69"/>
        <v>100</v>
      </c>
      <c r="H303" s="27" t="s">
        <v>42</v>
      </c>
      <c r="I303" s="54">
        <v>9074.31</v>
      </c>
      <c r="J303" s="30" t="e" cm="1">
        <f t="array" ref="J303">_xlfn.XLOOKUP(D303,'Customer Data Vlookup'!$L:$L,'Customer Data Vlookup'!$M:$N,,0)</f>
        <v>#N/A</v>
      </c>
      <c r="K303" s="54"/>
      <c r="L303" s="54"/>
      <c r="M303" s="54"/>
      <c r="N303" s="56"/>
      <c r="O303" s="27" t="s">
        <v>516</v>
      </c>
    </row>
    <row r="304" spans="1:15" x14ac:dyDescent="0.35">
      <c r="A304" s="88">
        <v>1800016512</v>
      </c>
      <c r="B304" s="27" t="s">
        <v>5</v>
      </c>
      <c r="C304" s="28">
        <v>46028</v>
      </c>
      <c r="D304" s="29">
        <v>256779440265</v>
      </c>
      <c r="E304" s="27" t="s">
        <v>46</v>
      </c>
      <c r="F304" s="30">
        <v>100</v>
      </c>
      <c r="G304" s="30">
        <f t="shared" si="69"/>
        <v>100</v>
      </c>
      <c r="H304" s="27" t="s">
        <v>42</v>
      </c>
      <c r="I304" s="54">
        <v>9074.31</v>
      </c>
      <c r="J304" s="30" t="e" cm="1">
        <f t="array" ref="J304">_xlfn.XLOOKUP(D304,'Customer Data Vlookup'!$L:$L,'Customer Data Vlookup'!$M:$N,,0)</f>
        <v>#N/A</v>
      </c>
      <c r="K304" s="54"/>
      <c r="L304" s="54"/>
      <c r="M304" s="54"/>
      <c r="N304" s="56"/>
      <c r="O304" s="27" t="s">
        <v>516</v>
      </c>
    </row>
    <row r="305" spans="1:15" x14ac:dyDescent="0.35">
      <c r="A305" s="88">
        <v>1800016545</v>
      </c>
      <c r="B305" s="27" t="s">
        <v>5</v>
      </c>
      <c r="C305" s="28">
        <v>46028</v>
      </c>
      <c r="D305" s="29">
        <v>256779440307</v>
      </c>
      <c r="E305" s="27" t="s">
        <v>42</v>
      </c>
      <c r="F305" s="30">
        <v>100000</v>
      </c>
      <c r="G305" s="71">
        <f>F305/87</f>
        <v>1149.4252873563219</v>
      </c>
      <c r="H305" s="27" t="s">
        <v>42</v>
      </c>
      <c r="I305" s="54">
        <v>100000</v>
      </c>
      <c r="J305" s="30" t="e" cm="1">
        <f t="array" ref="J305">_xlfn.XLOOKUP(D305,'Customer Data Vlookup'!$L:$L,'Customer Data Vlookup'!$M:$N,,0)</f>
        <v>#N/A</v>
      </c>
      <c r="K305" s="54"/>
      <c r="L305" s="54"/>
      <c r="M305" s="54"/>
      <c r="N305" s="56"/>
      <c r="O305" s="27" t="s">
        <v>521</v>
      </c>
    </row>
    <row r="306" spans="1:15" x14ac:dyDescent="0.35">
      <c r="A306" s="88">
        <v>1800016546</v>
      </c>
      <c r="B306" s="27" t="s">
        <v>5</v>
      </c>
      <c r="C306" s="28">
        <v>46028</v>
      </c>
      <c r="D306" s="29">
        <v>256779440308</v>
      </c>
      <c r="E306" s="27" t="s">
        <v>42</v>
      </c>
      <c r="F306" s="30">
        <v>35000</v>
      </c>
      <c r="G306" s="71">
        <f>F306/87</f>
        <v>402.29885057471262</v>
      </c>
      <c r="H306" s="27" t="s">
        <v>42</v>
      </c>
      <c r="I306" s="54">
        <v>35000</v>
      </c>
      <c r="J306" s="30" t="e" cm="1">
        <f t="array" ref="J306">_xlfn.XLOOKUP(D306,'Customer Data Vlookup'!$L:$L,'Customer Data Vlookup'!$M:$N,,0)</f>
        <v>#N/A</v>
      </c>
      <c r="K306" s="54"/>
      <c r="L306" s="54"/>
      <c r="M306" s="54"/>
      <c r="N306" s="56"/>
      <c r="O306" s="27" t="s">
        <v>523</v>
      </c>
    </row>
    <row r="307" spans="1:15" x14ac:dyDescent="0.35">
      <c r="A307" s="88">
        <v>1800016771</v>
      </c>
      <c r="B307" s="27" t="s">
        <v>5</v>
      </c>
      <c r="C307" s="28">
        <v>46035</v>
      </c>
      <c r="D307" s="29">
        <v>256779440358</v>
      </c>
      <c r="E307" s="27" t="s">
        <v>46</v>
      </c>
      <c r="F307" s="30">
        <v>100</v>
      </c>
      <c r="G307" s="30">
        <f t="shared" ref="G307:G317" si="72">F307</f>
        <v>100</v>
      </c>
      <c r="H307" s="27" t="s">
        <v>42</v>
      </c>
      <c r="I307" s="54">
        <v>9074.31</v>
      </c>
      <c r="J307" s="30" t="e" cm="1">
        <f t="array" ref="J307">_xlfn.XLOOKUP(D307,'Customer Data Vlookup'!$L:$L,'Customer Data Vlookup'!$M:$N,,0)</f>
        <v>#N/A</v>
      </c>
      <c r="K307" s="54"/>
      <c r="L307" s="54"/>
      <c r="M307" s="54"/>
      <c r="N307" s="56"/>
      <c r="O307" s="27" t="s">
        <v>525</v>
      </c>
    </row>
    <row r="308" spans="1:15" x14ac:dyDescent="0.35">
      <c r="A308" s="88">
        <v>1800016778</v>
      </c>
      <c r="B308" s="27" t="s">
        <v>5</v>
      </c>
      <c r="C308" s="28">
        <v>46035</v>
      </c>
      <c r="D308" s="29">
        <v>256779440365</v>
      </c>
      <c r="E308" s="27" t="s">
        <v>46</v>
      </c>
      <c r="F308" s="30">
        <v>38.229999999999997</v>
      </c>
      <c r="G308" s="30">
        <f t="shared" si="72"/>
        <v>38.229999999999997</v>
      </c>
      <c r="H308" s="27" t="s">
        <v>42</v>
      </c>
      <c r="I308" s="54">
        <v>3469.11</v>
      </c>
      <c r="J308" s="30" t="e" cm="1">
        <f t="array" ref="J308">_xlfn.XLOOKUP(D308,'Customer Data Vlookup'!$L:$L,'Customer Data Vlookup'!$M:$N,,0)</f>
        <v>#N/A</v>
      </c>
      <c r="K308" s="54"/>
      <c r="L308" s="54"/>
      <c r="M308" s="54"/>
      <c r="N308" s="56"/>
      <c r="O308" s="27" t="s">
        <v>527</v>
      </c>
    </row>
    <row r="309" spans="1:15" x14ac:dyDescent="0.35">
      <c r="A309" s="88">
        <v>1800017005</v>
      </c>
      <c r="B309" s="27" t="s">
        <v>5</v>
      </c>
      <c r="C309" s="28">
        <v>46044</v>
      </c>
      <c r="D309" s="29">
        <v>256779440395</v>
      </c>
      <c r="E309" s="27" t="s">
        <v>46</v>
      </c>
      <c r="F309" s="30">
        <v>846.77</v>
      </c>
      <c r="G309" s="30">
        <f t="shared" si="72"/>
        <v>846.77</v>
      </c>
      <c r="H309" s="27" t="s">
        <v>42</v>
      </c>
      <c r="I309" s="54">
        <v>76838.570000000007</v>
      </c>
      <c r="J309" s="30" t="e" cm="1">
        <f t="array" ref="J309">_xlfn.XLOOKUP(D309,'Customer Data Vlookup'!$L:$L,'Customer Data Vlookup'!$M:$N,,0)</f>
        <v>#N/A</v>
      </c>
      <c r="K309" s="54"/>
      <c r="L309" s="54"/>
      <c r="M309" s="54"/>
      <c r="N309" s="56"/>
      <c r="O309" s="27" t="s">
        <v>529</v>
      </c>
    </row>
    <row r="310" spans="1:15" x14ac:dyDescent="0.35">
      <c r="A310" s="88">
        <v>1800017065</v>
      </c>
      <c r="B310" s="27" t="s">
        <v>5</v>
      </c>
      <c r="C310" s="28">
        <v>46045</v>
      </c>
      <c r="D310" s="29">
        <v>256779440414</v>
      </c>
      <c r="E310" s="27" t="s">
        <v>46</v>
      </c>
      <c r="F310" s="30">
        <v>82.3</v>
      </c>
      <c r="G310" s="30">
        <f t="shared" si="72"/>
        <v>82.3</v>
      </c>
      <c r="H310" s="27" t="s">
        <v>42</v>
      </c>
      <c r="I310" s="54">
        <v>7468.16</v>
      </c>
      <c r="J310" s="30" t="e" cm="1">
        <f t="array" ref="J310">_xlfn.XLOOKUP(D310,'Customer Data Vlookup'!$L:$L,'Customer Data Vlookup'!$M:$N,,0)</f>
        <v>#N/A</v>
      </c>
      <c r="K310" s="54"/>
      <c r="L310" s="54"/>
      <c r="M310" s="54"/>
      <c r="N310" s="56"/>
      <c r="O310" s="27" t="s">
        <v>531</v>
      </c>
    </row>
    <row r="311" spans="1:15" x14ac:dyDescent="0.35">
      <c r="A311" s="88">
        <v>1800017110</v>
      </c>
      <c r="B311" s="27" t="s">
        <v>5</v>
      </c>
      <c r="C311" s="28">
        <v>46045</v>
      </c>
      <c r="D311" s="29">
        <v>256779440430</v>
      </c>
      <c r="E311" s="27" t="s">
        <v>46</v>
      </c>
      <c r="F311" s="30">
        <v>23.82</v>
      </c>
      <c r="G311" s="30">
        <f t="shared" si="72"/>
        <v>23.82</v>
      </c>
      <c r="H311" s="27" t="s">
        <v>42</v>
      </c>
      <c r="I311" s="54">
        <v>2161.5</v>
      </c>
      <c r="J311" s="30" t="e" cm="1">
        <f t="array" ref="J311">_xlfn.XLOOKUP(D311,'Customer Data Vlookup'!$L:$L,'Customer Data Vlookup'!$M:$N,,0)</f>
        <v>#N/A</v>
      </c>
      <c r="K311" s="54"/>
      <c r="L311" s="54"/>
      <c r="M311" s="54"/>
      <c r="N311" s="56"/>
      <c r="O311" s="27" t="s">
        <v>533</v>
      </c>
    </row>
    <row r="312" spans="1:15" x14ac:dyDescent="0.35">
      <c r="A312" s="88">
        <v>1800017153</v>
      </c>
      <c r="B312" s="27" t="s">
        <v>5</v>
      </c>
      <c r="C312" s="28">
        <v>46049</v>
      </c>
      <c r="D312" s="29">
        <v>256779440446</v>
      </c>
      <c r="E312" s="27" t="s">
        <v>46</v>
      </c>
      <c r="F312" s="30">
        <v>96.71</v>
      </c>
      <c r="G312" s="30">
        <f t="shared" si="72"/>
        <v>96.71</v>
      </c>
      <c r="H312" s="27" t="s">
        <v>42</v>
      </c>
      <c r="I312" s="54">
        <v>8775.77</v>
      </c>
      <c r="J312" s="30" t="e" cm="1">
        <f t="array" ref="J312">_xlfn.XLOOKUP(D312,'Customer Data Vlookup'!$L:$L,'Customer Data Vlookup'!$M:$N,,0)</f>
        <v>#N/A</v>
      </c>
      <c r="K312" s="54"/>
      <c r="L312" s="54"/>
      <c r="M312" s="54"/>
      <c r="N312" s="56"/>
      <c r="O312" s="27" t="s">
        <v>535</v>
      </c>
    </row>
    <row r="313" spans="1:15" x14ac:dyDescent="0.35">
      <c r="A313" s="88">
        <v>1600002768</v>
      </c>
      <c r="B313" s="27" t="s">
        <v>4</v>
      </c>
      <c r="C313" s="28">
        <v>46055</v>
      </c>
      <c r="D313" s="29">
        <v>256779422238</v>
      </c>
      <c r="E313" s="27" t="s">
        <v>46</v>
      </c>
      <c r="F313" s="30">
        <v>-17.48</v>
      </c>
      <c r="G313" s="30">
        <f t="shared" si="72"/>
        <v>-17.48</v>
      </c>
      <c r="H313" s="27" t="s">
        <v>42</v>
      </c>
      <c r="I313" s="30">
        <v>-1579.06</v>
      </c>
      <c r="J313" s="30" t="e" cm="1">
        <f t="array" ref="J313">_xlfn.XLOOKUP(D313,'Customer Data Vlookup'!$L:$L,'Customer Data Vlookup'!$M:$N,,0)</f>
        <v>#N/A</v>
      </c>
      <c r="K313" s="30"/>
      <c r="L313" s="30"/>
      <c r="M313" s="30"/>
      <c r="N313" s="56"/>
      <c r="O313" s="27" t="s">
        <v>537</v>
      </c>
    </row>
    <row r="314" spans="1:15" x14ac:dyDescent="0.35">
      <c r="A314" s="88">
        <v>1600002769</v>
      </c>
      <c r="B314" s="27" t="s">
        <v>4</v>
      </c>
      <c r="C314" s="28">
        <v>46055</v>
      </c>
      <c r="D314" s="29">
        <v>256779422239</v>
      </c>
      <c r="E314" s="27" t="s">
        <v>46</v>
      </c>
      <c r="F314" s="30">
        <v>-101.23</v>
      </c>
      <c r="G314" s="30">
        <f t="shared" si="72"/>
        <v>-101.23</v>
      </c>
      <c r="H314" s="27" t="s">
        <v>42</v>
      </c>
      <c r="I314" s="30">
        <v>-9144.6299999999992</v>
      </c>
      <c r="J314" s="30" t="e" cm="1">
        <f t="array" ref="J314">_xlfn.XLOOKUP(D314,'Customer Data Vlookup'!$L:$L,'Customer Data Vlookup'!$M:$N,,0)</f>
        <v>#N/A</v>
      </c>
      <c r="K314" s="30"/>
      <c r="L314" s="30"/>
      <c r="M314" s="30"/>
      <c r="N314" s="56"/>
      <c r="O314" s="27" t="s">
        <v>539</v>
      </c>
    </row>
    <row r="315" spans="1:15" x14ac:dyDescent="0.35">
      <c r="A315" s="88">
        <v>1600002770</v>
      </c>
      <c r="B315" s="27" t="s">
        <v>4</v>
      </c>
      <c r="C315" s="28">
        <v>46055</v>
      </c>
      <c r="D315" s="29">
        <v>256779422240</v>
      </c>
      <c r="E315" s="27" t="s">
        <v>46</v>
      </c>
      <c r="F315" s="30">
        <v>-303.16000000000003</v>
      </c>
      <c r="G315" s="30">
        <f t="shared" si="72"/>
        <v>-303.16000000000003</v>
      </c>
      <c r="H315" s="27" t="s">
        <v>42</v>
      </c>
      <c r="I315" s="30">
        <v>-27386.02</v>
      </c>
      <c r="J315" s="30" t="e" cm="1">
        <f t="array" ref="J315">_xlfn.XLOOKUP(D315,'Customer Data Vlookup'!$L:$L,'Customer Data Vlookup'!$M:$N,,0)</f>
        <v>#N/A</v>
      </c>
      <c r="K315" s="30"/>
      <c r="L315" s="30"/>
      <c r="M315" s="30"/>
      <c r="N315" s="56"/>
      <c r="O315" s="27" t="s">
        <v>541</v>
      </c>
    </row>
    <row r="316" spans="1:15" x14ac:dyDescent="0.35">
      <c r="A316" s="88">
        <v>1600002771</v>
      </c>
      <c r="B316" s="27" t="s">
        <v>4</v>
      </c>
      <c r="C316" s="28">
        <v>46055</v>
      </c>
      <c r="D316" s="29">
        <v>256779422241</v>
      </c>
      <c r="E316" s="27" t="s">
        <v>46</v>
      </c>
      <c r="F316" s="30">
        <v>-87.28</v>
      </c>
      <c r="G316" s="30">
        <f t="shared" si="72"/>
        <v>-87.28</v>
      </c>
      <c r="H316" s="27" t="s">
        <v>42</v>
      </c>
      <c r="I316" s="30">
        <v>-7884.46</v>
      </c>
      <c r="J316" s="30" t="e" cm="1">
        <f t="array" ref="J316">_xlfn.XLOOKUP(D316,'Customer Data Vlookup'!$L:$L,'Customer Data Vlookup'!$M:$N,,0)</f>
        <v>#N/A</v>
      </c>
      <c r="K316" s="30"/>
      <c r="L316" s="30"/>
      <c r="M316" s="30"/>
      <c r="N316" s="56"/>
      <c r="O316" s="27" t="s">
        <v>543</v>
      </c>
    </row>
    <row r="317" spans="1:15" x14ac:dyDescent="0.35">
      <c r="A317" s="88">
        <v>1800017178</v>
      </c>
      <c r="B317" s="27" t="s">
        <v>5</v>
      </c>
      <c r="C317" s="28">
        <v>46055</v>
      </c>
      <c r="D317" s="29">
        <v>256779440457</v>
      </c>
      <c r="E317" s="27" t="s">
        <v>46</v>
      </c>
      <c r="F317" s="30">
        <v>938.8</v>
      </c>
      <c r="G317" s="30">
        <f t="shared" si="72"/>
        <v>938.8</v>
      </c>
      <c r="H317" s="27" t="s">
        <v>42</v>
      </c>
      <c r="I317" s="54">
        <v>84806.69</v>
      </c>
      <c r="J317" s="30" t="e" cm="1">
        <f t="array" ref="J317">_xlfn.XLOOKUP(D317,'Customer Data Vlookup'!$L:$L,'Customer Data Vlookup'!$M:$N,,0)</f>
        <v>#N/A</v>
      </c>
      <c r="K317" s="54"/>
      <c r="L317" s="54"/>
      <c r="M317" s="54"/>
      <c r="N317" s="56"/>
      <c r="O317" s="27" t="s">
        <v>484</v>
      </c>
    </row>
    <row r="318" spans="1:15" x14ac:dyDescent="0.35">
      <c r="A318" s="1"/>
      <c r="B318" s="1"/>
      <c r="C318" s="9"/>
      <c r="D318" s="1"/>
      <c r="E318" s="1"/>
      <c r="F318" s="10"/>
      <c r="G318" s="10"/>
      <c r="H318" s="1"/>
      <c r="I318" s="10"/>
      <c r="J318" s="10"/>
      <c r="K318" s="10"/>
      <c r="L318" s="10"/>
      <c r="M318" s="10"/>
      <c r="N318" s="58"/>
      <c r="O318" s="1"/>
    </row>
    <row r="319" spans="1:15" x14ac:dyDescent="0.35">
      <c r="A319" s="11" t="s">
        <v>41</v>
      </c>
      <c r="B319" s="11" t="s">
        <v>41</v>
      </c>
      <c r="C319" s="12"/>
      <c r="D319" s="11" t="s">
        <v>41</v>
      </c>
      <c r="E319" s="11" t="s">
        <v>42</v>
      </c>
      <c r="F319" s="13">
        <v>1215000</v>
      </c>
      <c r="G319" s="13"/>
      <c r="H319" s="11" t="s">
        <v>42</v>
      </c>
      <c r="I319" s="13">
        <v>4171298.87</v>
      </c>
      <c r="J319" s="13"/>
      <c r="K319" s="13"/>
      <c r="L319" s="13"/>
      <c r="M319" s="13"/>
      <c r="N319" s="59"/>
      <c r="O319" s="11" t="s">
        <v>41</v>
      </c>
    </row>
    <row r="320" spans="1:15" x14ac:dyDescent="0.35">
      <c r="A320" s="11" t="s">
        <v>41</v>
      </c>
      <c r="B320" s="11" t="s">
        <v>41</v>
      </c>
      <c r="C320" s="12"/>
      <c r="D320" s="11" t="s">
        <v>41</v>
      </c>
      <c r="E320" s="11" t="s">
        <v>46</v>
      </c>
      <c r="F320" s="13">
        <v>11082.13</v>
      </c>
      <c r="G320" s="13"/>
      <c r="H320" s="19"/>
      <c r="I320" s="14"/>
      <c r="J320" s="14"/>
      <c r="K320" s="14"/>
      <c r="L320" s="14"/>
      <c r="M320" s="14"/>
      <c r="N320" s="59"/>
      <c r="O320" s="11" t="s">
        <v>41</v>
      </c>
    </row>
    <row r="321" spans="1:15" x14ac:dyDescent="0.35">
      <c r="A321" s="15" t="s">
        <v>41</v>
      </c>
      <c r="B321" s="15" t="s">
        <v>41</v>
      </c>
      <c r="C321" s="16"/>
      <c r="D321" s="15" t="s">
        <v>41</v>
      </c>
      <c r="E321" s="15" t="s">
        <v>42</v>
      </c>
      <c r="F321" s="17">
        <v>1215000</v>
      </c>
      <c r="G321" s="17"/>
      <c r="H321" s="15" t="s">
        <v>42</v>
      </c>
      <c r="I321" s="17">
        <v>4171298.87</v>
      </c>
      <c r="J321" s="17"/>
      <c r="K321" s="17"/>
      <c r="L321" s="17"/>
      <c r="M321" s="17"/>
      <c r="N321" s="60"/>
      <c r="O321" s="15" t="s">
        <v>41</v>
      </c>
    </row>
    <row r="322" spans="1:15" x14ac:dyDescent="0.35">
      <c r="A322" s="15" t="s">
        <v>41</v>
      </c>
      <c r="B322" s="15" t="s">
        <v>41</v>
      </c>
      <c r="C322" s="16"/>
      <c r="D322" s="15" t="s">
        <v>41</v>
      </c>
      <c r="E322" s="15" t="s">
        <v>46</v>
      </c>
      <c r="F322" s="17">
        <v>11082.13</v>
      </c>
      <c r="G322" s="17"/>
      <c r="H322" s="15" t="s">
        <v>41</v>
      </c>
      <c r="I322" s="18"/>
      <c r="J322" s="18"/>
      <c r="K322" s="18"/>
      <c r="L322" s="18"/>
      <c r="M322" s="18"/>
      <c r="N322" s="60"/>
      <c r="O322" s="15" t="s">
        <v>41</v>
      </c>
    </row>
  </sheetData>
  <autoFilter ref="A2:O317" xr:uid="{0CD0F105-8ED4-4394-BBC5-5E2F166B88D6}"/>
  <pageMargins left="0.7" right="0.7" top="0.75" bottom="0.75" header="0.3" footer="0.3"/>
  <ignoredErrors>
    <ignoredError sqref="L1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AD4B-88FD-4A81-BAF3-FDF9681FBAF8}">
  <dimension ref="A1:I25"/>
  <sheetViews>
    <sheetView workbookViewId="0">
      <selection activeCell="D32" sqref="D32"/>
    </sheetView>
  </sheetViews>
  <sheetFormatPr defaultColWidth="13.36328125" defaultRowHeight="14.5" x14ac:dyDescent="0.35"/>
  <cols>
    <col min="2" max="2" width="18.90625" customWidth="1"/>
    <col min="3" max="3" width="25.08984375" customWidth="1"/>
    <col min="4" max="4" width="15.7265625" customWidth="1"/>
    <col min="9" max="9" width="31.36328125" bestFit="1" customWidth="1"/>
  </cols>
  <sheetData>
    <row r="1" spans="1:9" ht="15" thickBot="1" x14ac:dyDescent="0.4"/>
    <row r="2" spans="1:9" ht="15" thickBot="1" x14ac:dyDescent="0.4">
      <c r="A2" s="159" t="s">
        <v>895</v>
      </c>
      <c r="B2" s="160"/>
      <c r="C2" s="160"/>
      <c r="D2" s="161"/>
      <c r="E2" s="162" t="s">
        <v>908</v>
      </c>
      <c r="F2" s="163"/>
      <c r="G2" s="163"/>
      <c r="H2" s="163"/>
      <c r="I2" s="111"/>
    </row>
    <row r="3" spans="1:9" ht="27" customHeight="1" thickBot="1" x14ac:dyDescent="0.4">
      <c r="A3" s="63" t="s">
        <v>2</v>
      </c>
      <c r="B3" s="64" t="s">
        <v>549</v>
      </c>
      <c r="C3" s="64" t="s">
        <v>550</v>
      </c>
      <c r="D3" s="107" t="s">
        <v>898</v>
      </c>
      <c r="E3" s="117" t="s">
        <v>33</v>
      </c>
      <c r="F3" s="70" t="s">
        <v>2</v>
      </c>
      <c r="G3" s="70" t="s">
        <v>35</v>
      </c>
      <c r="H3" s="70" t="s">
        <v>36</v>
      </c>
      <c r="I3" s="112"/>
    </row>
    <row r="4" spans="1:9" x14ac:dyDescent="0.35">
      <c r="A4" s="61">
        <v>45813</v>
      </c>
      <c r="B4" s="62" t="s">
        <v>660</v>
      </c>
      <c r="C4" s="62" t="s">
        <v>661</v>
      </c>
      <c r="D4" s="108">
        <v>3529.5558000000001</v>
      </c>
      <c r="E4" s="118" t="s">
        <v>7</v>
      </c>
      <c r="F4" s="65">
        <v>45832</v>
      </c>
      <c r="G4" s="66" t="s">
        <v>46</v>
      </c>
      <c r="H4" s="83">
        <v>3663.7</v>
      </c>
      <c r="I4" s="113"/>
    </row>
    <row r="5" spans="1:9" x14ac:dyDescent="0.35">
      <c r="A5" s="34">
        <v>45813</v>
      </c>
      <c r="B5" s="35" t="s">
        <v>663</v>
      </c>
      <c r="C5" s="35" t="s">
        <v>661</v>
      </c>
      <c r="D5" s="109">
        <v>3167.4751999999999</v>
      </c>
      <c r="E5" s="119" t="s">
        <v>7</v>
      </c>
      <c r="F5" s="68">
        <v>45832</v>
      </c>
      <c r="G5" s="69" t="s">
        <v>46</v>
      </c>
      <c r="H5" s="83">
        <v>3508.06</v>
      </c>
      <c r="I5" s="114"/>
    </row>
    <row r="6" spans="1:9" x14ac:dyDescent="0.35">
      <c r="A6" s="34">
        <v>45813</v>
      </c>
      <c r="B6" s="35" t="s">
        <v>665</v>
      </c>
      <c r="C6" s="35" t="s">
        <v>661</v>
      </c>
      <c r="D6" s="109">
        <v>3685.2031999999999</v>
      </c>
      <c r="E6" s="119" t="s">
        <v>7</v>
      </c>
      <c r="F6" s="68">
        <v>45832</v>
      </c>
      <c r="G6" s="69" t="s">
        <v>46</v>
      </c>
      <c r="H6" s="83">
        <v>3145.98</v>
      </c>
      <c r="I6" s="114"/>
    </row>
    <row r="7" spans="1:9" x14ac:dyDescent="0.35">
      <c r="A7" s="34">
        <v>45821</v>
      </c>
      <c r="B7" s="35" t="s">
        <v>690</v>
      </c>
      <c r="C7" s="35" t="s">
        <v>691</v>
      </c>
      <c r="D7" s="109">
        <v>12549.359399999999</v>
      </c>
      <c r="E7" s="119" t="s">
        <v>7</v>
      </c>
      <c r="F7" s="68">
        <v>45832</v>
      </c>
      <c r="G7" s="69" t="s">
        <v>46</v>
      </c>
      <c r="H7" s="83">
        <v>12549.36</v>
      </c>
      <c r="I7" s="114"/>
    </row>
    <row r="8" spans="1:9" x14ac:dyDescent="0.35">
      <c r="A8" s="34">
        <v>45821</v>
      </c>
      <c r="B8" s="35" t="s">
        <v>693</v>
      </c>
      <c r="C8" s="35" t="s">
        <v>691</v>
      </c>
      <c r="D8" s="109"/>
      <c r="E8" s="119" t="s">
        <v>7</v>
      </c>
      <c r="F8" s="68">
        <v>45832</v>
      </c>
      <c r="G8" s="69" t="s">
        <v>46</v>
      </c>
      <c r="H8" s="83">
        <v>4228.22</v>
      </c>
      <c r="I8" s="114"/>
    </row>
    <row r="9" spans="1:9" x14ac:dyDescent="0.35">
      <c r="A9" s="34">
        <v>45821</v>
      </c>
      <c r="B9" s="35" t="s">
        <v>694</v>
      </c>
      <c r="C9" s="35" t="s">
        <v>691</v>
      </c>
      <c r="D9" s="109"/>
      <c r="E9" s="120" t="s">
        <v>7</v>
      </c>
      <c r="F9" s="52">
        <v>45887</v>
      </c>
      <c r="G9" s="51" t="s">
        <v>46</v>
      </c>
      <c r="H9" s="23">
        <v>700.45</v>
      </c>
      <c r="I9" s="115"/>
    </row>
    <row r="10" spans="1:9" x14ac:dyDescent="0.35">
      <c r="A10" s="34">
        <v>45821</v>
      </c>
      <c r="B10" s="35" t="s">
        <v>693</v>
      </c>
      <c r="C10" s="35" t="s">
        <v>691</v>
      </c>
      <c r="D10" s="109">
        <v>4127.9549999999999</v>
      </c>
      <c r="E10" s="120" t="s">
        <v>7</v>
      </c>
      <c r="F10" s="52">
        <v>45887</v>
      </c>
      <c r="G10" s="51" t="s">
        <v>46</v>
      </c>
      <c r="H10" s="23">
        <v>4437.8999999999996</v>
      </c>
      <c r="I10" s="115"/>
    </row>
    <row r="11" spans="1:9" x14ac:dyDescent="0.35">
      <c r="A11" s="34">
        <v>45821</v>
      </c>
      <c r="B11" s="35" t="s">
        <v>697</v>
      </c>
      <c r="C11" s="35" t="s">
        <v>691</v>
      </c>
      <c r="D11" s="109">
        <v>3.4007999999999998</v>
      </c>
      <c r="E11" s="120" t="s">
        <v>7</v>
      </c>
      <c r="F11" s="52">
        <v>45888</v>
      </c>
      <c r="G11" s="51" t="s">
        <v>46</v>
      </c>
      <c r="H11" s="23">
        <v>1102.02</v>
      </c>
      <c r="I11" s="115"/>
    </row>
    <row r="12" spans="1:9" x14ac:dyDescent="0.35">
      <c r="A12" s="34">
        <v>45821</v>
      </c>
      <c r="B12" s="35" t="s">
        <v>698</v>
      </c>
      <c r="C12" s="35" t="s">
        <v>691</v>
      </c>
      <c r="D12" s="109">
        <v>-4127.9549999999999</v>
      </c>
      <c r="E12" s="119" t="s">
        <v>7</v>
      </c>
      <c r="F12" s="68">
        <v>45890</v>
      </c>
      <c r="G12" s="69" t="s">
        <v>46</v>
      </c>
      <c r="H12" s="83">
        <v>3777.49</v>
      </c>
      <c r="I12" s="115"/>
    </row>
    <row r="13" spans="1:9" x14ac:dyDescent="0.35">
      <c r="A13" s="34">
        <v>45821</v>
      </c>
      <c r="B13" s="35" t="s">
        <v>693</v>
      </c>
      <c r="C13" s="35" t="s">
        <v>691</v>
      </c>
      <c r="D13" s="109">
        <v>4224.8172000000004</v>
      </c>
      <c r="E13" s="119" t="s">
        <v>7</v>
      </c>
      <c r="F13" s="68">
        <v>46029</v>
      </c>
      <c r="G13" s="69" t="s">
        <v>46</v>
      </c>
      <c r="H13" s="83">
        <v>986.48</v>
      </c>
      <c r="I13" s="115"/>
    </row>
    <row r="14" spans="1:9" x14ac:dyDescent="0.35">
      <c r="A14" s="34">
        <v>45856</v>
      </c>
      <c r="B14" s="35" t="s">
        <v>714</v>
      </c>
      <c r="C14" s="35" t="s">
        <v>715</v>
      </c>
      <c r="D14" s="109">
        <v>3742.0477999999998</v>
      </c>
      <c r="E14" s="119" t="s">
        <v>7</v>
      </c>
      <c r="F14" s="68">
        <v>45924</v>
      </c>
      <c r="G14" s="69" t="s">
        <v>46</v>
      </c>
      <c r="H14" s="83">
        <v>2932.84</v>
      </c>
      <c r="I14" s="115"/>
    </row>
    <row r="15" spans="1:9" x14ac:dyDescent="0.35">
      <c r="A15" s="34">
        <v>45876</v>
      </c>
      <c r="B15" s="35" t="s">
        <v>762</v>
      </c>
      <c r="C15" s="35" t="s">
        <v>715</v>
      </c>
      <c r="D15" s="109">
        <v>1007.818</v>
      </c>
      <c r="E15" s="119"/>
      <c r="F15" s="68"/>
      <c r="G15" s="69"/>
      <c r="H15" s="83">
        <v>0</v>
      </c>
      <c r="I15" s="115"/>
    </row>
    <row r="16" spans="1:9" x14ac:dyDescent="0.35">
      <c r="A16" s="34">
        <v>45877</v>
      </c>
      <c r="B16" s="35" t="s">
        <v>764</v>
      </c>
      <c r="C16" s="35" t="s">
        <v>715</v>
      </c>
      <c r="D16" s="109">
        <v>4800.3365999999996</v>
      </c>
      <c r="E16" s="119" t="s">
        <v>7</v>
      </c>
      <c r="F16" s="68">
        <v>45931</v>
      </c>
      <c r="G16" s="69" t="s">
        <v>46</v>
      </c>
      <c r="H16" s="83">
        <v>4719.25</v>
      </c>
      <c r="I16" s="115"/>
    </row>
    <row r="17" spans="1:9" x14ac:dyDescent="0.35">
      <c r="A17" s="34">
        <v>45910</v>
      </c>
      <c r="B17" s="35" t="s">
        <v>781</v>
      </c>
      <c r="C17" s="35" t="s">
        <v>715</v>
      </c>
      <c r="D17" s="109">
        <v>2954.3362000000002</v>
      </c>
      <c r="E17" s="119" t="s">
        <v>7</v>
      </c>
      <c r="F17" s="68">
        <v>45964</v>
      </c>
      <c r="G17" s="69" t="s">
        <v>46</v>
      </c>
      <c r="H17" s="83">
        <v>1731.27</v>
      </c>
      <c r="I17" s="115"/>
    </row>
    <row r="18" spans="1:9" x14ac:dyDescent="0.35">
      <c r="A18" s="34">
        <v>45910</v>
      </c>
      <c r="B18" s="35" t="s">
        <v>783</v>
      </c>
      <c r="C18" s="35" t="s">
        <v>715</v>
      </c>
      <c r="D18" s="109">
        <v>4740.7700000000004</v>
      </c>
      <c r="E18" s="119" t="s">
        <v>7</v>
      </c>
      <c r="F18" s="67">
        <v>45972</v>
      </c>
      <c r="G18" s="67" t="s">
        <v>46</v>
      </c>
      <c r="H18" s="83">
        <v>1968.44</v>
      </c>
      <c r="I18" s="115"/>
    </row>
    <row r="19" spans="1:9" x14ac:dyDescent="0.35">
      <c r="A19" s="34">
        <v>45916</v>
      </c>
      <c r="B19" s="35" t="s">
        <v>785</v>
      </c>
      <c r="C19" s="35" t="s">
        <v>715</v>
      </c>
      <c r="D19" s="109">
        <v>5041.5600000000004</v>
      </c>
      <c r="E19" s="119" t="s">
        <v>7</v>
      </c>
      <c r="F19" s="68">
        <v>45972</v>
      </c>
      <c r="G19" s="69" t="s">
        <v>46</v>
      </c>
      <c r="H19" s="83">
        <v>8339.84</v>
      </c>
      <c r="I19" s="115"/>
    </row>
    <row r="20" spans="1:9" x14ac:dyDescent="0.35">
      <c r="A20" s="34">
        <v>45916</v>
      </c>
      <c r="B20" s="35" t="s">
        <v>787</v>
      </c>
      <c r="C20" s="35" t="s">
        <v>715</v>
      </c>
      <c r="D20" s="109">
        <v>3327.768</v>
      </c>
      <c r="E20" s="119" t="s">
        <v>7</v>
      </c>
      <c r="F20" s="68">
        <v>45972</v>
      </c>
      <c r="G20" s="69" t="s">
        <v>46</v>
      </c>
      <c r="H20" s="83">
        <v>10455.66</v>
      </c>
      <c r="I20" s="115"/>
    </row>
    <row r="21" spans="1:9" x14ac:dyDescent="0.35">
      <c r="A21" s="34">
        <v>45959</v>
      </c>
      <c r="B21" s="35" t="s">
        <v>840</v>
      </c>
      <c r="C21" s="35" t="s">
        <v>715</v>
      </c>
      <c r="D21" s="109">
        <v>1752.7655999999999</v>
      </c>
      <c r="E21" s="119"/>
      <c r="F21" s="68"/>
      <c r="G21" s="69"/>
      <c r="H21" s="83">
        <v>0</v>
      </c>
      <c r="I21" s="115"/>
    </row>
    <row r="22" spans="1:9" x14ac:dyDescent="0.35">
      <c r="A22" s="34">
        <v>45961</v>
      </c>
      <c r="B22" s="35" t="s">
        <v>847</v>
      </c>
      <c r="C22" s="35" t="s">
        <v>715</v>
      </c>
      <c r="D22" s="109">
        <v>1989.9404</v>
      </c>
      <c r="E22" s="119"/>
      <c r="F22" s="68"/>
      <c r="G22" s="69"/>
      <c r="H22" s="83">
        <v>0</v>
      </c>
      <c r="I22" s="115"/>
    </row>
    <row r="23" spans="1:9" x14ac:dyDescent="0.35">
      <c r="A23" s="34">
        <v>45961</v>
      </c>
      <c r="B23" s="35" t="s">
        <v>849</v>
      </c>
      <c r="C23" s="35" t="s">
        <v>715</v>
      </c>
      <c r="D23" s="109">
        <v>10502.1628</v>
      </c>
      <c r="E23" s="120" t="s">
        <v>7</v>
      </c>
      <c r="F23" s="52">
        <v>46029</v>
      </c>
      <c r="G23" s="51" t="s">
        <v>46</v>
      </c>
      <c r="H23" s="23">
        <v>1530.78</v>
      </c>
      <c r="I23" s="115"/>
    </row>
    <row r="24" spans="1:9" ht="15" thickBot="1" x14ac:dyDescent="0.4">
      <c r="A24" s="36">
        <v>46022</v>
      </c>
      <c r="B24" s="37" t="s">
        <v>885</v>
      </c>
      <c r="C24" s="37" t="s">
        <v>886</v>
      </c>
      <c r="D24" s="110">
        <v>2368.203</v>
      </c>
      <c r="E24" s="121"/>
      <c r="F24" s="122"/>
      <c r="G24" s="122"/>
      <c r="H24" s="122">
        <v>0</v>
      </c>
      <c r="I24" s="116"/>
    </row>
    <row r="25" spans="1:9" x14ac:dyDescent="0.35">
      <c r="D25" s="5">
        <f>SUM(D4:D24)</f>
        <v>69387.51999999999</v>
      </c>
      <c r="H25" s="72">
        <f>SUM(H4:H24)</f>
        <v>69777.740000000005</v>
      </c>
      <c r="I25" s="5">
        <f>D25-H25</f>
        <v>-390.22000000001572</v>
      </c>
    </row>
  </sheetData>
  <autoFilter ref="A3:D23" xr:uid="{9CDFAD4B-88FD-4A81-BAF3-FDF9681FBAF8}">
    <sortState xmlns:xlrd2="http://schemas.microsoft.com/office/spreadsheetml/2017/richdata2" ref="A4:D23">
      <sortCondition ref="A3:A23"/>
    </sortState>
  </autoFilter>
  <mergeCells count="2">
    <mergeCell ref="A2:D2"/>
    <mergeCell ref="E2:H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CE86-3F2A-4660-BA64-570124D2C066}">
  <dimension ref="A1:O4"/>
  <sheetViews>
    <sheetView zoomScaleNormal="100" workbookViewId="0">
      <selection activeCell="F2" sqref="F2"/>
    </sheetView>
  </sheetViews>
  <sheetFormatPr defaultRowHeight="14.5" x14ac:dyDescent="0.35"/>
  <cols>
    <col min="1" max="1" width="16.81640625" bestFit="1" customWidth="1"/>
    <col min="2" max="2" width="10.54296875" customWidth="1"/>
    <col min="3" max="3" width="13.90625" bestFit="1" customWidth="1"/>
    <col min="4" max="4" width="12.90625" bestFit="1" customWidth="1"/>
    <col min="5" max="5" width="9.453125" bestFit="1" customWidth="1"/>
    <col min="6" max="6" width="11" customWidth="1"/>
    <col min="7" max="7" width="6.36328125" bestFit="1" customWidth="1"/>
    <col min="8" max="8" width="8.7265625" style="20"/>
    <col min="9" max="9" width="8.81640625" bestFit="1" customWidth="1"/>
    <col min="10" max="10" width="8.08984375" style="33" bestFit="1" customWidth="1"/>
    <col min="11" max="11" width="7.81640625" style="20" bestFit="1" customWidth="1"/>
    <col min="12" max="12" width="7.81640625" bestFit="1" customWidth="1"/>
    <col min="13" max="13" width="8.453125" bestFit="1" customWidth="1"/>
    <col min="14" max="14" width="5.90625" bestFit="1" customWidth="1"/>
    <col min="15" max="15" width="41.6328125" bestFit="1" customWidth="1"/>
  </cols>
  <sheetData>
    <row r="1" spans="1:15" s="100" customFormat="1" ht="58" x14ac:dyDescent="0.35">
      <c r="A1" s="98" t="s">
        <v>32</v>
      </c>
      <c r="B1" s="98" t="s">
        <v>33</v>
      </c>
      <c r="C1" s="98" t="s">
        <v>2</v>
      </c>
      <c r="D1" s="98" t="s">
        <v>34</v>
      </c>
      <c r="E1" s="98" t="s">
        <v>35</v>
      </c>
      <c r="F1" s="98" t="s">
        <v>36</v>
      </c>
      <c r="G1" s="98" t="s">
        <v>914</v>
      </c>
      <c r="H1" s="98" t="s">
        <v>37</v>
      </c>
      <c r="I1" s="98" t="s">
        <v>38</v>
      </c>
      <c r="J1" s="98" t="s">
        <v>545</v>
      </c>
      <c r="K1" s="98" t="s">
        <v>905</v>
      </c>
      <c r="L1" s="98" t="s">
        <v>906</v>
      </c>
      <c r="M1" s="98" t="s">
        <v>909</v>
      </c>
      <c r="N1" s="98" t="s">
        <v>907</v>
      </c>
      <c r="O1" s="99" t="s">
        <v>39</v>
      </c>
    </row>
    <row r="2" spans="1:15" x14ac:dyDescent="0.35">
      <c r="A2" s="92">
        <v>1800001581</v>
      </c>
      <c r="B2" s="93" t="s">
        <v>5</v>
      </c>
      <c r="C2" s="94">
        <v>45730</v>
      </c>
      <c r="D2" s="95">
        <v>246779412238</v>
      </c>
      <c r="E2" s="93" t="s">
        <v>46</v>
      </c>
      <c r="F2" s="96">
        <v>945.75</v>
      </c>
      <c r="G2" s="96">
        <v>945.75</v>
      </c>
      <c r="H2" s="93" t="s">
        <v>42</v>
      </c>
      <c r="I2" s="96">
        <v>81988.259999999995</v>
      </c>
      <c r="J2" s="96">
        <v>0</v>
      </c>
      <c r="K2" s="96">
        <v>0</v>
      </c>
      <c r="L2" s="96">
        <v>0</v>
      </c>
      <c r="M2" s="96">
        <v>945.75</v>
      </c>
      <c r="N2" s="97">
        <v>1</v>
      </c>
      <c r="O2" s="93" t="s">
        <v>193</v>
      </c>
    </row>
    <row r="3" spans="1:15" x14ac:dyDescent="0.35">
      <c r="A3" s="92">
        <v>1800000282</v>
      </c>
      <c r="B3" s="93" t="s">
        <v>5</v>
      </c>
      <c r="C3" s="94">
        <v>45708</v>
      </c>
      <c r="D3" s="95">
        <v>246779410209</v>
      </c>
      <c r="E3" s="93" t="s">
        <v>46</v>
      </c>
      <c r="F3" s="96">
        <v>408.31</v>
      </c>
      <c r="G3" s="96">
        <v>408.31</v>
      </c>
      <c r="H3" s="93" t="s">
        <v>42</v>
      </c>
      <c r="I3" s="96">
        <v>35238.65</v>
      </c>
      <c r="J3" s="96">
        <v>0</v>
      </c>
      <c r="K3" s="96">
        <v>1450.0748000000001</v>
      </c>
      <c r="L3" s="96">
        <v>1450.0748000000001</v>
      </c>
      <c r="M3" s="96">
        <v>-1041.7648000000002</v>
      </c>
      <c r="N3" s="97">
        <v>-2.5514065293526982</v>
      </c>
      <c r="O3" s="93" t="s">
        <v>362</v>
      </c>
    </row>
    <row r="4" spans="1:15" x14ac:dyDescent="0.35">
      <c r="M4" s="72">
        <f>SUM(M2:M3)</f>
        <v>-96.01480000000015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3B5D-C00A-453C-8CEB-D3BA6E895D22}">
  <dimension ref="A1:K38"/>
  <sheetViews>
    <sheetView workbookViewId="0">
      <selection activeCell="I1" sqref="I1"/>
    </sheetView>
  </sheetViews>
  <sheetFormatPr defaultRowHeight="14.5" x14ac:dyDescent="0.35"/>
  <cols>
    <col min="1" max="1" width="16.81640625" bestFit="1" customWidth="1"/>
    <col min="2" max="2" width="11.26953125" customWidth="1"/>
    <col min="3" max="3" width="13.90625" bestFit="1" customWidth="1"/>
    <col min="4" max="4" width="12.90625" bestFit="1" customWidth="1"/>
    <col min="5" max="5" width="12.6328125" customWidth="1"/>
    <col min="6" max="6" width="13.90625" customWidth="1"/>
    <col min="7" max="7" width="10.36328125" bestFit="1" customWidth="1"/>
    <col min="8" max="8" width="13.36328125" customWidth="1"/>
    <col min="9" max="9" width="16.36328125" customWidth="1"/>
    <col min="10" max="10" width="44.26953125" bestFit="1" customWidth="1"/>
  </cols>
  <sheetData>
    <row r="1" spans="1:11" x14ac:dyDescent="0.35">
      <c r="G1" s="3">
        <f>SUBTOTAL(9,G3:G38)</f>
        <v>23952.404137931037</v>
      </c>
      <c r="H1" s="3">
        <f>'CN not in Customer Books'!G21</f>
        <v>-16429.039999999997</v>
      </c>
      <c r="I1" s="3">
        <f>G1+H1</f>
        <v>7523.3641379310393</v>
      </c>
    </row>
    <row r="2" spans="1:11" ht="30" customHeight="1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7" t="s">
        <v>39</v>
      </c>
    </row>
    <row r="3" spans="1:11" x14ac:dyDescent="0.35">
      <c r="A3" s="88">
        <v>1800009967</v>
      </c>
      <c r="B3" s="27" t="s">
        <v>5</v>
      </c>
      <c r="C3" s="28">
        <v>45827</v>
      </c>
      <c r="D3" s="29">
        <v>256779414731</v>
      </c>
      <c r="E3" s="27" t="s">
        <v>46</v>
      </c>
      <c r="F3" s="30">
        <v>100</v>
      </c>
      <c r="G3" s="30">
        <v>100</v>
      </c>
      <c r="H3" s="27" t="s">
        <v>42</v>
      </c>
      <c r="I3" s="54">
        <v>8549.08</v>
      </c>
      <c r="J3" s="27" t="s">
        <v>108</v>
      </c>
      <c r="K3" t="e">
        <f>_xlfn.XLOOKUP(D3,'CN not in Customer Books'!$K:$K,'CN not in Customer Books'!$G:$G,,0)</f>
        <v>#N/A</v>
      </c>
    </row>
    <row r="4" spans="1:11" x14ac:dyDescent="0.35">
      <c r="A4" s="88">
        <v>1800009968</v>
      </c>
      <c r="B4" s="27" t="s">
        <v>5</v>
      </c>
      <c r="C4" s="28">
        <v>45827</v>
      </c>
      <c r="D4" s="29">
        <v>256779414732</v>
      </c>
      <c r="E4" s="27" t="s">
        <v>46</v>
      </c>
      <c r="F4" s="30">
        <v>100</v>
      </c>
      <c r="G4" s="30">
        <v>100</v>
      </c>
      <c r="H4" s="27" t="s">
        <v>42</v>
      </c>
      <c r="I4" s="54">
        <v>8549.08</v>
      </c>
      <c r="J4" s="27" t="s">
        <v>108</v>
      </c>
      <c r="K4" t="e">
        <f>_xlfn.XLOOKUP(D4,'CN not in Customer Books'!$K:$K,'CN not in Customer Books'!$G:$G,,0)</f>
        <v>#N/A</v>
      </c>
    </row>
    <row r="5" spans="1:11" x14ac:dyDescent="0.35">
      <c r="A5" s="88">
        <v>1800009969</v>
      </c>
      <c r="B5" s="27" t="s">
        <v>5</v>
      </c>
      <c r="C5" s="28">
        <v>45827</v>
      </c>
      <c r="D5" s="29">
        <v>256779414733</v>
      </c>
      <c r="E5" s="27" t="s">
        <v>46</v>
      </c>
      <c r="F5" s="30">
        <v>100</v>
      </c>
      <c r="G5" s="30">
        <v>100</v>
      </c>
      <c r="H5" s="27" t="s">
        <v>42</v>
      </c>
      <c r="I5" s="54">
        <v>8549.08</v>
      </c>
      <c r="J5" s="27" t="s">
        <v>108</v>
      </c>
      <c r="K5" t="e">
        <f>_xlfn.XLOOKUP(D5,'CN not in Customer Books'!$K:$K,'CN not in Customer Books'!$G:$G,,0)</f>
        <v>#N/A</v>
      </c>
    </row>
    <row r="6" spans="1:11" x14ac:dyDescent="0.35">
      <c r="A6" s="88">
        <v>1800009970</v>
      </c>
      <c r="B6" s="27" t="s">
        <v>5</v>
      </c>
      <c r="C6" s="28">
        <v>45827</v>
      </c>
      <c r="D6" s="29">
        <v>256779414734</v>
      </c>
      <c r="E6" s="27" t="s">
        <v>46</v>
      </c>
      <c r="F6" s="30">
        <v>100</v>
      </c>
      <c r="G6" s="30">
        <v>100</v>
      </c>
      <c r="H6" s="27" t="s">
        <v>42</v>
      </c>
      <c r="I6" s="54">
        <v>8549.08</v>
      </c>
      <c r="J6" s="27" t="s">
        <v>108</v>
      </c>
      <c r="K6" t="e">
        <f>_xlfn.XLOOKUP(D6,'CN not in Customer Books'!$K:$K,'CN not in Customer Books'!$G:$G,,0)</f>
        <v>#N/A</v>
      </c>
    </row>
    <row r="7" spans="1:11" x14ac:dyDescent="0.35">
      <c r="A7" s="88">
        <v>1800013748</v>
      </c>
      <c r="B7" s="27" t="s">
        <v>5</v>
      </c>
      <c r="C7" s="28">
        <v>45937</v>
      </c>
      <c r="D7" s="29">
        <v>256779418169</v>
      </c>
      <c r="E7" s="27" t="s">
        <v>46</v>
      </c>
      <c r="F7" s="30">
        <v>100</v>
      </c>
      <c r="G7" s="30">
        <v>100</v>
      </c>
      <c r="H7" s="27" t="s">
        <v>42</v>
      </c>
      <c r="I7" s="54">
        <v>8819.08</v>
      </c>
      <c r="J7" s="27" t="s">
        <v>116</v>
      </c>
      <c r="K7" t="e">
        <f>_xlfn.XLOOKUP(D7,'CN not in Customer Books'!$K:$K,'CN not in Customer Books'!$G:$G,,0)</f>
        <v>#N/A</v>
      </c>
    </row>
    <row r="8" spans="1:11" x14ac:dyDescent="0.35">
      <c r="A8" s="88">
        <v>1800000374</v>
      </c>
      <c r="B8" s="27" t="s">
        <v>5</v>
      </c>
      <c r="C8" s="28">
        <v>45716</v>
      </c>
      <c r="D8" s="29">
        <v>246779410343</v>
      </c>
      <c r="E8" s="27" t="s">
        <v>46</v>
      </c>
      <c r="F8" s="30">
        <v>1700</v>
      </c>
      <c r="G8" s="30">
        <v>1700</v>
      </c>
      <c r="H8" s="27" t="s">
        <v>42</v>
      </c>
      <c r="I8" s="54">
        <v>146716.22</v>
      </c>
      <c r="J8" s="27" t="s">
        <v>119</v>
      </c>
      <c r="K8" t="e">
        <f>_xlfn.XLOOKUP(D8,'CN not in Customer Books'!$K:$K,'CN not in Customer Books'!$G:$G,,0)</f>
        <v>#N/A</v>
      </c>
    </row>
    <row r="9" spans="1:11" x14ac:dyDescent="0.35">
      <c r="A9" s="88">
        <v>1800000381</v>
      </c>
      <c r="B9" s="27" t="s">
        <v>5</v>
      </c>
      <c r="C9" s="28">
        <v>45716</v>
      </c>
      <c r="D9" s="29">
        <v>246779410350</v>
      </c>
      <c r="E9" s="27" t="s">
        <v>46</v>
      </c>
      <c r="F9" s="30">
        <v>1750</v>
      </c>
      <c r="G9" s="30">
        <v>1750</v>
      </c>
      <c r="H9" s="27" t="s">
        <v>42</v>
      </c>
      <c r="I9" s="54">
        <v>151031.41</v>
      </c>
      <c r="J9" s="27" t="s">
        <v>119</v>
      </c>
      <c r="K9" t="e">
        <f>_xlfn.XLOOKUP(D9,'CN not in Customer Books'!$K:$K,'CN not in Customer Books'!$G:$G,,0)</f>
        <v>#N/A</v>
      </c>
    </row>
    <row r="10" spans="1:11" x14ac:dyDescent="0.35">
      <c r="A10" s="88">
        <v>1800000387</v>
      </c>
      <c r="B10" s="27" t="s">
        <v>5</v>
      </c>
      <c r="C10" s="28">
        <v>45716</v>
      </c>
      <c r="D10" s="29">
        <v>246779410356</v>
      </c>
      <c r="E10" s="27" t="s">
        <v>46</v>
      </c>
      <c r="F10" s="30">
        <v>1750</v>
      </c>
      <c r="G10" s="30">
        <v>1750</v>
      </c>
      <c r="H10" s="27" t="s">
        <v>42</v>
      </c>
      <c r="I10" s="54">
        <v>151031.41</v>
      </c>
      <c r="J10" s="27" t="s">
        <v>119</v>
      </c>
      <c r="K10" t="e">
        <f>_xlfn.XLOOKUP(D10,'CN not in Customer Books'!$K:$K,'CN not in Customer Books'!$G:$G,,0)</f>
        <v>#N/A</v>
      </c>
    </row>
    <row r="11" spans="1:11" x14ac:dyDescent="0.35">
      <c r="A11" s="88">
        <v>1800000393</v>
      </c>
      <c r="B11" s="27" t="s">
        <v>5</v>
      </c>
      <c r="C11" s="28">
        <v>45716</v>
      </c>
      <c r="D11" s="29">
        <v>246779410362</v>
      </c>
      <c r="E11" s="27" t="s">
        <v>46</v>
      </c>
      <c r="F11" s="30">
        <v>1700</v>
      </c>
      <c r="G11" s="30">
        <v>1700</v>
      </c>
      <c r="H11" s="27" t="s">
        <v>42</v>
      </c>
      <c r="I11" s="54">
        <v>146716.22</v>
      </c>
      <c r="J11" s="27" t="s">
        <v>119</v>
      </c>
      <c r="K11" t="e">
        <f>_xlfn.XLOOKUP(D11,'CN not in Customer Books'!$K:$K,'CN not in Customer Books'!$G:$G,,0)</f>
        <v>#N/A</v>
      </c>
    </row>
    <row r="12" spans="1:11" x14ac:dyDescent="0.35">
      <c r="A12" s="88">
        <v>1800011800</v>
      </c>
      <c r="B12" s="27" t="s">
        <v>5</v>
      </c>
      <c r="C12" s="28">
        <v>45877</v>
      </c>
      <c r="D12" s="29">
        <v>256779416103</v>
      </c>
      <c r="E12" s="27" t="s">
        <v>46</v>
      </c>
      <c r="F12" s="30">
        <v>50</v>
      </c>
      <c r="G12" s="30">
        <v>50</v>
      </c>
      <c r="H12" s="27" t="s">
        <v>42</v>
      </c>
      <c r="I12" s="54">
        <v>4301.51</v>
      </c>
      <c r="J12" s="27" t="s">
        <v>265</v>
      </c>
      <c r="K12" t="e">
        <f>_xlfn.XLOOKUP(D12,'CN not in Customer Books'!$K:$K,'CN not in Customer Books'!$G:$G,,0)</f>
        <v>#N/A</v>
      </c>
    </row>
    <row r="13" spans="1:11" x14ac:dyDescent="0.35">
      <c r="A13" s="88">
        <v>1800011042</v>
      </c>
      <c r="B13" s="27" t="s">
        <v>5</v>
      </c>
      <c r="C13" s="28">
        <v>45856</v>
      </c>
      <c r="D13" s="29">
        <v>256779415802</v>
      </c>
      <c r="E13" s="27" t="s">
        <v>46</v>
      </c>
      <c r="F13" s="30">
        <v>860.97</v>
      </c>
      <c r="G13" s="30">
        <v>860.97</v>
      </c>
      <c r="H13" s="27" t="s">
        <v>42</v>
      </c>
      <c r="I13" s="54">
        <v>74044</v>
      </c>
      <c r="J13" s="27" t="s">
        <v>297</v>
      </c>
      <c r="K13" t="e">
        <f>_xlfn.XLOOKUP(D13,'CN not in Customer Books'!$K:$K,'CN not in Customer Books'!$G:$G,,0)</f>
        <v>#N/A</v>
      </c>
    </row>
    <row r="14" spans="1:11" x14ac:dyDescent="0.35">
      <c r="A14" s="88">
        <v>1800005020</v>
      </c>
      <c r="B14" s="27" t="s">
        <v>5</v>
      </c>
      <c r="C14" s="28">
        <v>45736</v>
      </c>
      <c r="D14" s="29">
        <v>246779414888</v>
      </c>
      <c r="E14" s="27" t="s">
        <v>46</v>
      </c>
      <c r="F14" s="30">
        <v>10.91</v>
      </c>
      <c r="G14" s="30">
        <v>10.91</v>
      </c>
      <c r="H14" s="27" t="s">
        <v>42</v>
      </c>
      <c r="I14" s="54">
        <v>945.8</v>
      </c>
      <c r="J14" s="27" t="s">
        <v>336</v>
      </c>
      <c r="K14" t="e">
        <f>_xlfn.XLOOKUP(D14,'CN not in Customer Books'!$K:$K,'CN not in Customer Books'!$G:$G,,0)</f>
        <v>#N/A</v>
      </c>
    </row>
    <row r="15" spans="1:11" x14ac:dyDescent="0.35">
      <c r="A15" s="88">
        <v>1800000256</v>
      </c>
      <c r="B15" s="27" t="s">
        <v>5</v>
      </c>
      <c r="C15" s="28">
        <v>45708</v>
      </c>
      <c r="D15" s="29">
        <v>246779410183</v>
      </c>
      <c r="E15" s="27" t="s">
        <v>46</v>
      </c>
      <c r="F15" s="30">
        <v>1166.5899999999999</v>
      </c>
      <c r="G15" s="30">
        <v>1166.5899999999999</v>
      </c>
      <c r="H15" s="27" t="s">
        <v>42</v>
      </c>
      <c r="I15" s="54">
        <v>100680.99</v>
      </c>
      <c r="J15" s="27" t="s">
        <v>361</v>
      </c>
      <c r="K15" t="e">
        <f>_xlfn.XLOOKUP(D15,'CN not in Customer Books'!$K:$K,'CN not in Customer Books'!$G:$G,,0)</f>
        <v>#N/A</v>
      </c>
    </row>
    <row r="16" spans="1:11" x14ac:dyDescent="0.35">
      <c r="A16" s="88">
        <v>1800011380</v>
      </c>
      <c r="B16" s="27" t="s">
        <v>5</v>
      </c>
      <c r="C16" s="28">
        <v>45873</v>
      </c>
      <c r="D16" s="29">
        <v>256779416064</v>
      </c>
      <c r="E16" s="27" t="s">
        <v>46</v>
      </c>
      <c r="F16" s="30">
        <v>2006</v>
      </c>
      <c r="G16" s="30">
        <v>2006</v>
      </c>
      <c r="H16" s="27" t="s">
        <v>42</v>
      </c>
      <c r="I16" s="54">
        <v>172517.34</v>
      </c>
      <c r="J16" s="27" t="s">
        <v>386</v>
      </c>
      <c r="K16" t="e">
        <f>_xlfn.XLOOKUP(D16,'CN not in Customer Books'!$K:$K,'CN not in Customer Books'!$G:$G,,0)</f>
        <v>#N/A</v>
      </c>
    </row>
    <row r="17" spans="1:11" x14ac:dyDescent="0.35">
      <c r="A17" s="88">
        <v>1800011381</v>
      </c>
      <c r="B17" s="27" t="s">
        <v>5</v>
      </c>
      <c r="C17" s="28">
        <v>45873</v>
      </c>
      <c r="D17" s="29">
        <v>256779416065</v>
      </c>
      <c r="E17" s="27" t="s">
        <v>46</v>
      </c>
      <c r="F17" s="30">
        <v>2065</v>
      </c>
      <c r="G17" s="30">
        <v>2065</v>
      </c>
      <c r="H17" s="27" t="s">
        <v>42</v>
      </c>
      <c r="I17" s="54">
        <v>177591.38</v>
      </c>
      <c r="J17" s="27" t="s">
        <v>388</v>
      </c>
      <c r="K17" t="e">
        <f>_xlfn.XLOOKUP(D17,'CN not in Customer Books'!$K:$K,'CN not in Customer Books'!$G:$G,,0)</f>
        <v>#N/A</v>
      </c>
    </row>
    <row r="18" spans="1:11" x14ac:dyDescent="0.35">
      <c r="A18" s="88">
        <v>1800011382</v>
      </c>
      <c r="B18" s="27" t="s">
        <v>5</v>
      </c>
      <c r="C18" s="28">
        <v>45873</v>
      </c>
      <c r="D18" s="29">
        <v>256779416066</v>
      </c>
      <c r="E18" s="27" t="s">
        <v>46</v>
      </c>
      <c r="F18" s="30">
        <v>2006</v>
      </c>
      <c r="G18" s="30">
        <v>2006</v>
      </c>
      <c r="H18" s="27" t="s">
        <v>42</v>
      </c>
      <c r="I18" s="54">
        <v>172517.34</v>
      </c>
      <c r="J18" s="27" t="s">
        <v>390</v>
      </c>
      <c r="K18" t="e">
        <f>_xlfn.XLOOKUP(D18,'CN not in Customer Books'!$K:$K,'CN not in Customer Books'!$G:$G,,0)</f>
        <v>#N/A</v>
      </c>
    </row>
    <row r="19" spans="1:11" x14ac:dyDescent="0.35">
      <c r="A19" s="88">
        <v>1800011383</v>
      </c>
      <c r="B19" s="27" t="s">
        <v>5</v>
      </c>
      <c r="C19" s="28">
        <v>45873</v>
      </c>
      <c r="D19" s="29">
        <v>256779416067</v>
      </c>
      <c r="E19" s="27" t="s">
        <v>46</v>
      </c>
      <c r="F19" s="30">
        <v>2065</v>
      </c>
      <c r="G19" s="30">
        <v>2065</v>
      </c>
      <c r="H19" s="27" t="s">
        <v>42</v>
      </c>
      <c r="I19" s="54">
        <v>177591.38</v>
      </c>
      <c r="J19" s="27" t="s">
        <v>392</v>
      </c>
      <c r="K19" t="e">
        <f>_xlfn.XLOOKUP(D19,'CN not in Customer Books'!$K:$K,'CN not in Customer Books'!$G:$G,,0)</f>
        <v>#N/A</v>
      </c>
    </row>
    <row r="20" spans="1:11" x14ac:dyDescent="0.35">
      <c r="A20" s="88">
        <v>1800005364</v>
      </c>
      <c r="B20" s="27" t="s">
        <v>5</v>
      </c>
      <c r="C20" s="28">
        <v>45750</v>
      </c>
      <c r="D20" s="29">
        <v>256779410256</v>
      </c>
      <c r="E20" s="27" t="s">
        <v>46</v>
      </c>
      <c r="F20" s="30">
        <v>408.31</v>
      </c>
      <c r="G20" s="30">
        <v>408.31</v>
      </c>
      <c r="H20" s="27" t="s">
        <v>42</v>
      </c>
      <c r="I20" s="54">
        <v>35491.050000000003</v>
      </c>
      <c r="J20" s="27" t="s">
        <v>362</v>
      </c>
      <c r="K20" t="e">
        <f>_xlfn.XLOOKUP(D20,'CN not in Customer Books'!$K:$K,'CN not in Customer Books'!$G:$G,,0)</f>
        <v>#N/A</v>
      </c>
    </row>
    <row r="21" spans="1:11" x14ac:dyDescent="0.35">
      <c r="A21" s="88">
        <v>1800005405</v>
      </c>
      <c r="B21" s="27" t="s">
        <v>5</v>
      </c>
      <c r="C21" s="28">
        <v>45750</v>
      </c>
      <c r="D21" s="29">
        <v>256779410297</v>
      </c>
      <c r="E21" s="27" t="s">
        <v>46</v>
      </c>
      <c r="F21" s="30">
        <v>400.09</v>
      </c>
      <c r="G21" s="30">
        <v>400.09</v>
      </c>
      <c r="H21" s="27" t="s">
        <v>42</v>
      </c>
      <c r="I21" s="54">
        <v>34776.550000000003</v>
      </c>
      <c r="J21" s="27" t="s">
        <v>366</v>
      </c>
      <c r="K21" t="e">
        <f>_xlfn.XLOOKUP(D21,'CN not in Customer Books'!$K:$K,'CN not in Customer Books'!$G:$G,,0)</f>
        <v>#N/A</v>
      </c>
    </row>
    <row r="22" spans="1:11" x14ac:dyDescent="0.35">
      <c r="A22" s="88">
        <v>1800015678</v>
      </c>
      <c r="B22" s="27" t="s">
        <v>5</v>
      </c>
      <c r="C22" s="28">
        <v>46024</v>
      </c>
      <c r="D22" s="29">
        <v>256779440011</v>
      </c>
      <c r="E22" s="27" t="s">
        <v>46</v>
      </c>
      <c r="F22" s="30">
        <v>464.42</v>
      </c>
      <c r="G22" s="30">
        <v>464.42</v>
      </c>
      <c r="H22" s="27" t="s">
        <v>42</v>
      </c>
      <c r="I22" s="54">
        <v>42142.93</v>
      </c>
      <c r="J22" s="27" t="s">
        <v>496</v>
      </c>
      <c r="K22" t="e">
        <f>_xlfn.XLOOKUP(D22,'CN not in Customer Books'!$K:$K,'CN not in Customer Books'!$G:$G,,0)</f>
        <v>#N/A</v>
      </c>
    </row>
    <row r="23" spans="1:11" x14ac:dyDescent="0.35">
      <c r="A23" s="88">
        <v>1800016315</v>
      </c>
      <c r="B23" s="27" t="s">
        <v>5</v>
      </c>
      <c r="C23" s="28">
        <v>46034</v>
      </c>
      <c r="D23" s="29">
        <v>256779440168</v>
      </c>
      <c r="E23" s="27" t="s">
        <v>46</v>
      </c>
      <c r="F23" s="30">
        <v>903.23</v>
      </c>
      <c r="G23" s="30">
        <v>903.23</v>
      </c>
      <c r="H23" s="27" t="s">
        <v>42</v>
      </c>
      <c r="I23" s="54">
        <v>81961.929999999993</v>
      </c>
      <c r="J23" s="27" t="s">
        <v>510</v>
      </c>
      <c r="K23" t="e">
        <f>_xlfn.XLOOKUP(D23,'CN not in Customer Books'!$K:$K,'CN not in Customer Books'!$G:$G,,0)</f>
        <v>#N/A</v>
      </c>
    </row>
    <row r="24" spans="1:11" x14ac:dyDescent="0.35">
      <c r="A24" s="88">
        <v>1800016504</v>
      </c>
      <c r="B24" s="27" t="s">
        <v>5</v>
      </c>
      <c r="C24" s="28">
        <v>46028</v>
      </c>
      <c r="D24" s="29">
        <v>256779440211</v>
      </c>
      <c r="E24" s="27" t="s">
        <v>46</v>
      </c>
      <c r="F24" s="30">
        <v>26.97</v>
      </c>
      <c r="G24" s="30">
        <v>26.97</v>
      </c>
      <c r="H24" s="27" t="s">
        <v>42</v>
      </c>
      <c r="I24" s="54">
        <v>2447.34</v>
      </c>
      <c r="J24" s="27" t="s">
        <v>512</v>
      </c>
      <c r="K24" t="e">
        <f>_xlfn.XLOOKUP(D24,'CN not in Customer Books'!$K:$K,'CN not in Customer Books'!$G:$G,,0)</f>
        <v>#N/A</v>
      </c>
    </row>
    <row r="25" spans="1:11" x14ac:dyDescent="0.35">
      <c r="A25" s="88">
        <v>1800016419</v>
      </c>
      <c r="B25" s="27" t="s">
        <v>5</v>
      </c>
      <c r="C25" s="28">
        <v>46034</v>
      </c>
      <c r="D25" s="29">
        <v>256779440230</v>
      </c>
      <c r="E25" s="27" t="s">
        <v>46</v>
      </c>
      <c r="F25" s="30">
        <v>40.56</v>
      </c>
      <c r="G25" s="30">
        <v>40.56</v>
      </c>
      <c r="H25" s="27" t="s">
        <v>42</v>
      </c>
      <c r="I25" s="54">
        <v>3680.54</v>
      </c>
      <c r="J25" s="27" t="s">
        <v>514</v>
      </c>
      <c r="K25" t="e">
        <f>_xlfn.XLOOKUP(D25,'CN not in Customer Books'!$K:$K,'CN not in Customer Books'!$G:$G,,0)</f>
        <v>#N/A</v>
      </c>
    </row>
    <row r="26" spans="1:11" x14ac:dyDescent="0.35">
      <c r="A26" s="88">
        <v>1800016509</v>
      </c>
      <c r="B26" s="27" t="s">
        <v>5</v>
      </c>
      <c r="C26" s="28">
        <v>46028</v>
      </c>
      <c r="D26" s="29">
        <v>256779440262</v>
      </c>
      <c r="E26" s="27" t="s">
        <v>46</v>
      </c>
      <c r="F26" s="30">
        <v>100</v>
      </c>
      <c r="G26" s="30">
        <v>100</v>
      </c>
      <c r="H26" s="27" t="s">
        <v>42</v>
      </c>
      <c r="I26" s="54">
        <v>9074.31</v>
      </c>
      <c r="J26" s="27" t="s">
        <v>516</v>
      </c>
      <c r="K26" t="e">
        <f>_xlfn.XLOOKUP(D26,'CN not in Customer Books'!$K:$K,'CN not in Customer Books'!$G:$G,,0)</f>
        <v>#N/A</v>
      </c>
    </row>
    <row r="27" spans="1:11" x14ac:dyDescent="0.35">
      <c r="A27" s="88">
        <v>1800016510</v>
      </c>
      <c r="B27" s="27" t="s">
        <v>5</v>
      </c>
      <c r="C27" s="28">
        <v>46028</v>
      </c>
      <c r="D27" s="29">
        <v>256779440263</v>
      </c>
      <c r="E27" s="27" t="s">
        <v>46</v>
      </c>
      <c r="F27" s="30">
        <v>100</v>
      </c>
      <c r="G27" s="30">
        <v>100</v>
      </c>
      <c r="H27" s="27" t="s">
        <v>42</v>
      </c>
      <c r="I27" s="54">
        <v>9074.31</v>
      </c>
      <c r="J27" s="27" t="s">
        <v>516</v>
      </c>
      <c r="K27" t="e">
        <f>_xlfn.XLOOKUP(D27,'CN not in Customer Books'!$K:$K,'CN not in Customer Books'!$G:$G,,0)</f>
        <v>#N/A</v>
      </c>
    </row>
    <row r="28" spans="1:11" x14ac:dyDescent="0.35">
      <c r="A28" s="88">
        <v>1800016511</v>
      </c>
      <c r="B28" s="27" t="s">
        <v>5</v>
      </c>
      <c r="C28" s="28">
        <v>46028</v>
      </c>
      <c r="D28" s="29">
        <v>256779440264</v>
      </c>
      <c r="E28" s="27" t="s">
        <v>46</v>
      </c>
      <c r="F28" s="30">
        <v>100</v>
      </c>
      <c r="G28" s="30">
        <v>100</v>
      </c>
      <c r="H28" s="27" t="s">
        <v>42</v>
      </c>
      <c r="I28" s="54">
        <v>9074.31</v>
      </c>
      <c r="J28" s="27" t="s">
        <v>516</v>
      </c>
      <c r="K28" t="e">
        <f>_xlfn.XLOOKUP(D28,'CN not in Customer Books'!$K:$K,'CN not in Customer Books'!$G:$G,,0)</f>
        <v>#N/A</v>
      </c>
    </row>
    <row r="29" spans="1:11" x14ac:dyDescent="0.35">
      <c r="A29" s="88">
        <v>1800016512</v>
      </c>
      <c r="B29" s="27" t="s">
        <v>5</v>
      </c>
      <c r="C29" s="28">
        <v>46028</v>
      </c>
      <c r="D29" s="29">
        <v>256779440265</v>
      </c>
      <c r="E29" s="27" t="s">
        <v>46</v>
      </c>
      <c r="F29" s="30">
        <v>100</v>
      </c>
      <c r="G29" s="30">
        <v>100</v>
      </c>
      <c r="H29" s="27" t="s">
        <v>42</v>
      </c>
      <c r="I29" s="54">
        <v>9074.31</v>
      </c>
      <c r="J29" s="27" t="s">
        <v>516</v>
      </c>
      <c r="K29" t="e">
        <f>_xlfn.XLOOKUP(D29,'CN not in Customer Books'!$K:$K,'CN not in Customer Books'!$G:$G,,0)</f>
        <v>#N/A</v>
      </c>
    </row>
    <row r="30" spans="1:11" x14ac:dyDescent="0.35">
      <c r="A30" s="88">
        <v>1800016545</v>
      </c>
      <c r="B30" s="27" t="s">
        <v>5</v>
      </c>
      <c r="C30" s="28">
        <v>46028</v>
      </c>
      <c r="D30" s="29">
        <v>256779440307</v>
      </c>
      <c r="E30" s="27" t="s">
        <v>42</v>
      </c>
      <c r="F30" s="30">
        <v>100000</v>
      </c>
      <c r="G30" s="71">
        <v>1149.4252873563219</v>
      </c>
      <c r="H30" s="27" t="s">
        <v>42</v>
      </c>
      <c r="I30" s="54">
        <v>100000</v>
      </c>
      <c r="J30" s="27" t="s">
        <v>521</v>
      </c>
      <c r="K30" t="e">
        <f>_xlfn.XLOOKUP(D30,'CN not in Customer Books'!$K:$K,'CN not in Customer Books'!$G:$G,,0)</f>
        <v>#N/A</v>
      </c>
    </row>
    <row r="31" spans="1:11" x14ac:dyDescent="0.35">
      <c r="A31" s="88">
        <v>1800016546</v>
      </c>
      <c r="B31" s="27" t="s">
        <v>5</v>
      </c>
      <c r="C31" s="28">
        <v>46028</v>
      </c>
      <c r="D31" s="29">
        <v>256779440308</v>
      </c>
      <c r="E31" s="27" t="s">
        <v>42</v>
      </c>
      <c r="F31" s="30">
        <v>35000</v>
      </c>
      <c r="G31" s="71">
        <v>402.29885057471262</v>
      </c>
      <c r="H31" s="27" t="s">
        <v>42</v>
      </c>
      <c r="I31" s="54">
        <v>35000</v>
      </c>
      <c r="J31" s="27" t="s">
        <v>523</v>
      </c>
      <c r="K31" t="e">
        <f>_xlfn.XLOOKUP(D31,'CN not in Customer Books'!$K:$K,'CN not in Customer Books'!$G:$G,,0)</f>
        <v>#N/A</v>
      </c>
    </row>
    <row r="32" spans="1:11" x14ac:dyDescent="0.35">
      <c r="A32" s="88">
        <v>1800016771</v>
      </c>
      <c r="B32" s="27" t="s">
        <v>5</v>
      </c>
      <c r="C32" s="28">
        <v>46035</v>
      </c>
      <c r="D32" s="29">
        <v>256779440358</v>
      </c>
      <c r="E32" s="27" t="s">
        <v>46</v>
      </c>
      <c r="F32" s="30">
        <v>100</v>
      </c>
      <c r="G32" s="30">
        <v>100</v>
      </c>
      <c r="H32" s="27" t="s">
        <v>42</v>
      </c>
      <c r="I32" s="54">
        <v>9074.31</v>
      </c>
      <c r="J32" s="27" t="s">
        <v>525</v>
      </c>
      <c r="K32" t="e">
        <f>_xlfn.XLOOKUP(D32,'CN not in Customer Books'!$K:$K,'CN not in Customer Books'!$G:$G,,0)</f>
        <v>#N/A</v>
      </c>
    </row>
    <row r="33" spans="1:11" x14ac:dyDescent="0.35">
      <c r="A33" s="88">
        <v>1800016778</v>
      </c>
      <c r="B33" s="27" t="s">
        <v>5</v>
      </c>
      <c r="C33" s="28">
        <v>46035</v>
      </c>
      <c r="D33" s="29">
        <v>256779440365</v>
      </c>
      <c r="E33" s="27" t="s">
        <v>46</v>
      </c>
      <c r="F33" s="30">
        <v>38.229999999999997</v>
      </c>
      <c r="G33" s="30">
        <v>38.229999999999997</v>
      </c>
      <c r="H33" s="27" t="s">
        <v>42</v>
      </c>
      <c r="I33" s="54">
        <v>3469.11</v>
      </c>
      <c r="J33" s="27" t="s">
        <v>527</v>
      </c>
      <c r="K33" t="e">
        <f>_xlfn.XLOOKUP(D33,'CN not in Customer Books'!$K:$K,'CN not in Customer Books'!$G:$G,,0)</f>
        <v>#N/A</v>
      </c>
    </row>
    <row r="34" spans="1:11" x14ac:dyDescent="0.35">
      <c r="A34" s="88">
        <v>1800017005</v>
      </c>
      <c r="B34" s="27" t="s">
        <v>5</v>
      </c>
      <c r="C34" s="28">
        <v>46044</v>
      </c>
      <c r="D34" s="29">
        <v>256779440395</v>
      </c>
      <c r="E34" s="27" t="s">
        <v>46</v>
      </c>
      <c r="F34" s="30">
        <v>846.77</v>
      </c>
      <c r="G34" s="30">
        <v>846.77</v>
      </c>
      <c r="H34" s="27" t="s">
        <v>42</v>
      </c>
      <c r="I34" s="54">
        <v>76838.570000000007</v>
      </c>
      <c r="J34" s="27" t="s">
        <v>529</v>
      </c>
      <c r="K34" t="e">
        <f>_xlfn.XLOOKUP(D34,'CN not in Customer Books'!$K:$K,'CN not in Customer Books'!$G:$G,,0)</f>
        <v>#N/A</v>
      </c>
    </row>
    <row r="35" spans="1:11" x14ac:dyDescent="0.35">
      <c r="A35" s="88">
        <v>1800017065</v>
      </c>
      <c r="B35" s="27" t="s">
        <v>5</v>
      </c>
      <c r="C35" s="28">
        <v>46045</v>
      </c>
      <c r="D35" s="29">
        <v>256779440414</v>
      </c>
      <c r="E35" s="27" t="s">
        <v>46</v>
      </c>
      <c r="F35" s="30">
        <v>82.3</v>
      </c>
      <c r="G35" s="30">
        <v>82.3</v>
      </c>
      <c r="H35" s="27" t="s">
        <v>42</v>
      </c>
      <c r="I35" s="54">
        <v>7468.16</v>
      </c>
      <c r="J35" s="27" t="s">
        <v>531</v>
      </c>
      <c r="K35" t="e">
        <f>_xlfn.XLOOKUP(D35,'CN not in Customer Books'!$K:$K,'CN not in Customer Books'!$G:$G,,0)</f>
        <v>#N/A</v>
      </c>
    </row>
    <row r="36" spans="1:11" x14ac:dyDescent="0.35">
      <c r="A36" s="88">
        <v>1800017110</v>
      </c>
      <c r="B36" s="27" t="s">
        <v>5</v>
      </c>
      <c r="C36" s="28">
        <v>46045</v>
      </c>
      <c r="D36" s="29">
        <v>256779440430</v>
      </c>
      <c r="E36" s="27" t="s">
        <v>46</v>
      </c>
      <c r="F36" s="30">
        <v>23.82</v>
      </c>
      <c r="G36" s="30">
        <v>23.82</v>
      </c>
      <c r="H36" s="27" t="s">
        <v>42</v>
      </c>
      <c r="I36" s="54">
        <v>2161.5</v>
      </c>
      <c r="J36" s="27" t="s">
        <v>533</v>
      </c>
      <c r="K36" t="e">
        <f>_xlfn.XLOOKUP(D36,'CN not in Customer Books'!$K:$K,'CN not in Customer Books'!$G:$G,,0)</f>
        <v>#N/A</v>
      </c>
    </row>
    <row r="37" spans="1:11" x14ac:dyDescent="0.35">
      <c r="A37" s="88">
        <v>1800017153</v>
      </c>
      <c r="B37" s="27" t="s">
        <v>5</v>
      </c>
      <c r="C37" s="28">
        <v>46049</v>
      </c>
      <c r="D37" s="29">
        <v>256779440446</v>
      </c>
      <c r="E37" s="27" t="s">
        <v>46</v>
      </c>
      <c r="F37" s="30">
        <v>96.71</v>
      </c>
      <c r="G37" s="30">
        <v>96.71</v>
      </c>
      <c r="H37" s="27" t="s">
        <v>42</v>
      </c>
      <c r="I37" s="54">
        <v>8775.77</v>
      </c>
      <c r="J37" s="27" t="s">
        <v>535</v>
      </c>
      <c r="K37" t="e">
        <f>_xlfn.XLOOKUP(D37,'CN not in Customer Books'!$K:$K,'CN not in Customer Books'!$G:$G,,0)</f>
        <v>#N/A</v>
      </c>
    </row>
    <row r="38" spans="1:11" x14ac:dyDescent="0.35">
      <c r="A38" s="88">
        <v>1800017178</v>
      </c>
      <c r="B38" s="27" t="s">
        <v>5</v>
      </c>
      <c r="C38" s="28">
        <v>46055</v>
      </c>
      <c r="D38" s="29">
        <v>256779440457</v>
      </c>
      <c r="E38" s="27" t="s">
        <v>46</v>
      </c>
      <c r="F38" s="30">
        <v>938.8</v>
      </c>
      <c r="G38" s="30">
        <v>938.8</v>
      </c>
      <c r="H38" s="27" t="s">
        <v>42</v>
      </c>
      <c r="I38" s="54">
        <v>84806.69</v>
      </c>
      <c r="J38" s="27" t="s">
        <v>484</v>
      </c>
      <c r="K38" t="e">
        <f>_xlfn.XLOOKUP(D38,'CN not in Customer Books'!$K:$K,'CN not in Customer Books'!$G:$G,,0)</f>
        <v>#N/A</v>
      </c>
    </row>
  </sheetData>
  <autoFilter ref="A2:K38" xr:uid="{87D63B5D-C00A-453C-8CEB-D3BA6E895D2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C543-F710-4A4F-A344-2FC842995164}">
  <dimension ref="A2:L22"/>
  <sheetViews>
    <sheetView workbookViewId="0">
      <selection activeCell="K8" sqref="K8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8.26953125" bestFit="1" customWidth="1"/>
    <col min="6" max="7" width="9.453125" bestFit="1" customWidth="1"/>
    <col min="9" max="9" width="10.90625" bestFit="1" customWidth="1"/>
    <col min="10" max="10" width="39.54296875" style="47" bestFit="1" customWidth="1"/>
    <col min="11" max="12" width="12.90625" style="47" bestFit="1" customWidth="1"/>
    <col min="13" max="14" width="15.453125" style="47" bestFit="1" customWidth="1"/>
    <col min="15" max="16384" width="8.7265625" style="47"/>
  </cols>
  <sheetData>
    <row r="2" spans="1:12" ht="58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7" t="s">
        <v>39</v>
      </c>
    </row>
    <row r="3" spans="1:12" x14ac:dyDescent="0.35">
      <c r="A3" s="88">
        <v>1600002439</v>
      </c>
      <c r="B3" s="27" t="s">
        <v>4</v>
      </c>
      <c r="C3" s="28">
        <v>45943</v>
      </c>
      <c r="D3" s="29">
        <v>256779421983</v>
      </c>
      <c r="E3" s="27" t="s">
        <v>46</v>
      </c>
      <c r="F3" s="30">
        <v>-930.14</v>
      </c>
      <c r="G3" s="30">
        <v>-930.14</v>
      </c>
      <c r="H3" s="27" t="s">
        <v>42</v>
      </c>
      <c r="I3" s="30">
        <v>-82029.759999999995</v>
      </c>
      <c r="J3" s="27" t="s">
        <v>128</v>
      </c>
      <c r="K3" s="102">
        <v>256779418011</v>
      </c>
      <c r="L3" s="102" t="e">
        <f>_xlfn.XLOOKUP(K3,'Invoice not in Customer books'!$D:$D,'Invoice not in Customer books'!$G:$G,,0)</f>
        <v>#N/A</v>
      </c>
    </row>
    <row r="4" spans="1:12" x14ac:dyDescent="0.35">
      <c r="A4" s="88">
        <v>1600002212</v>
      </c>
      <c r="B4" s="27" t="s">
        <v>4</v>
      </c>
      <c r="C4" s="28">
        <v>45904</v>
      </c>
      <c r="D4" s="29">
        <v>256779421767</v>
      </c>
      <c r="E4" s="27" t="s">
        <v>46</v>
      </c>
      <c r="F4" s="30">
        <v>-60</v>
      </c>
      <c r="G4" s="30">
        <v>-60</v>
      </c>
      <c r="H4" s="27" t="s">
        <v>42</v>
      </c>
      <c r="I4" s="30">
        <v>-5250.86</v>
      </c>
      <c r="J4" s="27" t="s">
        <v>213</v>
      </c>
      <c r="K4" s="102">
        <v>256779417178</v>
      </c>
      <c r="L4" s="102" t="e">
        <f>_xlfn.XLOOKUP(K4,'Invoice not in Customer books'!$D:$D,'Invoice not in Customer books'!$G:$G,,0)</f>
        <v>#N/A</v>
      </c>
    </row>
    <row r="5" spans="1:12" x14ac:dyDescent="0.35">
      <c r="A5" s="88">
        <v>1600002213</v>
      </c>
      <c r="B5" s="27" t="s">
        <v>4</v>
      </c>
      <c r="C5" s="28">
        <v>45904</v>
      </c>
      <c r="D5" s="29">
        <v>256779421768</v>
      </c>
      <c r="E5" s="27" t="s">
        <v>46</v>
      </c>
      <c r="F5" s="30">
        <v>-60</v>
      </c>
      <c r="G5" s="30">
        <v>-60</v>
      </c>
      <c r="H5" s="27" t="s">
        <v>42</v>
      </c>
      <c r="I5" s="30">
        <v>-5250.86</v>
      </c>
      <c r="J5" s="27" t="s">
        <v>215</v>
      </c>
      <c r="K5" s="102">
        <v>256779417179</v>
      </c>
      <c r="L5" s="102" t="e">
        <f>_xlfn.XLOOKUP(K5,'Invoice not in Customer books'!$D:$D,'Invoice not in Customer books'!$G:$G,,0)</f>
        <v>#N/A</v>
      </c>
    </row>
    <row r="6" spans="1:12" x14ac:dyDescent="0.35">
      <c r="A6" s="88">
        <v>1600002214</v>
      </c>
      <c r="B6" s="27" t="s">
        <v>4</v>
      </c>
      <c r="C6" s="28">
        <v>45904</v>
      </c>
      <c r="D6" s="29">
        <v>256779421769</v>
      </c>
      <c r="E6" s="27" t="s">
        <v>46</v>
      </c>
      <c r="F6" s="30">
        <v>-62</v>
      </c>
      <c r="G6" s="30">
        <v>-62</v>
      </c>
      <c r="H6" s="27" t="s">
        <v>42</v>
      </c>
      <c r="I6" s="30">
        <v>-5425.89</v>
      </c>
      <c r="J6" s="27" t="s">
        <v>217</v>
      </c>
      <c r="K6" s="102">
        <v>256779417180</v>
      </c>
      <c r="L6" s="102" t="e">
        <f>_xlfn.XLOOKUP(K6,'Invoice not in Customer books'!$D:$D,'Invoice not in Customer books'!$G:$G,,0)</f>
        <v>#N/A</v>
      </c>
    </row>
    <row r="7" spans="1:12" x14ac:dyDescent="0.35">
      <c r="A7" s="88">
        <v>1600002215</v>
      </c>
      <c r="B7" s="27" t="s">
        <v>4</v>
      </c>
      <c r="C7" s="28">
        <v>45904</v>
      </c>
      <c r="D7" s="29">
        <v>256779421770</v>
      </c>
      <c r="E7" s="27" t="s">
        <v>46</v>
      </c>
      <c r="F7" s="30">
        <v>-62</v>
      </c>
      <c r="G7" s="30">
        <v>-62</v>
      </c>
      <c r="H7" s="27" t="s">
        <v>42</v>
      </c>
      <c r="I7" s="30">
        <v>-5425.89</v>
      </c>
      <c r="J7" s="27" t="s">
        <v>219</v>
      </c>
      <c r="K7" s="102">
        <v>256779417181</v>
      </c>
      <c r="L7" s="102" t="e">
        <f>_xlfn.XLOOKUP(K7,'Invoice not in Customer books'!$D:$D,'Invoice not in Customer books'!$G:$G,,0)</f>
        <v>#N/A</v>
      </c>
    </row>
    <row r="8" spans="1:12" x14ac:dyDescent="0.35">
      <c r="A8" s="88">
        <v>1600001539</v>
      </c>
      <c r="B8" s="27" t="s">
        <v>4</v>
      </c>
      <c r="C8" s="28">
        <v>45842</v>
      </c>
      <c r="D8" s="29">
        <v>256779421172</v>
      </c>
      <c r="E8" s="27" t="s">
        <v>46</v>
      </c>
      <c r="F8" s="30">
        <v>-1700</v>
      </c>
      <c r="G8" s="30">
        <v>-1700</v>
      </c>
      <c r="H8" s="27" t="s">
        <v>42</v>
      </c>
      <c r="I8" s="30">
        <v>-146201.14000000001</v>
      </c>
      <c r="J8" s="27" t="s">
        <v>240</v>
      </c>
      <c r="K8" s="102">
        <v>256779410006</v>
      </c>
      <c r="L8" s="102" t="e">
        <f>_xlfn.XLOOKUP(K8,'Invoice not in Customer books'!$D:$D,'Invoice not in Customer books'!$G:$G,,0)</f>
        <v>#N/A</v>
      </c>
    </row>
    <row r="9" spans="1:12" x14ac:dyDescent="0.35">
      <c r="A9" s="88">
        <v>1600001540</v>
      </c>
      <c r="B9" s="27" t="s">
        <v>4</v>
      </c>
      <c r="C9" s="28">
        <v>45842</v>
      </c>
      <c r="D9" s="29">
        <v>256779421173</v>
      </c>
      <c r="E9" s="27" t="s">
        <v>46</v>
      </c>
      <c r="F9" s="30">
        <v>-1750</v>
      </c>
      <c r="G9" s="30">
        <v>-1750</v>
      </c>
      <c r="H9" s="27" t="s">
        <v>42</v>
      </c>
      <c r="I9" s="30">
        <v>-150501.17000000001</v>
      </c>
      <c r="J9" s="27" t="s">
        <v>242</v>
      </c>
      <c r="K9" s="102">
        <v>256779410012</v>
      </c>
      <c r="L9" s="102" t="e">
        <f>_xlfn.XLOOKUP(K9,'Invoice not in Customer books'!$D:$D,'Invoice not in Customer books'!$G:$G,,0)</f>
        <v>#N/A</v>
      </c>
    </row>
    <row r="10" spans="1:12" x14ac:dyDescent="0.35">
      <c r="A10" s="88">
        <v>1600001541</v>
      </c>
      <c r="B10" s="27" t="s">
        <v>4</v>
      </c>
      <c r="C10" s="28">
        <v>45842</v>
      </c>
      <c r="D10" s="29">
        <v>256779421174</v>
      </c>
      <c r="E10" s="27" t="s">
        <v>46</v>
      </c>
      <c r="F10" s="30">
        <v>-1700</v>
      </c>
      <c r="G10" s="30">
        <v>-1700</v>
      </c>
      <c r="H10" s="27" t="s">
        <v>42</v>
      </c>
      <c r="I10" s="30">
        <v>-146201.14000000001</v>
      </c>
      <c r="J10" s="27" t="s">
        <v>244</v>
      </c>
      <c r="K10" s="102">
        <v>256779410015</v>
      </c>
      <c r="L10" s="102" t="e">
        <f>_xlfn.XLOOKUP(K10,'Invoice not in Customer books'!$D:$D,'Invoice not in Customer books'!$G:$G,,0)</f>
        <v>#N/A</v>
      </c>
    </row>
    <row r="11" spans="1:12" x14ac:dyDescent="0.35">
      <c r="A11" s="88">
        <v>1600001542</v>
      </c>
      <c r="B11" s="27" t="s">
        <v>4</v>
      </c>
      <c r="C11" s="28">
        <v>45842</v>
      </c>
      <c r="D11" s="29">
        <v>256779421175</v>
      </c>
      <c r="E11" s="27" t="s">
        <v>46</v>
      </c>
      <c r="F11" s="30">
        <v>-1750</v>
      </c>
      <c r="G11" s="30">
        <v>-1750</v>
      </c>
      <c r="H11" s="27" t="s">
        <v>42</v>
      </c>
      <c r="I11" s="30">
        <v>-150501.17000000001</v>
      </c>
      <c r="J11" s="27" t="s">
        <v>246</v>
      </c>
      <c r="K11" s="102">
        <v>256779410224</v>
      </c>
      <c r="L11" s="102" t="e">
        <f>_xlfn.XLOOKUP(K11,'Invoice not in Customer books'!$D:$D,'Invoice not in Customer books'!$G:$G,,0)</f>
        <v>#N/A</v>
      </c>
    </row>
    <row r="12" spans="1:12" x14ac:dyDescent="0.35">
      <c r="A12" s="88">
        <v>1600000596</v>
      </c>
      <c r="B12" s="27" t="s">
        <v>4</v>
      </c>
      <c r="C12" s="28">
        <v>45791</v>
      </c>
      <c r="D12" s="29">
        <v>256779420305</v>
      </c>
      <c r="E12" s="27" t="s">
        <v>46</v>
      </c>
      <c r="F12" s="30">
        <v>-945.75</v>
      </c>
      <c r="G12" s="30">
        <v>-945.75</v>
      </c>
      <c r="H12" s="27" t="s">
        <v>42</v>
      </c>
      <c r="I12" s="30">
        <v>-81988.259999999995</v>
      </c>
      <c r="J12" s="27" t="s">
        <v>281</v>
      </c>
      <c r="K12" s="102">
        <v>246779412238</v>
      </c>
      <c r="L12" s="102" t="e">
        <f>_xlfn.XLOOKUP(K12,'Invoice not in Customer books'!$D:$D,'Invoice not in Customer books'!$G:$G,,0)</f>
        <v>#N/A</v>
      </c>
    </row>
    <row r="13" spans="1:12" x14ac:dyDescent="0.35">
      <c r="A13" s="88">
        <v>1600001839</v>
      </c>
      <c r="B13" s="27" t="s">
        <v>4</v>
      </c>
      <c r="C13" s="28">
        <v>45862</v>
      </c>
      <c r="D13" s="29">
        <v>256779421459</v>
      </c>
      <c r="E13" s="27" t="s">
        <v>46</v>
      </c>
      <c r="F13" s="30">
        <v>-1700</v>
      </c>
      <c r="G13" s="30">
        <v>-1700</v>
      </c>
      <c r="H13" s="27" t="s">
        <v>42</v>
      </c>
      <c r="I13" s="30">
        <v>-146201.14000000001</v>
      </c>
      <c r="J13" s="27" t="s">
        <v>414</v>
      </c>
      <c r="K13" s="102">
        <v>256779410006</v>
      </c>
      <c r="L13" s="102" t="e">
        <f>_xlfn.XLOOKUP(K13,'Invoice not in Customer books'!$D:$D,'Invoice not in Customer books'!$G:$G,,0)</f>
        <v>#N/A</v>
      </c>
    </row>
    <row r="14" spans="1:12" x14ac:dyDescent="0.35">
      <c r="A14" s="88">
        <v>1600001840</v>
      </c>
      <c r="B14" s="27" t="s">
        <v>4</v>
      </c>
      <c r="C14" s="28">
        <v>45862</v>
      </c>
      <c r="D14" s="29">
        <v>256779421460</v>
      </c>
      <c r="E14" s="27" t="s">
        <v>46</v>
      </c>
      <c r="F14" s="30">
        <v>-1750</v>
      </c>
      <c r="G14" s="30">
        <v>-1750</v>
      </c>
      <c r="H14" s="27" t="s">
        <v>42</v>
      </c>
      <c r="I14" s="30">
        <v>-150501.17000000001</v>
      </c>
      <c r="J14" s="27" t="s">
        <v>416</v>
      </c>
      <c r="K14" s="102">
        <v>256779410012</v>
      </c>
      <c r="L14" s="102" t="e">
        <f>_xlfn.XLOOKUP(K14,'Invoice not in Customer books'!$D:$D,'Invoice not in Customer books'!$G:$G,,0)</f>
        <v>#N/A</v>
      </c>
    </row>
    <row r="15" spans="1:12" x14ac:dyDescent="0.35">
      <c r="A15" s="88">
        <v>1600001841</v>
      </c>
      <c r="B15" s="27" t="s">
        <v>4</v>
      </c>
      <c r="C15" s="28">
        <v>45862</v>
      </c>
      <c r="D15" s="29">
        <v>256779421461</v>
      </c>
      <c r="E15" s="27" t="s">
        <v>46</v>
      </c>
      <c r="F15" s="30">
        <v>-1700</v>
      </c>
      <c r="G15" s="30">
        <v>-1700</v>
      </c>
      <c r="H15" s="27" t="s">
        <v>42</v>
      </c>
      <c r="I15" s="30">
        <v>-146201.14000000001</v>
      </c>
      <c r="J15" s="27" t="s">
        <v>418</v>
      </c>
      <c r="K15" s="102">
        <v>256779410015</v>
      </c>
      <c r="L15" s="102" t="e">
        <f>_xlfn.XLOOKUP(K15,'Invoice not in Customer books'!$D:$D,'Invoice not in Customer books'!$G:$G,,0)</f>
        <v>#N/A</v>
      </c>
    </row>
    <row r="16" spans="1:12" x14ac:dyDescent="0.35">
      <c r="A16" s="88">
        <v>1600001842</v>
      </c>
      <c r="B16" s="27" t="s">
        <v>4</v>
      </c>
      <c r="C16" s="28">
        <v>45862</v>
      </c>
      <c r="D16" s="29">
        <v>256779421462</v>
      </c>
      <c r="E16" s="27" t="s">
        <v>46</v>
      </c>
      <c r="F16" s="30">
        <v>-1750</v>
      </c>
      <c r="G16" s="30">
        <v>-1750</v>
      </c>
      <c r="H16" s="27" t="s">
        <v>42</v>
      </c>
      <c r="I16" s="30">
        <v>-150501.17000000001</v>
      </c>
      <c r="J16" s="27" t="s">
        <v>420</v>
      </c>
      <c r="K16" s="102">
        <v>256779410224</v>
      </c>
      <c r="L16" s="102" t="e">
        <f>_xlfn.XLOOKUP(K16,'Invoice not in Customer books'!$D:$D,'Invoice not in Customer books'!$G:$G,,0)</f>
        <v>#N/A</v>
      </c>
    </row>
    <row r="17" spans="1:12" x14ac:dyDescent="0.35">
      <c r="A17" s="88">
        <v>1600002768</v>
      </c>
      <c r="B17" s="27" t="s">
        <v>4</v>
      </c>
      <c r="C17" s="28">
        <v>46055</v>
      </c>
      <c r="D17" s="29">
        <v>256779422238</v>
      </c>
      <c r="E17" s="27" t="s">
        <v>46</v>
      </c>
      <c r="F17" s="30">
        <v>-17.48</v>
      </c>
      <c r="G17" s="30">
        <v>-17.48</v>
      </c>
      <c r="H17" s="27" t="s">
        <v>42</v>
      </c>
      <c r="I17" s="30">
        <v>-1579.06</v>
      </c>
      <c r="J17" s="27" t="s">
        <v>537</v>
      </c>
      <c r="K17" s="102">
        <v>256779415196</v>
      </c>
      <c r="L17" s="102" t="e">
        <f>_xlfn.XLOOKUP(K17,'Invoice not in Customer books'!$D:$D,'Invoice not in Customer books'!$G:$G,,0)</f>
        <v>#N/A</v>
      </c>
    </row>
    <row r="18" spans="1:12" x14ac:dyDescent="0.35">
      <c r="A18" s="88">
        <v>1600002769</v>
      </c>
      <c r="B18" s="27" t="s">
        <v>4</v>
      </c>
      <c r="C18" s="28">
        <v>46055</v>
      </c>
      <c r="D18" s="29">
        <v>256779422239</v>
      </c>
      <c r="E18" s="27" t="s">
        <v>46</v>
      </c>
      <c r="F18" s="30">
        <v>-101.23</v>
      </c>
      <c r="G18" s="30">
        <v>-101.23</v>
      </c>
      <c r="H18" s="27" t="s">
        <v>42</v>
      </c>
      <c r="I18" s="30">
        <v>-9144.6299999999992</v>
      </c>
      <c r="J18" s="27" t="s">
        <v>539</v>
      </c>
      <c r="K18" s="102">
        <v>256779416078</v>
      </c>
      <c r="L18" s="102" t="e">
        <f>_xlfn.XLOOKUP(K18,'Invoice not in Customer books'!$D:$D,'Invoice not in Customer books'!$G:$G,,0)</f>
        <v>#N/A</v>
      </c>
    </row>
    <row r="19" spans="1:12" x14ac:dyDescent="0.35">
      <c r="A19" s="88">
        <v>1600002770</v>
      </c>
      <c r="B19" s="27" t="s">
        <v>4</v>
      </c>
      <c r="C19" s="28">
        <v>46055</v>
      </c>
      <c r="D19" s="29">
        <v>256779422240</v>
      </c>
      <c r="E19" s="27" t="s">
        <v>46</v>
      </c>
      <c r="F19" s="30">
        <v>-303.16000000000003</v>
      </c>
      <c r="G19" s="30">
        <v>-303.16000000000003</v>
      </c>
      <c r="H19" s="27" t="s">
        <v>42</v>
      </c>
      <c r="I19" s="30">
        <v>-27386.02</v>
      </c>
      <c r="J19" s="27" t="s">
        <v>541</v>
      </c>
      <c r="K19" s="102">
        <v>256779414240</v>
      </c>
      <c r="L19" s="102" t="e">
        <f>_xlfn.XLOOKUP(K19,'Invoice not in Customer books'!$D:$D,'Invoice not in Customer books'!$G:$G,,0)</f>
        <v>#N/A</v>
      </c>
    </row>
    <row r="20" spans="1:12" x14ac:dyDescent="0.35">
      <c r="A20" s="88">
        <v>1600002771</v>
      </c>
      <c r="B20" s="27" t="s">
        <v>4</v>
      </c>
      <c r="C20" s="28">
        <v>46055</v>
      </c>
      <c r="D20" s="29">
        <v>256779422241</v>
      </c>
      <c r="E20" s="27" t="s">
        <v>46</v>
      </c>
      <c r="F20" s="30">
        <v>-87.28</v>
      </c>
      <c r="G20" s="30">
        <v>-87.28</v>
      </c>
      <c r="H20" s="27" t="s">
        <v>42</v>
      </c>
      <c r="I20" s="30">
        <v>-7884.46</v>
      </c>
      <c r="J20" s="27" t="s">
        <v>543</v>
      </c>
      <c r="K20" s="102">
        <v>256779417082</v>
      </c>
      <c r="L20" s="102" t="e">
        <f>_xlfn.XLOOKUP(K20,'Invoice not in Customer books'!$D:$D,'Invoice not in Customer books'!$G:$G,,0)</f>
        <v>#N/A</v>
      </c>
    </row>
    <row r="21" spans="1:12" x14ac:dyDescent="0.35">
      <c r="A21" s="27"/>
      <c r="B21" s="27"/>
      <c r="C21" s="28"/>
      <c r="D21" s="29"/>
      <c r="E21" s="27"/>
      <c r="F21" s="30"/>
      <c r="G21" s="30">
        <f>SUM(G3:G20)</f>
        <v>-16429.039999999997</v>
      </c>
      <c r="H21" s="27"/>
      <c r="I21" s="30"/>
      <c r="J21" s="27"/>
    </row>
    <row r="22" spans="1:12" x14ac:dyDescent="0.35">
      <c r="G22" s="72"/>
    </row>
  </sheetData>
  <autoFilter ref="A2:L21" xr:uid="{3B68C543-F710-4A4F-A344-2FC84299516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FE7-FFC3-43FC-99CC-75D4BA627EBB}">
  <dimension ref="A1:W211"/>
  <sheetViews>
    <sheetView topLeftCell="M1" zoomScale="85" zoomScaleNormal="85" workbookViewId="0">
      <selection activeCell="M1" sqref="M1"/>
    </sheetView>
  </sheetViews>
  <sheetFormatPr defaultRowHeight="14.5" x14ac:dyDescent="0.35"/>
  <cols>
    <col min="1" max="1" width="16.81640625" bestFit="1" customWidth="1"/>
    <col min="2" max="2" width="9.54296875" bestFit="1" customWidth="1"/>
    <col min="3" max="3" width="13.90625" style="20" bestFit="1" customWidth="1"/>
    <col min="4" max="4" width="13.90625" bestFit="1" customWidth="1"/>
    <col min="5" max="5" width="9.54296875" bestFit="1" customWidth="1"/>
    <col min="6" max="6" width="11.08984375" bestFit="1" customWidth="1"/>
    <col min="7" max="7" width="9.08984375" bestFit="1" customWidth="1"/>
    <col min="8" max="8" width="11.81640625" bestFit="1" customWidth="1"/>
    <col min="9" max="9" width="13" bestFit="1" customWidth="1"/>
    <col min="10" max="11" width="8.453125" style="20" bestFit="1" customWidth="1"/>
    <col min="12" max="12" width="8.453125" style="32" bestFit="1" customWidth="1"/>
    <col min="13" max="13" width="9.08984375" bestFit="1" customWidth="1"/>
    <col min="14" max="14" width="9.08984375" customWidth="1"/>
    <col min="15" max="15" width="8.453125" bestFit="1" customWidth="1"/>
    <col min="16" max="16" width="46.36328125" bestFit="1" customWidth="1"/>
    <col min="18" max="18" width="15.453125" style="21" bestFit="1" customWidth="1"/>
    <col min="19" max="19" width="14.08984375" bestFit="1" customWidth="1"/>
    <col min="20" max="20" width="32.26953125" customWidth="1"/>
    <col min="21" max="21" width="20.90625" bestFit="1" customWidth="1"/>
    <col min="22" max="22" width="9.08984375" bestFit="1" customWidth="1"/>
    <col min="23" max="23" width="9.6328125" bestFit="1" customWidth="1"/>
  </cols>
  <sheetData>
    <row r="1" spans="1:23" x14ac:dyDescent="0.35">
      <c r="A1" s="23"/>
      <c r="B1" s="23"/>
      <c r="C1" s="24"/>
      <c r="D1" s="23"/>
      <c r="E1" s="23"/>
      <c r="F1" s="23"/>
      <c r="G1" s="23"/>
      <c r="H1" s="23"/>
      <c r="I1" s="23"/>
      <c r="J1" s="24"/>
      <c r="K1" s="24"/>
      <c r="L1" s="90"/>
      <c r="M1" s="91">
        <f>SUM(M3:M211)</f>
        <v>4692.532799999999</v>
      </c>
      <c r="N1" s="91">
        <f>SUBTOTAL(9,N3:N211)</f>
        <v>40</v>
      </c>
      <c r="O1" s="91">
        <f>M1+N1</f>
        <v>4732.532799999999</v>
      </c>
      <c r="P1" s="91"/>
    </row>
    <row r="2" spans="1:23" s="80" customFormat="1" ht="58" x14ac:dyDescent="0.35">
      <c r="A2" s="103" t="s">
        <v>32</v>
      </c>
      <c r="B2" s="104" t="s">
        <v>33</v>
      </c>
      <c r="C2" s="103" t="s">
        <v>2</v>
      </c>
      <c r="D2" s="103" t="s">
        <v>34</v>
      </c>
      <c r="E2" s="104" t="s">
        <v>35</v>
      </c>
      <c r="F2" s="104" t="s">
        <v>36</v>
      </c>
      <c r="G2" s="104" t="s">
        <v>914</v>
      </c>
      <c r="H2" s="104" t="s">
        <v>37</v>
      </c>
      <c r="I2" s="105" t="s">
        <v>38</v>
      </c>
      <c r="J2" s="105" t="s">
        <v>545</v>
      </c>
      <c r="K2" s="105" t="s">
        <v>905</v>
      </c>
      <c r="L2" s="105" t="s">
        <v>906</v>
      </c>
      <c r="M2" s="105" t="s">
        <v>909</v>
      </c>
      <c r="N2" s="106" t="s">
        <v>917</v>
      </c>
      <c r="O2" s="106" t="s">
        <v>907</v>
      </c>
      <c r="P2" s="103" t="s">
        <v>39</v>
      </c>
      <c r="R2" s="82" t="s">
        <v>546</v>
      </c>
      <c r="S2" s="81" t="s">
        <v>2</v>
      </c>
      <c r="T2" s="81" t="s">
        <v>549</v>
      </c>
      <c r="U2" s="81" t="s">
        <v>550</v>
      </c>
      <c r="V2" s="81" t="s">
        <v>554</v>
      </c>
      <c r="W2" s="81" t="s">
        <v>555</v>
      </c>
    </row>
    <row r="3" spans="1:23" x14ac:dyDescent="0.35">
      <c r="A3" s="88">
        <v>1800008260</v>
      </c>
      <c r="B3" s="27" t="s">
        <v>5</v>
      </c>
      <c r="C3" s="28">
        <v>45787</v>
      </c>
      <c r="D3" s="29">
        <v>256779413144</v>
      </c>
      <c r="E3" s="27" t="s">
        <v>42</v>
      </c>
      <c r="F3" s="30">
        <v>100000</v>
      </c>
      <c r="G3" s="30">
        <v>1163.0111111111112</v>
      </c>
      <c r="H3" s="27" t="s">
        <v>42</v>
      </c>
      <c r="I3" s="30">
        <v>100000</v>
      </c>
      <c r="J3" s="30">
        <v>0</v>
      </c>
      <c r="K3" s="30">
        <v>1046.71</v>
      </c>
      <c r="L3" s="30">
        <v>1046.71</v>
      </c>
      <c r="M3" s="30">
        <v>116.30111111111114</v>
      </c>
      <c r="N3" s="30">
        <f>_xlfn.XLOOKUP(D3,$R:$R,$V:$V,0,0)</f>
        <v>0</v>
      </c>
      <c r="O3" s="56">
        <v>0.10000000000000002</v>
      </c>
      <c r="P3" s="27" t="s">
        <v>68</v>
      </c>
      <c r="R3" s="40">
        <v>246779413797</v>
      </c>
      <c r="S3" s="41">
        <v>45736</v>
      </c>
      <c r="T3" s="23" t="s">
        <v>581</v>
      </c>
      <c r="U3" s="23" t="s">
        <v>582</v>
      </c>
      <c r="V3" s="44">
        <v>20</v>
      </c>
      <c r="W3" s="44"/>
    </row>
    <row r="4" spans="1:23" x14ac:dyDescent="0.35">
      <c r="A4" s="88">
        <v>1800009592</v>
      </c>
      <c r="B4" s="27" t="s">
        <v>5</v>
      </c>
      <c r="C4" s="28">
        <v>45818</v>
      </c>
      <c r="D4" s="29">
        <v>256779414356</v>
      </c>
      <c r="E4" s="27" t="s">
        <v>42</v>
      </c>
      <c r="F4" s="30">
        <v>100000</v>
      </c>
      <c r="G4" s="30">
        <v>1169.72</v>
      </c>
      <c r="H4" s="27" t="s">
        <v>42</v>
      </c>
      <c r="I4" s="30">
        <v>100000</v>
      </c>
      <c r="J4" s="30">
        <v>0</v>
      </c>
      <c r="K4" s="30">
        <v>1052.748</v>
      </c>
      <c r="L4" s="30">
        <v>1052.748</v>
      </c>
      <c r="M4" s="30">
        <v>116.97199999999998</v>
      </c>
      <c r="N4" s="30">
        <f t="shared" ref="N4:N67" si="0">_xlfn.XLOOKUP(D4,$R:$R,$V:$V,0,0)</f>
        <v>0</v>
      </c>
      <c r="O4" s="56">
        <v>9.9999999999999978E-2</v>
      </c>
      <c r="P4" s="27" t="s">
        <v>70</v>
      </c>
      <c r="R4" s="73"/>
      <c r="S4" s="42">
        <v>45736</v>
      </c>
      <c r="T4" s="74" t="s">
        <v>581</v>
      </c>
      <c r="U4" s="74" t="s">
        <v>582</v>
      </c>
      <c r="V4" s="75"/>
      <c r="W4" s="75">
        <v>20</v>
      </c>
    </row>
    <row r="5" spans="1:23" x14ac:dyDescent="0.35">
      <c r="A5" s="88">
        <v>1800010154</v>
      </c>
      <c r="B5" s="27" t="s">
        <v>5</v>
      </c>
      <c r="C5" s="28">
        <v>45842</v>
      </c>
      <c r="D5" s="29">
        <v>256779414914</v>
      </c>
      <c r="E5" s="27" t="s">
        <v>42</v>
      </c>
      <c r="F5" s="30">
        <v>100000</v>
      </c>
      <c r="G5" s="30">
        <v>1162.78</v>
      </c>
      <c r="H5" s="27" t="s">
        <v>42</v>
      </c>
      <c r="I5" s="30">
        <v>100000</v>
      </c>
      <c r="J5" s="30">
        <v>0</v>
      </c>
      <c r="K5" s="30">
        <v>1046.502</v>
      </c>
      <c r="L5" s="30">
        <v>1046.502</v>
      </c>
      <c r="M5" s="30">
        <v>116.27800000000002</v>
      </c>
      <c r="N5" s="30">
        <f t="shared" si="0"/>
        <v>0</v>
      </c>
      <c r="O5" s="56">
        <v>0.10000000000000002</v>
      </c>
      <c r="P5" s="27" t="s">
        <v>72</v>
      </c>
      <c r="R5" s="73"/>
      <c r="S5" s="42">
        <v>45736</v>
      </c>
      <c r="T5" s="74" t="s">
        <v>601</v>
      </c>
      <c r="U5" s="74" t="s">
        <v>582</v>
      </c>
      <c r="V5" s="75">
        <v>-20</v>
      </c>
      <c r="W5" s="75"/>
    </row>
    <row r="6" spans="1:23" x14ac:dyDescent="0.35">
      <c r="A6" s="88">
        <v>1800011360</v>
      </c>
      <c r="B6" s="27" t="s">
        <v>5</v>
      </c>
      <c r="C6" s="28">
        <v>45870</v>
      </c>
      <c r="D6" s="29">
        <v>256779416026</v>
      </c>
      <c r="E6" s="27" t="s">
        <v>42</v>
      </c>
      <c r="F6" s="30">
        <v>100000</v>
      </c>
      <c r="G6" s="30">
        <v>1162.377777777778</v>
      </c>
      <c r="H6" s="27" t="s">
        <v>42</v>
      </c>
      <c r="I6" s="30">
        <v>100000</v>
      </c>
      <c r="J6" s="30">
        <v>0</v>
      </c>
      <c r="K6" s="30">
        <v>1046.1400000000001</v>
      </c>
      <c r="L6" s="30">
        <v>1046.1400000000001</v>
      </c>
      <c r="M6" s="30">
        <v>116.23777777777786</v>
      </c>
      <c r="N6" s="30">
        <f t="shared" si="0"/>
        <v>0</v>
      </c>
      <c r="O6" s="56">
        <v>0.10000000000000006</v>
      </c>
      <c r="P6" s="27" t="s">
        <v>74</v>
      </c>
      <c r="R6" s="40">
        <v>246779413808</v>
      </c>
      <c r="S6" s="41">
        <v>45736</v>
      </c>
      <c r="T6" s="23" t="s">
        <v>622</v>
      </c>
      <c r="U6" s="23" t="s">
        <v>582</v>
      </c>
      <c r="V6" s="44">
        <v>20</v>
      </c>
      <c r="W6" s="44"/>
    </row>
    <row r="7" spans="1:23" x14ac:dyDescent="0.35">
      <c r="A7" s="88">
        <v>1800012712</v>
      </c>
      <c r="B7" s="27" t="s">
        <v>5</v>
      </c>
      <c r="C7" s="28">
        <v>45904</v>
      </c>
      <c r="D7" s="29">
        <v>256779417346</v>
      </c>
      <c r="E7" s="27" t="s">
        <v>42</v>
      </c>
      <c r="F7" s="30">
        <v>100000</v>
      </c>
      <c r="G7" s="30">
        <v>1142.67</v>
      </c>
      <c r="H7" s="27" t="s">
        <v>42</v>
      </c>
      <c r="I7" s="30">
        <v>100000</v>
      </c>
      <c r="J7" s="30">
        <v>0</v>
      </c>
      <c r="K7" s="30">
        <v>1028.403</v>
      </c>
      <c r="L7" s="30">
        <v>1028.403</v>
      </c>
      <c r="M7" s="30">
        <v>114.26700000000005</v>
      </c>
      <c r="N7" s="30">
        <f t="shared" si="0"/>
        <v>0</v>
      </c>
      <c r="O7" s="56">
        <v>0.10000000000000003</v>
      </c>
      <c r="P7" s="27" t="s">
        <v>76</v>
      </c>
      <c r="R7" s="73"/>
      <c r="S7" s="42">
        <v>45736</v>
      </c>
      <c r="T7" s="74" t="s">
        <v>581</v>
      </c>
      <c r="U7" s="74" t="s">
        <v>582</v>
      </c>
      <c r="V7" s="75">
        <v>20</v>
      </c>
      <c r="W7" s="75"/>
    </row>
    <row r="8" spans="1:23" x14ac:dyDescent="0.35">
      <c r="A8" s="88">
        <v>1800014235</v>
      </c>
      <c r="B8" s="27" t="s">
        <v>5</v>
      </c>
      <c r="C8" s="28">
        <v>45966</v>
      </c>
      <c r="D8" s="29">
        <v>256779418775</v>
      </c>
      <c r="E8" s="27" t="s">
        <v>42</v>
      </c>
      <c r="F8" s="30">
        <v>100000</v>
      </c>
      <c r="G8" s="30">
        <v>1136.32</v>
      </c>
      <c r="H8" s="27" t="s">
        <v>42</v>
      </c>
      <c r="I8" s="30">
        <v>100000</v>
      </c>
      <c r="J8" s="30">
        <v>0</v>
      </c>
      <c r="K8" s="30">
        <v>1022.688</v>
      </c>
      <c r="L8" s="30">
        <v>1022.688</v>
      </c>
      <c r="M8" s="30">
        <v>113.63199999999995</v>
      </c>
      <c r="N8" s="30">
        <f t="shared" si="0"/>
        <v>0</v>
      </c>
      <c r="O8" s="56">
        <v>9.9999999999999964E-2</v>
      </c>
      <c r="P8" s="27" t="s">
        <v>78</v>
      </c>
      <c r="R8" s="73"/>
      <c r="S8" s="42">
        <v>45736</v>
      </c>
      <c r="T8" s="74" t="s">
        <v>645</v>
      </c>
      <c r="U8" s="74" t="s">
        <v>582</v>
      </c>
      <c r="V8" s="75"/>
      <c r="W8" s="75">
        <v>-20</v>
      </c>
    </row>
    <row r="9" spans="1:23" x14ac:dyDescent="0.35">
      <c r="A9" s="88">
        <v>1800015484</v>
      </c>
      <c r="B9" s="27" t="s">
        <v>5</v>
      </c>
      <c r="C9" s="28">
        <v>45995</v>
      </c>
      <c r="D9" s="29">
        <v>256779419968</v>
      </c>
      <c r="E9" s="27" t="s">
        <v>42</v>
      </c>
      <c r="F9" s="30">
        <v>100000</v>
      </c>
      <c r="G9" s="30">
        <v>1127.3899999999999</v>
      </c>
      <c r="H9" s="27" t="s">
        <v>42</v>
      </c>
      <c r="I9" s="30">
        <v>100000</v>
      </c>
      <c r="J9" s="30">
        <v>0</v>
      </c>
      <c r="K9" s="30">
        <v>1014.651</v>
      </c>
      <c r="L9" s="30">
        <v>1014.651</v>
      </c>
      <c r="M9" s="30">
        <v>112.73899999999992</v>
      </c>
      <c r="N9" s="30">
        <f t="shared" si="0"/>
        <v>0</v>
      </c>
      <c r="O9" s="56">
        <v>9.9999999999999936E-2</v>
      </c>
      <c r="P9" s="27" t="s">
        <v>80</v>
      </c>
      <c r="R9" s="78"/>
      <c r="S9" s="79"/>
      <c r="T9" s="49"/>
      <c r="U9" s="23"/>
      <c r="V9" s="44"/>
      <c r="W9" s="44"/>
    </row>
    <row r="10" spans="1:23" x14ac:dyDescent="0.35">
      <c r="A10" s="88">
        <v>1800008261</v>
      </c>
      <c r="B10" s="27" t="s">
        <v>5</v>
      </c>
      <c r="C10" s="28">
        <v>45787</v>
      </c>
      <c r="D10" s="29">
        <v>256779413145</v>
      </c>
      <c r="E10" s="27" t="s">
        <v>42</v>
      </c>
      <c r="F10" s="30">
        <v>35000</v>
      </c>
      <c r="G10" s="30">
        <v>407.05</v>
      </c>
      <c r="H10" s="27" t="s">
        <v>42</v>
      </c>
      <c r="I10" s="30">
        <v>35000</v>
      </c>
      <c r="J10" s="30">
        <v>0</v>
      </c>
      <c r="K10" s="30">
        <v>366.34500000000003</v>
      </c>
      <c r="L10" s="30">
        <v>366.34500000000003</v>
      </c>
      <c r="M10" s="30">
        <v>40.704999999999984</v>
      </c>
      <c r="N10" s="30">
        <f t="shared" si="0"/>
        <v>0</v>
      </c>
      <c r="O10" s="56">
        <v>9.9999999999999964E-2</v>
      </c>
      <c r="P10" s="27" t="s">
        <v>68</v>
      </c>
      <c r="R10" s="78"/>
      <c r="S10" s="79"/>
      <c r="T10" s="49"/>
      <c r="U10" s="23"/>
      <c r="V10" s="44"/>
      <c r="W10" s="44"/>
    </row>
    <row r="11" spans="1:23" x14ac:dyDescent="0.35">
      <c r="A11" s="88">
        <v>1800009593</v>
      </c>
      <c r="B11" s="27" t="s">
        <v>5</v>
      </c>
      <c r="C11" s="28">
        <v>45818</v>
      </c>
      <c r="D11" s="29">
        <v>256779414357</v>
      </c>
      <c r="E11" s="27" t="s">
        <v>42</v>
      </c>
      <c r="F11" s="30">
        <v>35000</v>
      </c>
      <c r="G11" s="30">
        <v>409.4</v>
      </c>
      <c r="H11" s="27" t="s">
        <v>42</v>
      </c>
      <c r="I11" s="30">
        <v>35000</v>
      </c>
      <c r="J11" s="30">
        <v>0</v>
      </c>
      <c r="K11" s="30">
        <v>368.46</v>
      </c>
      <c r="L11" s="30">
        <v>368.46</v>
      </c>
      <c r="M11" s="30">
        <v>40.94</v>
      </c>
      <c r="N11" s="30">
        <f t="shared" si="0"/>
        <v>0</v>
      </c>
      <c r="O11" s="56">
        <v>0.1</v>
      </c>
      <c r="P11" s="27" t="s">
        <v>70</v>
      </c>
      <c r="R11" s="78"/>
      <c r="S11" s="79"/>
      <c r="T11" s="49"/>
      <c r="U11" s="23"/>
      <c r="V11" s="44"/>
      <c r="W11" s="44"/>
    </row>
    <row r="12" spans="1:23" x14ac:dyDescent="0.35">
      <c r="A12" s="88">
        <v>1800010155</v>
      </c>
      <c r="B12" s="27" t="s">
        <v>5</v>
      </c>
      <c r="C12" s="28">
        <v>45842</v>
      </c>
      <c r="D12" s="29">
        <v>256779414915</v>
      </c>
      <c r="E12" s="27" t="s">
        <v>42</v>
      </c>
      <c r="F12" s="30">
        <v>35000</v>
      </c>
      <c r="G12" s="30">
        <v>443.14511111111108</v>
      </c>
      <c r="H12" s="27" t="s">
        <v>42</v>
      </c>
      <c r="I12" s="30">
        <v>35000</v>
      </c>
      <c r="J12" s="30">
        <v>0</v>
      </c>
      <c r="K12" s="30">
        <v>398.8306</v>
      </c>
      <c r="L12" s="30">
        <v>398.8306</v>
      </c>
      <c r="M12" s="30">
        <v>44.314511111111074</v>
      </c>
      <c r="N12" s="30">
        <f t="shared" si="0"/>
        <v>0</v>
      </c>
      <c r="O12" s="56">
        <v>9.9999999999999922E-2</v>
      </c>
      <c r="P12" s="27" t="s">
        <v>72</v>
      </c>
      <c r="R12" s="78"/>
      <c r="S12" s="79"/>
      <c r="T12" s="49"/>
      <c r="U12" s="23"/>
      <c r="V12" s="44"/>
      <c r="W12" s="44"/>
    </row>
    <row r="13" spans="1:23" x14ac:dyDescent="0.35">
      <c r="A13" s="88">
        <v>1800011361</v>
      </c>
      <c r="B13" s="27" t="s">
        <v>5</v>
      </c>
      <c r="C13" s="28">
        <v>45870</v>
      </c>
      <c r="D13" s="29">
        <v>256779416027</v>
      </c>
      <c r="E13" s="27" t="s">
        <v>42</v>
      </c>
      <c r="F13" s="30">
        <v>35000</v>
      </c>
      <c r="G13" s="30">
        <v>442.98888888888888</v>
      </c>
      <c r="H13" s="27" t="s">
        <v>42</v>
      </c>
      <c r="I13" s="30">
        <v>35000</v>
      </c>
      <c r="J13" s="30">
        <v>0</v>
      </c>
      <c r="K13" s="30">
        <v>398.69</v>
      </c>
      <c r="L13" s="30">
        <v>398.69</v>
      </c>
      <c r="M13" s="30">
        <v>44.298888888888882</v>
      </c>
      <c r="N13" s="30">
        <f t="shared" si="0"/>
        <v>0</v>
      </c>
      <c r="O13" s="56">
        <v>9.9999999999999992E-2</v>
      </c>
      <c r="P13" s="27" t="s">
        <v>74</v>
      </c>
    </row>
    <row r="14" spans="1:23" x14ac:dyDescent="0.35">
      <c r="A14" s="88">
        <v>1800012713</v>
      </c>
      <c r="B14" s="27" t="s">
        <v>5</v>
      </c>
      <c r="C14" s="28">
        <v>45904</v>
      </c>
      <c r="D14" s="29">
        <v>256779417347</v>
      </c>
      <c r="E14" s="27" t="s">
        <v>42</v>
      </c>
      <c r="F14" s="30">
        <v>35000</v>
      </c>
      <c r="G14" s="30">
        <v>399.93</v>
      </c>
      <c r="H14" s="27" t="s">
        <v>42</v>
      </c>
      <c r="I14" s="30">
        <v>35000</v>
      </c>
      <c r="J14" s="30">
        <v>0</v>
      </c>
      <c r="K14" s="30">
        <v>359.93700000000001</v>
      </c>
      <c r="L14" s="30">
        <v>359.93700000000001</v>
      </c>
      <c r="M14" s="30">
        <v>39.992999999999995</v>
      </c>
      <c r="N14" s="30">
        <f t="shared" si="0"/>
        <v>0</v>
      </c>
      <c r="O14" s="56">
        <v>9.9999999999999992E-2</v>
      </c>
      <c r="P14" s="27" t="s">
        <v>76</v>
      </c>
    </row>
    <row r="15" spans="1:23" x14ac:dyDescent="0.35">
      <c r="A15" s="88">
        <v>1800014236</v>
      </c>
      <c r="B15" s="27" t="s">
        <v>5</v>
      </c>
      <c r="C15" s="28">
        <v>45966</v>
      </c>
      <c r="D15" s="29">
        <v>256779418776</v>
      </c>
      <c r="E15" s="27" t="s">
        <v>42</v>
      </c>
      <c r="F15" s="30">
        <v>35000</v>
      </c>
      <c r="G15" s="30">
        <v>433.06200000000001</v>
      </c>
      <c r="H15" s="27" t="s">
        <v>42</v>
      </c>
      <c r="I15" s="30">
        <v>35000</v>
      </c>
      <c r="J15" s="30">
        <v>0</v>
      </c>
      <c r="K15" s="30">
        <v>389.75580000000002</v>
      </c>
      <c r="L15" s="30">
        <v>389.75580000000002</v>
      </c>
      <c r="M15" s="30">
        <v>43.30619999999999</v>
      </c>
      <c r="N15" s="30">
        <f t="shared" si="0"/>
        <v>0</v>
      </c>
      <c r="O15" s="56">
        <v>9.9999999999999978E-2</v>
      </c>
      <c r="P15" s="27" t="s">
        <v>78</v>
      </c>
    </row>
    <row r="16" spans="1:23" x14ac:dyDescent="0.35">
      <c r="A16" s="88">
        <v>1800015485</v>
      </c>
      <c r="B16" s="27" t="s">
        <v>5</v>
      </c>
      <c r="C16" s="28">
        <v>45995</v>
      </c>
      <c r="D16" s="29">
        <v>256779419969</v>
      </c>
      <c r="E16" s="27" t="s">
        <v>42</v>
      </c>
      <c r="F16" s="30">
        <v>35000</v>
      </c>
      <c r="G16" s="30">
        <v>429.66466666666662</v>
      </c>
      <c r="H16" s="27" t="s">
        <v>42</v>
      </c>
      <c r="I16" s="30">
        <v>35000</v>
      </c>
      <c r="J16" s="30">
        <v>0</v>
      </c>
      <c r="K16" s="30">
        <v>386.69819999999999</v>
      </c>
      <c r="L16" s="30">
        <v>386.69819999999999</v>
      </c>
      <c r="M16" s="30">
        <v>42.966466666666634</v>
      </c>
      <c r="N16" s="30">
        <f t="shared" si="0"/>
        <v>0</v>
      </c>
      <c r="O16" s="56">
        <v>9.9999999999999936E-2</v>
      </c>
      <c r="P16" s="27" t="s">
        <v>88</v>
      </c>
    </row>
    <row r="17" spans="1:16" x14ac:dyDescent="0.35">
      <c r="A17" s="88">
        <v>1800002451</v>
      </c>
      <c r="B17" s="27" t="s">
        <v>5</v>
      </c>
      <c r="C17" s="28">
        <v>45733</v>
      </c>
      <c r="D17" s="29">
        <v>246779412116</v>
      </c>
      <c r="E17" s="27" t="s">
        <v>46</v>
      </c>
      <c r="F17" s="30">
        <v>100</v>
      </c>
      <c r="G17" s="30">
        <v>100</v>
      </c>
      <c r="H17" s="27" t="s">
        <v>42</v>
      </c>
      <c r="I17" s="30">
        <v>8669.1299999999992</v>
      </c>
      <c r="J17" s="30">
        <v>0</v>
      </c>
      <c r="K17" s="30">
        <v>98</v>
      </c>
      <c r="L17" s="30">
        <v>98</v>
      </c>
      <c r="M17" s="30">
        <v>2</v>
      </c>
      <c r="N17" s="30">
        <f t="shared" si="0"/>
        <v>0</v>
      </c>
      <c r="O17" s="56">
        <v>0.02</v>
      </c>
      <c r="P17" s="27" t="s">
        <v>94</v>
      </c>
    </row>
    <row r="18" spans="1:16" x14ac:dyDescent="0.35">
      <c r="A18" s="88">
        <v>1800002454</v>
      </c>
      <c r="B18" s="27" t="s">
        <v>5</v>
      </c>
      <c r="C18" s="28">
        <v>45733</v>
      </c>
      <c r="D18" s="29">
        <v>246779412119</v>
      </c>
      <c r="E18" s="27" t="s">
        <v>46</v>
      </c>
      <c r="F18" s="30">
        <v>100</v>
      </c>
      <c r="G18" s="30">
        <v>100</v>
      </c>
      <c r="H18" s="27" t="s">
        <v>42</v>
      </c>
      <c r="I18" s="30">
        <v>8669.1299999999992</v>
      </c>
      <c r="J18" s="30">
        <v>0</v>
      </c>
      <c r="K18" s="30">
        <v>98</v>
      </c>
      <c r="L18" s="30">
        <v>98</v>
      </c>
      <c r="M18" s="30">
        <v>2</v>
      </c>
      <c r="N18" s="30">
        <f t="shared" si="0"/>
        <v>0</v>
      </c>
      <c r="O18" s="56">
        <v>0.02</v>
      </c>
      <c r="P18" s="27" t="s">
        <v>94</v>
      </c>
    </row>
    <row r="19" spans="1:16" x14ac:dyDescent="0.35">
      <c r="A19" s="88">
        <v>1800002456</v>
      </c>
      <c r="B19" s="27" t="s">
        <v>5</v>
      </c>
      <c r="C19" s="28">
        <v>45733</v>
      </c>
      <c r="D19" s="29">
        <v>246779412121</v>
      </c>
      <c r="E19" s="27" t="s">
        <v>46</v>
      </c>
      <c r="F19" s="30">
        <v>100</v>
      </c>
      <c r="G19" s="30">
        <v>100</v>
      </c>
      <c r="H19" s="27" t="s">
        <v>42</v>
      </c>
      <c r="I19" s="30">
        <v>8669.1299999999992</v>
      </c>
      <c r="J19" s="30">
        <v>0</v>
      </c>
      <c r="K19" s="30">
        <v>98</v>
      </c>
      <c r="L19" s="30">
        <v>98</v>
      </c>
      <c r="M19" s="30">
        <v>2</v>
      </c>
      <c r="N19" s="30">
        <f t="shared" si="0"/>
        <v>0</v>
      </c>
      <c r="O19" s="56">
        <v>0.02</v>
      </c>
      <c r="P19" s="27" t="s">
        <v>94</v>
      </c>
    </row>
    <row r="20" spans="1:16" x14ac:dyDescent="0.35">
      <c r="A20" s="88">
        <v>1800008348</v>
      </c>
      <c r="B20" s="27" t="s">
        <v>5</v>
      </c>
      <c r="C20" s="28">
        <v>45787</v>
      </c>
      <c r="D20" s="29">
        <v>256779413231</v>
      </c>
      <c r="E20" s="27" t="s">
        <v>46</v>
      </c>
      <c r="F20" s="30">
        <v>100</v>
      </c>
      <c r="G20" s="30">
        <v>100</v>
      </c>
      <c r="H20" s="27" t="s">
        <v>42</v>
      </c>
      <c r="I20" s="30">
        <v>8598.3700000000008</v>
      </c>
      <c r="J20" s="30">
        <v>0</v>
      </c>
      <c r="K20" s="30">
        <v>98</v>
      </c>
      <c r="L20" s="30">
        <v>98</v>
      </c>
      <c r="M20" s="30">
        <v>2</v>
      </c>
      <c r="N20" s="30">
        <f t="shared" si="0"/>
        <v>0</v>
      </c>
      <c r="O20" s="56">
        <v>0.02</v>
      </c>
      <c r="P20" s="27" t="s">
        <v>98</v>
      </c>
    </row>
    <row r="21" spans="1:16" x14ac:dyDescent="0.35">
      <c r="A21" s="88">
        <v>1800009077</v>
      </c>
      <c r="B21" s="27" t="s">
        <v>5</v>
      </c>
      <c r="C21" s="28">
        <v>45797</v>
      </c>
      <c r="D21" s="29">
        <v>256779413841</v>
      </c>
      <c r="E21" s="27" t="s">
        <v>46</v>
      </c>
      <c r="F21" s="30">
        <v>100</v>
      </c>
      <c r="G21" s="30">
        <v>100</v>
      </c>
      <c r="H21" s="27" t="s">
        <v>42</v>
      </c>
      <c r="I21" s="30">
        <v>8598.3700000000008</v>
      </c>
      <c r="J21" s="30">
        <v>0</v>
      </c>
      <c r="K21" s="30">
        <v>98</v>
      </c>
      <c r="L21" s="30">
        <v>98</v>
      </c>
      <c r="M21" s="30">
        <v>2</v>
      </c>
      <c r="N21" s="30">
        <f t="shared" si="0"/>
        <v>0</v>
      </c>
      <c r="O21" s="56">
        <v>0.02</v>
      </c>
      <c r="P21" s="27" t="s">
        <v>100</v>
      </c>
    </row>
    <row r="22" spans="1:16" x14ac:dyDescent="0.35">
      <c r="A22" s="88">
        <v>1800009083</v>
      </c>
      <c r="B22" s="27" t="s">
        <v>5</v>
      </c>
      <c r="C22" s="28">
        <v>45797</v>
      </c>
      <c r="D22" s="29">
        <v>256779413847</v>
      </c>
      <c r="E22" s="27" t="s">
        <v>46</v>
      </c>
      <c r="F22" s="30">
        <v>100</v>
      </c>
      <c r="G22" s="30">
        <v>100</v>
      </c>
      <c r="H22" s="27" t="s">
        <v>42</v>
      </c>
      <c r="I22" s="30">
        <v>8598.3700000000008</v>
      </c>
      <c r="J22" s="30">
        <v>0</v>
      </c>
      <c r="K22" s="30">
        <v>98</v>
      </c>
      <c r="L22" s="30">
        <v>98</v>
      </c>
      <c r="M22" s="30">
        <v>2</v>
      </c>
      <c r="N22" s="30">
        <f t="shared" si="0"/>
        <v>0</v>
      </c>
      <c r="O22" s="56">
        <v>0.02</v>
      </c>
      <c r="P22" s="27" t="s">
        <v>100</v>
      </c>
    </row>
    <row r="23" spans="1:16" x14ac:dyDescent="0.35">
      <c r="A23" s="88">
        <v>1800009084</v>
      </c>
      <c r="B23" s="27" t="s">
        <v>5</v>
      </c>
      <c r="C23" s="28">
        <v>45797</v>
      </c>
      <c r="D23" s="29">
        <v>256779413848</v>
      </c>
      <c r="E23" s="27" t="s">
        <v>46</v>
      </c>
      <c r="F23" s="30">
        <v>100</v>
      </c>
      <c r="G23" s="30">
        <v>100</v>
      </c>
      <c r="H23" s="27" t="s">
        <v>42</v>
      </c>
      <c r="I23" s="30">
        <v>8598.3700000000008</v>
      </c>
      <c r="J23" s="30">
        <v>0</v>
      </c>
      <c r="K23" s="30">
        <v>98</v>
      </c>
      <c r="L23" s="30">
        <v>98</v>
      </c>
      <c r="M23" s="30">
        <v>2</v>
      </c>
      <c r="N23" s="30">
        <f t="shared" si="0"/>
        <v>0</v>
      </c>
      <c r="O23" s="56">
        <v>0.02</v>
      </c>
      <c r="P23" s="27" t="s">
        <v>100</v>
      </c>
    </row>
    <row r="24" spans="1:16" x14ac:dyDescent="0.35">
      <c r="A24" s="88">
        <v>1800011280</v>
      </c>
      <c r="B24" s="27" t="s">
        <v>5</v>
      </c>
      <c r="C24" s="28">
        <v>45863</v>
      </c>
      <c r="D24" s="29">
        <v>256779416012</v>
      </c>
      <c r="E24" s="27" t="s">
        <v>46</v>
      </c>
      <c r="F24" s="30">
        <v>100</v>
      </c>
      <c r="G24" s="30">
        <v>100</v>
      </c>
      <c r="H24" s="27" t="s">
        <v>42</v>
      </c>
      <c r="I24" s="30">
        <v>8600.07</v>
      </c>
      <c r="J24" s="30">
        <v>0</v>
      </c>
      <c r="K24" s="30">
        <v>98</v>
      </c>
      <c r="L24" s="30">
        <v>98</v>
      </c>
      <c r="M24" s="30">
        <v>2</v>
      </c>
      <c r="N24" s="30">
        <f t="shared" si="0"/>
        <v>0</v>
      </c>
      <c r="O24" s="56">
        <v>0.02</v>
      </c>
      <c r="P24" s="27" t="s">
        <v>104</v>
      </c>
    </row>
    <row r="25" spans="1:16" x14ac:dyDescent="0.35">
      <c r="A25" s="88">
        <v>1800001850</v>
      </c>
      <c r="B25" s="27" t="s">
        <v>5</v>
      </c>
      <c r="C25" s="28">
        <v>45730</v>
      </c>
      <c r="D25" s="29">
        <v>246779411515</v>
      </c>
      <c r="E25" s="27" t="s">
        <v>46</v>
      </c>
      <c r="F25" s="30">
        <v>100</v>
      </c>
      <c r="G25" s="30">
        <v>100</v>
      </c>
      <c r="H25" s="27" t="s">
        <v>42</v>
      </c>
      <c r="I25" s="30">
        <v>8669.1299999999992</v>
      </c>
      <c r="J25" s="30">
        <v>0</v>
      </c>
      <c r="K25" s="30">
        <v>98</v>
      </c>
      <c r="L25" s="30">
        <v>98</v>
      </c>
      <c r="M25" s="30">
        <v>2</v>
      </c>
      <c r="N25" s="30">
        <f t="shared" si="0"/>
        <v>0</v>
      </c>
      <c r="O25" s="56">
        <v>0.02</v>
      </c>
      <c r="P25" s="27" t="s">
        <v>106</v>
      </c>
    </row>
    <row r="26" spans="1:16" x14ac:dyDescent="0.35">
      <c r="A26" s="88">
        <v>1800009971</v>
      </c>
      <c r="B26" s="27" t="s">
        <v>5</v>
      </c>
      <c r="C26" s="28">
        <v>45827</v>
      </c>
      <c r="D26" s="29">
        <v>256779414735</v>
      </c>
      <c r="E26" s="27" t="s">
        <v>46</v>
      </c>
      <c r="F26" s="30">
        <v>100</v>
      </c>
      <c r="G26" s="30">
        <v>100</v>
      </c>
      <c r="H26" s="27" t="s">
        <v>42</v>
      </c>
      <c r="I26" s="30">
        <v>8549.08</v>
      </c>
      <c r="J26" s="30">
        <v>0</v>
      </c>
      <c r="K26" s="30">
        <v>90</v>
      </c>
      <c r="L26" s="30">
        <v>90</v>
      </c>
      <c r="M26" s="30">
        <v>10</v>
      </c>
      <c r="N26" s="30">
        <f t="shared" si="0"/>
        <v>0</v>
      </c>
      <c r="O26" s="56">
        <v>0.1</v>
      </c>
      <c r="P26" s="27" t="s">
        <v>108</v>
      </c>
    </row>
    <row r="27" spans="1:16" x14ac:dyDescent="0.35">
      <c r="A27" s="88">
        <v>1800012780</v>
      </c>
      <c r="B27" s="27" t="s">
        <v>5</v>
      </c>
      <c r="C27" s="28">
        <v>45917</v>
      </c>
      <c r="D27" s="29">
        <v>256779417434</v>
      </c>
      <c r="E27" s="27" t="s">
        <v>46</v>
      </c>
      <c r="F27" s="30">
        <v>100</v>
      </c>
      <c r="G27" s="30">
        <v>100</v>
      </c>
      <c r="H27" s="27" t="s">
        <v>42</v>
      </c>
      <c r="I27" s="30">
        <v>8751.43</v>
      </c>
      <c r="J27" s="30">
        <v>0</v>
      </c>
      <c r="K27" s="30">
        <v>98</v>
      </c>
      <c r="L27" s="30">
        <v>98</v>
      </c>
      <c r="M27" s="30">
        <v>2</v>
      </c>
      <c r="N27" s="30">
        <f t="shared" si="0"/>
        <v>0</v>
      </c>
      <c r="O27" s="56">
        <v>0.02</v>
      </c>
      <c r="P27" s="27" t="s">
        <v>114</v>
      </c>
    </row>
    <row r="28" spans="1:16" x14ac:dyDescent="0.35">
      <c r="A28" s="88">
        <v>1800013749</v>
      </c>
      <c r="B28" s="27" t="s">
        <v>5</v>
      </c>
      <c r="C28" s="28">
        <v>45937</v>
      </c>
      <c r="D28" s="29">
        <v>256779418170</v>
      </c>
      <c r="E28" s="27" t="s">
        <v>46</v>
      </c>
      <c r="F28" s="30">
        <v>100</v>
      </c>
      <c r="G28" s="30">
        <v>100</v>
      </c>
      <c r="H28" s="27" t="s">
        <v>42</v>
      </c>
      <c r="I28" s="30">
        <v>8819.08</v>
      </c>
      <c r="J28" s="30">
        <v>0</v>
      </c>
      <c r="K28" s="30">
        <v>98</v>
      </c>
      <c r="L28" s="30">
        <v>98</v>
      </c>
      <c r="M28" s="30">
        <v>2</v>
      </c>
      <c r="N28" s="30">
        <f t="shared" si="0"/>
        <v>0</v>
      </c>
      <c r="O28" s="56">
        <v>0.02</v>
      </c>
      <c r="P28" s="27" t="s">
        <v>116</v>
      </c>
    </row>
    <row r="29" spans="1:16" x14ac:dyDescent="0.35">
      <c r="A29" s="88">
        <v>1800000931</v>
      </c>
      <c r="B29" s="27" t="s">
        <v>5</v>
      </c>
      <c r="C29" s="28">
        <v>45722</v>
      </c>
      <c r="D29" s="29">
        <v>246779410871</v>
      </c>
      <c r="E29" s="27" t="s">
        <v>46</v>
      </c>
      <c r="F29" s="30">
        <v>42.51</v>
      </c>
      <c r="G29" s="30">
        <v>42.51</v>
      </c>
      <c r="H29" s="27" t="s">
        <v>42</v>
      </c>
      <c r="I29" s="30">
        <v>3685.25</v>
      </c>
      <c r="J29" s="30">
        <v>0</v>
      </c>
      <c r="K29" s="30">
        <v>38.259</v>
      </c>
      <c r="L29" s="30">
        <v>38.259</v>
      </c>
      <c r="M29" s="30">
        <v>4.2509999999999977</v>
      </c>
      <c r="N29" s="30">
        <f t="shared" si="0"/>
        <v>0</v>
      </c>
      <c r="O29" s="56">
        <v>9.999999999999995E-2</v>
      </c>
      <c r="P29" s="27" t="s">
        <v>124</v>
      </c>
    </row>
    <row r="30" spans="1:16" x14ac:dyDescent="0.35">
      <c r="A30" s="88">
        <v>1800000953</v>
      </c>
      <c r="B30" s="27" t="s">
        <v>5</v>
      </c>
      <c r="C30" s="28">
        <v>45722</v>
      </c>
      <c r="D30" s="29">
        <v>246779410893</v>
      </c>
      <c r="E30" s="27" t="s">
        <v>46</v>
      </c>
      <c r="F30" s="30">
        <v>177.18</v>
      </c>
      <c r="G30" s="30">
        <v>177.18</v>
      </c>
      <c r="H30" s="27" t="s">
        <v>42</v>
      </c>
      <c r="I30" s="30">
        <v>15359.96</v>
      </c>
      <c r="J30" s="30">
        <v>0</v>
      </c>
      <c r="K30" s="30">
        <v>159.46199999999999</v>
      </c>
      <c r="L30" s="30">
        <v>159.46199999999999</v>
      </c>
      <c r="M30" s="30">
        <v>17.718000000000018</v>
      </c>
      <c r="N30" s="30">
        <f t="shared" si="0"/>
        <v>0</v>
      </c>
      <c r="O30" s="56">
        <v>0.1000000000000001</v>
      </c>
      <c r="P30" s="27" t="s">
        <v>126</v>
      </c>
    </row>
    <row r="31" spans="1:16" x14ac:dyDescent="0.35">
      <c r="A31" s="88">
        <v>1800000414</v>
      </c>
      <c r="B31" s="27" t="s">
        <v>5</v>
      </c>
      <c r="C31" s="28">
        <v>45719</v>
      </c>
      <c r="D31" s="29">
        <v>246779410376</v>
      </c>
      <c r="E31" s="27" t="s">
        <v>46</v>
      </c>
      <c r="F31" s="30">
        <v>711.35</v>
      </c>
      <c r="G31" s="30">
        <v>711.35</v>
      </c>
      <c r="H31" s="27" t="s">
        <v>42</v>
      </c>
      <c r="I31" s="30">
        <v>61667.83</v>
      </c>
      <c r="J31" s="30">
        <v>0</v>
      </c>
      <c r="K31" s="30">
        <v>640.21500000000003</v>
      </c>
      <c r="L31" s="30">
        <v>640.21500000000003</v>
      </c>
      <c r="M31" s="30">
        <v>71.134999999999991</v>
      </c>
      <c r="N31" s="30">
        <f t="shared" si="0"/>
        <v>0</v>
      </c>
      <c r="O31" s="56">
        <v>9.9999999999999978E-2</v>
      </c>
      <c r="P31" s="27" t="s">
        <v>130</v>
      </c>
    </row>
    <row r="32" spans="1:16" x14ac:dyDescent="0.35">
      <c r="A32" s="88">
        <v>1800000439</v>
      </c>
      <c r="B32" s="27" t="s">
        <v>5</v>
      </c>
      <c r="C32" s="28">
        <v>45719</v>
      </c>
      <c r="D32" s="29">
        <v>246779410401</v>
      </c>
      <c r="E32" s="27" t="s">
        <v>46</v>
      </c>
      <c r="F32" s="30">
        <v>1298.96</v>
      </c>
      <c r="G32" s="30">
        <v>1298.96</v>
      </c>
      <c r="H32" s="27" t="s">
        <v>42</v>
      </c>
      <c r="I32" s="30">
        <v>112608.48</v>
      </c>
      <c r="J32" s="30">
        <v>0</v>
      </c>
      <c r="K32" s="30">
        <v>1169.0640000000001</v>
      </c>
      <c r="L32" s="30">
        <v>1169.0640000000001</v>
      </c>
      <c r="M32" s="30">
        <v>129.89599999999996</v>
      </c>
      <c r="N32" s="30">
        <f t="shared" si="0"/>
        <v>0</v>
      </c>
      <c r="O32" s="56">
        <v>9.9999999999999964E-2</v>
      </c>
      <c r="P32" s="27" t="s">
        <v>132</v>
      </c>
    </row>
    <row r="33" spans="1:16" x14ac:dyDescent="0.35">
      <c r="A33" s="88">
        <v>1800000463</v>
      </c>
      <c r="B33" s="27" t="s">
        <v>5</v>
      </c>
      <c r="C33" s="28">
        <v>45719</v>
      </c>
      <c r="D33" s="29">
        <v>246779410425</v>
      </c>
      <c r="E33" s="27" t="s">
        <v>46</v>
      </c>
      <c r="F33" s="30">
        <v>1687.21</v>
      </c>
      <c r="G33" s="30">
        <v>1687.21</v>
      </c>
      <c r="H33" s="27" t="s">
        <v>42</v>
      </c>
      <c r="I33" s="30">
        <v>146266.35999999999</v>
      </c>
      <c r="J33" s="30">
        <v>0</v>
      </c>
      <c r="K33" s="30">
        <v>1518.489</v>
      </c>
      <c r="L33" s="30">
        <v>1518.489</v>
      </c>
      <c r="M33" s="30">
        <v>168.721</v>
      </c>
      <c r="N33" s="30">
        <f t="shared" si="0"/>
        <v>0</v>
      </c>
      <c r="O33" s="56">
        <v>0.1</v>
      </c>
      <c r="P33" s="27" t="s">
        <v>134</v>
      </c>
    </row>
    <row r="34" spans="1:16" x14ac:dyDescent="0.35">
      <c r="A34" s="88">
        <v>1800001956</v>
      </c>
      <c r="B34" s="27" t="s">
        <v>5</v>
      </c>
      <c r="C34" s="28">
        <v>45733</v>
      </c>
      <c r="D34" s="29">
        <v>246779411621</v>
      </c>
      <c r="E34" s="27" t="s">
        <v>46</v>
      </c>
      <c r="F34" s="30">
        <v>444.04</v>
      </c>
      <c r="G34" s="30">
        <v>444.04</v>
      </c>
      <c r="H34" s="27" t="s">
        <v>42</v>
      </c>
      <c r="I34" s="30">
        <v>38494.39</v>
      </c>
      <c r="J34" s="30">
        <v>0</v>
      </c>
      <c r="K34" s="30">
        <v>435.1592</v>
      </c>
      <c r="L34" s="30">
        <v>435.1592</v>
      </c>
      <c r="M34" s="30">
        <v>8.880800000000022</v>
      </c>
      <c r="N34" s="30">
        <f t="shared" si="0"/>
        <v>0</v>
      </c>
      <c r="O34" s="56">
        <v>2.0000000000000049E-2</v>
      </c>
      <c r="P34" s="27" t="s">
        <v>136</v>
      </c>
    </row>
    <row r="35" spans="1:16" x14ac:dyDescent="0.35">
      <c r="A35" s="88">
        <v>1800002095</v>
      </c>
      <c r="B35" s="27" t="s">
        <v>5</v>
      </c>
      <c r="C35" s="28">
        <v>45733</v>
      </c>
      <c r="D35" s="29">
        <v>246779411760</v>
      </c>
      <c r="E35" s="27" t="s">
        <v>46</v>
      </c>
      <c r="F35" s="30">
        <v>520.16999999999996</v>
      </c>
      <c r="G35" s="30">
        <v>520.16999999999996</v>
      </c>
      <c r="H35" s="27" t="s">
        <v>42</v>
      </c>
      <c r="I35" s="30">
        <v>45094.19</v>
      </c>
      <c r="J35" s="30">
        <v>0</v>
      </c>
      <c r="K35" s="30">
        <v>509.76659999999998</v>
      </c>
      <c r="L35" s="30">
        <v>509.76659999999998</v>
      </c>
      <c r="M35" s="30">
        <v>10.403399999999976</v>
      </c>
      <c r="N35" s="30">
        <f t="shared" si="0"/>
        <v>0</v>
      </c>
      <c r="O35" s="56">
        <v>1.9999999999999955E-2</v>
      </c>
      <c r="P35" s="27" t="s">
        <v>138</v>
      </c>
    </row>
    <row r="36" spans="1:16" x14ac:dyDescent="0.35">
      <c r="A36" s="88">
        <v>1800002401</v>
      </c>
      <c r="B36" s="27" t="s">
        <v>5</v>
      </c>
      <c r="C36" s="28">
        <v>45733</v>
      </c>
      <c r="D36" s="29">
        <v>246779412066</v>
      </c>
      <c r="E36" s="27" t="s">
        <v>46</v>
      </c>
      <c r="F36" s="30">
        <v>66.5</v>
      </c>
      <c r="G36" s="30">
        <v>66.5</v>
      </c>
      <c r="H36" s="27" t="s">
        <v>42</v>
      </c>
      <c r="I36" s="30">
        <v>5764.97</v>
      </c>
      <c r="J36" s="30">
        <v>0</v>
      </c>
      <c r="K36" s="30">
        <v>65.17</v>
      </c>
      <c r="L36" s="30">
        <v>65.17</v>
      </c>
      <c r="M36" s="30">
        <v>1.3299999999999983</v>
      </c>
      <c r="N36" s="30">
        <f t="shared" si="0"/>
        <v>0</v>
      </c>
      <c r="O36" s="56">
        <v>1.9999999999999973E-2</v>
      </c>
      <c r="P36" s="27" t="s">
        <v>140</v>
      </c>
    </row>
    <row r="37" spans="1:16" x14ac:dyDescent="0.35">
      <c r="A37" s="88">
        <v>1800002272</v>
      </c>
      <c r="B37" s="27" t="s">
        <v>5</v>
      </c>
      <c r="C37" s="28">
        <v>45733</v>
      </c>
      <c r="D37" s="29">
        <v>246779411937</v>
      </c>
      <c r="E37" s="27" t="s">
        <v>46</v>
      </c>
      <c r="F37" s="30">
        <v>7.27</v>
      </c>
      <c r="G37" s="30">
        <v>7.27</v>
      </c>
      <c r="H37" s="27" t="s">
        <v>42</v>
      </c>
      <c r="I37" s="30">
        <v>630.25</v>
      </c>
      <c r="J37" s="30">
        <v>0</v>
      </c>
      <c r="K37" s="30">
        <v>7.1246</v>
      </c>
      <c r="L37" s="30">
        <v>7.1246</v>
      </c>
      <c r="M37" s="30">
        <v>0.14539999999999953</v>
      </c>
      <c r="N37" s="30">
        <f t="shared" si="0"/>
        <v>0</v>
      </c>
      <c r="O37" s="56">
        <v>1.9999999999999938E-2</v>
      </c>
      <c r="P37" s="27" t="s">
        <v>142</v>
      </c>
    </row>
    <row r="38" spans="1:16" x14ac:dyDescent="0.35">
      <c r="A38" s="88">
        <v>1800002273</v>
      </c>
      <c r="B38" s="27" t="s">
        <v>5</v>
      </c>
      <c r="C38" s="28">
        <v>45733</v>
      </c>
      <c r="D38" s="29">
        <v>246779411938</v>
      </c>
      <c r="E38" s="27" t="s">
        <v>46</v>
      </c>
      <c r="F38" s="30">
        <v>53.26</v>
      </c>
      <c r="G38" s="30">
        <v>53.26</v>
      </c>
      <c r="H38" s="27" t="s">
        <v>42</v>
      </c>
      <c r="I38" s="30">
        <v>4617.18</v>
      </c>
      <c r="J38" s="30">
        <v>0</v>
      </c>
      <c r="K38" s="30">
        <v>52.194800000000001</v>
      </c>
      <c r="L38" s="30">
        <v>52.194800000000001</v>
      </c>
      <c r="M38" s="30">
        <v>1.0651999999999973</v>
      </c>
      <c r="N38" s="30">
        <f t="shared" si="0"/>
        <v>0</v>
      </c>
      <c r="O38" s="56">
        <v>1.9999999999999948E-2</v>
      </c>
      <c r="P38" s="27" t="s">
        <v>142</v>
      </c>
    </row>
    <row r="39" spans="1:16" x14ac:dyDescent="0.35">
      <c r="A39" s="88">
        <v>1800002274</v>
      </c>
      <c r="B39" s="27" t="s">
        <v>5</v>
      </c>
      <c r="C39" s="28">
        <v>45733</v>
      </c>
      <c r="D39" s="29">
        <v>246779411939</v>
      </c>
      <c r="E39" s="27" t="s">
        <v>46</v>
      </c>
      <c r="F39" s="30">
        <v>23.08</v>
      </c>
      <c r="G39" s="30">
        <v>23.08</v>
      </c>
      <c r="H39" s="27" t="s">
        <v>42</v>
      </c>
      <c r="I39" s="30">
        <v>2000.83</v>
      </c>
      <c r="J39" s="30">
        <v>0</v>
      </c>
      <c r="K39" s="30">
        <v>22.618400000000001</v>
      </c>
      <c r="L39" s="30">
        <v>22.618400000000001</v>
      </c>
      <c r="M39" s="30">
        <v>0.46159999999999712</v>
      </c>
      <c r="N39" s="30">
        <f t="shared" si="0"/>
        <v>0</v>
      </c>
      <c r="O39" s="56">
        <v>1.9999999999999876E-2</v>
      </c>
      <c r="P39" s="27" t="s">
        <v>142</v>
      </c>
    </row>
    <row r="40" spans="1:16" x14ac:dyDescent="0.35">
      <c r="A40" s="88">
        <v>1800002275</v>
      </c>
      <c r="B40" s="27" t="s">
        <v>5</v>
      </c>
      <c r="C40" s="28">
        <v>45733</v>
      </c>
      <c r="D40" s="29">
        <v>246779411940</v>
      </c>
      <c r="E40" s="27" t="s">
        <v>46</v>
      </c>
      <c r="F40" s="30">
        <v>52.73</v>
      </c>
      <c r="G40" s="30">
        <v>52.73</v>
      </c>
      <c r="H40" s="27" t="s">
        <v>42</v>
      </c>
      <c r="I40" s="30">
        <v>4571.2299999999996</v>
      </c>
      <c r="J40" s="30">
        <v>0</v>
      </c>
      <c r="K40" s="30">
        <v>51.675400000000003</v>
      </c>
      <c r="L40" s="30">
        <v>51.675400000000003</v>
      </c>
      <c r="M40" s="30">
        <v>1.0545999999999935</v>
      </c>
      <c r="N40" s="30">
        <f t="shared" si="0"/>
        <v>0</v>
      </c>
      <c r="O40" s="56">
        <v>1.9999999999999879E-2</v>
      </c>
      <c r="P40" s="27" t="s">
        <v>142</v>
      </c>
    </row>
    <row r="41" spans="1:16" x14ac:dyDescent="0.35">
      <c r="A41" s="88">
        <v>1800002276</v>
      </c>
      <c r="B41" s="27" t="s">
        <v>5</v>
      </c>
      <c r="C41" s="28">
        <v>45733</v>
      </c>
      <c r="D41" s="29">
        <v>246779411941</v>
      </c>
      <c r="E41" s="27" t="s">
        <v>46</v>
      </c>
      <c r="F41" s="30">
        <v>76.02</v>
      </c>
      <c r="G41" s="30">
        <v>76.02</v>
      </c>
      <c r="H41" s="27" t="s">
        <v>42</v>
      </c>
      <c r="I41" s="30">
        <v>6590.27</v>
      </c>
      <c r="J41" s="30">
        <v>0</v>
      </c>
      <c r="K41" s="30">
        <v>74.499600000000001</v>
      </c>
      <c r="L41" s="30">
        <v>74.499600000000001</v>
      </c>
      <c r="M41" s="30">
        <v>1.5203999999999951</v>
      </c>
      <c r="N41" s="30">
        <f t="shared" si="0"/>
        <v>0</v>
      </c>
      <c r="O41" s="56">
        <v>1.9999999999999938E-2</v>
      </c>
      <c r="P41" s="27" t="s">
        <v>142</v>
      </c>
    </row>
    <row r="42" spans="1:16" x14ac:dyDescent="0.35">
      <c r="A42" s="88">
        <v>1800006261</v>
      </c>
      <c r="B42" s="27" t="s">
        <v>5</v>
      </c>
      <c r="C42" s="28">
        <v>45762</v>
      </c>
      <c r="D42" s="29">
        <v>256779411152</v>
      </c>
      <c r="E42" s="27" t="s">
        <v>46</v>
      </c>
      <c r="F42" s="30">
        <v>164.38</v>
      </c>
      <c r="G42" s="30">
        <v>164.38</v>
      </c>
      <c r="H42" s="27" t="s">
        <v>42</v>
      </c>
      <c r="I42" s="30">
        <v>14288.21</v>
      </c>
      <c r="J42" s="30">
        <v>0</v>
      </c>
      <c r="K42" s="30">
        <v>161.09</v>
      </c>
      <c r="L42" s="30">
        <v>161.09</v>
      </c>
      <c r="M42" s="30">
        <v>3.289999999999992</v>
      </c>
      <c r="N42" s="30">
        <f t="shared" si="0"/>
        <v>0</v>
      </c>
      <c r="O42" s="56">
        <v>2.0014600316340139E-2</v>
      </c>
      <c r="P42" s="27" t="s">
        <v>148</v>
      </c>
    </row>
    <row r="43" spans="1:16" x14ac:dyDescent="0.35">
      <c r="A43" s="88">
        <v>1800006262</v>
      </c>
      <c r="B43" s="27" t="s">
        <v>5</v>
      </c>
      <c r="C43" s="28">
        <v>45762</v>
      </c>
      <c r="D43" s="29">
        <v>256779411153</v>
      </c>
      <c r="E43" s="27" t="s">
        <v>46</v>
      </c>
      <c r="F43" s="30">
        <v>26.54</v>
      </c>
      <c r="G43" s="30">
        <v>26.54</v>
      </c>
      <c r="H43" s="27" t="s">
        <v>42</v>
      </c>
      <c r="I43" s="30">
        <v>2306.91</v>
      </c>
      <c r="J43" s="30">
        <v>0</v>
      </c>
      <c r="K43" s="30">
        <v>26.01</v>
      </c>
      <c r="L43" s="30">
        <v>26.01</v>
      </c>
      <c r="M43" s="30">
        <v>0.52999999999999758</v>
      </c>
      <c r="N43" s="30">
        <f t="shared" si="0"/>
        <v>0</v>
      </c>
      <c r="O43" s="56">
        <v>1.9969856819894407E-2</v>
      </c>
      <c r="P43" s="27" t="s">
        <v>150</v>
      </c>
    </row>
    <row r="44" spans="1:16" x14ac:dyDescent="0.35">
      <c r="A44" s="88">
        <v>1800006263</v>
      </c>
      <c r="B44" s="27" t="s">
        <v>5</v>
      </c>
      <c r="C44" s="28">
        <v>45762</v>
      </c>
      <c r="D44" s="29">
        <v>256779411154</v>
      </c>
      <c r="E44" s="27" t="s">
        <v>46</v>
      </c>
      <c r="F44" s="30">
        <v>84.26</v>
      </c>
      <c r="G44" s="30">
        <v>84.26</v>
      </c>
      <c r="H44" s="27" t="s">
        <v>42</v>
      </c>
      <c r="I44" s="30">
        <v>7324.03</v>
      </c>
      <c r="J44" s="30">
        <v>0</v>
      </c>
      <c r="K44" s="30">
        <v>82.57</v>
      </c>
      <c r="L44" s="30">
        <v>82.57</v>
      </c>
      <c r="M44" s="30">
        <v>1.6900000000000119</v>
      </c>
      <c r="N44" s="30">
        <f t="shared" si="0"/>
        <v>0</v>
      </c>
      <c r="O44" s="56">
        <v>2.0056966532162494E-2</v>
      </c>
      <c r="P44" s="27" t="s">
        <v>150</v>
      </c>
    </row>
    <row r="45" spans="1:16" x14ac:dyDescent="0.35">
      <c r="A45" s="88">
        <v>1800006264</v>
      </c>
      <c r="B45" s="27" t="s">
        <v>5</v>
      </c>
      <c r="C45" s="28">
        <v>45762</v>
      </c>
      <c r="D45" s="29">
        <v>256779411155</v>
      </c>
      <c r="E45" s="27" t="s">
        <v>46</v>
      </c>
      <c r="F45" s="30">
        <v>36.9</v>
      </c>
      <c r="G45" s="30">
        <v>36.9</v>
      </c>
      <c r="H45" s="27" t="s">
        <v>42</v>
      </c>
      <c r="I45" s="30">
        <v>3207.42</v>
      </c>
      <c r="J45" s="30">
        <v>0</v>
      </c>
      <c r="K45" s="30">
        <v>36.159999999999997</v>
      </c>
      <c r="L45" s="30">
        <v>36.159999999999997</v>
      </c>
      <c r="M45" s="30">
        <v>0.74000000000000199</v>
      </c>
      <c r="N45" s="30">
        <f t="shared" si="0"/>
        <v>0</v>
      </c>
      <c r="O45" s="56">
        <v>2.0054200542005476E-2</v>
      </c>
      <c r="P45" s="27" t="s">
        <v>153</v>
      </c>
    </row>
    <row r="46" spans="1:16" x14ac:dyDescent="0.35">
      <c r="A46" s="88">
        <v>1800006265</v>
      </c>
      <c r="B46" s="27" t="s">
        <v>5</v>
      </c>
      <c r="C46" s="28">
        <v>45762</v>
      </c>
      <c r="D46" s="29">
        <v>256779411156</v>
      </c>
      <c r="E46" s="27" t="s">
        <v>46</v>
      </c>
      <c r="F46" s="30">
        <v>20.23</v>
      </c>
      <c r="G46" s="30">
        <v>20.23</v>
      </c>
      <c r="H46" s="27" t="s">
        <v>42</v>
      </c>
      <c r="I46" s="30">
        <v>1758.43</v>
      </c>
      <c r="J46" s="30">
        <v>0</v>
      </c>
      <c r="K46" s="30">
        <v>19.829999999999998</v>
      </c>
      <c r="L46" s="30">
        <v>19.829999999999998</v>
      </c>
      <c r="M46" s="30">
        <v>0.40000000000000213</v>
      </c>
      <c r="N46" s="30">
        <f t="shared" si="0"/>
        <v>0</v>
      </c>
      <c r="O46" s="56">
        <v>1.9772614928324377E-2</v>
      </c>
      <c r="P46" s="27" t="s">
        <v>153</v>
      </c>
    </row>
    <row r="47" spans="1:16" x14ac:dyDescent="0.35">
      <c r="A47" s="88">
        <v>1800006266</v>
      </c>
      <c r="B47" s="27" t="s">
        <v>5</v>
      </c>
      <c r="C47" s="28">
        <v>45762</v>
      </c>
      <c r="D47" s="29">
        <v>256779411157</v>
      </c>
      <c r="E47" s="27" t="s">
        <v>46</v>
      </c>
      <c r="F47" s="30">
        <v>116.32</v>
      </c>
      <c r="G47" s="30">
        <v>116.32</v>
      </c>
      <c r="H47" s="27" t="s">
        <v>42</v>
      </c>
      <c r="I47" s="30">
        <v>10110.75</v>
      </c>
      <c r="J47" s="30">
        <v>0</v>
      </c>
      <c r="K47" s="30">
        <v>113.99</v>
      </c>
      <c r="L47" s="30">
        <v>113.99</v>
      </c>
      <c r="M47" s="30">
        <v>2.3299999999999983</v>
      </c>
      <c r="N47" s="30">
        <f t="shared" si="0"/>
        <v>0</v>
      </c>
      <c r="O47" s="56">
        <v>2.0030949105914703E-2</v>
      </c>
      <c r="P47" s="27" t="s">
        <v>153</v>
      </c>
    </row>
    <row r="48" spans="1:16" x14ac:dyDescent="0.35">
      <c r="A48" s="88">
        <v>1800006674</v>
      </c>
      <c r="B48" s="27" t="s">
        <v>5</v>
      </c>
      <c r="C48" s="28">
        <v>45762</v>
      </c>
      <c r="D48" s="29">
        <v>256779411565</v>
      </c>
      <c r="E48" s="27" t="s">
        <v>46</v>
      </c>
      <c r="F48" s="30">
        <v>22</v>
      </c>
      <c r="G48" s="30">
        <v>22</v>
      </c>
      <c r="H48" s="27" t="s">
        <v>42</v>
      </c>
      <c r="I48" s="30">
        <v>1912.28</v>
      </c>
      <c r="J48" s="30">
        <v>0</v>
      </c>
      <c r="K48" s="30">
        <v>21.56</v>
      </c>
      <c r="L48" s="30">
        <v>21.56</v>
      </c>
      <c r="M48" s="30">
        <v>0.44000000000000128</v>
      </c>
      <c r="N48" s="30">
        <f t="shared" si="0"/>
        <v>0</v>
      </c>
      <c r="O48" s="56">
        <v>2.0000000000000059E-2</v>
      </c>
      <c r="P48" s="27" t="s">
        <v>157</v>
      </c>
    </row>
    <row r="49" spans="1:16" x14ac:dyDescent="0.35">
      <c r="A49" s="88">
        <v>1800006675</v>
      </c>
      <c r="B49" s="27" t="s">
        <v>5</v>
      </c>
      <c r="C49" s="28">
        <v>45762</v>
      </c>
      <c r="D49" s="29">
        <v>256779411566</v>
      </c>
      <c r="E49" s="27" t="s">
        <v>46</v>
      </c>
      <c r="F49" s="30">
        <v>4.4000000000000004</v>
      </c>
      <c r="G49" s="30">
        <v>4.4000000000000004</v>
      </c>
      <c r="H49" s="27" t="s">
        <v>42</v>
      </c>
      <c r="I49" s="30">
        <v>382.46</v>
      </c>
      <c r="J49" s="30">
        <v>0</v>
      </c>
      <c r="K49" s="30">
        <v>4.3099999999999996</v>
      </c>
      <c r="L49" s="30">
        <v>4.3099999999999996</v>
      </c>
      <c r="M49" s="30">
        <v>9.0000000000000746E-2</v>
      </c>
      <c r="N49" s="30">
        <f t="shared" si="0"/>
        <v>0</v>
      </c>
      <c r="O49" s="56">
        <v>2.0454545454545621E-2</v>
      </c>
      <c r="P49" s="27" t="s">
        <v>157</v>
      </c>
    </row>
    <row r="50" spans="1:16" x14ac:dyDescent="0.35">
      <c r="A50" s="88">
        <v>1800006676</v>
      </c>
      <c r="B50" s="27" t="s">
        <v>5</v>
      </c>
      <c r="C50" s="28">
        <v>45762</v>
      </c>
      <c r="D50" s="29">
        <v>256779411567</v>
      </c>
      <c r="E50" s="27" t="s">
        <v>46</v>
      </c>
      <c r="F50" s="30">
        <v>5.84</v>
      </c>
      <c r="G50" s="30">
        <v>5.84</v>
      </c>
      <c r="H50" s="27" t="s">
        <v>42</v>
      </c>
      <c r="I50" s="30">
        <v>507.62</v>
      </c>
      <c r="J50" s="30">
        <v>0</v>
      </c>
      <c r="K50" s="30">
        <v>5.72</v>
      </c>
      <c r="L50" s="30">
        <v>5.72</v>
      </c>
      <c r="M50" s="30">
        <v>0.12000000000000011</v>
      </c>
      <c r="N50" s="30">
        <f t="shared" si="0"/>
        <v>0</v>
      </c>
      <c r="O50" s="56">
        <v>2.0547945205479472E-2</v>
      </c>
      <c r="P50" s="27" t="s">
        <v>157</v>
      </c>
    </row>
    <row r="51" spans="1:16" x14ac:dyDescent="0.35">
      <c r="A51" s="88">
        <v>1800006677</v>
      </c>
      <c r="B51" s="27" t="s">
        <v>5</v>
      </c>
      <c r="C51" s="28">
        <v>45762</v>
      </c>
      <c r="D51" s="29">
        <v>256779411568</v>
      </c>
      <c r="E51" s="27" t="s">
        <v>46</v>
      </c>
      <c r="F51" s="30">
        <v>0.8</v>
      </c>
      <c r="G51" s="30">
        <v>0.8</v>
      </c>
      <c r="H51" s="27" t="s">
        <v>42</v>
      </c>
      <c r="I51" s="30">
        <v>69.540000000000006</v>
      </c>
      <c r="J51" s="30">
        <v>0</v>
      </c>
      <c r="K51" s="30">
        <v>0.78</v>
      </c>
      <c r="L51" s="30">
        <v>0.78</v>
      </c>
      <c r="M51" s="30">
        <v>2.0000000000000018E-2</v>
      </c>
      <c r="N51" s="30">
        <f t="shared" si="0"/>
        <v>0</v>
      </c>
      <c r="O51" s="56">
        <v>2.5000000000000022E-2</v>
      </c>
      <c r="P51" s="27" t="s">
        <v>157</v>
      </c>
    </row>
    <row r="52" spans="1:16" x14ac:dyDescent="0.35">
      <c r="A52" s="88">
        <v>1800006678</v>
      </c>
      <c r="B52" s="27" t="s">
        <v>5</v>
      </c>
      <c r="C52" s="28">
        <v>45762</v>
      </c>
      <c r="D52" s="29">
        <v>256779411569</v>
      </c>
      <c r="E52" s="27" t="s">
        <v>46</v>
      </c>
      <c r="F52" s="30">
        <v>13.85</v>
      </c>
      <c r="G52" s="30">
        <v>13.85</v>
      </c>
      <c r="H52" s="27" t="s">
        <v>42</v>
      </c>
      <c r="I52" s="30">
        <v>1203.8699999999999</v>
      </c>
      <c r="J52" s="30">
        <v>0</v>
      </c>
      <c r="K52" s="30">
        <v>13.57</v>
      </c>
      <c r="L52" s="30">
        <v>13.57</v>
      </c>
      <c r="M52" s="30">
        <v>0.27999999999999936</v>
      </c>
      <c r="N52" s="30">
        <f t="shared" si="0"/>
        <v>0</v>
      </c>
      <c r="O52" s="56">
        <v>2.02166064981949E-2</v>
      </c>
      <c r="P52" s="27" t="s">
        <v>157</v>
      </c>
    </row>
    <row r="53" spans="1:16" x14ac:dyDescent="0.35">
      <c r="A53" s="88">
        <v>1800006679</v>
      </c>
      <c r="B53" s="27" t="s">
        <v>5</v>
      </c>
      <c r="C53" s="28">
        <v>45762</v>
      </c>
      <c r="D53" s="29">
        <v>256779411570</v>
      </c>
      <c r="E53" s="27" t="s">
        <v>46</v>
      </c>
      <c r="F53" s="30">
        <v>18.149999999999999</v>
      </c>
      <c r="G53" s="30">
        <v>18.149999999999999</v>
      </c>
      <c r="H53" s="27" t="s">
        <v>42</v>
      </c>
      <c r="I53" s="30">
        <v>1577.63</v>
      </c>
      <c r="J53" s="30">
        <v>0</v>
      </c>
      <c r="K53" s="30">
        <v>17.79</v>
      </c>
      <c r="L53" s="30">
        <v>17.79</v>
      </c>
      <c r="M53" s="30">
        <v>0.35999999999999943</v>
      </c>
      <c r="N53" s="30">
        <f t="shared" si="0"/>
        <v>0</v>
      </c>
      <c r="O53" s="56">
        <v>1.9834710743801623E-2</v>
      </c>
      <c r="P53" s="27" t="s">
        <v>157</v>
      </c>
    </row>
    <row r="54" spans="1:16" x14ac:dyDescent="0.35">
      <c r="A54" s="88">
        <v>1800006680</v>
      </c>
      <c r="B54" s="27" t="s">
        <v>5</v>
      </c>
      <c r="C54" s="28">
        <v>45762</v>
      </c>
      <c r="D54" s="29">
        <v>256779411571</v>
      </c>
      <c r="E54" s="27" t="s">
        <v>46</v>
      </c>
      <c r="F54" s="30">
        <v>21.36</v>
      </c>
      <c r="G54" s="30">
        <v>21.36</v>
      </c>
      <c r="H54" s="27" t="s">
        <v>42</v>
      </c>
      <c r="I54" s="30">
        <v>1856.65</v>
      </c>
      <c r="J54" s="30">
        <v>0</v>
      </c>
      <c r="K54" s="30">
        <v>20.93</v>
      </c>
      <c r="L54" s="30">
        <v>20.93</v>
      </c>
      <c r="M54" s="30">
        <v>0.42999999999999972</v>
      </c>
      <c r="N54" s="30">
        <f t="shared" si="0"/>
        <v>0</v>
      </c>
      <c r="O54" s="56">
        <v>2.0131086142322084E-2</v>
      </c>
      <c r="P54" s="27" t="s">
        <v>157</v>
      </c>
    </row>
    <row r="55" spans="1:16" x14ac:dyDescent="0.35">
      <c r="A55" s="88">
        <v>1800006681</v>
      </c>
      <c r="B55" s="27" t="s">
        <v>5</v>
      </c>
      <c r="C55" s="28">
        <v>45762</v>
      </c>
      <c r="D55" s="29">
        <v>256779411572</v>
      </c>
      <c r="E55" s="27" t="s">
        <v>46</v>
      </c>
      <c r="F55" s="30">
        <v>1.97</v>
      </c>
      <c r="G55" s="30">
        <v>1.97</v>
      </c>
      <c r="H55" s="27" t="s">
        <v>42</v>
      </c>
      <c r="I55" s="30">
        <v>171.24</v>
      </c>
      <c r="J55" s="30">
        <v>0</v>
      </c>
      <c r="K55" s="30">
        <v>1.93</v>
      </c>
      <c r="L55" s="30">
        <v>1.93</v>
      </c>
      <c r="M55" s="30">
        <v>4.0000000000000036E-2</v>
      </c>
      <c r="N55" s="30">
        <f t="shared" si="0"/>
        <v>0</v>
      </c>
      <c r="O55" s="56">
        <v>2.0304568527918801E-2</v>
      </c>
      <c r="P55" s="27" t="s">
        <v>157</v>
      </c>
    </row>
    <row r="56" spans="1:16" x14ac:dyDescent="0.35">
      <c r="A56" s="88">
        <v>1800006682</v>
      </c>
      <c r="B56" s="27" t="s">
        <v>5</v>
      </c>
      <c r="C56" s="28">
        <v>45762</v>
      </c>
      <c r="D56" s="29">
        <v>256779411573</v>
      </c>
      <c r="E56" s="27" t="s">
        <v>46</v>
      </c>
      <c r="F56" s="30">
        <v>24.21</v>
      </c>
      <c r="G56" s="30">
        <v>24.21</v>
      </c>
      <c r="H56" s="27" t="s">
        <v>42</v>
      </c>
      <c r="I56" s="30">
        <v>2104.38</v>
      </c>
      <c r="J56" s="30">
        <v>0</v>
      </c>
      <c r="K56" s="30">
        <v>23.73</v>
      </c>
      <c r="L56" s="30">
        <v>23.73</v>
      </c>
      <c r="M56" s="30">
        <v>0.48000000000000043</v>
      </c>
      <c r="N56" s="30">
        <f t="shared" si="0"/>
        <v>0</v>
      </c>
      <c r="O56" s="56">
        <v>1.9826517967781926E-2</v>
      </c>
      <c r="P56" s="27" t="s">
        <v>157</v>
      </c>
    </row>
    <row r="57" spans="1:16" x14ac:dyDescent="0.35">
      <c r="A57" s="88">
        <v>1800006683</v>
      </c>
      <c r="B57" s="27" t="s">
        <v>5</v>
      </c>
      <c r="C57" s="28">
        <v>45762</v>
      </c>
      <c r="D57" s="29">
        <v>256779411574</v>
      </c>
      <c r="E57" s="27" t="s">
        <v>46</v>
      </c>
      <c r="F57" s="30">
        <v>14.7</v>
      </c>
      <c r="G57" s="30">
        <v>14.7</v>
      </c>
      <c r="H57" s="27" t="s">
        <v>42</v>
      </c>
      <c r="I57" s="30">
        <v>1277.75</v>
      </c>
      <c r="J57" s="30">
        <v>0</v>
      </c>
      <c r="K57" s="30">
        <v>14.41</v>
      </c>
      <c r="L57" s="30">
        <v>14.41</v>
      </c>
      <c r="M57" s="30">
        <v>0.28999999999999915</v>
      </c>
      <c r="N57" s="30">
        <f t="shared" si="0"/>
        <v>0</v>
      </c>
      <c r="O57" s="56">
        <v>1.9727891156462528E-2</v>
      </c>
      <c r="P57" s="27" t="s">
        <v>157</v>
      </c>
    </row>
    <row r="58" spans="1:16" x14ac:dyDescent="0.35">
      <c r="A58" s="88">
        <v>1800006684</v>
      </c>
      <c r="B58" s="27" t="s">
        <v>5</v>
      </c>
      <c r="C58" s="28">
        <v>45762</v>
      </c>
      <c r="D58" s="29">
        <v>256779411575</v>
      </c>
      <c r="E58" s="27" t="s">
        <v>46</v>
      </c>
      <c r="F58" s="30">
        <v>22.35</v>
      </c>
      <c r="G58" s="30">
        <v>22.35</v>
      </c>
      <c r="H58" s="27" t="s">
        <v>42</v>
      </c>
      <c r="I58" s="30">
        <v>1942.7</v>
      </c>
      <c r="J58" s="30">
        <v>0</v>
      </c>
      <c r="K58" s="30">
        <v>21.902999999999999</v>
      </c>
      <c r="L58" s="30">
        <v>21.902999999999999</v>
      </c>
      <c r="M58" s="30">
        <v>0.44700000000000273</v>
      </c>
      <c r="N58" s="30">
        <f t="shared" si="0"/>
        <v>0</v>
      </c>
      <c r="O58" s="56">
        <v>2.0000000000000122E-2</v>
      </c>
      <c r="P58" s="27" t="s">
        <v>157</v>
      </c>
    </row>
    <row r="59" spans="1:16" x14ac:dyDescent="0.35">
      <c r="A59" s="88">
        <v>1800006685</v>
      </c>
      <c r="B59" s="27" t="s">
        <v>5</v>
      </c>
      <c r="C59" s="28">
        <v>45762</v>
      </c>
      <c r="D59" s="29">
        <v>256779411576</v>
      </c>
      <c r="E59" s="27" t="s">
        <v>46</v>
      </c>
      <c r="F59" s="30">
        <v>21.52</v>
      </c>
      <c r="G59" s="30">
        <v>21.52</v>
      </c>
      <c r="H59" s="27" t="s">
        <v>42</v>
      </c>
      <c r="I59" s="30">
        <v>1870.56</v>
      </c>
      <c r="J59" s="30">
        <v>0</v>
      </c>
      <c r="K59" s="30">
        <v>21.09</v>
      </c>
      <c r="L59" s="30">
        <v>21.09</v>
      </c>
      <c r="M59" s="30">
        <v>0.42999999999999972</v>
      </c>
      <c r="N59" s="30">
        <f t="shared" si="0"/>
        <v>0</v>
      </c>
      <c r="O59" s="56">
        <v>1.9981412639405192E-2</v>
      </c>
      <c r="P59" s="27" t="s">
        <v>157</v>
      </c>
    </row>
    <row r="60" spans="1:16" x14ac:dyDescent="0.35">
      <c r="A60" s="88">
        <v>1800006686</v>
      </c>
      <c r="B60" s="27" t="s">
        <v>5</v>
      </c>
      <c r="C60" s="28">
        <v>45762</v>
      </c>
      <c r="D60" s="29">
        <v>256779411577</v>
      </c>
      <c r="E60" s="27" t="s">
        <v>46</v>
      </c>
      <c r="F60" s="30">
        <v>1.54</v>
      </c>
      <c r="G60" s="30">
        <v>1.54</v>
      </c>
      <c r="H60" s="27" t="s">
        <v>42</v>
      </c>
      <c r="I60" s="30">
        <v>133.86000000000001</v>
      </c>
      <c r="J60" s="30">
        <v>0</v>
      </c>
      <c r="K60" s="30">
        <v>1.51</v>
      </c>
      <c r="L60" s="30">
        <v>1.51</v>
      </c>
      <c r="M60" s="30">
        <v>3.0000000000000027E-2</v>
      </c>
      <c r="N60" s="30">
        <f t="shared" si="0"/>
        <v>0</v>
      </c>
      <c r="O60" s="56">
        <v>1.9480519480519497E-2</v>
      </c>
      <c r="P60" s="27" t="s">
        <v>157</v>
      </c>
    </row>
    <row r="61" spans="1:16" x14ac:dyDescent="0.35">
      <c r="A61" s="88">
        <v>1800006687</v>
      </c>
      <c r="B61" s="27" t="s">
        <v>5</v>
      </c>
      <c r="C61" s="28">
        <v>45762</v>
      </c>
      <c r="D61" s="29">
        <v>256779411578</v>
      </c>
      <c r="E61" s="27" t="s">
        <v>46</v>
      </c>
      <c r="F61" s="30">
        <v>7.19</v>
      </c>
      <c r="G61" s="30">
        <v>7.19</v>
      </c>
      <c r="H61" s="27" t="s">
        <v>42</v>
      </c>
      <c r="I61" s="30">
        <v>624.97</v>
      </c>
      <c r="J61" s="30">
        <v>0</v>
      </c>
      <c r="K61" s="30">
        <v>7.05</v>
      </c>
      <c r="L61" s="30">
        <v>7.05</v>
      </c>
      <c r="M61" s="30">
        <v>0.14000000000000057</v>
      </c>
      <c r="N61" s="30">
        <f t="shared" si="0"/>
        <v>0</v>
      </c>
      <c r="O61" s="56">
        <v>1.9471488178025114E-2</v>
      </c>
      <c r="P61" s="27" t="s">
        <v>157</v>
      </c>
    </row>
    <row r="62" spans="1:16" x14ac:dyDescent="0.35">
      <c r="A62" s="88">
        <v>1800006688</v>
      </c>
      <c r="B62" s="27" t="s">
        <v>5</v>
      </c>
      <c r="C62" s="28">
        <v>45762</v>
      </c>
      <c r="D62" s="29">
        <v>256779411579</v>
      </c>
      <c r="E62" s="27" t="s">
        <v>46</v>
      </c>
      <c r="F62" s="30">
        <v>4.8499999999999996</v>
      </c>
      <c r="G62" s="30">
        <v>4.8499999999999996</v>
      </c>
      <c r="H62" s="27" t="s">
        <v>42</v>
      </c>
      <c r="I62" s="30">
        <v>421.57</v>
      </c>
      <c r="J62" s="30">
        <v>0</v>
      </c>
      <c r="K62" s="30">
        <v>4.75</v>
      </c>
      <c r="L62" s="30">
        <v>4.75</v>
      </c>
      <c r="M62" s="30">
        <v>9.9999999999999645E-2</v>
      </c>
      <c r="N62" s="30">
        <f t="shared" si="0"/>
        <v>0</v>
      </c>
      <c r="O62" s="56">
        <v>2.0618556701030855E-2</v>
      </c>
      <c r="P62" s="27" t="s">
        <v>157</v>
      </c>
    </row>
    <row r="63" spans="1:16" x14ac:dyDescent="0.35">
      <c r="A63" s="88">
        <v>1800006689</v>
      </c>
      <c r="B63" s="27" t="s">
        <v>5</v>
      </c>
      <c r="C63" s="28">
        <v>45762</v>
      </c>
      <c r="D63" s="29">
        <v>256779411580</v>
      </c>
      <c r="E63" s="27" t="s">
        <v>46</v>
      </c>
      <c r="F63" s="30">
        <v>21.76</v>
      </c>
      <c r="G63" s="30">
        <v>21.76</v>
      </c>
      <c r="H63" s="27" t="s">
        <v>42</v>
      </c>
      <c r="I63" s="30">
        <v>1891.42</v>
      </c>
      <c r="J63" s="30">
        <v>0</v>
      </c>
      <c r="K63" s="30">
        <v>21.32</v>
      </c>
      <c r="L63" s="30">
        <v>21.32</v>
      </c>
      <c r="M63" s="30">
        <v>0.44000000000000128</v>
      </c>
      <c r="N63" s="30">
        <f t="shared" si="0"/>
        <v>0</v>
      </c>
      <c r="O63" s="56">
        <v>2.0220588235294174E-2</v>
      </c>
      <c r="P63" s="27" t="s">
        <v>157</v>
      </c>
    </row>
    <row r="64" spans="1:16" x14ac:dyDescent="0.35">
      <c r="A64" s="88">
        <v>1800006690</v>
      </c>
      <c r="B64" s="27" t="s">
        <v>5</v>
      </c>
      <c r="C64" s="28">
        <v>45762</v>
      </c>
      <c r="D64" s="29">
        <v>256779411581</v>
      </c>
      <c r="E64" s="27" t="s">
        <v>46</v>
      </c>
      <c r="F64" s="30">
        <v>2.2000000000000002</v>
      </c>
      <c r="G64" s="30">
        <v>2.2000000000000002</v>
      </c>
      <c r="H64" s="27" t="s">
        <v>42</v>
      </c>
      <c r="I64" s="30">
        <v>191.23</v>
      </c>
      <c r="J64" s="30">
        <v>0</v>
      </c>
      <c r="K64" s="30">
        <v>2.16</v>
      </c>
      <c r="L64" s="30">
        <v>2.16</v>
      </c>
      <c r="M64" s="30">
        <v>4.0000000000000036E-2</v>
      </c>
      <c r="N64" s="30">
        <f t="shared" si="0"/>
        <v>0</v>
      </c>
      <c r="O64" s="56">
        <v>1.8181818181818195E-2</v>
      </c>
      <c r="P64" s="27" t="s">
        <v>157</v>
      </c>
    </row>
    <row r="65" spans="1:16" x14ac:dyDescent="0.35">
      <c r="A65" s="88">
        <v>1800006691</v>
      </c>
      <c r="B65" s="27" t="s">
        <v>5</v>
      </c>
      <c r="C65" s="28">
        <v>45762</v>
      </c>
      <c r="D65" s="29">
        <v>256779411582</v>
      </c>
      <c r="E65" s="27" t="s">
        <v>46</v>
      </c>
      <c r="F65" s="30">
        <v>1.1100000000000001</v>
      </c>
      <c r="G65" s="30">
        <v>1.1100000000000001</v>
      </c>
      <c r="H65" s="27" t="s">
        <v>42</v>
      </c>
      <c r="I65" s="30">
        <v>96.48</v>
      </c>
      <c r="J65" s="30">
        <v>0</v>
      </c>
      <c r="K65" s="30">
        <v>1.0900000000000001</v>
      </c>
      <c r="L65" s="30">
        <v>1.0900000000000001</v>
      </c>
      <c r="M65" s="30">
        <v>2.0000000000000018E-2</v>
      </c>
      <c r="N65" s="30">
        <f t="shared" si="0"/>
        <v>0</v>
      </c>
      <c r="O65" s="56">
        <v>1.8018018018018032E-2</v>
      </c>
      <c r="P65" s="27" t="s">
        <v>157</v>
      </c>
    </row>
    <row r="66" spans="1:16" x14ac:dyDescent="0.35">
      <c r="A66" s="88">
        <v>1800006692</v>
      </c>
      <c r="B66" s="27" t="s">
        <v>5</v>
      </c>
      <c r="C66" s="28">
        <v>45762</v>
      </c>
      <c r="D66" s="29">
        <v>256779411583</v>
      </c>
      <c r="E66" s="27" t="s">
        <v>46</v>
      </c>
      <c r="F66" s="30">
        <v>11</v>
      </c>
      <c r="G66" s="30">
        <v>11</v>
      </c>
      <c r="H66" s="27" t="s">
        <v>42</v>
      </c>
      <c r="I66" s="30">
        <v>956.14</v>
      </c>
      <c r="J66" s="30">
        <v>0</v>
      </c>
      <c r="K66" s="30">
        <v>10.78</v>
      </c>
      <c r="L66" s="30">
        <v>10.78</v>
      </c>
      <c r="M66" s="30">
        <v>0.22000000000000064</v>
      </c>
      <c r="N66" s="30">
        <f t="shared" si="0"/>
        <v>0</v>
      </c>
      <c r="O66" s="56">
        <v>2.0000000000000059E-2</v>
      </c>
      <c r="P66" s="27" t="s">
        <v>157</v>
      </c>
    </row>
    <row r="67" spans="1:16" x14ac:dyDescent="0.35">
      <c r="A67" s="88">
        <v>1800006693</v>
      </c>
      <c r="B67" s="27" t="s">
        <v>5</v>
      </c>
      <c r="C67" s="28">
        <v>45762</v>
      </c>
      <c r="D67" s="29">
        <v>256779411584</v>
      </c>
      <c r="E67" s="27" t="s">
        <v>46</v>
      </c>
      <c r="F67" s="30">
        <v>23.21</v>
      </c>
      <c r="G67" s="30">
        <v>23.21</v>
      </c>
      <c r="H67" s="27" t="s">
        <v>42</v>
      </c>
      <c r="I67" s="30">
        <v>2017.46</v>
      </c>
      <c r="J67" s="30">
        <v>0</v>
      </c>
      <c r="K67" s="30">
        <v>22.75</v>
      </c>
      <c r="L67" s="30">
        <v>22.75</v>
      </c>
      <c r="M67" s="30">
        <v>0.46000000000000085</v>
      </c>
      <c r="N67" s="30">
        <f t="shared" si="0"/>
        <v>0</v>
      </c>
      <c r="O67" s="56">
        <v>1.9819043515726015E-2</v>
      </c>
      <c r="P67" s="27" t="s">
        <v>157</v>
      </c>
    </row>
    <row r="68" spans="1:16" x14ac:dyDescent="0.35">
      <c r="A68" s="88">
        <v>1800006694</v>
      </c>
      <c r="B68" s="27" t="s">
        <v>5</v>
      </c>
      <c r="C68" s="28">
        <v>45762</v>
      </c>
      <c r="D68" s="29">
        <v>256779411585</v>
      </c>
      <c r="E68" s="27" t="s">
        <v>46</v>
      </c>
      <c r="F68" s="30">
        <v>7.81</v>
      </c>
      <c r="G68" s="30">
        <v>7.81</v>
      </c>
      <c r="H68" s="27" t="s">
        <v>42</v>
      </c>
      <c r="I68" s="30">
        <v>678.86</v>
      </c>
      <c r="J68" s="30">
        <v>0</v>
      </c>
      <c r="K68" s="30">
        <v>7.65</v>
      </c>
      <c r="L68" s="30">
        <v>7.65</v>
      </c>
      <c r="M68" s="30">
        <v>0.15999999999999925</v>
      </c>
      <c r="N68" s="30">
        <f t="shared" ref="N68:N131" si="1">_xlfn.XLOOKUP(D68,$R:$R,$V:$V,0,0)</f>
        <v>0</v>
      </c>
      <c r="O68" s="56">
        <v>2.0486555697823209E-2</v>
      </c>
      <c r="P68" s="27" t="s">
        <v>157</v>
      </c>
    </row>
    <row r="69" spans="1:16" x14ac:dyDescent="0.35">
      <c r="A69" s="88">
        <v>1800006996</v>
      </c>
      <c r="B69" s="27" t="s">
        <v>5</v>
      </c>
      <c r="C69" s="28">
        <v>45763</v>
      </c>
      <c r="D69" s="29">
        <v>256779411887</v>
      </c>
      <c r="E69" s="27" t="s">
        <v>46</v>
      </c>
      <c r="F69" s="30">
        <v>71.22</v>
      </c>
      <c r="G69" s="30">
        <v>71.22</v>
      </c>
      <c r="H69" s="27" t="s">
        <v>42</v>
      </c>
      <c r="I69" s="30">
        <v>6190.57</v>
      </c>
      <c r="J69" s="30">
        <v>0</v>
      </c>
      <c r="K69" s="30">
        <v>69.795599999999993</v>
      </c>
      <c r="L69" s="30">
        <v>69.795599999999993</v>
      </c>
      <c r="M69" s="30">
        <v>1.4244000000000057</v>
      </c>
      <c r="N69" s="30">
        <f t="shared" si="1"/>
        <v>0</v>
      </c>
      <c r="O69" s="56">
        <v>2.000000000000008E-2</v>
      </c>
      <c r="P69" s="27" t="s">
        <v>181</v>
      </c>
    </row>
    <row r="70" spans="1:16" x14ac:dyDescent="0.35">
      <c r="A70" s="88">
        <v>1800007093</v>
      </c>
      <c r="B70" s="27" t="s">
        <v>5</v>
      </c>
      <c r="C70" s="28">
        <v>45763</v>
      </c>
      <c r="D70" s="29">
        <v>256779411984</v>
      </c>
      <c r="E70" s="27" t="s">
        <v>46</v>
      </c>
      <c r="F70" s="30">
        <v>39.54</v>
      </c>
      <c r="G70" s="30">
        <v>39.54</v>
      </c>
      <c r="H70" s="27" t="s">
        <v>42</v>
      </c>
      <c r="I70" s="30">
        <v>3436.89</v>
      </c>
      <c r="J70" s="30">
        <v>0</v>
      </c>
      <c r="K70" s="30">
        <v>38.749200000000002</v>
      </c>
      <c r="L70" s="30">
        <v>38.749200000000002</v>
      </c>
      <c r="M70" s="30">
        <v>0.79079999999999728</v>
      </c>
      <c r="N70" s="30">
        <f t="shared" si="1"/>
        <v>0</v>
      </c>
      <c r="O70" s="56">
        <v>1.9999999999999931E-2</v>
      </c>
      <c r="P70" s="27" t="s">
        <v>183</v>
      </c>
    </row>
    <row r="71" spans="1:16" x14ac:dyDescent="0.35">
      <c r="A71" s="88">
        <v>1800007129</v>
      </c>
      <c r="B71" s="27" t="s">
        <v>5</v>
      </c>
      <c r="C71" s="28">
        <v>45763</v>
      </c>
      <c r="D71" s="29">
        <v>256779412020</v>
      </c>
      <c r="E71" s="27" t="s">
        <v>46</v>
      </c>
      <c r="F71" s="30">
        <v>85.21</v>
      </c>
      <c r="G71" s="30">
        <v>85.21</v>
      </c>
      <c r="H71" s="27" t="s">
        <v>42</v>
      </c>
      <c r="I71" s="30">
        <v>7406.61</v>
      </c>
      <c r="J71" s="30">
        <v>0</v>
      </c>
      <c r="K71" s="30">
        <v>83.505799999999994</v>
      </c>
      <c r="L71" s="30">
        <v>83.505799999999994</v>
      </c>
      <c r="M71" s="30">
        <v>1.7042000000000002</v>
      </c>
      <c r="N71" s="30">
        <f t="shared" si="1"/>
        <v>0</v>
      </c>
      <c r="O71" s="56">
        <v>2.0000000000000004E-2</v>
      </c>
      <c r="P71" s="27" t="s">
        <v>185</v>
      </c>
    </row>
    <row r="72" spans="1:16" x14ac:dyDescent="0.35">
      <c r="A72" s="88">
        <v>1800007210</v>
      </c>
      <c r="B72" s="27" t="s">
        <v>5</v>
      </c>
      <c r="C72" s="28">
        <v>45763</v>
      </c>
      <c r="D72" s="29">
        <v>256779412101</v>
      </c>
      <c r="E72" s="27" t="s">
        <v>46</v>
      </c>
      <c r="F72" s="30">
        <v>171.71</v>
      </c>
      <c r="G72" s="30">
        <v>171.71</v>
      </c>
      <c r="H72" s="27" t="s">
        <v>42</v>
      </c>
      <c r="I72" s="30">
        <v>14925.35</v>
      </c>
      <c r="J72" s="30">
        <v>0</v>
      </c>
      <c r="K72" s="30">
        <v>168.28</v>
      </c>
      <c r="L72" s="30">
        <v>168.28</v>
      </c>
      <c r="M72" s="30">
        <v>3.4300000000000068</v>
      </c>
      <c r="N72" s="30">
        <f t="shared" si="1"/>
        <v>0</v>
      </c>
      <c r="O72" s="56">
        <v>1.9975540154912392E-2</v>
      </c>
      <c r="P72" s="27" t="s">
        <v>187</v>
      </c>
    </row>
    <row r="73" spans="1:16" x14ac:dyDescent="0.35">
      <c r="A73" s="88">
        <v>1800007235</v>
      </c>
      <c r="B73" s="27" t="s">
        <v>5</v>
      </c>
      <c r="C73" s="28">
        <v>45763</v>
      </c>
      <c r="D73" s="29">
        <v>256779412126</v>
      </c>
      <c r="E73" s="27" t="s">
        <v>46</v>
      </c>
      <c r="F73" s="30">
        <v>500.58</v>
      </c>
      <c r="G73" s="30">
        <v>500.58</v>
      </c>
      <c r="H73" s="27" t="s">
        <v>42</v>
      </c>
      <c r="I73" s="30">
        <v>43511.32</v>
      </c>
      <c r="J73" s="30">
        <v>0</v>
      </c>
      <c r="K73" s="30">
        <v>450.52199999999999</v>
      </c>
      <c r="L73" s="30">
        <v>450.52199999999999</v>
      </c>
      <c r="M73" s="30">
        <v>50.057999999999993</v>
      </c>
      <c r="N73" s="30">
        <f t="shared" si="1"/>
        <v>0</v>
      </c>
      <c r="O73" s="56">
        <v>9.9999999999999992E-2</v>
      </c>
      <c r="P73" s="27" t="s">
        <v>189</v>
      </c>
    </row>
    <row r="74" spans="1:16" x14ac:dyDescent="0.35">
      <c r="A74" s="88">
        <v>1800011264</v>
      </c>
      <c r="B74" s="27" t="s">
        <v>5</v>
      </c>
      <c r="C74" s="28">
        <v>45863</v>
      </c>
      <c r="D74" s="29">
        <v>256779415996</v>
      </c>
      <c r="E74" s="27" t="s">
        <v>46</v>
      </c>
      <c r="F74" s="30">
        <v>755.58</v>
      </c>
      <c r="G74" s="30">
        <v>755.58</v>
      </c>
      <c r="H74" s="27" t="s">
        <v>42</v>
      </c>
      <c r="I74" s="30">
        <v>64980.39</v>
      </c>
      <c r="J74" s="30">
        <v>0</v>
      </c>
      <c r="K74" s="30">
        <v>740.47</v>
      </c>
      <c r="L74" s="30">
        <v>740.47</v>
      </c>
      <c r="M74" s="30">
        <v>15.110000000000014</v>
      </c>
      <c r="N74" s="30">
        <f t="shared" si="1"/>
        <v>0</v>
      </c>
      <c r="O74" s="56">
        <v>1.9997882421451087E-2</v>
      </c>
      <c r="P74" s="27" t="s">
        <v>191</v>
      </c>
    </row>
    <row r="75" spans="1:16" x14ac:dyDescent="0.35">
      <c r="A75" s="88">
        <v>1800001784</v>
      </c>
      <c r="B75" s="27" t="s">
        <v>5</v>
      </c>
      <c r="C75" s="28">
        <v>45730</v>
      </c>
      <c r="D75" s="29">
        <v>246779411449</v>
      </c>
      <c r="E75" s="27" t="s">
        <v>46</v>
      </c>
      <c r="F75" s="30">
        <v>945.75</v>
      </c>
      <c r="G75" s="30">
        <v>945.75</v>
      </c>
      <c r="H75" s="27" t="s">
        <v>42</v>
      </c>
      <c r="I75" s="30">
        <v>81988.259999999995</v>
      </c>
      <c r="J75" s="30">
        <v>0</v>
      </c>
      <c r="K75" s="30">
        <v>926.83500000000004</v>
      </c>
      <c r="L75" s="30">
        <v>926.83500000000004</v>
      </c>
      <c r="M75" s="30">
        <v>18.914999999999964</v>
      </c>
      <c r="N75" s="30">
        <f t="shared" si="1"/>
        <v>0</v>
      </c>
      <c r="O75" s="56">
        <v>1.9999999999999962E-2</v>
      </c>
      <c r="P75" s="27" t="s">
        <v>193</v>
      </c>
    </row>
    <row r="76" spans="1:16" x14ac:dyDescent="0.35">
      <c r="A76" s="88">
        <v>1600002155</v>
      </c>
      <c r="B76" s="27" t="s">
        <v>4</v>
      </c>
      <c r="C76" s="28">
        <v>45883</v>
      </c>
      <c r="D76" s="29">
        <v>256779421715</v>
      </c>
      <c r="E76" s="27" t="s">
        <v>46</v>
      </c>
      <c r="F76" s="30">
        <v>-2324.77</v>
      </c>
      <c r="G76" s="30">
        <v>-2324.77</v>
      </c>
      <c r="H76" s="27" t="s">
        <v>42</v>
      </c>
      <c r="I76" s="30">
        <v>-200000.24</v>
      </c>
      <c r="J76" s="30">
        <v>2092.2930000000001</v>
      </c>
      <c r="K76" s="30">
        <v>0</v>
      </c>
      <c r="L76" s="30">
        <v>2092.2930000000001</v>
      </c>
      <c r="M76" s="30">
        <f>G76+L76</f>
        <v>-232.47699999999986</v>
      </c>
      <c r="N76" s="30"/>
      <c r="O76" s="56">
        <v>9.9999999999999936E-2</v>
      </c>
      <c r="P76" s="27" t="s">
        <v>90</v>
      </c>
    </row>
    <row r="77" spans="1:16" x14ac:dyDescent="0.35">
      <c r="A77" s="88">
        <v>1800012461</v>
      </c>
      <c r="B77" s="27" t="s">
        <v>5</v>
      </c>
      <c r="C77" s="28">
        <v>45904</v>
      </c>
      <c r="D77" s="29">
        <v>256779417161</v>
      </c>
      <c r="E77" s="27" t="s">
        <v>46</v>
      </c>
      <c r="F77" s="30">
        <v>787.95</v>
      </c>
      <c r="G77" s="30">
        <v>787.95</v>
      </c>
      <c r="H77" s="27" t="s">
        <v>42</v>
      </c>
      <c r="I77" s="30">
        <v>68956.92</v>
      </c>
      <c r="J77" s="30">
        <v>0</v>
      </c>
      <c r="K77" s="30">
        <v>772.19100000000003</v>
      </c>
      <c r="L77" s="30">
        <v>772.19100000000003</v>
      </c>
      <c r="M77" s="30">
        <v>15.759000000000015</v>
      </c>
      <c r="N77" s="30">
        <f t="shared" si="1"/>
        <v>0</v>
      </c>
      <c r="O77" s="56">
        <v>2.0000000000000018E-2</v>
      </c>
      <c r="P77" s="27" t="s">
        <v>196</v>
      </c>
    </row>
    <row r="78" spans="1:16" x14ac:dyDescent="0.35">
      <c r="A78" s="88">
        <v>1800012559</v>
      </c>
      <c r="B78" s="27" t="s">
        <v>5</v>
      </c>
      <c r="C78" s="28">
        <v>45904</v>
      </c>
      <c r="D78" s="29">
        <v>256779417178</v>
      </c>
      <c r="E78" s="27" t="s">
        <v>46</v>
      </c>
      <c r="F78" s="30">
        <v>1560</v>
      </c>
      <c r="G78" s="30">
        <v>1560</v>
      </c>
      <c r="H78" s="27" t="s">
        <v>42</v>
      </c>
      <c r="I78" s="30">
        <v>136522.35</v>
      </c>
      <c r="J78" s="30">
        <v>0</v>
      </c>
      <c r="K78" s="30">
        <v>1528.8</v>
      </c>
      <c r="L78" s="30">
        <v>1528.8</v>
      </c>
      <c r="M78" s="30">
        <v>31.200000000000045</v>
      </c>
      <c r="N78" s="30">
        <f t="shared" si="1"/>
        <v>0</v>
      </c>
      <c r="O78" s="56">
        <v>2.0000000000000028E-2</v>
      </c>
      <c r="P78" s="27" t="s">
        <v>198</v>
      </c>
    </row>
    <row r="79" spans="1:16" x14ac:dyDescent="0.35">
      <c r="A79" s="88">
        <v>1800012560</v>
      </c>
      <c r="B79" s="27" t="s">
        <v>5</v>
      </c>
      <c r="C79" s="28">
        <v>45904</v>
      </c>
      <c r="D79" s="29">
        <v>256779417179</v>
      </c>
      <c r="E79" s="27" t="s">
        <v>46</v>
      </c>
      <c r="F79" s="30">
        <v>1560</v>
      </c>
      <c r="G79" s="30">
        <v>1560</v>
      </c>
      <c r="H79" s="27" t="s">
        <v>42</v>
      </c>
      <c r="I79" s="30">
        <v>136522.35</v>
      </c>
      <c r="J79" s="30">
        <v>0</v>
      </c>
      <c r="K79" s="30">
        <v>1528.8</v>
      </c>
      <c r="L79" s="30">
        <v>1528.8</v>
      </c>
      <c r="M79" s="30">
        <v>31.200000000000045</v>
      </c>
      <c r="N79" s="30">
        <f t="shared" si="1"/>
        <v>0</v>
      </c>
      <c r="O79" s="56">
        <v>2.0000000000000028E-2</v>
      </c>
      <c r="P79" s="27" t="s">
        <v>200</v>
      </c>
    </row>
    <row r="80" spans="1:16" x14ac:dyDescent="0.35">
      <c r="A80" s="88">
        <v>1800012561</v>
      </c>
      <c r="B80" s="27" t="s">
        <v>5</v>
      </c>
      <c r="C80" s="28">
        <v>45904</v>
      </c>
      <c r="D80" s="29">
        <v>256779417180</v>
      </c>
      <c r="E80" s="27" t="s">
        <v>46</v>
      </c>
      <c r="F80" s="30">
        <v>1799.1</v>
      </c>
      <c r="G80" s="30">
        <v>1799.1</v>
      </c>
      <c r="H80" s="27" t="s">
        <v>42</v>
      </c>
      <c r="I80" s="30">
        <v>157447.03</v>
      </c>
      <c r="J80" s="30">
        <v>0</v>
      </c>
      <c r="K80" s="30">
        <v>1748.15</v>
      </c>
      <c r="L80" s="30">
        <v>1748.15</v>
      </c>
      <c r="M80" s="30">
        <v>50.949999999999818</v>
      </c>
      <c r="N80" s="30">
        <f t="shared" si="1"/>
        <v>0</v>
      </c>
      <c r="O80" s="56">
        <v>2.8319715413262087E-2</v>
      </c>
      <c r="P80" s="27" t="s">
        <v>202</v>
      </c>
    </row>
    <row r="81" spans="1:16" x14ac:dyDescent="0.35">
      <c r="A81" s="88">
        <v>1800012562</v>
      </c>
      <c r="B81" s="27" t="s">
        <v>5</v>
      </c>
      <c r="C81" s="28">
        <v>45904</v>
      </c>
      <c r="D81" s="29">
        <v>256779417181</v>
      </c>
      <c r="E81" s="27" t="s">
        <v>46</v>
      </c>
      <c r="F81" s="30">
        <v>1812</v>
      </c>
      <c r="G81" s="30">
        <v>1812</v>
      </c>
      <c r="H81" s="27" t="s">
        <v>42</v>
      </c>
      <c r="I81" s="30">
        <v>158575.97</v>
      </c>
      <c r="J81" s="30">
        <v>0</v>
      </c>
      <c r="K81" s="30">
        <v>1759.76</v>
      </c>
      <c r="L81" s="30">
        <v>1759.76</v>
      </c>
      <c r="M81" s="30">
        <v>52.240000000000009</v>
      </c>
      <c r="N81" s="30">
        <f t="shared" si="1"/>
        <v>0</v>
      </c>
      <c r="O81" s="56">
        <v>2.8830022075055192E-2</v>
      </c>
      <c r="P81" s="27" t="s">
        <v>203</v>
      </c>
    </row>
    <row r="82" spans="1:16" x14ac:dyDescent="0.35">
      <c r="A82" s="88">
        <v>1800012619</v>
      </c>
      <c r="B82" s="27" t="s">
        <v>5</v>
      </c>
      <c r="C82" s="28">
        <v>45904</v>
      </c>
      <c r="D82" s="29">
        <v>256779417206</v>
      </c>
      <c r="E82" s="27" t="s">
        <v>46</v>
      </c>
      <c r="F82" s="30">
        <v>152.28</v>
      </c>
      <c r="G82" s="30">
        <v>152.28</v>
      </c>
      <c r="H82" s="27" t="s">
        <v>42</v>
      </c>
      <c r="I82" s="30">
        <v>13326.68</v>
      </c>
      <c r="J82" s="30">
        <v>0</v>
      </c>
      <c r="K82" s="30">
        <v>149.23439999999999</v>
      </c>
      <c r="L82" s="30">
        <v>149.23439999999999</v>
      </c>
      <c r="M82" s="30">
        <v>3.0456000000000074</v>
      </c>
      <c r="N82" s="30">
        <f t="shared" si="1"/>
        <v>0</v>
      </c>
      <c r="O82" s="56">
        <v>2.0000000000000049E-2</v>
      </c>
      <c r="P82" s="27" t="s">
        <v>205</v>
      </c>
    </row>
    <row r="83" spans="1:16" x14ac:dyDescent="0.35">
      <c r="A83" s="88">
        <v>1800012587</v>
      </c>
      <c r="B83" s="27" t="s">
        <v>5</v>
      </c>
      <c r="C83" s="28">
        <v>45904</v>
      </c>
      <c r="D83" s="29">
        <v>256779417245</v>
      </c>
      <c r="E83" s="27" t="s">
        <v>46</v>
      </c>
      <c r="F83" s="30">
        <v>83.89</v>
      </c>
      <c r="G83" s="30">
        <v>83.89</v>
      </c>
      <c r="H83" s="27" t="s">
        <v>42</v>
      </c>
      <c r="I83" s="30">
        <v>7341.58</v>
      </c>
      <c r="J83" s="30">
        <v>0</v>
      </c>
      <c r="K83" s="30">
        <v>82.212199999999996</v>
      </c>
      <c r="L83" s="30">
        <v>82.212199999999996</v>
      </c>
      <c r="M83" s="30">
        <v>1.6778000000000048</v>
      </c>
      <c r="N83" s="30">
        <f t="shared" si="1"/>
        <v>0</v>
      </c>
      <c r="O83" s="56">
        <v>2.0000000000000056E-2</v>
      </c>
      <c r="P83" s="27" t="s">
        <v>207</v>
      </c>
    </row>
    <row r="84" spans="1:16" x14ac:dyDescent="0.35">
      <c r="A84" s="88">
        <v>1800012647</v>
      </c>
      <c r="B84" s="27" t="s">
        <v>5</v>
      </c>
      <c r="C84" s="28">
        <v>45904</v>
      </c>
      <c r="D84" s="29">
        <v>256779417287</v>
      </c>
      <c r="E84" s="27" t="s">
        <v>46</v>
      </c>
      <c r="F84" s="30">
        <v>410.58</v>
      </c>
      <c r="G84" s="30">
        <v>410.58</v>
      </c>
      <c r="H84" s="27" t="s">
        <v>42</v>
      </c>
      <c r="I84" s="30">
        <v>35931.629999999997</v>
      </c>
      <c r="J84" s="30">
        <v>0</v>
      </c>
      <c r="K84" s="30">
        <v>402.36840000000001</v>
      </c>
      <c r="L84" s="30">
        <v>402.36840000000001</v>
      </c>
      <c r="M84" s="30">
        <v>8.2115999999999758</v>
      </c>
      <c r="N84" s="30">
        <f t="shared" si="1"/>
        <v>0</v>
      </c>
      <c r="O84" s="56">
        <v>1.9999999999999941E-2</v>
      </c>
      <c r="P84" s="27" t="s">
        <v>209</v>
      </c>
    </row>
    <row r="85" spans="1:16" x14ac:dyDescent="0.35">
      <c r="A85" s="88">
        <v>1800012685</v>
      </c>
      <c r="B85" s="27" t="s">
        <v>5</v>
      </c>
      <c r="C85" s="28">
        <v>45904</v>
      </c>
      <c r="D85" s="29">
        <v>256779417325</v>
      </c>
      <c r="E85" s="27" t="s">
        <v>46</v>
      </c>
      <c r="F85" s="30">
        <v>97.84</v>
      </c>
      <c r="G85" s="30">
        <v>97.84</v>
      </c>
      <c r="H85" s="27" t="s">
        <v>42</v>
      </c>
      <c r="I85" s="30">
        <v>8562.4</v>
      </c>
      <c r="J85" s="30">
        <v>0</v>
      </c>
      <c r="K85" s="30">
        <v>95.883200000000002</v>
      </c>
      <c r="L85" s="30">
        <v>95.883200000000002</v>
      </c>
      <c r="M85" s="30">
        <v>1.9568000000000012</v>
      </c>
      <c r="N85" s="30">
        <f t="shared" si="1"/>
        <v>0</v>
      </c>
      <c r="O85" s="56">
        <v>2.0000000000000011E-2</v>
      </c>
      <c r="P85" s="27" t="s">
        <v>211</v>
      </c>
    </row>
    <row r="86" spans="1:16" x14ac:dyDescent="0.35">
      <c r="A86" s="88">
        <v>1800010008</v>
      </c>
      <c r="B86" s="27" t="s">
        <v>5</v>
      </c>
      <c r="C86" s="28">
        <v>45842</v>
      </c>
      <c r="D86" s="29">
        <v>256779414772</v>
      </c>
      <c r="E86" s="27" t="s">
        <v>46</v>
      </c>
      <c r="F86" s="30">
        <v>220</v>
      </c>
      <c r="G86" s="30">
        <v>220</v>
      </c>
      <c r="H86" s="27" t="s">
        <v>42</v>
      </c>
      <c r="I86" s="30">
        <v>18920.150000000001</v>
      </c>
      <c r="J86" s="30">
        <v>0</v>
      </c>
      <c r="K86" s="30">
        <v>215.6</v>
      </c>
      <c r="L86" s="30">
        <v>215.6</v>
      </c>
      <c r="M86" s="30">
        <v>4.4000000000000057</v>
      </c>
      <c r="N86" s="30">
        <f t="shared" si="1"/>
        <v>0</v>
      </c>
      <c r="O86" s="56">
        <v>2.0000000000000025E-2</v>
      </c>
      <c r="P86" s="27" t="s">
        <v>221</v>
      </c>
    </row>
    <row r="87" spans="1:16" x14ac:dyDescent="0.35">
      <c r="A87" s="88">
        <v>1800010066</v>
      </c>
      <c r="B87" s="27" t="s">
        <v>5</v>
      </c>
      <c r="C87" s="28">
        <v>45842</v>
      </c>
      <c r="D87" s="29">
        <v>256779414830</v>
      </c>
      <c r="E87" s="27" t="s">
        <v>46</v>
      </c>
      <c r="F87" s="30">
        <v>142.32</v>
      </c>
      <c r="G87" s="30">
        <v>142.32</v>
      </c>
      <c r="H87" s="27" t="s">
        <v>42</v>
      </c>
      <c r="I87" s="30">
        <v>12239.62</v>
      </c>
      <c r="J87" s="30">
        <v>0</v>
      </c>
      <c r="K87" s="30">
        <v>139.4736</v>
      </c>
      <c r="L87" s="30">
        <v>139.4736</v>
      </c>
      <c r="M87" s="30">
        <v>2.8463999999999885</v>
      </c>
      <c r="N87" s="30">
        <f t="shared" si="1"/>
        <v>0</v>
      </c>
      <c r="O87" s="56">
        <v>1.9999999999999921E-2</v>
      </c>
      <c r="P87" s="27" t="s">
        <v>223</v>
      </c>
    </row>
    <row r="88" spans="1:16" x14ac:dyDescent="0.35">
      <c r="A88" s="88">
        <v>1800010119</v>
      </c>
      <c r="B88" s="27" t="s">
        <v>5</v>
      </c>
      <c r="C88" s="28">
        <v>45842</v>
      </c>
      <c r="D88" s="29">
        <v>256779414879</v>
      </c>
      <c r="E88" s="27" t="s">
        <v>46</v>
      </c>
      <c r="F88" s="30">
        <v>1663.92</v>
      </c>
      <c r="G88" s="30">
        <v>1663.92</v>
      </c>
      <c r="H88" s="27" t="s">
        <v>42</v>
      </c>
      <c r="I88" s="30">
        <v>143098.23000000001</v>
      </c>
      <c r="J88" s="30">
        <v>0</v>
      </c>
      <c r="K88" s="30">
        <v>1627.5447999999999</v>
      </c>
      <c r="L88" s="30">
        <v>1627.5447999999999</v>
      </c>
      <c r="M88" s="30">
        <v>36.375200000000177</v>
      </c>
      <c r="N88" s="30">
        <f t="shared" si="1"/>
        <v>0</v>
      </c>
      <c r="O88" s="56">
        <v>2.1861147170537151E-2</v>
      </c>
      <c r="P88" s="27" t="s">
        <v>225</v>
      </c>
    </row>
    <row r="89" spans="1:16" x14ac:dyDescent="0.35">
      <c r="A89" s="88">
        <v>1800010131</v>
      </c>
      <c r="B89" s="27" t="s">
        <v>5</v>
      </c>
      <c r="C89" s="28">
        <v>45842</v>
      </c>
      <c r="D89" s="29">
        <v>256779414891</v>
      </c>
      <c r="E89" s="27" t="s">
        <v>46</v>
      </c>
      <c r="F89" s="30">
        <v>413.33</v>
      </c>
      <c r="G89" s="30">
        <v>413.33</v>
      </c>
      <c r="H89" s="27" t="s">
        <v>42</v>
      </c>
      <c r="I89" s="30">
        <v>35546.660000000003</v>
      </c>
      <c r="J89" s="30">
        <v>0</v>
      </c>
      <c r="K89" s="30">
        <v>371.99700000000001</v>
      </c>
      <c r="L89" s="30">
        <v>371.99700000000001</v>
      </c>
      <c r="M89" s="30">
        <v>41.33299999999997</v>
      </c>
      <c r="N89" s="30">
        <f t="shared" si="1"/>
        <v>0</v>
      </c>
      <c r="O89" s="56">
        <v>9.9999999999999936E-2</v>
      </c>
      <c r="P89" s="27" t="s">
        <v>227</v>
      </c>
    </row>
    <row r="90" spans="1:16" x14ac:dyDescent="0.35">
      <c r="A90" s="88">
        <v>1800010144</v>
      </c>
      <c r="B90" s="27" t="s">
        <v>5</v>
      </c>
      <c r="C90" s="28">
        <v>45842</v>
      </c>
      <c r="D90" s="29">
        <v>256779414904</v>
      </c>
      <c r="E90" s="27" t="s">
        <v>46</v>
      </c>
      <c r="F90" s="30">
        <v>68.97</v>
      </c>
      <c r="G90" s="30">
        <v>68.97</v>
      </c>
      <c r="H90" s="27" t="s">
        <v>42</v>
      </c>
      <c r="I90" s="30">
        <v>5931.47</v>
      </c>
      <c r="J90" s="30">
        <v>0</v>
      </c>
      <c r="K90" s="30">
        <v>67.590599999999995</v>
      </c>
      <c r="L90" s="30">
        <v>67.590599999999995</v>
      </c>
      <c r="M90" s="30">
        <v>1.379400000000004</v>
      </c>
      <c r="N90" s="30">
        <f t="shared" si="1"/>
        <v>0</v>
      </c>
      <c r="O90" s="56">
        <v>2.0000000000000059E-2</v>
      </c>
      <c r="P90" s="27" t="s">
        <v>229</v>
      </c>
    </row>
    <row r="91" spans="1:16" x14ac:dyDescent="0.35">
      <c r="A91" s="88">
        <v>1800010196</v>
      </c>
      <c r="B91" s="27" t="s">
        <v>5</v>
      </c>
      <c r="C91" s="28">
        <v>45842</v>
      </c>
      <c r="D91" s="29">
        <v>256779414956</v>
      </c>
      <c r="E91" s="27" t="s">
        <v>46</v>
      </c>
      <c r="F91" s="30">
        <v>50</v>
      </c>
      <c r="G91" s="30">
        <v>50</v>
      </c>
      <c r="H91" s="27" t="s">
        <v>42</v>
      </c>
      <c r="I91" s="30">
        <v>4300.03</v>
      </c>
      <c r="J91" s="30">
        <v>0</v>
      </c>
      <c r="K91" s="30">
        <v>49</v>
      </c>
      <c r="L91" s="30">
        <v>49</v>
      </c>
      <c r="M91" s="30">
        <v>1</v>
      </c>
      <c r="N91" s="30">
        <f t="shared" si="1"/>
        <v>0</v>
      </c>
      <c r="O91" s="56">
        <v>0.02</v>
      </c>
      <c r="P91" s="27" t="s">
        <v>231</v>
      </c>
    </row>
    <row r="92" spans="1:16" x14ac:dyDescent="0.35">
      <c r="A92" s="88">
        <v>1800010197</v>
      </c>
      <c r="B92" s="27" t="s">
        <v>5</v>
      </c>
      <c r="C92" s="28">
        <v>45842</v>
      </c>
      <c r="D92" s="29">
        <v>256779414957</v>
      </c>
      <c r="E92" s="27" t="s">
        <v>46</v>
      </c>
      <c r="F92" s="30">
        <v>50</v>
      </c>
      <c r="G92" s="30">
        <v>50</v>
      </c>
      <c r="H92" s="27" t="s">
        <v>42</v>
      </c>
      <c r="I92" s="30">
        <v>4300.03</v>
      </c>
      <c r="J92" s="30">
        <v>0</v>
      </c>
      <c r="K92" s="30">
        <v>49</v>
      </c>
      <c r="L92" s="30">
        <v>49</v>
      </c>
      <c r="M92" s="30">
        <v>1</v>
      </c>
      <c r="N92" s="30">
        <f t="shared" si="1"/>
        <v>0</v>
      </c>
      <c r="O92" s="56">
        <v>0.02</v>
      </c>
      <c r="P92" s="27" t="s">
        <v>231</v>
      </c>
    </row>
    <row r="93" spans="1:16" x14ac:dyDescent="0.35">
      <c r="A93" s="88">
        <v>1800010257</v>
      </c>
      <c r="B93" s="27" t="s">
        <v>5</v>
      </c>
      <c r="C93" s="28">
        <v>45842</v>
      </c>
      <c r="D93" s="29">
        <v>256779415017</v>
      </c>
      <c r="E93" s="27" t="s">
        <v>46</v>
      </c>
      <c r="F93" s="30">
        <v>349.26</v>
      </c>
      <c r="G93" s="30">
        <v>349.26</v>
      </c>
      <c r="H93" s="27" t="s">
        <v>42</v>
      </c>
      <c r="I93" s="30">
        <v>30036.59</v>
      </c>
      <c r="J93" s="30">
        <v>0</v>
      </c>
      <c r="K93" s="30">
        <v>342.27480000000003</v>
      </c>
      <c r="L93" s="30">
        <v>342.27480000000003</v>
      </c>
      <c r="M93" s="30">
        <v>6.9851999999999634</v>
      </c>
      <c r="N93" s="30">
        <f t="shared" si="1"/>
        <v>0</v>
      </c>
      <c r="O93" s="56">
        <v>1.9999999999999896E-2</v>
      </c>
      <c r="P93" s="27" t="s">
        <v>234</v>
      </c>
    </row>
    <row r="94" spans="1:16" x14ac:dyDescent="0.35">
      <c r="A94" s="88">
        <v>1800010436</v>
      </c>
      <c r="B94" s="27" t="s">
        <v>5</v>
      </c>
      <c r="C94" s="28">
        <v>45842</v>
      </c>
      <c r="D94" s="29">
        <v>256779415196</v>
      </c>
      <c r="E94" s="27" t="s">
        <v>46</v>
      </c>
      <c r="F94" s="30">
        <v>17.48</v>
      </c>
      <c r="G94" s="30">
        <v>17.48</v>
      </c>
      <c r="H94" s="27" t="s">
        <v>42</v>
      </c>
      <c r="I94" s="30">
        <v>1503.29</v>
      </c>
      <c r="J94" s="30">
        <v>0</v>
      </c>
      <c r="K94" s="30">
        <v>15.731999999999999</v>
      </c>
      <c r="L94" s="30">
        <v>15.731999999999999</v>
      </c>
      <c r="M94" s="30">
        <v>1.7480000000000011</v>
      </c>
      <c r="N94" s="30">
        <f t="shared" si="1"/>
        <v>0</v>
      </c>
      <c r="O94" s="56">
        <v>0.10000000000000006</v>
      </c>
      <c r="P94" s="27" t="s">
        <v>236</v>
      </c>
    </row>
    <row r="95" spans="1:16" x14ac:dyDescent="0.35">
      <c r="A95" s="88">
        <v>1800010504</v>
      </c>
      <c r="B95" s="27" t="s">
        <v>5</v>
      </c>
      <c r="C95" s="28">
        <v>45842</v>
      </c>
      <c r="D95" s="29">
        <v>256779415264</v>
      </c>
      <c r="E95" s="27" t="s">
        <v>46</v>
      </c>
      <c r="F95" s="30">
        <v>926.11</v>
      </c>
      <c r="G95" s="30">
        <v>926.11</v>
      </c>
      <c r="H95" s="27" t="s">
        <v>42</v>
      </c>
      <c r="I95" s="30">
        <v>79646.080000000002</v>
      </c>
      <c r="J95" s="30">
        <v>0</v>
      </c>
      <c r="K95" s="30">
        <v>907.59</v>
      </c>
      <c r="L95" s="30">
        <v>907.59</v>
      </c>
      <c r="M95" s="30">
        <v>18.519999999999982</v>
      </c>
      <c r="N95" s="30">
        <f t="shared" si="1"/>
        <v>0</v>
      </c>
      <c r="O95" s="56">
        <v>1.9997624472254897E-2</v>
      </c>
      <c r="P95" s="27" t="s">
        <v>238</v>
      </c>
    </row>
    <row r="96" spans="1:16" x14ac:dyDescent="0.35">
      <c r="A96" s="88">
        <v>1800014283</v>
      </c>
      <c r="B96" s="27" t="s">
        <v>5</v>
      </c>
      <c r="C96" s="28">
        <v>45966</v>
      </c>
      <c r="D96" s="29">
        <v>256779418820</v>
      </c>
      <c r="E96" s="27" t="s">
        <v>46</v>
      </c>
      <c r="F96" s="30">
        <v>351.13</v>
      </c>
      <c r="G96" s="30">
        <v>351.13</v>
      </c>
      <c r="H96" s="27" t="s">
        <v>42</v>
      </c>
      <c r="I96" s="30">
        <v>30900.63</v>
      </c>
      <c r="J96" s="30">
        <v>0</v>
      </c>
      <c r="K96" s="30">
        <v>344.10739999999998</v>
      </c>
      <c r="L96" s="30">
        <v>344.10739999999998</v>
      </c>
      <c r="M96" s="30">
        <v>7.0226000000000113</v>
      </c>
      <c r="N96" s="30">
        <f t="shared" si="1"/>
        <v>0</v>
      </c>
      <c r="O96" s="56">
        <v>2.0000000000000032E-2</v>
      </c>
      <c r="P96" s="27" t="s">
        <v>248</v>
      </c>
    </row>
    <row r="97" spans="1:16" x14ac:dyDescent="0.35">
      <c r="A97" s="88">
        <v>1800014544</v>
      </c>
      <c r="B97" s="27" t="s">
        <v>5</v>
      </c>
      <c r="C97" s="28">
        <v>45966</v>
      </c>
      <c r="D97" s="29">
        <v>256779418876</v>
      </c>
      <c r="E97" s="27" t="s">
        <v>46</v>
      </c>
      <c r="F97" s="30">
        <v>745.97</v>
      </c>
      <c r="G97" s="30">
        <v>745.97</v>
      </c>
      <c r="H97" s="27" t="s">
        <v>42</v>
      </c>
      <c r="I97" s="30">
        <v>65647.89</v>
      </c>
      <c r="J97" s="30">
        <v>0</v>
      </c>
      <c r="K97" s="30">
        <v>671.37300000000005</v>
      </c>
      <c r="L97" s="30">
        <v>671.37300000000005</v>
      </c>
      <c r="M97" s="30">
        <v>74.59699999999998</v>
      </c>
      <c r="N97" s="30">
        <f t="shared" si="1"/>
        <v>0</v>
      </c>
      <c r="O97" s="56">
        <v>9.9999999999999964E-2</v>
      </c>
      <c r="P97" s="27" t="s">
        <v>250</v>
      </c>
    </row>
    <row r="98" spans="1:16" x14ac:dyDescent="0.35">
      <c r="A98" s="88">
        <v>1800014634</v>
      </c>
      <c r="B98" s="27" t="s">
        <v>5</v>
      </c>
      <c r="C98" s="28">
        <v>45966</v>
      </c>
      <c r="D98" s="29">
        <v>256779419077</v>
      </c>
      <c r="E98" s="27" t="s">
        <v>46</v>
      </c>
      <c r="F98" s="30">
        <v>900</v>
      </c>
      <c r="G98" s="30">
        <v>900</v>
      </c>
      <c r="H98" s="27" t="s">
        <v>42</v>
      </c>
      <c r="I98" s="30">
        <v>79203.05</v>
      </c>
      <c r="J98" s="30">
        <v>0</v>
      </c>
      <c r="K98" s="30">
        <v>874</v>
      </c>
      <c r="L98" s="30">
        <v>874</v>
      </c>
      <c r="M98" s="30">
        <v>26</v>
      </c>
      <c r="N98" s="30">
        <f t="shared" si="1"/>
        <v>0</v>
      </c>
      <c r="O98" s="56">
        <v>2.8888888888888888E-2</v>
      </c>
      <c r="P98" s="27" t="s">
        <v>251</v>
      </c>
    </row>
    <row r="99" spans="1:16" x14ac:dyDescent="0.35">
      <c r="A99" s="88">
        <v>1800014525</v>
      </c>
      <c r="B99" s="27" t="s">
        <v>5</v>
      </c>
      <c r="C99" s="28">
        <v>45966</v>
      </c>
      <c r="D99" s="29">
        <v>256779419174</v>
      </c>
      <c r="E99" s="27" t="s">
        <v>46</v>
      </c>
      <c r="F99" s="30">
        <v>8.2100000000000009</v>
      </c>
      <c r="G99" s="30">
        <v>8.2100000000000009</v>
      </c>
      <c r="H99" s="27" t="s">
        <v>42</v>
      </c>
      <c r="I99" s="30">
        <v>722.51</v>
      </c>
      <c r="J99" s="30">
        <v>0</v>
      </c>
      <c r="K99" s="30">
        <v>8.0457999999999998</v>
      </c>
      <c r="L99" s="30">
        <v>8.0457999999999998</v>
      </c>
      <c r="M99" s="30">
        <v>0.16420000000000101</v>
      </c>
      <c r="N99" s="30">
        <f t="shared" si="1"/>
        <v>0</v>
      </c>
      <c r="O99" s="56">
        <v>2.0000000000000122E-2</v>
      </c>
      <c r="P99" s="27" t="s">
        <v>253</v>
      </c>
    </row>
    <row r="100" spans="1:16" x14ac:dyDescent="0.35">
      <c r="A100" s="88">
        <v>1800014618</v>
      </c>
      <c r="B100" s="27" t="s">
        <v>5</v>
      </c>
      <c r="C100" s="28">
        <v>45966</v>
      </c>
      <c r="D100" s="29">
        <v>256779419200</v>
      </c>
      <c r="E100" s="27" t="s">
        <v>46</v>
      </c>
      <c r="F100" s="30">
        <v>152.26</v>
      </c>
      <c r="G100" s="30">
        <v>152.26</v>
      </c>
      <c r="H100" s="27" t="s">
        <v>42</v>
      </c>
      <c r="I100" s="30">
        <v>13399.4</v>
      </c>
      <c r="J100" s="30">
        <v>0</v>
      </c>
      <c r="K100" s="30">
        <v>149.2148</v>
      </c>
      <c r="L100" s="30">
        <v>149.2148</v>
      </c>
      <c r="M100" s="30">
        <v>3.0451999999999941</v>
      </c>
      <c r="N100" s="30">
        <f t="shared" si="1"/>
        <v>0</v>
      </c>
      <c r="O100" s="56">
        <v>1.9999999999999962E-2</v>
      </c>
      <c r="P100" s="27" t="s">
        <v>255</v>
      </c>
    </row>
    <row r="101" spans="1:16" x14ac:dyDescent="0.35">
      <c r="A101" s="88">
        <v>1800014731</v>
      </c>
      <c r="B101" s="27" t="s">
        <v>5</v>
      </c>
      <c r="C101" s="28">
        <v>45966</v>
      </c>
      <c r="D101" s="29">
        <v>256779419232</v>
      </c>
      <c r="E101" s="27" t="s">
        <v>46</v>
      </c>
      <c r="F101" s="30">
        <v>25.69</v>
      </c>
      <c r="G101" s="30">
        <v>25.69</v>
      </c>
      <c r="H101" s="27" t="s">
        <v>42</v>
      </c>
      <c r="I101" s="30">
        <v>2260.81</v>
      </c>
      <c r="J101" s="30">
        <v>0</v>
      </c>
      <c r="K101" s="30">
        <v>25.176200000000001</v>
      </c>
      <c r="L101" s="30">
        <v>25.176200000000001</v>
      </c>
      <c r="M101" s="30">
        <v>0.51379999999999981</v>
      </c>
      <c r="N101" s="30">
        <f t="shared" si="1"/>
        <v>0</v>
      </c>
      <c r="O101" s="56">
        <v>1.999999999999999E-2</v>
      </c>
      <c r="P101" s="27" t="s">
        <v>257</v>
      </c>
    </row>
    <row r="102" spans="1:16" x14ac:dyDescent="0.35">
      <c r="A102" s="88">
        <v>1800000350</v>
      </c>
      <c r="B102" s="27" t="s">
        <v>5</v>
      </c>
      <c r="C102" s="28">
        <v>45713</v>
      </c>
      <c r="D102" s="29">
        <v>246779410324</v>
      </c>
      <c r="E102" s="27" t="s">
        <v>46</v>
      </c>
      <c r="F102" s="30">
        <v>1750</v>
      </c>
      <c r="G102" s="30">
        <v>1750</v>
      </c>
      <c r="H102" s="27" t="s">
        <v>42</v>
      </c>
      <c r="I102" s="30">
        <v>151031.41</v>
      </c>
      <c r="J102" s="30">
        <v>0</v>
      </c>
      <c r="K102" s="30">
        <v>1575</v>
      </c>
      <c r="L102" s="30">
        <v>1575</v>
      </c>
      <c r="M102" s="30">
        <v>175</v>
      </c>
      <c r="N102" s="30">
        <f t="shared" si="1"/>
        <v>0</v>
      </c>
      <c r="O102" s="56">
        <v>0.1</v>
      </c>
      <c r="P102" s="27" t="s">
        <v>119</v>
      </c>
    </row>
    <row r="103" spans="1:16" x14ac:dyDescent="0.35">
      <c r="A103" s="88">
        <v>1800014408</v>
      </c>
      <c r="B103" s="27" t="s">
        <v>5</v>
      </c>
      <c r="C103" s="28">
        <v>45964</v>
      </c>
      <c r="D103" s="29">
        <v>256779419130</v>
      </c>
      <c r="E103" s="27" t="s">
        <v>46</v>
      </c>
      <c r="F103" s="30">
        <v>52.71</v>
      </c>
      <c r="G103" s="30">
        <v>52.71</v>
      </c>
      <c r="H103" s="27" t="s">
        <v>42</v>
      </c>
      <c r="I103" s="30">
        <v>4638.66</v>
      </c>
      <c r="J103" s="30">
        <v>0</v>
      </c>
      <c r="K103" s="30">
        <v>51.655799999999999</v>
      </c>
      <c r="L103" s="30">
        <v>51.655799999999999</v>
      </c>
      <c r="M103" s="30">
        <v>1.0542000000000016</v>
      </c>
      <c r="N103" s="30">
        <f t="shared" si="1"/>
        <v>0</v>
      </c>
      <c r="O103" s="56">
        <v>2.0000000000000028E-2</v>
      </c>
      <c r="P103" s="27" t="s">
        <v>260</v>
      </c>
    </row>
    <row r="104" spans="1:16" x14ac:dyDescent="0.35">
      <c r="A104" s="88">
        <v>1800011648</v>
      </c>
      <c r="B104" s="27" t="s">
        <v>5</v>
      </c>
      <c r="C104" s="28">
        <v>45877</v>
      </c>
      <c r="D104" s="29">
        <v>256779416078</v>
      </c>
      <c r="E104" s="27" t="s">
        <v>46</v>
      </c>
      <c r="F104" s="30">
        <v>1477.42</v>
      </c>
      <c r="G104" s="30">
        <v>1477.42</v>
      </c>
      <c r="H104" s="27" t="s">
        <v>42</v>
      </c>
      <c r="I104" s="30">
        <v>127102.62</v>
      </c>
      <c r="J104" s="30">
        <v>0</v>
      </c>
      <c r="K104" s="30">
        <v>1329.6780000000001</v>
      </c>
      <c r="L104" s="30">
        <v>1329.6780000000001</v>
      </c>
      <c r="M104" s="30">
        <v>147.74199999999996</v>
      </c>
      <c r="N104" s="30">
        <f t="shared" si="1"/>
        <v>0</v>
      </c>
      <c r="O104" s="56">
        <v>9.9999999999999964E-2</v>
      </c>
      <c r="P104" s="27" t="s">
        <v>236</v>
      </c>
    </row>
    <row r="105" spans="1:16" x14ac:dyDescent="0.35">
      <c r="A105" s="88">
        <v>1800011656</v>
      </c>
      <c r="B105" s="27" t="s">
        <v>5</v>
      </c>
      <c r="C105" s="28">
        <v>45877</v>
      </c>
      <c r="D105" s="29">
        <v>256779416086</v>
      </c>
      <c r="E105" s="27" t="s">
        <v>46</v>
      </c>
      <c r="F105" s="30">
        <v>1449.76</v>
      </c>
      <c r="G105" s="30">
        <v>1449.76</v>
      </c>
      <c r="H105" s="27" t="s">
        <v>42</v>
      </c>
      <c r="I105" s="30">
        <v>124723.03</v>
      </c>
      <c r="J105" s="30">
        <v>0</v>
      </c>
      <c r="K105" s="30">
        <v>1304.7840000000001</v>
      </c>
      <c r="L105" s="30">
        <v>1304.7840000000001</v>
      </c>
      <c r="M105" s="30">
        <v>144.97599999999989</v>
      </c>
      <c r="N105" s="30">
        <f t="shared" si="1"/>
        <v>0</v>
      </c>
      <c r="O105" s="56">
        <v>9.9999999999999922E-2</v>
      </c>
      <c r="P105" s="27" t="s">
        <v>263</v>
      </c>
    </row>
    <row r="106" spans="1:16" x14ac:dyDescent="0.35">
      <c r="A106" s="88">
        <v>1800011832</v>
      </c>
      <c r="B106" s="27" t="s">
        <v>5</v>
      </c>
      <c r="C106" s="28">
        <v>45877</v>
      </c>
      <c r="D106" s="29">
        <v>256779416141</v>
      </c>
      <c r="E106" s="27" t="s">
        <v>46</v>
      </c>
      <c r="F106" s="30">
        <v>299.12</v>
      </c>
      <c r="G106" s="30">
        <v>299.12</v>
      </c>
      <c r="H106" s="27" t="s">
        <v>42</v>
      </c>
      <c r="I106" s="30">
        <v>25733.33</v>
      </c>
      <c r="J106" s="30">
        <v>0</v>
      </c>
      <c r="K106" s="30">
        <v>293.13760000000002</v>
      </c>
      <c r="L106" s="30">
        <v>293.13760000000002</v>
      </c>
      <c r="M106" s="30">
        <v>5.9823999999999842</v>
      </c>
      <c r="N106" s="30">
        <f t="shared" si="1"/>
        <v>0</v>
      </c>
      <c r="O106" s="56">
        <v>1.9999999999999948E-2</v>
      </c>
      <c r="P106" s="27" t="s">
        <v>266</v>
      </c>
    </row>
    <row r="107" spans="1:16" x14ac:dyDescent="0.35">
      <c r="A107" s="88">
        <v>1800011788</v>
      </c>
      <c r="B107" s="27" t="s">
        <v>5</v>
      </c>
      <c r="C107" s="28">
        <v>45877</v>
      </c>
      <c r="D107" s="29">
        <v>256779416179</v>
      </c>
      <c r="E107" s="27" t="s">
        <v>46</v>
      </c>
      <c r="F107" s="30">
        <v>2787.24</v>
      </c>
      <c r="G107" s="30">
        <v>2787.24</v>
      </c>
      <c r="H107" s="27" t="s">
        <v>42</v>
      </c>
      <c r="I107" s="30">
        <v>239786.59</v>
      </c>
      <c r="J107" s="30">
        <v>0</v>
      </c>
      <c r="K107" s="30">
        <v>2723.24</v>
      </c>
      <c r="L107" s="30">
        <v>2723.24</v>
      </c>
      <c r="M107" s="30">
        <v>64</v>
      </c>
      <c r="N107" s="30">
        <f t="shared" si="1"/>
        <v>0</v>
      </c>
      <c r="O107" s="56">
        <v>2.2961782982448588E-2</v>
      </c>
      <c r="P107" s="27" t="s">
        <v>268</v>
      </c>
    </row>
    <row r="108" spans="1:16" x14ac:dyDescent="0.35">
      <c r="A108" s="88">
        <v>1800011706</v>
      </c>
      <c r="B108" s="27" t="s">
        <v>5</v>
      </c>
      <c r="C108" s="28">
        <v>45877</v>
      </c>
      <c r="D108" s="29">
        <v>256779416224</v>
      </c>
      <c r="E108" s="27" t="s">
        <v>46</v>
      </c>
      <c r="F108" s="30">
        <v>304.52999999999997</v>
      </c>
      <c r="G108" s="30">
        <v>304.52999999999997</v>
      </c>
      <c r="H108" s="27" t="s">
        <v>42</v>
      </c>
      <c r="I108" s="30">
        <v>26198.75</v>
      </c>
      <c r="J108" s="30">
        <v>0</v>
      </c>
      <c r="K108" s="30">
        <v>298.44</v>
      </c>
      <c r="L108" s="30">
        <v>298.44</v>
      </c>
      <c r="M108" s="30">
        <v>6.089999999999975</v>
      </c>
      <c r="N108" s="30">
        <f t="shared" si="1"/>
        <v>0</v>
      </c>
      <c r="O108" s="56">
        <v>1.9998029750763393E-2</v>
      </c>
      <c r="P108" s="27" t="s">
        <v>270</v>
      </c>
    </row>
    <row r="109" spans="1:16" x14ac:dyDescent="0.35">
      <c r="A109" s="88">
        <v>1800011595</v>
      </c>
      <c r="B109" s="27" t="s">
        <v>5</v>
      </c>
      <c r="C109" s="28">
        <v>45877</v>
      </c>
      <c r="D109" s="29">
        <v>256779416445</v>
      </c>
      <c r="E109" s="27" t="s">
        <v>46</v>
      </c>
      <c r="F109" s="30">
        <v>586.79</v>
      </c>
      <c r="G109" s="30">
        <v>586.79</v>
      </c>
      <c r="H109" s="27" t="s">
        <v>42</v>
      </c>
      <c r="I109" s="30">
        <v>50481.61</v>
      </c>
      <c r="J109" s="30">
        <v>0</v>
      </c>
      <c r="K109" s="30">
        <v>575.04999999999995</v>
      </c>
      <c r="L109" s="30">
        <v>575.04999999999995</v>
      </c>
      <c r="M109" s="30">
        <v>11.740000000000009</v>
      </c>
      <c r="N109" s="30">
        <f t="shared" si="1"/>
        <v>0</v>
      </c>
      <c r="O109" s="56">
        <v>2.0007157586189282E-2</v>
      </c>
      <c r="P109" s="27" t="s">
        <v>272</v>
      </c>
    </row>
    <row r="110" spans="1:16" x14ac:dyDescent="0.35">
      <c r="A110" s="88">
        <v>1800011864</v>
      </c>
      <c r="B110" s="27" t="s">
        <v>5</v>
      </c>
      <c r="C110" s="28">
        <v>45877</v>
      </c>
      <c r="D110" s="29">
        <v>256779416515</v>
      </c>
      <c r="E110" s="27" t="s">
        <v>46</v>
      </c>
      <c r="F110" s="30">
        <v>396.98</v>
      </c>
      <c r="G110" s="30">
        <v>396.98</v>
      </c>
      <c r="H110" s="27" t="s">
        <v>42</v>
      </c>
      <c r="I110" s="30">
        <v>34152.239999999998</v>
      </c>
      <c r="J110" s="30">
        <v>0</v>
      </c>
      <c r="K110" s="30">
        <v>389.04039999999998</v>
      </c>
      <c r="L110" s="30">
        <v>389.04039999999998</v>
      </c>
      <c r="M110" s="30">
        <v>7.9396000000000413</v>
      </c>
      <c r="N110" s="30">
        <f t="shared" si="1"/>
        <v>0</v>
      </c>
      <c r="O110" s="56">
        <v>2.0000000000000104E-2</v>
      </c>
      <c r="P110" s="27" t="s">
        <v>273</v>
      </c>
    </row>
    <row r="111" spans="1:16" x14ac:dyDescent="0.35">
      <c r="A111" s="88">
        <v>1800009453</v>
      </c>
      <c r="B111" s="27" t="s">
        <v>5</v>
      </c>
      <c r="C111" s="28">
        <v>45812</v>
      </c>
      <c r="D111" s="29">
        <v>256779414217</v>
      </c>
      <c r="E111" s="27" t="s">
        <v>46</v>
      </c>
      <c r="F111" s="30">
        <v>71.760000000000005</v>
      </c>
      <c r="G111" s="30">
        <v>71.760000000000005</v>
      </c>
      <c r="H111" s="27" t="s">
        <v>42</v>
      </c>
      <c r="I111" s="30">
        <v>6134.82</v>
      </c>
      <c r="J111" s="30">
        <v>0</v>
      </c>
      <c r="K111" s="30">
        <v>70.324799999999996</v>
      </c>
      <c r="L111" s="30">
        <v>70.324799999999996</v>
      </c>
      <c r="M111" s="30">
        <v>1.4352000000000089</v>
      </c>
      <c r="N111" s="30">
        <f t="shared" si="1"/>
        <v>0</v>
      </c>
      <c r="O111" s="56">
        <v>2.0000000000000122E-2</v>
      </c>
      <c r="P111" s="27" t="s">
        <v>275</v>
      </c>
    </row>
    <row r="112" spans="1:16" x14ac:dyDescent="0.35">
      <c r="A112" s="88">
        <v>1800009511</v>
      </c>
      <c r="B112" s="27" t="s">
        <v>5</v>
      </c>
      <c r="C112" s="28">
        <v>45812</v>
      </c>
      <c r="D112" s="29">
        <v>256779414275</v>
      </c>
      <c r="E112" s="27" t="s">
        <v>46</v>
      </c>
      <c r="F112" s="30">
        <v>136.08000000000001</v>
      </c>
      <c r="G112" s="30">
        <v>136.08000000000001</v>
      </c>
      <c r="H112" s="27" t="s">
        <v>42</v>
      </c>
      <c r="I112" s="30">
        <v>11633.59</v>
      </c>
      <c r="J112" s="30">
        <v>0</v>
      </c>
      <c r="K112" s="30">
        <v>133.35839999999999</v>
      </c>
      <c r="L112" s="30">
        <v>133.35839999999999</v>
      </c>
      <c r="M112" s="30">
        <v>2.7216000000000236</v>
      </c>
      <c r="N112" s="30">
        <f t="shared" si="1"/>
        <v>0</v>
      </c>
      <c r="O112" s="56">
        <v>2.000000000000017E-2</v>
      </c>
      <c r="P112" s="27" t="s">
        <v>277</v>
      </c>
    </row>
    <row r="113" spans="1:16" x14ac:dyDescent="0.35">
      <c r="A113" s="88">
        <v>1800009553</v>
      </c>
      <c r="B113" s="27" t="s">
        <v>5</v>
      </c>
      <c r="C113" s="28">
        <v>45812</v>
      </c>
      <c r="D113" s="29">
        <v>256779414317</v>
      </c>
      <c r="E113" s="27" t="s">
        <v>46</v>
      </c>
      <c r="F113" s="30">
        <v>697.43</v>
      </c>
      <c r="G113" s="30">
        <v>697.43</v>
      </c>
      <c r="H113" s="27" t="s">
        <v>42</v>
      </c>
      <c r="I113" s="30">
        <v>59623.83</v>
      </c>
      <c r="J113" s="30">
        <v>0</v>
      </c>
      <c r="K113" s="30">
        <v>683.48140000000001</v>
      </c>
      <c r="L113" s="30">
        <v>683.48140000000001</v>
      </c>
      <c r="M113" s="30">
        <v>13.948599999999942</v>
      </c>
      <c r="N113" s="30">
        <f t="shared" si="1"/>
        <v>0</v>
      </c>
      <c r="O113" s="56">
        <v>1.9999999999999917E-2</v>
      </c>
      <c r="P113" s="27" t="s">
        <v>279</v>
      </c>
    </row>
    <row r="114" spans="1:16" x14ac:dyDescent="0.35">
      <c r="A114" s="88">
        <v>1800008488</v>
      </c>
      <c r="B114" s="27" t="s">
        <v>5</v>
      </c>
      <c r="C114" s="28">
        <v>45793</v>
      </c>
      <c r="D114" s="29">
        <v>256779413256</v>
      </c>
      <c r="E114" s="27" t="s">
        <v>46</v>
      </c>
      <c r="F114" s="30">
        <v>270</v>
      </c>
      <c r="G114" s="30">
        <v>270</v>
      </c>
      <c r="H114" s="27" t="s">
        <v>42</v>
      </c>
      <c r="I114" s="30">
        <v>23215.599999999999</v>
      </c>
      <c r="J114" s="30">
        <v>0</v>
      </c>
      <c r="K114" s="30">
        <v>264.60000000000002</v>
      </c>
      <c r="L114" s="30">
        <v>264.60000000000002</v>
      </c>
      <c r="M114" s="30">
        <v>5.3999999999999773</v>
      </c>
      <c r="N114" s="30">
        <f t="shared" si="1"/>
        <v>0</v>
      </c>
      <c r="O114" s="56">
        <v>1.9999999999999917E-2</v>
      </c>
      <c r="P114" s="27" t="s">
        <v>287</v>
      </c>
    </row>
    <row r="115" spans="1:16" x14ac:dyDescent="0.35">
      <c r="A115" s="88">
        <v>1800008520</v>
      </c>
      <c r="B115" s="27" t="s">
        <v>5</v>
      </c>
      <c r="C115" s="28">
        <v>45793</v>
      </c>
      <c r="D115" s="29">
        <v>256779413284</v>
      </c>
      <c r="E115" s="27" t="s">
        <v>46</v>
      </c>
      <c r="F115" s="30">
        <v>35</v>
      </c>
      <c r="G115" s="30">
        <v>35</v>
      </c>
      <c r="H115" s="27" t="s">
        <v>42</v>
      </c>
      <c r="I115" s="30">
        <v>3009.43</v>
      </c>
      <c r="J115" s="30">
        <v>0</v>
      </c>
      <c r="K115" s="30">
        <v>34.299999999999997</v>
      </c>
      <c r="L115" s="30">
        <v>34.299999999999997</v>
      </c>
      <c r="M115" s="30">
        <v>0.70000000000000284</v>
      </c>
      <c r="N115" s="30">
        <f t="shared" si="1"/>
        <v>0</v>
      </c>
      <c r="O115" s="56">
        <v>2.000000000000008E-2</v>
      </c>
      <c r="P115" s="27" t="s">
        <v>289</v>
      </c>
    </row>
    <row r="116" spans="1:16" x14ac:dyDescent="0.35">
      <c r="A116" s="88">
        <v>1800008549</v>
      </c>
      <c r="B116" s="27" t="s">
        <v>5</v>
      </c>
      <c r="C116" s="28">
        <v>45793</v>
      </c>
      <c r="D116" s="29">
        <v>256779413313</v>
      </c>
      <c r="E116" s="27" t="s">
        <v>46</v>
      </c>
      <c r="F116" s="30">
        <v>86</v>
      </c>
      <c r="G116" s="30">
        <v>86</v>
      </c>
      <c r="H116" s="27" t="s">
        <v>42</v>
      </c>
      <c r="I116" s="30">
        <v>7394.6</v>
      </c>
      <c r="J116" s="30">
        <v>0</v>
      </c>
      <c r="K116" s="30">
        <v>84.28</v>
      </c>
      <c r="L116" s="30">
        <v>84.28</v>
      </c>
      <c r="M116" s="30">
        <v>1.7199999999999989</v>
      </c>
      <c r="N116" s="30">
        <f t="shared" si="1"/>
        <v>0</v>
      </c>
      <c r="O116" s="56">
        <v>1.9999999999999987E-2</v>
      </c>
      <c r="P116" s="27" t="s">
        <v>290</v>
      </c>
    </row>
    <row r="117" spans="1:16" x14ac:dyDescent="0.35">
      <c r="A117" s="88">
        <v>1800008594</v>
      </c>
      <c r="B117" s="27" t="s">
        <v>5</v>
      </c>
      <c r="C117" s="28">
        <v>45793</v>
      </c>
      <c r="D117" s="29">
        <v>256779413358</v>
      </c>
      <c r="E117" s="27" t="s">
        <v>46</v>
      </c>
      <c r="F117" s="30">
        <v>20.11</v>
      </c>
      <c r="G117" s="30">
        <v>20.11</v>
      </c>
      <c r="H117" s="27" t="s">
        <v>42</v>
      </c>
      <c r="I117" s="30">
        <v>1729.13</v>
      </c>
      <c r="J117" s="30">
        <v>0</v>
      </c>
      <c r="K117" s="30">
        <v>19.707799999999999</v>
      </c>
      <c r="L117" s="30">
        <v>19.707799999999999</v>
      </c>
      <c r="M117" s="30">
        <v>0.40220000000000056</v>
      </c>
      <c r="N117" s="30">
        <f t="shared" si="1"/>
        <v>0</v>
      </c>
      <c r="O117" s="56">
        <v>2.0000000000000028E-2</v>
      </c>
      <c r="P117" s="27" t="s">
        <v>291</v>
      </c>
    </row>
    <row r="118" spans="1:16" x14ac:dyDescent="0.35">
      <c r="A118" s="88">
        <v>1800009133</v>
      </c>
      <c r="B118" s="27" t="s">
        <v>5</v>
      </c>
      <c r="C118" s="28">
        <v>45805</v>
      </c>
      <c r="D118" s="29">
        <v>256779413897</v>
      </c>
      <c r="E118" s="27" t="s">
        <v>46</v>
      </c>
      <c r="F118" s="30">
        <v>553.24</v>
      </c>
      <c r="G118" s="30">
        <v>553.24</v>
      </c>
      <c r="H118" s="27" t="s">
        <v>42</v>
      </c>
      <c r="I118" s="30">
        <v>47569.62</v>
      </c>
      <c r="J118" s="30">
        <v>0</v>
      </c>
      <c r="K118" s="30">
        <v>497.916</v>
      </c>
      <c r="L118" s="30">
        <v>497.916</v>
      </c>
      <c r="M118" s="30">
        <v>55.324000000000012</v>
      </c>
      <c r="N118" s="30">
        <f t="shared" si="1"/>
        <v>0</v>
      </c>
      <c r="O118" s="56">
        <v>0.10000000000000002</v>
      </c>
      <c r="P118" s="27" t="s">
        <v>293</v>
      </c>
    </row>
    <row r="119" spans="1:16" x14ac:dyDescent="0.35">
      <c r="A119" s="88">
        <v>1800010770</v>
      </c>
      <c r="B119" s="27" t="s">
        <v>5</v>
      </c>
      <c r="C119" s="28">
        <v>45856</v>
      </c>
      <c r="D119" s="29">
        <v>256779415432</v>
      </c>
      <c r="E119" s="27" t="s">
        <v>46</v>
      </c>
      <c r="F119" s="30">
        <v>296.64</v>
      </c>
      <c r="G119" s="30">
        <v>296.64</v>
      </c>
      <c r="H119" s="27" t="s">
        <v>42</v>
      </c>
      <c r="I119" s="30">
        <v>25511.24</v>
      </c>
      <c r="J119" s="30">
        <v>0</v>
      </c>
      <c r="K119" s="30">
        <v>290.70999999999998</v>
      </c>
      <c r="L119" s="30">
        <v>290.70999999999998</v>
      </c>
      <c r="M119" s="30">
        <v>5.9300000000000068</v>
      </c>
      <c r="N119" s="30">
        <f t="shared" si="1"/>
        <v>0</v>
      </c>
      <c r="O119" s="56">
        <v>1.9990560949298838E-2</v>
      </c>
      <c r="P119" s="27" t="s">
        <v>295</v>
      </c>
    </row>
    <row r="120" spans="1:16" x14ac:dyDescent="0.35">
      <c r="A120" s="88">
        <v>1800010698</v>
      </c>
      <c r="B120" s="27" t="s">
        <v>5</v>
      </c>
      <c r="C120" s="28">
        <v>45856</v>
      </c>
      <c r="D120" s="29">
        <v>256779415482</v>
      </c>
      <c r="E120" s="27" t="s">
        <v>46</v>
      </c>
      <c r="F120" s="30">
        <v>860.97</v>
      </c>
      <c r="G120" s="30">
        <v>860.97</v>
      </c>
      <c r="H120" s="27" t="s">
        <v>42</v>
      </c>
      <c r="I120" s="30">
        <v>74044</v>
      </c>
      <c r="J120" s="30">
        <v>0</v>
      </c>
      <c r="K120" s="30">
        <v>842.20999999999992</v>
      </c>
      <c r="L120" s="30">
        <v>842.20999999999992</v>
      </c>
      <c r="M120" s="30">
        <v>18.760000000000105</v>
      </c>
      <c r="N120" s="30">
        <f t="shared" si="1"/>
        <v>0</v>
      </c>
      <c r="O120" s="56">
        <v>2.1789377097924556E-2</v>
      </c>
      <c r="P120" s="27" t="s">
        <v>297</v>
      </c>
    </row>
    <row r="121" spans="1:16" x14ac:dyDescent="0.35">
      <c r="A121" s="88">
        <v>1800010740</v>
      </c>
      <c r="B121" s="27" t="s">
        <v>5</v>
      </c>
      <c r="C121" s="28">
        <v>45856</v>
      </c>
      <c r="D121" s="29">
        <v>256779415524</v>
      </c>
      <c r="E121" s="27" t="s">
        <v>46</v>
      </c>
      <c r="F121" s="30">
        <v>73.12</v>
      </c>
      <c r="G121" s="30">
        <v>73.12</v>
      </c>
      <c r="H121" s="27" t="s">
        <v>42</v>
      </c>
      <c r="I121" s="30">
        <v>6288.37</v>
      </c>
      <c r="J121" s="30">
        <v>0</v>
      </c>
      <c r="K121" s="30">
        <v>71.657600000000002</v>
      </c>
      <c r="L121" s="30">
        <v>71.657600000000002</v>
      </c>
      <c r="M121" s="30">
        <v>1.4624000000000024</v>
      </c>
      <c r="N121" s="30">
        <f t="shared" si="1"/>
        <v>0</v>
      </c>
      <c r="O121" s="56">
        <v>2.0000000000000032E-2</v>
      </c>
      <c r="P121" s="27" t="s">
        <v>299</v>
      </c>
    </row>
    <row r="122" spans="1:16" x14ac:dyDescent="0.35">
      <c r="A122" s="88">
        <v>1800010941</v>
      </c>
      <c r="B122" s="27" t="s">
        <v>5</v>
      </c>
      <c r="C122" s="28">
        <v>45856</v>
      </c>
      <c r="D122" s="29">
        <v>256779415701</v>
      </c>
      <c r="E122" s="27" t="s">
        <v>46</v>
      </c>
      <c r="F122" s="30">
        <v>660</v>
      </c>
      <c r="G122" s="30">
        <v>660</v>
      </c>
      <c r="H122" s="27" t="s">
        <v>42</v>
      </c>
      <c r="I122" s="30">
        <v>56760.44</v>
      </c>
      <c r="J122" s="30">
        <v>0</v>
      </c>
      <c r="K122" s="30">
        <v>646.79999999999995</v>
      </c>
      <c r="L122" s="30">
        <v>646.79999999999995</v>
      </c>
      <c r="M122" s="30">
        <v>13.200000000000045</v>
      </c>
      <c r="N122" s="30">
        <f t="shared" si="1"/>
        <v>0</v>
      </c>
      <c r="O122" s="56">
        <v>2.000000000000007E-2</v>
      </c>
      <c r="P122" s="27" t="s">
        <v>301</v>
      </c>
    </row>
    <row r="123" spans="1:16" x14ac:dyDescent="0.35">
      <c r="A123" s="88">
        <v>1800001469</v>
      </c>
      <c r="B123" s="27" t="s">
        <v>5</v>
      </c>
      <c r="C123" s="28">
        <v>45729</v>
      </c>
      <c r="D123" s="29">
        <v>246779411301</v>
      </c>
      <c r="E123" s="27" t="s">
        <v>46</v>
      </c>
      <c r="F123" s="30">
        <v>85</v>
      </c>
      <c r="G123" s="30">
        <v>85</v>
      </c>
      <c r="H123" s="27" t="s">
        <v>42</v>
      </c>
      <c r="I123" s="30">
        <v>7368.76</v>
      </c>
      <c r="J123" s="30">
        <v>0</v>
      </c>
      <c r="K123" s="30">
        <v>83.3</v>
      </c>
      <c r="L123" s="30">
        <v>83.3</v>
      </c>
      <c r="M123" s="30">
        <v>1.7000000000000028</v>
      </c>
      <c r="N123" s="30">
        <f t="shared" si="1"/>
        <v>0</v>
      </c>
      <c r="O123" s="56">
        <v>2.0000000000000035E-2</v>
      </c>
      <c r="P123" s="27" t="s">
        <v>304</v>
      </c>
    </row>
    <row r="124" spans="1:16" x14ac:dyDescent="0.35">
      <c r="A124" s="88">
        <v>1800001451</v>
      </c>
      <c r="B124" s="27" t="s">
        <v>5</v>
      </c>
      <c r="C124" s="28">
        <v>45729</v>
      </c>
      <c r="D124" s="29">
        <v>246779411315</v>
      </c>
      <c r="E124" s="27" t="s">
        <v>46</v>
      </c>
      <c r="F124" s="30">
        <v>35</v>
      </c>
      <c r="G124" s="30">
        <v>35</v>
      </c>
      <c r="H124" s="27" t="s">
        <v>42</v>
      </c>
      <c r="I124" s="30">
        <v>3034.19</v>
      </c>
      <c r="J124" s="30">
        <v>0</v>
      </c>
      <c r="K124" s="30">
        <v>34.299999999999997</v>
      </c>
      <c r="L124" s="30">
        <v>34.299999999999997</v>
      </c>
      <c r="M124" s="30">
        <v>0.70000000000000284</v>
      </c>
      <c r="N124" s="30">
        <f t="shared" si="1"/>
        <v>0</v>
      </c>
      <c r="O124" s="56">
        <v>2.000000000000008E-2</v>
      </c>
      <c r="P124" s="27" t="s">
        <v>306</v>
      </c>
    </row>
    <row r="125" spans="1:16" x14ac:dyDescent="0.35">
      <c r="A125" s="88">
        <v>1800001411</v>
      </c>
      <c r="B125" s="27" t="s">
        <v>5</v>
      </c>
      <c r="C125" s="28">
        <v>45729</v>
      </c>
      <c r="D125" s="29">
        <v>246779411279</v>
      </c>
      <c r="E125" s="27" t="s">
        <v>46</v>
      </c>
      <c r="F125" s="30">
        <v>35</v>
      </c>
      <c r="G125" s="30">
        <v>35</v>
      </c>
      <c r="H125" s="27" t="s">
        <v>42</v>
      </c>
      <c r="I125" s="30">
        <v>3034.19</v>
      </c>
      <c r="J125" s="30">
        <v>0</v>
      </c>
      <c r="K125" s="30">
        <v>34.299999999999997</v>
      </c>
      <c r="L125" s="30">
        <v>34.299999999999997</v>
      </c>
      <c r="M125" s="30">
        <v>0.70000000000000284</v>
      </c>
      <c r="N125" s="30">
        <f t="shared" si="1"/>
        <v>0</v>
      </c>
      <c r="O125" s="56">
        <v>2.000000000000008E-2</v>
      </c>
      <c r="P125" s="27" t="s">
        <v>308</v>
      </c>
    </row>
    <row r="126" spans="1:16" x14ac:dyDescent="0.35">
      <c r="A126" s="88">
        <v>1800003929</v>
      </c>
      <c r="B126" s="27" t="s">
        <v>5</v>
      </c>
      <c r="C126" s="28">
        <v>45736</v>
      </c>
      <c r="D126" s="29">
        <v>246779413797</v>
      </c>
      <c r="E126" s="27" t="s">
        <v>46</v>
      </c>
      <c r="F126" s="30">
        <v>1750</v>
      </c>
      <c r="G126" s="30">
        <v>1750</v>
      </c>
      <c r="H126" s="27" t="s">
        <v>42</v>
      </c>
      <c r="I126" s="30">
        <v>151709.71</v>
      </c>
      <c r="J126" s="30">
        <v>0</v>
      </c>
      <c r="K126" s="30">
        <v>1719</v>
      </c>
      <c r="L126" s="30">
        <v>1719</v>
      </c>
      <c r="M126" s="30">
        <v>31</v>
      </c>
      <c r="N126" s="30">
        <f t="shared" si="1"/>
        <v>20</v>
      </c>
      <c r="O126" s="56">
        <v>1.7714285714285714E-2</v>
      </c>
      <c r="P126" s="27" t="s">
        <v>310</v>
      </c>
    </row>
    <row r="127" spans="1:16" x14ac:dyDescent="0.35">
      <c r="A127" s="88">
        <v>1800003940</v>
      </c>
      <c r="B127" s="27" t="s">
        <v>5</v>
      </c>
      <c r="C127" s="28">
        <v>45736</v>
      </c>
      <c r="D127" s="29">
        <v>246779413808</v>
      </c>
      <c r="E127" s="27" t="s">
        <v>46</v>
      </c>
      <c r="F127" s="30">
        <v>1600</v>
      </c>
      <c r="G127" s="30">
        <v>1600</v>
      </c>
      <c r="H127" s="27" t="s">
        <v>42</v>
      </c>
      <c r="I127" s="30">
        <v>138706.01999999999</v>
      </c>
      <c r="J127" s="30">
        <v>0</v>
      </c>
      <c r="K127" s="30">
        <v>1572</v>
      </c>
      <c r="L127" s="30">
        <v>1572</v>
      </c>
      <c r="M127" s="30">
        <v>28</v>
      </c>
      <c r="N127" s="30">
        <f t="shared" si="1"/>
        <v>20</v>
      </c>
      <c r="O127" s="56">
        <v>1.7500000000000002E-2</v>
      </c>
      <c r="P127" s="27" t="s">
        <v>312</v>
      </c>
    </row>
    <row r="128" spans="1:16" x14ac:dyDescent="0.35">
      <c r="A128" s="88">
        <v>1800003961</v>
      </c>
      <c r="B128" s="27" t="s">
        <v>5</v>
      </c>
      <c r="C128" s="28">
        <v>45736</v>
      </c>
      <c r="D128" s="29">
        <v>246779413817</v>
      </c>
      <c r="E128" s="27" t="s">
        <v>46</v>
      </c>
      <c r="F128" s="30">
        <v>50</v>
      </c>
      <c r="G128" s="30">
        <v>50</v>
      </c>
      <c r="H128" s="27" t="s">
        <v>42</v>
      </c>
      <c r="I128" s="30">
        <v>4334.5600000000004</v>
      </c>
      <c r="J128" s="30">
        <v>0</v>
      </c>
      <c r="K128" s="30">
        <v>49</v>
      </c>
      <c r="L128" s="30">
        <v>49</v>
      </c>
      <c r="M128" s="30">
        <v>1</v>
      </c>
      <c r="N128" s="30">
        <f t="shared" si="1"/>
        <v>0</v>
      </c>
      <c r="O128" s="56">
        <v>0.02</v>
      </c>
      <c r="P128" s="27" t="s">
        <v>314</v>
      </c>
    </row>
    <row r="129" spans="1:16" x14ac:dyDescent="0.35">
      <c r="A129" s="88">
        <v>1800003972</v>
      </c>
      <c r="B129" s="27" t="s">
        <v>5</v>
      </c>
      <c r="C129" s="28">
        <v>45736</v>
      </c>
      <c r="D129" s="29">
        <v>246779413828</v>
      </c>
      <c r="E129" s="27" t="s">
        <v>46</v>
      </c>
      <c r="F129" s="30">
        <v>50</v>
      </c>
      <c r="G129" s="30">
        <v>50</v>
      </c>
      <c r="H129" s="27" t="s">
        <v>42</v>
      </c>
      <c r="I129" s="30">
        <v>4334.5600000000004</v>
      </c>
      <c r="J129" s="30">
        <v>0</v>
      </c>
      <c r="K129" s="30">
        <v>49</v>
      </c>
      <c r="L129" s="30">
        <v>49</v>
      </c>
      <c r="M129" s="30">
        <v>1</v>
      </c>
      <c r="N129" s="30">
        <f t="shared" si="1"/>
        <v>0</v>
      </c>
      <c r="O129" s="56">
        <v>0.02</v>
      </c>
      <c r="P129" s="27" t="s">
        <v>316</v>
      </c>
    </row>
    <row r="130" spans="1:16" x14ac:dyDescent="0.35">
      <c r="A130" s="88">
        <v>1800004049</v>
      </c>
      <c r="B130" s="27" t="s">
        <v>5</v>
      </c>
      <c r="C130" s="28">
        <v>45736</v>
      </c>
      <c r="D130" s="29">
        <v>246779413905</v>
      </c>
      <c r="E130" s="27" t="s">
        <v>46</v>
      </c>
      <c r="F130" s="30">
        <v>4.4000000000000004</v>
      </c>
      <c r="G130" s="30">
        <v>4.4000000000000004</v>
      </c>
      <c r="H130" s="27" t="s">
        <v>42</v>
      </c>
      <c r="I130" s="30">
        <v>381.44</v>
      </c>
      <c r="J130" s="30">
        <v>0</v>
      </c>
      <c r="K130" s="30">
        <v>4.3120000000000003</v>
      </c>
      <c r="L130" s="30">
        <v>4.3120000000000003</v>
      </c>
      <c r="M130" s="30">
        <v>8.8000000000000078E-2</v>
      </c>
      <c r="N130" s="30">
        <f t="shared" si="1"/>
        <v>0</v>
      </c>
      <c r="O130" s="56">
        <v>2.0000000000000018E-2</v>
      </c>
      <c r="P130" s="27" t="s">
        <v>318</v>
      </c>
    </row>
    <row r="131" spans="1:16" x14ac:dyDescent="0.35">
      <c r="A131" s="88">
        <v>1800004275</v>
      </c>
      <c r="B131" s="27" t="s">
        <v>5</v>
      </c>
      <c r="C131" s="28">
        <v>45736</v>
      </c>
      <c r="D131" s="29">
        <v>246779414143</v>
      </c>
      <c r="E131" s="27" t="s">
        <v>46</v>
      </c>
      <c r="F131" s="30">
        <v>566.11</v>
      </c>
      <c r="G131" s="30">
        <v>566.11</v>
      </c>
      <c r="H131" s="27" t="s">
        <v>42</v>
      </c>
      <c r="I131" s="30">
        <v>49076.79</v>
      </c>
      <c r="J131" s="30">
        <v>0</v>
      </c>
      <c r="K131" s="30">
        <v>554.78779999999995</v>
      </c>
      <c r="L131" s="30">
        <v>554.78779999999995</v>
      </c>
      <c r="M131" s="30">
        <v>11.322200000000066</v>
      </c>
      <c r="N131" s="30">
        <f t="shared" si="1"/>
        <v>0</v>
      </c>
      <c r="O131" s="56">
        <v>2.0000000000000115E-2</v>
      </c>
      <c r="P131" s="27" t="s">
        <v>320</v>
      </c>
    </row>
    <row r="132" spans="1:16" x14ac:dyDescent="0.35">
      <c r="A132" s="88">
        <v>1800004276</v>
      </c>
      <c r="B132" s="27" t="s">
        <v>5</v>
      </c>
      <c r="C132" s="28">
        <v>45736</v>
      </c>
      <c r="D132" s="29">
        <v>246779414144</v>
      </c>
      <c r="E132" s="27" t="s">
        <v>46</v>
      </c>
      <c r="F132" s="30">
        <v>126</v>
      </c>
      <c r="G132" s="30">
        <v>126</v>
      </c>
      <c r="H132" s="27" t="s">
        <v>42</v>
      </c>
      <c r="I132" s="30">
        <v>10923.1</v>
      </c>
      <c r="J132" s="30">
        <v>0</v>
      </c>
      <c r="K132" s="30">
        <v>123.48</v>
      </c>
      <c r="L132" s="30">
        <v>123.48</v>
      </c>
      <c r="M132" s="30">
        <v>2.519999999999996</v>
      </c>
      <c r="N132" s="30">
        <f t="shared" ref="N132:N195" si="2">_xlfn.XLOOKUP(D132,$R:$R,$V:$V,0,0)</f>
        <v>0</v>
      </c>
      <c r="O132" s="56">
        <v>1.9999999999999969E-2</v>
      </c>
      <c r="P132" s="27" t="s">
        <v>322</v>
      </c>
    </row>
    <row r="133" spans="1:16" x14ac:dyDescent="0.35">
      <c r="A133" s="88">
        <v>1800004277</v>
      </c>
      <c r="B133" s="27" t="s">
        <v>5</v>
      </c>
      <c r="C133" s="28">
        <v>45736</v>
      </c>
      <c r="D133" s="29">
        <v>246779414145</v>
      </c>
      <c r="E133" s="27" t="s">
        <v>46</v>
      </c>
      <c r="F133" s="30">
        <v>150</v>
      </c>
      <c r="G133" s="30">
        <v>150</v>
      </c>
      <c r="H133" s="27" t="s">
        <v>42</v>
      </c>
      <c r="I133" s="30">
        <v>13003.69</v>
      </c>
      <c r="J133" s="30">
        <v>0</v>
      </c>
      <c r="K133" s="30">
        <v>147</v>
      </c>
      <c r="L133" s="30">
        <v>147</v>
      </c>
      <c r="M133" s="30">
        <v>3</v>
      </c>
      <c r="N133" s="30">
        <f t="shared" si="2"/>
        <v>0</v>
      </c>
      <c r="O133" s="56">
        <v>0.02</v>
      </c>
      <c r="P133" s="27" t="s">
        <v>324</v>
      </c>
    </row>
    <row r="134" spans="1:16" x14ac:dyDescent="0.35">
      <c r="A134" s="88">
        <v>1800004278</v>
      </c>
      <c r="B134" s="27" t="s">
        <v>5</v>
      </c>
      <c r="C134" s="28">
        <v>45736</v>
      </c>
      <c r="D134" s="29">
        <v>246779414146</v>
      </c>
      <c r="E134" s="27" t="s">
        <v>46</v>
      </c>
      <c r="F134" s="30">
        <v>19.350000000000001</v>
      </c>
      <c r="G134" s="30">
        <v>19.350000000000001</v>
      </c>
      <c r="H134" s="27" t="s">
        <v>42</v>
      </c>
      <c r="I134" s="30">
        <v>1677.48</v>
      </c>
      <c r="J134" s="30">
        <v>0</v>
      </c>
      <c r="K134" s="30">
        <v>17.414999999999999</v>
      </c>
      <c r="L134" s="30">
        <v>17.414999999999999</v>
      </c>
      <c r="M134" s="30">
        <v>1.9350000000000023</v>
      </c>
      <c r="N134" s="30">
        <f t="shared" si="2"/>
        <v>0</v>
      </c>
      <c r="O134" s="56">
        <v>0.10000000000000012</v>
      </c>
      <c r="P134" s="27" t="s">
        <v>326</v>
      </c>
    </row>
    <row r="135" spans="1:16" x14ac:dyDescent="0.35">
      <c r="A135" s="88">
        <v>1800004354</v>
      </c>
      <c r="B135" s="27" t="s">
        <v>5</v>
      </c>
      <c r="C135" s="28">
        <v>45736</v>
      </c>
      <c r="D135" s="29">
        <v>246779414222</v>
      </c>
      <c r="E135" s="27" t="s">
        <v>46</v>
      </c>
      <c r="F135" s="30">
        <v>196.78</v>
      </c>
      <c r="G135" s="30">
        <v>196.78</v>
      </c>
      <c r="H135" s="27" t="s">
        <v>42</v>
      </c>
      <c r="I135" s="30">
        <v>17059.11</v>
      </c>
      <c r="J135" s="30">
        <v>0</v>
      </c>
      <c r="K135" s="30">
        <v>192.84440000000001</v>
      </c>
      <c r="L135" s="30">
        <v>192.84440000000001</v>
      </c>
      <c r="M135" s="30">
        <v>3.9355999999999938</v>
      </c>
      <c r="N135" s="30">
        <f t="shared" si="2"/>
        <v>0</v>
      </c>
      <c r="O135" s="56">
        <v>1.9999999999999969E-2</v>
      </c>
      <c r="P135" s="27" t="s">
        <v>328</v>
      </c>
    </row>
    <row r="136" spans="1:16" x14ac:dyDescent="0.35">
      <c r="A136" s="88">
        <v>1800004529</v>
      </c>
      <c r="B136" s="27" t="s">
        <v>5</v>
      </c>
      <c r="C136" s="28">
        <v>45736</v>
      </c>
      <c r="D136" s="29">
        <v>246779414397</v>
      </c>
      <c r="E136" s="27" t="s">
        <v>46</v>
      </c>
      <c r="F136" s="30">
        <v>7.03</v>
      </c>
      <c r="G136" s="30">
        <v>7.03</v>
      </c>
      <c r="H136" s="27" t="s">
        <v>42</v>
      </c>
      <c r="I136" s="30">
        <v>609.44000000000005</v>
      </c>
      <c r="J136" s="30">
        <v>0</v>
      </c>
      <c r="K136" s="30">
        <v>6.8894000000000002</v>
      </c>
      <c r="L136" s="30">
        <v>6.8894000000000002</v>
      </c>
      <c r="M136" s="30">
        <v>0.14060000000000006</v>
      </c>
      <c r="N136" s="30">
        <f t="shared" si="2"/>
        <v>0</v>
      </c>
      <c r="O136" s="56">
        <v>2.0000000000000007E-2</v>
      </c>
      <c r="P136" s="27" t="s">
        <v>330</v>
      </c>
    </row>
    <row r="137" spans="1:16" x14ac:dyDescent="0.35">
      <c r="A137" s="88">
        <v>1800004530</v>
      </c>
      <c r="B137" s="27" t="s">
        <v>5</v>
      </c>
      <c r="C137" s="28">
        <v>45736</v>
      </c>
      <c r="D137" s="29">
        <v>246779414398</v>
      </c>
      <c r="E137" s="27" t="s">
        <v>46</v>
      </c>
      <c r="F137" s="30">
        <v>32.380000000000003</v>
      </c>
      <c r="G137" s="30">
        <v>32.380000000000003</v>
      </c>
      <c r="H137" s="27" t="s">
        <v>42</v>
      </c>
      <c r="I137" s="30">
        <v>2807.06</v>
      </c>
      <c r="J137" s="30">
        <v>0</v>
      </c>
      <c r="K137" s="30">
        <v>31.732399999999998</v>
      </c>
      <c r="L137" s="30">
        <v>31.732399999999998</v>
      </c>
      <c r="M137" s="30">
        <v>0.64760000000000417</v>
      </c>
      <c r="N137" s="30">
        <f t="shared" si="2"/>
        <v>0</v>
      </c>
      <c r="O137" s="56">
        <v>2.0000000000000129E-2</v>
      </c>
      <c r="P137" s="27" t="s">
        <v>332</v>
      </c>
    </row>
    <row r="138" spans="1:16" x14ac:dyDescent="0.35">
      <c r="A138" s="88">
        <v>1800004531</v>
      </c>
      <c r="B138" s="27" t="s">
        <v>5</v>
      </c>
      <c r="C138" s="28">
        <v>45736</v>
      </c>
      <c r="D138" s="29">
        <v>246779414399</v>
      </c>
      <c r="E138" s="27" t="s">
        <v>46</v>
      </c>
      <c r="F138" s="30">
        <v>77.040000000000006</v>
      </c>
      <c r="G138" s="30">
        <v>77.040000000000006</v>
      </c>
      <c r="H138" s="27" t="s">
        <v>42</v>
      </c>
      <c r="I138" s="30">
        <v>6678.69</v>
      </c>
      <c r="J138" s="30">
        <v>0</v>
      </c>
      <c r="K138" s="30">
        <v>75.499200000000002</v>
      </c>
      <c r="L138" s="30">
        <v>75.499200000000002</v>
      </c>
      <c r="M138" s="30">
        <v>1.5408000000000044</v>
      </c>
      <c r="N138" s="30">
        <f t="shared" si="2"/>
        <v>0</v>
      </c>
      <c r="O138" s="56">
        <v>2.0000000000000056E-2</v>
      </c>
      <c r="P138" s="27" t="s">
        <v>334</v>
      </c>
    </row>
    <row r="139" spans="1:16" x14ac:dyDescent="0.35">
      <c r="A139" s="88">
        <v>1800004867</v>
      </c>
      <c r="B139" s="27" t="s">
        <v>5</v>
      </c>
      <c r="C139" s="28">
        <v>45736</v>
      </c>
      <c r="D139" s="29">
        <v>246779414735</v>
      </c>
      <c r="E139" s="27" t="s">
        <v>46</v>
      </c>
      <c r="F139" s="30">
        <v>97.4</v>
      </c>
      <c r="G139" s="30">
        <v>97.4</v>
      </c>
      <c r="H139" s="27" t="s">
        <v>42</v>
      </c>
      <c r="I139" s="30">
        <v>8443.73</v>
      </c>
      <c r="J139" s="30">
        <v>0</v>
      </c>
      <c r="K139" s="30">
        <v>95.451999999999998</v>
      </c>
      <c r="L139" s="30">
        <v>95.451999999999998</v>
      </c>
      <c r="M139" s="30">
        <v>1.9480000000000075</v>
      </c>
      <c r="N139" s="30">
        <f t="shared" si="2"/>
        <v>0</v>
      </c>
      <c r="O139" s="56">
        <v>2.0000000000000077E-2</v>
      </c>
      <c r="P139" s="27" t="s">
        <v>336</v>
      </c>
    </row>
    <row r="140" spans="1:16" x14ac:dyDescent="0.35">
      <c r="A140" s="88">
        <v>1800005018</v>
      </c>
      <c r="B140" s="27" t="s">
        <v>5</v>
      </c>
      <c r="C140" s="28">
        <v>45736</v>
      </c>
      <c r="D140" s="29">
        <v>246779414886</v>
      </c>
      <c r="E140" s="27" t="s">
        <v>46</v>
      </c>
      <c r="F140" s="30">
        <v>30.8</v>
      </c>
      <c r="G140" s="30">
        <v>30.8</v>
      </c>
      <c r="H140" s="27" t="s">
        <v>42</v>
      </c>
      <c r="I140" s="30">
        <v>2670.09</v>
      </c>
      <c r="J140" s="30">
        <v>0</v>
      </c>
      <c r="K140" s="30">
        <v>30.184000000000001</v>
      </c>
      <c r="L140" s="30">
        <v>30.184000000000001</v>
      </c>
      <c r="M140" s="30">
        <v>0.61599999999999966</v>
      </c>
      <c r="N140" s="30">
        <f t="shared" si="2"/>
        <v>0</v>
      </c>
      <c r="O140" s="56">
        <v>1.999999999999999E-2</v>
      </c>
      <c r="P140" s="27" t="s">
        <v>336</v>
      </c>
    </row>
    <row r="141" spans="1:16" x14ac:dyDescent="0.35">
      <c r="A141" s="88">
        <v>1800005019</v>
      </c>
      <c r="B141" s="27" t="s">
        <v>5</v>
      </c>
      <c r="C141" s="28">
        <v>45736</v>
      </c>
      <c r="D141" s="29">
        <v>246779414887</v>
      </c>
      <c r="E141" s="27" t="s">
        <v>46</v>
      </c>
      <c r="F141" s="30">
        <v>7.27</v>
      </c>
      <c r="G141" s="30">
        <v>7.27</v>
      </c>
      <c r="H141" s="27" t="s">
        <v>42</v>
      </c>
      <c r="I141" s="30">
        <v>630.25</v>
      </c>
      <c r="J141" s="30">
        <v>0</v>
      </c>
      <c r="K141" s="30">
        <v>7.1246</v>
      </c>
      <c r="L141" s="30">
        <v>7.1246</v>
      </c>
      <c r="M141" s="30">
        <v>0.14539999999999953</v>
      </c>
      <c r="N141" s="30">
        <f t="shared" si="2"/>
        <v>0</v>
      </c>
      <c r="O141" s="56">
        <v>1.9999999999999938E-2</v>
      </c>
      <c r="P141" s="27" t="s">
        <v>336</v>
      </c>
    </row>
    <row r="142" spans="1:16" x14ac:dyDescent="0.35">
      <c r="A142" s="88">
        <v>1800005021</v>
      </c>
      <c r="B142" s="27" t="s">
        <v>5</v>
      </c>
      <c r="C142" s="28">
        <v>45736</v>
      </c>
      <c r="D142" s="29">
        <v>246779414889</v>
      </c>
      <c r="E142" s="27" t="s">
        <v>46</v>
      </c>
      <c r="F142" s="30">
        <v>2.52</v>
      </c>
      <c r="G142" s="30">
        <v>2.52</v>
      </c>
      <c r="H142" s="27" t="s">
        <v>42</v>
      </c>
      <c r="I142" s="30">
        <v>218.46</v>
      </c>
      <c r="J142" s="30">
        <v>0</v>
      </c>
      <c r="K142" s="30">
        <v>2.4695999999999998</v>
      </c>
      <c r="L142" s="30">
        <v>2.4695999999999998</v>
      </c>
      <c r="M142" s="30">
        <v>5.0400000000000222E-2</v>
      </c>
      <c r="N142" s="30">
        <f t="shared" si="2"/>
        <v>0</v>
      </c>
      <c r="O142" s="56">
        <v>2.0000000000000087E-2</v>
      </c>
      <c r="P142" s="27" t="s">
        <v>336</v>
      </c>
    </row>
    <row r="143" spans="1:16" x14ac:dyDescent="0.35">
      <c r="A143" s="88">
        <v>1800005022</v>
      </c>
      <c r="B143" s="27" t="s">
        <v>5</v>
      </c>
      <c r="C143" s="28">
        <v>45736</v>
      </c>
      <c r="D143" s="29">
        <v>246779414890</v>
      </c>
      <c r="E143" s="27" t="s">
        <v>46</v>
      </c>
      <c r="F143" s="30">
        <v>44</v>
      </c>
      <c r="G143" s="30">
        <v>44</v>
      </c>
      <c r="H143" s="27" t="s">
        <v>42</v>
      </c>
      <c r="I143" s="30">
        <v>3814.42</v>
      </c>
      <c r="J143" s="30">
        <v>0</v>
      </c>
      <c r="K143" s="30">
        <v>43.12</v>
      </c>
      <c r="L143" s="30">
        <v>43.12</v>
      </c>
      <c r="M143" s="30">
        <v>0.88000000000000256</v>
      </c>
      <c r="N143" s="30">
        <f t="shared" si="2"/>
        <v>0</v>
      </c>
      <c r="O143" s="56">
        <v>2.0000000000000059E-2</v>
      </c>
      <c r="P143" s="27" t="s">
        <v>336</v>
      </c>
    </row>
    <row r="144" spans="1:16" x14ac:dyDescent="0.35">
      <c r="A144" s="88">
        <v>1800004600</v>
      </c>
      <c r="B144" s="27" t="s">
        <v>5</v>
      </c>
      <c r="C144" s="28">
        <v>45736</v>
      </c>
      <c r="D144" s="29">
        <v>246779414468</v>
      </c>
      <c r="E144" s="27" t="s">
        <v>46</v>
      </c>
      <c r="F144" s="30">
        <v>92.22</v>
      </c>
      <c r="G144" s="30">
        <v>92.22</v>
      </c>
      <c r="H144" s="27" t="s">
        <v>42</v>
      </c>
      <c r="I144" s="30">
        <v>7994.67</v>
      </c>
      <c r="J144" s="30">
        <v>0</v>
      </c>
      <c r="K144" s="30">
        <v>90.375600000000006</v>
      </c>
      <c r="L144" s="30">
        <v>90.375600000000006</v>
      </c>
      <c r="M144" s="30">
        <v>1.8443999999999932</v>
      </c>
      <c r="N144" s="30">
        <f t="shared" si="2"/>
        <v>0</v>
      </c>
      <c r="O144" s="56">
        <v>1.9999999999999928E-2</v>
      </c>
      <c r="P144" s="27" t="s">
        <v>343</v>
      </c>
    </row>
    <row r="145" spans="1:16" x14ac:dyDescent="0.35">
      <c r="A145" s="88">
        <v>1800004736</v>
      </c>
      <c r="B145" s="27" t="s">
        <v>5</v>
      </c>
      <c r="C145" s="28">
        <v>45736</v>
      </c>
      <c r="D145" s="29">
        <v>246779414604</v>
      </c>
      <c r="E145" s="27" t="s">
        <v>46</v>
      </c>
      <c r="F145" s="30">
        <v>458.06</v>
      </c>
      <c r="G145" s="30">
        <v>458.06</v>
      </c>
      <c r="H145" s="27" t="s">
        <v>42</v>
      </c>
      <c r="I145" s="30">
        <v>39709.800000000003</v>
      </c>
      <c r="J145" s="30">
        <v>0</v>
      </c>
      <c r="K145" s="30">
        <v>448.89879999999999</v>
      </c>
      <c r="L145" s="30">
        <v>448.89879999999999</v>
      </c>
      <c r="M145" s="30">
        <v>9.161200000000008</v>
      </c>
      <c r="N145" s="30">
        <f t="shared" si="2"/>
        <v>0</v>
      </c>
      <c r="O145" s="56">
        <v>2.0000000000000018E-2</v>
      </c>
      <c r="P145" s="27" t="s">
        <v>345</v>
      </c>
    </row>
    <row r="146" spans="1:16" x14ac:dyDescent="0.35">
      <c r="A146" s="88">
        <v>1800004814</v>
      </c>
      <c r="B146" s="27" t="s">
        <v>5</v>
      </c>
      <c r="C146" s="28">
        <v>45736</v>
      </c>
      <c r="D146" s="29">
        <v>246779414682</v>
      </c>
      <c r="E146" s="27" t="s">
        <v>46</v>
      </c>
      <c r="F146" s="30">
        <v>90.86</v>
      </c>
      <c r="G146" s="30">
        <v>90.86</v>
      </c>
      <c r="H146" s="27" t="s">
        <v>42</v>
      </c>
      <c r="I146" s="30">
        <v>7876.77</v>
      </c>
      <c r="J146" s="30">
        <v>0</v>
      </c>
      <c r="K146" s="30">
        <v>89.0428</v>
      </c>
      <c r="L146" s="30">
        <v>89.0428</v>
      </c>
      <c r="M146" s="30">
        <v>1.8171999999999997</v>
      </c>
      <c r="N146" s="30">
        <f t="shared" si="2"/>
        <v>0</v>
      </c>
      <c r="O146" s="56">
        <v>1.9999999999999997E-2</v>
      </c>
      <c r="P146" s="27" t="s">
        <v>347</v>
      </c>
    </row>
    <row r="147" spans="1:16" x14ac:dyDescent="0.35">
      <c r="A147" s="88">
        <v>1800000101</v>
      </c>
      <c r="B147" s="27" t="s">
        <v>5</v>
      </c>
      <c r="C147" s="28">
        <v>45708</v>
      </c>
      <c r="D147" s="29">
        <v>246779410029</v>
      </c>
      <c r="E147" s="27" t="s">
        <v>46</v>
      </c>
      <c r="F147" s="30">
        <v>1190.48</v>
      </c>
      <c r="G147" s="30">
        <v>1190.48</v>
      </c>
      <c r="H147" s="27" t="s">
        <v>42</v>
      </c>
      <c r="I147" s="30">
        <v>102742.78</v>
      </c>
      <c r="J147" s="30">
        <v>0</v>
      </c>
      <c r="K147" s="30">
        <v>1071.432</v>
      </c>
      <c r="L147" s="30">
        <v>1071.432</v>
      </c>
      <c r="M147" s="30">
        <v>119.048</v>
      </c>
      <c r="N147" s="30">
        <f t="shared" si="2"/>
        <v>0</v>
      </c>
      <c r="O147" s="56">
        <v>0.1</v>
      </c>
      <c r="P147" s="27" t="s">
        <v>349</v>
      </c>
    </row>
    <row r="148" spans="1:16" x14ac:dyDescent="0.35">
      <c r="A148" s="88">
        <v>1800000127</v>
      </c>
      <c r="B148" s="27" t="s">
        <v>5</v>
      </c>
      <c r="C148" s="28">
        <v>45708</v>
      </c>
      <c r="D148" s="29">
        <v>246779410055</v>
      </c>
      <c r="E148" s="27" t="s">
        <v>46</v>
      </c>
      <c r="F148" s="30">
        <v>416.67</v>
      </c>
      <c r="G148" s="30">
        <v>416.67</v>
      </c>
      <c r="H148" s="27" t="s">
        <v>42</v>
      </c>
      <c r="I148" s="54">
        <v>35960.15</v>
      </c>
      <c r="J148" s="30">
        <v>0</v>
      </c>
      <c r="K148" s="54">
        <v>408.33659999999998</v>
      </c>
      <c r="L148" s="30">
        <v>408.33659999999998</v>
      </c>
      <c r="M148" s="30">
        <v>8.3334000000000401</v>
      </c>
      <c r="N148" s="30">
        <f t="shared" si="2"/>
        <v>0</v>
      </c>
      <c r="O148" s="56">
        <v>2.0000000000000094E-2</v>
      </c>
      <c r="P148" s="27" t="s">
        <v>351</v>
      </c>
    </row>
    <row r="149" spans="1:16" x14ac:dyDescent="0.35">
      <c r="A149" s="88">
        <v>1800000170</v>
      </c>
      <c r="B149" s="27" t="s">
        <v>5</v>
      </c>
      <c r="C149" s="28">
        <v>45708</v>
      </c>
      <c r="D149" s="29">
        <v>246779410097</v>
      </c>
      <c r="E149" s="27" t="s">
        <v>46</v>
      </c>
      <c r="F149" s="30">
        <v>1190.48</v>
      </c>
      <c r="G149" s="30">
        <v>1190.48</v>
      </c>
      <c r="H149" s="27" t="s">
        <v>42</v>
      </c>
      <c r="I149" s="30">
        <v>102742.78</v>
      </c>
      <c r="J149" s="30">
        <v>0</v>
      </c>
      <c r="K149" s="30">
        <v>1071.432</v>
      </c>
      <c r="L149" s="30">
        <v>1071.432</v>
      </c>
      <c r="M149" s="30">
        <v>119.048</v>
      </c>
      <c r="N149" s="30">
        <f t="shared" si="2"/>
        <v>0</v>
      </c>
      <c r="O149" s="56">
        <v>0.1</v>
      </c>
      <c r="P149" s="27" t="s">
        <v>353</v>
      </c>
    </row>
    <row r="150" spans="1:16" x14ac:dyDescent="0.35">
      <c r="A150" s="88">
        <v>1800000196</v>
      </c>
      <c r="B150" s="27" t="s">
        <v>5</v>
      </c>
      <c r="C150" s="28">
        <v>45708</v>
      </c>
      <c r="D150" s="29">
        <v>246779410123</v>
      </c>
      <c r="E150" s="27" t="s">
        <v>46</v>
      </c>
      <c r="F150" s="30">
        <v>416.67</v>
      </c>
      <c r="G150" s="30">
        <v>416.67</v>
      </c>
      <c r="H150" s="27" t="s">
        <v>42</v>
      </c>
      <c r="I150" s="30">
        <v>35960.15</v>
      </c>
      <c r="J150" s="30">
        <v>0</v>
      </c>
      <c r="K150" s="30">
        <v>408.33659999999998</v>
      </c>
      <c r="L150" s="30">
        <v>408.33659999999998</v>
      </c>
      <c r="M150" s="30">
        <v>8.3334000000000401</v>
      </c>
      <c r="N150" s="30">
        <f t="shared" si="2"/>
        <v>0</v>
      </c>
      <c r="O150" s="56">
        <v>2.0000000000000094E-2</v>
      </c>
      <c r="P150" s="27" t="s">
        <v>355</v>
      </c>
    </row>
    <row r="151" spans="1:16" x14ac:dyDescent="0.35">
      <c r="A151" s="88">
        <v>1800000213</v>
      </c>
      <c r="B151" s="27" t="s">
        <v>5</v>
      </c>
      <c r="C151" s="28">
        <v>45708</v>
      </c>
      <c r="D151" s="29">
        <v>246779410140</v>
      </c>
      <c r="E151" s="27" t="s">
        <v>46</v>
      </c>
      <c r="F151" s="30">
        <v>1190.48</v>
      </c>
      <c r="G151" s="30">
        <v>1190.48</v>
      </c>
      <c r="H151" s="27" t="s">
        <v>42</v>
      </c>
      <c r="I151" s="30">
        <v>102742.78</v>
      </c>
      <c r="J151" s="30">
        <v>0</v>
      </c>
      <c r="K151" s="30">
        <v>1071.432</v>
      </c>
      <c r="L151" s="30">
        <v>1071.432</v>
      </c>
      <c r="M151" s="30">
        <v>119.048</v>
      </c>
      <c r="N151" s="30">
        <f t="shared" si="2"/>
        <v>0</v>
      </c>
      <c r="O151" s="56">
        <v>0.1</v>
      </c>
      <c r="P151" s="27" t="s">
        <v>357</v>
      </c>
    </row>
    <row r="152" spans="1:16" x14ac:dyDescent="0.35">
      <c r="A152" s="88">
        <v>1800000239</v>
      </c>
      <c r="B152" s="27" t="s">
        <v>5</v>
      </c>
      <c r="C152" s="28">
        <v>45708</v>
      </c>
      <c r="D152" s="29">
        <v>246779410166</v>
      </c>
      <c r="E152" s="27" t="s">
        <v>46</v>
      </c>
      <c r="F152" s="30">
        <v>416.67</v>
      </c>
      <c r="G152" s="30">
        <v>416.67</v>
      </c>
      <c r="H152" s="27" t="s">
        <v>42</v>
      </c>
      <c r="I152" s="30">
        <v>35960.15</v>
      </c>
      <c r="J152" s="30">
        <v>0</v>
      </c>
      <c r="K152" s="30">
        <v>408.33659999999998</v>
      </c>
      <c r="L152" s="30">
        <v>408.33659999999998</v>
      </c>
      <c r="M152" s="30">
        <v>8.3334000000000401</v>
      </c>
      <c r="N152" s="30">
        <f t="shared" si="2"/>
        <v>0</v>
      </c>
      <c r="O152" s="56">
        <v>2.0000000000000094E-2</v>
      </c>
      <c r="P152" s="27" t="s">
        <v>359</v>
      </c>
    </row>
    <row r="153" spans="1:16" x14ac:dyDescent="0.35">
      <c r="A153" s="88">
        <v>1800000299</v>
      </c>
      <c r="B153" s="27" t="s">
        <v>5</v>
      </c>
      <c r="C153" s="28">
        <v>45708</v>
      </c>
      <c r="D153" s="29">
        <v>246779410226</v>
      </c>
      <c r="E153" s="27" t="s">
        <v>46</v>
      </c>
      <c r="F153" s="30">
        <v>1143.1199999999999</v>
      </c>
      <c r="G153" s="30">
        <v>1143.1199999999999</v>
      </c>
      <c r="H153" s="27" t="s">
        <v>42</v>
      </c>
      <c r="I153" s="30">
        <v>98655.44</v>
      </c>
      <c r="J153" s="30">
        <v>0</v>
      </c>
      <c r="K153" s="30">
        <v>1028.808</v>
      </c>
      <c r="L153" s="30">
        <v>1028.808</v>
      </c>
      <c r="M153" s="30">
        <v>114.3119999999999</v>
      </c>
      <c r="N153" s="30">
        <f t="shared" si="2"/>
        <v>0</v>
      </c>
      <c r="O153" s="56">
        <v>9.9999999999999922E-2</v>
      </c>
      <c r="P153" s="27" t="s">
        <v>364</v>
      </c>
    </row>
    <row r="154" spans="1:16" x14ac:dyDescent="0.35">
      <c r="A154" s="88">
        <v>1800000325</v>
      </c>
      <c r="B154" s="27" t="s">
        <v>5</v>
      </c>
      <c r="C154" s="28">
        <v>45708</v>
      </c>
      <c r="D154" s="29">
        <v>246779410252</v>
      </c>
      <c r="E154" s="27" t="s">
        <v>46</v>
      </c>
      <c r="F154" s="30">
        <v>400.09</v>
      </c>
      <c r="G154" s="30">
        <v>400.09</v>
      </c>
      <c r="H154" s="27" t="s">
        <v>42</v>
      </c>
      <c r="I154" s="30">
        <v>34529.230000000003</v>
      </c>
      <c r="J154" s="30">
        <v>0</v>
      </c>
      <c r="K154" s="30">
        <v>392.08819999999997</v>
      </c>
      <c r="L154" s="30">
        <v>392.08819999999997</v>
      </c>
      <c r="M154" s="30">
        <v>8.0018000000000029</v>
      </c>
      <c r="N154" s="30">
        <f t="shared" si="2"/>
        <v>0</v>
      </c>
      <c r="O154" s="56">
        <v>2.0000000000000007E-2</v>
      </c>
      <c r="P154" s="27" t="s">
        <v>366</v>
      </c>
    </row>
    <row r="155" spans="1:16" x14ac:dyDescent="0.35">
      <c r="A155" s="88">
        <v>1800000070</v>
      </c>
      <c r="B155" s="27" t="s">
        <v>5</v>
      </c>
      <c r="C155" s="28">
        <v>45708</v>
      </c>
      <c r="D155" s="29">
        <v>246779410276</v>
      </c>
      <c r="E155" s="27" t="s">
        <v>46</v>
      </c>
      <c r="F155" s="30">
        <v>1190.48</v>
      </c>
      <c r="G155" s="30">
        <v>1190.48</v>
      </c>
      <c r="H155" s="27" t="s">
        <v>42</v>
      </c>
      <c r="I155" s="30">
        <v>102742.78</v>
      </c>
      <c r="J155" s="30">
        <v>0</v>
      </c>
      <c r="K155" s="30">
        <v>1071.432</v>
      </c>
      <c r="L155" s="30">
        <v>1071.432</v>
      </c>
      <c r="M155" s="30">
        <v>119.048</v>
      </c>
      <c r="N155" s="30">
        <f t="shared" si="2"/>
        <v>0</v>
      </c>
      <c r="O155" s="56">
        <v>0.1</v>
      </c>
      <c r="P155" s="27" t="s">
        <v>368</v>
      </c>
    </row>
    <row r="156" spans="1:16" x14ac:dyDescent="0.35">
      <c r="A156" s="88">
        <v>1800000141</v>
      </c>
      <c r="B156" s="27" t="s">
        <v>5</v>
      </c>
      <c r="C156" s="28">
        <v>45708</v>
      </c>
      <c r="D156" s="29">
        <v>246779410308</v>
      </c>
      <c r="E156" s="27" t="s">
        <v>46</v>
      </c>
      <c r="F156" s="30">
        <v>416.67</v>
      </c>
      <c r="G156" s="30">
        <v>416.67</v>
      </c>
      <c r="H156" s="27" t="s">
        <v>42</v>
      </c>
      <c r="I156" s="30">
        <v>35960.15</v>
      </c>
      <c r="J156" s="30">
        <v>0</v>
      </c>
      <c r="K156" s="30">
        <v>408.33659999999998</v>
      </c>
      <c r="L156" s="30">
        <v>408.33659999999998</v>
      </c>
      <c r="M156" s="30">
        <v>8.3334000000000401</v>
      </c>
      <c r="N156" s="30">
        <f t="shared" si="2"/>
        <v>0</v>
      </c>
      <c r="O156" s="56">
        <v>2.0000000000000094E-2</v>
      </c>
      <c r="P156" s="27" t="s">
        <v>370</v>
      </c>
    </row>
    <row r="157" spans="1:16" x14ac:dyDescent="0.35">
      <c r="A157" s="88">
        <v>1800000040</v>
      </c>
      <c r="B157" s="27" t="s">
        <v>5</v>
      </c>
      <c r="C157" s="28">
        <v>45708</v>
      </c>
      <c r="D157" s="29">
        <v>246779410077</v>
      </c>
      <c r="E157" s="27" t="s">
        <v>46</v>
      </c>
      <c r="F157" s="30">
        <v>416.67</v>
      </c>
      <c r="G157" s="30">
        <v>416.67</v>
      </c>
      <c r="H157" s="27" t="s">
        <v>42</v>
      </c>
      <c r="I157" s="30">
        <v>35960.15</v>
      </c>
      <c r="J157" s="30">
        <v>0</v>
      </c>
      <c r="K157" s="30">
        <v>408.33659999999998</v>
      </c>
      <c r="L157" s="30">
        <v>408.33659999999998</v>
      </c>
      <c r="M157" s="30">
        <v>8.3334000000000401</v>
      </c>
      <c r="N157" s="30">
        <f t="shared" si="2"/>
        <v>0</v>
      </c>
      <c r="O157" s="56">
        <v>2.0000000000000094E-2</v>
      </c>
      <c r="P157" s="27" t="s">
        <v>372</v>
      </c>
    </row>
    <row r="158" spans="1:16" x14ac:dyDescent="0.35">
      <c r="A158" s="88">
        <v>1800012185</v>
      </c>
      <c r="B158" s="27" t="s">
        <v>5</v>
      </c>
      <c r="C158" s="28">
        <v>45889</v>
      </c>
      <c r="D158" s="29">
        <v>256779416817</v>
      </c>
      <c r="E158" s="27" t="s">
        <v>46</v>
      </c>
      <c r="F158" s="30">
        <v>180</v>
      </c>
      <c r="G158" s="30">
        <v>180</v>
      </c>
      <c r="H158" s="27" t="s">
        <v>42</v>
      </c>
      <c r="I158" s="30">
        <v>15485.42</v>
      </c>
      <c r="J158" s="30">
        <v>0</v>
      </c>
      <c r="K158" s="30">
        <v>176.4</v>
      </c>
      <c r="L158" s="30">
        <v>176.4</v>
      </c>
      <c r="M158" s="30">
        <v>3.5999999999999943</v>
      </c>
      <c r="N158" s="30">
        <f t="shared" si="2"/>
        <v>0</v>
      </c>
      <c r="O158" s="56">
        <v>1.9999999999999969E-2</v>
      </c>
      <c r="P158" s="27" t="s">
        <v>373</v>
      </c>
    </row>
    <row r="159" spans="1:16" x14ac:dyDescent="0.35">
      <c r="A159" s="88">
        <v>1800012249</v>
      </c>
      <c r="B159" s="27" t="s">
        <v>5</v>
      </c>
      <c r="C159" s="28">
        <v>45889</v>
      </c>
      <c r="D159" s="29">
        <v>256779416845</v>
      </c>
      <c r="E159" s="27" t="s">
        <v>46</v>
      </c>
      <c r="F159" s="30">
        <v>492.48</v>
      </c>
      <c r="G159" s="30">
        <v>492.48</v>
      </c>
      <c r="H159" s="27" t="s">
        <v>42</v>
      </c>
      <c r="I159" s="30">
        <v>42368.11</v>
      </c>
      <c r="J159" s="30">
        <v>0</v>
      </c>
      <c r="K159" s="30">
        <v>482.63040000000001</v>
      </c>
      <c r="L159" s="30">
        <v>482.63040000000001</v>
      </c>
      <c r="M159" s="30">
        <v>9.8496000000000095</v>
      </c>
      <c r="N159" s="30">
        <f t="shared" si="2"/>
        <v>0</v>
      </c>
      <c r="O159" s="56">
        <v>2.0000000000000018E-2</v>
      </c>
      <c r="P159" s="27" t="s">
        <v>374</v>
      </c>
    </row>
    <row r="160" spans="1:16" x14ac:dyDescent="0.35">
      <c r="A160" s="88">
        <v>1800012217</v>
      </c>
      <c r="B160" s="27" t="s">
        <v>5</v>
      </c>
      <c r="C160" s="28">
        <v>45889</v>
      </c>
      <c r="D160" s="29">
        <v>256779416879</v>
      </c>
      <c r="E160" s="27" t="s">
        <v>46</v>
      </c>
      <c r="F160" s="30">
        <v>84.14</v>
      </c>
      <c r="G160" s="30">
        <v>84.14</v>
      </c>
      <c r="H160" s="27" t="s">
        <v>42</v>
      </c>
      <c r="I160" s="30">
        <v>7238.57</v>
      </c>
      <c r="J160" s="30">
        <v>0</v>
      </c>
      <c r="K160" s="30">
        <v>82.4572</v>
      </c>
      <c r="L160" s="30">
        <v>82.4572</v>
      </c>
      <c r="M160" s="30">
        <v>1.6828000000000003</v>
      </c>
      <c r="N160" s="30">
        <f t="shared" si="2"/>
        <v>0</v>
      </c>
      <c r="O160" s="56">
        <v>2.0000000000000004E-2</v>
      </c>
      <c r="P160" s="27" t="s">
        <v>375</v>
      </c>
    </row>
    <row r="161" spans="1:16" x14ac:dyDescent="0.35">
      <c r="A161" s="88">
        <v>1800000016</v>
      </c>
      <c r="B161" s="27" t="s">
        <v>5</v>
      </c>
      <c r="C161" s="28">
        <v>45707</v>
      </c>
      <c r="D161" s="29">
        <v>246779410009</v>
      </c>
      <c r="E161" s="27" t="s">
        <v>46</v>
      </c>
      <c r="F161" s="30">
        <v>1190.48</v>
      </c>
      <c r="G161" s="30">
        <v>1190.48</v>
      </c>
      <c r="H161" s="27" t="s">
        <v>42</v>
      </c>
      <c r="I161" s="30">
        <v>102742.78</v>
      </c>
      <c r="J161" s="30">
        <v>0</v>
      </c>
      <c r="K161" s="30">
        <v>1071.432</v>
      </c>
      <c r="L161" s="30">
        <v>1071.432</v>
      </c>
      <c r="M161" s="30">
        <v>119.048</v>
      </c>
      <c r="N161" s="30">
        <f t="shared" si="2"/>
        <v>0</v>
      </c>
      <c r="O161" s="56">
        <v>0.1</v>
      </c>
      <c r="P161" s="27" t="s">
        <v>377</v>
      </c>
    </row>
    <row r="162" spans="1:16" x14ac:dyDescent="0.35">
      <c r="A162" s="88">
        <v>1800009577</v>
      </c>
      <c r="B162" s="27" t="s">
        <v>5</v>
      </c>
      <c r="C162" s="28">
        <v>45821</v>
      </c>
      <c r="D162" s="29">
        <v>256779414341</v>
      </c>
      <c r="E162" s="27" t="s">
        <v>46</v>
      </c>
      <c r="F162" s="30">
        <v>200</v>
      </c>
      <c r="G162" s="30">
        <v>200</v>
      </c>
      <c r="H162" s="27" t="s">
        <v>42</v>
      </c>
      <c r="I162" s="30">
        <v>17098.16</v>
      </c>
      <c r="J162" s="30">
        <v>0</v>
      </c>
      <c r="K162" s="30">
        <v>196</v>
      </c>
      <c r="L162" s="30">
        <v>196</v>
      </c>
      <c r="M162" s="30">
        <v>4</v>
      </c>
      <c r="N162" s="30">
        <f t="shared" si="2"/>
        <v>0</v>
      </c>
      <c r="O162" s="56">
        <v>0.02</v>
      </c>
      <c r="P162" s="27" t="s">
        <v>381</v>
      </c>
    </row>
    <row r="163" spans="1:16" x14ac:dyDescent="0.35">
      <c r="A163" s="88">
        <v>1800008723</v>
      </c>
      <c r="B163" s="27" t="s">
        <v>5</v>
      </c>
      <c r="C163" s="28">
        <v>45797</v>
      </c>
      <c r="D163" s="29">
        <v>256779413487</v>
      </c>
      <c r="E163" s="27" t="s">
        <v>46</v>
      </c>
      <c r="F163" s="30">
        <v>97.9</v>
      </c>
      <c r="G163" s="30">
        <v>97.9</v>
      </c>
      <c r="H163" s="27" t="s">
        <v>42</v>
      </c>
      <c r="I163" s="30">
        <v>8417.7999999999993</v>
      </c>
      <c r="J163" s="30">
        <v>0</v>
      </c>
      <c r="K163" s="30">
        <v>95.941999999999993</v>
      </c>
      <c r="L163" s="30">
        <v>95.941999999999993</v>
      </c>
      <c r="M163" s="30">
        <v>1.9580000000000126</v>
      </c>
      <c r="N163" s="30">
        <f t="shared" si="2"/>
        <v>0</v>
      </c>
      <c r="O163" s="56">
        <v>2.0000000000000129E-2</v>
      </c>
      <c r="P163" s="27" t="s">
        <v>382</v>
      </c>
    </row>
    <row r="164" spans="1:16" x14ac:dyDescent="0.35">
      <c r="A164" s="88">
        <v>1800005190</v>
      </c>
      <c r="B164" s="27" t="s">
        <v>5</v>
      </c>
      <c r="C164" s="28">
        <v>45750</v>
      </c>
      <c r="D164" s="29">
        <v>256779410136</v>
      </c>
      <c r="E164" s="27" t="s">
        <v>46</v>
      </c>
      <c r="F164" s="30">
        <v>9.85</v>
      </c>
      <c r="G164" s="30">
        <v>9.85</v>
      </c>
      <c r="H164" s="27" t="s">
        <v>42</v>
      </c>
      <c r="I164" s="30">
        <v>856.18</v>
      </c>
      <c r="J164" s="30">
        <v>0</v>
      </c>
      <c r="K164" s="30">
        <v>9.6530000000000005</v>
      </c>
      <c r="L164" s="30">
        <v>9.6530000000000005</v>
      </c>
      <c r="M164" s="30">
        <v>0.19699999999999918</v>
      </c>
      <c r="N164" s="30">
        <f t="shared" si="2"/>
        <v>0</v>
      </c>
      <c r="O164" s="56">
        <v>1.9999999999999917E-2</v>
      </c>
      <c r="P164" s="27" t="s">
        <v>394</v>
      </c>
    </row>
    <row r="165" spans="1:16" x14ac:dyDescent="0.35">
      <c r="A165" s="88">
        <v>1800005060</v>
      </c>
      <c r="B165" s="27" t="s">
        <v>5</v>
      </c>
      <c r="C165" s="28">
        <v>45750</v>
      </c>
      <c r="D165" s="29">
        <v>256779410006</v>
      </c>
      <c r="E165" s="27" t="s">
        <v>46</v>
      </c>
      <c r="F165" s="30">
        <v>1700</v>
      </c>
      <c r="G165" s="30">
        <v>1700</v>
      </c>
      <c r="H165" s="27" t="s">
        <v>42</v>
      </c>
      <c r="I165" s="30">
        <v>147767.09</v>
      </c>
      <c r="J165" s="30">
        <v>20</v>
      </c>
      <c r="K165" s="30">
        <v>1670</v>
      </c>
      <c r="L165" s="30">
        <v>1650</v>
      </c>
      <c r="M165" s="30">
        <v>50</v>
      </c>
      <c r="N165" s="30">
        <f t="shared" si="2"/>
        <v>0</v>
      </c>
      <c r="O165" s="56">
        <v>2.9411764705882353E-2</v>
      </c>
      <c r="P165" s="27" t="s">
        <v>119</v>
      </c>
    </row>
    <row r="166" spans="1:16" x14ac:dyDescent="0.35">
      <c r="A166" s="88">
        <v>1800005066</v>
      </c>
      <c r="B166" s="27" t="s">
        <v>5</v>
      </c>
      <c r="C166" s="28">
        <v>45750</v>
      </c>
      <c r="D166" s="29">
        <v>256779410012</v>
      </c>
      <c r="E166" s="27" t="s">
        <v>46</v>
      </c>
      <c r="F166" s="30">
        <v>1750</v>
      </c>
      <c r="G166" s="30">
        <v>1750</v>
      </c>
      <c r="H166" s="27" t="s">
        <v>42</v>
      </c>
      <c r="I166" s="30">
        <v>152113.19</v>
      </c>
      <c r="J166" s="30">
        <v>20</v>
      </c>
      <c r="K166" s="30">
        <v>1719</v>
      </c>
      <c r="L166" s="30">
        <v>1699</v>
      </c>
      <c r="M166" s="30">
        <v>51</v>
      </c>
      <c r="N166" s="30">
        <f t="shared" si="2"/>
        <v>0</v>
      </c>
      <c r="O166" s="56">
        <v>2.9142857142857144E-2</v>
      </c>
      <c r="P166" s="27" t="s">
        <v>119</v>
      </c>
    </row>
    <row r="167" spans="1:16" x14ac:dyDescent="0.35">
      <c r="A167" s="88">
        <v>1800005069</v>
      </c>
      <c r="B167" s="27" t="s">
        <v>5</v>
      </c>
      <c r="C167" s="28">
        <v>45750</v>
      </c>
      <c r="D167" s="29">
        <v>256779410015</v>
      </c>
      <c r="E167" s="27" t="s">
        <v>46</v>
      </c>
      <c r="F167" s="30">
        <v>1700</v>
      </c>
      <c r="G167" s="30">
        <v>1700</v>
      </c>
      <c r="H167" s="27" t="s">
        <v>42</v>
      </c>
      <c r="I167" s="30">
        <v>147767.09</v>
      </c>
      <c r="J167" s="30">
        <v>20</v>
      </c>
      <c r="K167" s="30">
        <v>1670</v>
      </c>
      <c r="L167" s="30">
        <v>1650</v>
      </c>
      <c r="M167" s="30">
        <v>50</v>
      </c>
      <c r="N167" s="30">
        <f t="shared" si="2"/>
        <v>0</v>
      </c>
      <c r="O167" s="56">
        <v>2.9411764705882353E-2</v>
      </c>
      <c r="P167" s="27" t="s">
        <v>119</v>
      </c>
    </row>
    <row r="168" spans="1:16" x14ac:dyDescent="0.35">
      <c r="A168" s="88">
        <v>1800005332</v>
      </c>
      <c r="B168" s="27" t="s">
        <v>5</v>
      </c>
      <c r="C168" s="28">
        <v>45750</v>
      </c>
      <c r="D168" s="29">
        <v>256779410224</v>
      </c>
      <c r="E168" s="27" t="s">
        <v>46</v>
      </c>
      <c r="F168" s="30">
        <v>1750</v>
      </c>
      <c r="G168" s="30">
        <v>1750</v>
      </c>
      <c r="H168" s="27" t="s">
        <v>42</v>
      </c>
      <c r="I168" s="30">
        <v>152113.19</v>
      </c>
      <c r="J168" s="30">
        <v>20</v>
      </c>
      <c r="K168" s="30">
        <v>1719</v>
      </c>
      <c r="L168" s="30">
        <v>1699</v>
      </c>
      <c r="M168" s="30">
        <v>51</v>
      </c>
      <c r="N168" s="30">
        <f t="shared" si="2"/>
        <v>0</v>
      </c>
      <c r="O168" s="56">
        <v>2.9142857142857144E-2</v>
      </c>
      <c r="P168" s="27" t="s">
        <v>119</v>
      </c>
    </row>
    <row r="169" spans="1:16" x14ac:dyDescent="0.35">
      <c r="A169" s="88">
        <v>1800014014</v>
      </c>
      <c r="B169" s="27" t="s">
        <v>5</v>
      </c>
      <c r="C169" s="28">
        <v>45950</v>
      </c>
      <c r="D169" s="29">
        <v>256779418621</v>
      </c>
      <c r="E169" s="27" t="s">
        <v>46</v>
      </c>
      <c r="F169" s="30">
        <v>850</v>
      </c>
      <c r="G169" s="30">
        <v>850</v>
      </c>
      <c r="H169" s="27" t="s">
        <v>42</v>
      </c>
      <c r="I169" s="30">
        <v>74962.149999999994</v>
      </c>
      <c r="J169" s="30">
        <v>0</v>
      </c>
      <c r="K169" s="30">
        <v>825</v>
      </c>
      <c r="L169" s="30">
        <v>825</v>
      </c>
      <c r="M169" s="30">
        <v>25</v>
      </c>
      <c r="N169" s="30">
        <f t="shared" si="2"/>
        <v>0</v>
      </c>
      <c r="O169" s="56">
        <v>2.9411764705882353E-2</v>
      </c>
      <c r="P169" s="27" t="s">
        <v>403</v>
      </c>
    </row>
    <row r="170" spans="1:16" x14ac:dyDescent="0.35">
      <c r="A170" s="88">
        <v>1800013815</v>
      </c>
      <c r="B170" s="27" t="s">
        <v>5</v>
      </c>
      <c r="C170" s="28">
        <v>45950</v>
      </c>
      <c r="D170" s="29">
        <v>256779418633</v>
      </c>
      <c r="E170" s="27" t="s">
        <v>46</v>
      </c>
      <c r="F170" s="30">
        <v>35</v>
      </c>
      <c r="G170" s="30">
        <v>35</v>
      </c>
      <c r="H170" s="27" t="s">
        <v>42</v>
      </c>
      <c r="I170" s="30">
        <v>3086.68</v>
      </c>
      <c r="J170" s="30">
        <v>0</v>
      </c>
      <c r="K170" s="30">
        <v>34.299999999999997</v>
      </c>
      <c r="L170" s="30">
        <v>34.299999999999997</v>
      </c>
      <c r="M170" s="30">
        <v>0.70000000000000284</v>
      </c>
      <c r="N170" s="30">
        <f t="shared" si="2"/>
        <v>0</v>
      </c>
      <c r="O170" s="56">
        <v>2.000000000000008E-2</v>
      </c>
      <c r="P170" s="27" t="s">
        <v>405</v>
      </c>
    </row>
    <row r="171" spans="1:16" x14ac:dyDescent="0.35">
      <c r="A171" s="88">
        <v>1800013845</v>
      </c>
      <c r="B171" s="27" t="s">
        <v>5</v>
      </c>
      <c r="C171" s="28">
        <v>45950</v>
      </c>
      <c r="D171" s="29">
        <v>256779418663</v>
      </c>
      <c r="E171" s="27" t="s">
        <v>46</v>
      </c>
      <c r="F171" s="30">
        <v>293.89</v>
      </c>
      <c r="G171" s="30">
        <v>293.89</v>
      </c>
      <c r="H171" s="27" t="s">
        <v>42</v>
      </c>
      <c r="I171" s="30">
        <v>25918.39</v>
      </c>
      <c r="J171" s="30">
        <v>0</v>
      </c>
      <c r="K171" s="30">
        <v>288.01220000000001</v>
      </c>
      <c r="L171" s="30">
        <v>288.01220000000001</v>
      </c>
      <c r="M171" s="30">
        <v>5.8777999999999793</v>
      </c>
      <c r="N171" s="30">
        <f t="shared" si="2"/>
        <v>0</v>
      </c>
      <c r="O171" s="56">
        <v>1.9999999999999931E-2</v>
      </c>
      <c r="P171" s="27" t="s">
        <v>407</v>
      </c>
    </row>
    <row r="172" spans="1:16" x14ac:dyDescent="0.35">
      <c r="A172" s="88">
        <v>1800013926</v>
      </c>
      <c r="B172" s="27" t="s">
        <v>5</v>
      </c>
      <c r="C172" s="28">
        <v>45950</v>
      </c>
      <c r="D172" s="29">
        <v>256779418703</v>
      </c>
      <c r="E172" s="27" t="s">
        <v>46</v>
      </c>
      <c r="F172" s="30">
        <v>9.83</v>
      </c>
      <c r="G172" s="30">
        <v>9.83</v>
      </c>
      <c r="H172" s="27" t="s">
        <v>42</v>
      </c>
      <c r="I172" s="30">
        <v>866.92</v>
      </c>
      <c r="J172" s="30">
        <v>0</v>
      </c>
      <c r="K172" s="30">
        <v>9.6334</v>
      </c>
      <c r="L172" s="30">
        <v>9.6334</v>
      </c>
      <c r="M172" s="30">
        <v>0.19660000000000011</v>
      </c>
      <c r="N172" s="30">
        <f t="shared" si="2"/>
        <v>0</v>
      </c>
      <c r="O172" s="56">
        <v>2.0000000000000011E-2</v>
      </c>
      <c r="P172" s="27" t="s">
        <v>409</v>
      </c>
    </row>
    <row r="173" spans="1:16" x14ac:dyDescent="0.35">
      <c r="A173" s="88">
        <v>1800007251</v>
      </c>
      <c r="B173" s="27" t="s">
        <v>5</v>
      </c>
      <c r="C173" s="28">
        <v>45768</v>
      </c>
      <c r="D173" s="29">
        <v>256779412142</v>
      </c>
      <c r="E173" s="27" t="s">
        <v>46</v>
      </c>
      <c r="F173" s="30">
        <v>1165.3699999999999</v>
      </c>
      <c r="G173" s="30">
        <v>1165.3699999999999</v>
      </c>
      <c r="H173" s="27" t="s">
        <v>42</v>
      </c>
      <c r="I173" s="30">
        <v>100000.4</v>
      </c>
      <c r="J173" s="30">
        <v>0</v>
      </c>
      <c r="K173" s="30">
        <v>1048.8330000000001</v>
      </c>
      <c r="L173" s="30">
        <v>1048.8330000000001</v>
      </c>
      <c r="M173" s="30">
        <v>116.53699999999981</v>
      </c>
      <c r="N173" s="30">
        <f t="shared" si="2"/>
        <v>0</v>
      </c>
      <c r="O173" s="56">
        <v>9.9999999999999839E-2</v>
      </c>
      <c r="P173" s="27" t="s">
        <v>411</v>
      </c>
    </row>
    <row r="174" spans="1:16" x14ac:dyDescent="0.35">
      <c r="A174" s="88">
        <v>1800007286</v>
      </c>
      <c r="B174" s="27" t="s">
        <v>5</v>
      </c>
      <c r="C174" s="28">
        <v>45768</v>
      </c>
      <c r="D174" s="29">
        <v>256779412177</v>
      </c>
      <c r="E174" s="27" t="s">
        <v>46</v>
      </c>
      <c r="F174" s="30">
        <v>407.88</v>
      </c>
      <c r="G174" s="30">
        <v>407.88</v>
      </c>
      <c r="H174" s="27" t="s">
        <v>42</v>
      </c>
      <c r="I174" s="30">
        <v>35000.18</v>
      </c>
      <c r="J174" s="30">
        <v>0</v>
      </c>
      <c r="K174" s="30">
        <v>399.72239999999999</v>
      </c>
      <c r="L174" s="30">
        <v>399.72239999999999</v>
      </c>
      <c r="M174" s="30">
        <v>8.1576000000000022</v>
      </c>
      <c r="N174" s="30">
        <f t="shared" si="2"/>
        <v>0</v>
      </c>
      <c r="O174" s="56">
        <v>2.0000000000000004E-2</v>
      </c>
      <c r="P174" s="27" t="s">
        <v>411</v>
      </c>
    </row>
    <row r="175" spans="1:16" x14ac:dyDescent="0.35">
      <c r="A175" s="88">
        <v>1800003114</v>
      </c>
      <c r="B175" s="27" t="s">
        <v>5</v>
      </c>
      <c r="C175" s="28">
        <v>45735</v>
      </c>
      <c r="D175" s="29">
        <v>246779412981</v>
      </c>
      <c r="E175" s="27" t="s">
        <v>46</v>
      </c>
      <c r="F175" s="30">
        <v>1148.6300000000001</v>
      </c>
      <c r="G175" s="30">
        <v>1148.6300000000001</v>
      </c>
      <c r="H175" s="27" t="s">
        <v>42</v>
      </c>
      <c r="I175" s="30">
        <v>99576.18</v>
      </c>
      <c r="J175" s="30">
        <v>0</v>
      </c>
      <c r="K175" s="30">
        <v>1033.7670000000001</v>
      </c>
      <c r="L175" s="30">
        <v>1033.7670000000001</v>
      </c>
      <c r="M175" s="30">
        <v>114.86300000000006</v>
      </c>
      <c r="N175" s="30">
        <f t="shared" si="2"/>
        <v>0</v>
      </c>
      <c r="O175" s="56">
        <v>0.10000000000000003</v>
      </c>
      <c r="P175" s="27" t="s">
        <v>437</v>
      </c>
    </row>
    <row r="176" spans="1:16" x14ac:dyDescent="0.35">
      <c r="A176" s="88">
        <v>1800003222</v>
      </c>
      <c r="B176" s="27" t="s">
        <v>5</v>
      </c>
      <c r="C176" s="28">
        <v>45735</v>
      </c>
      <c r="D176" s="29">
        <v>246779413089</v>
      </c>
      <c r="E176" s="27" t="s">
        <v>46</v>
      </c>
      <c r="F176" s="30">
        <v>79.05</v>
      </c>
      <c r="G176" s="30">
        <v>79.05</v>
      </c>
      <c r="H176" s="27" t="s">
        <v>42</v>
      </c>
      <c r="I176" s="30">
        <v>6852.94</v>
      </c>
      <c r="J176" s="30">
        <v>0</v>
      </c>
      <c r="K176" s="30">
        <v>77.468999999999994</v>
      </c>
      <c r="L176" s="30">
        <v>77.468999999999994</v>
      </c>
      <c r="M176" s="30">
        <v>1.5810000000000031</v>
      </c>
      <c r="N176" s="30">
        <f t="shared" si="2"/>
        <v>0</v>
      </c>
      <c r="O176" s="56">
        <v>2.0000000000000039E-2</v>
      </c>
      <c r="P176" s="27" t="s">
        <v>439</v>
      </c>
    </row>
    <row r="177" spans="1:16" x14ac:dyDescent="0.35">
      <c r="A177" s="88">
        <v>1800003347</v>
      </c>
      <c r="B177" s="27" t="s">
        <v>5</v>
      </c>
      <c r="C177" s="28">
        <v>45735</v>
      </c>
      <c r="D177" s="29">
        <v>246779413214</v>
      </c>
      <c r="E177" s="27" t="s">
        <v>46</v>
      </c>
      <c r="F177" s="30">
        <v>78.12</v>
      </c>
      <c r="G177" s="30">
        <v>78.12</v>
      </c>
      <c r="H177" s="27" t="s">
        <v>42</v>
      </c>
      <c r="I177" s="30">
        <v>6772.32</v>
      </c>
      <c r="J177" s="30">
        <v>0</v>
      </c>
      <c r="K177" s="30">
        <v>76.557599999999994</v>
      </c>
      <c r="L177" s="30">
        <v>76.557599999999994</v>
      </c>
      <c r="M177" s="30">
        <v>1.5624000000000109</v>
      </c>
      <c r="N177" s="30">
        <f t="shared" si="2"/>
        <v>0</v>
      </c>
      <c r="O177" s="56">
        <v>2.0000000000000139E-2</v>
      </c>
      <c r="P177" s="27" t="s">
        <v>441</v>
      </c>
    </row>
    <row r="178" spans="1:16" x14ac:dyDescent="0.35">
      <c r="A178" s="88">
        <v>1800003149</v>
      </c>
      <c r="B178" s="27" t="s">
        <v>5</v>
      </c>
      <c r="C178" s="28">
        <v>45735</v>
      </c>
      <c r="D178" s="29">
        <v>246779413016</v>
      </c>
      <c r="E178" s="27" t="s">
        <v>46</v>
      </c>
      <c r="F178" s="30">
        <v>402.02</v>
      </c>
      <c r="G178" s="30">
        <v>402.02</v>
      </c>
      <c r="H178" s="27" t="s">
        <v>42</v>
      </c>
      <c r="I178" s="30">
        <v>34851.620000000003</v>
      </c>
      <c r="J178" s="30">
        <v>0</v>
      </c>
      <c r="K178" s="30">
        <v>361.81799999999998</v>
      </c>
      <c r="L178" s="30">
        <v>361.81799999999998</v>
      </c>
      <c r="M178" s="30">
        <v>40.201999999999998</v>
      </c>
      <c r="N178" s="30">
        <f t="shared" si="2"/>
        <v>0</v>
      </c>
      <c r="O178" s="56">
        <v>0.1</v>
      </c>
      <c r="P178" s="27" t="s">
        <v>437</v>
      </c>
    </row>
    <row r="179" spans="1:16" x14ac:dyDescent="0.35">
      <c r="A179" s="88">
        <v>1800013202</v>
      </c>
      <c r="B179" s="27" t="s">
        <v>5</v>
      </c>
      <c r="C179" s="28">
        <v>45924</v>
      </c>
      <c r="D179" s="29">
        <v>256779417818</v>
      </c>
      <c r="E179" s="27" t="s">
        <v>46</v>
      </c>
      <c r="F179" s="30">
        <v>260.79000000000002</v>
      </c>
      <c r="G179" s="30">
        <v>260.79000000000002</v>
      </c>
      <c r="H179" s="27" t="s">
        <v>42</v>
      </c>
      <c r="I179" s="30">
        <v>22423.69</v>
      </c>
      <c r="J179" s="30">
        <v>0</v>
      </c>
      <c r="K179" s="30">
        <v>254.02540000000002</v>
      </c>
      <c r="L179" s="30">
        <v>254.02540000000002</v>
      </c>
      <c r="M179" s="30">
        <v>6.7646000000000015</v>
      </c>
      <c r="N179" s="30">
        <f t="shared" si="2"/>
        <v>0</v>
      </c>
      <c r="O179" s="56">
        <v>2.5938878024464131E-2</v>
      </c>
      <c r="P179" s="27" t="s">
        <v>444</v>
      </c>
    </row>
    <row r="180" spans="1:16" x14ac:dyDescent="0.35">
      <c r="A180" s="88">
        <v>1800015045</v>
      </c>
      <c r="B180" s="27" t="s">
        <v>5</v>
      </c>
      <c r="C180" s="28">
        <v>45981</v>
      </c>
      <c r="D180" s="29">
        <v>256779419558</v>
      </c>
      <c r="E180" s="27" t="s">
        <v>46</v>
      </c>
      <c r="F180" s="30">
        <v>850</v>
      </c>
      <c r="G180" s="30">
        <v>850</v>
      </c>
      <c r="H180" s="27" t="s">
        <v>42</v>
      </c>
      <c r="I180" s="30">
        <v>74802.880000000005</v>
      </c>
      <c r="J180" s="30">
        <v>0</v>
      </c>
      <c r="K180" s="30">
        <v>825</v>
      </c>
      <c r="L180" s="30">
        <v>825</v>
      </c>
      <c r="M180" s="30">
        <v>25</v>
      </c>
      <c r="N180" s="30">
        <f t="shared" si="2"/>
        <v>0</v>
      </c>
      <c r="O180" s="56">
        <v>2.9411764705882353E-2</v>
      </c>
      <c r="P180" s="27" t="s">
        <v>445</v>
      </c>
    </row>
    <row r="181" spans="1:16" x14ac:dyDescent="0.35">
      <c r="A181" s="88">
        <v>1800015077</v>
      </c>
      <c r="B181" s="27" t="s">
        <v>5</v>
      </c>
      <c r="C181" s="28">
        <v>45981</v>
      </c>
      <c r="D181" s="29">
        <v>256779419590</v>
      </c>
      <c r="E181" s="27" t="s">
        <v>46</v>
      </c>
      <c r="F181" s="30">
        <v>331.5</v>
      </c>
      <c r="G181" s="30">
        <v>331.5</v>
      </c>
      <c r="H181" s="27" t="s">
        <v>42</v>
      </c>
      <c r="I181" s="30">
        <v>29173.119999999999</v>
      </c>
      <c r="J181" s="30">
        <v>0</v>
      </c>
      <c r="K181" s="30">
        <v>324.87</v>
      </c>
      <c r="L181" s="30">
        <v>324.87</v>
      </c>
      <c r="M181" s="30">
        <v>6.6299999999999955</v>
      </c>
      <c r="N181" s="30">
        <f t="shared" si="2"/>
        <v>0</v>
      </c>
      <c r="O181" s="56">
        <v>1.9999999999999987E-2</v>
      </c>
      <c r="P181" s="27" t="s">
        <v>447</v>
      </c>
    </row>
    <row r="182" spans="1:16" x14ac:dyDescent="0.35">
      <c r="A182" s="88">
        <v>1800015131</v>
      </c>
      <c r="B182" s="27" t="s">
        <v>5</v>
      </c>
      <c r="C182" s="28">
        <v>45981</v>
      </c>
      <c r="D182" s="29">
        <v>256779419630</v>
      </c>
      <c r="E182" s="27" t="s">
        <v>46</v>
      </c>
      <c r="F182" s="30">
        <v>112.58</v>
      </c>
      <c r="G182" s="30">
        <v>112.58</v>
      </c>
      <c r="H182" s="27" t="s">
        <v>42</v>
      </c>
      <c r="I182" s="30">
        <v>9907.42</v>
      </c>
      <c r="J182" s="30">
        <v>0</v>
      </c>
      <c r="K182" s="30">
        <v>110.3284</v>
      </c>
      <c r="L182" s="30">
        <v>110.3284</v>
      </c>
      <c r="M182" s="30">
        <v>2.2515999999999963</v>
      </c>
      <c r="N182" s="30">
        <f t="shared" si="2"/>
        <v>0</v>
      </c>
      <c r="O182" s="56">
        <v>1.9999999999999966E-2</v>
      </c>
      <c r="P182" s="27" t="s">
        <v>449</v>
      </c>
    </row>
    <row r="183" spans="1:16" x14ac:dyDescent="0.35">
      <c r="A183" s="88">
        <v>1800007659</v>
      </c>
      <c r="B183" s="27" t="s">
        <v>5</v>
      </c>
      <c r="C183" s="28">
        <v>45769</v>
      </c>
      <c r="D183" s="29">
        <v>256779412550</v>
      </c>
      <c r="E183" s="27" t="s">
        <v>46</v>
      </c>
      <c r="F183" s="30">
        <v>87.2</v>
      </c>
      <c r="G183" s="30">
        <v>87.2</v>
      </c>
      <c r="H183" s="27" t="s">
        <v>42</v>
      </c>
      <c r="I183" s="30">
        <v>7579.58</v>
      </c>
      <c r="J183" s="30">
        <v>0</v>
      </c>
      <c r="K183" s="30">
        <v>85.456000000000003</v>
      </c>
      <c r="L183" s="30">
        <v>85.456000000000003</v>
      </c>
      <c r="M183" s="30">
        <v>1.7439999999999998</v>
      </c>
      <c r="N183" s="30">
        <f t="shared" si="2"/>
        <v>0</v>
      </c>
      <c r="O183" s="56">
        <v>1.9999999999999997E-2</v>
      </c>
      <c r="P183" s="27" t="s">
        <v>451</v>
      </c>
    </row>
    <row r="184" spans="1:16" x14ac:dyDescent="0.35">
      <c r="A184" s="88">
        <v>1800007691</v>
      </c>
      <c r="B184" s="27" t="s">
        <v>5</v>
      </c>
      <c r="C184" s="28">
        <v>45769</v>
      </c>
      <c r="D184" s="29">
        <v>256779412582</v>
      </c>
      <c r="E184" s="27" t="s">
        <v>46</v>
      </c>
      <c r="F184" s="30">
        <v>56.95</v>
      </c>
      <c r="G184" s="30">
        <v>56.95</v>
      </c>
      <c r="H184" s="27" t="s">
        <v>42</v>
      </c>
      <c r="I184" s="30">
        <v>4950.2</v>
      </c>
      <c r="J184" s="30">
        <v>0</v>
      </c>
      <c r="K184" s="30">
        <v>55.811</v>
      </c>
      <c r="L184" s="30">
        <v>55.811</v>
      </c>
      <c r="M184" s="30">
        <v>1.1390000000000029</v>
      </c>
      <c r="N184" s="30">
        <f t="shared" si="2"/>
        <v>0</v>
      </c>
      <c r="O184" s="56">
        <v>2.0000000000000049E-2</v>
      </c>
      <c r="P184" s="27" t="s">
        <v>451</v>
      </c>
    </row>
    <row r="185" spans="1:16" x14ac:dyDescent="0.35">
      <c r="A185" s="88">
        <v>1800007724</v>
      </c>
      <c r="B185" s="27" t="s">
        <v>5</v>
      </c>
      <c r="C185" s="28">
        <v>45769</v>
      </c>
      <c r="D185" s="29">
        <v>256779412615</v>
      </c>
      <c r="E185" s="27" t="s">
        <v>46</v>
      </c>
      <c r="F185" s="30">
        <v>87.2</v>
      </c>
      <c r="G185" s="30">
        <v>87.2</v>
      </c>
      <c r="H185" s="27" t="s">
        <v>42</v>
      </c>
      <c r="I185" s="30">
        <v>7579.58</v>
      </c>
      <c r="J185" s="30">
        <v>0</v>
      </c>
      <c r="K185" s="30">
        <v>85.456000000000003</v>
      </c>
      <c r="L185" s="30">
        <v>85.456000000000003</v>
      </c>
      <c r="M185" s="30">
        <v>1.7439999999999998</v>
      </c>
      <c r="N185" s="30">
        <f t="shared" si="2"/>
        <v>0</v>
      </c>
      <c r="O185" s="56">
        <v>1.9999999999999997E-2</v>
      </c>
      <c r="P185" s="27" t="s">
        <v>454</v>
      </c>
    </row>
    <row r="186" spans="1:16" x14ac:dyDescent="0.35">
      <c r="A186" s="88">
        <v>1800007766</v>
      </c>
      <c r="B186" s="27" t="s">
        <v>5</v>
      </c>
      <c r="C186" s="28">
        <v>45769</v>
      </c>
      <c r="D186" s="29">
        <v>256779412657</v>
      </c>
      <c r="E186" s="27" t="s">
        <v>46</v>
      </c>
      <c r="F186" s="30">
        <v>4.93</v>
      </c>
      <c r="G186" s="30">
        <v>4.93</v>
      </c>
      <c r="H186" s="27" t="s">
        <v>42</v>
      </c>
      <c r="I186" s="30">
        <v>428.52</v>
      </c>
      <c r="J186" s="30">
        <v>0</v>
      </c>
      <c r="K186" s="30">
        <v>4.8314000000000004</v>
      </c>
      <c r="L186" s="30">
        <v>4.8314000000000004</v>
      </c>
      <c r="M186" s="30">
        <v>9.8599999999999355E-2</v>
      </c>
      <c r="N186" s="30">
        <f t="shared" si="2"/>
        <v>0</v>
      </c>
      <c r="O186" s="56">
        <v>1.9999999999999869E-2</v>
      </c>
      <c r="P186" s="27" t="s">
        <v>456</v>
      </c>
    </row>
    <row r="187" spans="1:16" x14ac:dyDescent="0.35">
      <c r="A187" s="88">
        <v>1800012815</v>
      </c>
      <c r="B187" s="27" t="s">
        <v>5</v>
      </c>
      <c r="C187" s="28">
        <v>45918</v>
      </c>
      <c r="D187" s="29">
        <v>256779417420</v>
      </c>
      <c r="E187" s="27" t="s">
        <v>46</v>
      </c>
      <c r="F187" s="30">
        <v>35</v>
      </c>
      <c r="G187" s="30">
        <v>35</v>
      </c>
      <c r="H187" s="27" t="s">
        <v>42</v>
      </c>
      <c r="I187" s="30">
        <v>3063</v>
      </c>
      <c r="J187" s="30">
        <v>0</v>
      </c>
      <c r="K187" s="30">
        <v>34.299999999999997</v>
      </c>
      <c r="L187" s="30">
        <v>34.299999999999997</v>
      </c>
      <c r="M187" s="30">
        <v>0.70000000000000284</v>
      </c>
      <c r="N187" s="30">
        <f t="shared" si="2"/>
        <v>0</v>
      </c>
      <c r="O187" s="56">
        <v>2.000000000000008E-2</v>
      </c>
      <c r="P187" s="27" t="s">
        <v>458</v>
      </c>
    </row>
    <row r="188" spans="1:16" x14ac:dyDescent="0.35">
      <c r="A188" s="88">
        <v>1800012872</v>
      </c>
      <c r="B188" s="27" t="s">
        <v>5</v>
      </c>
      <c r="C188" s="28">
        <v>45918</v>
      </c>
      <c r="D188" s="29">
        <v>256779417490</v>
      </c>
      <c r="E188" s="27" t="s">
        <v>46</v>
      </c>
      <c r="F188" s="30">
        <v>850</v>
      </c>
      <c r="G188" s="30">
        <v>850</v>
      </c>
      <c r="H188" s="27" t="s">
        <v>42</v>
      </c>
      <c r="I188" s="30">
        <v>74387.179999999993</v>
      </c>
      <c r="J188" s="30">
        <v>0</v>
      </c>
      <c r="K188" s="30">
        <v>825</v>
      </c>
      <c r="L188" s="30">
        <v>825</v>
      </c>
      <c r="M188" s="30">
        <v>25</v>
      </c>
      <c r="N188" s="30">
        <f t="shared" si="2"/>
        <v>0</v>
      </c>
      <c r="O188" s="56">
        <v>2.9411764705882353E-2</v>
      </c>
      <c r="P188" s="27" t="s">
        <v>459</v>
      </c>
    </row>
    <row r="189" spans="1:16" x14ac:dyDescent="0.35">
      <c r="A189" s="88">
        <v>1800012991</v>
      </c>
      <c r="B189" s="27" t="s">
        <v>5</v>
      </c>
      <c r="C189" s="28">
        <v>45918</v>
      </c>
      <c r="D189" s="29">
        <v>256779417526</v>
      </c>
      <c r="E189" s="27" t="s">
        <v>46</v>
      </c>
      <c r="F189" s="30">
        <v>22.43</v>
      </c>
      <c r="G189" s="30">
        <v>22.43</v>
      </c>
      <c r="H189" s="27" t="s">
        <v>42</v>
      </c>
      <c r="I189" s="30">
        <v>1962.95</v>
      </c>
      <c r="J189" s="30">
        <v>0</v>
      </c>
      <c r="K189" s="30">
        <v>21.981400000000001</v>
      </c>
      <c r="L189" s="30">
        <v>21.981400000000001</v>
      </c>
      <c r="M189" s="30">
        <v>0.448599999999999</v>
      </c>
      <c r="N189" s="30">
        <f t="shared" si="2"/>
        <v>0</v>
      </c>
      <c r="O189" s="56">
        <v>1.9999999999999955E-2</v>
      </c>
      <c r="P189" s="27" t="s">
        <v>461</v>
      </c>
    </row>
    <row r="190" spans="1:16" x14ac:dyDescent="0.35">
      <c r="A190" s="88">
        <v>1800012929</v>
      </c>
      <c r="B190" s="27" t="s">
        <v>5</v>
      </c>
      <c r="C190" s="28">
        <v>45918</v>
      </c>
      <c r="D190" s="29">
        <v>256779417568</v>
      </c>
      <c r="E190" s="27" t="s">
        <v>46</v>
      </c>
      <c r="F190" s="30">
        <v>293.89</v>
      </c>
      <c r="G190" s="30">
        <v>293.89</v>
      </c>
      <c r="H190" s="27" t="s">
        <v>42</v>
      </c>
      <c r="I190" s="30">
        <v>25719.59</v>
      </c>
      <c r="J190" s="30">
        <v>0</v>
      </c>
      <c r="K190" s="30">
        <v>288.01220000000001</v>
      </c>
      <c r="L190" s="30">
        <v>288.01220000000001</v>
      </c>
      <c r="M190" s="30">
        <v>5.8777999999999793</v>
      </c>
      <c r="N190" s="30">
        <f t="shared" si="2"/>
        <v>0</v>
      </c>
      <c r="O190" s="56">
        <v>1.9999999999999931E-2</v>
      </c>
      <c r="P190" s="27" t="s">
        <v>463</v>
      </c>
    </row>
    <row r="191" spans="1:16" x14ac:dyDescent="0.35">
      <c r="A191" s="88">
        <v>1800015347</v>
      </c>
      <c r="B191" s="27" t="s">
        <v>5</v>
      </c>
      <c r="C191" s="28">
        <v>45996</v>
      </c>
      <c r="D191" s="29">
        <v>256779419796</v>
      </c>
      <c r="E191" s="27" t="s">
        <v>46</v>
      </c>
      <c r="F191" s="30">
        <v>850</v>
      </c>
      <c r="G191" s="30">
        <v>850</v>
      </c>
      <c r="H191" s="27" t="s">
        <v>42</v>
      </c>
      <c r="I191" s="30">
        <v>75395.12</v>
      </c>
      <c r="J191" s="30">
        <v>0</v>
      </c>
      <c r="K191" s="30">
        <v>825</v>
      </c>
      <c r="L191" s="30">
        <v>825</v>
      </c>
      <c r="M191" s="30">
        <v>25</v>
      </c>
      <c r="N191" s="30">
        <f t="shared" si="2"/>
        <v>0</v>
      </c>
      <c r="O191" s="56">
        <v>2.9411764705882353E-2</v>
      </c>
      <c r="P191" s="27" t="s">
        <v>464</v>
      </c>
    </row>
    <row r="192" spans="1:16" x14ac:dyDescent="0.35">
      <c r="A192" s="88">
        <v>1800015289</v>
      </c>
      <c r="B192" s="27" t="s">
        <v>5</v>
      </c>
      <c r="C192" s="28">
        <v>45996</v>
      </c>
      <c r="D192" s="29">
        <v>256779419918</v>
      </c>
      <c r="E192" s="27" t="s">
        <v>46</v>
      </c>
      <c r="F192" s="30">
        <v>111.4</v>
      </c>
      <c r="G192" s="30">
        <v>111.4</v>
      </c>
      <c r="H192" s="27" t="s">
        <v>42</v>
      </c>
      <c r="I192" s="30">
        <v>9881.2000000000007</v>
      </c>
      <c r="J192" s="30">
        <v>0</v>
      </c>
      <c r="K192" s="30">
        <v>109.172</v>
      </c>
      <c r="L192" s="30">
        <v>109.172</v>
      </c>
      <c r="M192" s="30">
        <v>2.2280000000000086</v>
      </c>
      <c r="N192" s="30">
        <f t="shared" si="2"/>
        <v>0</v>
      </c>
      <c r="O192" s="56">
        <v>2.0000000000000077E-2</v>
      </c>
      <c r="P192" s="27" t="s">
        <v>466</v>
      </c>
    </row>
    <row r="193" spans="1:16" x14ac:dyDescent="0.35">
      <c r="A193" s="88">
        <v>1800008037</v>
      </c>
      <c r="B193" s="27" t="s">
        <v>5</v>
      </c>
      <c r="C193" s="28">
        <v>45770</v>
      </c>
      <c r="D193" s="29">
        <v>256779412928</v>
      </c>
      <c r="E193" s="27" t="s">
        <v>46</v>
      </c>
      <c r="F193" s="30">
        <v>12.12</v>
      </c>
      <c r="G193" s="30">
        <v>12.12</v>
      </c>
      <c r="H193" s="27" t="s">
        <v>42</v>
      </c>
      <c r="I193" s="30">
        <v>1053.49</v>
      </c>
      <c r="J193" s="30">
        <v>0</v>
      </c>
      <c r="K193" s="30">
        <v>11.877599999999999</v>
      </c>
      <c r="L193" s="30">
        <v>11.877599999999999</v>
      </c>
      <c r="M193" s="30">
        <v>0.24239999999999995</v>
      </c>
      <c r="N193" s="30">
        <f t="shared" si="2"/>
        <v>0</v>
      </c>
      <c r="O193" s="56">
        <v>1.9999999999999997E-2</v>
      </c>
      <c r="P193" s="27" t="s">
        <v>468</v>
      </c>
    </row>
    <row r="194" spans="1:16" x14ac:dyDescent="0.35">
      <c r="A194" s="88">
        <v>1800004450</v>
      </c>
      <c r="B194" s="27" t="s">
        <v>5</v>
      </c>
      <c r="C194" s="28">
        <v>45737</v>
      </c>
      <c r="D194" s="29">
        <v>246779414318</v>
      </c>
      <c r="E194" s="27" t="s">
        <v>46</v>
      </c>
      <c r="F194" s="30">
        <v>45.74</v>
      </c>
      <c r="G194" s="30">
        <v>45.74</v>
      </c>
      <c r="H194" s="27" t="s">
        <v>42</v>
      </c>
      <c r="I194" s="30">
        <v>3965.26</v>
      </c>
      <c r="J194" s="30">
        <v>0</v>
      </c>
      <c r="K194" s="30">
        <v>44.825200000000002</v>
      </c>
      <c r="L194" s="30">
        <v>44.825200000000002</v>
      </c>
      <c r="M194" s="30">
        <v>0.91479999999999961</v>
      </c>
      <c r="N194" s="30">
        <f t="shared" si="2"/>
        <v>0</v>
      </c>
      <c r="O194" s="56">
        <v>1.999999999999999E-2</v>
      </c>
      <c r="P194" s="27" t="s">
        <v>470</v>
      </c>
    </row>
    <row r="195" spans="1:16" x14ac:dyDescent="0.35">
      <c r="A195" s="88">
        <v>1800013759</v>
      </c>
      <c r="B195" s="27" t="s">
        <v>5</v>
      </c>
      <c r="C195" s="28">
        <v>45937</v>
      </c>
      <c r="D195" s="29">
        <v>256779418180</v>
      </c>
      <c r="E195" s="27" t="s">
        <v>46</v>
      </c>
      <c r="F195" s="30">
        <v>173.22</v>
      </c>
      <c r="G195" s="30">
        <v>173.22</v>
      </c>
      <c r="H195" s="27" t="s">
        <v>42</v>
      </c>
      <c r="I195" s="30">
        <v>15276.41</v>
      </c>
      <c r="J195" s="30">
        <v>0</v>
      </c>
      <c r="K195" s="30">
        <v>169.75559999999999</v>
      </c>
      <c r="L195" s="30">
        <v>169.75559999999999</v>
      </c>
      <c r="M195" s="30">
        <v>3.4644000000000119</v>
      </c>
      <c r="N195" s="30">
        <f t="shared" si="2"/>
        <v>0</v>
      </c>
      <c r="O195" s="56">
        <v>2.000000000000007E-2</v>
      </c>
      <c r="P195" s="27" t="s">
        <v>472</v>
      </c>
    </row>
    <row r="196" spans="1:16" x14ac:dyDescent="0.35">
      <c r="A196" s="88">
        <v>1800008302</v>
      </c>
      <c r="B196" s="27" t="s">
        <v>5</v>
      </c>
      <c r="C196" s="28">
        <v>45787</v>
      </c>
      <c r="D196" s="29">
        <v>256779413185</v>
      </c>
      <c r="E196" s="27" t="s">
        <v>46</v>
      </c>
      <c r="F196" s="30">
        <v>200</v>
      </c>
      <c r="G196" s="30">
        <v>200</v>
      </c>
      <c r="H196" s="27" t="s">
        <v>42</v>
      </c>
      <c r="I196" s="30">
        <v>17196.740000000002</v>
      </c>
      <c r="J196" s="30">
        <v>0</v>
      </c>
      <c r="K196" s="30">
        <v>180</v>
      </c>
      <c r="L196" s="30">
        <v>180</v>
      </c>
      <c r="M196" s="30">
        <v>20</v>
      </c>
      <c r="N196" s="30">
        <f t="shared" ref="N196:N211" si="3">_xlfn.XLOOKUP(D196,$R:$R,$V:$V,0,0)</f>
        <v>0</v>
      </c>
      <c r="O196" s="56">
        <v>0.1</v>
      </c>
      <c r="P196" s="27" t="s">
        <v>474</v>
      </c>
    </row>
    <row r="197" spans="1:16" x14ac:dyDescent="0.35">
      <c r="A197" s="88">
        <v>1800008361</v>
      </c>
      <c r="B197" s="27" t="s">
        <v>5</v>
      </c>
      <c r="C197" s="28">
        <v>45787</v>
      </c>
      <c r="D197" s="29">
        <v>256779413244</v>
      </c>
      <c r="E197" s="27" t="s">
        <v>46</v>
      </c>
      <c r="F197" s="30">
        <v>401.24</v>
      </c>
      <c r="G197" s="30">
        <v>401.24</v>
      </c>
      <c r="H197" s="27" t="s">
        <v>42</v>
      </c>
      <c r="I197" s="30">
        <v>34500.1</v>
      </c>
      <c r="J197" s="30">
        <v>0</v>
      </c>
      <c r="K197" s="30">
        <v>393.21519999999998</v>
      </c>
      <c r="L197" s="30">
        <v>393.21519999999998</v>
      </c>
      <c r="M197" s="30">
        <v>8.0248000000000275</v>
      </c>
      <c r="N197" s="30">
        <f t="shared" si="3"/>
        <v>0</v>
      </c>
      <c r="O197" s="56">
        <v>2.0000000000000066E-2</v>
      </c>
      <c r="P197" s="27" t="s">
        <v>476</v>
      </c>
    </row>
    <row r="198" spans="1:16" x14ac:dyDescent="0.35">
      <c r="A198" s="88">
        <v>1800015454</v>
      </c>
      <c r="B198" s="27" t="s">
        <v>5</v>
      </c>
      <c r="C198" s="28">
        <v>45997</v>
      </c>
      <c r="D198" s="29">
        <v>256779419955</v>
      </c>
      <c r="E198" s="27" t="s">
        <v>46</v>
      </c>
      <c r="F198" s="30">
        <v>61.99</v>
      </c>
      <c r="G198" s="30">
        <v>61.99</v>
      </c>
      <c r="H198" s="27" t="s">
        <v>42</v>
      </c>
      <c r="I198" s="30">
        <v>5498.52</v>
      </c>
      <c r="J198" s="30">
        <v>0</v>
      </c>
      <c r="K198" s="30">
        <v>60.7502</v>
      </c>
      <c r="L198" s="30">
        <v>60.7502</v>
      </c>
      <c r="M198" s="30">
        <v>1.2398000000000025</v>
      </c>
      <c r="N198" s="30">
        <f t="shared" si="3"/>
        <v>0</v>
      </c>
      <c r="O198" s="56">
        <v>2.0000000000000039E-2</v>
      </c>
      <c r="P198" s="27" t="s">
        <v>478</v>
      </c>
    </row>
    <row r="199" spans="1:16" x14ac:dyDescent="0.35">
      <c r="A199" s="88">
        <v>1800015475</v>
      </c>
      <c r="B199" s="27" t="s">
        <v>5</v>
      </c>
      <c r="C199" s="28">
        <v>45997</v>
      </c>
      <c r="D199" s="29">
        <v>256779419992</v>
      </c>
      <c r="E199" s="27" t="s">
        <v>46</v>
      </c>
      <c r="F199" s="30">
        <v>124.11</v>
      </c>
      <c r="G199" s="30">
        <v>124.11</v>
      </c>
      <c r="H199" s="27" t="s">
        <v>42</v>
      </c>
      <c r="I199" s="30">
        <v>11008.57</v>
      </c>
      <c r="J199" s="30">
        <v>0</v>
      </c>
      <c r="K199" s="30">
        <v>121.62779999999999</v>
      </c>
      <c r="L199" s="30">
        <v>121.62779999999999</v>
      </c>
      <c r="M199" s="30">
        <v>2.482200000000006</v>
      </c>
      <c r="N199" s="30">
        <f t="shared" si="3"/>
        <v>0</v>
      </c>
      <c r="O199" s="56">
        <v>2.0000000000000049E-2</v>
      </c>
      <c r="P199" s="27" t="s">
        <v>480</v>
      </c>
    </row>
    <row r="200" spans="1:16" x14ac:dyDescent="0.35">
      <c r="A200" s="88">
        <v>1800009476</v>
      </c>
      <c r="B200" s="27" t="s">
        <v>5</v>
      </c>
      <c r="C200" s="28">
        <v>45815</v>
      </c>
      <c r="D200" s="29">
        <v>256779414240</v>
      </c>
      <c r="E200" s="27" t="s">
        <v>46</v>
      </c>
      <c r="F200" s="30">
        <v>1339</v>
      </c>
      <c r="G200" s="30">
        <v>1339</v>
      </c>
      <c r="H200" s="27" t="s">
        <v>42</v>
      </c>
      <c r="I200" s="30">
        <v>114472.15</v>
      </c>
      <c r="J200" s="30">
        <v>0</v>
      </c>
      <c r="K200" s="30">
        <v>1205.0999999999999</v>
      </c>
      <c r="L200" s="30">
        <v>1205.0999999999999</v>
      </c>
      <c r="M200" s="30">
        <v>133.90000000000009</v>
      </c>
      <c r="N200" s="30">
        <f t="shared" si="3"/>
        <v>0</v>
      </c>
      <c r="O200" s="56">
        <v>0.10000000000000006</v>
      </c>
      <c r="P200" s="27" t="s">
        <v>482</v>
      </c>
    </row>
    <row r="201" spans="1:16" x14ac:dyDescent="0.35">
      <c r="A201" s="88">
        <v>1800013275</v>
      </c>
      <c r="B201" s="27" t="s">
        <v>5</v>
      </c>
      <c r="C201" s="28">
        <v>45936</v>
      </c>
      <c r="D201" s="29">
        <v>256779418011</v>
      </c>
      <c r="E201" s="27" t="s">
        <v>46</v>
      </c>
      <c r="F201" s="30">
        <v>930.14</v>
      </c>
      <c r="G201" s="30">
        <v>930.14</v>
      </c>
      <c r="H201" s="27" t="s">
        <v>42</v>
      </c>
      <c r="I201" s="30">
        <v>82029.759999999995</v>
      </c>
      <c r="J201" s="30">
        <v>0</v>
      </c>
      <c r="K201" s="30">
        <v>837.12599999999998</v>
      </c>
      <c r="L201" s="30">
        <v>837.12599999999998</v>
      </c>
      <c r="M201" s="30">
        <v>93.01400000000001</v>
      </c>
      <c r="N201" s="30">
        <f t="shared" si="3"/>
        <v>0</v>
      </c>
      <c r="O201" s="56">
        <v>0.1</v>
      </c>
      <c r="P201" s="27" t="s">
        <v>484</v>
      </c>
    </row>
    <row r="202" spans="1:16" x14ac:dyDescent="0.35">
      <c r="A202" s="88">
        <v>1800013306</v>
      </c>
      <c r="B202" s="27" t="s">
        <v>5</v>
      </c>
      <c r="C202" s="28">
        <v>45935</v>
      </c>
      <c r="D202" s="29">
        <v>256779417902</v>
      </c>
      <c r="E202" s="27" t="s">
        <v>46</v>
      </c>
      <c r="F202" s="30">
        <v>28.15</v>
      </c>
      <c r="G202" s="30">
        <v>28.15</v>
      </c>
      <c r="H202" s="27" t="s">
        <v>42</v>
      </c>
      <c r="I202" s="30">
        <v>2482.5700000000002</v>
      </c>
      <c r="J202" s="30">
        <v>0</v>
      </c>
      <c r="K202" s="30">
        <v>27.587</v>
      </c>
      <c r="L202" s="30">
        <v>27.587</v>
      </c>
      <c r="M202" s="30">
        <v>0.56299999999999883</v>
      </c>
      <c r="N202" s="30">
        <f t="shared" si="3"/>
        <v>0</v>
      </c>
      <c r="O202" s="56">
        <v>1.9999999999999959E-2</v>
      </c>
      <c r="P202" s="27" t="s">
        <v>486</v>
      </c>
    </row>
    <row r="203" spans="1:16" x14ac:dyDescent="0.35">
      <c r="A203" s="88">
        <v>1800013344</v>
      </c>
      <c r="B203" s="27" t="s">
        <v>5</v>
      </c>
      <c r="C203" s="28">
        <v>45935</v>
      </c>
      <c r="D203" s="29">
        <v>256779417940</v>
      </c>
      <c r="E203" s="27" t="s">
        <v>46</v>
      </c>
      <c r="F203" s="30">
        <v>331.5</v>
      </c>
      <c r="G203" s="30">
        <v>331.5</v>
      </c>
      <c r="H203" s="27" t="s">
        <v>42</v>
      </c>
      <c r="I203" s="30">
        <v>29235.24</v>
      </c>
      <c r="J203" s="30">
        <v>0</v>
      </c>
      <c r="K203" s="30">
        <v>324.87</v>
      </c>
      <c r="L203" s="30">
        <v>324.87</v>
      </c>
      <c r="M203" s="30">
        <v>6.6299999999999955</v>
      </c>
      <c r="N203" s="30">
        <f t="shared" si="3"/>
        <v>0</v>
      </c>
      <c r="O203" s="56">
        <v>1.9999999999999987E-2</v>
      </c>
      <c r="P203" s="27" t="s">
        <v>488</v>
      </c>
    </row>
    <row r="204" spans="1:16" x14ac:dyDescent="0.35">
      <c r="A204" s="88">
        <v>1800013510</v>
      </c>
      <c r="B204" s="27" t="s">
        <v>5</v>
      </c>
      <c r="C204" s="28">
        <v>45935</v>
      </c>
      <c r="D204" s="29">
        <v>256779418400</v>
      </c>
      <c r="E204" s="27" t="s">
        <v>46</v>
      </c>
      <c r="F204" s="30">
        <v>293.3</v>
      </c>
      <c r="G204" s="30">
        <v>293.3</v>
      </c>
      <c r="H204" s="27" t="s">
        <v>42</v>
      </c>
      <c r="I204" s="30">
        <v>25866.35</v>
      </c>
      <c r="J204" s="30">
        <v>0</v>
      </c>
      <c r="K204" s="30">
        <v>287.43400000000003</v>
      </c>
      <c r="L204" s="30">
        <v>287.43400000000003</v>
      </c>
      <c r="M204" s="30">
        <v>5.8659999999999854</v>
      </c>
      <c r="N204" s="30">
        <f t="shared" si="3"/>
        <v>0</v>
      </c>
      <c r="O204" s="56">
        <v>1.9999999999999948E-2</v>
      </c>
      <c r="P204" s="27" t="s">
        <v>492</v>
      </c>
    </row>
    <row r="205" spans="1:16" x14ac:dyDescent="0.35">
      <c r="A205" s="88">
        <v>1800012474</v>
      </c>
      <c r="B205" s="27" t="s">
        <v>5</v>
      </c>
      <c r="C205" s="28">
        <v>45906</v>
      </c>
      <c r="D205" s="29">
        <v>256779417082</v>
      </c>
      <c r="E205" s="27" t="s">
        <v>46</v>
      </c>
      <c r="F205" s="30">
        <v>1664.01</v>
      </c>
      <c r="G205" s="30">
        <v>1664.01</v>
      </c>
      <c r="H205" s="27" t="s">
        <v>42</v>
      </c>
      <c r="I205" s="30">
        <v>145624.72</v>
      </c>
      <c r="J205" s="30">
        <v>0</v>
      </c>
      <c r="K205" s="30">
        <v>1497.6089999999999</v>
      </c>
      <c r="L205" s="30">
        <v>1497.6089999999999</v>
      </c>
      <c r="M205" s="30">
        <v>166.40100000000007</v>
      </c>
      <c r="N205" s="30">
        <f t="shared" si="3"/>
        <v>0</v>
      </c>
      <c r="O205" s="56">
        <v>0.10000000000000005</v>
      </c>
      <c r="P205" s="27" t="s">
        <v>494</v>
      </c>
    </row>
    <row r="206" spans="1:16" x14ac:dyDescent="0.35">
      <c r="A206" s="88">
        <v>1800015802</v>
      </c>
      <c r="B206" s="27" t="s">
        <v>5</v>
      </c>
      <c r="C206" s="28">
        <v>46027</v>
      </c>
      <c r="D206" s="29">
        <v>256779440052</v>
      </c>
      <c r="E206" s="27" t="s">
        <v>46</v>
      </c>
      <c r="F206" s="30">
        <v>846.77</v>
      </c>
      <c r="G206" s="30">
        <v>846.77</v>
      </c>
      <c r="H206" s="27" t="s">
        <v>42</v>
      </c>
      <c r="I206" s="30">
        <v>76838.570000000007</v>
      </c>
      <c r="J206" s="30">
        <v>0</v>
      </c>
      <c r="K206" s="30">
        <v>822.09299999999996</v>
      </c>
      <c r="L206" s="30">
        <v>822.09299999999996</v>
      </c>
      <c r="M206" s="30">
        <v>24.677000000000021</v>
      </c>
      <c r="N206" s="30">
        <f t="shared" si="3"/>
        <v>0</v>
      </c>
      <c r="O206" s="56">
        <v>2.9142506229554686E-2</v>
      </c>
      <c r="P206" s="27" t="s">
        <v>497</v>
      </c>
    </row>
    <row r="207" spans="1:16" x14ac:dyDescent="0.35">
      <c r="A207" s="88">
        <v>1800015965</v>
      </c>
      <c r="B207" s="27" t="s">
        <v>5</v>
      </c>
      <c r="C207" s="28">
        <v>46027</v>
      </c>
      <c r="D207" s="29">
        <v>256779440081</v>
      </c>
      <c r="E207" s="27" t="s">
        <v>46</v>
      </c>
      <c r="F207" s="30">
        <v>3.45</v>
      </c>
      <c r="G207" s="30">
        <v>3.45</v>
      </c>
      <c r="H207" s="27" t="s">
        <v>42</v>
      </c>
      <c r="I207" s="30">
        <v>313.06</v>
      </c>
      <c r="J207" s="30">
        <v>0</v>
      </c>
      <c r="K207" s="30">
        <v>3.3809999999999998</v>
      </c>
      <c r="L207" s="30">
        <v>3.3809999999999998</v>
      </c>
      <c r="M207" s="30">
        <v>6.9000000000000394E-2</v>
      </c>
      <c r="N207" s="30">
        <f t="shared" si="3"/>
        <v>0</v>
      </c>
      <c r="O207" s="56">
        <v>2.0000000000000115E-2</v>
      </c>
      <c r="P207" s="27" t="s">
        <v>499</v>
      </c>
    </row>
    <row r="208" spans="1:16" x14ac:dyDescent="0.35">
      <c r="A208" s="88">
        <v>1800013253</v>
      </c>
      <c r="B208" s="27" t="s">
        <v>5</v>
      </c>
      <c r="C208" s="28">
        <v>45935</v>
      </c>
      <c r="D208" s="29">
        <v>256779417873</v>
      </c>
      <c r="E208" s="27" t="s">
        <v>42</v>
      </c>
      <c r="F208" s="30">
        <v>100000</v>
      </c>
      <c r="G208" s="30">
        <v>1133.911111111111</v>
      </c>
      <c r="H208" s="27" t="s">
        <v>42</v>
      </c>
      <c r="I208" s="30">
        <v>100000</v>
      </c>
      <c r="J208" s="30">
        <v>0</v>
      </c>
      <c r="K208" s="30">
        <v>1020.52</v>
      </c>
      <c r="L208" s="30">
        <v>1020.52</v>
      </c>
      <c r="M208" s="30">
        <v>113.39111111111106</v>
      </c>
      <c r="N208" s="30">
        <f t="shared" si="3"/>
        <v>0</v>
      </c>
      <c r="O208" s="56">
        <v>9.9999999999999964E-2</v>
      </c>
      <c r="P208" s="27" t="s">
        <v>505</v>
      </c>
    </row>
    <row r="209" spans="1:16" x14ac:dyDescent="0.35">
      <c r="A209" s="88">
        <v>1800013254</v>
      </c>
      <c r="B209" s="27" t="s">
        <v>5</v>
      </c>
      <c r="C209" s="28">
        <v>45935</v>
      </c>
      <c r="D209" s="29">
        <v>256779417874</v>
      </c>
      <c r="E209" s="27" t="s">
        <v>42</v>
      </c>
      <c r="F209" s="30">
        <v>35000</v>
      </c>
      <c r="G209" s="30">
        <v>432.14733333333328</v>
      </c>
      <c r="H209" s="27" t="s">
        <v>42</v>
      </c>
      <c r="I209" s="30">
        <v>35000</v>
      </c>
      <c r="J209" s="30">
        <v>0</v>
      </c>
      <c r="K209" s="30">
        <v>388.93259999999998</v>
      </c>
      <c r="L209" s="30">
        <v>388.93259999999998</v>
      </c>
      <c r="M209" s="30">
        <v>43.214733333333299</v>
      </c>
      <c r="N209" s="30">
        <f t="shared" si="3"/>
        <v>0</v>
      </c>
      <c r="O209" s="56">
        <v>9.9999999999999936E-2</v>
      </c>
      <c r="P209" s="27" t="s">
        <v>505</v>
      </c>
    </row>
    <row r="210" spans="1:16" x14ac:dyDescent="0.35">
      <c r="A210" s="88">
        <v>1800013383</v>
      </c>
      <c r="B210" s="27" t="s">
        <v>5</v>
      </c>
      <c r="C210" s="28">
        <v>45935</v>
      </c>
      <c r="D210" s="29">
        <v>256779417979</v>
      </c>
      <c r="E210" s="27" t="s">
        <v>46</v>
      </c>
      <c r="F210" s="30">
        <v>136.47999999999999</v>
      </c>
      <c r="G210" s="30">
        <v>136.47999999999999</v>
      </c>
      <c r="H210" s="27" t="s">
        <v>42</v>
      </c>
      <c r="I210" s="30">
        <v>12036.28</v>
      </c>
      <c r="J210" s="30">
        <v>0</v>
      </c>
      <c r="K210" s="30">
        <v>133.75040000000001</v>
      </c>
      <c r="L210" s="30">
        <v>133.75040000000001</v>
      </c>
      <c r="M210" s="30">
        <v>2.7295999999999765</v>
      </c>
      <c r="N210" s="30">
        <f t="shared" si="3"/>
        <v>0</v>
      </c>
      <c r="O210" s="56">
        <v>1.999999999999983E-2</v>
      </c>
      <c r="P210" s="27" t="s">
        <v>490</v>
      </c>
    </row>
    <row r="211" spans="1:16" x14ac:dyDescent="0.35">
      <c r="A211" s="88">
        <v>1800013479</v>
      </c>
      <c r="B211" s="27" t="s">
        <v>5</v>
      </c>
      <c r="C211" s="28">
        <v>45935</v>
      </c>
      <c r="D211" s="29">
        <v>256779418095</v>
      </c>
      <c r="E211" s="27" t="s">
        <v>46</v>
      </c>
      <c r="F211" s="30">
        <v>850</v>
      </c>
      <c r="G211" s="30">
        <v>850</v>
      </c>
      <c r="H211" s="27" t="s">
        <v>42</v>
      </c>
      <c r="I211" s="30">
        <v>74962.149999999994</v>
      </c>
      <c r="J211" s="30">
        <v>0</v>
      </c>
      <c r="K211" s="30">
        <v>825</v>
      </c>
      <c r="L211" s="30">
        <v>825</v>
      </c>
      <c r="M211" s="30">
        <v>25</v>
      </c>
      <c r="N211" s="30">
        <f t="shared" si="3"/>
        <v>0</v>
      </c>
      <c r="O211" s="56">
        <v>2.9411764705882353E-2</v>
      </c>
      <c r="P211" s="27" t="s">
        <v>508</v>
      </c>
    </row>
  </sheetData>
  <autoFilter ref="A2:AA211" xr:uid="{5CC81FE7-FFC3-43FC-99CC-75D4BA627EBB}"/>
  <conditionalFormatting sqref="R2:R12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F3C0-7885-4D88-9F2C-0C29983AA397}">
  <dimension ref="A3:R18"/>
  <sheetViews>
    <sheetView topLeftCell="D1"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4" width="16.36328125" bestFit="1" customWidth="1"/>
    <col min="5" max="5" width="11.81640625" bestFit="1" customWidth="1"/>
    <col min="6" max="6" width="3.08984375" bestFit="1" customWidth="1"/>
    <col min="7" max="7" width="9.453125" bestFit="1" customWidth="1"/>
    <col min="9" max="9" width="15.7265625" bestFit="1" customWidth="1"/>
    <col min="10" max="10" width="13.90625" bestFit="1" customWidth="1"/>
    <col min="11" max="11" width="14.08984375" style="3" bestFit="1" customWidth="1"/>
    <col min="12" max="12" width="11.90625" style="3" bestFit="1" customWidth="1"/>
    <col min="13" max="13" width="10.36328125" style="3" bestFit="1" customWidth="1"/>
    <col min="17" max="17" width="15.453125" style="3" bestFit="1" customWidth="1"/>
    <col min="18" max="18" width="9.7265625" style="3" bestFit="1" customWidth="1"/>
  </cols>
  <sheetData>
    <row r="3" spans="1:18" x14ac:dyDescent="0.35">
      <c r="A3" s="84" t="s">
        <v>916</v>
      </c>
      <c r="D3" s="84" t="s">
        <v>33</v>
      </c>
      <c r="I3" s="23" t="s">
        <v>916</v>
      </c>
      <c r="J3" s="23"/>
      <c r="K3" s="44" t="s">
        <v>33</v>
      </c>
      <c r="L3" s="44"/>
      <c r="M3" s="44"/>
    </row>
    <row r="4" spans="1:18" x14ac:dyDescent="0.35">
      <c r="A4" s="84" t="s">
        <v>0</v>
      </c>
      <c r="B4" s="84" t="s">
        <v>1</v>
      </c>
      <c r="C4" s="84" t="s">
        <v>2</v>
      </c>
      <c r="D4" t="s">
        <v>4</v>
      </c>
      <c r="E4" t="s">
        <v>5</v>
      </c>
      <c r="F4" t="s">
        <v>6</v>
      </c>
      <c r="G4" t="s">
        <v>7</v>
      </c>
      <c r="I4" s="23" t="s">
        <v>0</v>
      </c>
      <c r="J4" s="23" t="s">
        <v>2</v>
      </c>
      <c r="K4" s="44" t="s">
        <v>4</v>
      </c>
      <c r="L4" s="44" t="s">
        <v>5</v>
      </c>
      <c r="M4" s="44" t="s">
        <v>7</v>
      </c>
      <c r="O4" s="23" t="s">
        <v>0</v>
      </c>
      <c r="P4" s="23" t="s">
        <v>2</v>
      </c>
      <c r="Q4" s="44" t="s">
        <v>911</v>
      </c>
      <c r="R4" s="44" t="s">
        <v>912</v>
      </c>
    </row>
    <row r="5" spans="1:18" x14ac:dyDescent="0.35">
      <c r="A5" t="s">
        <v>9</v>
      </c>
      <c r="B5" t="s">
        <v>10</v>
      </c>
      <c r="C5" s="86" t="s">
        <v>11</v>
      </c>
      <c r="D5" s="85"/>
      <c r="E5" s="85">
        <v>19803.859999999993</v>
      </c>
      <c r="F5" s="85"/>
      <c r="G5" s="85"/>
      <c r="I5" s="87">
        <v>2025</v>
      </c>
      <c r="J5" s="23" t="s">
        <v>11</v>
      </c>
      <c r="K5" s="44"/>
      <c r="L5" s="44">
        <v>19803.859999999993</v>
      </c>
      <c r="M5" s="44"/>
      <c r="O5" s="87">
        <v>2025</v>
      </c>
      <c r="P5" s="23" t="s">
        <v>11</v>
      </c>
      <c r="Q5" s="44"/>
      <c r="R5" s="44">
        <v>12293.712800000001</v>
      </c>
    </row>
    <row r="6" spans="1:18" x14ac:dyDescent="0.35">
      <c r="C6" s="86" t="s">
        <v>12</v>
      </c>
      <c r="D6" s="85"/>
      <c r="E6" s="85">
        <v>14823.470000000001</v>
      </c>
      <c r="F6" s="85"/>
      <c r="G6" s="85"/>
      <c r="I6" s="87">
        <v>2025</v>
      </c>
      <c r="J6" s="23" t="s">
        <v>12</v>
      </c>
      <c r="K6" s="44"/>
      <c r="L6" s="44">
        <v>14823.470000000001</v>
      </c>
      <c r="M6" s="44"/>
      <c r="O6" s="87">
        <v>2025</v>
      </c>
      <c r="P6" s="23" t="s">
        <v>12</v>
      </c>
      <c r="Q6" s="44">
        <v>40</v>
      </c>
      <c r="R6" s="44">
        <v>12720.289999999997</v>
      </c>
    </row>
    <row r="7" spans="1:18" x14ac:dyDescent="0.35">
      <c r="B7" t="s">
        <v>13</v>
      </c>
      <c r="C7" s="86" t="s">
        <v>14</v>
      </c>
      <c r="D7" s="85"/>
      <c r="E7" s="85">
        <v>13418.320000000003</v>
      </c>
      <c r="F7" s="85"/>
      <c r="G7" s="85"/>
      <c r="I7" s="87">
        <v>2025</v>
      </c>
      <c r="J7" s="23" t="s">
        <v>14</v>
      </c>
      <c r="K7" s="44"/>
      <c r="L7" s="44">
        <v>13418.320000000003</v>
      </c>
      <c r="M7" s="44"/>
      <c r="O7" s="87">
        <v>2025</v>
      </c>
      <c r="P7" s="23" t="s">
        <v>14</v>
      </c>
      <c r="Q7" s="44">
        <v>80</v>
      </c>
      <c r="R7" s="44">
        <v>9784.9159999999993</v>
      </c>
    </row>
    <row r="8" spans="1:18" x14ac:dyDescent="0.35">
      <c r="C8" s="86" t="s">
        <v>15</v>
      </c>
      <c r="D8" s="85">
        <v>-3255.46</v>
      </c>
      <c r="E8" s="85">
        <v>3894.3411111111118</v>
      </c>
      <c r="F8" s="85"/>
      <c r="G8" s="85"/>
      <c r="I8" s="87">
        <v>2025</v>
      </c>
      <c r="J8" s="23" t="s">
        <v>15</v>
      </c>
      <c r="K8" s="44">
        <v>-3255.46</v>
      </c>
      <c r="L8" s="44">
        <v>3894.3411111111118</v>
      </c>
      <c r="M8" s="44"/>
      <c r="O8" s="87">
        <v>2025</v>
      </c>
      <c r="P8" s="23" t="s">
        <v>15</v>
      </c>
      <c r="Q8" s="44"/>
      <c r="R8" s="44">
        <v>3363.2960000000003</v>
      </c>
    </row>
    <row r="9" spans="1:18" x14ac:dyDescent="0.35">
      <c r="C9" s="86" t="s">
        <v>16</v>
      </c>
      <c r="D9" s="85"/>
      <c r="E9" s="85">
        <v>8129.420000000001</v>
      </c>
      <c r="F9" s="85"/>
      <c r="G9" s="85">
        <v>-23431.62</v>
      </c>
      <c r="I9" s="87">
        <v>2025</v>
      </c>
      <c r="J9" s="23" t="s">
        <v>16</v>
      </c>
      <c r="K9" s="44"/>
      <c r="L9" s="44">
        <v>8129.420000000001</v>
      </c>
      <c r="M9" s="44">
        <v>-23431.62</v>
      </c>
      <c r="O9" s="87">
        <v>2025</v>
      </c>
      <c r="P9" s="23" t="s">
        <v>16</v>
      </c>
      <c r="Q9" s="44">
        <v>27159.811600000005</v>
      </c>
      <c r="R9" s="44">
        <v>4339.472600000001</v>
      </c>
    </row>
    <row r="10" spans="1:18" x14ac:dyDescent="0.35">
      <c r="B10" t="s">
        <v>17</v>
      </c>
      <c r="C10" s="86" t="s">
        <v>18</v>
      </c>
      <c r="D10" s="85">
        <v>-17406.03</v>
      </c>
      <c r="E10" s="85">
        <v>9114.5951111111117</v>
      </c>
      <c r="F10" s="85">
        <v>0</v>
      </c>
      <c r="G10" s="85"/>
      <c r="I10" s="87">
        <v>2025</v>
      </c>
      <c r="J10" s="23" t="s">
        <v>18</v>
      </c>
      <c r="K10" s="44">
        <v>-17406.03</v>
      </c>
      <c r="L10" s="44">
        <v>9114.5951111111117</v>
      </c>
      <c r="M10" s="44"/>
      <c r="O10" s="87">
        <v>2025</v>
      </c>
      <c r="P10" s="23" t="s">
        <v>18</v>
      </c>
      <c r="Q10" s="44">
        <v>3742.0477999999998</v>
      </c>
      <c r="R10" s="44">
        <v>7944.7129999999997</v>
      </c>
    </row>
    <row r="11" spans="1:18" x14ac:dyDescent="0.35">
      <c r="C11" s="86" t="s">
        <v>19</v>
      </c>
      <c r="D11" s="85">
        <v>-4623.6205747126442</v>
      </c>
      <c r="E11" s="85">
        <v>20154.677241379308</v>
      </c>
      <c r="F11" s="85"/>
      <c r="G11" s="85">
        <v>-13681.56</v>
      </c>
      <c r="I11" s="87">
        <v>2025</v>
      </c>
      <c r="J11" s="23" t="s">
        <v>19</v>
      </c>
      <c r="K11" s="44">
        <v>-4623.6205747126442</v>
      </c>
      <c r="L11" s="44">
        <v>20154.677241379308</v>
      </c>
      <c r="M11" s="44">
        <v>-13681.56</v>
      </c>
      <c r="O11" s="87">
        <v>2025</v>
      </c>
      <c r="P11" s="23" t="s">
        <v>19</v>
      </c>
      <c r="Q11" s="44">
        <v>7900.4475999999995</v>
      </c>
      <c r="R11" s="44">
        <v>9099.6875999999993</v>
      </c>
    </row>
    <row r="12" spans="1:18" x14ac:dyDescent="0.35">
      <c r="C12" s="86" t="s">
        <v>20</v>
      </c>
      <c r="D12" s="85">
        <v>-504.79</v>
      </c>
      <c r="E12" s="85">
        <v>13032.36</v>
      </c>
      <c r="F12" s="85">
        <v>0</v>
      </c>
      <c r="G12" s="85">
        <v>-2932.84</v>
      </c>
      <c r="I12" s="87">
        <v>2025</v>
      </c>
      <c r="J12" s="23" t="s">
        <v>20</v>
      </c>
      <c r="K12" s="44">
        <v>-504.79</v>
      </c>
      <c r="L12" s="44">
        <v>13032.36</v>
      </c>
      <c r="M12" s="44">
        <v>-2932.84</v>
      </c>
      <c r="O12" s="87">
        <v>2025</v>
      </c>
      <c r="P12" s="23" t="s">
        <v>20</v>
      </c>
      <c r="Q12" s="44">
        <v>16064.4342</v>
      </c>
      <c r="R12" s="44">
        <v>10508.427200000002</v>
      </c>
    </row>
    <row r="13" spans="1:18" x14ac:dyDescent="0.35">
      <c r="B13" t="s">
        <v>21</v>
      </c>
      <c r="C13" s="86" t="s">
        <v>22</v>
      </c>
      <c r="D13" s="85">
        <v>-1066.6199999999999</v>
      </c>
      <c r="E13" s="85">
        <v>5834.0484444444437</v>
      </c>
      <c r="F13" s="85"/>
      <c r="G13" s="85">
        <v>-4719.25</v>
      </c>
      <c r="I13" s="87">
        <v>2025</v>
      </c>
      <c r="J13" s="23" t="s">
        <v>22</v>
      </c>
      <c r="K13" s="44">
        <v>-1066.6199999999999</v>
      </c>
      <c r="L13" s="44">
        <v>5834.0484444444437</v>
      </c>
      <c r="M13" s="44">
        <v>-4719.25</v>
      </c>
      <c r="O13" s="87">
        <v>2025</v>
      </c>
      <c r="P13" s="23" t="s">
        <v>22</v>
      </c>
      <c r="Q13" s="44">
        <v>14244.8688</v>
      </c>
      <c r="R13" s="44">
        <v>6997.0412000000006</v>
      </c>
    </row>
    <row r="14" spans="1:18" x14ac:dyDescent="0.35">
      <c r="C14" s="86" t="s">
        <v>23</v>
      </c>
      <c r="D14" s="85"/>
      <c r="E14" s="85">
        <v>5099.4320000000007</v>
      </c>
      <c r="F14" s="85"/>
      <c r="G14" s="85">
        <v>-22495.21</v>
      </c>
      <c r="I14" s="87">
        <v>2025</v>
      </c>
      <c r="J14" s="23" t="s">
        <v>23</v>
      </c>
      <c r="K14" s="44"/>
      <c r="L14" s="44">
        <v>5099.4320000000007</v>
      </c>
      <c r="M14" s="44">
        <v>-22495.21</v>
      </c>
      <c r="O14" s="87">
        <v>2025</v>
      </c>
      <c r="P14" s="23" t="s">
        <v>23</v>
      </c>
      <c r="Q14" s="44"/>
      <c r="R14" s="44">
        <v>4796.2151999999987</v>
      </c>
    </row>
    <row r="15" spans="1:18" x14ac:dyDescent="0.35">
      <c r="C15" s="86" t="s">
        <v>24</v>
      </c>
      <c r="D15" s="85"/>
      <c r="E15" s="85">
        <v>2704.5546666666664</v>
      </c>
      <c r="F15" s="85"/>
      <c r="G15" s="85"/>
      <c r="I15" s="87">
        <v>2025</v>
      </c>
      <c r="J15" s="23" t="s">
        <v>24</v>
      </c>
      <c r="K15" s="44"/>
      <c r="L15" s="44">
        <v>2704.5546666666664</v>
      </c>
      <c r="M15" s="44"/>
      <c r="O15" s="87">
        <v>2025</v>
      </c>
      <c r="P15" s="23" t="s">
        <v>24</v>
      </c>
      <c r="Q15" s="44">
        <v>2368.203</v>
      </c>
      <c r="R15" s="44">
        <v>2517.8991999999998</v>
      </c>
    </row>
    <row r="16" spans="1:18" x14ac:dyDescent="0.35">
      <c r="A16" t="s">
        <v>25</v>
      </c>
      <c r="B16" t="s">
        <v>10</v>
      </c>
      <c r="C16" s="86" t="s">
        <v>26</v>
      </c>
      <c r="D16" s="85"/>
      <c r="E16" s="85">
        <v>5424.954137931034</v>
      </c>
      <c r="F16" s="85"/>
      <c r="G16" s="85">
        <v>-2517.2599999999998</v>
      </c>
      <c r="I16" s="87">
        <v>2026</v>
      </c>
      <c r="J16" s="23" t="s">
        <v>26</v>
      </c>
      <c r="K16" s="44"/>
      <c r="L16" s="44">
        <v>5424.954137931034</v>
      </c>
      <c r="M16" s="44">
        <v>-2517.2599999999998</v>
      </c>
      <c r="O16" s="87">
        <v>2026</v>
      </c>
      <c r="P16" s="23" t="s">
        <v>26</v>
      </c>
      <c r="Q16" s="44"/>
      <c r="R16" s="44">
        <v>825.47399999999993</v>
      </c>
    </row>
    <row r="17" spans="3:18" x14ac:dyDescent="0.35">
      <c r="C17" s="86" t="s">
        <v>11</v>
      </c>
      <c r="D17" s="85">
        <v>-509.15</v>
      </c>
      <c r="E17" s="85">
        <v>938.8</v>
      </c>
      <c r="F17" s="85"/>
      <c r="G17" s="85"/>
      <c r="I17" s="87">
        <v>2026</v>
      </c>
      <c r="J17" s="23" t="s">
        <v>11</v>
      </c>
      <c r="K17" s="44">
        <v>-509.15</v>
      </c>
      <c r="L17" s="44">
        <v>938.8</v>
      </c>
      <c r="M17" s="44"/>
      <c r="N17" s="5"/>
      <c r="Q17" s="3">
        <f>SUM(Q5:Q16)</f>
        <v>71599.812999999995</v>
      </c>
      <c r="R17" s="3">
        <f>SUM(R5:R16)</f>
        <v>85191.144800000009</v>
      </c>
    </row>
    <row r="18" spans="3:18" x14ac:dyDescent="0.35">
      <c r="K18" s="3">
        <f>SUM(K5:K17)</f>
        <v>-27365.670574712643</v>
      </c>
      <c r="L18" s="3">
        <f>SUM(L5:L17)</f>
        <v>122372.83271264368</v>
      </c>
      <c r="M18" s="3">
        <f>SUM(M5:M17)</f>
        <v>-69777.740000000005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C526-252F-4C99-B413-074D8BC13974}">
  <dimension ref="A1:T280"/>
  <sheetViews>
    <sheetView topLeftCell="A252" zoomScale="85" zoomScaleNormal="85" workbookViewId="0">
      <selection activeCell="D253" sqref="D253"/>
    </sheetView>
  </sheetViews>
  <sheetFormatPr defaultRowHeight="14.5" x14ac:dyDescent="0.35"/>
  <cols>
    <col min="1" max="1" width="13.90625" bestFit="1" customWidth="1"/>
    <col min="2" max="2" width="14.08984375" bestFit="1" customWidth="1"/>
    <col min="3" max="3" width="45.6328125" customWidth="1"/>
    <col min="4" max="4" width="37.26953125" bestFit="1" customWidth="1"/>
    <col min="5" max="5" width="12.1796875" hidden="1" customWidth="1"/>
    <col min="6" max="6" width="11.81640625" hidden="1" customWidth="1"/>
    <col min="7" max="7" width="21.08984375" hidden="1" customWidth="1"/>
    <col min="8" max="8" width="13.81640625" customWidth="1"/>
    <col min="9" max="9" width="9.90625" bestFit="1" customWidth="1"/>
    <col min="10" max="10" width="8.36328125" hidden="1" customWidth="1"/>
    <col min="12" max="12" width="16.54296875" hidden="1" customWidth="1"/>
    <col min="13" max="13" width="15.36328125" hidden="1" customWidth="1"/>
    <col min="14" max="14" width="15.90625" hidden="1" customWidth="1"/>
    <col min="15" max="15" width="0" hidden="1" customWidth="1"/>
    <col min="18" max="18" width="16.54296875" style="21" bestFit="1" customWidth="1"/>
    <col min="19" max="19" width="16.81640625" style="3" bestFit="1" customWidth="1"/>
    <col min="20" max="20" width="7.54296875" bestFit="1" customWidth="1"/>
  </cols>
  <sheetData>
    <row r="1" spans="1:20" x14ac:dyDescent="0.35">
      <c r="A1" s="39" t="s">
        <v>546</v>
      </c>
      <c r="B1" s="39" t="s">
        <v>2</v>
      </c>
      <c r="C1" s="39" t="s">
        <v>549</v>
      </c>
      <c r="D1" s="39" t="s">
        <v>550</v>
      </c>
      <c r="E1" s="39" t="s">
        <v>551</v>
      </c>
      <c r="F1" s="39" t="s">
        <v>552</v>
      </c>
      <c r="G1" s="39" t="s">
        <v>553</v>
      </c>
      <c r="H1" s="39" t="s">
        <v>554</v>
      </c>
      <c r="I1" s="39" t="s">
        <v>555</v>
      </c>
      <c r="J1" s="39" t="s">
        <v>556</v>
      </c>
      <c r="L1" s="23" t="s">
        <v>546</v>
      </c>
      <c r="M1" s="23" t="s">
        <v>911</v>
      </c>
      <c r="N1" s="23" t="s">
        <v>912</v>
      </c>
      <c r="O1" s="49" t="s">
        <v>913</v>
      </c>
      <c r="P1" s="47"/>
      <c r="R1" s="40" t="s">
        <v>546</v>
      </c>
      <c r="S1" s="44" t="s">
        <v>912</v>
      </c>
      <c r="T1" s="23" t="s">
        <v>913</v>
      </c>
    </row>
    <row r="2" spans="1:20" x14ac:dyDescent="0.35">
      <c r="A2" s="40">
        <v>1002</v>
      </c>
      <c r="B2" s="41">
        <v>45940</v>
      </c>
      <c r="C2" s="23" t="s">
        <v>821</v>
      </c>
      <c r="D2" s="23" t="s">
        <v>624</v>
      </c>
      <c r="E2" s="44"/>
      <c r="F2" s="44">
        <v>2520.8598000000002</v>
      </c>
      <c r="G2" s="44">
        <v>-1156227.4823</v>
      </c>
      <c r="H2" s="44"/>
      <c r="I2" s="75">
        <v>28.8</v>
      </c>
      <c r="J2" s="44">
        <v>-2529.6995999999999</v>
      </c>
      <c r="L2" s="40">
        <v>1002</v>
      </c>
      <c r="M2" s="24"/>
      <c r="N2" s="24">
        <v>28.8</v>
      </c>
      <c r="O2" s="23" t="e">
        <f>VLOOKUP(L2,'Ascendus Data'!$D$3:$F$317,3,0)</f>
        <v>#N/A</v>
      </c>
      <c r="P2" s="152"/>
      <c r="R2" s="40">
        <v>7360257</v>
      </c>
      <c r="S2" s="44">
        <v>-58.8</v>
      </c>
      <c r="T2" s="23" t="e">
        <v>#N/A</v>
      </c>
    </row>
    <row r="3" spans="1:20" x14ac:dyDescent="0.35">
      <c r="A3" s="40">
        <v>1003</v>
      </c>
      <c r="B3" s="41">
        <v>45940</v>
      </c>
      <c r="C3" s="23" t="s">
        <v>821</v>
      </c>
      <c r="D3" s="23" t="s">
        <v>624</v>
      </c>
      <c r="E3" s="44"/>
      <c r="F3" s="44">
        <v>2520.8598000000002</v>
      </c>
      <c r="G3" s="44">
        <v>-1158748.3421</v>
      </c>
      <c r="H3" s="44"/>
      <c r="I3" s="75">
        <v>28.8</v>
      </c>
      <c r="J3" s="44">
        <v>-3579.6306</v>
      </c>
      <c r="L3" s="40">
        <v>1003</v>
      </c>
      <c r="M3" s="24"/>
      <c r="N3" s="24">
        <v>28.8</v>
      </c>
      <c r="O3" s="23" t="e">
        <f>VLOOKUP(L3,'Ascendus Data'!$D$3:$F$317,3,0)</f>
        <v>#N/A</v>
      </c>
      <c r="P3" s="152"/>
      <c r="R3" s="40">
        <v>7360258</v>
      </c>
      <c r="S3" s="44">
        <v>-58.8</v>
      </c>
      <c r="T3" s="23" t="e">
        <v>#N/A</v>
      </c>
    </row>
    <row r="4" spans="1:20" x14ac:dyDescent="0.35">
      <c r="A4" s="40">
        <v>1004</v>
      </c>
      <c r="B4" s="41">
        <v>45940</v>
      </c>
      <c r="C4" s="23" t="s">
        <v>821</v>
      </c>
      <c r="D4" s="23" t="s">
        <v>624</v>
      </c>
      <c r="E4" s="44"/>
      <c r="F4" s="44">
        <v>2604.8885</v>
      </c>
      <c r="G4" s="44">
        <v>-1161353.2305999999</v>
      </c>
      <c r="H4" s="44"/>
      <c r="I4" s="75">
        <v>29.76</v>
      </c>
      <c r="J4" s="44">
        <v>-2978.5983999999999</v>
      </c>
      <c r="L4" s="40">
        <v>1004</v>
      </c>
      <c r="M4" s="24"/>
      <c r="N4" s="24">
        <v>29.76</v>
      </c>
      <c r="O4" s="23" t="e">
        <f>VLOOKUP(L4,'Ascendus Data'!$D$3:$F$317,3,0)</f>
        <v>#N/A</v>
      </c>
      <c r="P4" s="152"/>
      <c r="R4" s="40">
        <v>7360259</v>
      </c>
      <c r="S4" s="44">
        <v>-60.76</v>
      </c>
      <c r="T4" s="23" t="e">
        <v>#N/A</v>
      </c>
    </row>
    <row r="5" spans="1:20" x14ac:dyDescent="0.35">
      <c r="A5" s="40">
        <v>1005</v>
      </c>
      <c r="B5" s="41">
        <v>45940</v>
      </c>
      <c r="C5" s="23" t="s">
        <v>821</v>
      </c>
      <c r="D5" s="23" t="s">
        <v>624</v>
      </c>
      <c r="E5" s="44"/>
      <c r="F5" s="44">
        <v>138252.1</v>
      </c>
      <c r="G5" s="44">
        <v>-1153706.6225000001</v>
      </c>
      <c r="H5" s="44"/>
      <c r="I5" s="75">
        <v>1579.76</v>
      </c>
      <c r="J5" s="44">
        <v>-2970.4056</v>
      </c>
      <c r="L5" s="40">
        <v>1005</v>
      </c>
      <c r="M5" s="24"/>
      <c r="N5" s="24">
        <v>1579.76</v>
      </c>
      <c r="O5" s="23" t="e">
        <f>VLOOKUP(L5,'Ascendus Data'!$D$3:$F$317,3,0)</f>
        <v>#N/A</v>
      </c>
      <c r="P5" s="152"/>
      <c r="R5" s="40">
        <v>7360262</v>
      </c>
      <c r="S5" s="44">
        <v>-60.76</v>
      </c>
      <c r="T5" s="23" t="e">
        <v>#N/A</v>
      </c>
    </row>
    <row r="6" spans="1:20" x14ac:dyDescent="0.35">
      <c r="A6" s="40">
        <v>1008</v>
      </c>
      <c r="B6" s="41">
        <v>45941</v>
      </c>
      <c r="C6" s="23" t="s">
        <v>821</v>
      </c>
      <c r="D6" s="23" t="s">
        <v>624</v>
      </c>
      <c r="E6" s="44"/>
      <c r="F6" s="44">
        <v>5250.8598000000002</v>
      </c>
      <c r="G6" s="44">
        <v>-1261566.8609</v>
      </c>
      <c r="H6" s="44"/>
      <c r="I6" s="75">
        <v>60</v>
      </c>
      <c r="J6" s="44">
        <v>-3378.7422000000001</v>
      </c>
      <c r="L6" s="40">
        <v>1008</v>
      </c>
      <c r="M6" s="24"/>
      <c r="N6" s="24">
        <v>60</v>
      </c>
      <c r="O6" s="23" t="e">
        <f>VLOOKUP(L6,'Ascendus Data'!$D$3:$F$317,3,0)</f>
        <v>#N/A</v>
      </c>
      <c r="P6" s="152"/>
      <c r="R6" s="40">
        <v>246779414731</v>
      </c>
      <c r="S6" s="44">
        <v>90</v>
      </c>
      <c r="T6" s="23" t="e">
        <v>#N/A</v>
      </c>
    </row>
    <row r="7" spans="1:20" x14ac:dyDescent="0.35">
      <c r="A7" s="40">
        <v>7360257</v>
      </c>
      <c r="B7" s="42">
        <v>45904</v>
      </c>
      <c r="C7" s="23" t="s">
        <v>813</v>
      </c>
      <c r="D7" s="23" t="s">
        <v>624</v>
      </c>
      <c r="E7" s="44"/>
      <c r="F7" s="44">
        <v>-2520.8598000000002</v>
      </c>
      <c r="G7" s="44">
        <v>-1108837.9335</v>
      </c>
      <c r="H7" s="44"/>
      <c r="I7" s="75">
        <v>-28.8</v>
      </c>
      <c r="J7" s="44">
        <v>-4450.1742000000004</v>
      </c>
      <c r="L7" s="40">
        <v>7360257</v>
      </c>
      <c r="M7" s="24"/>
      <c r="N7" s="24">
        <v>-87.6</v>
      </c>
      <c r="O7" s="23" t="e">
        <f>VLOOKUP(L7,'Ascendus Data'!$D$3:$F$317,3,0)</f>
        <v>#N/A</v>
      </c>
      <c r="P7" s="152"/>
      <c r="R7" s="40">
        <v>246779414732</v>
      </c>
      <c r="S7" s="44">
        <v>90</v>
      </c>
      <c r="T7" s="23" t="e">
        <v>#N/A</v>
      </c>
    </row>
    <row r="8" spans="1:20" x14ac:dyDescent="0.35">
      <c r="A8" s="40">
        <v>7360257</v>
      </c>
      <c r="B8" s="42">
        <v>45904</v>
      </c>
      <c r="C8" s="23" t="s">
        <v>813</v>
      </c>
      <c r="D8" s="23" t="s">
        <v>624</v>
      </c>
      <c r="E8" s="44"/>
      <c r="F8" s="44">
        <v>-5145.8598000000002</v>
      </c>
      <c r="G8" s="44">
        <v>-1251275.1413</v>
      </c>
      <c r="H8" s="44"/>
      <c r="I8" s="44">
        <v>-58.8</v>
      </c>
      <c r="J8" s="44">
        <v>-4526.7317999999996</v>
      </c>
      <c r="L8" s="40">
        <v>7360258</v>
      </c>
      <c r="M8" s="24"/>
      <c r="N8" s="24">
        <v>-147.6</v>
      </c>
      <c r="O8" s="23" t="e">
        <f>VLOOKUP(L8,'Ascendus Data'!$D$3:$F$317,3,0)</f>
        <v>#N/A</v>
      </c>
      <c r="P8" s="152"/>
      <c r="R8" s="40">
        <v>246779414733</v>
      </c>
      <c r="S8" s="44">
        <v>90</v>
      </c>
      <c r="T8" s="23" t="e">
        <v>#N/A</v>
      </c>
    </row>
    <row r="9" spans="1:20" x14ac:dyDescent="0.35">
      <c r="A9" s="40">
        <v>7360258</v>
      </c>
      <c r="B9" s="42">
        <v>45904</v>
      </c>
      <c r="C9" s="23" t="s">
        <v>813</v>
      </c>
      <c r="D9" s="23" t="s">
        <v>624</v>
      </c>
      <c r="E9" s="44"/>
      <c r="F9" s="44">
        <v>-2520.8598000000002</v>
      </c>
      <c r="G9" s="44">
        <v>-1111358.7933</v>
      </c>
      <c r="H9" s="44"/>
      <c r="I9" s="75">
        <v>-28.8</v>
      </c>
      <c r="J9" s="44">
        <v>-4935.0684000000001</v>
      </c>
      <c r="L9" s="40">
        <v>7360259</v>
      </c>
      <c r="M9" s="24"/>
      <c r="N9" s="24">
        <v>-90.52</v>
      </c>
      <c r="O9" s="23" t="e">
        <f>VLOOKUP(L9,'Ascendus Data'!$D$3:$F$317,3,0)</f>
        <v>#N/A</v>
      </c>
      <c r="P9" s="152"/>
      <c r="R9" s="40">
        <v>246779414734</v>
      </c>
      <c r="S9" s="44">
        <v>90</v>
      </c>
      <c r="T9" s="23" t="e">
        <v>#N/A</v>
      </c>
    </row>
    <row r="10" spans="1:20" x14ac:dyDescent="0.35">
      <c r="A10" s="40">
        <v>7360258</v>
      </c>
      <c r="B10" s="42">
        <v>45904</v>
      </c>
      <c r="C10" s="23" t="s">
        <v>813</v>
      </c>
      <c r="D10" s="23" t="s">
        <v>624</v>
      </c>
      <c r="E10" s="44"/>
      <c r="F10" s="44">
        <v>-5250.8598000000002</v>
      </c>
      <c r="G10" s="44">
        <v>-1256316.0011</v>
      </c>
      <c r="H10" s="44"/>
      <c r="I10" s="75">
        <v>-60</v>
      </c>
      <c r="J10" s="44">
        <v>-4986.7438000000002</v>
      </c>
      <c r="L10" s="40">
        <v>7360262</v>
      </c>
      <c r="M10" s="24"/>
      <c r="N10" s="24">
        <v>-1640.52</v>
      </c>
      <c r="O10" s="23" t="e">
        <f>VLOOKUP(L10,'Ascendus Data'!$D$3:$F$317,3,0)</f>
        <v>#N/A</v>
      </c>
      <c r="P10" s="152"/>
      <c r="R10" s="40">
        <v>256779414888</v>
      </c>
      <c r="S10" s="44">
        <v>10.691800000000001</v>
      </c>
      <c r="T10" s="23" t="e">
        <v>#N/A</v>
      </c>
    </row>
    <row r="11" spans="1:20" x14ac:dyDescent="0.35">
      <c r="A11" s="40">
        <v>7360258</v>
      </c>
      <c r="B11" s="42">
        <v>45904</v>
      </c>
      <c r="C11" s="23" t="s">
        <v>813</v>
      </c>
      <c r="D11" s="23" t="s">
        <v>624</v>
      </c>
      <c r="E11" s="44"/>
      <c r="F11" s="44">
        <v>-5145.8598000000002</v>
      </c>
      <c r="G11" s="44">
        <v>-1256421.0011</v>
      </c>
      <c r="H11" s="44"/>
      <c r="I11" s="44">
        <v>-58.8</v>
      </c>
      <c r="J11" s="44">
        <v>-6705.7438000000002</v>
      </c>
      <c r="L11" s="40">
        <v>7360566</v>
      </c>
      <c r="M11" s="24">
        <v>1752.7655999999999</v>
      </c>
      <c r="N11" s="24"/>
      <c r="O11" s="23" t="e">
        <f>VLOOKUP(L11,'Ascendus Data'!$D$3:$F$317,3,0)</f>
        <v>#N/A</v>
      </c>
      <c r="P11" s="152"/>
      <c r="R11" s="40"/>
      <c r="S11" s="101">
        <f>SUM(S2:S10)</f>
        <v>131.57180000000002</v>
      </c>
      <c r="T11" s="23" t="e">
        <v>#N/A</v>
      </c>
    </row>
    <row r="12" spans="1:20" x14ac:dyDescent="0.35">
      <c r="A12" s="40">
        <v>7360259</v>
      </c>
      <c r="B12" s="42">
        <v>45904</v>
      </c>
      <c r="C12" s="23" t="s">
        <v>813</v>
      </c>
      <c r="D12" s="23" t="s">
        <v>624</v>
      </c>
      <c r="E12" s="44"/>
      <c r="F12" s="44">
        <v>-2604.8885</v>
      </c>
      <c r="G12" s="44">
        <v>-1106233.0449999999</v>
      </c>
      <c r="H12" s="44"/>
      <c r="I12" s="75">
        <v>-29.76</v>
      </c>
      <c r="J12" s="44">
        <v>-6780.2434000000003</v>
      </c>
      <c r="L12" s="40">
        <v>246779410055</v>
      </c>
      <c r="M12" s="24"/>
      <c r="N12" s="24">
        <v>408.33659999999998</v>
      </c>
      <c r="O12" s="23">
        <f>VLOOKUP(L12,'Ascendus Data'!$D$3:$F$317,3,0)</f>
        <v>416.67</v>
      </c>
      <c r="P12" s="152"/>
    </row>
    <row r="13" spans="1:20" x14ac:dyDescent="0.35">
      <c r="A13" s="40">
        <v>7360259</v>
      </c>
      <c r="B13" s="42">
        <v>45904</v>
      </c>
      <c r="C13" s="23" t="s">
        <v>813</v>
      </c>
      <c r="D13" s="23" t="s">
        <v>624</v>
      </c>
      <c r="E13" s="44"/>
      <c r="F13" s="44">
        <v>-5316.8885</v>
      </c>
      <c r="G13" s="44">
        <v>-1245958.2527999999</v>
      </c>
      <c r="H13" s="44"/>
      <c r="I13" s="44">
        <v>-60.76</v>
      </c>
      <c r="J13" s="44">
        <v>-6760.2434000000003</v>
      </c>
      <c r="L13" s="40">
        <v>246779410009</v>
      </c>
      <c r="M13" s="24"/>
      <c r="N13" s="24">
        <v>1071.432</v>
      </c>
      <c r="O13" s="23">
        <f>VLOOKUP(L13,'Ascendus Data'!$D$3:$F$317,3,0)</f>
        <v>1190.48</v>
      </c>
      <c r="P13" s="152"/>
    </row>
    <row r="14" spans="1:20" x14ac:dyDescent="0.35">
      <c r="A14" s="40">
        <v>7360262</v>
      </c>
      <c r="B14" s="42">
        <v>45904</v>
      </c>
      <c r="C14" s="23" t="s">
        <v>813</v>
      </c>
      <c r="D14" s="23" t="s">
        <v>624</v>
      </c>
      <c r="E14" s="44"/>
      <c r="F14" s="44">
        <v>-138252.1</v>
      </c>
      <c r="G14" s="44">
        <v>-967980.94499999995</v>
      </c>
      <c r="H14" s="44"/>
      <c r="I14" s="75">
        <v>-1579.76</v>
      </c>
      <c r="J14" s="44">
        <v>-6809.2434000000003</v>
      </c>
      <c r="L14" s="40">
        <v>246779410029</v>
      </c>
      <c r="M14" s="24"/>
      <c r="N14" s="24">
        <v>1071.432</v>
      </c>
      <c r="O14" s="23">
        <f>VLOOKUP(L14,'Ascendus Data'!$D$3:$F$317,3,0)</f>
        <v>1190.48</v>
      </c>
      <c r="P14" s="152"/>
    </row>
    <row r="15" spans="1:20" x14ac:dyDescent="0.35">
      <c r="A15" s="40">
        <v>7360262</v>
      </c>
      <c r="B15" s="42">
        <v>45904</v>
      </c>
      <c r="C15" s="23" t="s">
        <v>813</v>
      </c>
      <c r="D15" s="23" t="s">
        <v>624</v>
      </c>
      <c r="E15" s="44"/>
      <c r="F15" s="44">
        <v>-5316.8885</v>
      </c>
      <c r="G15" s="44">
        <v>-1261566.8609</v>
      </c>
      <c r="H15" s="44"/>
      <c r="I15" s="44">
        <v>-60.76</v>
      </c>
      <c r="J15" s="44">
        <v>-6861.4381999999996</v>
      </c>
      <c r="L15" s="40">
        <v>246779410077</v>
      </c>
      <c r="M15" s="24"/>
      <c r="N15" s="24">
        <v>408.33659999999998</v>
      </c>
      <c r="O15" s="23">
        <f>VLOOKUP(L15,'Ascendus Data'!$D$3:$F$317,3,0)</f>
        <v>416.67</v>
      </c>
      <c r="P15" s="152"/>
    </row>
    <row r="16" spans="1:20" x14ac:dyDescent="0.35">
      <c r="A16" s="40"/>
      <c r="B16" s="41">
        <v>45959</v>
      </c>
      <c r="C16" s="23" t="s">
        <v>840</v>
      </c>
      <c r="D16" s="23" t="s">
        <v>715</v>
      </c>
      <c r="E16" s="44">
        <v>153004.0963</v>
      </c>
      <c r="F16" s="44"/>
      <c r="G16" s="44">
        <v>-1092954.1565</v>
      </c>
      <c r="H16" s="44">
        <v>1752.7655999999999</v>
      </c>
      <c r="I16" s="44"/>
      <c r="J16" s="44">
        <v>-6917.5627999999997</v>
      </c>
      <c r="L16" s="40">
        <v>246779410097</v>
      </c>
      <c r="M16" s="24"/>
      <c r="N16" s="24">
        <v>1071.432</v>
      </c>
      <c r="O16" s="23">
        <f>VLOOKUP(L16,'Ascendus Data'!$D$3:$F$317,3,0)</f>
        <v>1190.48</v>
      </c>
      <c r="P16" s="152"/>
    </row>
    <row r="17" spans="1:16" x14ac:dyDescent="0.35">
      <c r="A17" s="40">
        <v>246779410009</v>
      </c>
      <c r="B17" s="41">
        <v>45707</v>
      </c>
      <c r="C17" s="23" t="s">
        <v>562</v>
      </c>
      <c r="D17" s="23" t="s">
        <v>563</v>
      </c>
      <c r="E17" s="44"/>
      <c r="F17" s="44">
        <v>91693.278399999996</v>
      </c>
      <c r="G17" s="44">
        <v>-1027809.8356</v>
      </c>
      <c r="H17" s="44"/>
      <c r="I17" s="44">
        <v>1071.432</v>
      </c>
      <c r="J17" s="44">
        <v>-6940.1812</v>
      </c>
      <c r="L17" s="40">
        <v>246779410123</v>
      </c>
      <c r="M17" s="24"/>
      <c r="N17" s="24">
        <v>408.33659999999998</v>
      </c>
      <c r="O17" s="23">
        <f>VLOOKUP(L17,'Ascendus Data'!$D$3:$F$317,3,0)</f>
        <v>416.67</v>
      </c>
      <c r="P17" s="152"/>
    </row>
    <row r="18" spans="1:16" x14ac:dyDescent="0.35">
      <c r="A18" s="40">
        <v>246779410029</v>
      </c>
      <c r="B18" s="41">
        <v>45708</v>
      </c>
      <c r="C18" s="23" t="s">
        <v>562</v>
      </c>
      <c r="D18" s="23" t="s">
        <v>563</v>
      </c>
      <c r="E18" s="44"/>
      <c r="F18" s="44">
        <v>91693.278399999996</v>
      </c>
      <c r="G18" s="44">
        <v>-1575456.345</v>
      </c>
      <c r="H18" s="44"/>
      <c r="I18" s="44">
        <v>1071.432</v>
      </c>
      <c r="J18" s="44">
        <v>-6981.5568000000003</v>
      </c>
      <c r="L18" s="40">
        <v>246779410140</v>
      </c>
      <c r="M18" s="24"/>
      <c r="N18" s="24">
        <v>1071.432</v>
      </c>
      <c r="O18" s="23">
        <f>VLOOKUP(L18,'Ascendus Data'!$D$3:$F$317,3,0)</f>
        <v>1190.48</v>
      </c>
      <c r="P18" s="152"/>
    </row>
    <row r="19" spans="1:16" x14ac:dyDescent="0.35">
      <c r="A19" s="40">
        <v>246779410055</v>
      </c>
      <c r="B19" s="41">
        <v>45708</v>
      </c>
      <c r="C19" s="23" t="s">
        <v>562</v>
      </c>
      <c r="D19" s="23" t="s">
        <v>569</v>
      </c>
      <c r="E19" s="44"/>
      <c r="F19" s="44">
        <v>34945.618600000002</v>
      </c>
      <c r="G19" s="44">
        <v>-1610401.9635999999</v>
      </c>
      <c r="H19" s="44"/>
      <c r="I19" s="44">
        <v>408.33659999999998</v>
      </c>
      <c r="J19" s="44">
        <v>-7070.5995999999996</v>
      </c>
      <c r="L19" s="40">
        <v>246779410166</v>
      </c>
      <c r="M19" s="24"/>
      <c r="N19" s="24">
        <v>408.33659999999998</v>
      </c>
      <c r="O19" s="23">
        <f>VLOOKUP(L19,'Ascendus Data'!$D$3:$F$317,3,0)</f>
        <v>416.67</v>
      </c>
      <c r="P19" s="152"/>
    </row>
    <row r="20" spans="1:16" x14ac:dyDescent="0.35">
      <c r="A20" s="40">
        <v>246779410077</v>
      </c>
      <c r="B20" s="41">
        <v>45708</v>
      </c>
      <c r="C20" s="23" t="s">
        <v>562</v>
      </c>
      <c r="D20" s="23" t="s">
        <v>569</v>
      </c>
      <c r="E20" s="44"/>
      <c r="F20" s="44">
        <v>34945.618600000002</v>
      </c>
      <c r="G20" s="44">
        <v>-1062755.4542</v>
      </c>
      <c r="H20" s="44"/>
      <c r="I20" s="44">
        <v>408.33659999999998</v>
      </c>
      <c r="J20" s="44">
        <v>-7166.0515999999998</v>
      </c>
      <c r="L20" s="40">
        <v>246779410209</v>
      </c>
      <c r="M20" s="24"/>
      <c r="N20" s="24">
        <v>1450.0748000000001</v>
      </c>
      <c r="O20" s="23">
        <f>VLOOKUP(L20,'Ascendus Data'!$D$3:$F$317,3,0)</f>
        <v>408.31</v>
      </c>
      <c r="P20" s="152"/>
    </row>
    <row r="21" spans="1:16" x14ac:dyDescent="0.35">
      <c r="A21" s="40">
        <v>246779410097</v>
      </c>
      <c r="B21" s="41">
        <v>45708</v>
      </c>
      <c r="C21" s="23" t="s">
        <v>562</v>
      </c>
      <c r="D21" s="23" t="s">
        <v>563</v>
      </c>
      <c r="E21" s="44"/>
      <c r="F21" s="44">
        <v>91693.278399999996</v>
      </c>
      <c r="G21" s="44">
        <v>-380845.8922</v>
      </c>
      <c r="H21" s="44"/>
      <c r="I21" s="44">
        <v>1071.432</v>
      </c>
      <c r="J21" s="44">
        <v>-7196.2356</v>
      </c>
      <c r="L21" s="40">
        <v>246779410226</v>
      </c>
      <c r="M21" s="24"/>
      <c r="N21" s="24">
        <v>1028.808</v>
      </c>
      <c r="O21" s="23">
        <f>VLOOKUP(L21,'Ascendus Data'!$D$3:$F$317,3,0)</f>
        <v>1143.1199999999999</v>
      </c>
      <c r="P21" s="152"/>
    </row>
    <row r="22" spans="1:16" x14ac:dyDescent="0.35">
      <c r="A22" s="40">
        <v>246779410123</v>
      </c>
      <c r="B22" s="41">
        <v>45708</v>
      </c>
      <c r="C22" s="23" t="s">
        <v>562</v>
      </c>
      <c r="D22" s="23" t="s">
        <v>569</v>
      </c>
      <c r="E22" s="44"/>
      <c r="F22" s="44">
        <v>34945.618600000002</v>
      </c>
      <c r="G22" s="44">
        <v>-422343.02039999998</v>
      </c>
      <c r="H22" s="44"/>
      <c r="I22" s="44">
        <v>408.33659999999998</v>
      </c>
      <c r="J22" s="44">
        <v>-7203.125</v>
      </c>
      <c r="L22" s="40">
        <v>246779410252</v>
      </c>
      <c r="M22" s="24"/>
      <c r="N22" s="24">
        <v>392.08819999999997</v>
      </c>
      <c r="O22" s="23">
        <f>VLOOKUP(L22,'Ascendus Data'!$D$3:$F$317,3,0)</f>
        <v>400.09</v>
      </c>
      <c r="P22" s="152"/>
    </row>
    <row r="23" spans="1:16" x14ac:dyDescent="0.35">
      <c r="A23" s="40">
        <v>246779410140</v>
      </c>
      <c r="B23" s="41">
        <v>45708</v>
      </c>
      <c r="C23" s="23" t="s">
        <v>562</v>
      </c>
      <c r="D23" s="23" t="s">
        <v>563</v>
      </c>
      <c r="E23" s="44"/>
      <c r="F23" s="44">
        <v>91693.278399999996</v>
      </c>
      <c r="G23" s="44">
        <v>-797615.5638</v>
      </c>
      <c r="H23" s="44"/>
      <c r="I23" s="44">
        <v>1071.432</v>
      </c>
      <c r="J23" s="44">
        <v>-7210.2496000000001</v>
      </c>
      <c r="L23" s="40">
        <v>246779410276</v>
      </c>
      <c r="M23" s="24"/>
      <c r="N23" s="24">
        <v>1071.432</v>
      </c>
      <c r="O23" s="23">
        <f>VLOOKUP(L23,'Ascendus Data'!$D$3:$F$317,3,0)</f>
        <v>1190.48</v>
      </c>
      <c r="P23" s="152"/>
    </row>
    <row r="24" spans="1:16" x14ac:dyDescent="0.35">
      <c r="A24" s="40">
        <v>246779410166</v>
      </c>
      <c r="B24" s="41">
        <v>45708</v>
      </c>
      <c r="C24" s="23" t="s">
        <v>562</v>
      </c>
      <c r="D24" s="23" t="s">
        <v>569</v>
      </c>
      <c r="E24" s="44"/>
      <c r="F24" s="44">
        <v>34945.618600000002</v>
      </c>
      <c r="G24" s="44">
        <v>-705922.28540000005</v>
      </c>
      <c r="H24" s="44"/>
      <c r="I24" s="44">
        <v>408.33659999999998</v>
      </c>
      <c r="J24" s="44">
        <v>-7220.9413999999997</v>
      </c>
      <c r="L24" s="40">
        <v>246779410308</v>
      </c>
      <c r="M24" s="24"/>
      <c r="N24" s="24">
        <v>408.33659999999998</v>
      </c>
      <c r="O24" s="23">
        <f>VLOOKUP(L24,'Ascendus Data'!$D$3:$F$317,3,0)</f>
        <v>416.67</v>
      </c>
      <c r="P24" s="152"/>
    </row>
    <row r="25" spans="1:16" x14ac:dyDescent="0.35">
      <c r="A25" s="40">
        <v>246779410209</v>
      </c>
      <c r="B25" s="42">
        <v>45708</v>
      </c>
      <c r="C25" s="23" t="s">
        <v>562</v>
      </c>
      <c r="D25" s="23" t="s">
        <v>563</v>
      </c>
      <c r="E25" s="44"/>
      <c r="F25" s="44">
        <v>89852.772200000007</v>
      </c>
      <c r="G25" s="44">
        <v>-306344.44140000001</v>
      </c>
      <c r="H25" s="44"/>
      <c r="I25" s="44">
        <v>1049.931</v>
      </c>
      <c r="J25" s="44">
        <v>-7223.4110000000001</v>
      </c>
      <c r="L25" s="40">
        <v>246779410324</v>
      </c>
      <c r="M25" s="24"/>
      <c r="N25" s="24">
        <v>1575</v>
      </c>
      <c r="O25" s="23">
        <f>VLOOKUP(L25,'Ascendus Data'!$D$3:$F$317,3,0)</f>
        <v>1750</v>
      </c>
      <c r="P25" s="152"/>
    </row>
    <row r="26" spans="1:16" x14ac:dyDescent="0.35">
      <c r="A26" s="40">
        <v>246779410209</v>
      </c>
      <c r="B26" s="42">
        <v>45708</v>
      </c>
      <c r="C26" s="23" t="s">
        <v>562</v>
      </c>
      <c r="D26" s="23" t="s">
        <v>569</v>
      </c>
      <c r="E26" s="44"/>
      <c r="F26" s="44">
        <v>34244.169800000003</v>
      </c>
      <c r="G26" s="44">
        <v>-254206.9952</v>
      </c>
      <c r="H26" s="44"/>
      <c r="I26" s="44">
        <v>400.1438</v>
      </c>
      <c r="J26" s="44">
        <v>-7255.1433999999999</v>
      </c>
      <c r="L26" s="40">
        <v>246779410376</v>
      </c>
      <c r="M26" s="24"/>
      <c r="N26" s="24">
        <v>640.21500000000003</v>
      </c>
      <c r="O26" s="23">
        <f>VLOOKUP(L26,'Ascendus Data'!$D$3:$F$317,3,0)</f>
        <v>711.35</v>
      </c>
      <c r="P26" s="152"/>
    </row>
    <row r="27" spans="1:16" x14ac:dyDescent="0.35">
      <c r="A27" s="40">
        <v>246779410226</v>
      </c>
      <c r="B27" s="41">
        <v>45708</v>
      </c>
      <c r="C27" s="23" t="s">
        <v>562</v>
      </c>
      <c r="D27" s="23" t="s">
        <v>563</v>
      </c>
      <c r="E27" s="44"/>
      <c r="F27" s="44">
        <v>88045.209600000002</v>
      </c>
      <c r="G27" s="44">
        <v>-885660.77339999995</v>
      </c>
      <c r="H27" s="44"/>
      <c r="I27" s="44">
        <v>1028.808</v>
      </c>
      <c r="J27" s="44">
        <v>-7298.2633999999998</v>
      </c>
      <c r="L27" s="40">
        <v>246779410401</v>
      </c>
      <c r="M27" s="24"/>
      <c r="N27" s="24">
        <v>1169.0640000000001</v>
      </c>
      <c r="O27" s="23">
        <f>VLOOKUP(L27,'Ascendus Data'!$D$3:$F$317,3,0)</f>
        <v>1298.96</v>
      </c>
      <c r="P27" s="152"/>
    </row>
    <row r="28" spans="1:16" x14ac:dyDescent="0.35">
      <c r="A28" s="40">
        <v>246779410252</v>
      </c>
      <c r="B28" s="41">
        <v>45708</v>
      </c>
      <c r="C28" s="23" t="s">
        <v>562</v>
      </c>
      <c r="D28" s="23" t="s">
        <v>569</v>
      </c>
      <c r="E28" s="44"/>
      <c r="F28" s="44">
        <v>33554.7022</v>
      </c>
      <c r="G28" s="44">
        <v>-670976.66680000001</v>
      </c>
      <c r="H28" s="44"/>
      <c r="I28" s="44">
        <v>392.08819999999997</v>
      </c>
      <c r="J28" s="44">
        <v>-7363.4333999999999</v>
      </c>
      <c r="L28" s="40">
        <v>246779410425</v>
      </c>
      <c r="M28" s="24"/>
      <c r="N28" s="24">
        <v>1518.489</v>
      </c>
      <c r="O28" s="23">
        <f>VLOOKUP(L28,'Ascendus Data'!$D$3:$F$317,3,0)</f>
        <v>1687.21</v>
      </c>
      <c r="P28" s="152"/>
    </row>
    <row r="29" spans="1:16" x14ac:dyDescent="0.35">
      <c r="A29" s="40">
        <v>246779410276</v>
      </c>
      <c r="B29" s="41">
        <v>45708</v>
      </c>
      <c r="C29" s="23" t="s">
        <v>562</v>
      </c>
      <c r="D29" s="23" t="s">
        <v>563</v>
      </c>
      <c r="E29" s="44"/>
      <c r="F29" s="44">
        <v>91693.278399999996</v>
      </c>
      <c r="G29" s="44">
        <v>-216491.6692</v>
      </c>
      <c r="H29" s="44"/>
      <c r="I29" s="44">
        <v>1071.432</v>
      </c>
      <c r="J29" s="44">
        <v>-7408.2586000000001</v>
      </c>
      <c r="L29" s="40">
        <v>246779410871</v>
      </c>
      <c r="M29" s="24"/>
      <c r="N29" s="24">
        <v>38.259</v>
      </c>
      <c r="O29" s="23">
        <f>VLOOKUP(L29,'Ascendus Data'!$D$3:$F$317,3,0)</f>
        <v>42.51</v>
      </c>
      <c r="P29" s="152"/>
    </row>
    <row r="30" spans="1:16" x14ac:dyDescent="0.35">
      <c r="A30" s="40">
        <v>246779410308</v>
      </c>
      <c r="B30" s="42">
        <v>45708</v>
      </c>
      <c r="C30" s="23" t="s">
        <v>562</v>
      </c>
      <c r="D30" s="23" t="s">
        <v>569</v>
      </c>
      <c r="E30" s="44"/>
      <c r="F30" s="44">
        <v>34945.618600000002</v>
      </c>
      <c r="G30" s="44">
        <v>-289152.61379999999</v>
      </c>
      <c r="H30" s="44"/>
      <c r="I30" s="44">
        <v>408.33659999999998</v>
      </c>
      <c r="J30" s="44">
        <v>-7428.2586000000001</v>
      </c>
      <c r="L30" s="40">
        <v>246779410893</v>
      </c>
      <c r="M30" s="24"/>
      <c r="N30" s="24">
        <v>159.46199999999999</v>
      </c>
      <c r="O30" s="23">
        <f>VLOOKUP(L30,'Ascendus Data'!$D$3:$F$317,3,0)</f>
        <v>177.18</v>
      </c>
      <c r="P30" s="152"/>
    </row>
    <row r="31" spans="1:16" x14ac:dyDescent="0.35">
      <c r="A31" s="40">
        <v>246779410324</v>
      </c>
      <c r="B31" s="41">
        <v>45713</v>
      </c>
      <c r="C31" s="23" t="s">
        <v>562</v>
      </c>
      <c r="D31" s="23" t="s">
        <v>577</v>
      </c>
      <c r="E31" s="44"/>
      <c r="F31" s="44">
        <v>134788</v>
      </c>
      <c r="G31" s="44">
        <v>-1754755.3626000001</v>
      </c>
      <c r="H31" s="44"/>
      <c r="I31" s="44">
        <v>1575</v>
      </c>
      <c r="J31" s="44">
        <v>-7448.2586000000001</v>
      </c>
      <c r="L31" s="40">
        <v>246779411279</v>
      </c>
      <c r="M31" s="24"/>
      <c r="N31" s="24">
        <v>34.299999999999997</v>
      </c>
      <c r="O31" s="23">
        <f>VLOOKUP(L31,'Ascendus Data'!$D$3:$F$317,3,0)</f>
        <v>35</v>
      </c>
      <c r="P31" s="152"/>
    </row>
    <row r="32" spans="1:16" x14ac:dyDescent="0.35">
      <c r="A32" s="40">
        <v>246779410376</v>
      </c>
      <c r="B32" s="41">
        <v>45719</v>
      </c>
      <c r="C32" s="23" t="s">
        <v>562</v>
      </c>
      <c r="D32" s="23" t="s">
        <v>563</v>
      </c>
      <c r="E32" s="44"/>
      <c r="F32" s="44">
        <v>54789.332999999999</v>
      </c>
      <c r="G32" s="44">
        <v>-2137275.4164</v>
      </c>
      <c r="H32" s="44"/>
      <c r="I32" s="44">
        <v>640.21500000000003</v>
      </c>
      <c r="J32" s="44">
        <v>-7840.3468000000003</v>
      </c>
      <c r="L32" s="40">
        <v>246779411301</v>
      </c>
      <c r="M32" s="24"/>
      <c r="N32" s="24">
        <v>83.3</v>
      </c>
      <c r="O32" s="23">
        <f>VLOOKUP(L32,'Ascendus Data'!$D$3:$F$317,3,0)</f>
        <v>85</v>
      </c>
      <c r="P32" s="152"/>
    </row>
    <row r="33" spans="1:16" x14ac:dyDescent="0.35">
      <c r="A33" s="40">
        <v>246779410401</v>
      </c>
      <c r="B33" s="41">
        <v>45719</v>
      </c>
      <c r="C33" s="23" t="s">
        <v>562</v>
      </c>
      <c r="D33" s="23" t="s">
        <v>563</v>
      </c>
      <c r="E33" s="44"/>
      <c r="F33" s="44">
        <v>100048.99679999999</v>
      </c>
      <c r="G33" s="44">
        <v>-2082486.0833999999</v>
      </c>
      <c r="H33" s="44"/>
      <c r="I33" s="44">
        <v>1169.0640000000001</v>
      </c>
      <c r="J33" s="44">
        <v>-8248.6833999999999</v>
      </c>
      <c r="L33" s="40">
        <v>246779411315</v>
      </c>
      <c r="M33" s="24"/>
      <c r="N33" s="24">
        <v>34.299999999999997</v>
      </c>
      <c r="O33" s="23">
        <f>VLOOKUP(L33,'Ascendus Data'!$D$3:$F$317,3,0)</f>
        <v>35</v>
      </c>
      <c r="P33" s="152"/>
    </row>
    <row r="34" spans="1:16" x14ac:dyDescent="0.35">
      <c r="A34" s="40">
        <v>246779410425</v>
      </c>
      <c r="B34" s="41">
        <v>45719</v>
      </c>
      <c r="C34" s="23" t="s">
        <v>562</v>
      </c>
      <c r="D34" s="23" t="s">
        <v>563</v>
      </c>
      <c r="E34" s="44"/>
      <c r="F34" s="44">
        <v>129952.43180000001</v>
      </c>
      <c r="G34" s="44">
        <v>-1982437.0866</v>
      </c>
      <c r="H34" s="44"/>
      <c r="I34" s="44">
        <v>1518.489</v>
      </c>
      <c r="J34" s="44">
        <v>-9320.1154000000006</v>
      </c>
      <c r="L34" s="40">
        <v>246779411449</v>
      </c>
      <c r="M34" s="24"/>
      <c r="N34" s="24">
        <v>926.83500000000004</v>
      </c>
      <c r="O34" s="23">
        <f>VLOOKUP(L34,'Ascendus Data'!$D$3:$F$317,3,0)</f>
        <v>945.75</v>
      </c>
      <c r="P34" s="152"/>
    </row>
    <row r="35" spans="1:16" x14ac:dyDescent="0.35">
      <c r="A35" s="40">
        <v>246779410871</v>
      </c>
      <c r="B35" s="42">
        <v>45722</v>
      </c>
      <c r="C35" s="23" t="s">
        <v>562</v>
      </c>
      <c r="D35" s="23" t="s">
        <v>563</v>
      </c>
      <c r="E35" s="44"/>
      <c r="F35" s="44">
        <v>3274.0057999999999</v>
      </c>
      <c r="G35" s="44">
        <v>-1778306.5318</v>
      </c>
      <c r="H35" s="44"/>
      <c r="I35" s="44">
        <v>38.259</v>
      </c>
      <c r="J35" s="44">
        <v>-10348.9234</v>
      </c>
      <c r="L35" s="40">
        <v>246779411515</v>
      </c>
      <c r="M35" s="24"/>
      <c r="N35" s="24">
        <v>98</v>
      </c>
      <c r="O35" s="23">
        <f>VLOOKUP(L35,'Ascendus Data'!$D$3:$F$317,3,0)</f>
        <v>100</v>
      </c>
      <c r="P35" s="152"/>
    </row>
    <row r="36" spans="1:16" x14ac:dyDescent="0.35">
      <c r="A36" s="40">
        <v>246779410871</v>
      </c>
      <c r="B36" s="42">
        <v>45821</v>
      </c>
      <c r="C36" s="23" t="s">
        <v>697</v>
      </c>
      <c r="D36" s="23" t="s">
        <v>691</v>
      </c>
      <c r="E36" s="44">
        <v>290.90440000000001</v>
      </c>
      <c r="F36" s="44"/>
      <c r="G36" s="44">
        <v>-675841.2108</v>
      </c>
      <c r="H36" s="44">
        <v>3.4007999999999998</v>
      </c>
      <c r="I36" s="44"/>
      <c r="J36" s="44">
        <v>-10858.69</v>
      </c>
      <c r="L36" s="40">
        <v>246779411621</v>
      </c>
      <c r="M36" s="24"/>
      <c r="N36" s="24">
        <v>435.1592</v>
      </c>
      <c r="O36" s="23">
        <f>VLOOKUP(L36,'Ascendus Data'!$D$3:$F$317,3,0)</f>
        <v>444.04</v>
      </c>
      <c r="P36" s="152"/>
    </row>
    <row r="37" spans="1:16" x14ac:dyDescent="0.35">
      <c r="A37" s="40">
        <v>246779410893</v>
      </c>
      <c r="B37" s="41">
        <v>45722</v>
      </c>
      <c r="C37" s="23" t="s">
        <v>562</v>
      </c>
      <c r="D37" s="23" t="s">
        <v>563</v>
      </c>
      <c r="E37" s="44"/>
      <c r="F37" s="44">
        <v>13647.064399999999</v>
      </c>
      <c r="G37" s="44">
        <v>-1775032.5260000001</v>
      </c>
      <c r="H37" s="44"/>
      <c r="I37" s="44">
        <v>159.46199999999999</v>
      </c>
      <c r="J37" s="44">
        <v>-10863.002</v>
      </c>
      <c r="L37" s="40">
        <v>246779411760</v>
      </c>
      <c r="M37" s="24"/>
      <c r="N37" s="24">
        <v>509.76659999999998</v>
      </c>
      <c r="O37" s="23">
        <f>VLOOKUP(L37,'Ascendus Data'!$D$3:$F$317,3,0)</f>
        <v>520.16999999999996</v>
      </c>
      <c r="P37" s="152"/>
    </row>
    <row r="38" spans="1:16" x14ac:dyDescent="0.35">
      <c r="A38" s="40">
        <v>246779411279</v>
      </c>
      <c r="B38" s="41">
        <v>45729</v>
      </c>
      <c r="C38" s="23" t="s">
        <v>562</v>
      </c>
      <c r="D38" s="23" t="s">
        <v>573</v>
      </c>
      <c r="E38" s="44"/>
      <c r="F38" s="44">
        <v>2935.3</v>
      </c>
      <c r="G38" s="44">
        <v>-1613337.2635999999</v>
      </c>
      <c r="H38" s="44"/>
      <c r="I38" s="44">
        <v>34.299999999999997</v>
      </c>
      <c r="J38" s="44">
        <v>-10938.501200000001</v>
      </c>
      <c r="L38" s="40">
        <v>246779411937</v>
      </c>
      <c r="M38" s="24"/>
      <c r="N38" s="24">
        <v>7.1246</v>
      </c>
      <c r="O38" s="23">
        <f>VLOOKUP(L38,'Ascendus Data'!$D$3:$F$317,3,0)</f>
        <v>7.27</v>
      </c>
      <c r="P38" s="152"/>
    </row>
    <row r="39" spans="1:16" x14ac:dyDescent="0.35">
      <c r="A39" s="40">
        <v>246779411301</v>
      </c>
      <c r="B39" s="41">
        <v>45729</v>
      </c>
      <c r="C39" s="23" t="s">
        <v>562</v>
      </c>
      <c r="D39" s="23" t="s">
        <v>573</v>
      </c>
      <c r="E39" s="44"/>
      <c r="F39" s="44">
        <v>7129.3</v>
      </c>
      <c r="G39" s="44">
        <v>-1329744.3936000001</v>
      </c>
      <c r="H39" s="44"/>
      <c r="I39" s="44">
        <v>83.3</v>
      </c>
      <c r="J39" s="44">
        <v>-12009.933199999999</v>
      </c>
      <c r="L39" s="40">
        <v>246779411938</v>
      </c>
      <c r="M39" s="24"/>
      <c r="N39" s="24">
        <v>52.194800000000001</v>
      </c>
      <c r="O39" s="23">
        <f>VLOOKUP(L39,'Ascendus Data'!$D$3:$F$317,3,0)</f>
        <v>53.26</v>
      </c>
      <c r="P39" s="152"/>
    </row>
    <row r="40" spans="1:16" x14ac:dyDescent="0.35">
      <c r="A40" s="40">
        <v>246779411315</v>
      </c>
      <c r="B40" s="41">
        <v>45729</v>
      </c>
      <c r="C40" s="23" t="s">
        <v>562</v>
      </c>
      <c r="D40" s="23" t="s">
        <v>573</v>
      </c>
      <c r="E40" s="44"/>
      <c r="F40" s="44">
        <v>2935.3</v>
      </c>
      <c r="G40" s="44">
        <v>-1332679.6936000001</v>
      </c>
      <c r="H40" s="44"/>
      <c r="I40" s="44">
        <v>34.299999999999997</v>
      </c>
      <c r="J40" s="44">
        <v>-12418.2698</v>
      </c>
      <c r="L40" s="40">
        <v>246779411939</v>
      </c>
      <c r="M40" s="24"/>
      <c r="N40" s="24">
        <v>22.618400000000001</v>
      </c>
      <c r="O40" s="23">
        <f>VLOOKUP(L40,'Ascendus Data'!$D$3:$F$317,3,0)</f>
        <v>23.08</v>
      </c>
      <c r="P40" s="152"/>
    </row>
    <row r="41" spans="1:16" x14ac:dyDescent="0.35">
      <c r="A41" s="40">
        <v>246779411449</v>
      </c>
      <c r="B41" s="41">
        <v>45730</v>
      </c>
      <c r="C41" s="23" t="s">
        <v>562</v>
      </c>
      <c r="D41" s="23" t="s">
        <v>573</v>
      </c>
      <c r="E41" s="44"/>
      <c r="F41" s="44">
        <v>79318.285000000003</v>
      </c>
      <c r="G41" s="44">
        <v>-1142073.7392</v>
      </c>
      <c r="H41" s="44"/>
      <c r="I41" s="44">
        <v>926.83500000000004</v>
      </c>
      <c r="J41" s="44">
        <v>-13345.104799999999</v>
      </c>
      <c r="L41" s="40">
        <v>246779411940</v>
      </c>
      <c r="M41" s="24"/>
      <c r="N41" s="24">
        <v>51.675400000000003</v>
      </c>
      <c r="O41" s="23">
        <f>VLOOKUP(L41,'Ascendus Data'!$D$3:$F$317,3,0)</f>
        <v>52.73</v>
      </c>
      <c r="P41" s="152"/>
    </row>
    <row r="42" spans="1:16" x14ac:dyDescent="0.35">
      <c r="A42" s="40">
        <v>246779411515</v>
      </c>
      <c r="B42" s="41">
        <v>45730</v>
      </c>
      <c r="C42" s="23" t="s">
        <v>562</v>
      </c>
      <c r="D42" s="23" t="s">
        <v>573</v>
      </c>
      <c r="E42" s="44"/>
      <c r="F42" s="44">
        <v>8387</v>
      </c>
      <c r="G42" s="44">
        <v>-1815791.5127999999</v>
      </c>
      <c r="H42" s="44"/>
      <c r="I42" s="44">
        <v>98</v>
      </c>
      <c r="J42" s="44">
        <v>-14271.9398</v>
      </c>
      <c r="L42" s="40">
        <v>246779411941</v>
      </c>
      <c r="M42" s="24"/>
      <c r="N42" s="24">
        <v>74.499600000000001</v>
      </c>
      <c r="O42" s="23">
        <f>VLOOKUP(L42,'Ascendus Data'!$D$3:$F$317,3,0)</f>
        <v>76.02</v>
      </c>
      <c r="P42" s="152"/>
    </row>
    <row r="43" spans="1:16" x14ac:dyDescent="0.35">
      <c r="A43" s="40">
        <v>246779411621</v>
      </c>
      <c r="B43" s="41">
        <v>45733</v>
      </c>
      <c r="C43" s="23" t="s">
        <v>562</v>
      </c>
      <c r="D43" s="23" t="s">
        <v>573</v>
      </c>
      <c r="E43" s="44"/>
      <c r="F43" s="44">
        <v>37240.943200000002</v>
      </c>
      <c r="G43" s="44">
        <v>-1322615.0936</v>
      </c>
      <c r="H43" s="44"/>
      <c r="I43" s="44">
        <v>435.1592</v>
      </c>
      <c r="J43" s="44">
        <v>-14464.7842</v>
      </c>
      <c r="L43" s="40">
        <v>246779412066</v>
      </c>
      <c r="M43" s="24"/>
      <c r="N43" s="24">
        <v>65.17</v>
      </c>
      <c r="O43" s="23">
        <f>VLOOKUP(L43,'Ascendus Data'!$D$3:$F$317,3,0)</f>
        <v>66.5</v>
      </c>
      <c r="P43" s="152"/>
    </row>
    <row r="44" spans="1:16" x14ac:dyDescent="0.35">
      <c r="A44" s="40">
        <v>246779411760</v>
      </c>
      <c r="B44" s="41">
        <v>45733</v>
      </c>
      <c r="C44" s="23" t="s">
        <v>562</v>
      </c>
      <c r="D44" s="23" t="s">
        <v>573</v>
      </c>
      <c r="E44" s="44"/>
      <c r="F44" s="44">
        <v>43626.1486</v>
      </c>
      <c r="G44" s="44">
        <v>-929286.92200000002</v>
      </c>
      <c r="H44" s="44"/>
      <c r="I44" s="44">
        <v>509.76659999999998</v>
      </c>
      <c r="J44" s="44">
        <v>-15019.572</v>
      </c>
      <c r="L44" s="40">
        <v>246779412116</v>
      </c>
      <c r="M44" s="24"/>
      <c r="N44" s="24">
        <v>98</v>
      </c>
      <c r="O44" s="23">
        <f>VLOOKUP(L44,'Ascendus Data'!$D$3:$F$317,3,0)</f>
        <v>100</v>
      </c>
      <c r="P44" s="152"/>
    </row>
    <row r="45" spans="1:16" x14ac:dyDescent="0.35">
      <c r="A45" s="40">
        <v>246779411937</v>
      </c>
      <c r="B45" s="41">
        <v>45733</v>
      </c>
      <c r="C45" s="23" t="s">
        <v>562</v>
      </c>
      <c r="D45" s="23" t="s">
        <v>573</v>
      </c>
      <c r="E45" s="44"/>
      <c r="F45" s="44">
        <v>610.16660000000002</v>
      </c>
      <c r="G45" s="44">
        <v>-592005.00280000002</v>
      </c>
      <c r="H45" s="44"/>
      <c r="I45" s="44">
        <v>7.1246</v>
      </c>
      <c r="J45" s="44">
        <v>-15454.7312</v>
      </c>
      <c r="L45" s="40">
        <v>246779412119</v>
      </c>
      <c r="M45" s="24"/>
      <c r="N45" s="24">
        <v>98</v>
      </c>
      <c r="O45" s="23">
        <f>VLOOKUP(L45,'Ascendus Data'!$D$3:$F$317,3,0)</f>
        <v>100</v>
      </c>
      <c r="P45" s="152"/>
    </row>
    <row r="46" spans="1:16" x14ac:dyDescent="0.35">
      <c r="A46" s="40">
        <v>246779411938</v>
      </c>
      <c r="B46" s="41">
        <v>45733</v>
      </c>
      <c r="C46" s="23" t="s">
        <v>562</v>
      </c>
      <c r="D46" s="23" t="s">
        <v>573</v>
      </c>
      <c r="E46" s="44"/>
      <c r="F46" s="44">
        <v>4466.9907999999996</v>
      </c>
      <c r="G46" s="44">
        <v>-587201.83620000002</v>
      </c>
      <c r="H46" s="44"/>
      <c r="I46" s="44">
        <v>52.194800000000001</v>
      </c>
      <c r="J46" s="44">
        <v>-15538.031199999999</v>
      </c>
      <c r="L46" s="40">
        <v>246779412121</v>
      </c>
      <c r="M46" s="24"/>
      <c r="N46" s="24">
        <v>98</v>
      </c>
      <c r="O46" s="23">
        <f>VLOOKUP(L46,'Ascendus Data'!$D$3:$F$317,3,0)</f>
        <v>100</v>
      </c>
      <c r="P46" s="152"/>
    </row>
    <row r="47" spans="1:16" x14ac:dyDescent="0.35">
      <c r="A47" s="40">
        <v>246779411939</v>
      </c>
      <c r="B47" s="41">
        <v>45733</v>
      </c>
      <c r="C47" s="23" t="s">
        <v>562</v>
      </c>
      <c r="D47" s="23" t="s">
        <v>573</v>
      </c>
      <c r="E47" s="44"/>
      <c r="F47" s="44">
        <v>1935.1864</v>
      </c>
      <c r="G47" s="44">
        <v>-593940.18920000002</v>
      </c>
      <c r="H47" s="44"/>
      <c r="I47" s="44">
        <v>22.618400000000001</v>
      </c>
      <c r="J47" s="44">
        <v>-15572.331200000001</v>
      </c>
      <c r="L47" s="40">
        <v>246779412238</v>
      </c>
      <c r="M47" s="24"/>
      <c r="N47" s="24">
        <v>0</v>
      </c>
      <c r="O47" s="23">
        <f>VLOOKUP(L47,'Ascendus Data'!$D$3:$F$317,3,0)</f>
        <v>945.75</v>
      </c>
      <c r="P47" s="152"/>
    </row>
    <row r="48" spans="1:16" x14ac:dyDescent="0.35">
      <c r="A48" s="40">
        <v>246779411940</v>
      </c>
      <c r="B48" s="41">
        <v>45733</v>
      </c>
      <c r="C48" s="23" t="s">
        <v>562</v>
      </c>
      <c r="D48" s="23" t="s">
        <v>573</v>
      </c>
      <c r="E48" s="44"/>
      <c r="F48" s="44">
        <v>4422.6333999999997</v>
      </c>
      <c r="G48" s="44">
        <v>-426765.65379999997</v>
      </c>
      <c r="H48" s="44"/>
      <c r="I48" s="44">
        <v>51.675400000000003</v>
      </c>
      <c r="J48" s="44">
        <v>-15621.331200000001</v>
      </c>
      <c r="L48" s="40">
        <v>246779412981</v>
      </c>
      <c r="M48" s="24"/>
      <c r="N48" s="24">
        <v>1033.7670000000001</v>
      </c>
      <c r="O48" s="23">
        <f>VLOOKUP(L48,'Ascendus Data'!$D$3:$F$317,3,0)</f>
        <v>1148.6300000000001</v>
      </c>
      <c r="P48" s="152"/>
    </row>
    <row r="49" spans="1:16" x14ac:dyDescent="0.35">
      <c r="A49" s="40">
        <v>246779411941</v>
      </c>
      <c r="B49" s="41">
        <v>45733</v>
      </c>
      <c r="C49" s="23" t="s">
        <v>562</v>
      </c>
      <c r="D49" s="23" t="s">
        <v>573</v>
      </c>
      <c r="E49" s="44"/>
      <c r="F49" s="44">
        <v>6375.7915999999996</v>
      </c>
      <c r="G49" s="44">
        <v>-580253.44539999997</v>
      </c>
      <c r="H49" s="44"/>
      <c r="I49" s="44">
        <v>74.499600000000001</v>
      </c>
      <c r="J49" s="44">
        <v>-15638.7462</v>
      </c>
      <c r="L49" s="40">
        <v>246779413016</v>
      </c>
      <c r="M49" s="24"/>
      <c r="N49" s="24">
        <v>361.81799999999998</v>
      </c>
      <c r="O49" s="23">
        <f>VLOOKUP(L49,'Ascendus Data'!$D$3:$F$317,3,0)</f>
        <v>402.02</v>
      </c>
      <c r="P49" s="152"/>
    </row>
    <row r="50" spans="1:16" x14ac:dyDescent="0.35">
      <c r="A50" s="40">
        <v>246779412066</v>
      </c>
      <c r="B50" s="41">
        <v>45733</v>
      </c>
      <c r="C50" s="23" t="s">
        <v>562</v>
      </c>
      <c r="D50" s="23" t="s">
        <v>573</v>
      </c>
      <c r="E50" s="44"/>
      <c r="F50" s="44">
        <v>5577.07</v>
      </c>
      <c r="G50" s="44">
        <v>-630162.33539999998</v>
      </c>
      <c r="H50" s="44"/>
      <c r="I50" s="44">
        <v>65.17</v>
      </c>
      <c r="J50" s="44">
        <v>-17210.746200000001</v>
      </c>
      <c r="L50" s="40">
        <v>246779413089</v>
      </c>
      <c r="M50" s="24"/>
      <c r="N50" s="24">
        <v>77.468999999999994</v>
      </c>
      <c r="O50" s="23">
        <f>VLOOKUP(L50,'Ascendus Data'!$D$3:$F$317,3,0)</f>
        <v>79.05</v>
      </c>
      <c r="P50" s="152"/>
    </row>
    <row r="51" spans="1:16" x14ac:dyDescent="0.35">
      <c r="A51" s="40">
        <v>246779412116</v>
      </c>
      <c r="B51" s="41">
        <v>45733</v>
      </c>
      <c r="C51" s="23" t="s">
        <v>562</v>
      </c>
      <c r="D51" s="23" t="s">
        <v>573</v>
      </c>
      <c r="E51" s="44"/>
      <c r="F51" s="44">
        <v>8387</v>
      </c>
      <c r="G51" s="44">
        <v>-1807404.5127999999</v>
      </c>
      <c r="H51" s="44"/>
      <c r="I51" s="44">
        <v>98</v>
      </c>
      <c r="J51" s="44">
        <v>-17190.746200000001</v>
      </c>
      <c r="L51" s="40">
        <v>246779413214</v>
      </c>
      <c r="M51" s="24"/>
      <c r="N51" s="24">
        <v>76.557599999999994</v>
      </c>
      <c r="O51" s="23">
        <f>VLOOKUP(L51,'Ascendus Data'!$D$3:$F$317,3,0)</f>
        <v>78.12</v>
      </c>
      <c r="P51" s="152"/>
    </row>
    <row r="52" spans="1:16" x14ac:dyDescent="0.35">
      <c r="A52" s="40">
        <v>246779412119</v>
      </c>
      <c r="B52" s="41">
        <v>45733</v>
      </c>
      <c r="C52" s="23" t="s">
        <v>562</v>
      </c>
      <c r="D52" s="23" t="s">
        <v>573</v>
      </c>
      <c r="E52" s="44"/>
      <c r="F52" s="44">
        <v>8387</v>
      </c>
      <c r="G52" s="44">
        <v>-1780063.4328000001</v>
      </c>
      <c r="H52" s="44"/>
      <c r="I52" s="44">
        <v>98</v>
      </c>
      <c r="J52" s="44">
        <v>-17337.746200000001</v>
      </c>
      <c r="L52" s="40">
        <v>246779413797</v>
      </c>
      <c r="M52" s="24"/>
      <c r="N52" s="24">
        <v>1719</v>
      </c>
      <c r="O52" s="23">
        <f>VLOOKUP(L52,'Ascendus Data'!$D$3:$F$317,3,0)</f>
        <v>1750</v>
      </c>
      <c r="P52" s="152"/>
    </row>
    <row r="53" spans="1:16" x14ac:dyDescent="0.35">
      <c r="A53" s="40">
        <v>246779412121</v>
      </c>
      <c r="B53" s="41">
        <v>45733</v>
      </c>
      <c r="C53" s="23" t="s">
        <v>562</v>
      </c>
      <c r="D53" s="23" t="s">
        <v>573</v>
      </c>
      <c r="E53" s="44"/>
      <c r="F53" s="44">
        <v>8387</v>
      </c>
      <c r="G53" s="44">
        <v>-1799017.5127999999</v>
      </c>
      <c r="H53" s="44"/>
      <c r="I53" s="44">
        <v>98</v>
      </c>
      <c r="J53" s="44">
        <v>-18409.178199999998</v>
      </c>
      <c r="L53" s="40">
        <v>246779413808</v>
      </c>
      <c r="M53" s="24"/>
      <c r="N53" s="24">
        <v>1572</v>
      </c>
      <c r="O53" s="23">
        <f>VLOOKUP(L53,'Ascendus Data'!$D$3:$F$317,3,0)</f>
        <v>1600</v>
      </c>
      <c r="P53" s="152"/>
    </row>
    <row r="54" spans="1:16" x14ac:dyDescent="0.35">
      <c r="A54" s="40">
        <v>246779412238</v>
      </c>
      <c r="B54" s="42">
        <v>45730</v>
      </c>
      <c r="C54" s="23" t="s">
        <v>562</v>
      </c>
      <c r="D54" s="23" t="s">
        <v>573</v>
      </c>
      <c r="E54" s="44"/>
      <c r="F54" s="44">
        <v>79318.285000000003</v>
      </c>
      <c r="G54" s="44">
        <v>-1221392.0242000001</v>
      </c>
      <c r="H54" s="44"/>
      <c r="I54" s="44">
        <v>926.83500000000004</v>
      </c>
      <c r="J54" s="44">
        <v>-18817.514800000001</v>
      </c>
      <c r="L54" s="40">
        <v>246779413817</v>
      </c>
      <c r="M54" s="24"/>
      <c r="N54" s="24">
        <v>49</v>
      </c>
      <c r="O54" s="23">
        <f>VLOOKUP(L54,'Ascendus Data'!$D$3:$F$317,3,0)</f>
        <v>50</v>
      </c>
      <c r="P54" s="152"/>
    </row>
    <row r="55" spans="1:16" x14ac:dyDescent="0.35">
      <c r="A55" s="46">
        <v>246779412238</v>
      </c>
      <c r="B55" s="42">
        <v>45747</v>
      </c>
      <c r="C55" s="23" t="s">
        <v>641</v>
      </c>
      <c r="D55" s="23" t="s">
        <v>573</v>
      </c>
      <c r="E55" s="44"/>
      <c r="F55" s="44">
        <v>-79318.285000000003</v>
      </c>
      <c r="G55" s="44">
        <v>-1855753.6947999999</v>
      </c>
      <c r="H55" s="44"/>
      <c r="I55" s="44">
        <v>-926.83500000000004</v>
      </c>
      <c r="J55" s="44">
        <v>-18851.8148</v>
      </c>
      <c r="L55" s="40">
        <v>246779413828</v>
      </c>
      <c r="M55" s="24"/>
      <c r="N55" s="24">
        <v>49</v>
      </c>
      <c r="O55" s="23">
        <f>VLOOKUP(L55,'Ascendus Data'!$D$3:$F$317,3,0)</f>
        <v>50</v>
      </c>
      <c r="P55" s="152"/>
    </row>
    <row r="56" spans="1:16" x14ac:dyDescent="0.35">
      <c r="A56" s="40">
        <v>246779412981</v>
      </c>
      <c r="B56" s="42">
        <v>45735</v>
      </c>
      <c r="C56" s="23" t="s">
        <v>562</v>
      </c>
      <c r="D56" s="23" t="s">
        <v>563</v>
      </c>
      <c r="E56" s="44"/>
      <c r="F56" s="44">
        <v>88469.755399999995</v>
      </c>
      <c r="G56" s="44">
        <v>-1944223.4502000001</v>
      </c>
      <c r="H56" s="44"/>
      <c r="I56" s="44">
        <v>1033.7670000000001</v>
      </c>
      <c r="J56" s="44">
        <v>-18929.283800000001</v>
      </c>
      <c r="L56" s="40">
        <v>246779413905</v>
      </c>
      <c r="M56" s="24"/>
      <c r="N56" s="24">
        <v>4.3120000000000003</v>
      </c>
      <c r="O56" s="23">
        <f>VLOOKUP(L56,'Ascendus Data'!$D$3:$F$317,3,0)</f>
        <v>4.4000000000000004</v>
      </c>
      <c r="P56" s="152"/>
    </row>
    <row r="57" spans="1:16" x14ac:dyDescent="0.35">
      <c r="A57" s="40">
        <v>246779413016</v>
      </c>
      <c r="B57" s="41">
        <v>45735</v>
      </c>
      <c r="C57" s="23" t="s">
        <v>562</v>
      </c>
      <c r="D57" s="23" t="s">
        <v>563</v>
      </c>
      <c r="E57" s="44"/>
      <c r="F57" s="44">
        <v>30964.871599999999</v>
      </c>
      <c r="G57" s="44">
        <v>-1935071.9798000001</v>
      </c>
      <c r="H57" s="44"/>
      <c r="I57" s="44">
        <v>361.81799999999998</v>
      </c>
      <c r="J57" s="44">
        <v>-20504.283800000001</v>
      </c>
      <c r="L57" s="40">
        <v>246779414143</v>
      </c>
      <c r="M57" s="24"/>
      <c r="N57" s="24">
        <v>554.78779999999995</v>
      </c>
      <c r="O57" s="23">
        <f>VLOOKUP(L57,'Ascendus Data'!$D$3:$F$317,3,0)</f>
        <v>566.11</v>
      </c>
      <c r="P57" s="152"/>
    </row>
    <row r="58" spans="1:16" x14ac:dyDescent="0.35">
      <c r="A58" s="40">
        <v>246779413089</v>
      </c>
      <c r="B58" s="42">
        <v>45735</v>
      </c>
      <c r="C58" s="23" t="s">
        <v>562</v>
      </c>
      <c r="D58" s="23" t="s">
        <v>573</v>
      </c>
      <c r="E58" s="44"/>
      <c r="F58" s="44">
        <v>6630.0990000000002</v>
      </c>
      <c r="G58" s="44">
        <v>-1619967.3626000001</v>
      </c>
      <c r="H58" s="44"/>
      <c r="I58" s="44">
        <v>77.468999999999994</v>
      </c>
      <c r="J58" s="44">
        <v>-20741.214800000002</v>
      </c>
      <c r="L58" s="40">
        <v>246779414144</v>
      </c>
      <c r="M58" s="24"/>
      <c r="N58" s="24">
        <v>123.48</v>
      </c>
      <c r="O58" s="23">
        <f>VLOOKUP(L58,'Ascendus Data'!$D$3:$F$317,3,0)</f>
        <v>126</v>
      </c>
      <c r="P58" s="152"/>
    </row>
    <row r="59" spans="1:16" x14ac:dyDescent="0.35">
      <c r="A59" s="40">
        <v>246779413214</v>
      </c>
      <c r="B59" s="41">
        <v>45735</v>
      </c>
      <c r="C59" s="23" t="s">
        <v>562</v>
      </c>
      <c r="D59" s="23" t="s">
        <v>573</v>
      </c>
      <c r="E59" s="44"/>
      <c r="F59" s="44">
        <v>6551.5096000000003</v>
      </c>
      <c r="G59" s="44">
        <v>-387397.40179999999</v>
      </c>
      <c r="H59" s="44"/>
      <c r="I59" s="44">
        <v>76.557599999999994</v>
      </c>
      <c r="J59" s="44">
        <v>-20779.4738</v>
      </c>
      <c r="L59" s="40">
        <v>246779414145</v>
      </c>
      <c r="M59" s="24"/>
      <c r="N59" s="24">
        <v>147</v>
      </c>
      <c r="O59" s="23">
        <f>VLOOKUP(L59,'Ascendus Data'!$D$3:$F$317,3,0)</f>
        <v>150</v>
      </c>
      <c r="P59" s="152"/>
    </row>
    <row r="60" spans="1:16" x14ac:dyDescent="0.35">
      <c r="A60" s="40">
        <v>246779413797</v>
      </c>
      <c r="B60" s="41">
        <v>45736</v>
      </c>
      <c r="C60" s="23" t="s">
        <v>562</v>
      </c>
      <c r="D60" s="23" t="s">
        <v>577</v>
      </c>
      <c r="E60" s="44"/>
      <c r="F60" s="44">
        <v>147112</v>
      </c>
      <c r="G60" s="44">
        <v>-573877.65379999997</v>
      </c>
      <c r="H60" s="44"/>
      <c r="I60" s="44">
        <v>1719</v>
      </c>
      <c r="J60" s="44">
        <v>-20800.004799999999</v>
      </c>
      <c r="L60" s="40">
        <v>246779414146</v>
      </c>
      <c r="M60" s="24"/>
      <c r="N60" s="24">
        <v>17.414999999999999</v>
      </c>
      <c r="O60" s="23">
        <f>VLOOKUP(L60,'Ascendus Data'!$D$3:$F$317,3,0)</f>
        <v>19.350000000000001</v>
      </c>
      <c r="P60" s="152"/>
    </row>
    <row r="61" spans="1:16" x14ac:dyDescent="0.35">
      <c r="A61" s="40">
        <v>246779413808</v>
      </c>
      <c r="B61" s="41">
        <v>45736</v>
      </c>
      <c r="C61" s="23" t="s">
        <v>562</v>
      </c>
      <c r="D61" s="23" t="s">
        <v>577</v>
      </c>
      <c r="E61" s="44"/>
      <c r="F61" s="44">
        <v>134532</v>
      </c>
      <c r="G61" s="44">
        <v>-1472894.6666000001</v>
      </c>
      <c r="H61" s="44"/>
      <c r="I61" s="44">
        <v>1572</v>
      </c>
      <c r="J61" s="44">
        <v>-20923.484799999998</v>
      </c>
      <c r="L61" s="40">
        <v>246779414222</v>
      </c>
      <c r="M61" s="24"/>
      <c r="N61" s="24">
        <v>192.84440000000001</v>
      </c>
      <c r="O61" s="23">
        <f>VLOOKUP(L61,'Ascendus Data'!$D$3:$F$317,3,0)</f>
        <v>196.78</v>
      </c>
      <c r="P61" s="152"/>
    </row>
    <row r="62" spans="1:16" x14ac:dyDescent="0.35">
      <c r="A62" s="40">
        <v>246779413817</v>
      </c>
      <c r="B62" s="41">
        <v>45736</v>
      </c>
      <c r="C62" s="23" t="s">
        <v>562</v>
      </c>
      <c r="D62" s="23" t="s">
        <v>573</v>
      </c>
      <c r="E62" s="44"/>
      <c r="F62" s="44">
        <v>4193</v>
      </c>
      <c r="G62" s="44">
        <v>-1336872.6936000001</v>
      </c>
      <c r="H62" s="44"/>
      <c r="I62" s="44">
        <v>49</v>
      </c>
      <c r="J62" s="44">
        <v>-21021.484799999998</v>
      </c>
      <c r="L62" s="40">
        <v>246779414318</v>
      </c>
      <c r="M62" s="24"/>
      <c r="N62" s="24">
        <v>44.825200000000002</v>
      </c>
      <c r="O62" s="23">
        <f>VLOOKUP(L62,'Ascendus Data'!$D$3:$F$317,3,0)</f>
        <v>45.74</v>
      </c>
      <c r="P62" s="152"/>
    </row>
    <row r="63" spans="1:16" x14ac:dyDescent="0.35">
      <c r="A63" s="40">
        <v>246779413828</v>
      </c>
      <c r="B63" s="42">
        <v>45736</v>
      </c>
      <c r="C63" s="23" t="s">
        <v>562</v>
      </c>
      <c r="D63" s="23" t="s">
        <v>573</v>
      </c>
      <c r="E63" s="44"/>
      <c r="F63" s="44">
        <v>4193</v>
      </c>
      <c r="G63" s="44">
        <v>-582734.84539999999</v>
      </c>
      <c r="H63" s="44"/>
      <c r="I63" s="44">
        <v>49</v>
      </c>
      <c r="J63" s="44">
        <v>-21119.484799999998</v>
      </c>
      <c r="L63" s="40">
        <v>246779414397</v>
      </c>
      <c r="M63" s="24"/>
      <c r="N63" s="24">
        <v>6.8894000000000002</v>
      </c>
      <c r="O63" s="23">
        <f>VLOOKUP(L63,'Ascendus Data'!$D$3:$F$317,3,0)</f>
        <v>7.03</v>
      </c>
      <c r="P63" s="152"/>
    </row>
    <row r="64" spans="1:16" x14ac:dyDescent="0.35">
      <c r="A64" s="40">
        <v>246779413905</v>
      </c>
      <c r="B64" s="41">
        <v>45736</v>
      </c>
      <c r="C64" s="23" t="s">
        <v>562</v>
      </c>
      <c r="D64" s="23" t="s">
        <v>567</v>
      </c>
      <c r="E64" s="44"/>
      <c r="F64" s="44">
        <v>368.55200000000002</v>
      </c>
      <c r="G64" s="44">
        <v>-929655.47400000005</v>
      </c>
      <c r="H64" s="44"/>
      <c r="I64" s="44">
        <v>4.3120000000000003</v>
      </c>
      <c r="J64" s="44">
        <v>-21217.484799999998</v>
      </c>
      <c r="L64" s="40">
        <v>246779414398</v>
      </c>
      <c r="M64" s="24"/>
      <c r="N64" s="24">
        <v>31.732399999999998</v>
      </c>
      <c r="O64" s="23">
        <f>VLOOKUP(L64,'Ascendus Data'!$D$3:$F$317,3,0)</f>
        <v>32.380000000000003</v>
      </c>
      <c r="P64" s="152"/>
    </row>
    <row r="65" spans="1:16" x14ac:dyDescent="0.35">
      <c r="A65" s="40">
        <v>246779414143</v>
      </c>
      <c r="B65" s="41">
        <v>45736</v>
      </c>
      <c r="C65" s="23" t="s">
        <v>562</v>
      </c>
      <c r="D65" s="23" t="s">
        <v>567</v>
      </c>
      <c r="E65" s="44"/>
      <c r="F65" s="44">
        <v>47478.693800000001</v>
      </c>
      <c r="G65" s="44">
        <v>-1285374.1503999999</v>
      </c>
      <c r="H65" s="44"/>
      <c r="I65" s="44">
        <v>554.78779999999995</v>
      </c>
      <c r="J65" s="44">
        <v>-22611.269799999998</v>
      </c>
      <c r="L65" s="40">
        <v>246779414399</v>
      </c>
      <c r="M65" s="24"/>
      <c r="N65" s="24">
        <v>75.499200000000002</v>
      </c>
      <c r="O65" s="23">
        <f>VLOOKUP(L65,'Ascendus Data'!$D$3:$F$317,3,0)</f>
        <v>77.040000000000006</v>
      </c>
      <c r="P65" s="152"/>
    </row>
    <row r="66" spans="1:16" x14ac:dyDescent="0.35">
      <c r="A66" s="40">
        <v>246779414144</v>
      </c>
      <c r="B66" s="41">
        <v>45736</v>
      </c>
      <c r="C66" s="23" t="s">
        <v>562</v>
      </c>
      <c r="D66" s="23" t="s">
        <v>634</v>
      </c>
      <c r="E66" s="44"/>
      <c r="F66" s="44">
        <v>10567.08</v>
      </c>
      <c r="G66" s="44">
        <v>-1790630.5127999999</v>
      </c>
      <c r="H66" s="44"/>
      <c r="I66" s="44">
        <v>123.48</v>
      </c>
      <c r="J66" s="44">
        <v>-21684.434799999999</v>
      </c>
      <c r="L66" s="40">
        <v>246779414468</v>
      </c>
      <c r="M66" s="24"/>
      <c r="N66" s="24">
        <v>90.375600000000006</v>
      </c>
      <c r="O66" s="23">
        <f>VLOOKUP(L66,'Ascendus Data'!$D$3:$F$317,3,0)</f>
        <v>92.22</v>
      </c>
      <c r="P66" s="152"/>
    </row>
    <row r="67" spans="1:16" x14ac:dyDescent="0.35">
      <c r="A67" s="40">
        <v>246779414145</v>
      </c>
      <c r="B67" s="41">
        <v>45736</v>
      </c>
      <c r="C67" s="23" t="s">
        <v>562</v>
      </c>
      <c r="D67" s="23" t="s">
        <v>624</v>
      </c>
      <c r="E67" s="44"/>
      <c r="F67" s="44">
        <v>12580</v>
      </c>
      <c r="G67" s="44">
        <v>-1483763.0666</v>
      </c>
      <c r="H67" s="44"/>
      <c r="I67" s="44">
        <v>147</v>
      </c>
      <c r="J67" s="44">
        <v>-22718.201799999999</v>
      </c>
      <c r="L67" s="40">
        <v>246779414604</v>
      </c>
      <c r="M67" s="24"/>
      <c r="N67" s="24">
        <v>448.89879999999999</v>
      </c>
      <c r="O67" s="23">
        <f>VLOOKUP(L67,'Ascendus Data'!$D$3:$F$317,3,0)</f>
        <v>458.06</v>
      </c>
      <c r="P67" s="152"/>
    </row>
    <row r="68" spans="1:16" x14ac:dyDescent="0.35">
      <c r="A68" s="40">
        <v>246779414146</v>
      </c>
      <c r="B68" s="41">
        <v>45736</v>
      </c>
      <c r="C68" s="23" t="s">
        <v>562</v>
      </c>
      <c r="D68" s="23" t="s">
        <v>577</v>
      </c>
      <c r="E68" s="44"/>
      <c r="F68" s="44">
        <v>1489.973</v>
      </c>
      <c r="G68" s="44">
        <v>-1338362.6666000001</v>
      </c>
      <c r="H68" s="44"/>
      <c r="I68" s="44">
        <v>17.414999999999999</v>
      </c>
      <c r="J68" s="44">
        <v>-21666.234799999998</v>
      </c>
      <c r="L68" s="40">
        <v>246779414682</v>
      </c>
      <c r="M68" s="24"/>
      <c r="N68" s="24">
        <v>89.0428</v>
      </c>
      <c r="O68" s="23">
        <f>VLOOKUP(L68,'Ascendus Data'!$D$3:$F$317,3,0)</f>
        <v>90.86</v>
      </c>
      <c r="P68" s="152"/>
    </row>
    <row r="69" spans="1:16" x14ac:dyDescent="0.35">
      <c r="A69" s="40">
        <v>246779414222</v>
      </c>
      <c r="B69" s="41">
        <v>45736</v>
      </c>
      <c r="C69" s="23" t="s">
        <v>562</v>
      </c>
      <c r="D69" s="23" t="s">
        <v>567</v>
      </c>
      <c r="E69" s="44"/>
      <c r="F69" s="44">
        <v>16503.432400000002</v>
      </c>
      <c r="G69" s="44">
        <v>-1237895.4565999999</v>
      </c>
      <c r="H69" s="44"/>
      <c r="I69" s="44">
        <v>192.84440000000001</v>
      </c>
      <c r="J69" s="44">
        <v>-21646.234799999998</v>
      </c>
      <c r="L69" s="40">
        <v>246779414731</v>
      </c>
      <c r="M69" s="24"/>
      <c r="N69" s="24">
        <v>90</v>
      </c>
      <c r="O69" s="23" t="e">
        <f>VLOOKUP(L69,'Ascendus Data'!$D$3:$F$317,3,0)</f>
        <v>#N/A</v>
      </c>
      <c r="P69" s="152"/>
    </row>
    <row r="70" spans="1:16" x14ac:dyDescent="0.35">
      <c r="A70" s="40">
        <v>246779414318</v>
      </c>
      <c r="B70" s="41">
        <v>45737</v>
      </c>
      <c r="C70" s="23" t="s">
        <v>562</v>
      </c>
      <c r="D70" s="23" t="s">
        <v>567</v>
      </c>
      <c r="E70" s="44"/>
      <c r="F70" s="44">
        <v>3836.4292</v>
      </c>
      <c r="G70" s="44">
        <v>-633998.76459999999</v>
      </c>
      <c r="H70" s="44"/>
      <c r="I70" s="44">
        <v>44.825200000000002</v>
      </c>
      <c r="J70" s="44">
        <v>-23164.7238</v>
      </c>
      <c r="L70" s="40">
        <v>246779414732</v>
      </c>
      <c r="M70" s="24"/>
      <c r="N70" s="24">
        <v>90</v>
      </c>
      <c r="O70" s="23" t="e">
        <f>VLOOKUP(L70,'Ascendus Data'!$D$3:$F$317,3,0)</f>
        <v>#N/A</v>
      </c>
      <c r="P70" s="152"/>
    </row>
    <row r="71" spans="1:16" x14ac:dyDescent="0.35">
      <c r="A71" s="40">
        <v>246779414397</v>
      </c>
      <c r="B71" s="41">
        <v>45736</v>
      </c>
      <c r="C71" s="23" t="s">
        <v>562</v>
      </c>
      <c r="D71" s="23" t="s">
        <v>567</v>
      </c>
      <c r="E71" s="44"/>
      <c r="F71" s="44">
        <v>589.62739999999997</v>
      </c>
      <c r="G71" s="44">
        <v>-616442.15899999999</v>
      </c>
      <c r="H71" s="44"/>
      <c r="I71" s="44">
        <v>6.8894000000000002</v>
      </c>
      <c r="J71" s="44">
        <v>-24333.787799999998</v>
      </c>
      <c r="L71" s="40">
        <v>246779414733</v>
      </c>
      <c r="M71" s="24"/>
      <c r="N71" s="24">
        <v>90</v>
      </c>
      <c r="O71" s="23" t="e">
        <f>VLOOKUP(L71,'Ascendus Data'!$D$3:$F$317,3,0)</f>
        <v>#N/A</v>
      </c>
      <c r="P71" s="152"/>
    </row>
    <row r="72" spans="1:16" x14ac:dyDescent="0.35">
      <c r="A72" s="40">
        <v>246779414398</v>
      </c>
      <c r="B72" s="41">
        <v>45736</v>
      </c>
      <c r="C72" s="23" t="s">
        <v>562</v>
      </c>
      <c r="D72" s="23" t="s">
        <v>567</v>
      </c>
      <c r="E72" s="44"/>
      <c r="F72" s="44">
        <v>2716.0803999999998</v>
      </c>
      <c r="G72" s="44">
        <v>-620894.74540000001</v>
      </c>
      <c r="H72" s="44"/>
      <c r="I72" s="44">
        <v>31.732399999999998</v>
      </c>
      <c r="J72" s="44">
        <v>-24974.002799999998</v>
      </c>
      <c r="L72" s="40">
        <v>246779414734</v>
      </c>
      <c r="M72" s="24"/>
      <c r="N72" s="24">
        <v>90</v>
      </c>
      <c r="O72" s="23" t="e">
        <f>VLOOKUP(L72,'Ascendus Data'!$D$3:$F$317,3,0)</f>
        <v>#N/A</v>
      </c>
      <c r="P72" s="152"/>
    </row>
    <row r="73" spans="1:16" x14ac:dyDescent="0.35">
      <c r="A73" s="40">
        <v>246779414399</v>
      </c>
      <c r="B73" s="41">
        <v>45736</v>
      </c>
      <c r="C73" s="23" t="s">
        <v>562</v>
      </c>
      <c r="D73" s="23" t="s">
        <v>567</v>
      </c>
      <c r="E73" s="44"/>
      <c r="F73" s="44">
        <v>6461.0832</v>
      </c>
      <c r="G73" s="44">
        <v>-936116.55720000004</v>
      </c>
      <c r="H73" s="44"/>
      <c r="I73" s="44">
        <v>75.499200000000002</v>
      </c>
      <c r="J73" s="44">
        <v>-25043.7984</v>
      </c>
      <c r="L73" s="40">
        <v>246779414735</v>
      </c>
      <c r="M73" s="24"/>
      <c r="N73" s="24">
        <v>95.451999999999998</v>
      </c>
      <c r="O73" s="23">
        <f>VLOOKUP(L73,'Ascendus Data'!$D$3:$F$317,3,0)</f>
        <v>97.4</v>
      </c>
      <c r="P73" s="152"/>
    </row>
    <row r="74" spans="1:16" x14ac:dyDescent="0.35">
      <c r="A74" s="40">
        <v>246779414468</v>
      </c>
      <c r="B74" s="41">
        <v>45736</v>
      </c>
      <c r="C74" s="23" t="s">
        <v>562</v>
      </c>
      <c r="D74" s="23" t="s">
        <v>567</v>
      </c>
      <c r="E74" s="44"/>
      <c r="F74" s="44">
        <v>7734.1876000000002</v>
      </c>
      <c r="G74" s="44">
        <v>-597481.37679999997</v>
      </c>
      <c r="H74" s="44"/>
      <c r="I74" s="44">
        <v>90.375600000000006</v>
      </c>
      <c r="J74" s="44">
        <v>-26762.7984</v>
      </c>
      <c r="L74" s="40">
        <v>246779414886</v>
      </c>
      <c r="M74" s="24"/>
      <c r="N74" s="24">
        <v>30.184000000000001</v>
      </c>
      <c r="O74" s="23">
        <f>VLOOKUP(L74,'Ascendus Data'!$D$3:$F$317,3,0)</f>
        <v>30.8</v>
      </c>
      <c r="P74" s="152"/>
    </row>
    <row r="75" spans="1:16" x14ac:dyDescent="0.35">
      <c r="A75" s="40">
        <v>246779414604</v>
      </c>
      <c r="B75" s="41">
        <v>45708</v>
      </c>
      <c r="C75" s="23" t="s">
        <v>562</v>
      </c>
      <c r="D75" s="23" t="s">
        <v>567</v>
      </c>
      <c r="E75" s="44"/>
      <c r="F75" s="44">
        <v>38416.774799999999</v>
      </c>
      <c r="G75" s="44">
        <v>-254908.44399999999</v>
      </c>
      <c r="H75" s="44"/>
      <c r="I75" s="44">
        <v>448.89879999999999</v>
      </c>
      <c r="J75" s="44">
        <v>-26742.7984</v>
      </c>
      <c r="L75" s="40">
        <v>246779414887</v>
      </c>
      <c r="M75" s="24"/>
      <c r="N75" s="24">
        <v>7.1246</v>
      </c>
      <c r="O75" s="23">
        <f>VLOOKUP(L75,'Ascendus Data'!$D$3:$F$317,3,0)</f>
        <v>7.27</v>
      </c>
      <c r="P75" s="152"/>
    </row>
    <row r="76" spans="1:16" x14ac:dyDescent="0.35">
      <c r="A76" s="40">
        <v>246779414682</v>
      </c>
      <c r="B76" s="41">
        <v>45736</v>
      </c>
      <c r="C76" s="23" t="s">
        <v>562</v>
      </c>
      <c r="D76" s="23" t="s">
        <v>567</v>
      </c>
      <c r="E76" s="44"/>
      <c r="F76" s="44">
        <v>7619.7987999999996</v>
      </c>
      <c r="G76" s="44">
        <v>-605101.17559999996</v>
      </c>
      <c r="H76" s="44"/>
      <c r="I76" s="44">
        <v>89.0428</v>
      </c>
      <c r="J76" s="44">
        <v>-26826.304199999999</v>
      </c>
      <c r="L76" s="40">
        <v>246779414889</v>
      </c>
      <c r="M76" s="24"/>
      <c r="N76" s="24">
        <v>2.4695999999999998</v>
      </c>
      <c r="O76" s="23">
        <f>VLOOKUP(L76,'Ascendus Data'!$D$3:$F$317,3,0)</f>
        <v>2.52</v>
      </c>
      <c r="P76" s="152"/>
    </row>
    <row r="77" spans="1:16" x14ac:dyDescent="0.35">
      <c r="A77" s="40">
        <v>256779414731</v>
      </c>
      <c r="B77" s="42">
        <v>45827</v>
      </c>
      <c r="C77" s="23" t="s">
        <v>562</v>
      </c>
      <c r="D77" s="23" t="s">
        <v>563</v>
      </c>
      <c r="E77" s="44"/>
      <c r="F77" s="44">
        <v>7725</v>
      </c>
      <c r="G77" s="44">
        <v>-1018413.6421000001</v>
      </c>
      <c r="H77" s="44"/>
      <c r="I77" s="44">
        <v>90</v>
      </c>
      <c r="J77" s="44">
        <v>-26911.760200000001</v>
      </c>
      <c r="L77" s="40">
        <v>246779414890</v>
      </c>
      <c r="M77" s="24"/>
      <c r="N77" s="24">
        <v>43.12</v>
      </c>
      <c r="O77" s="23">
        <f>VLOOKUP(L77,'Ascendus Data'!$D$3:$F$317,3,0)</f>
        <v>44</v>
      </c>
      <c r="P77" s="152"/>
    </row>
    <row r="78" spans="1:16" x14ac:dyDescent="0.35">
      <c r="A78" s="40">
        <v>256779414732</v>
      </c>
      <c r="B78" s="42">
        <v>45827</v>
      </c>
      <c r="C78" s="23" t="s">
        <v>562</v>
      </c>
      <c r="D78" s="23" t="s">
        <v>563</v>
      </c>
      <c r="E78" s="44"/>
      <c r="F78" s="44">
        <v>7725</v>
      </c>
      <c r="G78" s="44">
        <v>-1010688.6421000001</v>
      </c>
      <c r="H78" s="44"/>
      <c r="I78" s="44">
        <v>90</v>
      </c>
      <c r="J78" s="44">
        <v>-26967.571199999998</v>
      </c>
      <c r="L78" s="40">
        <v>256779410006</v>
      </c>
      <c r="M78" s="24">
        <v>20</v>
      </c>
      <c r="N78" s="24">
        <v>1670</v>
      </c>
      <c r="O78" s="23">
        <f>VLOOKUP(L78,'Ascendus Data'!$D$3:$F$317,3,0)</f>
        <v>1700</v>
      </c>
      <c r="P78" s="152"/>
    </row>
    <row r="79" spans="1:16" x14ac:dyDescent="0.35">
      <c r="A79" s="40">
        <v>256779414733</v>
      </c>
      <c r="B79" s="42">
        <v>45827</v>
      </c>
      <c r="C79" s="23" t="s">
        <v>562</v>
      </c>
      <c r="D79" s="23" t="s">
        <v>563</v>
      </c>
      <c r="E79" s="44"/>
      <c r="F79" s="44">
        <v>7725</v>
      </c>
      <c r="G79" s="44">
        <v>-1002963.6421000001</v>
      </c>
      <c r="H79" s="44"/>
      <c r="I79" s="44">
        <v>90</v>
      </c>
      <c r="J79" s="44">
        <v>-23438.0154</v>
      </c>
      <c r="L79" s="40">
        <v>256779410012</v>
      </c>
      <c r="M79" s="24">
        <v>20</v>
      </c>
      <c r="N79" s="24">
        <v>1719</v>
      </c>
      <c r="O79" s="23">
        <f>VLOOKUP(L79,'Ascendus Data'!$D$3:$F$317,3,0)</f>
        <v>1750</v>
      </c>
      <c r="P79" s="152"/>
    </row>
    <row r="80" spans="1:16" x14ac:dyDescent="0.35">
      <c r="A80" s="40">
        <v>256779414734</v>
      </c>
      <c r="B80" s="42">
        <v>45827</v>
      </c>
      <c r="C80" s="23" t="s">
        <v>562</v>
      </c>
      <c r="D80" s="23" t="s">
        <v>563</v>
      </c>
      <c r="E80" s="44"/>
      <c r="F80" s="44">
        <v>7725</v>
      </c>
      <c r="G80" s="44">
        <v>-995238.64210000006</v>
      </c>
      <c r="H80" s="44"/>
      <c r="I80" s="44">
        <v>90</v>
      </c>
      <c r="J80" s="44">
        <v>-20270.540199999999</v>
      </c>
      <c r="L80" s="40">
        <v>256779410015</v>
      </c>
      <c r="M80" s="24">
        <v>20</v>
      </c>
      <c r="N80" s="24">
        <v>1670</v>
      </c>
      <c r="O80" s="23">
        <f>VLOOKUP(L80,'Ascendus Data'!$D$3:$F$317,3,0)</f>
        <v>1700</v>
      </c>
      <c r="P80" s="152"/>
    </row>
    <row r="81" spans="1:16" x14ac:dyDescent="0.35">
      <c r="A81" s="40">
        <v>246779414735</v>
      </c>
      <c r="B81" s="41">
        <v>45736</v>
      </c>
      <c r="C81" s="23" t="s">
        <v>562</v>
      </c>
      <c r="D81" s="23" t="s">
        <v>567</v>
      </c>
      <c r="E81" s="44"/>
      <c r="F81" s="44">
        <v>8168.4920000000002</v>
      </c>
      <c r="G81" s="44">
        <v>-613269.66760000004</v>
      </c>
      <c r="H81" s="44"/>
      <c r="I81" s="44">
        <v>95.451999999999998</v>
      </c>
      <c r="J81" s="44">
        <v>-16585.337</v>
      </c>
      <c r="L81" s="40">
        <v>256779410136</v>
      </c>
      <c r="M81" s="24"/>
      <c r="N81" s="24">
        <v>9.6530000000000005</v>
      </c>
      <c r="O81" s="23">
        <f>VLOOKUP(L81,'Ascendus Data'!$D$3:$F$317,3,0)</f>
        <v>9.85</v>
      </c>
      <c r="P81" s="152"/>
    </row>
    <row r="82" spans="1:16" x14ac:dyDescent="0.35">
      <c r="A82" s="40">
        <v>246779414886</v>
      </c>
      <c r="B82" s="41">
        <v>45736</v>
      </c>
      <c r="C82" s="23" t="s">
        <v>562</v>
      </c>
      <c r="D82" s="23" t="s">
        <v>567</v>
      </c>
      <c r="E82" s="44"/>
      <c r="F82" s="44">
        <v>2582.864</v>
      </c>
      <c r="G82" s="44">
        <v>-615852.53159999999</v>
      </c>
      <c r="H82" s="44"/>
      <c r="I82" s="44">
        <v>30.184000000000001</v>
      </c>
      <c r="J82" s="44">
        <v>-17035.859</v>
      </c>
      <c r="L82" s="40">
        <v>256779410224</v>
      </c>
      <c r="M82" s="24">
        <v>20</v>
      </c>
      <c r="N82" s="24">
        <v>1719</v>
      </c>
      <c r="O82" s="23">
        <f>VLOOKUP(L82,'Ascendus Data'!$D$3:$F$317,3,0)</f>
        <v>1750</v>
      </c>
      <c r="P82" s="152"/>
    </row>
    <row r="83" spans="1:16" x14ac:dyDescent="0.35">
      <c r="A83" s="40">
        <v>246779414887</v>
      </c>
      <c r="B83" s="41">
        <v>45736</v>
      </c>
      <c r="C83" s="23" t="s">
        <v>562</v>
      </c>
      <c r="D83" s="23" t="s">
        <v>567</v>
      </c>
      <c r="E83" s="44"/>
      <c r="F83" s="44">
        <v>610.16660000000002</v>
      </c>
      <c r="G83" s="44">
        <v>-617052.32559999998</v>
      </c>
      <c r="H83" s="44"/>
      <c r="I83" s="44">
        <v>7.1246</v>
      </c>
      <c r="J83" s="44">
        <v>-17215.859</v>
      </c>
      <c r="L83" s="40">
        <v>256779411152</v>
      </c>
      <c r="M83" s="24"/>
      <c r="N83" s="24">
        <v>161.09</v>
      </c>
      <c r="O83" s="23">
        <f>VLOOKUP(L83,'Ascendus Data'!$D$3:$F$317,3,0)</f>
        <v>164.38</v>
      </c>
      <c r="P83" s="152"/>
    </row>
    <row r="84" spans="1:16" x14ac:dyDescent="0.35">
      <c r="A84" s="40">
        <v>246779414889</v>
      </c>
      <c r="B84" s="41">
        <v>45736</v>
      </c>
      <c r="C84" s="23" t="s">
        <v>562</v>
      </c>
      <c r="D84" s="23" t="s">
        <v>567</v>
      </c>
      <c r="E84" s="44"/>
      <c r="F84" s="44">
        <v>211.66159999999999</v>
      </c>
      <c r="G84" s="44">
        <v>-618178.66500000004</v>
      </c>
      <c r="H84" s="44"/>
      <c r="I84" s="44">
        <v>2.4695999999999998</v>
      </c>
      <c r="J84" s="44">
        <v>-17313.859</v>
      </c>
      <c r="L84" s="40">
        <v>256779411153</v>
      </c>
      <c r="M84" s="24"/>
      <c r="N84" s="24">
        <v>26.01</v>
      </c>
      <c r="O84" s="23">
        <f>VLOOKUP(L84,'Ascendus Data'!$D$3:$F$317,3,0)</f>
        <v>26.54</v>
      </c>
      <c r="P84" s="152"/>
    </row>
    <row r="85" spans="1:16" x14ac:dyDescent="0.35">
      <c r="A85" s="40">
        <v>246779414890</v>
      </c>
      <c r="B85" s="41">
        <v>45736</v>
      </c>
      <c r="C85" s="23" t="s">
        <v>562</v>
      </c>
      <c r="D85" s="23" t="s">
        <v>567</v>
      </c>
      <c r="E85" s="44"/>
      <c r="F85" s="44">
        <v>3690.52</v>
      </c>
      <c r="G85" s="44">
        <v>-624585.26540000003</v>
      </c>
      <c r="H85" s="44"/>
      <c r="I85" s="44">
        <v>43.12</v>
      </c>
      <c r="J85" s="44">
        <v>-17411.859</v>
      </c>
      <c r="L85" s="40">
        <v>256779411154</v>
      </c>
      <c r="M85" s="24"/>
      <c r="N85" s="24">
        <v>82.57</v>
      </c>
      <c r="O85" s="23">
        <f>VLOOKUP(L85,'Ascendus Data'!$D$3:$F$317,3,0)</f>
        <v>84.26</v>
      </c>
      <c r="P85" s="152"/>
    </row>
    <row r="86" spans="1:16" x14ac:dyDescent="0.35">
      <c r="A86" s="40">
        <v>256779410006</v>
      </c>
      <c r="B86" s="42">
        <v>45750</v>
      </c>
      <c r="C86" s="23" t="s">
        <v>562</v>
      </c>
      <c r="D86" s="23" t="s">
        <v>563</v>
      </c>
      <c r="E86" s="44"/>
      <c r="F86" s="44">
        <v>143269</v>
      </c>
      <c r="G86" s="44">
        <v>-1819439.91</v>
      </c>
      <c r="H86" s="44"/>
      <c r="I86" s="44">
        <v>1670</v>
      </c>
      <c r="J86" s="44">
        <v>-17805.074199999999</v>
      </c>
      <c r="L86" s="40">
        <v>256779411155</v>
      </c>
      <c r="M86" s="24"/>
      <c r="N86" s="24">
        <v>36.159999999999997</v>
      </c>
      <c r="O86" s="23">
        <f>VLOOKUP(L86,'Ascendus Data'!$D$3:$F$317,3,0)</f>
        <v>36.9</v>
      </c>
      <c r="P86" s="152"/>
    </row>
    <row r="87" spans="1:16" x14ac:dyDescent="0.35">
      <c r="A87" s="40">
        <v>256779410006</v>
      </c>
      <c r="B87" s="42">
        <v>45750</v>
      </c>
      <c r="C87" s="23" t="s">
        <v>682</v>
      </c>
      <c r="D87" s="23" t="s">
        <v>582</v>
      </c>
      <c r="E87" s="44">
        <v>1715.8</v>
      </c>
      <c r="F87" s="44"/>
      <c r="G87" s="44">
        <v>-1817724.11</v>
      </c>
      <c r="H87" s="44">
        <v>20</v>
      </c>
      <c r="I87" s="44"/>
      <c r="J87" s="44">
        <v>-17903.074199999999</v>
      </c>
      <c r="L87" s="40">
        <v>256779411156</v>
      </c>
      <c r="M87" s="24"/>
      <c r="N87" s="24">
        <v>19.829999999999998</v>
      </c>
      <c r="O87" s="23">
        <f>VLOOKUP(L87,'Ascendus Data'!$D$3:$F$317,3,0)</f>
        <v>20.23</v>
      </c>
      <c r="P87" s="152"/>
    </row>
    <row r="88" spans="1:16" x14ac:dyDescent="0.35">
      <c r="A88" s="40">
        <v>256779410012</v>
      </c>
      <c r="B88" s="42">
        <v>45750</v>
      </c>
      <c r="C88" s="23" t="s">
        <v>562</v>
      </c>
      <c r="D88" s="23" t="s">
        <v>563</v>
      </c>
      <c r="E88" s="44"/>
      <c r="F88" s="44">
        <v>147473.5</v>
      </c>
      <c r="G88" s="44">
        <v>-1965197.61</v>
      </c>
      <c r="H88" s="44"/>
      <c r="I88" s="44">
        <v>1719</v>
      </c>
      <c r="J88" s="44">
        <v>-18302.796600000001</v>
      </c>
      <c r="L88" s="40">
        <v>256779411157</v>
      </c>
      <c r="M88" s="24"/>
      <c r="N88" s="24">
        <v>113.99</v>
      </c>
      <c r="O88" s="23">
        <f>VLOOKUP(L88,'Ascendus Data'!$D$3:$F$317,3,0)</f>
        <v>116.32</v>
      </c>
      <c r="P88" s="152"/>
    </row>
    <row r="89" spans="1:16" x14ac:dyDescent="0.35">
      <c r="A89" s="40">
        <v>256779410012</v>
      </c>
      <c r="B89" s="42">
        <v>45750</v>
      </c>
      <c r="C89" s="23" t="s">
        <v>688</v>
      </c>
      <c r="D89" s="23" t="s">
        <v>582</v>
      </c>
      <c r="E89" s="44">
        <v>1715.8</v>
      </c>
      <c r="F89" s="44"/>
      <c r="G89" s="44">
        <v>-2105035.0099999998</v>
      </c>
      <c r="H89" s="44">
        <v>20</v>
      </c>
      <c r="I89" s="44"/>
      <c r="J89" s="44">
        <v>-19351.6296</v>
      </c>
      <c r="L89" s="40">
        <v>256779411565</v>
      </c>
      <c r="M89" s="24"/>
      <c r="N89" s="24">
        <v>21.56</v>
      </c>
      <c r="O89" s="23">
        <f>VLOOKUP(L89,'Ascendus Data'!$D$3:$F$317,3,0)</f>
        <v>22</v>
      </c>
      <c r="P89" s="152"/>
    </row>
    <row r="90" spans="1:16" x14ac:dyDescent="0.35">
      <c r="A90" s="40">
        <v>256779410015</v>
      </c>
      <c r="B90" s="42">
        <v>45750</v>
      </c>
      <c r="C90" s="23" t="s">
        <v>562</v>
      </c>
      <c r="D90" s="23" t="s">
        <v>563</v>
      </c>
      <c r="E90" s="44"/>
      <c r="F90" s="44">
        <v>143269</v>
      </c>
      <c r="G90" s="44">
        <v>-2108466.61</v>
      </c>
      <c r="H90" s="44"/>
      <c r="I90" s="44">
        <v>1670</v>
      </c>
      <c r="J90" s="44">
        <v>-19449.6296</v>
      </c>
      <c r="L90" s="40">
        <v>256779411566</v>
      </c>
      <c r="M90" s="24"/>
      <c r="N90" s="24">
        <v>4.3099999999999996</v>
      </c>
      <c r="O90" s="23">
        <f>VLOOKUP(L90,'Ascendus Data'!$D$3:$F$317,3,0)</f>
        <v>4.4000000000000004</v>
      </c>
      <c r="P90" s="152"/>
    </row>
    <row r="91" spans="1:16" x14ac:dyDescent="0.35">
      <c r="A91" s="40">
        <v>256779410015</v>
      </c>
      <c r="B91" s="42">
        <v>45750</v>
      </c>
      <c r="C91" s="23" t="s">
        <v>686</v>
      </c>
      <c r="D91" s="23" t="s">
        <v>582</v>
      </c>
      <c r="E91" s="44">
        <v>1715.8</v>
      </c>
      <c r="F91" s="44"/>
      <c r="G91" s="44">
        <v>-2106750.81</v>
      </c>
      <c r="H91" s="44">
        <v>20</v>
      </c>
      <c r="I91" s="44"/>
      <c r="J91" s="44">
        <v>-19488.378799999999</v>
      </c>
      <c r="L91" s="40">
        <v>256779411567</v>
      </c>
      <c r="M91" s="24"/>
      <c r="N91" s="24">
        <v>5.72</v>
      </c>
      <c r="O91" s="23">
        <f>VLOOKUP(L91,'Ascendus Data'!$D$3:$F$317,3,0)</f>
        <v>5.84</v>
      </c>
      <c r="P91" s="152"/>
    </row>
    <row r="92" spans="1:16" x14ac:dyDescent="0.35">
      <c r="A92" s="40">
        <v>256779410136</v>
      </c>
      <c r="B92" s="41">
        <v>45750</v>
      </c>
      <c r="C92" s="23" t="s">
        <v>562</v>
      </c>
      <c r="D92" s="23" t="s">
        <v>724</v>
      </c>
      <c r="E92" s="44"/>
      <c r="F92" s="44">
        <v>838.37400000000002</v>
      </c>
      <c r="G92" s="44">
        <v>-896611.70990000002</v>
      </c>
      <c r="H92" s="44"/>
      <c r="I92" s="44">
        <v>9.6530000000000005</v>
      </c>
      <c r="J92" s="44">
        <v>-19493.210200000001</v>
      </c>
      <c r="L92" s="40">
        <v>256779411568</v>
      </c>
      <c r="M92" s="24"/>
      <c r="N92" s="24">
        <v>0.78</v>
      </c>
      <c r="O92" s="23">
        <f>VLOOKUP(L92,'Ascendus Data'!$D$3:$F$317,3,0)</f>
        <v>0.8</v>
      </c>
      <c r="P92" s="152"/>
    </row>
    <row r="93" spans="1:16" x14ac:dyDescent="0.35">
      <c r="A93" s="40">
        <v>256779410224</v>
      </c>
      <c r="B93" s="42">
        <v>45750</v>
      </c>
      <c r="C93" s="23" t="s">
        <v>562</v>
      </c>
      <c r="D93" s="23" t="s">
        <v>577</v>
      </c>
      <c r="E93" s="44"/>
      <c r="F93" s="44">
        <v>146940</v>
      </c>
      <c r="G93" s="44">
        <v>-2290181.3020000001</v>
      </c>
      <c r="H93" s="44"/>
      <c r="I93" s="44">
        <v>1719</v>
      </c>
      <c r="J93" s="44">
        <v>-19578.6662</v>
      </c>
      <c r="L93" s="40">
        <v>256779411569</v>
      </c>
      <c r="M93" s="24"/>
      <c r="N93" s="24">
        <v>13.57</v>
      </c>
      <c r="O93" s="23">
        <f>VLOOKUP(L93,'Ascendus Data'!$D$3:$F$317,3,0)</f>
        <v>13.85</v>
      </c>
      <c r="P93" s="152"/>
    </row>
    <row r="94" spans="1:16" x14ac:dyDescent="0.35">
      <c r="A94" s="40">
        <v>256779410224</v>
      </c>
      <c r="B94" s="42">
        <v>45750</v>
      </c>
      <c r="C94" s="23" t="s">
        <v>654</v>
      </c>
      <c r="D94" s="23" t="s">
        <v>582</v>
      </c>
      <c r="E94" s="44">
        <v>1709.6</v>
      </c>
      <c r="F94" s="44"/>
      <c r="G94" s="44">
        <v>-2288471.702</v>
      </c>
      <c r="H94" s="44">
        <v>20</v>
      </c>
      <c r="I94" s="44"/>
      <c r="J94" s="44">
        <v>-21248.6662</v>
      </c>
      <c r="L94" s="40">
        <v>256779411570</v>
      </c>
      <c r="M94" s="24"/>
      <c r="N94" s="24">
        <v>17.79</v>
      </c>
      <c r="O94" s="23">
        <f>VLOOKUP(L94,'Ascendus Data'!$D$3:$F$317,3,0)</f>
        <v>18.149999999999999</v>
      </c>
      <c r="P94" s="152"/>
    </row>
    <row r="95" spans="1:16" x14ac:dyDescent="0.35">
      <c r="A95" s="40">
        <v>256779411152</v>
      </c>
      <c r="B95" s="41">
        <v>45762</v>
      </c>
      <c r="C95" s="23" t="s">
        <v>562</v>
      </c>
      <c r="D95" s="23" t="s">
        <v>720</v>
      </c>
      <c r="E95" s="44"/>
      <c r="F95" s="44">
        <v>13942.089</v>
      </c>
      <c r="G95" s="44">
        <v>-736955.29980000004</v>
      </c>
      <c r="H95" s="44"/>
      <c r="I95" s="44">
        <v>161.09</v>
      </c>
      <c r="J95" s="44">
        <v>-21228.6662</v>
      </c>
      <c r="L95" s="40">
        <v>256779411571</v>
      </c>
      <c r="M95" s="24"/>
      <c r="N95" s="24">
        <v>20.93</v>
      </c>
      <c r="O95" s="23">
        <f>VLOOKUP(L95,'Ascendus Data'!$D$3:$F$317,3,0)</f>
        <v>21.36</v>
      </c>
      <c r="P95" s="152"/>
    </row>
    <row r="96" spans="1:16" x14ac:dyDescent="0.35">
      <c r="A96" s="40">
        <v>256779411153</v>
      </c>
      <c r="B96" s="41">
        <v>45762</v>
      </c>
      <c r="C96" s="23" t="s">
        <v>562</v>
      </c>
      <c r="D96" s="23" t="s">
        <v>634</v>
      </c>
      <c r="E96" s="44"/>
      <c r="F96" s="44">
        <v>2251.0369999999998</v>
      </c>
      <c r="G96" s="44">
        <v>-739206.33680000005</v>
      </c>
      <c r="H96" s="44"/>
      <c r="I96" s="44">
        <v>26.01</v>
      </c>
      <c r="J96" s="44">
        <v>-22947.6662</v>
      </c>
      <c r="L96" s="40">
        <v>256779411572</v>
      </c>
      <c r="M96" s="24"/>
      <c r="N96" s="24">
        <v>1.93</v>
      </c>
      <c r="O96" s="23">
        <f>VLOOKUP(L96,'Ascendus Data'!$D$3:$F$317,3,0)</f>
        <v>1.97</v>
      </c>
      <c r="P96" s="152"/>
    </row>
    <row r="97" spans="1:16" x14ac:dyDescent="0.35">
      <c r="A97" s="40">
        <v>256779411154</v>
      </c>
      <c r="B97" s="41">
        <v>45762</v>
      </c>
      <c r="C97" s="23" t="s">
        <v>562</v>
      </c>
      <c r="D97" s="23" t="s">
        <v>634</v>
      </c>
      <c r="E97" s="44"/>
      <c r="F97" s="44">
        <v>7146.7030000000004</v>
      </c>
      <c r="G97" s="44">
        <v>-746353.03980000003</v>
      </c>
      <c r="H97" s="44"/>
      <c r="I97" s="44">
        <v>82.57</v>
      </c>
      <c r="J97" s="44">
        <v>-24617.6662</v>
      </c>
      <c r="L97" s="40">
        <v>256779411573</v>
      </c>
      <c r="M97" s="24"/>
      <c r="N97" s="24">
        <v>23.73</v>
      </c>
      <c r="O97" s="23">
        <f>VLOOKUP(L97,'Ascendus Data'!$D$3:$F$317,3,0)</f>
        <v>24.21</v>
      </c>
      <c r="P97" s="152"/>
    </row>
    <row r="98" spans="1:16" x14ac:dyDescent="0.35">
      <c r="A98" s="40">
        <v>256779411155</v>
      </c>
      <c r="B98" s="41">
        <v>45762</v>
      </c>
      <c r="C98" s="23" t="s">
        <v>562</v>
      </c>
      <c r="D98" s="23" t="s">
        <v>724</v>
      </c>
      <c r="E98" s="44"/>
      <c r="F98" s="44">
        <v>3129.6950000000002</v>
      </c>
      <c r="G98" s="44">
        <v>-749482.73479999998</v>
      </c>
      <c r="H98" s="44"/>
      <c r="I98" s="44">
        <v>36.159999999999997</v>
      </c>
      <c r="J98" s="44">
        <v>-24597.6662</v>
      </c>
      <c r="L98" s="40">
        <v>256779411574</v>
      </c>
      <c r="M98" s="24"/>
      <c r="N98" s="24">
        <v>14.41</v>
      </c>
      <c r="O98" s="23">
        <f>VLOOKUP(L98,'Ascendus Data'!$D$3:$F$317,3,0)</f>
        <v>14.7</v>
      </c>
      <c r="P98" s="152"/>
    </row>
    <row r="99" spans="1:16" x14ac:dyDescent="0.35">
      <c r="A99" s="40">
        <v>256779411156</v>
      </c>
      <c r="B99" s="41">
        <v>45762</v>
      </c>
      <c r="C99" s="23" t="s">
        <v>562</v>
      </c>
      <c r="D99" s="23" t="s">
        <v>724</v>
      </c>
      <c r="E99" s="44"/>
      <c r="F99" s="44">
        <v>1715.9065000000001</v>
      </c>
      <c r="G99" s="44">
        <v>-751198.64130000002</v>
      </c>
      <c r="H99" s="44"/>
      <c r="I99" s="44">
        <v>19.829999999999998</v>
      </c>
      <c r="J99" s="44">
        <v>-24577.6662</v>
      </c>
      <c r="L99" s="40">
        <v>256779411575</v>
      </c>
      <c r="M99" s="24"/>
      <c r="N99" s="24">
        <v>21.902999999999999</v>
      </c>
      <c r="O99" s="23">
        <f>VLOOKUP(L99,'Ascendus Data'!$D$3:$F$317,3,0)</f>
        <v>22.35</v>
      </c>
      <c r="P99" s="152"/>
    </row>
    <row r="100" spans="1:16" x14ac:dyDescent="0.35">
      <c r="A100" s="40">
        <v>256779411157</v>
      </c>
      <c r="B100" s="41">
        <v>45762</v>
      </c>
      <c r="C100" s="23" t="s">
        <v>562</v>
      </c>
      <c r="D100" s="23" t="s">
        <v>724</v>
      </c>
      <c r="E100" s="44"/>
      <c r="F100" s="44">
        <v>9866.4959999999992</v>
      </c>
      <c r="G100" s="44">
        <v>-761065.13729999994</v>
      </c>
      <c r="H100" s="44"/>
      <c r="I100" s="44">
        <v>113.99</v>
      </c>
      <c r="J100" s="44">
        <v>-12028.3068</v>
      </c>
      <c r="L100" s="40">
        <v>256779411576</v>
      </c>
      <c r="M100" s="24"/>
      <c r="N100" s="24">
        <v>21.09</v>
      </c>
      <c r="O100" s="23">
        <f>VLOOKUP(L100,'Ascendus Data'!$D$3:$F$317,3,0)</f>
        <v>21.52</v>
      </c>
      <c r="P100" s="152"/>
    </row>
    <row r="101" spans="1:16" x14ac:dyDescent="0.35">
      <c r="A101" s="40">
        <v>256779411565</v>
      </c>
      <c r="B101" s="41">
        <v>45762</v>
      </c>
      <c r="C101" s="23" t="s">
        <v>562</v>
      </c>
      <c r="D101" s="23" t="s">
        <v>724</v>
      </c>
      <c r="E101" s="44"/>
      <c r="F101" s="44">
        <v>1866.1</v>
      </c>
      <c r="G101" s="44">
        <v>-762931.23730000004</v>
      </c>
      <c r="H101" s="44"/>
      <c r="I101" s="44">
        <v>21.56</v>
      </c>
      <c r="J101" s="44">
        <v>-12028.3068</v>
      </c>
      <c r="L101" s="40">
        <v>256779411577</v>
      </c>
      <c r="M101" s="24"/>
      <c r="N101" s="24">
        <v>1.51</v>
      </c>
      <c r="O101" s="23">
        <f>VLOOKUP(L101,'Ascendus Data'!$D$3:$F$317,3,0)</f>
        <v>1.54</v>
      </c>
      <c r="P101" s="152"/>
    </row>
    <row r="102" spans="1:16" x14ac:dyDescent="0.35">
      <c r="A102" s="40">
        <v>256779411566</v>
      </c>
      <c r="B102" s="41">
        <v>45762</v>
      </c>
      <c r="C102" s="23" t="s">
        <v>562</v>
      </c>
      <c r="D102" s="23" t="s">
        <v>724</v>
      </c>
      <c r="E102" s="44"/>
      <c r="F102" s="44">
        <v>372.82</v>
      </c>
      <c r="G102" s="44">
        <v>-763304.05729999999</v>
      </c>
      <c r="H102" s="44"/>
      <c r="I102" s="44">
        <v>4.3099999999999996</v>
      </c>
      <c r="J102" s="44">
        <v>-12028.3068</v>
      </c>
      <c r="L102" s="40">
        <v>256779411578</v>
      </c>
      <c r="M102" s="24"/>
      <c r="N102" s="24">
        <v>7.05</v>
      </c>
      <c r="O102" s="23">
        <f>VLOOKUP(L102,'Ascendus Data'!$D$3:$F$317,3,0)</f>
        <v>7.19</v>
      </c>
      <c r="P102" s="152"/>
    </row>
    <row r="103" spans="1:16" x14ac:dyDescent="0.35">
      <c r="A103" s="40">
        <v>256779411567</v>
      </c>
      <c r="B103" s="41">
        <v>45762</v>
      </c>
      <c r="C103" s="23" t="s">
        <v>562</v>
      </c>
      <c r="D103" s="23" t="s">
        <v>724</v>
      </c>
      <c r="E103" s="44"/>
      <c r="F103" s="44">
        <v>495.452</v>
      </c>
      <c r="G103" s="44">
        <v>-763799.50930000003</v>
      </c>
      <c r="H103" s="44"/>
      <c r="I103" s="44">
        <v>5.72</v>
      </c>
      <c r="J103" s="44">
        <v>-7900.3518000000004</v>
      </c>
      <c r="L103" s="40">
        <v>256779411579</v>
      </c>
      <c r="M103" s="24"/>
      <c r="N103" s="24">
        <v>4.75</v>
      </c>
      <c r="O103" s="23">
        <f>VLOOKUP(L103,'Ascendus Data'!$D$3:$F$317,3,0)</f>
        <v>4.8499999999999996</v>
      </c>
      <c r="P103" s="152"/>
    </row>
    <row r="104" spans="1:16" x14ac:dyDescent="0.35">
      <c r="A104" s="40">
        <v>256779411568</v>
      </c>
      <c r="B104" s="41">
        <v>45762</v>
      </c>
      <c r="C104" s="23" t="s">
        <v>562</v>
      </c>
      <c r="D104" s="23" t="s">
        <v>724</v>
      </c>
      <c r="E104" s="44"/>
      <c r="F104" s="44">
        <v>68.239999999999995</v>
      </c>
      <c r="G104" s="44">
        <v>-763867.74930000002</v>
      </c>
      <c r="H104" s="44"/>
      <c r="I104" s="44">
        <v>0.78</v>
      </c>
      <c r="J104" s="44">
        <v>-7896.951</v>
      </c>
      <c r="L104" s="40">
        <v>256779411580</v>
      </c>
      <c r="M104" s="24"/>
      <c r="N104" s="24">
        <v>21.32</v>
      </c>
      <c r="O104" s="23">
        <f>VLOOKUP(L104,'Ascendus Data'!$D$3:$F$317,3,0)</f>
        <v>21.76</v>
      </c>
      <c r="P104" s="152"/>
    </row>
    <row r="105" spans="1:16" x14ac:dyDescent="0.35">
      <c r="A105" s="40">
        <v>256779411569</v>
      </c>
      <c r="B105" s="41">
        <v>45762</v>
      </c>
      <c r="C105" s="23" t="s">
        <v>562</v>
      </c>
      <c r="D105" s="23" t="s">
        <v>724</v>
      </c>
      <c r="E105" s="44"/>
      <c r="F105" s="44">
        <v>1174.7175</v>
      </c>
      <c r="G105" s="44">
        <v>-765042.46680000005</v>
      </c>
      <c r="H105" s="44"/>
      <c r="I105" s="44">
        <v>13.57</v>
      </c>
      <c r="J105" s="44">
        <v>-12024.906000000001</v>
      </c>
      <c r="L105" s="40">
        <v>256779411581</v>
      </c>
      <c r="M105" s="24"/>
      <c r="N105" s="24">
        <v>2.16</v>
      </c>
      <c r="O105" s="23">
        <f>VLOOKUP(L105,'Ascendus Data'!$D$3:$F$317,3,0)</f>
        <v>2.2000000000000002</v>
      </c>
      <c r="P105" s="152"/>
    </row>
    <row r="106" spans="1:16" x14ac:dyDescent="0.35">
      <c r="A106" s="40">
        <v>256779411570</v>
      </c>
      <c r="B106" s="41">
        <v>45762</v>
      </c>
      <c r="C106" s="23" t="s">
        <v>562</v>
      </c>
      <c r="D106" s="23" t="s">
        <v>724</v>
      </c>
      <c r="E106" s="44"/>
      <c r="F106" s="44">
        <v>1539.8824999999999</v>
      </c>
      <c r="G106" s="44">
        <v>-766582.3493</v>
      </c>
      <c r="H106" s="44"/>
      <c r="I106" s="44">
        <v>17.79</v>
      </c>
      <c r="J106" s="44">
        <v>-7800.0888000000004</v>
      </c>
      <c r="L106" s="40">
        <v>256779411582</v>
      </c>
      <c r="M106" s="24"/>
      <c r="N106" s="24">
        <v>1.0900000000000001</v>
      </c>
      <c r="O106" s="23">
        <f>VLOOKUP(L106,'Ascendus Data'!$D$3:$F$317,3,0)</f>
        <v>1.1100000000000001</v>
      </c>
      <c r="P106" s="152"/>
    </row>
    <row r="107" spans="1:16" x14ac:dyDescent="0.35">
      <c r="A107" s="40">
        <v>256779411571</v>
      </c>
      <c r="B107" s="41">
        <v>45762</v>
      </c>
      <c r="C107" s="23" t="s">
        <v>562</v>
      </c>
      <c r="D107" s="23" t="s">
        <v>724</v>
      </c>
      <c r="E107" s="44"/>
      <c r="F107" s="44">
        <v>1811.7080000000001</v>
      </c>
      <c r="G107" s="44">
        <v>-768394.05729999999</v>
      </c>
      <c r="H107" s="44"/>
      <c r="I107" s="44">
        <v>20.93</v>
      </c>
      <c r="J107" s="44">
        <v>-9005.1887999999999</v>
      </c>
      <c r="L107" s="40">
        <v>256779411583</v>
      </c>
      <c r="M107" s="24"/>
      <c r="N107" s="24">
        <v>10.78</v>
      </c>
      <c r="O107" s="23">
        <f>VLOOKUP(L107,'Ascendus Data'!$D$3:$F$317,3,0)</f>
        <v>11</v>
      </c>
      <c r="P107" s="152"/>
    </row>
    <row r="108" spans="1:16" x14ac:dyDescent="0.35">
      <c r="A108" s="40">
        <v>256779411572</v>
      </c>
      <c r="B108" s="41">
        <v>45762</v>
      </c>
      <c r="C108" s="23" t="s">
        <v>562</v>
      </c>
      <c r="D108" s="23" t="s">
        <v>724</v>
      </c>
      <c r="E108" s="44"/>
      <c r="F108" s="44">
        <v>167.5035</v>
      </c>
      <c r="G108" s="44">
        <v>-768561.56079999998</v>
      </c>
      <c r="H108" s="44"/>
      <c r="I108" s="44">
        <v>1.93</v>
      </c>
      <c r="J108" s="44">
        <v>-9373.6488000000008</v>
      </c>
      <c r="L108" s="40">
        <v>256779411584</v>
      </c>
      <c r="M108" s="24"/>
      <c r="N108" s="24">
        <v>22.75</v>
      </c>
      <c r="O108" s="23">
        <f>VLOOKUP(L108,'Ascendus Data'!$D$3:$F$317,3,0)</f>
        <v>23.21</v>
      </c>
      <c r="P108" s="152"/>
    </row>
    <row r="109" spans="1:16" x14ac:dyDescent="0.35">
      <c r="A109" s="40">
        <v>256779411573</v>
      </c>
      <c r="B109" s="42">
        <v>45867</v>
      </c>
      <c r="C109" s="23" t="s">
        <v>562</v>
      </c>
      <c r="D109" s="23" t="s">
        <v>724</v>
      </c>
      <c r="E109" s="44"/>
      <c r="F109" s="44">
        <v>2053.3755000000001</v>
      </c>
      <c r="G109" s="44">
        <v>-770614.93629999994</v>
      </c>
      <c r="H109" s="44"/>
      <c r="I109" s="44">
        <v>23.73</v>
      </c>
      <c r="J109" s="44">
        <v>-10426.3968</v>
      </c>
      <c r="L109" s="40">
        <v>256779411585</v>
      </c>
      <c r="M109" s="24"/>
      <c r="N109" s="24">
        <v>7.65</v>
      </c>
      <c r="O109" s="23">
        <f>VLOOKUP(L109,'Ascendus Data'!$D$3:$F$317,3,0)</f>
        <v>7.81</v>
      </c>
      <c r="P109" s="152"/>
    </row>
    <row r="110" spans="1:16" x14ac:dyDescent="0.35">
      <c r="A110" s="40">
        <v>256779411574</v>
      </c>
      <c r="B110" s="41">
        <v>45762</v>
      </c>
      <c r="C110" s="23" t="s">
        <v>562</v>
      </c>
      <c r="D110" s="23" t="s">
        <v>724</v>
      </c>
      <c r="E110" s="44"/>
      <c r="F110" s="44">
        <v>1247.2850000000001</v>
      </c>
      <c r="G110" s="44">
        <v>-771862.22129999998</v>
      </c>
      <c r="H110" s="44"/>
      <c r="I110" s="44">
        <v>14.41</v>
      </c>
      <c r="J110" s="44">
        <v>-10690.996800000001</v>
      </c>
      <c r="L110" s="40">
        <v>256779411887</v>
      </c>
      <c r="M110" s="24"/>
      <c r="N110" s="24">
        <v>69.795599999999993</v>
      </c>
      <c r="O110" s="23">
        <f>VLOOKUP(L110,'Ascendus Data'!$D$3:$F$317,3,0)</f>
        <v>71.22</v>
      </c>
      <c r="P110" s="152"/>
    </row>
    <row r="111" spans="1:16" x14ac:dyDescent="0.35">
      <c r="A111" s="40">
        <v>256779411575</v>
      </c>
      <c r="B111" s="41">
        <v>45762</v>
      </c>
      <c r="C111" s="23" t="s">
        <v>562</v>
      </c>
      <c r="D111" s="23" t="s">
        <v>724</v>
      </c>
      <c r="E111" s="44"/>
      <c r="F111" s="44">
        <v>1895.3924999999999</v>
      </c>
      <c r="G111" s="44">
        <v>-773757.61380000005</v>
      </c>
      <c r="H111" s="44"/>
      <c r="I111" s="44">
        <v>21.902999999999999</v>
      </c>
      <c r="J111" s="44">
        <v>-10725.2968</v>
      </c>
      <c r="L111" s="40">
        <v>256779411984</v>
      </c>
      <c r="M111" s="24"/>
      <c r="N111" s="24">
        <v>38.749200000000002</v>
      </c>
      <c r="O111" s="23">
        <f>VLOOKUP(L111,'Ascendus Data'!$D$3:$F$317,3,0)</f>
        <v>39.54</v>
      </c>
      <c r="P111" s="152"/>
    </row>
    <row r="112" spans="1:16" x14ac:dyDescent="0.35">
      <c r="A112" s="40">
        <v>256779411576</v>
      </c>
      <c r="B112" s="41">
        <v>45762</v>
      </c>
      <c r="C112" s="23" t="s">
        <v>562</v>
      </c>
      <c r="D112" s="23" t="s">
        <v>724</v>
      </c>
      <c r="E112" s="44"/>
      <c r="F112" s="44">
        <v>1825.556</v>
      </c>
      <c r="G112" s="44">
        <v>-775583.16980000003</v>
      </c>
      <c r="H112" s="44"/>
      <c r="I112" s="44">
        <v>21.09</v>
      </c>
      <c r="J112" s="44">
        <v>-10858.655199999999</v>
      </c>
      <c r="L112" s="40">
        <v>256779412020</v>
      </c>
      <c r="M112" s="24"/>
      <c r="N112" s="24">
        <v>83.505799999999994</v>
      </c>
      <c r="O112" s="23">
        <f>VLOOKUP(L112,'Ascendus Data'!$D$3:$F$317,3,0)</f>
        <v>85.21</v>
      </c>
      <c r="P112" s="152"/>
    </row>
    <row r="113" spans="1:16" x14ac:dyDescent="0.35">
      <c r="A113" s="40">
        <v>256779411577</v>
      </c>
      <c r="B113" s="41">
        <v>45762</v>
      </c>
      <c r="C113" s="23" t="s">
        <v>562</v>
      </c>
      <c r="D113" s="23" t="s">
        <v>724</v>
      </c>
      <c r="E113" s="44"/>
      <c r="F113" s="44">
        <v>130.28700000000001</v>
      </c>
      <c r="G113" s="44">
        <v>-775713.45680000004</v>
      </c>
      <c r="H113" s="44"/>
      <c r="I113" s="44">
        <v>1.51</v>
      </c>
      <c r="J113" s="44">
        <v>-11542.1366</v>
      </c>
      <c r="L113" s="40">
        <v>256779412101</v>
      </c>
      <c r="M113" s="24"/>
      <c r="N113" s="24">
        <v>168.28</v>
      </c>
      <c r="O113" s="23">
        <f>VLOOKUP(L113,'Ascendus Data'!$D$3:$F$317,3,0)</f>
        <v>171.71</v>
      </c>
      <c r="P113" s="152"/>
    </row>
    <row r="114" spans="1:16" x14ac:dyDescent="0.35">
      <c r="A114" s="40">
        <v>256779411578</v>
      </c>
      <c r="B114" s="41">
        <v>45762</v>
      </c>
      <c r="C114" s="23" t="s">
        <v>562</v>
      </c>
      <c r="D114" s="23" t="s">
        <v>724</v>
      </c>
      <c r="E114" s="44"/>
      <c r="F114" s="44">
        <v>610.29449999999997</v>
      </c>
      <c r="G114" s="44">
        <v>-776323.7513</v>
      </c>
      <c r="H114" s="44"/>
      <c r="I114" s="44">
        <v>7.05</v>
      </c>
      <c r="J114" s="44">
        <v>-11722.1366</v>
      </c>
      <c r="L114" s="40">
        <v>256779412126</v>
      </c>
      <c r="M114" s="24"/>
      <c r="N114" s="24">
        <v>450.52199999999999</v>
      </c>
      <c r="O114" s="23">
        <f>VLOOKUP(L114,'Ascendus Data'!$D$3:$F$317,3,0)</f>
        <v>500.58</v>
      </c>
      <c r="P114" s="152"/>
    </row>
    <row r="115" spans="1:16" x14ac:dyDescent="0.35">
      <c r="A115" s="40">
        <v>256779411579</v>
      </c>
      <c r="B115" s="41">
        <v>45762</v>
      </c>
      <c r="C115" s="23" t="s">
        <v>562</v>
      </c>
      <c r="D115" s="23" t="s">
        <v>724</v>
      </c>
      <c r="E115" s="44"/>
      <c r="F115" s="44">
        <v>411.76749999999998</v>
      </c>
      <c r="G115" s="44">
        <v>-776735.51879999996</v>
      </c>
      <c r="H115" s="44"/>
      <c r="I115" s="44">
        <v>4.75</v>
      </c>
      <c r="J115" s="44">
        <v>-11812.1366</v>
      </c>
      <c r="L115" s="40">
        <v>256779412142</v>
      </c>
      <c r="M115" s="24"/>
      <c r="N115" s="24">
        <v>1048.8330000000001</v>
      </c>
      <c r="O115" s="23">
        <f>VLOOKUP(L115,'Ascendus Data'!$D$3:$F$317,3,0)</f>
        <v>1165.3699999999999</v>
      </c>
      <c r="P115" s="152"/>
    </row>
    <row r="116" spans="1:16" x14ac:dyDescent="0.35">
      <c r="A116" s="40">
        <v>256779411580</v>
      </c>
      <c r="B116" s="41">
        <v>45762</v>
      </c>
      <c r="C116" s="23" t="s">
        <v>562</v>
      </c>
      <c r="D116" s="23" t="s">
        <v>724</v>
      </c>
      <c r="E116" s="44"/>
      <c r="F116" s="44">
        <v>1845.328</v>
      </c>
      <c r="G116" s="44">
        <v>-778580.84680000006</v>
      </c>
      <c r="H116" s="44"/>
      <c r="I116" s="44">
        <v>21.32</v>
      </c>
      <c r="J116" s="44">
        <v>-11902.1366</v>
      </c>
      <c r="L116" s="40">
        <v>256779412177</v>
      </c>
      <c r="M116" s="24"/>
      <c r="N116" s="24">
        <v>399.72239999999999</v>
      </c>
      <c r="O116" s="23">
        <f>VLOOKUP(L116,'Ascendus Data'!$D$3:$F$317,3,0)</f>
        <v>407.88</v>
      </c>
      <c r="P116" s="152"/>
    </row>
    <row r="117" spans="1:16" x14ac:dyDescent="0.35">
      <c r="A117" s="40">
        <v>256779411581</v>
      </c>
      <c r="B117" s="41">
        <v>45762</v>
      </c>
      <c r="C117" s="23" t="s">
        <v>562</v>
      </c>
      <c r="D117" s="23" t="s">
        <v>724</v>
      </c>
      <c r="E117" s="44"/>
      <c r="F117" s="44">
        <v>186.41</v>
      </c>
      <c r="G117" s="44">
        <v>-778767.25679999997</v>
      </c>
      <c r="H117" s="44"/>
      <c r="I117" s="44">
        <v>2.16</v>
      </c>
      <c r="J117" s="44">
        <v>-11632.1366</v>
      </c>
      <c r="L117" s="40">
        <v>256779412550</v>
      </c>
      <c r="M117" s="24"/>
      <c r="N117" s="24">
        <v>85.456000000000003</v>
      </c>
      <c r="O117" s="23">
        <f>VLOOKUP(L117,'Ascendus Data'!$D$3:$F$317,3,0)</f>
        <v>87.2</v>
      </c>
      <c r="P117" s="152"/>
    </row>
    <row r="118" spans="1:16" x14ac:dyDescent="0.35">
      <c r="A118" s="40">
        <v>256779411582</v>
      </c>
      <c r="B118" s="41">
        <v>45762</v>
      </c>
      <c r="C118" s="23" t="s">
        <v>562</v>
      </c>
      <c r="D118" s="23" t="s">
        <v>724</v>
      </c>
      <c r="E118" s="44"/>
      <c r="F118" s="44">
        <v>94.070499999999996</v>
      </c>
      <c r="G118" s="44">
        <v>-778861.3273</v>
      </c>
      <c r="H118" s="44"/>
      <c r="I118" s="44">
        <v>1.0900000000000001</v>
      </c>
      <c r="J118" s="44">
        <v>-12098.1366</v>
      </c>
      <c r="L118" s="40">
        <v>256779412582</v>
      </c>
      <c r="M118" s="24"/>
      <c r="N118" s="24">
        <v>55.811</v>
      </c>
      <c r="O118" s="23">
        <f>VLOOKUP(L118,'Ascendus Data'!$D$3:$F$317,3,0)</f>
        <v>56.95</v>
      </c>
      <c r="P118" s="152"/>
    </row>
    <row r="119" spans="1:16" x14ac:dyDescent="0.35">
      <c r="A119" s="40">
        <v>256779411583</v>
      </c>
      <c r="B119" s="41">
        <v>45762</v>
      </c>
      <c r="C119" s="23" t="s">
        <v>562</v>
      </c>
      <c r="D119" s="23" t="s">
        <v>724</v>
      </c>
      <c r="E119" s="44"/>
      <c r="F119" s="44">
        <v>933.05</v>
      </c>
      <c r="G119" s="44">
        <v>-779794.37730000005</v>
      </c>
      <c r="H119" s="44"/>
      <c r="I119" s="44">
        <v>10.78</v>
      </c>
      <c r="J119" s="44">
        <v>-8356.0887999999995</v>
      </c>
      <c r="L119" s="40">
        <v>256779412615</v>
      </c>
      <c r="M119" s="24"/>
      <c r="N119" s="24">
        <v>85.456000000000003</v>
      </c>
      <c r="O119" s="23">
        <f>VLOOKUP(L119,'Ascendus Data'!$D$3:$F$317,3,0)</f>
        <v>87.2</v>
      </c>
      <c r="P119" s="152"/>
    </row>
    <row r="120" spans="1:16" x14ac:dyDescent="0.35">
      <c r="A120" s="40">
        <v>256779411584</v>
      </c>
      <c r="B120" s="41">
        <v>45762</v>
      </c>
      <c r="C120" s="23" t="s">
        <v>562</v>
      </c>
      <c r="D120" s="23" t="s">
        <v>724</v>
      </c>
      <c r="E120" s="44"/>
      <c r="F120" s="44">
        <v>1968.8254999999999</v>
      </c>
      <c r="G120" s="44">
        <v>-781763.20279999997</v>
      </c>
      <c r="H120" s="44"/>
      <c r="I120" s="44">
        <v>22.75</v>
      </c>
      <c r="J120" s="44">
        <v>-12098.1366</v>
      </c>
      <c r="L120" s="40">
        <v>256779412657</v>
      </c>
      <c r="M120" s="24"/>
      <c r="N120" s="24">
        <v>4.8314000000000004</v>
      </c>
      <c r="O120" s="23">
        <f>VLOOKUP(L120,'Ascendus Data'!$D$3:$F$317,3,0)</f>
        <v>4.93</v>
      </c>
      <c r="P120" s="152"/>
    </row>
    <row r="121" spans="1:16" x14ac:dyDescent="0.35">
      <c r="A121" s="40">
        <v>256779411585</v>
      </c>
      <c r="B121" s="41">
        <v>45762</v>
      </c>
      <c r="C121" s="23" t="s">
        <v>562</v>
      </c>
      <c r="D121" s="23" t="s">
        <v>724</v>
      </c>
      <c r="E121" s="44"/>
      <c r="F121" s="44">
        <v>661.95550000000003</v>
      </c>
      <c r="G121" s="44">
        <v>-782425.15830000001</v>
      </c>
      <c r="H121" s="44"/>
      <c r="I121" s="44">
        <v>7.65</v>
      </c>
      <c r="J121" s="44">
        <v>-8356.0887999999995</v>
      </c>
      <c r="L121" s="40">
        <v>256779412928</v>
      </c>
      <c r="M121" s="24"/>
      <c r="N121" s="24">
        <v>11.877599999999999</v>
      </c>
      <c r="O121" s="23">
        <f>VLOOKUP(L121,'Ascendus Data'!$D$3:$F$317,3,0)</f>
        <v>12.12</v>
      </c>
      <c r="P121" s="152"/>
    </row>
    <row r="122" spans="1:16" x14ac:dyDescent="0.35">
      <c r="A122" s="40">
        <v>256779411887</v>
      </c>
      <c r="B122" s="41">
        <v>45763</v>
      </c>
      <c r="C122" s="23" t="s">
        <v>562</v>
      </c>
      <c r="D122" s="23" t="s">
        <v>567</v>
      </c>
      <c r="E122" s="44"/>
      <c r="F122" s="44">
        <v>5965.8855999999996</v>
      </c>
      <c r="G122" s="44">
        <v>-2143241.3020000001</v>
      </c>
      <c r="H122" s="44"/>
      <c r="I122" s="44">
        <v>69.795599999999993</v>
      </c>
      <c r="J122" s="44">
        <v>-8446.0887999999995</v>
      </c>
      <c r="L122" s="40">
        <v>256779413144</v>
      </c>
      <c r="M122" s="24"/>
      <c r="N122" s="24">
        <v>1046.71</v>
      </c>
      <c r="O122" s="23">
        <f>VLOOKUP(L122,'Ascendus Data'!$D$3:$F$317,3,0)</f>
        <v>100000</v>
      </c>
      <c r="P122" s="152"/>
    </row>
    <row r="123" spans="1:16" x14ac:dyDescent="0.35">
      <c r="A123" s="40">
        <v>256779411984</v>
      </c>
      <c r="B123" s="41">
        <v>45763</v>
      </c>
      <c r="C123" s="23" t="s">
        <v>562</v>
      </c>
      <c r="D123" s="23" t="s">
        <v>573</v>
      </c>
      <c r="E123" s="44"/>
      <c r="F123" s="44">
        <v>3324.1365999999998</v>
      </c>
      <c r="G123" s="44">
        <v>-1668425.0773</v>
      </c>
      <c r="H123" s="44"/>
      <c r="I123" s="44">
        <v>38.749200000000002</v>
      </c>
      <c r="J123" s="44">
        <v>-8607.1787999999997</v>
      </c>
      <c r="L123" s="40">
        <v>256779413145</v>
      </c>
      <c r="M123" s="24"/>
      <c r="N123" s="24">
        <v>366.34500000000003</v>
      </c>
      <c r="O123" s="23">
        <f>VLOOKUP(L123,'Ascendus Data'!$D$3:$F$317,3,0)</f>
        <v>35000</v>
      </c>
      <c r="P123" s="152"/>
    </row>
    <row r="124" spans="1:16" x14ac:dyDescent="0.35">
      <c r="A124" s="40">
        <v>256779412020</v>
      </c>
      <c r="B124" s="41">
        <v>45763</v>
      </c>
      <c r="C124" s="23" t="s">
        <v>562</v>
      </c>
      <c r="D124" s="23" t="s">
        <v>573</v>
      </c>
      <c r="E124" s="44"/>
      <c r="F124" s="44">
        <v>7137.7507999999998</v>
      </c>
      <c r="G124" s="44">
        <v>-2295609.4528000001</v>
      </c>
      <c r="H124" s="44"/>
      <c r="I124" s="44">
        <v>83.505799999999994</v>
      </c>
      <c r="J124" s="44">
        <v>-8633.1887999999999</v>
      </c>
      <c r="L124" s="40">
        <v>256779413185</v>
      </c>
      <c r="M124" s="24"/>
      <c r="N124" s="24">
        <v>180</v>
      </c>
      <c r="O124" s="23">
        <f>VLOOKUP(L124,'Ascendus Data'!$D$3:$F$317,3,0)</f>
        <v>200</v>
      </c>
      <c r="P124" s="152"/>
    </row>
    <row r="125" spans="1:16" x14ac:dyDescent="0.35">
      <c r="A125" s="40">
        <v>256779412101</v>
      </c>
      <c r="B125" s="41">
        <v>45793</v>
      </c>
      <c r="C125" s="23" t="s">
        <v>562</v>
      </c>
      <c r="D125" s="23" t="s">
        <v>573</v>
      </c>
      <c r="E125" s="44"/>
      <c r="F125" s="44">
        <v>14655.223900000001</v>
      </c>
      <c r="G125" s="44">
        <v>-555708.94629999995</v>
      </c>
      <c r="H125" s="44"/>
      <c r="I125" s="44">
        <v>168.28</v>
      </c>
      <c r="J125" s="44">
        <v>-8715.7587999999996</v>
      </c>
      <c r="L125" s="40">
        <v>256779413231</v>
      </c>
      <c r="M125" s="24"/>
      <c r="N125" s="24">
        <v>98</v>
      </c>
      <c r="O125" s="23">
        <f>VLOOKUP(L125,'Ascendus Data'!$D$3:$F$317,3,0)</f>
        <v>100</v>
      </c>
      <c r="P125" s="152"/>
    </row>
    <row r="126" spans="1:16" x14ac:dyDescent="0.35">
      <c r="A126" s="40">
        <v>256779412126</v>
      </c>
      <c r="B126" s="41">
        <v>45763</v>
      </c>
      <c r="C126" s="23" t="s">
        <v>562</v>
      </c>
      <c r="D126" s="23" t="s">
        <v>563</v>
      </c>
      <c r="E126" s="44"/>
      <c r="F126" s="44">
        <v>38650.758199999997</v>
      </c>
      <c r="G126" s="44">
        <v>-1458025.4436000001</v>
      </c>
      <c r="H126" s="44"/>
      <c r="I126" s="44">
        <v>450.52199999999999</v>
      </c>
      <c r="J126" s="44">
        <v>-8751.9187999999995</v>
      </c>
      <c r="L126" s="40">
        <v>256779413244</v>
      </c>
      <c r="M126" s="24"/>
      <c r="N126" s="24">
        <v>393.21519999999998</v>
      </c>
      <c r="O126" s="23">
        <f>VLOOKUP(L126,'Ascendus Data'!$D$3:$F$317,3,0)</f>
        <v>401.24</v>
      </c>
      <c r="P126" s="152"/>
    </row>
    <row r="127" spans="1:16" x14ac:dyDescent="0.35">
      <c r="A127" s="40">
        <v>256779412142</v>
      </c>
      <c r="B127" s="42">
        <v>45768</v>
      </c>
      <c r="C127" s="23" t="s">
        <v>562</v>
      </c>
      <c r="D127" s="23" t="s">
        <v>563</v>
      </c>
      <c r="E127" s="44"/>
      <c r="F127" s="44">
        <v>89979.092300000004</v>
      </c>
      <c r="G127" s="44">
        <v>-1656791.9406999999</v>
      </c>
      <c r="H127" s="44"/>
      <c r="I127" s="44">
        <v>1048.8330000000001</v>
      </c>
      <c r="J127" s="44">
        <v>-8771.7487999999994</v>
      </c>
      <c r="L127" s="40">
        <v>256779413256</v>
      </c>
      <c r="M127" s="24"/>
      <c r="N127" s="24">
        <v>264.60000000000002</v>
      </c>
      <c r="O127" s="23">
        <f>VLOOKUP(L127,'Ascendus Data'!$D$3:$F$317,3,0)</f>
        <v>270</v>
      </c>
      <c r="P127" s="152"/>
    </row>
    <row r="128" spans="1:16" x14ac:dyDescent="0.35">
      <c r="A128" s="40">
        <v>256779412177</v>
      </c>
      <c r="B128" s="42">
        <v>45768</v>
      </c>
      <c r="C128" s="23" t="s">
        <v>562</v>
      </c>
      <c r="D128" s="23" t="s">
        <v>569</v>
      </c>
      <c r="E128" s="44"/>
      <c r="F128" s="44">
        <v>34292.025199999996</v>
      </c>
      <c r="G128" s="44">
        <v>-1566812.8484</v>
      </c>
      <c r="H128" s="44"/>
      <c r="I128" s="44">
        <v>399.72239999999999</v>
      </c>
      <c r="J128" s="44">
        <v>-8885.7387999999992</v>
      </c>
      <c r="L128" s="40">
        <v>256779413284</v>
      </c>
      <c r="M128" s="24"/>
      <c r="N128" s="24">
        <v>34.299999999999997</v>
      </c>
      <c r="O128" s="23">
        <f>VLOOKUP(L128,'Ascendus Data'!$D$3:$F$317,3,0)</f>
        <v>35</v>
      </c>
      <c r="P128" s="152"/>
    </row>
    <row r="129" spans="1:16" x14ac:dyDescent="0.35">
      <c r="A129" s="40">
        <v>256779412550</v>
      </c>
      <c r="B129" s="41">
        <v>45769</v>
      </c>
      <c r="C129" s="23" t="s">
        <v>562</v>
      </c>
      <c r="D129" s="23" t="s">
        <v>567</v>
      </c>
      <c r="E129" s="44"/>
      <c r="F129" s="44">
        <v>7304.8559999999998</v>
      </c>
      <c r="G129" s="44">
        <v>-2302914.3088000002</v>
      </c>
      <c r="H129" s="44"/>
      <c r="I129" s="44">
        <v>85.456000000000003</v>
      </c>
      <c r="J129" s="44">
        <v>-8907.2988000000005</v>
      </c>
      <c r="L129" s="40">
        <v>256779413313</v>
      </c>
      <c r="M129" s="24"/>
      <c r="N129" s="24">
        <v>84.28</v>
      </c>
      <c r="O129" s="23">
        <f>VLOOKUP(L129,'Ascendus Data'!$D$3:$F$317,3,0)</f>
        <v>86</v>
      </c>
      <c r="P129" s="152"/>
    </row>
    <row r="130" spans="1:16" x14ac:dyDescent="0.35">
      <c r="A130" s="40">
        <v>256779412582</v>
      </c>
      <c r="B130" s="41">
        <v>45769</v>
      </c>
      <c r="C130" s="23" t="s">
        <v>562</v>
      </c>
      <c r="D130" s="23" t="s">
        <v>567</v>
      </c>
      <c r="E130" s="44"/>
      <c r="F130" s="44">
        <v>4771.0860000000002</v>
      </c>
      <c r="G130" s="44">
        <v>-2307685.3947999999</v>
      </c>
      <c r="H130" s="44"/>
      <c r="I130" s="44">
        <v>55.811</v>
      </c>
      <c r="J130" s="44">
        <v>-8911.6088</v>
      </c>
      <c r="L130" s="40">
        <v>256779413358</v>
      </c>
      <c r="M130" s="24"/>
      <c r="N130" s="24">
        <v>19.707799999999999</v>
      </c>
      <c r="O130" s="23">
        <f>VLOOKUP(L130,'Ascendus Data'!$D$3:$F$317,3,0)</f>
        <v>20.11</v>
      </c>
      <c r="P130" s="152"/>
    </row>
    <row r="131" spans="1:16" x14ac:dyDescent="0.35">
      <c r="A131" s="40">
        <v>256779412615</v>
      </c>
      <c r="B131" s="41">
        <v>45769</v>
      </c>
      <c r="C131" s="23" t="s">
        <v>562</v>
      </c>
      <c r="D131" s="23" t="s">
        <v>567</v>
      </c>
      <c r="E131" s="44"/>
      <c r="F131" s="44">
        <v>7330.8879999999999</v>
      </c>
      <c r="G131" s="44">
        <v>-1676170.91</v>
      </c>
      <c r="H131" s="44"/>
      <c r="I131" s="44">
        <v>85.456000000000003</v>
      </c>
      <c r="J131" s="44">
        <v>-8917.3287999999993</v>
      </c>
      <c r="L131" s="40">
        <v>256779413487</v>
      </c>
      <c r="M131" s="24"/>
      <c r="N131" s="24">
        <v>95.941999999999993</v>
      </c>
      <c r="O131" s="23">
        <f>VLOOKUP(L131,'Ascendus Data'!$D$3:$F$317,3,0)</f>
        <v>97.9</v>
      </c>
      <c r="P131" s="152"/>
    </row>
    <row r="132" spans="1:16" x14ac:dyDescent="0.35">
      <c r="A132" s="40">
        <v>256779412657</v>
      </c>
      <c r="B132" s="41">
        <v>45769</v>
      </c>
      <c r="C132" s="23" t="s">
        <v>562</v>
      </c>
      <c r="D132" s="23" t="s">
        <v>567</v>
      </c>
      <c r="E132" s="44"/>
      <c r="F132" s="44">
        <v>414.94470000000001</v>
      </c>
      <c r="G132" s="44">
        <v>-1668840.0220000001</v>
      </c>
      <c r="H132" s="44"/>
      <c r="I132" s="44">
        <v>4.8314000000000004</v>
      </c>
      <c r="J132" s="44">
        <v>-8918.1088</v>
      </c>
      <c r="L132" s="40">
        <v>256779413841</v>
      </c>
      <c r="M132" s="24"/>
      <c r="N132" s="24">
        <v>98</v>
      </c>
      <c r="O132" s="23">
        <f>VLOOKUP(L132,'Ascendus Data'!$D$3:$F$317,3,0)</f>
        <v>100</v>
      </c>
      <c r="P132" s="152"/>
    </row>
    <row r="133" spans="1:16" x14ac:dyDescent="0.35">
      <c r="A133" s="40">
        <v>256779412928</v>
      </c>
      <c r="B133" s="41">
        <v>45770</v>
      </c>
      <c r="C133" s="23" t="s">
        <v>562</v>
      </c>
      <c r="D133" s="23" t="s">
        <v>724</v>
      </c>
      <c r="E133" s="44"/>
      <c r="F133" s="44">
        <v>1031.5008</v>
      </c>
      <c r="G133" s="44">
        <v>-897643.21070000005</v>
      </c>
      <c r="H133" s="44"/>
      <c r="I133" s="44">
        <v>11.877599999999999</v>
      </c>
      <c r="J133" s="44">
        <v>-8931.6787999999997</v>
      </c>
      <c r="L133" s="40">
        <v>256779413847</v>
      </c>
      <c r="M133" s="24"/>
      <c r="N133" s="24">
        <v>98</v>
      </c>
      <c r="O133" s="23">
        <f>VLOOKUP(L133,'Ascendus Data'!$D$3:$F$317,3,0)</f>
        <v>100</v>
      </c>
      <c r="P133" s="152"/>
    </row>
    <row r="134" spans="1:16" x14ac:dyDescent="0.35">
      <c r="A134" s="40">
        <v>256779413144</v>
      </c>
      <c r="B134" s="41">
        <v>45787</v>
      </c>
      <c r="C134" s="23" t="s">
        <v>562</v>
      </c>
      <c r="D134" s="23" t="s">
        <v>563</v>
      </c>
      <c r="E134" s="44"/>
      <c r="F134" s="44">
        <v>89577.395799999998</v>
      </c>
      <c r="G134" s="44">
        <v>-950718.10649999999</v>
      </c>
      <c r="H134" s="44"/>
      <c r="I134" s="44">
        <v>1046.71</v>
      </c>
      <c r="J134" s="44">
        <v>-8949.4688000000006</v>
      </c>
      <c r="L134" s="40">
        <v>256779413848</v>
      </c>
      <c r="M134" s="24"/>
      <c r="N134" s="24">
        <v>98</v>
      </c>
      <c r="O134" s="23">
        <f>VLOOKUP(L134,'Ascendus Data'!$D$3:$F$317,3,0)</f>
        <v>100</v>
      </c>
      <c r="P134" s="152"/>
    </row>
    <row r="135" spans="1:16" x14ac:dyDescent="0.35">
      <c r="A135" s="40">
        <v>256779413145</v>
      </c>
      <c r="B135" s="41">
        <v>45787</v>
      </c>
      <c r="C135" s="23" t="s">
        <v>562</v>
      </c>
      <c r="D135" s="23" t="s">
        <v>563</v>
      </c>
      <c r="E135" s="44"/>
      <c r="F135" s="44">
        <v>32484.123500000002</v>
      </c>
      <c r="G135" s="44">
        <v>-160515.8682</v>
      </c>
      <c r="H135" s="44"/>
      <c r="I135" s="44">
        <v>366.34500000000003</v>
      </c>
      <c r="J135" s="44">
        <v>-8970.3988000000008</v>
      </c>
      <c r="L135" s="40">
        <v>256779413897</v>
      </c>
      <c r="M135" s="24"/>
      <c r="N135" s="24">
        <v>497.916</v>
      </c>
      <c r="O135" s="23">
        <f>VLOOKUP(L135,'Ascendus Data'!$D$3:$F$317,3,0)</f>
        <v>553.24</v>
      </c>
      <c r="P135" s="152"/>
    </row>
    <row r="136" spans="1:16" x14ac:dyDescent="0.35">
      <c r="A136" s="40">
        <v>256779413185</v>
      </c>
      <c r="B136" s="42">
        <v>45815</v>
      </c>
      <c r="C136" s="23" t="s">
        <v>562</v>
      </c>
      <c r="D136" s="23" t="s">
        <v>577</v>
      </c>
      <c r="E136" s="44"/>
      <c r="F136" s="44">
        <v>15442</v>
      </c>
      <c r="G136" s="44">
        <v>-1473467.4436000001</v>
      </c>
      <c r="H136" s="44"/>
      <c r="I136" s="44">
        <v>180</v>
      </c>
      <c r="J136" s="44">
        <v>-8972.3287999999993</v>
      </c>
      <c r="L136" s="40">
        <v>256779414217</v>
      </c>
      <c r="M136" s="24"/>
      <c r="N136" s="24">
        <v>70.324799999999996</v>
      </c>
      <c r="O136" s="23">
        <f>VLOOKUP(L136,'Ascendus Data'!$D$3:$F$317,3,0)</f>
        <v>71.760000000000005</v>
      </c>
      <c r="P136" s="152"/>
    </row>
    <row r="137" spans="1:16" x14ac:dyDescent="0.35">
      <c r="A137" s="40">
        <v>256779413231</v>
      </c>
      <c r="B137" s="41">
        <v>45787</v>
      </c>
      <c r="C137" s="23" t="s">
        <v>562</v>
      </c>
      <c r="D137" s="23" t="s">
        <v>573</v>
      </c>
      <c r="E137" s="44"/>
      <c r="F137" s="44">
        <v>8407</v>
      </c>
      <c r="G137" s="44">
        <v>-1532520.8232</v>
      </c>
      <c r="H137" s="44"/>
      <c r="I137" s="44">
        <v>98</v>
      </c>
      <c r="J137" s="44">
        <v>-8996.0588000000007</v>
      </c>
      <c r="L137" s="40">
        <v>256779414240</v>
      </c>
      <c r="M137" s="24"/>
      <c r="N137" s="24">
        <v>1205.0999999999999</v>
      </c>
      <c r="O137" s="23">
        <f>VLOOKUP(L137,'Ascendus Data'!$D$3:$F$317,3,0)</f>
        <v>1339</v>
      </c>
      <c r="P137" s="152"/>
    </row>
    <row r="138" spans="1:16" x14ac:dyDescent="0.35">
      <c r="A138" s="40">
        <v>256779413244</v>
      </c>
      <c r="B138" s="41">
        <v>45787</v>
      </c>
      <c r="C138" s="23" t="s">
        <v>562</v>
      </c>
      <c r="D138" s="23" t="s">
        <v>573</v>
      </c>
      <c r="E138" s="44"/>
      <c r="F138" s="44">
        <v>33734.3796</v>
      </c>
      <c r="G138" s="44">
        <v>-1524113.8232</v>
      </c>
      <c r="H138" s="44"/>
      <c r="I138" s="44">
        <v>393.21519999999998</v>
      </c>
      <c r="J138" s="44">
        <v>-9010.4688000000006</v>
      </c>
      <c r="L138" s="40">
        <v>256779414275</v>
      </c>
      <c r="M138" s="24"/>
      <c r="N138" s="24">
        <v>133.35839999999999</v>
      </c>
      <c r="O138" s="23">
        <f>VLOOKUP(L138,'Ascendus Data'!$D$3:$F$317,3,0)</f>
        <v>136.08000000000001</v>
      </c>
      <c r="P138" s="152"/>
    </row>
    <row r="139" spans="1:16" x14ac:dyDescent="0.35">
      <c r="A139" s="40">
        <v>256779413256</v>
      </c>
      <c r="B139" s="41">
        <v>45793</v>
      </c>
      <c r="C139" s="23" t="s">
        <v>562</v>
      </c>
      <c r="D139" s="23" t="s">
        <v>704</v>
      </c>
      <c r="E139" s="44"/>
      <c r="F139" s="44">
        <v>22625.7</v>
      </c>
      <c r="G139" s="44">
        <v>-914733.35199999996</v>
      </c>
      <c r="H139" s="44"/>
      <c r="I139" s="44">
        <v>264.60000000000002</v>
      </c>
      <c r="J139" s="44">
        <v>-9032.3718000000008</v>
      </c>
      <c r="L139" s="40">
        <v>256779414317</v>
      </c>
      <c r="M139" s="24"/>
      <c r="N139" s="24">
        <v>683.48140000000001</v>
      </c>
      <c r="O139" s="23">
        <f>VLOOKUP(L139,'Ascendus Data'!$D$3:$F$317,3,0)</f>
        <v>697.43</v>
      </c>
      <c r="P139" s="152"/>
    </row>
    <row r="140" spans="1:16" x14ac:dyDescent="0.35">
      <c r="A140" s="40">
        <v>256779413284</v>
      </c>
      <c r="B140" s="41">
        <v>45793</v>
      </c>
      <c r="C140" s="23" t="s">
        <v>562</v>
      </c>
      <c r="D140" s="23" t="s">
        <v>573</v>
      </c>
      <c r="E140" s="44"/>
      <c r="F140" s="44">
        <v>2932.85</v>
      </c>
      <c r="G140" s="44">
        <v>-917666.20200000005</v>
      </c>
      <c r="H140" s="44"/>
      <c r="I140" s="44">
        <v>34.299999999999997</v>
      </c>
      <c r="J140" s="44">
        <v>-9053.4617999999991</v>
      </c>
      <c r="L140" s="40">
        <v>256779414341</v>
      </c>
      <c r="M140" s="24"/>
      <c r="N140" s="24">
        <v>196</v>
      </c>
      <c r="O140" s="23">
        <f>VLOOKUP(L140,'Ascendus Data'!$D$3:$F$317,3,0)</f>
        <v>200</v>
      </c>
      <c r="P140" s="152"/>
    </row>
    <row r="141" spans="1:16" x14ac:dyDescent="0.35">
      <c r="A141" s="40">
        <v>256779413313</v>
      </c>
      <c r="B141" s="41">
        <v>45793</v>
      </c>
      <c r="C141" s="23" t="s">
        <v>562</v>
      </c>
      <c r="D141" s="23" t="s">
        <v>724</v>
      </c>
      <c r="E141" s="44"/>
      <c r="F141" s="44">
        <v>7472.62</v>
      </c>
      <c r="G141" s="44">
        <v>-67542.557700000005</v>
      </c>
      <c r="H141" s="44"/>
      <c r="I141" s="44">
        <v>84.28</v>
      </c>
      <c r="J141" s="44">
        <v>-9054.9717999999993</v>
      </c>
      <c r="L141" s="40">
        <v>256779414356</v>
      </c>
      <c r="M141" s="24"/>
      <c r="N141" s="24">
        <v>1052.748</v>
      </c>
      <c r="O141" s="23">
        <f>VLOOKUP(L141,'Ascendus Data'!$D$3:$F$317,3,0)</f>
        <v>100000</v>
      </c>
      <c r="P141" s="152"/>
    </row>
    <row r="142" spans="1:16" x14ac:dyDescent="0.35">
      <c r="A142" s="40">
        <v>256779413358</v>
      </c>
      <c r="B142" s="41">
        <v>45793</v>
      </c>
      <c r="C142" s="23" t="s">
        <v>562</v>
      </c>
      <c r="D142" s="23" t="s">
        <v>724</v>
      </c>
      <c r="E142" s="44"/>
      <c r="F142" s="44">
        <v>1747.1537000000001</v>
      </c>
      <c r="G142" s="44">
        <v>-1456.2492999999999</v>
      </c>
      <c r="H142" s="44"/>
      <c r="I142" s="44">
        <v>19.707799999999999</v>
      </c>
      <c r="J142" s="44">
        <v>-9062.0218000000004</v>
      </c>
      <c r="L142" s="40">
        <v>256779414357</v>
      </c>
      <c r="M142" s="24"/>
      <c r="N142" s="24">
        <v>368.46</v>
      </c>
      <c r="O142" s="23">
        <f>VLOOKUP(L142,'Ascendus Data'!$D$3:$F$317,3,0)</f>
        <v>35000</v>
      </c>
      <c r="P142" s="152"/>
    </row>
    <row r="143" spans="1:16" x14ac:dyDescent="0.35">
      <c r="A143" s="40">
        <v>256779413487</v>
      </c>
      <c r="B143" s="41">
        <v>45797</v>
      </c>
      <c r="C143" s="23" t="s">
        <v>562</v>
      </c>
      <c r="D143" s="23" t="s">
        <v>724</v>
      </c>
      <c r="E143" s="44"/>
      <c r="F143" s="44">
        <v>8506.7929999999997</v>
      </c>
      <c r="G143" s="44">
        <v>-9963.0422999999992</v>
      </c>
      <c r="H143" s="44"/>
      <c r="I143" s="44">
        <v>95.941999999999993</v>
      </c>
      <c r="J143" s="44">
        <v>-9066.7718000000004</v>
      </c>
      <c r="L143" s="40">
        <v>256779414735</v>
      </c>
      <c r="M143" s="24"/>
      <c r="N143" s="24">
        <v>90</v>
      </c>
      <c r="O143" s="23">
        <f>VLOOKUP(L143,'Ascendus Data'!$D$3:$F$317,3,0)</f>
        <v>100</v>
      </c>
      <c r="P143" s="152"/>
    </row>
    <row r="144" spans="1:16" x14ac:dyDescent="0.35">
      <c r="A144" s="40">
        <v>256779413841</v>
      </c>
      <c r="B144" s="41">
        <v>45797</v>
      </c>
      <c r="C144" s="23" t="s">
        <v>562</v>
      </c>
      <c r="D144" s="23" t="s">
        <v>573</v>
      </c>
      <c r="E144" s="44"/>
      <c r="F144" s="44">
        <v>8407</v>
      </c>
      <c r="G144" s="44">
        <v>-1490281.4436000001</v>
      </c>
      <c r="H144" s="44"/>
      <c r="I144" s="44">
        <v>98</v>
      </c>
      <c r="J144" s="44">
        <v>-9088.0918000000001</v>
      </c>
      <c r="L144" s="40">
        <v>256779414772</v>
      </c>
      <c r="M144" s="24"/>
      <c r="N144" s="24">
        <v>215.6</v>
      </c>
      <c r="O144" s="23">
        <f>VLOOKUP(L144,'Ascendus Data'!$D$3:$F$317,3,0)</f>
        <v>220</v>
      </c>
      <c r="P144" s="152"/>
    </row>
    <row r="145" spans="1:16" x14ac:dyDescent="0.35">
      <c r="A145" s="40">
        <v>256779413847</v>
      </c>
      <c r="B145" s="42">
        <v>45797</v>
      </c>
      <c r="C145" s="23" t="s">
        <v>562</v>
      </c>
      <c r="D145" s="23" t="s">
        <v>573</v>
      </c>
      <c r="E145" s="44"/>
      <c r="F145" s="44">
        <v>8407</v>
      </c>
      <c r="G145" s="44">
        <v>-1481874.4436000001</v>
      </c>
      <c r="H145" s="44"/>
      <c r="I145" s="44">
        <v>98</v>
      </c>
      <c r="J145" s="44">
        <v>-9090.2518</v>
      </c>
      <c r="L145" s="40">
        <v>256779414830</v>
      </c>
      <c r="M145" s="24"/>
      <c r="N145" s="24">
        <v>139.4736</v>
      </c>
      <c r="O145" s="23">
        <f>VLOOKUP(L145,'Ascendus Data'!$D$3:$F$317,3,0)</f>
        <v>142.32</v>
      </c>
      <c r="P145" s="152"/>
    </row>
    <row r="146" spans="1:16" x14ac:dyDescent="0.35">
      <c r="A146" s="40">
        <v>256779413848</v>
      </c>
      <c r="B146" s="42">
        <v>45797</v>
      </c>
      <c r="C146" s="23" t="s">
        <v>562</v>
      </c>
      <c r="D146" s="23" t="s">
        <v>573</v>
      </c>
      <c r="E146" s="44"/>
      <c r="F146" s="44">
        <v>8407</v>
      </c>
      <c r="G146" s="44">
        <v>-1665100.9406999999</v>
      </c>
      <c r="H146" s="44"/>
      <c r="I146" s="44">
        <v>98</v>
      </c>
      <c r="J146" s="44">
        <v>-9091.3418000000001</v>
      </c>
      <c r="L146" s="40">
        <v>256779414879</v>
      </c>
      <c r="M146" s="24"/>
      <c r="N146" s="24">
        <v>1627.5447999999999</v>
      </c>
      <c r="O146" s="23">
        <f>VLOOKUP(L146,'Ascendus Data'!$D$3:$F$317,3,0)</f>
        <v>1663.92</v>
      </c>
      <c r="P146" s="152"/>
    </row>
    <row r="147" spans="1:16" x14ac:dyDescent="0.35">
      <c r="A147" s="40">
        <v>256779413897</v>
      </c>
      <c r="B147" s="41">
        <v>45805</v>
      </c>
      <c r="C147" s="23" t="s">
        <v>562</v>
      </c>
      <c r="D147" s="23" t="s">
        <v>563</v>
      </c>
      <c r="E147" s="44"/>
      <c r="F147" s="44">
        <v>42810.575199999999</v>
      </c>
      <c r="G147" s="44">
        <v>-993565.54749999999</v>
      </c>
      <c r="H147" s="44"/>
      <c r="I147" s="44">
        <v>497.916</v>
      </c>
      <c r="J147" s="44">
        <v>-9102.1218000000008</v>
      </c>
      <c r="L147" s="40">
        <v>256779414888</v>
      </c>
      <c r="M147" s="24"/>
      <c r="N147" s="24">
        <v>10.691800000000001</v>
      </c>
      <c r="O147" s="23" t="e">
        <f>VLOOKUP(L147,'Ascendus Data'!$D$3:$F$317,3,0)</f>
        <v>#N/A</v>
      </c>
      <c r="P147" s="152"/>
    </row>
    <row r="148" spans="1:16" x14ac:dyDescent="0.35">
      <c r="A148" s="40">
        <v>256779414217</v>
      </c>
      <c r="B148" s="41">
        <v>45812</v>
      </c>
      <c r="C148" s="23" t="s">
        <v>562</v>
      </c>
      <c r="D148" s="23" t="s">
        <v>724</v>
      </c>
      <c r="E148" s="44"/>
      <c r="F148" s="44">
        <v>6106.6383999999998</v>
      </c>
      <c r="G148" s="44">
        <v>-895773.33589999995</v>
      </c>
      <c r="H148" s="44"/>
      <c r="I148" s="44">
        <v>70.324799999999996</v>
      </c>
      <c r="J148" s="44">
        <v>-9124.8718000000008</v>
      </c>
      <c r="L148" s="40">
        <v>256779414891</v>
      </c>
      <c r="M148" s="24"/>
      <c r="N148" s="24">
        <v>371.99700000000001</v>
      </c>
      <c r="O148" s="23">
        <f>VLOOKUP(L148,'Ascendus Data'!$D$3:$F$317,3,0)</f>
        <v>413.33</v>
      </c>
      <c r="P148" s="152"/>
    </row>
    <row r="149" spans="1:16" x14ac:dyDescent="0.35">
      <c r="A149" s="40">
        <v>256779414240</v>
      </c>
      <c r="B149" s="41">
        <v>45815</v>
      </c>
      <c r="C149" s="23" t="s">
        <v>562</v>
      </c>
      <c r="D149" s="23" t="s">
        <v>563</v>
      </c>
      <c r="E149" s="44"/>
      <c r="F149" s="44">
        <v>103047.89</v>
      </c>
      <c r="G149" s="44">
        <v>-770580.10080000001</v>
      </c>
      <c r="H149" s="44"/>
      <c r="I149" s="44">
        <v>1205.0999999999999</v>
      </c>
      <c r="J149" s="44">
        <v>-9132.5218000000004</v>
      </c>
      <c r="L149" s="40">
        <v>256779414904</v>
      </c>
      <c r="M149" s="24"/>
      <c r="N149" s="24">
        <v>67.590599999999995</v>
      </c>
      <c r="O149" s="23">
        <f>VLOOKUP(L149,'Ascendus Data'!$D$3:$F$317,3,0)</f>
        <v>68.97</v>
      </c>
      <c r="P149" s="152"/>
    </row>
    <row r="150" spans="1:16" x14ac:dyDescent="0.35">
      <c r="A150" s="40">
        <v>256779414275</v>
      </c>
      <c r="B150" s="41">
        <v>45812</v>
      </c>
      <c r="C150" s="23" t="s">
        <v>562</v>
      </c>
      <c r="D150" s="23" t="s">
        <v>573</v>
      </c>
      <c r="E150" s="44"/>
      <c r="F150" s="44">
        <v>11403.200800000001</v>
      </c>
      <c r="G150" s="44">
        <v>-929069.40280000004</v>
      </c>
      <c r="H150" s="44"/>
      <c r="I150" s="44">
        <v>133.35839999999999</v>
      </c>
      <c r="J150" s="44">
        <v>-9348.1218000000008</v>
      </c>
      <c r="L150" s="40">
        <v>256779414914</v>
      </c>
      <c r="M150" s="24"/>
      <c r="N150" s="24">
        <v>1046.502</v>
      </c>
      <c r="O150" s="23">
        <f>VLOOKUP(L150,'Ascendus Data'!$D$3:$F$317,3,0)</f>
        <v>100000</v>
      </c>
      <c r="P150" s="152"/>
    </row>
    <row r="151" spans="1:16" x14ac:dyDescent="0.35">
      <c r="A151" s="40">
        <v>256779414317</v>
      </c>
      <c r="B151" s="41">
        <v>45827</v>
      </c>
      <c r="C151" s="23" t="s">
        <v>562</v>
      </c>
      <c r="D151" s="23" t="s">
        <v>573</v>
      </c>
      <c r="E151" s="44"/>
      <c r="F151" s="44">
        <v>58444.239300000001</v>
      </c>
      <c r="G151" s="44">
        <v>-987513.64210000006</v>
      </c>
      <c r="H151" s="44"/>
      <c r="I151" s="44">
        <v>683.48140000000001</v>
      </c>
      <c r="J151" s="44">
        <v>-9397.1218000000008</v>
      </c>
      <c r="L151" s="40">
        <v>256779414915</v>
      </c>
      <c r="M151" s="24"/>
      <c r="N151" s="24">
        <v>398.8306</v>
      </c>
      <c r="O151" s="23">
        <f>VLOOKUP(L151,'Ascendus Data'!$D$3:$F$317,3,0)</f>
        <v>35000</v>
      </c>
      <c r="P151" s="152"/>
    </row>
    <row r="152" spans="1:16" x14ac:dyDescent="0.35">
      <c r="A152" s="40">
        <v>256779414341</v>
      </c>
      <c r="B152" s="41">
        <v>45821</v>
      </c>
      <c r="C152" s="23" t="s">
        <v>562</v>
      </c>
      <c r="D152" s="23" t="s">
        <v>573</v>
      </c>
      <c r="E152" s="44"/>
      <c r="F152" s="44">
        <v>16823</v>
      </c>
      <c r="G152" s="44">
        <v>-1035236.6421000001</v>
      </c>
      <c r="H152" s="44"/>
      <c r="I152" s="44">
        <v>196</v>
      </c>
      <c r="J152" s="44">
        <v>-9446.1218000000008</v>
      </c>
      <c r="L152" s="40">
        <v>256779414956</v>
      </c>
      <c r="M152" s="24"/>
      <c r="N152" s="24">
        <v>49</v>
      </c>
      <c r="O152" s="23">
        <f>VLOOKUP(L152,'Ascendus Data'!$D$3:$F$317,3,0)</f>
        <v>50</v>
      </c>
      <c r="P152" s="152"/>
    </row>
    <row r="153" spans="1:16" x14ac:dyDescent="0.35">
      <c r="A153" s="40">
        <v>256779414356</v>
      </c>
      <c r="B153" s="41">
        <v>45818</v>
      </c>
      <c r="C153" s="23" t="s">
        <v>562</v>
      </c>
      <c r="D153" s="23" t="s">
        <v>563</v>
      </c>
      <c r="E153" s="44"/>
      <c r="F153" s="44">
        <v>90020.757199999993</v>
      </c>
      <c r="G153" s="44">
        <v>-892107.652</v>
      </c>
      <c r="H153" s="44"/>
      <c r="I153" s="44">
        <v>1052.748</v>
      </c>
      <c r="J153" s="44">
        <v>-9585.5954000000002</v>
      </c>
      <c r="L153" s="40">
        <v>256779414957</v>
      </c>
      <c r="M153" s="24"/>
      <c r="N153" s="24">
        <v>49</v>
      </c>
      <c r="O153" s="23">
        <f>VLOOKUP(L153,'Ascendus Data'!$D$3:$F$317,3,0)</f>
        <v>50</v>
      </c>
      <c r="P153" s="152"/>
    </row>
    <row r="154" spans="1:16" x14ac:dyDescent="0.35">
      <c r="A154" s="40">
        <v>256779414357</v>
      </c>
      <c r="B154" s="41">
        <v>45818</v>
      </c>
      <c r="C154" s="23" t="s">
        <v>562</v>
      </c>
      <c r="D154" s="23" t="s">
        <v>563</v>
      </c>
      <c r="E154" s="44"/>
      <c r="F154" s="44">
        <v>31506.794000000002</v>
      </c>
      <c r="G154" s="44">
        <v>-802086.89480000001</v>
      </c>
      <c r="H154" s="44"/>
      <c r="I154" s="44">
        <v>368.46</v>
      </c>
      <c r="J154" s="44">
        <v>-9927.8701999999994</v>
      </c>
      <c r="L154" s="40">
        <v>256779415017</v>
      </c>
      <c r="M154" s="24"/>
      <c r="N154" s="24">
        <v>342.27480000000003</v>
      </c>
      <c r="O154" s="23">
        <f>VLOOKUP(L154,'Ascendus Data'!$D$3:$F$317,3,0)</f>
        <v>349.26</v>
      </c>
      <c r="P154" s="152"/>
    </row>
    <row r="155" spans="1:16" x14ac:dyDescent="0.35">
      <c r="A155" s="40">
        <v>256779414735</v>
      </c>
      <c r="B155" s="41">
        <v>45827</v>
      </c>
      <c r="C155" s="23" t="s">
        <v>562</v>
      </c>
      <c r="D155" s="23" t="s">
        <v>563</v>
      </c>
      <c r="E155" s="44"/>
      <c r="F155" s="44">
        <v>7758</v>
      </c>
      <c r="G155" s="44">
        <v>-723013.2108</v>
      </c>
      <c r="H155" s="44"/>
      <c r="I155" s="44">
        <v>90</v>
      </c>
      <c r="J155" s="44">
        <v>-10299.867200000001</v>
      </c>
      <c r="L155" s="40">
        <v>256779415196</v>
      </c>
      <c r="M155" s="24"/>
      <c r="N155" s="24">
        <v>15.731999999999999</v>
      </c>
      <c r="O155" s="23">
        <f>VLOOKUP(L155,'Ascendus Data'!$D$3:$F$317,3,0)</f>
        <v>17.48</v>
      </c>
      <c r="P155" s="152"/>
    </row>
    <row r="156" spans="1:16" x14ac:dyDescent="0.35">
      <c r="A156" s="40">
        <v>256779414772</v>
      </c>
      <c r="B156" s="41">
        <v>45842</v>
      </c>
      <c r="C156" s="23" t="s">
        <v>562</v>
      </c>
      <c r="D156" s="23" t="s">
        <v>704</v>
      </c>
      <c r="E156" s="44"/>
      <c r="F156" s="44">
        <v>18722.8</v>
      </c>
      <c r="G156" s="44">
        <v>-801147.95830000006</v>
      </c>
      <c r="H156" s="44"/>
      <c r="I156" s="44">
        <v>215.6</v>
      </c>
      <c r="J156" s="44">
        <v>-10367.4578</v>
      </c>
      <c r="L156" s="40">
        <v>256779415264</v>
      </c>
      <c r="M156" s="24"/>
      <c r="N156" s="24">
        <v>907.59</v>
      </c>
      <c r="O156" s="23">
        <f>VLOOKUP(L156,'Ascendus Data'!$D$3:$F$317,3,0)</f>
        <v>926.11</v>
      </c>
      <c r="P156" s="152"/>
    </row>
    <row r="157" spans="1:16" x14ac:dyDescent="0.35">
      <c r="A157" s="40">
        <v>256779414830</v>
      </c>
      <c r="B157" s="41">
        <v>45842</v>
      </c>
      <c r="C157" s="23" t="s">
        <v>562</v>
      </c>
      <c r="D157" s="23" t="s">
        <v>724</v>
      </c>
      <c r="E157" s="44"/>
      <c r="F157" s="44">
        <v>12112.068799999999</v>
      </c>
      <c r="G157" s="44">
        <v>-821770.02709999995</v>
      </c>
      <c r="H157" s="44"/>
      <c r="I157" s="44">
        <v>139.4736</v>
      </c>
      <c r="J157" s="44">
        <v>-10437.7826</v>
      </c>
      <c r="L157" s="40">
        <v>256779415432</v>
      </c>
      <c r="M157" s="24"/>
      <c r="N157" s="24">
        <v>290.70999999999998</v>
      </c>
      <c r="O157" s="23">
        <f>VLOOKUP(L157,'Ascendus Data'!$D$3:$F$317,3,0)</f>
        <v>296.64</v>
      </c>
      <c r="P157" s="152"/>
    </row>
    <row r="158" spans="1:16" x14ac:dyDescent="0.35">
      <c r="A158" s="40">
        <v>256779414879</v>
      </c>
      <c r="B158" s="42">
        <v>45842</v>
      </c>
      <c r="C158" s="23" t="s">
        <v>562</v>
      </c>
      <c r="D158" s="23" t="s">
        <v>704</v>
      </c>
      <c r="E158" s="44"/>
      <c r="F158" s="44">
        <v>138310.23639999999</v>
      </c>
      <c r="G158" s="44">
        <v>-1035953.4471</v>
      </c>
      <c r="H158" s="44"/>
      <c r="I158" s="44">
        <v>1592.7058</v>
      </c>
      <c r="J158" s="44">
        <v>-10447.435600000001</v>
      </c>
      <c r="L158" s="40">
        <v>256779415482</v>
      </c>
      <c r="M158" s="24"/>
      <c r="N158" s="24">
        <v>842.20999999999992</v>
      </c>
      <c r="O158" s="23">
        <f>VLOOKUP(L158,'Ascendus Data'!$D$3:$F$317,3,0)</f>
        <v>860.97</v>
      </c>
      <c r="P158" s="152"/>
    </row>
    <row r="159" spans="1:16" x14ac:dyDescent="0.35">
      <c r="A159" s="40">
        <v>256779414879</v>
      </c>
      <c r="B159" s="42">
        <v>45842</v>
      </c>
      <c r="C159" s="23" t="s">
        <v>562</v>
      </c>
      <c r="D159" s="23" t="s">
        <v>577</v>
      </c>
      <c r="E159" s="44"/>
      <c r="F159" s="44">
        <v>3025.5763999999999</v>
      </c>
      <c r="G159" s="44">
        <v>-1038979.0235</v>
      </c>
      <c r="H159" s="44"/>
      <c r="I159" s="44">
        <v>34.838999999999999</v>
      </c>
      <c r="J159" s="44">
        <v>-10459.313200000001</v>
      </c>
      <c r="L159" s="40">
        <v>256779415524</v>
      </c>
      <c r="M159" s="24"/>
      <c r="N159" s="24">
        <v>71.657600000000002</v>
      </c>
      <c r="O159" s="23">
        <f>VLOOKUP(L159,'Ascendus Data'!$D$3:$F$317,3,0)</f>
        <v>73.12</v>
      </c>
      <c r="P159" s="152"/>
    </row>
    <row r="160" spans="1:16" x14ac:dyDescent="0.35">
      <c r="A160" s="40">
        <v>256779414888</v>
      </c>
      <c r="B160" s="41">
        <v>45736</v>
      </c>
      <c r="C160" s="23" t="s">
        <v>562</v>
      </c>
      <c r="D160" s="23" t="s">
        <v>567</v>
      </c>
      <c r="E160" s="44"/>
      <c r="F160" s="44">
        <v>914.67780000000005</v>
      </c>
      <c r="G160" s="44">
        <v>-617967.00340000005</v>
      </c>
      <c r="H160" s="44"/>
      <c r="I160" s="44">
        <v>10.691800000000001</v>
      </c>
      <c r="J160" s="44">
        <v>-12052.019</v>
      </c>
      <c r="L160" s="40">
        <v>256779415701</v>
      </c>
      <c r="M160" s="24"/>
      <c r="N160" s="24">
        <v>646.79999999999995</v>
      </c>
      <c r="O160" s="23">
        <f>VLOOKUP(L160,'Ascendus Data'!$D$3:$F$317,3,0)</f>
        <v>660</v>
      </c>
      <c r="P160" s="152"/>
    </row>
    <row r="161" spans="1:16" x14ac:dyDescent="0.35">
      <c r="A161" s="40">
        <v>256779414891</v>
      </c>
      <c r="B161" s="41">
        <v>45842</v>
      </c>
      <c r="C161" s="23" t="s">
        <v>562</v>
      </c>
      <c r="D161" s="23" t="s">
        <v>577</v>
      </c>
      <c r="E161" s="44"/>
      <c r="F161" s="44">
        <v>32304.5772</v>
      </c>
      <c r="G161" s="44">
        <v>-883797.34270000004</v>
      </c>
      <c r="H161" s="44"/>
      <c r="I161" s="44">
        <v>371.99700000000001</v>
      </c>
      <c r="J161" s="44">
        <v>-12086.858</v>
      </c>
      <c r="L161" s="40">
        <v>256779415996</v>
      </c>
      <c r="M161" s="24"/>
      <c r="N161" s="24">
        <v>740.47</v>
      </c>
      <c r="O161" s="23">
        <f>VLOOKUP(L161,'Ascendus Data'!$D$3:$F$317,3,0)</f>
        <v>755.58</v>
      </c>
      <c r="P161" s="152"/>
    </row>
    <row r="162" spans="1:16" x14ac:dyDescent="0.35">
      <c r="A162" s="40">
        <v>256779414904</v>
      </c>
      <c r="B162" s="41">
        <v>45842</v>
      </c>
      <c r="C162" s="23" t="s">
        <v>562</v>
      </c>
      <c r="D162" s="23" t="s">
        <v>755</v>
      </c>
      <c r="E162" s="44"/>
      <c r="F162" s="44">
        <v>5869.3548000000001</v>
      </c>
      <c r="G162" s="44">
        <v>-889666.69750000001</v>
      </c>
      <c r="H162" s="44"/>
      <c r="I162" s="44">
        <v>67.590599999999995</v>
      </c>
      <c r="J162" s="44">
        <v>-11079.04</v>
      </c>
      <c r="L162" s="40">
        <v>256779416012</v>
      </c>
      <c r="M162" s="24"/>
      <c r="N162" s="24">
        <v>98</v>
      </c>
      <c r="O162" s="23">
        <f>VLOOKUP(L162,'Ascendus Data'!$D$3:$F$317,3,0)</f>
        <v>100</v>
      </c>
      <c r="P162" s="152"/>
    </row>
    <row r="163" spans="1:16" x14ac:dyDescent="0.35">
      <c r="A163" s="40">
        <v>256779414914</v>
      </c>
      <c r="B163" s="41">
        <v>45852</v>
      </c>
      <c r="C163" s="23" t="s">
        <v>562</v>
      </c>
      <c r="D163" s="23" t="s">
        <v>563</v>
      </c>
      <c r="E163" s="44"/>
      <c r="F163" s="44">
        <v>89999.859100000001</v>
      </c>
      <c r="G163" s="44">
        <v>-333735.24359999999</v>
      </c>
      <c r="H163" s="44"/>
      <c r="I163" s="44">
        <v>1046.502</v>
      </c>
      <c r="J163" s="44">
        <v>-6278.7034000000003</v>
      </c>
      <c r="L163" s="40">
        <v>256779416026</v>
      </c>
      <c r="M163" s="24"/>
      <c r="N163" s="24">
        <v>1046.1400000000001</v>
      </c>
      <c r="O163" s="23">
        <f>VLOOKUP(L163,'Ascendus Data'!$D$3:$F$317,3,0)</f>
        <v>100000</v>
      </c>
      <c r="P163" s="152"/>
    </row>
    <row r="164" spans="1:16" x14ac:dyDescent="0.35">
      <c r="A164" s="40">
        <v>256779414915</v>
      </c>
      <c r="B164" s="41">
        <v>45852</v>
      </c>
      <c r="C164" s="23" t="s">
        <v>562</v>
      </c>
      <c r="D164" s="23" t="s">
        <v>573</v>
      </c>
      <c r="E164" s="44"/>
      <c r="F164" s="44">
        <v>34299.6927</v>
      </c>
      <c r="G164" s="44">
        <v>-368034.9363</v>
      </c>
      <c r="H164" s="44"/>
      <c r="I164" s="44">
        <v>398.8306</v>
      </c>
      <c r="J164" s="44">
        <v>-6446.9834000000001</v>
      </c>
      <c r="L164" s="40">
        <v>256779416027</v>
      </c>
      <c r="M164" s="24"/>
      <c r="N164" s="24">
        <v>398.69</v>
      </c>
      <c r="O164" s="23">
        <f>VLOOKUP(L164,'Ascendus Data'!$D$3:$F$317,3,0)</f>
        <v>35000</v>
      </c>
      <c r="P164" s="152"/>
    </row>
    <row r="165" spans="1:16" x14ac:dyDescent="0.35">
      <c r="A165" s="40">
        <v>256779414956</v>
      </c>
      <c r="B165" s="41">
        <v>45842</v>
      </c>
      <c r="C165" s="23" t="s">
        <v>562</v>
      </c>
      <c r="D165" s="23" t="s">
        <v>720</v>
      </c>
      <c r="E165" s="44"/>
      <c r="F165" s="44">
        <v>4255</v>
      </c>
      <c r="G165" s="44">
        <v>-805402.95830000006</v>
      </c>
      <c r="H165" s="44"/>
      <c r="I165" s="44">
        <v>49</v>
      </c>
      <c r="J165" s="44">
        <v>-7354.5734000000002</v>
      </c>
      <c r="L165" s="40">
        <v>256779416078</v>
      </c>
      <c r="M165" s="24"/>
      <c r="N165" s="24">
        <v>1329.6780000000001</v>
      </c>
      <c r="O165" s="23">
        <f>VLOOKUP(L165,'Ascendus Data'!$D$3:$F$317,3,0)</f>
        <v>1477.42</v>
      </c>
      <c r="P165" s="152"/>
    </row>
    <row r="166" spans="1:16" x14ac:dyDescent="0.35">
      <c r="A166" s="40">
        <v>256779414957</v>
      </c>
      <c r="B166" s="41">
        <v>45842</v>
      </c>
      <c r="C166" s="23" t="s">
        <v>562</v>
      </c>
      <c r="D166" s="23" t="s">
        <v>720</v>
      </c>
      <c r="E166" s="44"/>
      <c r="F166" s="44">
        <v>4255</v>
      </c>
      <c r="G166" s="44">
        <v>-809657.95830000006</v>
      </c>
      <c r="H166" s="44"/>
      <c r="I166" s="44">
        <v>49</v>
      </c>
      <c r="J166" s="44">
        <v>-8095.0433999999996</v>
      </c>
      <c r="L166" s="40">
        <v>256779416086</v>
      </c>
      <c r="M166" s="24"/>
      <c r="N166" s="24">
        <v>1304.7840000000001</v>
      </c>
      <c r="O166" s="23">
        <f>VLOOKUP(L166,'Ascendus Data'!$D$3:$F$317,3,0)</f>
        <v>1449.76</v>
      </c>
      <c r="P166" s="152"/>
    </row>
    <row r="167" spans="1:16" x14ac:dyDescent="0.35">
      <c r="A167" s="40">
        <v>256779415017</v>
      </c>
      <c r="B167" s="41">
        <v>45842</v>
      </c>
      <c r="C167" s="23" t="s">
        <v>562</v>
      </c>
      <c r="D167" s="23" t="s">
        <v>724</v>
      </c>
      <c r="E167" s="44"/>
      <c r="F167" s="44">
        <v>29722.738399999998</v>
      </c>
      <c r="G167" s="44">
        <v>-851492.76549999998</v>
      </c>
      <c r="H167" s="44"/>
      <c r="I167" s="44">
        <v>342.27480000000003</v>
      </c>
      <c r="J167" s="44">
        <v>-8919.8333999999995</v>
      </c>
      <c r="L167" s="40">
        <v>256779416141</v>
      </c>
      <c r="M167" s="24"/>
      <c r="N167" s="24">
        <v>293.13760000000002</v>
      </c>
      <c r="O167" s="23">
        <f>VLOOKUP(L167,'Ascendus Data'!$D$3:$F$317,3,0)</f>
        <v>299.12</v>
      </c>
      <c r="P167" s="152"/>
    </row>
    <row r="168" spans="1:16" x14ac:dyDescent="0.35">
      <c r="A168" s="40">
        <v>256779415196</v>
      </c>
      <c r="B168" s="41">
        <v>45842</v>
      </c>
      <c r="C168" s="23" t="s">
        <v>562</v>
      </c>
      <c r="D168" s="23" t="s">
        <v>563</v>
      </c>
      <c r="E168" s="44"/>
      <c r="F168" s="44">
        <v>1353.28</v>
      </c>
      <c r="G168" s="44">
        <v>-1109311.2701000001</v>
      </c>
      <c r="H168" s="44"/>
      <c r="I168" s="44">
        <v>15.731999999999999</v>
      </c>
      <c r="J168" s="44">
        <v>-8937.2533999999996</v>
      </c>
      <c r="L168" s="40">
        <v>256779416179</v>
      </c>
      <c r="M168" s="24"/>
      <c r="N168" s="24">
        <v>2723.24</v>
      </c>
      <c r="O168" s="23">
        <f>VLOOKUP(L168,'Ascendus Data'!$D$3:$F$317,3,0)</f>
        <v>2787.24</v>
      </c>
      <c r="P168" s="152"/>
    </row>
    <row r="169" spans="1:16" x14ac:dyDescent="0.35">
      <c r="A169" s="40">
        <v>256779415264</v>
      </c>
      <c r="B169" s="41">
        <v>45842</v>
      </c>
      <c r="C169" s="23" t="s">
        <v>562</v>
      </c>
      <c r="D169" s="23" t="s">
        <v>573</v>
      </c>
      <c r="E169" s="44"/>
      <c r="F169" s="44">
        <v>79041.919899999994</v>
      </c>
      <c r="G169" s="44">
        <v>-634750.86620000005</v>
      </c>
      <c r="H169" s="44"/>
      <c r="I169" s="44">
        <v>907.59</v>
      </c>
      <c r="J169" s="44">
        <v>-9584.0534000000007</v>
      </c>
      <c r="L169" s="40">
        <v>256779416224</v>
      </c>
      <c r="M169" s="24"/>
      <c r="N169" s="24">
        <v>298.44</v>
      </c>
      <c r="O169" s="23">
        <f>VLOOKUP(L169,'Ascendus Data'!$D$3:$F$317,3,0)</f>
        <v>304.52999999999997</v>
      </c>
      <c r="P169" s="152"/>
    </row>
    <row r="170" spans="1:16" x14ac:dyDescent="0.35">
      <c r="A170" s="40">
        <v>256779415432</v>
      </c>
      <c r="B170" s="41">
        <v>45856</v>
      </c>
      <c r="C170" s="23" t="s">
        <v>562</v>
      </c>
      <c r="D170" s="23" t="s">
        <v>573</v>
      </c>
      <c r="E170" s="44"/>
      <c r="F170" s="44">
        <v>25195.788799999998</v>
      </c>
      <c r="G170" s="44">
        <v>-861140.71070000005</v>
      </c>
      <c r="H170" s="44"/>
      <c r="I170" s="44">
        <v>290.70999999999998</v>
      </c>
      <c r="J170" s="44">
        <v>-9682.0534000000007</v>
      </c>
      <c r="L170" s="40">
        <v>256779416445</v>
      </c>
      <c r="M170" s="24"/>
      <c r="N170" s="24">
        <v>575.04999999999995</v>
      </c>
      <c r="O170" s="23">
        <f>VLOOKUP(L170,'Ascendus Data'!$D$3:$F$317,3,0)</f>
        <v>586.79</v>
      </c>
      <c r="P170" s="152"/>
    </row>
    <row r="171" spans="1:16" x14ac:dyDescent="0.35">
      <c r="A171" s="40">
        <v>256779415482</v>
      </c>
      <c r="B171" s="42">
        <v>45856</v>
      </c>
      <c r="C171" s="23" t="s">
        <v>562</v>
      </c>
      <c r="D171" s="23" t="s">
        <v>704</v>
      </c>
      <c r="E171" s="44"/>
      <c r="F171" s="44">
        <v>71830.685800000007</v>
      </c>
      <c r="G171" s="44">
        <v>-769876.53040000005</v>
      </c>
      <c r="H171" s="44"/>
      <c r="I171" s="44">
        <v>824.79</v>
      </c>
      <c r="J171" s="44">
        <v>-9972.7633999999998</v>
      </c>
      <c r="L171" s="40">
        <v>256779416515</v>
      </c>
      <c r="M171" s="24"/>
      <c r="N171" s="24">
        <v>389.04039999999998</v>
      </c>
      <c r="O171" s="23">
        <f>VLOOKUP(L171,'Ascendus Data'!$D$3:$F$317,3,0)</f>
        <v>396.98</v>
      </c>
      <c r="P171" s="152"/>
    </row>
    <row r="172" spans="1:16" x14ac:dyDescent="0.35">
      <c r="A172" s="40">
        <v>256779415482</v>
      </c>
      <c r="B172" s="42">
        <v>45856</v>
      </c>
      <c r="C172" s="23" t="s">
        <v>562</v>
      </c>
      <c r="D172" s="23" t="s">
        <v>577</v>
      </c>
      <c r="E172" s="44"/>
      <c r="F172" s="44">
        <v>1516.1914999999999</v>
      </c>
      <c r="G172" s="44">
        <v>-771392.7219</v>
      </c>
      <c r="H172" s="44"/>
      <c r="I172" s="44">
        <v>17.420000000000002</v>
      </c>
      <c r="J172" s="44">
        <v>-11019.473400000001</v>
      </c>
      <c r="L172" s="40">
        <v>256779416817</v>
      </c>
      <c r="M172" s="24"/>
      <c r="N172" s="24">
        <v>176.4</v>
      </c>
      <c r="O172" s="23">
        <f>VLOOKUP(L172,'Ascendus Data'!$D$3:$F$317,3,0)</f>
        <v>180</v>
      </c>
      <c r="P172" s="152"/>
    </row>
    <row r="173" spans="1:16" x14ac:dyDescent="0.35">
      <c r="A173" s="40">
        <v>256779415524</v>
      </c>
      <c r="B173" s="41">
        <v>45856</v>
      </c>
      <c r="C173" s="23" t="s">
        <v>562</v>
      </c>
      <c r="D173" s="23" t="s">
        <v>724</v>
      </c>
      <c r="E173" s="44"/>
      <c r="F173" s="44">
        <v>6162.3689999999997</v>
      </c>
      <c r="G173" s="44">
        <v>-382588.70730000001</v>
      </c>
      <c r="H173" s="44"/>
      <c r="I173" s="44">
        <v>71.657600000000002</v>
      </c>
      <c r="J173" s="44">
        <v>-11418.163399999999</v>
      </c>
      <c r="L173" s="40">
        <v>256779416845</v>
      </c>
      <c r="M173" s="24"/>
      <c r="N173" s="24">
        <v>482.63040000000001</v>
      </c>
      <c r="O173" s="23">
        <f>VLOOKUP(L173,'Ascendus Data'!$D$3:$F$317,3,0)</f>
        <v>492.48</v>
      </c>
      <c r="P173" s="152"/>
    </row>
    <row r="174" spans="1:16" x14ac:dyDescent="0.35">
      <c r="A174" s="40">
        <v>256779415701</v>
      </c>
      <c r="B174" s="41">
        <v>45856</v>
      </c>
      <c r="C174" s="23" t="s">
        <v>562</v>
      </c>
      <c r="D174" s="23" t="s">
        <v>704</v>
      </c>
      <c r="E174" s="44"/>
      <c r="F174" s="44">
        <v>56058.2</v>
      </c>
      <c r="G174" s="44">
        <v>-827450.92189999996</v>
      </c>
      <c r="H174" s="44"/>
      <c r="I174" s="44">
        <v>646.79999999999995</v>
      </c>
      <c r="J174" s="44">
        <v>-12464.303400000001</v>
      </c>
      <c r="L174" s="40">
        <v>256779416879</v>
      </c>
      <c r="M174" s="24"/>
      <c r="N174" s="24">
        <v>82.4572</v>
      </c>
      <c r="O174" s="23">
        <f>VLOOKUP(L174,'Ascendus Data'!$D$3:$F$317,3,0)</f>
        <v>84.14</v>
      </c>
      <c r="P174" s="152"/>
    </row>
    <row r="175" spans="1:16" x14ac:dyDescent="0.35">
      <c r="A175" s="40">
        <v>256779415996</v>
      </c>
      <c r="B175" s="41">
        <v>45863</v>
      </c>
      <c r="C175" s="23" t="s">
        <v>562</v>
      </c>
      <c r="D175" s="23" t="s">
        <v>573</v>
      </c>
      <c r="E175" s="44"/>
      <c r="F175" s="44">
        <v>63294.9784</v>
      </c>
      <c r="G175" s="44">
        <v>-698045.84459999995</v>
      </c>
      <c r="H175" s="44"/>
      <c r="I175" s="44">
        <v>740.47</v>
      </c>
      <c r="J175" s="44">
        <v>-12762.743399999999</v>
      </c>
      <c r="L175" s="40">
        <v>256779417082</v>
      </c>
      <c r="M175" s="24"/>
      <c r="N175" s="24">
        <v>1497.6089999999999</v>
      </c>
      <c r="O175" s="23">
        <f>VLOOKUP(L175,'Ascendus Data'!$D$3:$F$317,3,0)</f>
        <v>1664.01</v>
      </c>
      <c r="P175" s="152"/>
    </row>
    <row r="176" spans="1:16" x14ac:dyDescent="0.35">
      <c r="A176" s="40">
        <v>256779416012</v>
      </c>
      <c r="B176" s="41">
        <v>45863</v>
      </c>
      <c r="C176" s="23" t="s">
        <v>562</v>
      </c>
      <c r="D176" s="23" t="s">
        <v>573</v>
      </c>
      <c r="E176" s="44"/>
      <c r="F176" s="44">
        <v>8494</v>
      </c>
      <c r="G176" s="44">
        <v>-835944.92189999996</v>
      </c>
      <c r="H176" s="44"/>
      <c r="I176" s="44">
        <v>98</v>
      </c>
      <c r="J176" s="44">
        <v>-13337.7934</v>
      </c>
      <c r="L176" s="40">
        <v>256779417161</v>
      </c>
      <c r="M176" s="24"/>
      <c r="N176" s="24">
        <v>772.19100000000003</v>
      </c>
      <c r="O176" s="23">
        <f>VLOOKUP(L176,'Ascendus Data'!$D$3:$F$317,3,0)</f>
        <v>787.95</v>
      </c>
      <c r="P176" s="152"/>
    </row>
    <row r="177" spans="1:16" x14ac:dyDescent="0.35">
      <c r="A177" s="40">
        <v>256779416026</v>
      </c>
      <c r="B177" s="41">
        <v>45870</v>
      </c>
      <c r="C177" s="23" t="s">
        <v>562</v>
      </c>
      <c r="D177" s="23" t="s">
        <v>563</v>
      </c>
      <c r="E177" s="44"/>
      <c r="F177" s="44">
        <v>91903.082999999999</v>
      </c>
      <c r="G177" s="44">
        <v>-1077646.2050000001</v>
      </c>
      <c r="H177" s="44"/>
      <c r="I177" s="44">
        <v>1046.1400000000001</v>
      </c>
      <c r="J177" s="44">
        <v>-15968.1234</v>
      </c>
      <c r="L177" s="40">
        <v>256779417178</v>
      </c>
      <c r="M177" s="24"/>
      <c r="N177" s="24">
        <v>1528.8</v>
      </c>
      <c r="O177" s="23">
        <f>VLOOKUP(L177,'Ascendus Data'!$D$3:$F$317,3,0)</f>
        <v>1560</v>
      </c>
      <c r="P177" s="152"/>
    </row>
    <row r="178" spans="1:16" x14ac:dyDescent="0.35">
      <c r="A178" s="40">
        <v>256779416027</v>
      </c>
      <c r="B178" s="41">
        <v>45870</v>
      </c>
      <c r="C178" s="23" t="s">
        <v>562</v>
      </c>
      <c r="D178" s="23" t="s">
        <v>569</v>
      </c>
      <c r="E178" s="44"/>
      <c r="F178" s="44">
        <v>35025.015500000001</v>
      </c>
      <c r="G178" s="44">
        <v>-985743.12199999997</v>
      </c>
      <c r="H178" s="44"/>
      <c r="I178" s="44">
        <v>398.69</v>
      </c>
      <c r="J178" s="44">
        <v>-16061.0334</v>
      </c>
      <c r="L178" s="40">
        <v>256779417179</v>
      </c>
      <c r="M178" s="24"/>
      <c r="N178" s="24">
        <v>1528.8</v>
      </c>
      <c r="O178" s="23">
        <f>VLOOKUP(L178,'Ascendus Data'!$D$3:$F$317,3,0)</f>
        <v>1560</v>
      </c>
      <c r="P178" s="152"/>
    </row>
    <row r="179" spans="1:16" x14ac:dyDescent="0.35">
      <c r="A179" s="40">
        <v>256779416078</v>
      </c>
      <c r="B179" s="41">
        <v>45877</v>
      </c>
      <c r="C179" s="23" t="s">
        <v>562</v>
      </c>
      <c r="D179" s="23" t="s">
        <v>563</v>
      </c>
      <c r="E179" s="44"/>
      <c r="F179" s="44">
        <v>114392.44259999999</v>
      </c>
      <c r="G179" s="44">
        <v>-1107957.9901000001</v>
      </c>
      <c r="H179" s="44"/>
      <c r="I179" s="44">
        <v>1329.6780000000001</v>
      </c>
      <c r="J179" s="44">
        <v>-13106.697200000001</v>
      </c>
      <c r="L179" s="40">
        <v>256779417180</v>
      </c>
      <c r="M179" s="24"/>
      <c r="N179" s="24">
        <v>1748.15</v>
      </c>
      <c r="O179" s="23">
        <f>VLOOKUP(L179,'Ascendus Data'!$D$3:$F$317,3,0)</f>
        <v>1799.1</v>
      </c>
      <c r="P179" s="152"/>
    </row>
    <row r="180" spans="1:16" x14ac:dyDescent="0.35">
      <c r="A180" s="40">
        <v>256779416086</v>
      </c>
      <c r="B180" s="41">
        <v>45877</v>
      </c>
      <c r="C180" s="23" t="s">
        <v>562</v>
      </c>
      <c r="D180" s="23" t="s">
        <v>563</v>
      </c>
      <c r="E180" s="44"/>
      <c r="F180" s="44">
        <v>112251.02680000001</v>
      </c>
      <c r="G180" s="44">
        <v>-1221562.2969</v>
      </c>
      <c r="H180" s="44"/>
      <c r="I180" s="44">
        <v>1304.7840000000001</v>
      </c>
      <c r="J180" s="44">
        <v>-8365.9272000000001</v>
      </c>
      <c r="L180" s="40">
        <v>256779417181</v>
      </c>
      <c r="M180" s="24"/>
      <c r="N180" s="24">
        <v>1759.76</v>
      </c>
      <c r="O180" s="23">
        <f>VLOOKUP(L180,'Ascendus Data'!$D$3:$F$317,3,0)</f>
        <v>1812</v>
      </c>
      <c r="P180" s="152"/>
    </row>
    <row r="181" spans="1:16" x14ac:dyDescent="0.35">
      <c r="A181" s="40">
        <v>256779416141</v>
      </c>
      <c r="B181" s="41">
        <v>45877</v>
      </c>
      <c r="C181" s="23" t="s">
        <v>562</v>
      </c>
      <c r="D181" s="23" t="s">
        <v>755</v>
      </c>
      <c r="E181" s="44"/>
      <c r="F181" s="44">
        <v>25992.970399999998</v>
      </c>
      <c r="G181" s="44">
        <v>-128031.7447</v>
      </c>
      <c r="H181" s="44"/>
      <c r="I181" s="44">
        <v>293.13760000000002</v>
      </c>
      <c r="J181" s="44">
        <v>-3324.3672000000001</v>
      </c>
      <c r="L181" s="40">
        <v>256779417206</v>
      </c>
      <c r="M181" s="24"/>
      <c r="N181" s="24">
        <v>149.23439999999999</v>
      </c>
      <c r="O181" s="23">
        <f>VLOOKUP(L181,'Ascendus Data'!$D$3:$F$317,3,0)</f>
        <v>152.28</v>
      </c>
      <c r="P181" s="152"/>
    </row>
    <row r="182" spans="1:16" x14ac:dyDescent="0.35">
      <c r="A182" s="40">
        <v>256779416179</v>
      </c>
      <c r="B182" s="42">
        <v>45877</v>
      </c>
      <c r="C182" s="23" t="s">
        <v>562</v>
      </c>
      <c r="D182" s="23" t="s">
        <v>704</v>
      </c>
      <c r="E182" s="44"/>
      <c r="F182" s="44">
        <v>231074.27849999999</v>
      </c>
      <c r="G182" s="44">
        <v>-1385456.9454999999</v>
      </c>
      <c r="H182" s="44"/>
      <c r="I182" s="44">
        <v>2630.33</v>
      </c>
      <c r="J182" s="44">
        <v>3.4007999999999998</v>
      </c>
      <c r="L182" s="40">
        <v>256779417245</v>
      </c>
      <c r="M182" s="24"/>
      <c r="N182" s="24">
        <v>82.212199999999996</v>
      </c>
      <c r="O182" s="23">
        <f>VLOOKUP(L182,'Ascendus Data'!$D$3:$F$317,3,0)</f>
        <v>83.89</v>
      </c>
      <c r="P182" s="152"/>
    </row>
    <row r="183" spans="1:16" x14ac:dyDescent="0.35">
      <c r="A183" s="40">
        <v>256779416179</v>
      </c>
      <c r="B183" s="42">
        <v>45877</v>
      </c>
      <c r="C183" s="23" t="s">
        <v>562</v>
      </c>
      <c r="D183" s="23" t="s">
        <v>577</v>
      </c>
      <c r="E183" s="44"/>
      <c r="F183" s="44">
        <v>8161.7555000000002</v>
      </c>
      <c r="G183" s="44">
        <v>-1393618.7009999999</v>
      </c>
      <c r="H183" s="44"/>
      <c r="I183" s="44">
        <v>92.91</v>
      </c>
      <c r="J183" s="44">
        <v>-16.306999999999999</v>
      </c>
      <c r="L183" s="40">
        <v>256779417287</v>
      </c>
      <c r="M183" s="24"/>
      <c r="N183" s="24">
        <v>402.36840000000001</v>
      </c>
      <c r="O183" s="23">
        <f>VLOOKUP(L183,'Ascendus Data'!$D$3:$F$317,3,0)</f>
        <v>410.58</v>
      </c>
      <c r="P183" s="152"/>
    </row>
    <row r="184" spans="1:16" x14ac:dyDescent="0.35">
      <c r="A184" s="40">
        <v>256779416224</v>
      </c>
      <c r="B184" s="41">
        <v>45877</v>
      </c>
      <c r="C184" s="23" t="s">
        <v>562</v>
      </c>
      <c r="D184" s="23" t="s">
        <v>724</v>
      </c>
      <c r="E184" s="44"/>
      <c r="F184" s="44">
        <v>26217.960500000001</v>
      </c>
      <c r="G184" s="44">
        <v>-1103864.1654999999</v>
      </c>
      <c r="H184" s="44"/>
      <c r="I184" s="44">
        <v>298.44</v>
      </c>
      <c r="J184" s="44">
        <v>-112.249</v>
      </c>
      <c r="L184" s="40">
        <v>256779417325</v>
      </c>
      <c r="M184" s="24"/>
      <c r="N184" s="24">
        <v>95.883200000000002</v>
      </c>
      <c r="O184" s="23">
        <f>VLOOKUP(L184,'Ascendus Data'!$D$3:$F$317,3,0)</f>
        <v>97.84</v>
      </c>
      <c r="P184" s="152"/>
    </row>
    <row r="185" spans="1:16" x14ac:dyDescent="0.35">
      <c r="A185" s="40">
        <v>256779416445</v>
      </c>
      <c r="B185" s="41">
        <v>45877</v>
      </c>
      <c r="C185" s="23" t="s">
        <v>562</v>
      </c>
      <c r="D185" s="23" t="s">
        <v>573</v>
      </c>
      <c r="E185" s="44"/>
      <c r="F185" s="44">
        <v>50518.501499999998</v>
      </c>
      <c r="G185" s="44">
        <v>-1154382.6669999999</v>
      </c>
      <c r="H185" s="44"/>
      <c r="I185" s="44">
        <v>575.04999999999995</v>
      </c>
      <c r="J185" s="44">
        <v>-194.7062</v>
      </c>
      <c r="L185" s="40">
        <v>256779417346</v>
      </c>
      <c r="M185" s="24"/>
      <c r="N185" s="24">
        <v>1028.403</v>
      </c>
      <c r="O185" s="23">
        <f>VLOOKUP(L185,'Ascendus Data'!$D$3:$F$317,3,0)</f>
        <v>100000</v>
      </c>
      <c r="P185" s="152"/>
    </row>
    <row r="186" spans="1:16" x14ac:dyDescent="0.35">
      <c r="A186" s="40">
        <v>256779416515</v>
      </c>
      <c r="B186" s="41">
        <v>45877</v>
      </c>
      <c r="C186" s="23" t="s">
        <v>562</v>
      </c>
      <c r="D186" s="23" t="s">
        <v>573</v>
      </c>
      <c r="E186" s="44"/>
      <c r="F186" s="44">
        <v>34496.2166</v>
      </c>
      <c r="G186" s="44">
        <v>-102038.7743</v>
      </c>
      <c r="H186" s="44"/>
      <c r="I186" s="44">
        <v>389.04039999999998</v>
      </c>
      <c r="J186" s="44">
        <v>-677.33659999999998</v>
      </c>
      <c r="L186" s="40">
        <v>256779417347</v>
      </c>
      <c r="M186" s="24"/>
      <c r="N186" s="24">
        <v>359.93700000000001</v>
      </c>
      <c r="O186" s="23">
        <f>VLOOKUP(L186,'Ascendus Data'!$D$3:$F$317,3,0)</f>
        <v>35000</v>
      </c>
      <c r="P186" s="152"/>
    </row>
    <row r="187" spans="1:16" x14ac:dyDescent="0.35">
      <c r="A187" s="40">
        <v>256779416817</v>
      </c>
      <c r="B187" s="41">
        <v>45889</v>
      </c>
      <c r="C187" s="23" t="s">
        <v>562</v>
      </c>
      <c r="D187" s="23" t="s">
        <v>704</v>
      </c>
      <c r="E187" s="44"/>
      <c r="F187" s="44">
        <v>15641.6</v>
      </c>
      <c r="G187" s="44">
        <v>-176157.4682</v>
      </c>
      <c r="H187" s="44"/>
      <c r="I187" s="44">
        <v>176.4</v>
      </c>
      <c r="J187" s="44">
        <v>-761.61659999999995</v>
      </c>
      <c r="L187" s="40">
        <v>256779417420</v>
      </c>
      <c r="M187" s="24"/>
      <c r="N187" s="24">
        <v>34.299999999999997</v>
      </c>
      <c r="O187" s="23">
        <f>VLOOKUP(L187,'Ascendus Data'!$D$3:$F$317,3,0)</f>
        <v>35</v>
      </c>
      <c r="P187" s="152"/>
    </row>
    <row r="188" spans="1:16" x14ac:dyDescent="0.35">
      <c r="A188" s="40">
        <v>256779416845</v>
      </c>
      <c r="B188" s="41">
        <v>45889</v>
      </c>
      <c r="C188" s="23" t="s">
        <v>562</v>
      </c>
      <c r="D188" s="23" t="s">
        <v>704</v>
      </c>
      <c r="E188" s="44"/>
      <c r="F188" s="44">
        <v>42795.2016</v>
      </c>
      <c r="G188" s="44">
        <v>-60069.937700000002</v>
      </c>
      <c r="H188" s="44"/>
      <c r="I188" s="44">
        <v>482.63040000000001</v>
      </c>
      <c r="J188" s="44">
        <v>-1150.6569999999999</v>
      </c>
      <c r="L188" s="40">
        <v>256779417434</v>
      </c>
      <c r="M188" s="24"/>
      <c r="N188" s="24">
        <v>98</v>
      </c>
      <c r="O188" s="23">
        <f>VLOOKUP(L188,'Ascendus Data'!$D$3:$F$317,3,0)</f>
        <v>100</v>
      </c>
      <c r="P188" s="152"/>
    </row>
    <row r="189" spans="1:16" x14ac:dyDescent="0.35">
      <c r="A189" s="40">
        <v>256779416879</v>
      </c>
      <c r="B189" s="41">
        <v>45889</v>
      </c>
      <c r="C189" s="23" t="s">
        <v>562</v>
      </c>
      <c r="D189" s="23" t="s">
        <v>724</v>
      </c>
      <c r="E189" s="44"/>
      <c r="F189" s="44">
        <v>7311.6938</v>
      </c>
      <c r="G189" s="44">
        <v>-17274.736099999998</v>
      </c>
      <c r="H189" s="44"/>
      <c r="I189" s="44">
        <v>82.4572</v>
      </c>
      <c r="J189" s="44">
        <v>-1443.7945999999999</v>
      </c>
      <c r="L189" s="40">
        <v>256779417490</v>
      </c>
      <c r="M189" s="24"/>
      <c r="N189" s="24">
        <v>825</v>
      </c>
      <c r="O189" s="23">
        <f>VLOOKUP(L189,'Ascendus Data'!$D$3:$F$317,3,0)</f>
        <v>850</v>
      </c>
      <c r="P189" s="152"/>
    </row>
    <row r="190" spans="1:16" x14ac:dyDescent="0.35">
      <c r="A190" s="40">
        <v>256779417082</v>
      </c>
      <c r="B190" s="41">
        <v>45906</v>
      </c>
      <c r="C190" s="23" t="s">
        <v>562</v>
      </c>
      <c r="D190" s="23" t="s">
        <v>563</v>
      </c>
      <c r="E190" s="44"/>
      <c r="F190" s="44">
        <v>131062.7203</v>
      </c>
      <c r="G190" s="44">
        <v>-1352625.0171999999</v>
      </c>
      <c r="H190" s="44"/>
      <c r="I190" s="44">
        <v>1497.6089999999999</v>
      </c>
      <c r="J190" s="44">
        <v>-1810.1396</v>
      </c>
      <c r="L190" s="40">
        <v>256779417526</v>
      </c>
      <c r="M190" s="24"/>
      <c r="N190" s="24">
        <v>21.981400000000001</v>
      </c>
      <c r="O190" s="23">
        <f>VLOOKUP(L190,'Ascendus Data'!$D$3:$F$317,3,0)</f>
        <v>22.43</v>
      </c>
      <c r="P190" s="152"/>
    </row>
    <row r="191" spans="1:16" x14ac:dyDescent="0.35">
      <c r="A191" s="40">
        <v>256779417161</v>
      </c>
      <c r="B191" s="41">
        <v>45904</v>
      </c>
      <c r="C191" s="23" t="s">
        <v>562</v>
      </c>
      <c r="D191" s="23" t="s">
        <v>573</v>
      </c>
      <c r="E191" s="44"/>
      <c r="F191" s="44">
        <v>67577.916299999997</v>
      </c>
      <c r="G191" s="44">
        <v>-243735.38449999999</v>
      </c>
      <c r="H191" s="44"/>
      <c r="I191" s="44">
        <v>772.19100000000003</v>
      </c>
      <c r="J191" s="44">
        <v>-1986.5396000000001</v>
      </c>
      <c r="L191" s="40">
        <v>256779417568</v>
      </c>
      <c r="M191" s="24"/>
      <c r="N191" s="24">
        <v>288.01220000000001</v>
      </c>
      <c r="O191" s="23">
        <f>VLOOKUP(L191,'Ascendus Data'!$D$3:$F$317,3,0)</f>
        <v>293.89</v>
      </c>
      <c r="P191" s="152"/>
    </row>
    <row r="192" spans="1:16" x14ac:dyDescent="0.35">
      <c r="A192" s="40">
        <v>256779417178</v>
      </c>
      <c r="B192" s="41">
        <v>45904</v>
      </c>
      <c r="C192" s="23" t="s">
        <v>562</v>
      </c>
      <c r="D192" s="23" t="s">
        <v>624</v>
      </c>
      <c r="E192" s="44"/>
      <c r="F192" s="44">
        <v>133792.3548</v>
      </c>
      <c r="G192" s="44">
        <v>-685386.05050000001</v>
      </c>
      <c r="H192" s="44"/>
      <c r="I192" s="44">
        <v>1528.8</v>
      </c>
      <c r="J192" s="44">
        <v>-2758.7305999999999</v>
      </c>
      <c r="L192" s="40">
        <v>256779417818</v>
      </c>
      <c r="M192" s="24"/>
      <c r="N192" s="24">
        <v>254.02540000000002</v>
      </c>
      <c r="O192" s="23">
        <f>VLOOKUP(L192,'Ascendus Data'!$D$3:$F$317,3,0)</f>
        <v>260.79000000000002</v>
      </c>
      <c r="P192" s="152"/>
    </row>
    <row r="193" spans="1:16" x14ac:dyDescent="0.35">
      <c r="A193" s="40">
        <v>256779417179</v>
      </c>
      <c r="B193" s="41">
        <v>45904</v>
      </c>
      <c r="C193" s="23" t="s">
        <v>562</v>
      </c>
      <c r="D193" s="23" t="s">
        <v>624</v>
      </c>
      <c r="E193" s="44"/>
      <c r="F193" s="44">
        <v>133792.3548</v>
      </c>
      <c r="G193" s="44">
        <v>-551593.69570000004</v>
      </c>
      <c r="H193" s="44"/>
      <c r="I193" s="44">
        <v>1528.8</v>
      </c>
      <c r="J193" s="44">
        <v>-3805.2325999999998</v>
      </c>
      <c r="L193" s="40">
        <v>256779417873</v>
      </c>
      <c r="M193" s="24"/>
      <c r="N193" s="24">
        <v>1020.52</v>
      </c>
      <c r="O193" s="23">
        <f>VLOOKUP(L193,'Ascendus Data'!$D$3:$F$317,3,0)</f>
        <v>100000</v>
      </c>
      <c r="P193" s="152"/>
    </row>
    <row r="194" spans="1:16" x14ac:dyDescent="0.35">
      <c r="A194" s="40">
        <v>256779417180</v>
      </c>
      <c r="B194" s="42">
        <v>45904</v>
      </c>
      <c r="C194" s="23" t="s">
        <v>562</v>
      </c>
      <c r="D194" s="23" t="s">
        <v>624</v>
      </c>
      <c r="E194" s="44"/>
      <c r="F194" s="44">
        <v>138252.1</v>
      </c>
      <c r="G194" s="44">
        <v>-823638.15049999999</v>
      </c>
      <c r="H194" s="44"/>
      <c r="I194" s="44">
        <v>1579.76</v>
      </c>
      <c r="J194" s="44">
        <v>-4204.0631999999996</v>
      </c>
      <c r="L194" s="40">
        <v>256779417874</v>
      </c>
      <c r="M194" s="24"/>
      <c r="N194" s="24">
        <v>388.93259999999998</v>
      </c>
      <c r="O194" s="23">
        <f>VLOOKUP(L194,'Ascendus Data'!$D$3:$F$317,3,0)</f>
        <v>35000</v>
      </c>
      <c r="P194" s="152"/>
    </row>
    <row r="195" spans="1:16" x14ac:dyDescent="0.35">
      <c r="A195" s="40">
        <v>256779417180</v>
      </c>
      <c r="B195" s="42">
        <v>45904</v>
      </c>
      <c r="C195" s="23" t="s">
        <v>562</v>
      </c>
      <c r="D195" s="23" t="s">
        <v>577</v>
      </c>
      <c r="E195" s="44"/>
      <c r="F195" s="44">
        <v>14736.9311</v>
      </c>
      <c r="G195" s="44">
        <v>-838375.08160000003</v>
      </c>
      <c r="H195" s="44"/>
      <c r="I195" s="44">
        <v>168.39</v>
      </c>
      <c r="J195" s="44">
        <v>-4299.9463999999998</v>
      </c>
      <c r="L195" s="40">
        <v>256779417902</v>
      </c>
      <c r="M195" s="24"/>
      <c r="N195" s="24">
        <v>27.587</v>
      </c>
      <c r="O195" s="23">
        <f>VLOOKUP(L195,'Ascendus Data'!$D$3:$F$317,3,0)</f>
        <v>28.15</v>
      </c>
      <c r="P195" s="152"/>
    </row>
    <row r="196" spans="1:16" x14ac:dyDescent="0.35">
      <c r="A196" s="40">
        <v>256779417181</v>
      </c>
      <c r="B196" s="42">
        <v>45904</v>
      </c>
      <c r="C196" s="23" t="s">
        <v>562</v>
      </c>
      <c r="D196" s="23" t="s">
        <v>577</v>
      </c>
      <c r="E196" s="44"/>
      <c r="F196" s="44">
        <v>15752.866</v>
      </c>
      <c r="G196" s="44">
        <v>-854127.94759999996</v>
      </c>
      <c r="H196" s="44"/>
      <c r="I196" s="44">
        <v>180</v>
      </c>
      <c r="J196" s="44">
        <v>-4371.6040000000003</v>
      </c>
      <c r="L196" s="40">
        <v>256779417940</v>
      </c>
      <c r="M196" s="24"/>
      <c r="N196" s="24">
        <v>324.87</v>
      </c>
      <c r="O196" s="23">
        <f>VLOOKUP(L196,'Ascendus Data'!$D$3:$F$317,3,0)</f>
        <v>331.5</v>
      </c>
      <c r="P196" s="152"/>
    </row>
    <row r="197" spans="1:16" x14ac:dyDescent="0.35">
      <c r="A197" s="40">
        <v>256779417181</v>
      </c>
      <c r="B197" s="42">
        <v>45904</v>
      </c>
      <c r="C197" s="23" t="s">
        <v>562</v>
      </c>
      <c r="D197" s="23" t="s">
        <v>624</v>
      </c>
      <c r="E197" s="44"/>
      <c r="F197" s="44">
        <v>138252.1</v>
      </c>
      <c r="G197" s="44">
        <v>-992380.04760000005</v>
      </c>
      <c r="H197" s="44"/>
      <c r="I197" s="44">
        <v>1579.76</v>
      </c>
      <c r="J197" s="44">
        <v>-4773.9723999999997</v>
      </c>
      <c r="L197" s="40">
        <v>256779417979</v>
      </c>
      <c r="M197" s="24"/>
      <c r="N197" s="24">
        <v>133.75040000000001</v>
      </c>
      <c r="O197" s="23">
        <f>VLOOKUP(L197,'Ascendus Data'!$D$3:$F$317,3,0)</f>
        <v>136.47999999999999</v>
      </c>
      <c r="P197" s="152"/>
    </row>
    <row r="198" spans="1:16" x14ac:dyDescent="0.35">
      <c r="A198" s="40">
        <v>256779417206</v>
      </c>
      <c r="B198" s="41">
        <v>45904</v>
      </c>
      <c r="C198" s="23" t="s">
        <v>562</v>
      </c>
      <c r="D198" s="23" t="s">
        <v>755</v>
      </c>
      <c r="E198" s="44"/>
      <c r="F198" s="44">
        <v>13059.682199999999</v>
      </c>
      <c r="G198" s="44">
        <v>-1265425.2534</v>
      </c>
      <c r="H198" s="44"/>
      <c r="I198" s="44">
        <v>149.23439999999999</v>
      </c>
      <c r="J198" s="44">
        <v>-6302.7723999999998</v>
      </c>
      <c r="L198" s="40">
        <v>256779418011</v>
      </c>
      <c r="M198" s="24"/>
      <c r="N198" s="24">
        <v>837.12599999999998</v>
      </c>
      <c r="O198" s="23">
        <f>VLOOKUP(L198,'Ascendus Data'!$D$3:$F$317,3,0)</f>
        <v>930.14</v>
      </c>
      <c r="P198" s="152"/>
    </row>
    <row r="199" spans="1:16" x14ac:dyDescent="0.35">
      <c r="A199" s="40">
        <v>256779417245</v>
      </c>
      <c r="B199" s="41">
        <v>45904</v>
      </c>
      <c r="C199" s="23" t="s">
        <v>562</v>
      </c>
      <c r="D199" s="23" t="s">
        <v>573</v>
      </c>
      <c r="E199" s="44"/>
      <c r="F199" s="44">
        <v>7194.5771000000004</v>
      </c>
      <c r="G199" s="44">
        <v>-1252365.5711999999</v>
      </c>
      <c r="H199" s="44"/>
      <c r="I199" s="44">
        <v>82.212199999999996</v>
      </c>
      <c r="J199" s="44">
        <v>-7831.5724</v>
      </c>
      <c r="L199" s="40">
        <v>256779418095</v>
      </c>
      <c r="M199" s="24"/>
      <c r="N199" s="24">
        <v>825</v>
      </c>
      <c r="O199" s="23">
        <f>VLOOKUP(L199,'Ascendus Data'!$D$3:$F$317,3,0)</f>
        <v>850</v>
      </c>
      <c r="P199" s="152"/>
    </row>
    <row r="200" spans="1:16" x14ac:dyDescent="0.35">
      <c r="A200" s="40">
        <v>256779417287</v>
      </c>
      <c r="B200" s="41">
        <v>45904</v>
      </c>
      <c r="C200" s="23" t="s">
        <v>562</v>
      </c>
      <c r="D200" s="23" t="s">
        <v>704</v>
      </c>
      <c r="E200" s="44"/>
      <c r="F200" s="44">
        <v>35212.633600000001</v>
      </c>
      <c r="G200" s="44">
        <v>-417801.34090000001</v>
      </c>
      <c r="H200" s="44"/>
      <c r="I200" s="44">
        <v>402.36840000000001</v>
      </c>
      <c r="J200" s="44">
        <v>-9411.3323999999993</v>
      </c>
      <c r="L200" s="40">
        <v>256779418170</v>
      </c>
      <c r="M200" s="24"/>
      <c r="N200" s="24">
        <v>98</v>
      </c>
      <c r="O200" s="23">
        <f>VLOOKUP(L200,'Ascendus Data'!$D$3:$F$317,3,0)</f>
        <v>100</v>
      </c>
      <c r="P200" s="152"/>
    </row>
    <row r="201" spans="1:16" x14ac:dyDescent="0.35">
      <c r="A201" s="40">
        <v>256779417325</v>
      </c>
      <c r="B201" s="41">
        <v>45904</v>
      </c>
      <c r="C201" s="23" t="s">
        <v>562</v>
      </c>
      <c r="D201" s="23" t="s">
        <v>724</v>
      </c>
      <c r="E201" s="44"/>
      <c r="F201" s="44">
        <v>8391.402</v>
      </c>
      <c r="G201" s="44">
        <v>-376426.3383</v>
      </c>
      <c r="H201" s="44"/>
      <c r="I201" s="44">
        <v>95.883200000000002</v>
      </c>
      <c r="J201" s="44">
        <v>-9579.7224000000006</v>
      </c>
      <c r="L201" s="40">
        <v>256779418180</v>
      </c>
      <c r="M201" s="24"/>
      <c r="N201" s="24">
        <v>169.75559999999999</v>
      </c>
      <c r="O201" s="23">
        <f>VLOOKUP(L201,'Ascendus Data'!$D$3:$F$317,3,0)</f>
        <v>173.22</v>
      </c>
      <c r="P201" s="152"/>
    </row>
    <row r="202" spans="1:16" x14ac:dyDescent="0.35">
      <c r="A202" s="40">
        <v>256779417346</v>
      </c>
      <c r="B202" s="41">
        <v>45904</v>
      </c>
      <c r="C202" s="23" t="s">
        <v>562</v>
      </c>
      <c r="D202" s="23" t="s">
        <v>563</v>
      </c>
      <c r="E202" s="44"/>
      <c r="F202" s="44">
        <v>89999.999500000005</v>
      </c>
      <c r="G202" s="44">
        <v>-1113879.6531</v>
      </c>
      <c r="H202" s="44"/>
      <c r="I202" s="44">
        <v>1028.403</v>
      </c>
      <c r="J202" s="44">
        <v>-9759.7224000000006</v>
      </c>
      <c r="L202" s="40">
        <v>256779418400</v>
      </c>
      <c r="M202" s="24"/>
      <c r="N202" s="24">
        <v>287.43400000000003</v>
      </c>
      <c r="O202" s="23">
        <f>VLOOKUP(L202,'Ascendus Data'!$D$3:$F$317,3,0)</f>
        <v>293.3</v>
      </c>
      <c r="P202" s="152"/>
    </row>
    <row r="203" spans="1:16" x14ac:dyDescent="0.35">
      <c r="A203" s="40">
        <v>256779417347</v>
      </c>
      <c r="B203" s="41">
        <v>45904</v>
      </c>
      <c r="C203" s="23" t="s">
        <v>562</v>
      </c>
      <c r="D203" s="23" t="s">
        <v>563</v>
      </c>
      <c r="E203" s="44"/>
      <c r="F203" s="44">
        <v>31499.606</v>
      </c>
      <c r="G203" s="44">
        <v>-1023879.6536</v>
      </c>
      <c r="H203" s="44"/>
      <c r="I203" s="44">
        <v>359.93700000000001</v>
      </c>
      <c r="J203" s="44">
        <v>-11339.482400000001</v>
      </c>
      <c r="L203" s="40">
        <v>256779418621</v>
      </c>
      <c r="M203" s="24"/>
      <c r="N203" s="24">
        <v>825</v>
      </c>
      <c r="O203" s="23">
        <f>VLOOKUP(L203,'Ascendus Data'!$D$3:$F$317,3,0)</f>
        <v>850</v>
      </c>
      <c r="P203" s="152"/>
    </row>
    <row r="204" spans="1:16" x14ac:dyDescent="0.35">
      <c r="A204" s="40">
        <v>256779417420</v>
      </c>
      <c r="B204" s="42">
        <v>45918</v>
      </c>
      <c r="C204" s="23" t="s">
        <v>562</v>
      </c>
      <c r="D204" s="23" t="s">
        <v>573</v>
      </c>
      <c r="E204" s="44"/>
      <c r="F204" s="44">
        <v>3002.0016000000001</v>
      </c>
      <c r="G204" s="44">
        <v>-1268427.2549999999</v>
      </c>
      <c r="H204" s="44"/>
      <c r="I204" s="44">
        <v>34.299999999999997</v>
      </c>
      <c r="J204" s="44">
        <v>-11699.419400000001</v>
      </c>
      <c r="L204" s="40">
        <v>256779418633</v>
      </c>
      <c r="M204" s="24"/>
      <c r="N204" s="24">
        <v>34.299999999999997</v>
      </c>
      <c r="O204" s="23">
        <f>VLOOKUP(L204,'Ascendus Data'!$D$3:$F$317,3,0)</f>
        <v>35</v>
      </c>
      <c r="P204" s="152"/>
    </row>
    <row r="205" spans="1:16" x14ac:dyDescent="0.35">
      <c r="A205" s="40">
        <v>256779417434</v>
      </c>
      <c r="B205" s="41">
        <v>45917</v>
      </c>
      <c r="C205" s="23" t="s">
        <v>562</v>
      </c>
      <c r="D205" s="23" t="s">
        <v>826</v>
      </c>
      <c r="E205" s="44"/>
      <c r="F205" s="44">
        <v>8576.4330000000009</v>
      </c>
      <c r="G205" s="44">
        <v>-1169929.6636000001</v>
      </c>
      <c r="H205" s="44"/>
      <c r="I205" s="44">
        <v>98</v>
      </c>
      <c r="J205" s="44">
        <v>-12727.822399999999</v>
      </c>
      <c r="L205" s="40">
        <v>256779418663</v>
      </c>
      <c r="M205" s="24"/>
      <c r="N205" s="24">
        <v>288.01220000000001</v>
      </c>
      <c r="O205" s="23">
        <f>VLOOKUP(L205,'Ascendus Data'!$D$3:$F$317,3,0)</f>
        <v>293.89</v>
      </c>
      <c r="P205" s="152"/>
    </row>
    <row r="206" spans="1:16" x14ac:dyDescent="0.35">
      <c r="A206" s="40">
        <v>256779417490</v>
      </c>
      <c r="B206" s="42">
        <v>45918</v>
      </c>
      <c r="C206" s="23" t="s">
        <v>562</v>
      </c>
      <c r="D206" s="23" t="s">
        <v>577</v>
      </c>
      <c r="E206" s="44"/>
      <c r="F206" s="44">
        <v>7876.433</v>
      </c>
      <c r="G206" s="44">
        <v>-1177806.0966</v>
      </c>
      <c r="H206" s="44"/>
      <c r="I206" s="44">
        <v>90</v>
      </c>
      <c r="J206" s="44">
        <v>-12699.0224</v>
      </c>
      <c r="L206" s="40">
        <v>256779418703</v>
      </c>
      <c r="M206" s="24"/>
      <c r="N206" s="24">
        <v>9.6334</v>
      </c>
      <c r="O206" s="23">
        <f>VLOOKUP(L206,'Ascendus Data'!$D$3:$F$317,3,0)</f>
        <v>9.83</v>
      </c>
      <c r="P206" s="152"/>
    </row>
    <row r="207" spans="1:16" x14ac:dyDescent="0.35">
      <c r="A207" s="40">
        <v>256779417490</v>
      </c>
      <c r="B207" s="42">
        <v>45918</v>
      </c>
      <c r="C207" s="23" t="s">
        <v>562</v>
      </c>
      <c r="D207" s="23" t="s">
        <v>624</v>
      </c>
      <c r="E207" s="44"/>
      <c r="F207" s="44">
        <v>64322.747499999998</v>
      </c>
      <c r="G207" s="44">
        <v>-1242128.8441000001</v>
      </c>
      <c r="H207" s="44"/>
      <c r="I207" s="44">
        <v>735</v>
      </c>
      <c r="J207" s="44">
        <v>-12670.222400000001</v>
      </c>
      <c r="L207" s="40">
        <v>256779418775</v>
      </c>
      <c r="M207" s="24"/>
      <c r="N207" s="24">
        <v>1022.688</v>
      </c>
      <c r="O207" s="23">
        <f>VLOOKUP(L207,'Ascendus Data'!$D$3:$F$317,3,0)</f>
        <v>100000</v>
      </c>
      <c r="P207" s="152"/>
    </row>
    <row r="208" spans="1:16" x14ac:dyDescent="0.35">
      <c r="A208" s="40">
        <v>256779417526</v>
      </c>
      <c r="B208" s="41">
        <v>45918</v>
      </c>
      <c r="C208" s="23" t="s">
        <v>562</v>
      </c>
      <c r="D208" s="23" t="s">
        <v>724</v>
      </c>
      <c r="E208" s="44"/>
      <c r="F208" s="44">
        <v>1923.9464</v>
      </c>
      <c r="G208" s="44">
        <v>-999485.95050000004</v>
      </c>
      <c r="H208" s="44"/>
      <c r="I208" s="44">
        <v>21.981400000000001</v>
      </c>
      <c r="J208" s="44">
        <v>-12640.4624</v>
      </c>
      <c r="L208" s="40">
        <v>256779418776</v>
      </c>
      <c r="M208" s="24"/>
      <c r="N208" s="24">
        <v>389.75580000000002</v>
      </c>
      <c r="O208" s="23">
        <f>VLOOKUP(L208,'Ascendus Data'!$D$3:$F$317,3,0)</f>
        <v>35000</v>
      </c>
      <c r="P208" s="152"/>
    </row>
    <row r="209" spans="1:16" x14ac:dyDescent="0.35">
      <c r="A209" s="40">
        <v>256779417568</v>
      </c>
      <c r="B209" s="41">
        <v>45918</v>
      </c>
      <c r="C209" s="23" t="s">
        <v>562</v>
      </c>
      <c r="D209" s="23" t="s">
        <v>704</v>
      </c>
      <c r="E209" s="44"/>
      <c r="F209" s="44">
        <v>25205.5864</v>
      </c>
      <c r="G209" s="44">
        <v>-1024691.5368999999</v>
      </c>
      <c r="H209" s="44"/>
      <c r="I209" s="44">
        <v>288.01220000000001</v>
      </c>
      <c r="J209" s="44">
        <v>-11060.7024</v>
      </c>
      <c r="L209" s="40">
        <v>256779418820</v>
      </c>
      <c r="M209" s="24"/>
      <c r="N209" s="24">
        <v>344.10739999999998</v>
      </c>
      <c r="O209" s="23">
        <f>VLOOKUP(L209,'Ascendus Data'!$D$3:$F$317,3,0)</f>
        <v>351.13</v>
      </c>
      <c r="P209" s="152"/>
    </row>
    <row r="210" spans="1:16" x14ac:dyDescent="0.35">
      <c r="A210" s="40">
        <v>256779417818</v>
      </c>
      <c r="B210" s="42">
        <v>45924</v>
      </c>
      <c r="C210" s="23" t="s">
        <v>562</v>
      </c>
      <c r="D210" s="23" t="s">
        <v>634</v>
      </c>
      <c r="E210" s="44"/>
      <c r="F210" s="44">
        <v>20344.044699999999</v>
      </c>
      <c r="G210" s="44">
        <v>-988324.98970000003</v>
      </c>
      <c r="H210" s="44"/>
      <c r="I210" s="44">
        <v>236.60140000000001</v>
      </c>
      <c r="J210" s="44">
        <v>-11297.3038</v>
      </c>
      <c r="L210" s="40">
        <v>256779418876</v>
      </c>
      <c r="M210" s="24"/>
      <c r="N210" s="24">
        <v>671.37300000000005</v>
      </c>
      <c r="O210" s="23">
        <f>VLOOKUP(L210,'Ascendus Data'!$D$3:$F$317,3,0)</f>
        <v>745.97</v>
      </c>
      <c r="P210" s="152"/>
    </row>
    <row r="211" spans="1:16" x14ac:dyDescent="0.35">
      <c r="A211" s="40">
        <v>256779417818</v>
      </c>
      <c r="B211" s="42">
        <v>45924</v>
      </c>
      <c r="C211" s="23" t="s">
        <v>562</v>
      </c>
      <c r="D211" s="23" t="s">
        <v>577</v>
      </c>
      <c r="E211" s="44"/>
      <c r="F211" s="44">
        <v>1498.6443999999999</v>
      </c>
      <c r="G211" s="44">
        <v>-1266883.7494000001</v>
      </c>
      <c r="H211" s="44"/>
      <c r="I211" s="44">
        <v>17.423999999999999</v>
      </c>
      <c r="J211" s="44">
        <v>-11426.709199999999</v>
      </c>
      <c r="L211" s="40">
        <v>256779419077</v>
      </c>
      <c r="M211" s="24"/>
      <c r="N211" s="24">
        <v>874</v>
      </c>
      <c r="O211" s="23">
        <f>VLOOKUP(L211,'Ascendus Data'!$D$3:$F$317,3,0)</f>
        <v>900</v>
      </c>
      <c r="P211" s="152"/>
    </row>
    <row r="212" spans="1:16" x14ac:dyDescent="0.35">
      <c r="A212" s="40">
        <v>256779417873</v>
      </c>
      <c r="B212" s="41">
        <v>45935</v>
      </c>
      <c r="C212" s="23" t="s">
        <v>562</v>
      </c>
      <c r="D212" s="23" t="s">
        <v>563</v>
      </c>
      <c r="E212" s="44"/>
      <c r="F212" s="44">
        <v>89999.522899999996</v>
      </c>
      <c r="G212" s="44">
        <v>-1182953.6794</v>
      </c>
      <c r="H212" s="44"/>
      <c r="I212" s="44">
        <v>1020.52</v>
      </c>
      <c r="J212" s="44">
        <v>-11714.7214</v>
      </c>
      <c r="L212" s="40">
        <v>256779419130</v>
      </c>
      <c r="M212" s="24"/>
      <c r="N212" s="24">
        <v>51.655799999999999</v>
      </c>
      <c r="O212" s="23">
        <f>VLOOKUP(L212,'Ascendus Data'!$D$3:$F$317,3,0)</f>
        <v>52.71</v>
      </c>
      <c r="P212" s="152"/>
    </row>
    <row r="213" spans="1:16" x14ac:dyDescent="0.35">
      <c r="A213" s="40">
        <v>256779417874</v>
      </c>
      <c r="B213" s="41">
        <v>45935</v>
      </c>
      <c r="C213" s="23" t="s">
        <v>562</v>
      </c>
      <c r="D213" s="23" t="s">
        <v>569</v>
      </c>
      <c r="E213" s="44"/>
      <c r="F213" s="44">
        <v>34299.965300000003</v>
      </c>
      <c r="G213" s="44">
        <v>-1217253.6447000001</v>
      </c>
      <c r="H213" s="44"/>
      <c r="I213" s="44">
        <v>388.93259999999998</v>
      </c>
      <c r="J213" s="44">
        <v>-13187.0574</v>
      </c>
      <c r="L213" s="40">
        <v>256779419174</v>
      </c>
      <c r="M213" s="24"/>
      <c r="N213" s="24">
        <v>8.0457999999999998</v>
      </c>
      <c r="O213" s="23">
        <f>VLOOKUP(L213,'Ascendus Data'!$D$3:$F$317,3,0)</f>
        <v>8.2100000000000009</v>
      </c>
      <c r="P213" s="152"/>
    </row>
    <row r="214" spans="1:16" x14ac:dyDescent="0.35">
      <c r="A214" s="40">
        <v>256779417902</v>
      </c>
      <c r="B214" s="41">
        <v>45935</v>
      </c>
      <c r="C214" s="23" t="s">
        <v>562</v>
      </c>
      <c r="D214" s="23" t="s">
        <v>755</v>
      </c>
      <c r="E214" s="44"/>
      <c r="F214" s="44">
        <v>2432.5484999999999</v>
      </c>
      <c r="G214" s="44">
        <v>-210992.80350000001</v>
      </c>
      <c r="H214" s="44"/>
      <c r="I214" s="44">
        <v>27.587</v>
      </c>
      <c r="J214" s="44">
        <v>-13215.857400000001</v>
      </c>
      <c r="L214" s="40">
        <v>256779419200</v>
      </c>
      <c r="M214" s="24"/>
      <c r="N214" s="24">
        <v>149.2148</v>
      </c>
      <c r="O214" s="23">
        <f>VLOOKUP(L214,'Ascendus Data'!$D$3:$F$317,3,0)</f>
        <v>152.26</v>
      </c>
      <c r="P214" s="152"/>
    </row>
    <row r="215" spans="1:16" x14ac:dyDescent="0.35">
      <c r="A215" s="40">
        <v>256779417940</v>
      </c>
      <c r="B215" s="41">
        <v>45935</v>
      </c>
      <c r="C215" s="23" t="s">
        <v>562</v>
      </c>
      <c r="D215" s="23" t="s">
        <v>704</v>
      </c>
      <c r="E215" s="44"/>
      <c r="F215" s="44">
        <v>28649.985000000001</v>
      </c>
      <c r="G215" s="44">
        <v>-239642.7885</v>
      </c>
      <c r="H215" s="44"/>
      <c r="I215" s="44">
        <v>324.87</v>
      </c>
      <c r="J215" s="44">
        <v>-13244.6574</v>
      </c>
      <c r="L215" s="40">
        <v>256779419232</v>
      </c>
      <c r="M215" s="24"/>
      <c r="N215" s="24">
        <v>25.176200000000001</v>
      </c>
      <c r="O215" s="23">
        <f>VLOOKUP(L215,'Ascendus Data'!$D$3:$F$317,3,0)</f>
        <v>25.69</v>
      </c>
      <c r="P215" s="152"/>
    </row>
    <row r="216" spans="1:16" x14ac:dyDescent="0.35">
      <c r="A216" s="40">
        <v>256779417979</v>
      </c>
      <c r="B216" s="41">
        <v>45935</v>
      </c>
      <c r="C216" s="23" t="s">
        <v>562</v>
      </c>
      <c r="D216" s="23" t="s">
        <v>724</v>
      </c>
      <c r="E216" s="44"/>
      <c r="F216" s="44">
        <v>11795.171200000001</v>
      </c>
      <c r="G216" s="44">
        <v>-1301805.3159</v>
      </c>
      <c r="H216" s="44"/>
      <c r="I216" s="44">
        <v>133.75040000000001</v>
      </c>
      <c r="J216" s="44">
        <v>-13274.4174</v>
      </c>
      <c r="L216" s="40">
        <v>256779419558</v>
      </c>
      <c r="M216" s="24"/>
      <c r="N216" s="24">
        <v>825</v>
      </c>
      <c r="O216" s="23">
        <f>VLOOKUP(L216,'Ascendus Data'!$D$3:$F$317,3,0)</f>
        <v>850</v>
      </c>
      <c r="P216" s="152"/>
    </row>
    <row r="217" spans="1:16" x14ac:dyDescent="0.35">
      <c r="A217" s="40">
        <v>256779418011</v>
      </c>
      <c r="B217" s="41">
        <v>45936</v>
      </c>
      <c r="C217" s="23" t="s">
        <v>562</v>
      </c>
      <c r="D217" s="23" t="s">
        <v>563</v>
      </c>
      <c r="E217" s="44"/>
      <c r="F217" s="44">
        <v>73826.046600000001</v>
      </c>
      <c r="G217" s="44">
        <v>-1426451.0637999999</v>
      </c>
      <c r="H217" s="44"/>
      <c r="I217" s="44">
        <v>837.12599999999998</v>
      </c>
      <c r="J217" s="44">
        <v>-13372.4174</v>
      </c>
      <c r="L217" s="40">
        <v>256779419590</v>
      </c>
      <c r="M217" s="24"/>
      <c r="N217" s="24">
        <v>324.87</v>
      </c>
      <c r="O217" s="23">
        <f>VLOOKUP(L217,'Ascendus Data'!$D$3:$F$317,3,0)</f>
        <v>331.5</v>
      </c>
      <c r="P217" s="152"/>
    </row>
    <row r="218" spans="1:16" x14ac:dyDescent="0.35">
      <c r="A218" s="40">
        <v>256779418095</v>
      </c>
      <c r="B218" s="42">
        <v>45935</v>
      </c>
      <c r="C218" s="23" t="s">
        <v>562</v>
      </c>
      <c r="D218" s="23" t="s">
        <v>577</v>
      </c>
      <c r="E218" s="44"/>
      <c r="F218" s="44">
        <v>7937</v>
      </c>
      <c r="G218" s="44">
        <v>-1225190.6447000001</v>
      </c>
      <c r="H218" s="44"/>
      <c r="I218" s="44">
        <v>90</v>
      </c>
      <c r="J218" s="44">
        <v>-13462.4174</v>
      </c>
      <c r="L218" s="40">
        <v>256779419630</v>
      </c>
      <c r="M218" s="24"/>
      <c r="N218" s="24">
        <v>110.3284</v>
      </c>
      <c r="O218" s="23">
        <f>VLOOKUP(L218,'Ascendus Data'!$D$3:$F$317,3,0)</f>
        <v>112.58</v>
      </c>
      <c r="P218" s="152"/>
    </row>
    <row r="219" spans="1:16" x14ac:dyDescent="0.35">
      <c r="A219" s="40">
        <v>256779418095</v>
      </c>
      <c r="B219" s="42">
        <v>45935</v>
      </c>
      <c r="C219" s="23" t="s">
        <v>562</v>
      </c>
      <c r="D219" s="23" t="s">
        <v>624</v>
      </c>
      <c r="E219" s="44"/>
      <c r="F219" s="44">
        <v>64819.5</v>
      </c>
      <c r="G219" s="44">
        <v>-1290010.1447000001</v>
      </c>
      <c r="H219" s="44"/>
      <c r="I219" s="44">
        <v>735</v>
      </c>
      <c r="J219" s="44">
        <v>-14197.4174</v>
      </c>
      <c r="L219" s="40">
        <v>256779419796</v>
      </c>
      <c r="M219" s="24"/>
      <c r="N219" s="24">
        <v>825</v>
      </c>
      <c r="O219" s="23">
        <f>VLOOKUP(L219,'Ascendus Data'!$D$3:$F$317,3,0)</f>
        <v>850</v>
      </c>
      <c r="P219" s="152"/>
    </row>
    <row r="220" spans="1:16" x14ac:dyDescent="0.35">
      <c r="A220" s="40">
        <v>256779418170</v>
      </c>
      <c r="B220" s="41">
        <v>45937</v>
      </c>
      <c r="C220" s="23" t="s">
        <v>562</v>
      </c>
      <c r="D220" s="23" t="s">
        <v>826</v>
      </c>
      <c r="E220" s="44"/>
      <c r="F220" s="44">
        <v>8643</v>
      </c>
      <c r="G220" s="44">
        <v>-389786.4964</v>
      </c>
      <c r="H220" s="44"/>
      <c r="I220" s="44">
        <v>98</v>
      </c>
      <c r="J220" s="44">
        <v>-14313.929599999999</v>
      </c>
      <c r="L220" s="40">
        <v>256779419918</v>
      </c>
      <c r="M220" s="24"/>
      <c r="N220" s="24">
        <v>109.172</v>
      </c>
      <c r="O220" s="23">
        <f>VLOOKUP(L220,'Ascendus Data'!$D$3:$F$317,3,0)</f>
        <v>111.4</v>
      </c>
      <c r="P220" s="152"/>
    </row>
    <row r="221" spans="1:16" x14ac:dyDescent="0.35">
      <c r="A221" s="40">
        <v>256779418180</v>
      </c>
      <c r="B221" s="41">
        <v>45937</v>
      </c>
      <c r="C221" s="23" t="s">
        <v>562</v>
      </c>
      <c r="D221" s="23" t="s">
        <v>573</v>
      </c>
      <c r="E221" s="44"/>
      <c r="F221" s="44">
        <v>14970.2718</v>
      </c>
      <c r="G221" s="44">
        <v>-381143.4964</v>
      </c>
      <c r="H221" s="44"/>
      <c r="I221" s="44">
        <v>169.75559999999999</v>
      </c>
      <c r="J221" s="44">
        <v>-14463.164000000001</v>
      </c>
      <c r="L221" s="40">
        <v>256779419955</v>
      </c>
      <c r="M221" s="24"/>
      <c r="N221" s="24">
        <v>60.7502</v>
      </c>
      <c r="O221" s="23">
        <f>VLOOKUP(L221,'Ascendus Data'!$D$3:$F$317,3,0)</f>
        <v>61.99</v>
      </c>
      <c r="P221" s="152"/>
    </row>
    <row r="222" spans="1:16" x14ac:dyDescent="0.35">
      <c r="A222" s="40">
        <v>256779418400</v>
      </c>
      <c r="B222" s="41">
        <v>45935</v>
      </c>
      <c r="C222" s="23" t="s">
        <v>562</v>
      </c>
      <c r="D222" s="23" t="s">
        <v>573</v>
      </c>
      <c r="E222" s="44"/>
      <c r="F222" s="44">
        <v>25349.127</v>
      </c>
      <c r="G222" s="44">
        <v>-264991.9155</v>
      </c>
      <c r="H222" s="44"/>
      <c r="I222" s="44">
        <v>287.43400000000003</v>
      </c>
      <c r="J222" s="44">
        <v>-14497.464</v>
      </c>
      <c r="L222" s="40">
        <v>256779419968</v>
      </c>
      <c r="M222" s="24"/>
      <c r="N222" s="24">
        <v>1014.651</v>
      </c>
      <c r="O222" s="23">
        <f>VLOOKUP(L222,'Ascendus Data'!$D$3:$F$317,3,0)</f>
        <v>100000</v>
      </c>
      <c r="P222" s="152"/>
    </row>
    <row r="223" spans="1:16" x14ac:dyDescent="0.35">
      <c r="A223" s="40">
        <v>256779418621</v>
      </c>
      <c r="B223" s="42">
        <v>45950</v>
      </c>
      <c r="C223" s="23" t="s">
        <v>562</v>
      </c>
      <c r="D223" s="23" t="s">
        <v>624</v>
      </c>
      <c r="E223" s="44"/>
      <c r="F223" s="44">
        <v>64819.5</v>
      </c>
      <c r="G223" s="44">
        <v>-329811.4155</v>
      </c>
      <c r="H223" s="44"/>
      <c r="I223" s="44">
        <v>735</v>
      </c>
      <c r="J223" s="44">
        <v>-14480.588</v>
      </c>
      <c r="L223" s="40">
        <v>256779419969</v>
      </c>
      <c r="M223" s="24"/>
      <c r="N223" s="24">
        <v>386.69819999999999</v>
      </c>
      <c r="O223" s="23">
        <f>VLOOKUP(L223,'Ascendus Data'!$D$3:$F$317,3,0)</f>
        <v>35000</v>
      </c>
      <c r="P223" s="152"/>
    </row>
    <row r="224" spans="1:16" x14ac:dyDescent="0.35">
      <c r="A224" s="40">
        <v>256779418621</v>
      </c>
      <c r="B224" s="42">
        <v>45950</v>
      </c>
      <c r="C224" s="23" t="s">
        <v>562</v>
      </c>
      <c r="D224" s="23" t="s">
        <v>577</v>
      </c>
      <c r="E224" s="44"/>
      <c r="F224" s="44">
        <v>7937</v>
      </c>
      <c r="G224" s="44">
        <v>-337748.4155</v>
      </c>
      <c r="H224" s="44"/>
      <c r="I224" s="44">
        <v>90</v>
      </c>
      <c r="J224" s="44">
        <v>-14419.828</v>
      </c>
      <c r="L224" s="40">
        <v>256779419992</v>
      </c>
      <c r="M224" s="24"/>
      <c r="N224" s="24">
        <v>121.62779999999999</v>
      </c>
      <c r="O224" s="23">
        <f>VLOOKUP(L224,'Ascendus Data'!$D$3:$F$317,3,0)</f>
        <v>124.11</v>
      </c>
      <c r="P224" s="152"/>
    </row>
    <row r="225" spans="1:16" x14ac:dyDescent="0.35">
      <c r="A225" s="40">
        <v>256779418633</v>
      </c>
      <c r="B225" s="41">
        <v>45950</v>
      </c>
      <c r="C225" s="23" t="s">
        <v>562</v>
      </c>
      <c r="D225" s="23" t="s">
        <v>573</v>
      </c>
      <c r="E225" s="44"/>
      <c r="F225" s="44">
        <v>3024.65</v>
      </c>
      <c r="G225" s="44">
        <v>-340773.06550000003</v>
      </c>
      <c r="H225" s="44"/>
      <c r="I225" s="44">
        <v>34.299999999999997</v>
      </c>
      <c r="J225" s="44">
        <v>-14359.828</v>
      </c>
      <c r="L225" s="40">
        <v>256779421715</v>
      </c>
      <c r="M225" s="24">
        <v>2092.2930000000001</v>
      </c>
      <c r="N225" s="24"/>
      <c r="O225" s="23">
        <f>VLOOKUP(L225,'Ascendus Data'!$D$3:$F$317,3,0)</f>
        <v>-2324.77</v>
      </c>
      <c r="P225" s="152"/>
    </row>
    <row r="226" spans="1:16" x14ac:dyDescent="0.35">
      <c r="A226" s="40">
        <v>256779418663</v>
      </c>
      <c r="B226" s="41">
        <v>45950</v>
      </c>
      <c r="C226" s="23" t="s">
        <v>562</v>
      </c>
      <c r="D226" s="23" t="s">
        <v>704</v>
      </c>
      <c r="E226" s="44"/>
      <c r="F226" s="44">
        <v>25400.159100000001</v>
      </c>
      <c r="G226" s="44">
        <v>-366173.22460000002</v>
      </c>
      <c r="H226" s="44"/>
      <c r="I226" s="44">
        <v>288.01220000000001</v>
      </c>
      <c r="J226" s="44">
        <v>-14419.828</v>
      </c>
      <c r="L226" s="40">
        <v>256779440052</v>
      </c>
      <c r="M226" s="24"/>
      <c r="N226" s="24">
        <v>822.09299999999996</v>
      </c>
      <c r="O226" s="23">
        <f>VLOOKUP(L226,'Ascendus Data'!$D$3:$F$317,3,0)</f>
        <v>846.77</v>
      </c>
      <c r="P226" s="152"/>
    </row>
    <row r="227" spans="1:16" x14ac:dyDescent="0.35">
      <c r="A227" s="40">
        <v>256779418703</v>
      </c>
      <c r="B227" s="41">
        <v>45950</v>
      </c>
      <c r="C227" s="23" t="s">
        <v>562</v>
      </c>
      <c r="D227" s="23" t="s">
        <v>724</v>
      </c>
      <c r="E227" s="44"/>
      <c r="F227" s="44">
        <v>849.90769999999998</v>
      </c>
      <c r="G227" s="44">
        <v>-420917.84409999999</v>
      </c>
      <c r="H227" s="44"/>
      <c r="I227" s="44">
        <v>9.6334</v>
      </c>
      <c r="J227" s="44">
        <v>-14361.028</v>
      </c>
      <c r="L227" s="40">
        <v>256779440081</v>
      </c>
      <c r="M227" s="24"/>
      <c r="N227" s="24">
        <v>3.3809999999999998</v>
      </c>
      <c r="O227" s="23">
        <f>VLOOKUP(L227,'Ascendus Data'!$D$3:$F$317,3,0)</f>
        <v>3.45</v>
      </c>
      <c r="P227" s="152"/>
    </row>
    <row r="228" spans="1:16" x14ac:dyDescent="0.35">
      <c r="A228" s="40">
        <v>256779418775</v>
      </c>
      <c r="B228" s="41">
        <v>45966</v>
      </c>
      <c r="C228" s="23" t="s">
        <v>562</v>
      </c>
      <c r="D228" s="23" t="s">
        <v>563</v>
      </c>
      <c r="E228" s="44"/>
      <c r="F228" s="44">
        <v>89996.160000000003</v>
      </c>
      <c r="G228" s="44">
        <v>-593079.99190000002</v>
      </c>
      <c r="H228" s="44"/>
      <c r="I228" s="44">
        <v>1022.688</v>
      </c>
      <c r="J228" s="44">
        <v>-14302.227999999999</v>
      </c>
      <c r="L228" s="40" t="s">
        <v>910</v>
      </c>
      <c r="M228" s="24">
        <v>67671.353599999988</v>
      </c>
      <c r="N228" s="24">
        <v>0</v>
      </c>
      <c r="O228" s="23" t="e">
        <f>VLOOKUP(L228,'Ascendus Data'!$D$3:$F$317,3,0)</f>
        <v>#N/A</v>
      </c>
      <c r="P228" s="152"/>
    </row>
    <row r="229" spans="1:16" x14ac:dyDescent="0.35">
      <c r="A229" s="40">
        <v>256779418776</v>
      </c>
      <c r="B229" s="42">
        <v>45966</v>
      </c>
      <c r="C229" s="23" t="s">
        <v>562</v>
      </c>
      <c r="D229" s="23" t="s">
        <v>569</v>
      </c>
      <c r="E229" s="44"/>
      <c r="F229" s="44">
        <v>34299.828200000004</v>
      </c>
      <c r="G229" s="44">
        <v>-627379.82010000001</v>
      </c>
      <c r="H229" s="44"/>
      <c r="I229" s="44">
        <v>389.75580000000002</v>
      </c>
      <c r="J229" s="44">
        <v>-14241.468000000001</v>
      </c>
      <c r="M229">
        <f>SUBTOTAL(9,M2:M228)</f>
        <v>71596.412199999992</v>
      </c>
      <c r="N229" s="3">
        <f t="shared" ref="N229:O229" si="0">SUBTOTAL(9,N2:N228)</f>
        <v>85191.14479999998</v>
      </c>
      <c r="O229" s="3" t="e">
        <f t="shared" si="0"/>
        <v>#N/A</v>
      </c>
      <c r="P229" s="3"/>
    </row>
    <row r="230" spans="1:16" x14ac:dyDescent="0.35">
      <c r="A230" s="40">
        <v>256779418820</v>
      </c>
      <c r="B230" s="41">
        <v>45966</v>
      </c>
      <c r="C230" s="23" t="s">
        <v>562</v>
      </c>
      <c r="D230" s="23" t="s">
        <v>573</v>
      </c>
      <c r="E230" s="44"/>
      <c r="F230" s="44">
        <v>30281.439999999999</v>
      </c>
      <c r="G230" s="44">
        <v>-420067.93640000001</v>
      </c>
      <c r="H230" s="44"/>
      <c r="I230" s="44">
        <v>344.10739999999998</v>
      </c>
      <c r="J230" s="44">
        <v>-12488.7024</v>
      </c>
    </row>
    <row r="231" spans="1:16" x14ac:dyDescent="0.35">
      <c r="A231" s="40">
        <v>256779418876</v>
      </c>
      <c r="B231" s="41">
        <v>45966</v>
      </c>
      <c r="C231" s="23" t="s">
        <v>562</v>
      </c>
      <c r="D231" s="23" t="s">
        <v>563</v>
      </c>
      <c r="E231" s="44"/>
      <c r="F231" s="44">
        <v>59082.888800000001</v>
      </c>
      <c r="G231" s="44">
        <v>-1485533.9526</v>
      </c>
      <c r="H231" s="44"/>
      <c r="I231" s="44">
        <v>671.37300000000005</v>
      </c>
      <c r="J231" s="44">
        <v>-13509.222400000001</v>
      </c>
    </row>
    <row r="232" spans="1:16" x14ac:dyDescent="0.35">
      <c r="A232" s="40">
        <v>256779419077</v>
      </c>
      <c r="B232" s="42">
        <v>45966</v>
      </c>
      <c r="C232" s="23" t="s">
        <v>562</v>
      </c>
      <c r="D232" s="23" t="s">
        <v>577</v>
      </c>
      <c r="E232" s="44"/>
      <c r="F232" s="44">
        <v>7920</v>
      </c>
      <c r="G232" s="44">
        <v>-434091.83189999999</v>
      </c>
      <c r="H232" s="44"/>
      <c r="I232" s="44">
        <v>90</v>
      </c>
      <c r="J232" s="44">
        <v>-13898.155000000001</v>
      </c>
    </row>
    <row r="233" spans="1:16" x14ac:dyDescent="0.35">
      <c r="A233" s="40">
        <v>256779419077</v>
      </c>
      <c r="B233" s="42">
        <v>45966</v>
      </c>
      <c r="C233" s="23" t="s">
        <v>562</v>
      </c>
      <c r="D233" s="23" t="s">
        <v>624</v>
      </c>
      <c r="E233" s="44"/>
      <c r="F233" s="44">
        <v>68992</v>
      </c>
      <c r="G233" s="44">
        <v>-503083.83189999999</v>
      </c>
      <c r="H233" s="44"/>
      <c r="I233" s="44">
        <v>784</v>
      </c>
      <c r="J233" s="44">
        <v>-13988.155000000001</v>
      </c>
    </row>
    <row r="234" spans="1:16" x14ac:dyDescent="0.35">
      <c r="A234" s="40">
        <v>256779419130</v>
      </c>
      <c r="B234" s="41">
        <v>45964</v>
      </c>
      <c r="C234" s="23" t="s">
        <v>562</v>
      </c>
      <c r="D234" s="23" t="s">
        <v>634</v>
      </c>
      <c r="E234" s="44"/>
      <c r="F234" s="44">
        <v>4545.4799999999996</v>
      </c>
      <c r="G234" s="44">
        <v>-426171.83189999999</v>
      </c>
      <c r="H234" s="44"/>
      <c r="I234" s="44">
        <v>51.655799999999999</v>
      </c>
      <c r="J234" s="44">
        <v>-14723.155000000001</v>
      </c>
    </row>
    <row r="235" spans="1:16" x14ac:dyDescent="0.35">
      <c r="A235" s="40">
        <v>256779419174</v>
      </c>
      <c r="B235" s="41">
        <v>45966</v>
      </c>
      <c r="C235" s="23" t="s">
        <v>562</v>
      </c>
      <c r="D235" s="23" t="s">
        <v>724</v>
      </c>
      <c r="E235" s="44"/>
      <c r="F235" s="44">
        <v>708.50779999999997</v>
      </c>
      <c r="G235" s="44">
        <v>-421626.35190000001</v>
      </c>
      <c r="H235" s="44"/>
      <c r="I235" s="44">
        <v>8.0457999999999998</v>
      </c>
      <c r="J235" s="44">
        <v>-14856.9054</v>
      </c>
    </row>
    <row r="236" spans="1:16" x14ac:dyDescent="0.35">
      <c r="A236" s="40">
        <v>256779419200</v>
      </c>
      <c r="B236" s="41">
        <v>45966</v>
      </c>
      <c r="C236" s="23" t="s">
        <v>562</v>
      </c>
      <c r="D236" s="23" t="s">
        <v>573</v>
      </c>
      <c r="E236" s="44"/>
      <c r="F236" s="44">
        <v>13131.454</v>
      </c>
      <c r="G236" s="44">
        <v>-1186951.7169000001</v>
      </c>
      <c r="H236" s="44"/>
      <c r="I236" s="44">
        <v>149.2148</v>
      </c>
      <c r="J236" s="44">
        <v>-12866.965</v>
      </c>
    </row>
    <row r="237" spans="1:16" x14ac:dyDescent="0.35">
      <c r="A237" s="40">
        <v>256779419232</v>
      </c>
      <c r="B237" s="41">
        <v>45966</v>
      </c>
      <c r="C237" s="23" t="s">
        <v>562</v>
      </c>
      <c r="D237" s="23" t="s">
        <v>573</v>
      </c>
      <c r="E237" s="44"/>
      <c r="F237" s="44">
        <v>2233.4737</v>
      </c>
      <c r="G237" s="44">
        <v>-1173820.2629</v>
      </c>
      <c r="H237" s="44"/>
      <c r="I237" s="44">
        <v>25.176200000000001</v>
      </c>
      <c r="J237" s="44">
        <v>-2364.8022000000001</v>
      </c>
    </row>
    <row r="238" spans="1:16" x14ac:dyDescent="0.35">
      <c r="A238" s="40">
        <v>256779419558</v>
      </c>
      <c r="B238" s="42">
        <v>45981</v>
      </c>
      <c r="C238" s="23" t="s">
        <v>562</v>
      </c>
      <c r="D238" s="23" t="s">
        <v>577</v>
      </c>
      <c r="E238" s="44"/>
      <c r="F238" s="44">
        <v>7920.3389999999999</v>
      </c>
      <c r="G238" s="44">
        <v>-886072.42980000004</v>
      </c>
      <c r="H238" s="44"/>
      <c r="I238" s="44">
        <v>90</v>
      </c>
      <c r="J238" s="44">
        <v>-2392.3892000000001</v>
      </c>
    </row>
    <row r="239" spans="1:16" x14ac:dyDescent="0.35">
      <c r="A239" s="40">
        <v>256779419558</v>
      </c>
      <c r="B239" s="42">
        <v>45981</v>
      </c>
      <c r="C239" s="23" t="s">
        <v>562</v>
      </c>
      <c r="D239" s="23" t="s">
        <v>624</v>
      </c>
      <c r="E239" s="44"/>
      <c r="F239" s="44">
        <v>64682.542500000003</v>
      </c>
      <c r="G239" s="44">
        <v>-950754.97230000002</v>
      </c>
      <c r="H239" s="44"/>
      <c r="I239" s="44">
        <v>735</v>
      </c>
      <c r="J239" s="44">
        <v>-2717.2592</v>
      </c>
    </row>
    <row r="240" spans="1:16" x14ac:dyDescent="0.35">
      <c r="A240" s="40">
        <v>256779419590</v>
      </c>
      <c r="B240" s="41">
        <v>45981</v>
      </c>
      <c r="C240" s="23" t="s">
        <v>562</v>
      </c>
      <c r="D240" s="23" t="s">
        <v>724</v>
      </c>
      <c r="E240" s="44"/>
      <c r="F240" s="44">
        <v>28590.123800000001</v>
      </c>
      <c r="G240" s="44">
        <v>-748463.94310000003</v>
      </c>
      <c r="H240" s="44"/>
      <c r="I240" s="44">
        <v>324.87</v>
      </c>
      <c r="J240" s="44">
        <v>-3004.6932000000002</v>
      </c>
    </row>
    <row r="241" spans="1:10" x14ac:dyDescent="0.35">
      <c r="A241" s="40">
        <v>256779419630</v>
      </c>
      <c r="B241" s="41">
        <v>45981</v>
      </c>
      <c r="C241" s="23" t="s">
        <v>562</v>
      </c>
      <c r="D241" s="23" t="s">
        <v>724</v>
      </c>
      <c r="E241" s="44"/>
      <c r="F241" s="44">
        <v>9709.4215999999997</v>
      </c>
      <c r="G241" s="44">
        <v>-637089.24170000001</v>
      </c>
      <c r="H241" s="44"/>
      <c r="I241" s="44">
        <v>110.3284</v>
      </c>
      <c r="J241" s="44">
        <v>-3739.6932000000002</v>
      </c>
    </row>
    <row r="242" spans="1:10" x14ac:dyDescent="0.35">
      <c r="A242" s="40">
        <v>256779419796</v>
      </c>
      <c r="B242" s="42">
        <v>45996</v>
      </c>
      <c r="C242" s="23" t="s">
        <v>562</v>
      </c>
      <c r="D242" s="23" t="s">
        <v>577</v>
      </c>
      <c r="E242" s="44"/>
      <c r="F242" s="44">
        <v>7983</v>
      </c>
      <c r="G242" s="44">
        <v>-654679.81929999997</v>
      </c>
      <c r="H242" s="44"/>
      <c r="I242" s="44">
        <v>90</v>
      </c>
      <c r="J242" s="44">
        <v>-3829.6932000000002</v>
      </c>
    </row>
    <row r="243" spans="1:10" x14ac:dyDescent="0.35">
      <c r="A243" s="40">
        <v>256779419796</v>
      </c>
      <c r="B243" s="42">
        <v>45996</v>
      </c>
      <c r="C243" s="23" t="s">
        <v>562</v>
      </c>
      <c r="D243" s="23" t="s">
        <v>624</v>
      </c>
      <c r="E243" s="44"/>
      <c r="F243" s="44">
        <v>65194</v>
      </c>
      <c r="G243" s="44">
        <v>-719873.81929999997</v>
      </c>
      <c r="H243" s="44"/>
      <c r="I243" s="44">
        <v>735</v>
      </c>
      <c r="J243" s="44">
        <v>-3863.9931999999999</v>
      </c>
    </row>
    <row r="244" spans="1:10" x14ac:dyDescent="0.35">
      <c r="A244" s="40">
        <v>256779419918</v>
      </c>
      <c r="B244" s="41">
        <v>45996</v>
      </c>
      <c r="C244" s="23" t="s">
        <v>562</v>
      </c>
      <c r="D244" s="23" t="s">
        <v>724</v>
      </c>
      <c r="E244" s="44"/>
      <c r="F244" s="44">
        <v>9607.5776000000005</v>
      </c>
      <c r="G244" s="44">
        <v>-646696.81929999997</v>
      </c>
      <c r="H244" s="44"/>
      <c r="I244" s="44">
        <v>109.172</v>
      </c>
      <c r="J244" s="44">
        <v>-4152.0054</v>
      </c>
    </row>
    <row r="245" spans="1:10" x14ac:dyDescent="0.35">
      <c r="A245" s="40">
        <v>256779419955</v>
      </c>
      <c r="B245" s="41">
        <v>45997</v>
      </c>
      <c r="C245" s="23" t="s">
        <v>562</v>
      </c>
      <c r="D245" s="23" t="s">
        <v>755</v>
      </c>
      <c r="E245" s="44"/>
      <c r="F245" s="44">
        <v>5388.5217000000002</v>
      </c>
      <c r="G245" s="44">
        <v>-753852.46479999996</v>
      </c>
      <c r="H245" s="44"/>
      <c r="I245" s="44">
        <v>60.7502</v>
      </c>
      <c r="J245" s="44">
        <v>-4321.7610000000004</v>
      </c>
    </row>
    <row r="246" spans="1:10" x14ac:dyDescent="0.35">
      <c r="A246" s="40">
        <v>256779419968</v>
      </c>
      <c r="B246" s="41">
        <v>45995</v>
      </c>
      <c r="C246" s="23" t="s">
        <v>562</v>
      </c>
      <c r="D246" s="23" t="s">
        <v>563</v>
      </c>
      <c r="E246" s="44"/>
      <c r="F246" s="44">
        <v>89999.493000000002</v>
      </c>
      <c r="G246" s="44">
        <v>-843851.95779999997</v>
      </c>
      <c r="H246" s="44"/>
      <c r="I246" s="44">
        <v>1014.651</v>
      </c>
      <c r="J246" s="44">
        <v>-4419.7610000000004</v>
      </c>
    </row>
    <row r="247" spans="1:10" x14ac:dyDescent="0.35">
      <c r="A247" s="40">
        <v>256779419969</v>
      </c>
      <c r="B247" s="42">
        <v>45995</v>
      </c>
      <c r="C247" s="23" t="s">
        <v>562</v>
      </c>
      <c r="D247" s="23" t="s">
        <v>569</v>
      </c>
      <c r="E247" s="44"/>
      <c r="F247" s="44">
        <v>34300.133000000002</v>
      </c>
      <c r="G247" s="44">
        <v>-878152.09080000001</v>
      </c>
      <c r="H247" s="44"/>
      <c r="I247" s="44">
        <v>386.69819999999999</v>
      </c>
      <c r="J247" s="44">
        <v>-4763.8684000000003</v>
      </c>
    </row>
    <row r="248" spans="1:10" x14ac:dyDescent="0.35">
      <c r="A248" s="40">
        <v>256779419992</v>
      </c>
      <c r="B248" s="41">
        <v>45997</v>
      </c>
      <c r="C248" s="23" t="s">
        <v>562</v>
      </c>
      <c r="D248" s="23" t="s">
        <v>573</v>
      </c>
      <c r="E248" s="44"/>
      <c r="F248" s="44">
        <v>10788.5744</v>
      </c>
      <c r="G248" s="44">
        <v>-1197740.2912999999</v>
      </c>
      <c r="H248" s="44"/>
      <c r="I248" s="44">
        <v>121.62779999999999</v>
      </c>
      <c r="J248" s="44">
        <v>-4773.5018</v>
      </c>
    </row>
    <row r="249" spans="1:10" x14ac:dyDescent="0.35">
      <c r="A249" s="40">
        <v>256779421715</v>
      </c>
      <c r="B249" s="41">
        <v>45883</v>
      </c>
      <c r="C249" s="23" t="s">
        <v>888</v>
      </c>
      <c r="D249" s="23" t="s">
        <v>563</v>
      </c>
      <c r="E249" s="44">
        <v>179999.96679999999</v>
      </c>
      <c r="F249" s="44"/>
      <c r="G249" s="44">
        <v>-1096682.8263999999</v>
      </c>
      <c r="H249" s="44">
        <v>2092.2930000000001</v>
      </c>
      <c r="I249" s="44"/>
      <c r="J249" s="44">
        <v>-4781.5475999999999</v>
      </c>
    </row>
    <row r="250" spans="1:10" x14ac:dyDescent="0.35">
      <c r="A250" s="40">
        <v>256779440052</v>
      </c>
      <c r="B250" s="42">
        <v>46027</v>
      </c>
      <c r="C250" s="23" t="s">
        <v>562</v>
      </c>
      <c r="D250" s="23" t="s">
        <v>577</v>
      </c>
      <c r="E250" s="44"/>
      <c r="F250" s="44">
        <v>7902.9098000000004</v>
      </c>
      <c r="G250" s="44">
        <v>-1104585.7361999999</v>
      </c>
      <c r="H250" s="44"/>
      <c r="I250" s="44">
        <v>87.093000000000004</v>
      </c>
      <c r="J250" s="44">
        <v>-4833.2034000000003</v>
      </c>
    </row>
    <row r="251" spans="1:10" x14ac:dyDescent="0.35">
      <c r="A251" s="40">
        <v>256779440052</v>
      </c>
      <c r="B251" s="42">
        <v>46027</v>
      </c>
      <c r="C251" s="23" t="s">
        <v>562</v>
      </c>
      <c r="D251" s="23" t="s">
        <v>624</v>
      </c>
      <c r="E251" s="44"/>
      <c r="F251" s="44">
        <v>66694</v>
      </c>
      <c r="G251" s="44">
        <v>-1171279.7361999999</v>
      </c>
      <c r="H251" s="44"/>
      <c r="I251" s="44">
        <v>735</v>
      </c>
      <c r="J251" s="44">
        <v>-4923.2034000000003</v>
      </c>
    </row>
    <row r="252" spans="1:10" x14ac:dyDescent="0.35">
      <c r="A252" s="40">
        <v>256779440081</v>
      </c>
      <c r="B252" s="41">
        <v>46027</v>
      </c>
      <c r="C252" s="23" t="s">
        <v>562</v>
      </c>
      <c r="D252" s="23" t="s">
        <v>724</v>
      </c>
      <c r="E252" s="44"/>
      <c r="F252" s="44">
        <v>307.053</v>
      </c>
      <c r="G252" s="44">
        <v>-1171586.7892</v>
      </c>
      <c r="H252" s="44"/>
      <c r="I252" s="44">
        <v>3.3809999999999998</v>
      </c>
      <c r="J252" s="44">
        <v>-5707.2034000000003</v>
      </c>
    </row>
    <row r="253" spans="1:10" x14ac:dyDescent="0.35">
      <c r="A253" s="40"/>
      <c r="B253" s="41">
        <v>45736</v>
      </c>
      <c r="C253" s="23" t="s">
        <v>581</v>
      </c>
      <c r="D253" s="23" t="s">
        <v>582</v>
      </c>
      <c r="E253" s="44">
        <v>1711.6</v>
      </c>
      <c r="F253" s="44"/>
      <c r="G253" s="44">
        <v>-578541.84539999999</v>
      </c>
      <c r="H253" s="44">
        <v>20</v>
      </c>
      <c r="I253" s="44"/>
      <c r="J253" s="44">
        <v>-6729.8914000000004</v>
      </c>
    </row>
    <row r="254" spans="1:10" x14ac:dyDescent="0.35">
      <c r="A254" s="40"/>
      <c r="B254" s="41">
        <v>45736</v>
      </c>
      <c r="C254" s="23" t="s">
        <v>581</v>
      </c>
      <c r="D254" s="23" t="s">
        <v>582</v>
      </c>
      <c r="E254" s="44"/>
      <c r="F254" s="44">
        <v>1711.6</v>
      </c>
      <c r="G254" s="44">
        <v>-635710.36459999997</v>
      </c>
      <c r="H254" s="44"/>
      <c r="I254" s="44">
        <v>20</v>
      </c>
      <c r="J254" s="44">
        <v>-7119.6472000000003</v>
      </c>
    </row>
    <row r="255" spans="1:10" x14ac:dyDescent="0.35">
      <c r="A255" s="40"/>
      <c r="B255" s="41">
        <v>45736</v>
      </c>
      <c r="C255" s="23" t="s">
        <v>601</v>
      </c>
      <c r="D255" s="23" t="s">
        <v>582</v>
      </c>
      <c r="E255" s="44">
        <v>-1711.6</v>
      </c>
      <c r="F255" s="44"/>
      <c r="G255" s="44">
        <v>-637421.96459999995</v>
      </c>
      <c r="H255" s="44">
        <v>-20</v>
      </c>
      <c r="I255" s="44"/>
      <c r="J255" s="44">
        <v>-7229.9755999999998</v>
      </c>
    </row>
    <row r="256" spans="1:10" x14ac:dyDescent="0.35">
      <c r="A256" s="40"/>
      <c r="B256" s="41">
        <v>45736</v>
      </c>
      <c r="C256" s="23" t="s">
        <v>622</v>
      </c>
      <c r="D256" s="23" t="s">
        <v>582</v>
      </c>
      <c r="E256" s="44">
        <v>1711.6</v>
      </c>
      <c r="F256" s="44"/>
      <c r="G256" s="44">
        <v>-1471183.0666</v>
      </c>
      <c r="H256" s="44">
        <v>20</v>
      </c>
      <c r="I256" s="44"/>
      <c r="J256" s="44">
        <v>-7339.1476000000002</v>
      </c>
    </row>
    <row r="257" spans="1:10" x14ac:dyDescent="0.35">
      <c r="A257" s="40"/>
      <c r="B257" s="41">
        <v>45736</v>
      </c>
      <c r="C257" s="23" t="s">
        <v>581</v>
      </c>
      <c r="D257" s="23" t="s">
        <v>582</v>
      </c>
      <c r="E257" s="44">
        <v>1711.6</v>
      </c>
      <c r="F257" s="44"/>
      <c r="G257" s="44">
        <v>-1854196.2548</v>
      </c>
      <c r="H257" s="44">
        <v>20</v>
      </c>
      <c r="I257" s="44"/>
      <c r="J257" s="44">
        <v>-7429.1476000000002</v>
      </c>
    </row>
    <row r="258" spans="1:10" x14ac:dyDescent="0.35">
      <c r="A258" s="40"/>
      <c r="B258" s="41">
        <v>45736</v>
      </c>
      <c r="C258" s="23" t="s">
        <v>645</v>
      </c>
      <c r="D258" s="23" t="s">
        <v>582</v>
      </c>
      <c r="E258" s="44"/>
      <c r="F258" s="44">
        <v>-1711.6</v>
      </c>
      <c r="G258" s="44">
        <v>-1852484.6547999999</v>
      </c>
      <c r="H258" s="44"/>
      <c r="I258" s="44">
        <v>-20</v>
      </c>
      <c r="J258" s="44">
        <v>-8164.1476000000002</v>
      </c>
    </row>
    <row r="259" spans="1:10" x14ac:dyDescent="0.35">
      <c r="A259" s="40"/>
      <c r="B259" s="41">
        <v>45813</v>
      </c>
      <c r="C259" s="23" t="s">
        <v>660</v>
      </c>
      <c r="D259" s="23" t="s">
        <v>661</v>
      </c>
      <c r="E259" s="44">
        <v>302049.55200000003</v>
      </c>
      <c r="F259" s="44"/>
      <c r="G259" s="44">
        <v>-2005635.8428</v>
      </c>
      <c r="H259" s="44">
        <v>3529.5558000000001</v>
      </c>
      <c r="I259" s="44"/>
      <c r="J259" s="44">
        <v>-8489.0175999999992</v>
      </c>
    </row>
    <row r="260" spans="1:10" x14ac:dyDescent="0.35">
      <c r="A260" s="40"/>
      <c r="B260" s="41">
        <v>45813</v>
      </c>
      <c r="C260" s="23" t="s">
        <v>663</v>
      </c>
      <c r="D260" s="23" t="s">
        <v>661</v>
      </c>
      <c r="E260" s="44">
        <v>271057.80579999997</v>
      </c>
      <c r="F260" s="44"/>
      <c r="G260" s="44">
        <v>-1734578.037</v>
      </c>
      <c r="H260" s="44">
        <v>3167.4751999999999</v>
      </c>
      <c r="I260" s="44"/>
      <c r="J260" s="44">
        <v>-8549.7677999999996</v>
      </c>
    </row>
    <row r="261" spans="1:10" x14ac:dyDescent="0.35">
      <c r="A261" s="40"/>
      <c r="B261" s="41">
        <v>45813</v>
      </c>
      <c r="C261" s="23" t="s">
        <v>665</v>
      </c>
      <c r="D261" s="23" t="s">
        <v>661</v>
      </c>
      <c r="E261" s="44">
        <v>315203.35159999999</v>
      </c>
      <c r="F261" s="44"/>
      <c r="G261" s="44">
        <v>-1419374.6854000001</v>
      </c>
      <c r="H261" s="44">
        <v>3685.2031999999999</v>
      </c>
      <c r="I261" s="44"/>
      <c r="J261" s="44">
        <v>-9564.4187999999995</v>
      </c>
    </row>
    <row r="262" spans="1:10" x14ac:dyDescent="0.35">
      <c r="A262" s="40"/>
      <c r="B262" s="41">
        <v>45821</v>
      </c>
      <c r="C262" s="23" t="s">
        <v>690</v>
      </c>
      <c r="D262" s="23" t="s">
        <v>691</v>
      </c>
      <c r="E262" s="44">
        <v>1075024.8446</v>
      </c>
      <c r="F262" s="44"/>
      <c r="G262" s="44">
        <v>-1030010.1654000001</v>
      </c>
      <c r="H262" s="44">
        <v>12549.359399999999</v>
      </c>
      <c r="I262" s="44"/>
      <c r="J262" s="44">
        <v>-9951.1170000000002</v>
      </c>
    </row>
    <row r="263" spans="1:10" x14ac:dyDescent="0.35">
      <c r="A263" s="40"/>
      <c r="B263" s="41">
        <v>45821</v>
      </c>
      <c r="C263" s="23" t="s">
        <v>693</v>
      </c>
      <c r="D263" s="23" t="s">
        <v>691</v>
      </c>
      <c r="E263" s="44">
        <v>353878.0502</v>
      </c>
      <c r="F263" s="44"/>
      <c r="G263" s="44">
        <v>-676132.1152</v>
      </c>
      <c r="H263" s="44"/>
      <c r="I263" s="44"/>
      <c r="J263" s="44">
        <v>-10041.117</v>
      </c>
    </row>
    <row r="264" spans="1:10" x14ac:dyDescent="0.35">
      <c r="A264" s="40"/>
      <c r="B264" s="41">
        <v>45821</v>
      </c>
      <c r="C264" s="23" t="s">
        <v>694</v>
      </c>
      <c r="D264" s="23" t="s">
        <v>691</v>
      </c>
      <c r="E264" s="44">
        <v>-353878.0502</v>
      </c>
      <c r="F264" s="44"/>
      <c r="G264" s="44">
        <v>-1030010.1654000001</v>
      </c>
      <c r="H264" s="44"/>
      <c r="I264" s="44"/>
      <c r="J264" s="44">
        <v>-10776.117</v>
      </c>
    </row>
    <row r="265" spans="1:10" x14ac:dyDescent="0.35">
      <c r="A265" s="40"/>
      <c r="B265" s="41">
        <v>45821</v>
      </c>
      <c r="C265" s="23" t="s">
        <v>693</v>
      </c>
      <c r="D265" s="23" t="s">
        <v>691</v>
      </c>
      <c r="E265" s="44">
        <v>353878.0502</v>
      </c>
      <c r="F265" s="44"/>
      <c r="G265" s="44">
        <v>-676132.1152</v>
      </c>
      <c r="H265" s="44">
        <v>4127.9549999999999</v>
      </c>
      <c r="I265" s="44"/>
      <c r="J265" s="44">
        <v>-11274.032999999999</v>
      </c>
    </row>
    <row r="266" spans="1:10" x14ac:dyDescent="0.35">
      <c r="A266" s="40"/>
      <c r="B266" s="41">
        <v>45821</v>
      </c>
      <c r="C266" s="23" t="s">
        <v>698</v>
      </c>
      <c r="D266" s="23" t="s">
        <v>691</v>
      </c>
      <c r="E266" s="44">
        <v>-353878.0502</v>
      </c>
      <c r="F266" s="44"/>
      <c r="G266" s="44">
        <v>-1029719.2610000001</v>
      </c>
      <c r="H266" s="44">
        <v>-4127.9549999999999</v>
      </c>
      <c r="I266" s="44"/>
      <c r="J266" s="44">
        <v>-12603.710999999999</v>
      </c>
    </row>
    <row r="267" spans="1:10" x14ac:dyDescent="0.35">
      <c r="A267" s="40"/>
      <c r="B267" s="41">
        <v>45821</v>
      </c>
      <c r="C267" s="23" t="s">
        <v>693</v>
      </c>
      <c r="D267" s="23" t="s">
        <v>691</v>
      </c>
      <c r="E267" s="44">
        <v>362187.0502</v>
      </c>
      <c r="F267" s="44"/>
      <c r="G267" s="44">
        <v>-667532.2108</v>
      </c>
      <c r="H267" s="44">
        <v>4224.8172000000004</v>
      </c>
      <c r="I267" s="44"/>
      <c r="J267" s="44">
        <v>-12619.442999999999</v>
      </c>
    </row>
    <row r="268" spans="1:10" x14ac:dyDescent="0.35">
      <c r="A268" s="40"/>
      <c r="B268" s="41">
        <v>45856</v>
      </c>
      <c r="C268" s="23" t="s">
        <v>714</v>
      </c>
      <c r="D268" s="23" t="s">
        <v>715</v>
      </c>
      <c r="E268" s="44">
        <v>319981.4313</v>
      </c>
      <c r="F268" s="44"/>
      <c r="G268" s="44">
        <v>-715255.2108</v>
      </c>
      <c r="H268" s="44">
        <v>3742.0477999999998</v>
      </c>
      <c r="I268" s="44"/>
      <c r="J268" s="44">
        <v>-13924.227000000001</v>
      </c>
    </row>
    <row r="269" spans="1:10" x14ac:dyDescent="0.35">
      <c r="A269" s="40"/>
      <c r="B269" s="41">
        <v>45856</v>
      </c>
      <c r="C269" s="23" t="s">
        <v>716</v>
      </c>
      <c r="D269" s="23" t="s">
        <v>715</v>
      </c>
      <c r="E269" s="44">
        <v>-319981.4313</v>
      </c>
      <c r="F269" s="44"/>
      <c r="G269" s="44">
        <v>-1035236.6421000001</v>
      </c>
      <c r="H269" s="44">
        <v>-3742.0477999999998</v>
      </c>
      <c r="I269" s="44"/>
      <c r="J269" s="44">
        <v>-15421.835999999999</v>
      </c>
    </row>
    <row r="270" spans="1:10" x14ac:dyDescent="0.35">
      <c r="A270" s="40"/>
      <c r="B270" s="41">
        <v>45856</v>
      </c>
      <c r="C270" s="23" t="s">
        <v>714</v>
      </c>
      <c r="D270" s="23" t="s">
        <v>715</v>
      </c>
      <c r="E270" s="44">
        <v>319981.4313</v>
      </c>
      <c r="F270" s="44"/>
      <c r="G270" s="44">
        <v>-715255.2108</v>
      </c>
      <c r="H270" s="44">
        <v>3742.0477999999998</v>
      </c>
      <c r="I270" s="44"/>
      <c r="J270" s="44">
        <v>-16258.962</v>
      </c>
    </row>
    <row r="271" spans="1:10" x14ac:dyDescent="0.35">
      <c r="A271" s="40"/>
      <c r="B271" s="41">
        <v>45876</v>
      </c>
      <c r="C271" s="23" t="s">
        <v>762</v>
      </c>
      <c r="D271" s="23" t="s">
        <v>715</v>
      </c>
      <c r="E271" s="44">
        <v>86445.871599999999</v>
      </c>
      <c r="F271" s="44"/>
      <c r="G271" s="44">
        <v>-952533.15190000006</v>
      </c>
      <c r="H271" s="44">
        <v>1007.818</v>
      </c>
      <c r="I271" s="44"/>
      <c r="J271" s="44">
        <v>-16930.334999999999</v>
      </c>
    </row>
    <row r="272" spans="1:10" x14ac:dyDescent="0.35">
      <c r="A272" s="40"/>
      <c r="B272" s="41">
        <v>45877</v>
      </c>
      <c r="C272" s="23" t="s">
        <v>764</v>
      </c>
      <c r="D272" s="23" t="s">
        <v>715</v>
      </c>
      <c r="E272" s="44">
        <v>411479.42950000003</v>
      </c>
      <c r="F272" s="44"/>
      <c r="G272" s="44">
        <v>-541053.72239999997</v>
      </c>
      <c r="H272" s="44">
        <v>4800.3365999999996</v>
      </c>
      <c r="I272" s="44"/>
      <c r="J272" s="44">
        <v>-14562.132</v>
      </c>
    </row>
    <row r="273" spans="1:10" x14ac:dyDescent="0.35">
      <c r="A273" s="40"/>
      <c r="B273" s="41">
        <v>45910</v>
      </c>
      <c r="C273" s="23" t="s">
        <v>781</v>
      </c>
      <c r="D273" s="23" t="s">
        <v>715</v>
      </c>
      <c r="E273" s="44">
        <v>256553.8652</v>
      </c>
      <c r="F273" s="44"/>
      <c r="G273" s="44">
        <v>-1137064.8358</v>
      </c>
      <c r="H273" s="44">
        <v>2954.3362000000002</v>
      </c>
      <c r="I273" s="44"/>
      <c r="J273" s="44">
        <v>-12469.839</v>
      </c>
    </row>
    <row r="274" spans="1:10" x14ac:dyDescent="0.35">
      <c r="A274" s="40"/>
      <c r="B274" s="41">
        <v>45910</v>
      </c>
      <c r="C274" s="23" t="s">
        <v>783</v>
      </c>
      <c r="D274" s="23" t="s">
        <v>715</v>
      </c>
      <c r="E274" s="44">
        <v>409664.38410000002</v>
      </c>
      <c r="F274" s="44"/>
      <c r="G274" s="44">
        <v>-727400.45169999998</v>
      </c>
      <c r="H274" s="44">
        <v>4740.7700000000004</v>
      </c>
      <c r="I274" s="44"/>
      <c r="J274" s="44">
        <v>-12556.932000000001</v>
      </c>
    </row>
    <row r="275" spans="1:10" x14ac:dyDescent="0.35">
      <c r="A275" s="40"/>
      <c r="B275" s="41">
        <v>45916</v>
      </c>
      <c r="C275" s="23" t="s">
        <v>785</v>
      </c>
      <c r="D275" s="23" t="s">
        <v>715</v>
      </c>
      <c r="E275" s="44">
        <v>442900.59450000001</v>
      </c>
      <c r="F275" s="44"/>
      <c r="G275" s="44">
        <v>-284499.85720000003</v>
      </c>
      <c r="H275" s="44">
        <v>5041.5600000000004</v>
      </c>
      <c r="I275" s="44"/>
      <c r="J275" s="44">
        <v>-13291.932000000001</v>
      </c>
    </row>
    <row r="276" spans="1:10" x14ac:dyDescent="0.35">
      <c r="A276" s="40"/>
      <c r="B276" s="41">
        <v>45916</v>
      </c>
      <c r="C276" s="23" t="s">
        <v>787</v>
      </c>
      <c r="D276" s="23" t="s">
        <v>715</v>
      </c>
      <c r="E276" s="44">
        <v>284790.76160000003</v>
      </c>
      <c r="F276" s="44"/>
      <c r="G276" s="44">
        <v>290.90440000000001</v>
      </c>
      <c r="H276" s="44">
        <v>3327.768</v>
      </c>
      <c r="I276" s="44"/>
      <c r="J276" s="44">
        <v>-13295.313</v>
      </c>
    </row>
    <row r="277" spans="1:10" x14ac:dyDescent="0.35">
      <c r="A277" s="40"/>
      <c r="B277" s="41">
        <v>45961</v>
      </c>
      <c r="C277" s="23" t="s">
        <v>847</v>
      </c>
      <c r="D277" s="23" t="s">
        <v>715</v>
      </c>
      <c r="E277" s="44">
        <v>176448.3726</v>
      </c>
      <c r="F277" s="44"/>
      <c r="G277" s="44">
        <v>-1125356.9432999999</v>
      </c>
      <c r="H277" s="44">
        <v>1989.9404</v>
      </c>
      <c r="I277" s="44"/>
      <c r="J277" s="44">
        <v>-13320.4892</v>
      </c>
    </row>
    <row r="278" spans="1:10" x14ac:dyDescent="0.35">
      <c r="A278" s="40"/>
      <c r="B278" s="41">
        <v>45961</v>
      </c>
      <c r="C278" s="23" t="s">
        <v>849</v>
      </c>
      <c r="D278" s="23" t="s">
        <v>715</v>
      </c>
      <c r="E278" s="44">
        <v>916796.68830000004</v>
      </c>
      <c r="F278" s="44"/>
      <c r="G278" s="44">
        <v>-208560.255</v>
      </c>
      <c r="H278" s="44">
        <v>10502.1628</v>
      </c>
      <c r="I278" s="44"/>
      <c r="J278" s="44">
        <v>-13469.704</v>
      </c>
    </row>
    <row r="279" spans="1:10" x14ac:dyDescent="0.35">
      <c r="A279" s="40"/>
      <c r="B279" s="41">
        <v>46022</v>
      </c>
      <c r="C279" s="23" t="s">
        <v>885</v>
      </c>
      <c r="D279" s="23" t="s">
        <v>886</v>
      </c>
      <c r="E279" s="44">
        <v>208851.1594</v>
      </c>
      <c r="F279" s="44"/>
      <c r="G279" s="44">
        <v>-1276682.7932</v>
      </c>
      <c r="H279" s="44">
        <v>2368.203</v>
      </c>
      <c r="I279" s="44"/>
      <c r="J279" s="44">
        <v>-13591.3318</v>
      </c>
    </row>
    <row r="280" spans="1:10" x14ac:dyDescent="0.35">
      <c r="A280" s="21"/>
      <c r="E280" s="20">
        <f>SUM(E2:E279)</f>
        <v>6183010.3297999995</v>
      </c>
      <c r="F280" s="20"/>
      <c r="G280" s="3"/>
      <c r="H280" s="3"/>
      <c r="I280" s="3"/>
      <c r="J280" s="3"/>
    </row>
  </sheetData>
  <autoFilter ref="A1:I280" xr:uid="{5F53C526-252F-4C99-B413-074D8BC13974}"/>
  <conditionalFormatting sqref="A1:A279">
    <cfRule type="duplicateValues" dxfId="2" priority="2"/>
  </conditionalFormatting>
  <conditionalFormatting sqref="L1:L233 L251:L1048576">
    <cfRule type="duplicateValues" dxfId="1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786D-5783-4878-AFA8-B816BA539AE8}">
  <dimension ref="A3:E15"/>
  <sheetViews>
    <sheetView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5.453125" bestFit="1" customWidth="1"/>
    <col min="3" max="3" width="16.36328125" bestFit="1" customWidth="1"/>
    <col min="4" max="4" width="15.453125" bestFit="1" customWidth="1"/>
    <col min="5" max="5" width="16" bestFit="1" customWidth="1"/>
  </cols>
  <sheetData>
    <row r="3" spans="1:5" x14ac:dyDescent="0.35">
      <c r="A3" s="84" t="s">
        <v>0</v>
      </c>
      <c r="B3" s="84" t="s">
        <v>1</v>
      </c>
      <c r="C3" s="84" t="s">
        <v>2</v>
      </c>
      <c r="D3" t="s">
        <v>911</v>
      </c>
      <c r="E3" t="s">
        <v>912</v>
      </c>
    </row>
    <row r="4" spans="1:5" x14ac:dyDescent="0.35">
      <c r="A4" t="s">
        <v>9</v>
      </c>
      <c r="B4" t="s">
        <v>10</v>
      </c>
      <c r="C4" s="86" t="s">
        <v>11</v>
      </c>
      <c r="D4" s="85"/>
      <c r="E4" s="85">
        <v>12293.712800000001</v>
      </c>
    </row>
    <row r="5" spans="1:5" x14ac:dyDescent="0.35">
      <c r="C5" s="86" t="s">
        <v>12</v>
      </c>
      <c r="D5" s="85">
        <v>40</v>
      </c>
      <c r="E5" s="85">
        <v>12720.289999999997</v>
      </c>
    </row>
    <row r="6" spans="1:5" x14ac:dyDescent="0.35">
      <c r="B6" t="s">
        <v>13</v>
      </c>
      <c r="C6" s="86" t="s">
        <v>14</v>
      </c>
      <c r="D6" s="85">
        <v>80</v>
      </c>
      <c r="E6" s="85">
        <v>9784.9159999999993</v>
      </c>
    </row>
    <row r="7" spans="1:5" x14ac:dyDescent="0.35">
      <c r="C7" s="86" t="s">
        <v>15</v>
      </c>
      <c r="D7" s="85"/>
      <c r="E7" s="85">
        <v>3363.2960000000003</v>
      </c>
    </row>
    <row r="8" spans="1:5" x14ac:dyDescent="0.35">
      <c r="C8" s="86" t="s">
        <v>16</v>
      </c>
      <c r="D8" s="85">
        <v>27159.811600000005</v>
      </c>
      <c r="E8" s="85">
        <v>4339.472600000001</v>
      </c>
    </row>
    <row r="9" spans="1:5" x14ac:dyDescent="0.35">
      <c r="B9" t="s">
        <v>17</v>
      </c>
      <c r="C9" s="86" t="s">
        <v>18</v>
      </c>
      <c r="D9" s="85">
        <v>3742.0477999999998</v>
      </c>
      <c r="E9" s="85">
        <v>7944.7129999999997</v>
      </c>
    </row>
    <row r="10" spans="1:5" x14ac:dyDescent="0.35">
      <c r="C10" s="86" t="s">
        <v>19</v>
      </c>
      <c r="D10" s="85">
        <v>7900.4475999999995</v>
      </c>
      <c r="E10" s="85">
        <v>9099.6875999999993</v>
      </c>
    </row>
    <row r="11" spans="1:5" x14ac:dyDescent="0.35">
      <c r="C11" s="86" t="s">
        <v>20</v>
      </c>
      <c r="D11" s="85">
        <v>16064.4342</v>
      </c>
      <c r="E11" s="85">
        <v>10508.427200000002</v>
      </c>
    </row>
    <row r="12" spans="1:5" x14ac:dyDescent="0.35">
      <c r="B12" t="s">
        <v>21</v>
      </c>
      <c r="C12" s="86" t="s">
        <v>22</v>
      </c>
      <c r="D12" s="85">
        <v>14244.8688</v>
      </c>
      <c r="E12" s="85">
        <v>6997.0412000000006</v>
      </c>
    </row>
    <row r="13" spans="1:5" x14ac:dyDescent="0.35">
      <c r="C13" s="86" t="s">
        <v>23</v>
      </c>
      <c r="D13" s="85"/>
      <c r="E13" s="85">
        <v>4796.2151999999987</v>
      </c>
    </row>
    <row r="14" spans="1:5" x14ac:dyDescent="0.35">
      <c r="C14" s="86" t="s">
        <v>24</v>
      </c>
      <c r="D14" s="85">
        <v>2368.203</v>
      </c>
      <c r="E14" s="85">
        <v>2517.8991999999998</v>
      </c>
    </row>
    <row r="15" spans="1:5" x14ac:dyDescent="0.35">
      <c r="A15" t="s">
        <v>25</v>
      </c>
      <c r="B15" t="s">
        <v>10</v>
      </c>
      <c r="C15" s="86" t="s">
        <v>26</v>
      </c>
      <c r="D15" s="85"/>
      <c r="E15" s="85">
        <v>825.47399999999993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1796-0817-48BF-83B5-044D8681779E}">
  <dimension ref="A1:AM383"/>
  <sheetViews>
    <sheetView topLeftCell="H1" workbookViewId="0">
      <selection activeCell="AD5" sqref="AD5"/>
    </sheetView>
  </sheetViews>
  <sheetFormatPr defaultRowHeight="14.5" outlineLevelRow="2" x14ac:dyDescent="0.35"/>
  <cols>
    <col min="1" max="1" width="11.453125" style="1" hidden="1" customWidth="1"/>
    <col min="2" max="2" width="13.54296875" style="1" hidden="1" customWidth="1"/>
    <col min="3" max="3" width="9.81640625" style="1" hidden="1" customWidth="1"/>
    <col min="4" max="4" width="23.7265625" style="1" hidden="1" customWidth="1"/>
    <col min="5" max="5" width="9.453125" style="1" hidden="1" customWidth="1"/>
    <col min="6" max="6" width="6.81640625" style="1" hidden="1" customWidth="1"/>
    <col min="7" max="7" width="11.1796875" style="1" hidden="1" customWidth="1"/>
    <col min="8" max="8" width="16.81640625" style="1" bestFit="1" customWidth="1"/>
    <col min="9" max="9" width="5.08984375" style="1" customWidth="1"/>
    <col min="10" max="10" width="13.90625" style="1" bestFit="1" customWidth="1"/>
    <col min="11" max="11" width="10.08984375" style="1" bestFit="1" customWidth="1"/>
    <col min="12" max="12" width="20.1796875" style="1" bestFit="1" customWidth="1"/>
    <col min="13" max="13" width="16.08984375" style="22" bestFit="1" customWidth="1"/>
    <col min="14" max="14" width="10.90625" style="1" hidden="1" customWidth="1"/>
    <col min="15" max="15" width="20.54296875" style="1" hidden="1" customWidth="1"/>
    <col min="16" max="16" width="13.7265625" style="1" hidden="1" customWidth="1"/>
    <col min="17" max="17" width="10.1796875" style="1" hidden="1" customWidth="1"/>
    <col min="18" max="18" width="5.453125" style="1" bestFit="1" customWidth="1"/>
    <col min="19" max="19" width="11.26953125" style="1" bestFit="1" customWidth="1"/>
    <col min="20" max="20" width="5.7265625" style="1" bestFit="1" customWidth="1"/>
    <col min="21" max="21" width="11.90625" style="1" bestFit="1" customWidth="1"/>
    <col min="22" max="22" width="8.453125" style="1" hidden="1" customWidth="1"/>
    <col min="23" max="23" width="11.36328125" style="1" hidden="1" customWidth="1"/>
    <col min="24" max="24" width="17.26953125" style="1" hidden="1" customWidth="1"/>
    <col min="25" max="25" width="10.453125" style="1" hidden="1" customWidth="1"/>
    <col min="26" max="26" width="4.6328125" style="1" hidden="1" customWidth="1"/>
    <col min="27" max="29" width="6" style="1" hidden="1" customWidth="1"/>
    <col min="30" max="32" width="6" style="1" customWidth="1"/>
    <col min="33" max="33" width="36.81640625" style="1" customWidth="1"/>
    <col min="34" max="36" width="14.08984375" style="1" hidden="1" customWidth="1"/>
    <col min="37" max="37" width="19" style="1" hidden="1" customWidth="1"/>
    <col min="38" max="38" width="11.90625" style="1" hidden="1" customWidth="1"/>
    <col min="39" max="39" width="16.7265625" style="1" bestFit="1" customWidth="1"/>
    <col min="40" max="16384" width="8.7265625" style="1"/>
  </cols>
  <sheetData>
    <row r="1" spans="1:39" ht="87" x14ac:dyDescent="0.35">
      <c r="A1" s="7" t="s">
        <v>980</v>
      </c>
      <c r="B1" s="7" t="s">
        <v>981</v>
      </c>
      <c r="C1" s="7" t="s">
        <v>982</v>
      </c>
      <c r="D1" s="7" t="s">
        <v>983</v>
      </c>
      <c r="E1" s="7" t="s">
        <v>984</v>
      </c>
      <c r="F1" s="8" t="s">
        <v>985</v>
      </c>
      <c r="G1" s="153" t="s">
        <v>986</v>
      </c>
      <c r="H1" s="7" t="s">
        <v>32</v>
      </c>
      <c r="I1" s="8" t="s">
        <v>33</v>
      </c>
      <c r="J1" s="7" t="s">
        <v>2</v>
      </c>
      <c r="K1" s="7" t="s">
        <v>987</v>
      </c>
      <c r="L1" s="7" t="s">
        <v>924</v>
      </c>
      <c r="M1" s="154" t="s">
        <v>34</v>
      </c>
      <c r="N1" s="7" t="s">
        <v>988</v>
      </c>
      <c r="O1" s="7" t="s">
        <v>989</v>
      </c>
      <c r="P1" s="7" t="s">
        <v>990</v>
      </c>
      <c r="Q1" s="7" t="s">
        <v>991</v>
      </c>
      <c r="R1" s="8" t="s">
        <v>35</v>
      </c>
      <c r="S1" s="8" t="s">
        <v>36</v>
      </c>
      <c r="T1" s="8" t="s">
        <v>37</v>
      </c>
      <c r="U1" s="8" t="s">
        <v>38</v>
      </c>
      <c r="V1" s="7" t="s">
        <v>992</v>
      </c>
      <c r="W1" s="7" t="s">
        <v>993</v>
      </c>
      <c r="X1" s="7" t="s">
        <v>994</v>
      </c>
      <c r="Y1" s="7" t="s">
        <v>995</v>
      </c>
      <c r="Z1" s="7" t="s">
        <v>996</v>
      </c>
      <c r="AA1" s="7"/>
      <c r="AB1" s="7"/>
      <c r="AC1" s="7"/>
      <c r="AD1" s="7"/>
      <c r="AE1" s="7"/>
      <c r="AF1" s="7"/>
      <c r="AG1" s="7" t="s">
        <v>39</v>
      </c>
      <c r="AH1" s="7" t="s">
        <v>997</v>
      </c>
      <c r="AI1" s="7" t="s">
        <v>998</v>
      </c>
      <c r="AJ1" s="7" t="s">
        <v>999</v>
      </c>
      <c r="AK1" s="7" t="s">
        <v>1000</v>
      </c>
      <c r="AL1" s="7" t="s">
        <v>1001</v>
      </c>
      <c r="AM1" s="7" t="s">
        <v>923</v>
      </c>
    </row>
    <row r="2" spans="1:39" outlineLevel="2" x14ac:dyDescent="0.35">
      <c r="A2" s="1" t="s">
        <v>1002</v>
      </c>
      <c r="B2" s="1" t="s">
        <v>1003</v>
      </c>
      <c r="C2" s="1" t="s">
        <v>1004</v>
      </c>
      <c r="D2" s="1" t="s">
        <v>1005</v>
      </c>
      <c r="E2" s="1" t="s">
        <v>9</v>
      </c>
      <c r="F2" s="1" t="s">
        <v>1006</v>
      </c>
      <c r="G2" s="9">
        <v>45902</v>
      </c>
      <c r="H2" s="27" t="s">
        <v>44</v>
      </c>
      <c r="I2" s="27" t="s">
        <v>6</v>
      </c>
      <c r="J2" s="28">
        <v>45902</v>
      </c>
      <c r="K2" s="28">
        <v>45902</v>
      </c>
      <c r="L2" s="27" t="s">
        <v>41</v>
      </c>
      <c r="M2" s="29" t="s">
        <v>41</v>
      </c>
      <c r="N2" s="27" t="s">
        <v>1007</v>
      </c>
      <c r="O2" s="27" t="s">
        <v>1008</v>
      </c>
      <c r="P2" s="27" t="s">
        <v>41</v>
      </c>
      <c r="Q2" s="27" t="s">
        <v>1009</v>
      </c>
      <c r="R2" s="27" t="s">
        <v>42</v>
      </c>
      <c r="S2" s="30">
        <v>6940.7917241379309</v>
      </c>
      <c r="T2" s="27" t="s">
        <v>42</v>
      </c>
      <c r="U2" s="30">
        <v>595243.31000000006</v>
      </c>
      <c r="V2" s="27" t="s">
        <v>41</v>
      </c>
      <c r="W2" s="27" t="s">
        <v>1010</v>
      </c>
      <c r="X2" s="27" t="s">
        <v>41</v>
      </c>
      <c r="Y2" s="27" t="s">
        <v>41</v>
      </c>
      <c r="Z2" s="27" t="s">
        <v>1011</v>
      </c>
      <c r="AA2" s="27"/>
      <c r="AB2" s="27"/>
      <c r="AC2" s="27"/>
      <c r="AD2" s="27" t="e">
        <f>_xlfn.XLOOKUP(M2,'Customer Data Vlookup'!$R:$R,'Customer Data Vlookup'!$S:$S,,0)</f>
        <v>#N/A</v>
      </c>
      <c r="AE2" s="27"/>
      <c r="AF2" s="27"/>
      <c r="AG2" s="27" t="s">
        <v>41</v>
      </c>
      <c r="AH2" s="27" t="s">
        <v>41</v>
      </c>
      <c r="AI2" s="27" t="s">
        <v>41</v>
      </c>
      <c r="AJ2" s="27" t="s">
        <v>41</v>
      </c>
      <c r="AK2" s="28">
        <v>45902</v>
      </c>
      <c r="AL2" s="28">
        <v>45902</v>
      </c>
      <c r="AM2" s="27" t="s">
        <v>44</v>
      </c>
    </row>
    <row r="3" spans="1:39" outlineLevel="2" x14ac:dyDescent="0.35">
      <c r="A3" s="1" t="s">
        <v>1002</v>
      </c>
      <c r="B3" s="1" t="s">
        <v>1003</v>
      </c>
      <c r="C3" s="1" t="s">
        <v>1004</v>
      </c>
      <c r="D3" s="1" t="s">
        <v>1005</v>
      </c>
      <c r="E3" s="1" t="s">
        <v>9</v>
      </c>
      <c r="F3" s="1" t="s">
        <v>1006</v>
      </c>
      <c r="G3" s="9">
        <v>45902</v>
      </c>
      <c r="H3" s="27" t="s">
        <v>44</v>
      </c>
      <c r="I3" s="27" t="s">
        <v>6</v>
      </c>
      <c r="J3" s="28">
        <v>45902</v>
      </c>
      <c r="K3" s="28">
        <v>45902</v>
      </c>
      <c r="L3" s="27" t="s">
        <v>41</v>
      </c>
      <c r="M3" s="29" t="s">
        <v>41</v>
      </c>
      <c r="N3" s="27" t="s">
        <v>1007</v>
      </c>
      <c r="O3" s="27" t="s">
        <v>1008</v>
      </c>
      <c r="P3" s="27" t="s">
        <v>41</v>
      </c>
      <c r="Q3" s="27" t="s">
        <v>1012</v>
      </c>
      <c r="R3" s="27" t="s">
        <v>42</v>
      </c>
      <c r="S3" s="30">
        <v>-6940.7917241379309</v>
      </c>
      <c r="T3" s="27" t="s">
        <v>42</v>
      </c>
      <c r="U3" s="30">
        <v>-599760.56000000006</v>
      </c>
      <c r="V3" s="27" t="s">
        <v>41</v>
      </c>
      <c r="W3" s="27" t="s">
        <v>1010</v>
      </c>
      <c r="X3" s="27" t="s">
        <v>41</v>
      </c>
      <c r="Y3" s="27" t="s">
        <v>41</v>
      </c>
      <c r="Z3" s="27" t="s">
        <v>1013</v>
      </c>
      <c r="AA3" s="27"/>
      <c r="AB3" s="27"/>
      <c r="AC3" s="27"/>
      <c r="AD3" s="27" t="e">
        <f>_xlfn.XLOOKUP(M3,'Customer Data Vlookup'!$R:$R,'Customer Data Vlookup'!$S:$S,,0)</f>
        <v>#N/A</v>
      </c>
      <c r="AE3" s="27"/>
      <c r="AF3" s="27"/>
      <c r="AG3" s="27" t="s">
        <v>41</v>
      </c>
      <c r="AH3" s="27" t="s">
        <v>41</v>
      </c>
      <c r="AI3" s="27" t="s">
        <v>41</v>
      </c>
      <c r="AJ3" s="27" t="s">
        <v>41</v>
      </c>
      <c r="AK3" s="28">
        <v>45902</v>
      </c>
      <c r="AL3" s="28">
        <v>45902</v>
      </c>
      <c r="AM3" s="27" t="s">
        <v>44</v>
      </c>
    </row>
    <row r="4" spans="1:39" outlineLevel="2" x14ac:dyDescent="0.35">
      <c r="A4" s="1" t="s">
        <v>1002</v>
      </c>
      <c r="B4" s="1" t="s">
        <v>1003</v>
      </c>
      <c r="C4" s="1" t="s">
        <v>1004</v>
      </c>
      <c r="D4" s="1" t="s">
        <v>1005</v>
      </c>
      <c r="E4" s="1" t="s">
        <v>9</v>
      </c>
      <c r="F4" s="1" t="s">
        <v>1014</v>
      </c>
      <c r="G4" s="9">
        <v>45887</v>
      </c>
      <c r="H4" s="27" t="s">
        <v>45</v>
      </c>
      <c r="I4" s="27" t="s">
        <v>7</v>
      </c>
      <c r="J4" s="28">
        <v>45887</v>
      </c>
      <c r="K4" s="28">
        <v>45887</v>
      </c>
      <c r="L4" s="27" t="s">
        <v>41</v>
      </c>
      <c r="M4" s="29" t="s">
        <v>41</v>
      </c>
      <c r="N4" s="27" t="s">
        <v>1007</v>
      </c>
      <c r="O4" s="27" t="s">
        <v>1008</v>
      </c>
      <c r="P4" s="27" t="s">
        <v>41</v>
      </c>
      <c r="Q4" s="27" t="s">
        <v>1012</v>
      </c>
      <c r="R4" s="27" t="s">
        <v>46</v>
      </c>
      <c r="S4" s="30">
        <v>-700.45</v>
      </c>
      <c r="T4" s="27" t="s">
        <v>42</v>
      </c>
      <c r="U4" s="30">
        <v>-60884.42</v>
      </c>
      <c r="V4" s="27" t="s">
        <v>41</v>
      </c>
      <c r="W4" s="27" t="s">
        <v>41</v>
      </c>
      <c r="X4" s="27" t="s">
        <v>41</v>
      </c>
      <c r="Y4" s="27" t="s">
        <v>41</v>
      </c>
      <c r="Z4" s="27" t="s">
        <v>1015</v>
      </c>
      <c r="AA4" s="27"/>
      <c r="AB4" s="27"/>
      <c r="AC4" s="27"/>
      <c r="AD4" s="27" t="e">
        <f>_xlfn.XLOOKUP(M4,'Customer Data Vlookup'!$R:$R,'Customer Data Vlookup'!$S:$S,,0)</f>
        <v>#N/A</v>
      </c>
      <c r="AE4" s="27"/>
      <c r="AF4" s="27"/>
      <c r="AG4" s="27" t="s">
        <v>41</v>
      </c>
      <c r="AH4" s="27" t="s">
        <v>41</v>
      </c>
      <c r="AI4" s="27" t="s">
        <v>41</v>
      </c>
      <c r="AJ4" s="27" t="s">
        <v>41</v>
      </c>
      <c r="AK4" s="28">
        <v>45887</v>
      </c>
      <c r="AL4" s="28">
        <v>45887</v>
      </c>
      <c r="AM4" s="27" t="s">
        <v>45</v>
      </c>
    </row>
    <row r="5" spans="1:39" outlineLevel="2" x14ac:dyDescent="0.35">
      <c r="A5" s="1" t="s">
        <v>1016</v>
      </c>
      <c r="B5" s="1" t="s">
        <v>1003</v>
      </c>
      <c r="C5" s="1" t="s">
        <v>1004</v>
      </c>
      <c r="D5" s="1" t="s">
        <v>1005</v>
      </c>
      <c r="E5" s="1" t="s">
        <v>9</v>
      </c>
      <c r="F5" s="1" t="s">
        <v>1017</v>
      </c>
      <c r="G5" s="9">
        <v>45931</v>
      </c>
      <c r="H5" s="27" t="s">
        <v>47</v>
      </c>
      <c r="I5" s="27" t="s">
        <v>7</v>
      </c>
      <c r="J5" s="28">
        <v>45931</v>
      </c>
      <c r="K5" s="28">
        <v>45925</v>
      </c>
      <c r="L5" s="27" t="s">
        <v>942</v>
      </c>
      <c r="M5" s="29" t="s">
        <v>41</v>
      </c>
      <c r="N5" s="27" t="s">
        <v>1007</v>
      </c>
      <c r="O5" s="27" t="s">
        <v>1008</v>
      </c>
      <c r="P5" s="27" t="s">
        <v>41</v>
      </c>
      <c r="Q5" s="27" t="s">
        <v>1012</v>
      </c>
      <c r="R5" s="27" t="s">
        <v>46</v>
      </c>
      <c r="S5" s="30">
        <v>-4719.25</v>
      </c>
      <c r="T5" s="27" t="s">
        <v>42</v>
      </c>
      <c r="U5" s="30">
        <v>-413002</v>
      </c>
      <c r="V5" s="27" t="s">
        <v>41</v>
      </c>
      <c r="W5" s="27" t="s">
        <v>1018</v>
      </c>
      <c r="X5" s="27" t="s">
        <v>41</v>
      </c>
      <c r="Y5" s="27" t="s">
        <v>41</v>
      </c>
      <c r="Z5" s="27" t="s">
        <v>1013</v>
      </c>
      <c r="AA5" s="27"/>
      <c r="AB5" s="27"/>
      <c r="AC5" s="27"/>
      <c r="AD5" s="27" t="e">
        <f>_xlfn.XLOOKUP(M5,'Customer Data Vlookup'!$R:$R,'Customer Data Vlookup'!$S:$S,,0)</f>
        <v>#N/A</v>
      </c>
      <c r="AE5" s="27"/>
      <c r="AF5" s="27"/>
      <c r="AG5" s="27" t="s">
        <v>41</v>
      </c>
      <c r="AH5" s="27" t="s">
        <v>41</v>
      </c>
      <c r="AI5" s="27" t="s">
        <v>41</v>
      </c>
      <c r="AJ5" s="27" t="s">
        <v>41</v>
      </c>
      <c r="AK5" s="28">
        <v>45931</v>
      </c>
      <c r="AL5" s="28"/>
      <c r="AM5" s="27" t="s">
        <v>41</v>
      </c>
    </row>
    <row r="6" spans="1:39" outlineLevel="2" x14ac:dyDescent="0.35">
      <c r="A6" s="1" t="s">
        <v>1016</v>
      </c>
      <c r="B6" s="1" t="s">
        <v>1003</v>
      </c>
      <c r="C6" s="1" t="s">
        <v>1004</v>
      </c>
      <c r="D6" s="1" t="s">
        <v>1005</v>
      </c>
      <c r="E6" s="1" t="s">
        <v>9</v>
      </c>
      <c r="F6" s="1" t="s">
        <v>1014</v>
      </c>
      <c r="G6" s="9">
        <v>45890</v>
      </c>
      <c r="H6" s="27" t="s">
        <v>48</v>
      </c>
      <c r="I6" s="27" t="s">
        <v>7</v>
      </c>
      <c r="J6" s="28">
        <v>45890</v>
      </c>
      <c r="K6" s="28">
        <v>45890</v>
      </c>
      <c r="L6" s="27" t="s">
        <v>938</v>
      </c>
      <c r="M6" s="29" t="s">
        <v>41</v>
      </c>
      <c r="N6" s="27" t="s">
        <v>1007</v>
      </c>
      <c r="O6" s="27" t="s">
        <v>1008</v>
      </c>
      <c r="P6" s="27" t="s">
        <v>41</v>
      </c>
      <c r="Q6" s="27" t="s">
        <v>1012</v>
      </c>
      <c r="R6" s="27" t="s">
        <v>46</v>
      </c>
      <c r="S6" s="30">
        <v>-3663.7</v>
      </c>
      <c r="T6" s="27" t="s">
        <v>42</v>
      </c>
      <c r="U6" s="30">
        <v>-313212.57</v>
      </c>
      <c r="V6" s="27" t="s">
        <v>41</v>
      </c>
      <c r="W6" s="27" t="s">
        <v>1018</v>
      </c>
      <c r="X6" s="27" t="s">
        <v>41</v>
      </c>
      <c r="Y6" s="27" t="s">
        <v>41</v>
      </c>
      <c r="Z6" s="27" t="s">
        <v>1013</v>
      </c>
      <c r="AA6" s="27"/>
      <c r="AB6" s="27"/>
      <c r="AC6" s="27"/>
      <c r="AD6" s="27" t="e">
        <f>_xlfn.XLOOKUP(M6,'Customer Data Vlookup'!$R:$R,'Customer Data Vlookup'!$S:$S,,0)</f>
        <v>#N/A</v>
      </c>
      <c r="AE6" s="27"/>
      <c r="AF6" s="27"/>
      <c r="AG6" s="27" t="s">
        <v>41</v>
      </c>
      <c r="AH6" s="27" t="s">
        <v>41</v>
      </c>
      <c r="AI6" s="27" t="s">
        <v>41</v>
      </c>
      <c r="AJ6" s="27" t="s">
        <v>41</v>
      </c>
      <c r="AK6" s="28">
        <v>45890</v>
      </c>
      <c r="AL6" s="28"/>
      <c r="AM6" s="27" t="s">
        <v>41</v>
      </c>
    </row>
    <row r="7" spans="1:39" outlineLevel="2" x14ac:dyDescent="0.35">
      <c r="A7" s="1" t="s">
        <v>1002</v>
      </c>
      <c r="B7" s="1" t="s">
        <v>1003</v>
      </c>
      <c r="C7" s="1" t="s">
        <v>1004</v>
      </c>
      <c r="D7" s="1" t="s">
        <v>1005</v>
      </c>
      <c r="E7" s="1" t="s">
        <v>9</v>
      </c>
      <c r="F7" s="1" t="s">
        <v>1019</v>
      </c>
      <c r="G7" s="9">
        <v>45839</v>
      </c>
      <c r="H7" s="27" t="s">
        <v>50</v>
      </c>
      <c r="I7" s="27" t="s">
        <v>7</v>
      </c>
      <c r="J7" s="28">
        <v>45832</v>
      </c>
      <c r="K7" s="28">
        <v>45832</v>
      </c>
      <c r="L7" s="27" t="s">
        <v>937</v>
      </c>
      <c r="M7" s="29" t="s">
        <v>41</v>
      </c>
      <c r="N7" s="27" t="s">
        <v>1007</v>
      </c>
      <c r="O7" s="27" t="s">
        <v>1008</v>
      </c>
      <c r="P7" s="27" t="s">
        <v>41</v>
      </c>
      <c r="Q7" s="27" t="s">
        <v>1012</v>
      </c>
      <c r="R7" s="27" t="s">
        <v>46</v>
      </c>
      <c r="S7" s="30">
        <v>-3663.7</v>
      </c>
      <c r="T7" s="27" t="s">
        <v>42</v>
      </c>
      <c r="U7" s="30">
        <v>-3663.7</v>
      </c>
      <c r="V7" s="27" t="s">
        <v>41</v>
      </c>
      <c r="W7" s="27" t="s">
        <v>1018</v>
      </c>
      <c r="X7" s="27" t="s">
        <v>41</v>
      </c>
      <c r="Y7" s="27" t="s">
        <v>41</v>
      </c>
      <c r="Z7" s="27" t="s">
        <v>1013</v>
      </c>
      <c r="AA7" s="27"/>
      <c r="AB7" s="27"/>
      <c r="AC7" s="27"/>
      <c r="AD7" s="27" t="e">
        <f>_xlfn.XLOOKUP(M7,'Customer Data Vlookup'!$R:$R,'Customer Data Vlookup'!$S:$S,,0)</f>
        <v>#N/A</v>
      </c>
      <c r="AE7" s="27"/>
      <c r="AF7" s="27"/>
      <c r="AG7" s="27" t="s">
        <v>41</v>
      </c>
      <c r="AH7" s="27" t="s">
        <v>41</v>
      </c>
      <c r="AI7" s="27" t="s">
        <v>41</v>
      </c>
      <c r="AJ7" s="27" t="s">
        <v>41</v>
      </c>
      <c r="AK7" s="28">
        <v>45832</v>
      </c>
      <c r="AL7" s="28">
        <v>45839</v>
      </c>
      <c r="AM7" s="27" t="s">
        <v>51</v>
      </c>
    </row>
    <row r="8" spans="1:39" outlineLevel="2" x14ac:dyDescent="0.35">
      <c r="A8" s="1" t="s">
        <v>1016</v>
      </c>
      <c r="B8" s="1" t="s">
        <v>1003</v>
      </c>
      <c r="C8" s="1" t="s">
        <v>1004</v>
      </c>
      <c r="D8" s="1" t="s">
        <v>1005</v>
      </c>
      <c r="E8" s="1" t="s">
        <v>9</v>
      </c>
      <c r="F8" s="1" t="s">
        <v>1019</v>
      </c>
      <c r="G8" s="9">
        <v>45839</v>
      </c>
      <c r="H8" s="27" t="s">
        <v>53</v>
      </c>
      <c r="I8" s="27" t="s">
        <v>7</v>
      </c>
      <c r="J8" s="28">
        <v>45832</v>
      </c>
      <c r="K8" s="28">
        <v>45832</v>
      </c>
      <c r="L8" s="27" t="s">
        <v>935</v>
      </c>
      <c r="M8" s="29" t="s">
        <v>41</v>
      </c>
      <c r="N8" s="27" t="s">
        <v>1007</v>
      </c>
      <c r="O8" s="27" t="s">
        <v>1008</v>
      </c>
      <c r="P8" s="27" t="s">
        <v>41</v>
      </c>
      <c r="Q8" s="27" t="s">
        <v>1012</v>
      </c>
      <c r="R8" s="27" t="s">
        <v>46</v>
      </c>
      <c r="S8" s="30">
        <v>-3145.98</v>
      </c>
      <c r="T8" s="27" t="s">
        <v>42</v>
      </c>
      <c r="U8" s="30">
        <v>-3145.98</v>
      </c>
      <c r="V8" s="27" t="s">
        <v>41</v>
      </c>
      <c r="W8" s="27" t="s">
        <v>1018</v>
      </c>
      <c r="X8" s="27" t="s">
        <v>41</v>
      </c>
      <c r="Y8" s="27" t="s">
        <v>41</v>
      </c>
      <c r="Z8" s="27" t="s">
        <v>1013</v>
      </c>
      <c r="AA8" s="27"/>
      <c r="AB8" s="27"/>
      <c r="AC8" s="27"/>
      <c r="AD8" s="27" t="e">
        <f>_xlfn.XLOOKUP(M8,'Customer Data Vlookup'!$R:$R,'Customer Data Vlookup'!$S:$S,,0)</f>
        <v>#N/A</v>
      </c>
      <c r="AE8" s="27"/>
      <c r="AF8" s="27"/>
      <c r="AG8" s="27" t="s">
        <v>41</v>
      </c>
      <c r="AH8" s="27" t="s">
        <v>41</v>
      </c>
      <c r="AI8" s="27" t="s">
        <v>41</v>
      </c>
      <c r="AJ8" s="27" t="s">
        <v>41</v>
      </c>
      <c r="AK8" s="28">
        <v>45832</v>
      </c>
      <c r="AL8" s="28"/>
      <c r="AM8" s="27" t="s">
        <v>41</v>
      </c>
    </row>
    <row r="9" spans="1:39" outlineLevel="2" x14ac:dyDescent="0.35">
      <c r="A9" s="1" t="s">
        <v>1016</v>
      </c>
      <c r="B9" s="1" t="s">
        <v>1003</v>
      </c>
      <c r="C9" s="1" t="s">
        <v>1004</v>
      </c>
      <c r="D9" s="1" t="s">
        <v>1005</v>
      </c>
      <c r="E9" s="1" t="s">
        <v>9</v>
      </c>
      <c r="F9" s="1" t="s">
        <v>1019</v>
      </c>
      <c r="G9" s="9">
        <v>45839</v>
      </c>
      <c r="H9" s="27" t="s">
        <v>54</v>
      </c>
      <c r="I9" s="27" t="s">
        <v>7</v>
      </c>
      <c r="J9" s="28">
        <v>45832</v>
      </c>
      <c r="K9" s="28">
        <v>45832</v>
      </c>
      <c r="L9" s="27" t="s">
        <v>947</v>
      </c>
      <c r="M9" s="29" t="s">
        <v>41</v>
      </c>
      <c r="N9" s="27" t="s">
        <v>1007</v>
      </c>
      <c r="O9" s="27" t="s">
        <v>1008</v>
      </c>
      <c r="P9" s="27" t="s">
        <v>41</v>
      </c>
      <c r="Q9" s="27" t="s">
        <v>1012</v>
      </c>
      <c r="R9" s="27" t="s">
        <v>46</v>
      </c>
      <c r="S9" s="30">
        <v>-12549.36</v>
      </c>
      <c r="T9" s="27" t="s">
        <v>42</v>
      </c>
      <c r="U9" s="30">
        <v>-12549.36</v>
      </c>
      <c r="V9" s="27" t="s">
        <v>41</v>
      </c>
      <c r="W9" s="27" t="s">
        <v>1018</v>
      </c>
      <c r="X9" s="27" t="s">
        <v>41</v>
      </c>
      <c r="Y9" s="27" t="s">
        <v>41</v>
      </c>
      <c r="Z9" s="27" t="s">
        <v>1013</v>
      </c>
      <c r="AA9" s="27"/>
      <c r="AB9" s="27"/>
      <c r="AC9" s="27"/>
      <c r="AD9" s="27" t="e">
        <f>_xlfn.XLOOKUP(M9,'Customer Data Vlookup'!$R:$R,'Customer Data Vlookup'!$S:$S,,0)</f>
        <v>#N/A</v>
      </c>
      <c r="AE9" s="27"/>
      <c r="AF9" s="27"/>
      <c r="AG9" s="27" t="s">
        <v>41</v>
      </c>
      <c r="AH9" s="27" t="s">
        <v>41</v>
      </c>
      <c r="AI9" s="27" t="s">
        <v>41</v>
      </c>
      <c r="AJ9" s="27" t="s">
        <v>41</v>
      </c>
      <c r="AK9" s="28">
        <v>45832</v>
      </c>
      <c r="AL9" s="28"/>
      <c r="AM9" s="27" t="s">
        <v>41</v>
      </c>
    </row>
    <row r="10" spans="1:39" outlineLevel="2" x14ac:dyDescent="0.35">
      <c r="A10" s="1" t="s">
        <v>1016</v>
      </c>
      <c r="B10" s="1" t="s">
        <v>1003</v>
      </c>
      <c r="C10" s="1" t="s">
        <v>1004</v>
      </c>
      <c r="D10" s="1" t="s">
        <v>1005</v>
      </c>
      <c r="E10" s="1" t="s">
        <v>9</v>
      </c>
      <c r="F10" s="1" t="s">
        <v>1019</v>
      </c>
      <c r="G10" s="9">
        <v>45839</v>
      </c>
      <c r="H10" s="27" t="s">
        <v>55</v>
      </c>
      <c r="I10" s="27" t="s">
        <v>7</v>
      </c>
      <c r="J10" s="28">
        <v>45832</v>
      </c>
      <c r="K10" s="28">
        <v>45832</v>
      </c>
      <c r="L10" s="27" t="s">
        <v>941</v>
      </c>
      <c r="M10" s="29" t="s">
        <v>41</v>
      </c>
      <c r="N10" s="27" t="s">
        <v>1007</v>
      </c>
      <c r="O10" s="27" t="s">
        <v>1008</v>
      </c>
      <c r="P10" s="27" t="s">
        <v>41</v>
      </c>
      <c r="Q10" s="27" t="s">
        <v>1012</v>
      </c>
      <c r="R10" s="27" t="s">
        <v>46</v>
      </c>
      <c r="S10" s="30">
        <v>-4228.22</v>
      </c>
      <c r="T10" s="27" t="s">
        <v>42</v>
      </c>
      <c r="U10" s="30">
        <v>-4228.22</v>
      </c>
      <c r="V10" s="27" t="s">
        <v>41</v>
      </c>
      <c r="W10" s="27" t="s">
        <v>1018</v>
      </c>
      <c r="X10" s="27" t="s">
        <v>41</v>
      </c>
      <c r="Y10" s="27" t="s">
        <v>41</v>
      </c>
      <c r="Z10" s="27" t="s">
        <v>1013</v>
      </c>
      <c r="AA10" s="27"/>
      <c r="AB10" s="27"/>
      <c r="AC10" s="27"/>
      <c r="AD10" s="27" t="e">
        <f>_xlfn.XLOOKUP(M10,'Customer Data Vlookup'!$R:$R,'Customer Data Vlookup'!$S:$S,,0)</f>
        <v>#N/A</v>
      </c>
      <c r="AE10" s="27"/>
      <c r="AF10" s="27"/>
      <c r="AG10" s="27" t="s">
        <v>41</v>
      </c>
      <c r="AH10" s="27" t="s">
        <v>41</v>
      </c>
      <c r="AI10" s="27" t="s">
        <v>41</v>
      </c>
      <c r="AJ10" s="27" t="s">
        <v>41</v>
      </c>
      <c r="AK10" s="28">
        <v>45832</v>
      </c>
      <c r="AL10" s="28"/>
      <c r="AM10" s="27" t="s">
        <v>41</v>
      </c>
    </row>
    <row r="11" spans="1:39" outlineLevel="2" x14ac:dyDescent="0.35">
      <c r="A11" s="1" t="s">
        <v>1002</v>
      </c>
      <c r="B11" s="1" t="s">
        <v>1003</v>
      </c>
      <c r="C11" s="1" t="s">
        <v>1004</v>
      </c>
      <c r="D11" s="1" t="s">
        <v>1005</v>
      </c>
      <c r="E11" s="1" t="s">
        <v>9</v>
      </c>
      <c r="F11" s="1" t="s">
        <v>1019</v>
      </c>
      <c r="G11" s="9">
        <v>45839</v>
      </c>
      <c r="H11" s="27" t="s">
        <v>51</v>
      </c>
      <c r="I11" s="27" t="s">
        <v>7</v>
      </c>
      <c r="J11" s="28">
        <v>45832</v>
      </c>
      <c r="K11" s="28">
        <v>45835</v>
      </c>
      <c r="L11" s="27" t="s">
        <v>937</v>
      </c>
      <c r="M11" s="29" t="s">
        <v>41</v>
      </c>
      <c r="N11" s="27" t="s">
        <v>1007</v>
      </c>
      <c r="O11" s="27" t="s">
        <v>1008</v>
      </c>
      <c r="P11" s="27" t="s">
        <v>41</v>
      </c>
      <c r="Q11" s="27" t="s">
        <v>1020</v>
      </c>
      <c r="R11" s="27" t="s">
        <v>46</v>
      </c>
      <c r="S11" s="30">
        <v>3663.7</v>
      </c>
      <c r="T11" s="27" t="s">
        <v>42</v>
      </c>
      <c r="U11" s="30">
        <v>3663.7</v>
      </c>
      <c r="V11" s="27" t="s">
        <v>41</v>
      </c>
      <c r="W11" s="27" t="s">
        <v>1018</v>
      </c>
      <c r="X11" s="27" t="s">
        <v>41</v>
      </c>
      <c r="Y11" s="27" t="s">
        <v>41</v>
      </c>
      <c r="Z11" s="27" t="s">
        <v>1013</v>
      </c>
      <c r="AA11" s="27"/>
      <c r="AB11" s="27"/>
      <c r="AC11" s="27"/>
      <c r="AD11" s="27" t="e">
        <f>_xlfn.XLOOKUP(M11,'Customer Data Vlookup'!$R:$R,'Customer Data Vlookup'!$S:$S,,0)</f>
        <v>#N/A</v>
      </c>
      <c r="AE11" s="27"/>
      <c r="AF11" s="27"/>
      <c r="AG11" s="27" t="s">
        <v>41</v>
      </c>
      <c r="AH11" s="27" t="s">
        <v>41</v>
      </c>
      <c r="AI11" s="27" t="s">
        <v>41</v>
      </c>
      <c r="AJ11" s="27" t="s">
        <v>41</v>
      </c>
      <c r="AK11" s="28">
        <v>45832</v>
      </c>
      <c r="AL11" s="28">
        <v>45839</v>
      </c>
      <c r="AM11" s="27" t="s">
        <v>51</v>
      </c>
    </row>
    <row r="12" spans="1:39" outlineLevel="2" x14ac:dyDescent="0.35">
      <c r="A12" s="1" t="s">
        <v>1002</v>
      </c>
      <c r="B12" s="1" t="s">
        <v>1003</v>
      </c>
      <c r="C12" s="1" t="s">
        <v>1004</v>
      </c>
      <c r="D12" s="1" t="s">
        <v>1005</v>
      </c>
      <c r="E12" s="1" t="s">
        <v>9</v>
      </c>
      <c r="F12" s="1" t="s">
        <v>1014</v>
      </c>
      <c r="G12" s="9">
        <v>45887</v>
      </c>
      <c r="H12" s="27" t="s">
        <v>45</v>
      </c>
      <c r="I12" s="27" t="s">
        <v>7</v>
      </c>
      <c r="J12" s="28">
        <v>45887</v>
      </c>
      <c r="K12" s="28">
        <v>45887</v>
      </c>
      <c r="L12" s="27" t="s">
        <v>41</v>
      </c>
      <c r="M12" s="29" t="s">
        <v>41</v>
      </c>
      <c r="N12" s="27" t="s">
        <v>1007</v>
      </c>
      <c r="O12" s="27" t="s">
        <v>1008</v>
      </c>
      <c r="P12" s="27" t="s">
        <v>41</v>
      </c>
      <c r="Q12" s="27" t="s">
        <v>1012</v>
      </c>
      <c r="R12" s="27" t="s">
        <v>46</v>
      </c>
      <c r="S12" s="30">
        <v>-4437.8999999999996</v>
      </c>
      <c r="T12" s="27" t="s">
        <v>42</v>
      </c>
      <c r="U12" s="30">
        <v>-383425.92</v>
      </c>
      <c r="V12" s="27" t="s">
        <v>41</v>
      </c>
      <c r="W12" s="27" t="s">
        <v>1010</v>
      </c>
      <c r="X12" s="27" t="s">
        <v>41</v>
      </c>
      <c r="Y12" s="27" t="s">
        <v>41</v>
      </c>
      <c r="Z12" s="27" t="s">
        <v>1021</v>
      </c>
      <c r="AA12" s="27"/>
      <c r="AB12" s="27"/>
      <c r="AC12" s="27"/>
      <c r="AD12" s="27" t="e">
        <f>_xlfn.XLOOKUP(M12,'Customer Data Vlookup'!$R:$R,'Customer Data Vlookup'!$S:$S,,0)</f>
        <v>#N/A</v>
      </c>
      <c r="AE12" s="27"/>
      <c r="AF12" s="27"/>
      <c r="AG12" s="27" t="s">
        <v>41</v>
      </c>
      <c r="AH12" s="27" t="s">
        <v>41</v>
      </c>
      <c r="AI12" s="27" t="s">
        <v>41</v>
      </c>
      <c r="AJ12" s="27" t="s">
        <v>41</v>
      </c>
      <c r="AK12" s="28">
        <v>45887</v>
      </c>
      <c r="AL12" s="28">
        <v>45887</v>
      </c>
      <c r="AM12" s="27" t="s">
        <v>45</v>
      </c>
    </row>
    <row r="13" spans="1:39" outlineLevel="2" x14ac:dyDescent="0.35">
      <c r="A13" s="1" t="s">
        <v>1002</v>
      </c>
      <c r="B13" s="1" t="s">
        <v>1003</v>
      </c>
      <c r="C13" s="1" t="s">
        <v>1004</v>
      </c>
      <c r="D13" s="1" t="s">
        <v>1005</v>
      </c>
      <c r="E13" s="1" t="s">
        <v>9</v>
      </c>
      <c r="F13" s="1" t="s">
        <v>1014</v>
      </c>
      <c r="G13" s="9">
        <v>45888</v>
      </c>
      <c r="H13" s="27" t="s">
        <v>56</v>
      </c>
      <c r="I13" s="27" t="s">
        <v>7</v>
      </c>
      <c r="J13" s="28">
        <v>45888</v>
      </c>
      <c r="K13" s="28">
        <v>45888</v>
      </c>
      <c r="L13" s="27" t="s">
        <v>57</v>
      </c>
      <c r="M13" s="29" t="s">
        <v>41</v>
      </c>
      <c r="N13" s="27" t="s">
        <v>1007</v>
      </c>
      <c r="O13" s="27" t="s">
        <v>1008</v>
      </c>
      <c r="P13" s="27" t="s">
        <v>41</v>
      </c>
      <c r="Q13" s="27" t="s">
        <v>1012</v>
      </c>
      <c r="R13" s="27" t="s">
        <v>46</v>
      </c>
      <c r="S13" s="30">
        <v>-1102.02</v>
      </c>
      <c r="T13" s="27" t="s">
        <v>42</v>
      </c>
      <c r="U13" s="30">
        <v>-94695.18</v>
      </c>
      <c r="V13" s="27" t="s">
        <v>41</v>
      </c>
      <c r="W13" s="27" t="s">
        <v>1010</v>
      </c>
      <c r="X13" s="27" t="s">
        <v>41</v>
      </c>
      <c r="Y13" s="27" t="s">
        <v>41</v>
      </c>
      <c r="Z13" s="27" t="s">
        <v>1015</v>
      </c>
      <c r="AA13" s="27"/>
      <c r="AB13" s="27"/>
      <c r="AC13" s="27"/>
      <c r="AD13" s="27" t="e">
        <f>_xlfn.XLOOKUP(M13,'Customer Data Vlookup'!$R:$R,'Customer Data Vlookup'!$S:$S,,0)</f>
        <v>#N/A</v>
      </c>
      <c r="AE13" s="27"/>
      <c r="AF13" s="27"/>
      <c r="AG13" s="27" t="s">
        <v>57</v>
      </c>
      <c r="AH13" s="27" t="s">
        <v>41</v>
      </c>
      <c r="AI13" s="27" t="s">
        <v>41</v>
      </c>
      <c r="AJ13" s="27" t="s">
        <v>41</v>
      </c>
      <c r="AK13" s="28">
        <v>45888</v>
      </c>
      <c r="AL13" s="28">
        <v>45888</v>
      </c>
      <c r="AM13" s="27" t="s">
        <v>56</v>
      </c>
    </row>
    <row r="14" spans="1:39" outlineLevel="2" x14ac:dyDescent="0.35">
      <c r="A14" s="1" t="s">
        <v>1016</v>
      </c>
      <c r="B14" s="1" t="s">
        <v>1003</v>
      </c>
      <c r="C14" s="1" t="s">
        <v>1004</v>
      </c>
      <c r="D14" s="1" t="s">
        <v>1005</v>
      </c>
      <c r="E14" s="1" t="s">
        <v>9</v>
      </c>
      <c r="F14" s="1" t="s">
        <v>1006</v>
      </c>
      <c r="G14" s="9">
        <v>45924</v>
      </c>
      <c r="H14" s="27" t="s">
        <v>58</v>
      </c>
      <c r="I14" s="27" t="s">
        <v>7</v>
      </c>
      <c r="J14" s="28">
        <v>45924</v>
      </c>
      <c r="K14" s="28">
        <v>45924</v>
      </c>
      <c r="L14" s="27" t="s">
        <v>934</v>
      </c>
      <c r="M14" s="29" t="s">
        <v>41</v>
      </c>
      <c r="N14" s="27" t="s">
        <v>1007</v>
      </c>
      <c r="O14" s="27" t="s">
        <v>1008</v>
      </c>
      <c r="P14" s="27" t="s">
        <v>41</v>
      </c>
      <c r="Q14" s="27" t="s">
        <v>1012</v>
      </c>
      <c r="R14" s="27" t="s">
        <v>46</v>
      </c>
      <c r="S14" s="30">
        <v>-2932.84</v>
      </c>
      <c r="T14" s="27" t="s">
        <v>42</v>
      </c>
      <c r="U14" s="30">
        <v>-256665.53</v>
      </c>
      <c r="V14" s="27" t="s">
        <v>41</v>
      </c>
      <c r="W14" s="27" t="s">
        <v>1018</v>
      </c>
      <c r="X14" s="27" t="s">
        <v>41</v>
      </c>
      <c r="Y14" s="27" t="s">
        <v>41</v>
      </c>
      <c r="Z14" s="27" t="s">
        <v>1013</v>
      </c>
      <c r="AA14" s="27"/>
      <c r="AB14" s="27"/>
      <c r="AC14" s="27"/>
      <c r="AD14" s="27" t="e">
        <f>_xlfn.XLOOKUP(M14,'Customer Data Vlookup'!$R:$R,'Customer Data Vlookup'!$S:$S,,0)</f>
        <v>#N/A</v>
      </c>
      <c r="AE14" s="27"/>
      <c r="AF14" s="27"/>
      <c r="AG14" s="27" t="s">
        <v>41</v>
      </c>
      <c r="AH14" s="27" t="s">
        <v>41</v>
      </c>
      <c r="AI14" s="27" t="s">
        <v>41</v>
      </c>
      <c r="AJ14" s="27" t="s">
        <v>41</v>
      </c>
      <c r="AK14" s="28">
        <v>45924</v>
      </c>
      <c r="AL14" s="28"/>
      <c r="AM14" s="27" t="s">
        <v>41</v>
      </c>
    </row>
    <row r="15" spans="1:39" outlineLevel="2" x14ac:dyDescent="0.35">
      <c r="A15" s="1" t="s">
        <v>1016</v>
      </c>
      <c r="B15" s="1" t="s">
        <v>1003</v>
      </c>
      <c r="C15" s="1" t="s">
        <v>1004</v>
      </c>
      <c r="D15" s="1" t="s">
        <v>1005</v>
      </c>
      <c r="E15" s="1" t="s">
        <v>9</v>
      </c>
      <c r="F15" s="1" t="s">
        <v>1022</v>
      </c>
      <c r="G15" s="9">
        <v>45964</v>
      </c>
      <c r="H15" s="27" t="s">
        <v>59</v>
      </c>
      <c r="I15" s="27" t="s">
        <v>7</v>
      </c>
      <c r="J15" s="28">
        <v>45964</v>
      </c>
      <c r="K15" s="28">
        <v>45964</v>
      </c>
      <c r="L15" s="27" t="s">
        <v>930</v>
      </c>
      <c r="M15" s="29" t="s">
        <v>41</v>
      </c>
      <c r="N15" s="27" t="s">
        <v>1007</v>
      </c>
      <c r="O15" s="27" t="s">
        <v>1008</v>
      </c>
      <c r="P15" s="27" t="s">
        <v>41</v>
      </c>
      <c r="Q15" s="27" t="s">
        <v>1012</v>
      </c>
      <c r="R15" s="27" t="s">
        <v>46</v>
      </c>
      <c r="S15" s="30">
        <v>-1731.27</v>
      </c>
      <c r="T15" s="27" t="s">
        <v>42</v>
      </c>
      <c r="U15" s="30">
        <v>-152682.03</v>
      </c>
      <c r="V15" s="27" t="s">
        <v>41</v>
      </c>
      <c r="W15" s="27" t="s">
        <v>1018</v>
      </c>
      <c r="X15" s="27" t="s">
        <v>41</v>
      </c>
      <c r="Y15" s="27" t="s">
        <v>41</v>
      </c>
      <c r="Z15" s="27" t="s">
        <v>1013</v>
      </c>
      <c r="AA15" s="27"/>
      <c r="AB15" s="27"/>
      <c r="AC15" s="27"/>
      <c r="AD15" s="27" t="e">
        <f>_xlfn.XLOOKUP(M15,'Customer Data Vlookup'!$R:$R,'Customer Data Vlookup'!$S:$S,,0)</f>
        <v>#N/A</v>
      </c>
      <c r="AE15" s="27"/>
      <c r="AF15" s="27"/>
      <c r="AG15" s="27" t="s">
        <v>41</v>
      </c>
      <c r="AH15" s="27" t="s">
        <v>41</v>
      </c>
      <c r="AI15" s="27" t="s">
        <v>41</v>
      </c>
      <c r="AJ15" s="27" t="s">
        <v>41</v>
      </c>
      <c r="AK15" s="28">
        <v>45964</v>
      </c>
      <c r="AL15" s="28"/>
      <c r="AM15" s="27" t="s">
        <v>41</v>
      </c>
    </row>
    <row r="16" spans="1:39" outlineLevel="2" x14ac:dyDescent="0.35">
      <c r="A16" s="1" t="s">
        <v>1016</v>
      </c>
      <c r="B16" s="1" t="s">
        <v>1003</v>
      </c>
      <c r="C16" s="1" t="s">
        <v>1004</v>
      </c>
      <c r="D16" s="1" t="s">
        <v>1005</v>
      </c>
      <c r="E16" s="1" t="s">
        <v>9</v>
      </c>
      <c r="F16" s="1" t="s">
        <v>1022</v>
      </c>
      <c r="G16" s="9">
        <v>45972</v>
      </c>
      <c r="H16" s="27" t="s">
        <v>60</v>
      </c>
      <c r="I16" s="27" t="s">
        <v>7</v>
      </c>
      <c r="J16" s="28">
        <v>45972</v>
      </c>
      <c r="K16" s="28">
        <v>45972</v>
      </c>
      <c r="L16" s="27" t="s">
        <v>933</v>
      </c>
      <c r="M16" s="29" t="s">
        <v>41</v>
      </c>
      <c r="N16" s="27" t="s">
        <v>1007</v>
      </c>
      <c r="O16" s="27" t="s">
        <v>1008</v>
      </c>
      <c r="P16" s="27" t="s">
        <v>41</v>
      </c>
      <c r="Q16" s="27" t="s">
        <v>1012</v>
      </c>
      <c r="R16" s="27" t="s">
        <v>46</v>
      </c>
      <c r="S16" s="30">
        <v>-1968.44</v>
      </c>
      <c r="T16" s="27" t="s">
        <v>42</v>
      </c>
      <c r="U16" s="30">
        <v>-173229.39</v>
      </c>
      <c r="V16" s="27" t="s">
        <v>41</v>
      </c>
      <c r="W16" s="27" t="s">
        <v>1018</v>
      </c>
      <c r="X16" s="27" t="s">
        <v>41</v>
      </c>
      <c r="Y16" s="27" t="s">
        <v>41</v>
      </c>
      <c r="Z16" s="27" t="s">
        <v>1013</v>
      </c>
      <c r="AA16" s="27"/>
      <c r="AB16" s="27"/>
      <c r="AC16" s="27"/>
      <c r="AD16" s="27" t="e">
        <f>_xlfn.XLOOKUP(M16,'Customer Data Vlookup'!$R:$R,'Customer Data Vlookup'!$S:$S,,0)</f>
        <v>#N/A</v>
      </c>
      <c r="AE16" s="27"/>
      <c r="AF16" s="27"/>
      <c r="AG16" s="27" t="s">
        <v>41</v>
      </c>
      <c r="AH16" s="27" t="s">
        <v>41</v>
      </c>
      <c r="AI16" s="27" t="s">
        <v>41</v>
      </c>
      <c r="AJ16" s="27" t="s">
        <v>41</v>
      </c>
      <c r="AK16" s="28">
        <v>45972</v>
      </c>
      <c r="AL16" s="28"/>
      <c r="AM16" s="27" t="s">
        <v>41</v>
      </c>
    </row>
    <row r="17" spans="1:39" outlineLevel="2" x14ac:dyDescent="0.35">
      <c r="A17" s="1" t="s">
        <v>1016</v>
      </c>
      <c r="B17" s="1" t="s">
        <v>1003</v>
      </c>
      <c r="C17" s="1" t="s">
        <v>1004</v>
      </c>
      <c r="D17" s="1" t="s">
        <v>1005</v>
      </c>
      <c r="E17" s="1" t="s">
        <v>9</v>
      </c>
      <c r="F17" s="1" t="s">
        <v>1022</v>
      </c>
      <c r="G17" s="9">
        <v>45972</v>
      </c>
      <c r="H17" s="27" t="s">
        <v>61</v>
      </c>
      <c r="I17" s="27" t="s">
        <v>7</v>
      </c>
      <c r="J17" s="28">
        <v>45972</v>
      </c>
      <c r="K17" s="28">
        <v>45972</v>
      </c>
      <c r="L17" s="27" t="s">
        <v>944</v>
      </c>
      <c r="M17" s="29" t="s">
        <v>41</v>
      </c>
      <c r="N17" s="27" t="s">
        <v>1007</v>
      </c>
      <c r="O17" s="27" t="s">
        <v>1008</v>
      </c>
      <c r="P17" s="27" t="s">
        <v>41</v>
      </c>
      <c r="Q17" s="27" t="s">
        <v>1012</v>
      </c>
      <c r="R17" s="27" t="s">
        <v>46</v>
      </c>
      <c r="S17" s="30">
        <v>-8339.84</v>
      </c>
      <c r="T17" s="27" t="s">
        <v>42</v>
      </c>
      <c r="U17" s="30">
        <v>-729855.51</v>
      </c>
      <c r="V17" s="27" t="s">
        <v>41</v>
      </c>
      <c r="W17" s="27" t="s">
        <v>1018</v>
      </c>
      <c r="X17" s="27" t="s">
        <v>41</v>
      </c>
      <c r="Y17" s="27" t="s">
        <v>41</v>
      </c>
      <c r="Z17" s="27" t="s">
        <v>1013</v>
      </c>
      <c r="AA17" s="27"/>
      <c r="AB17" s="27"/>
      <c r="AC17" s="27"/>
      <c r="AD17" s="27" t="e">
        <f>_xlfn.XLOOKUP(M17,'Customer Data Vlookup'!$R:$R,'Customer Data Vlookup'!$S:$S,,0)</f>
        <v>#N/A</v>
      </c>
      <c r="AE17" s="27"/>
      <c r="AF17" s="27"/>
      <c r="AG17" s="27" t="s">
        <v>41</v>
      </c>
      <c r="AH17" s="27" t="s">
        <v>41</v>
      </c>
      <c r="AI17" s="27" t="s">
        <v>41</v>
      </c>
      <c r="AJ17" s="27" t="s">
        <v>41</v>
      </c>
      <c r="AK17" s="28">
        <v>45972</v>
      </c>
      <c r="AL17" s="28"/>
      <c r="AM17" s="27" t="s">
        <v>41</v>
      </c>
    </row>
    <row r="18" spans="1:39" outlineLevel="2" x14ac:dyDescent="0.35">
      <c r="A18" s="1" t="s">
        <v>1016</v>
      </c>
      <c r="B18" s="1" t="s">
        <v>1003</v>
      </c>
      <c r="C18" s="1" t="s">
        <v>1004</v>
      </c>
      <c r="D18" s="1" t="s">
        <v>1005</v>
      </c>
      <c r="E18" s="1" t="s">
        <v>9</v>
      </c>
      <c r="F18" s="1" t="s">
        <v>1022</v>
      </c>
      <c r="G18" s="9">
        <v>45972</v>
      </c>
      <c r="H18" s="27" t="s">
        <v>62</v>
      </c>
      <c r="I18" s="27" t="s">
        <v>7</v>
      </c>
      <c r="J18" s="28">
        <v>45972</v>
      </c>
      <c r="K18" s="28">
        <v>45972</v>
      </c>
      <c r="L18" s="27" t="s">
        <v>946</v>
      </c>
      <c r="M18" s="29" t="s">
        <v>41</v>
      </c>
      <c r="N18" s="27" t="s">
        <v>1007</v>
      </c>
      <c r="O18" s="27" t="s">
        <v>1008</v>
      </c>
      <c r="P18" s="27" t="s">
        <v>41</v>
      </c>
      <c r="Q18" s="27" t="s">
        <v>1012</v>
      </c>
      <c r="R18" s="27" t="s">
        <v>46</v>
      </c>
      <c r="S18" s="30">
        <v>-10455.66</v>
      </c>
      <c r="T18" s="27" t="s">
        <v>42</v>
      </c>
      <c r="U18" s="30">
        <v>-920133.52</v>
      </c>
      <c r="V18" s="27" t="s">
        <v>41</v>
      </c>
      <c r="W18" s="27" t="s">
        <v>1018</v>
      </c>
      <c r="X18" s="27" t="s">
        <v>41</v>
      </c>
      <c r="Y18" s="27" t="s">
        <v>41</v>
      </c>
      <c r="Z18" s="27" t="s">
        <v>1013</v>
      </c>
      <c r="AA18" s="27"/>
      <c r="AB18" s="27"/>
      <c r="AC18" s="27"/>
      <c r="AD18" s="27" t="e">
        <f>_xlfn.XLOOKUP(M18,'Customer Data Vlookup'!$R:$R,'Customer Data Vlookup'!$S:$S,,0)</f>
        <v>#N/A</v>
      </c>
      <c r="AE18" s="27"/>
      <c r="AF18" s="27"/>
      <c r="AG18" s="27" t="s">
        <v>41</v>
      </c>
      <c r="AH18" s="27" t="s">
        <v>41</v>
      </c>
      <c r="AI18" s="27" t="s">
        <v>41</v>
      </c>
      <c r="AJ18" s="27" t="s">
        <v>41</v>
      </c>
      <c r="AK18" s="28">
        <v>45972</v>
      </c>
      <c r="AL18" s="28"/>
      <c r="AM18" s="27" t="s">
        <v>41</v>
      </c>
    </row>
    <row r="19" spans="1:39" outlineLevel="2" x14ac:dyDescent="0.35">
      <c r="A19" s="1" t="s">
        <v>1002</v>
      </c>
      <c r="B19" s="1" t="s">
        <v>1003</v>
      </c>
      <c r="C19" s="1" t="s">
        <v>1004</v>
      </c>
      <c r="D19" s="1" t="s">
        <v>1005</v>
      </c>
      <c r="E19" s="1" t="s">
        <v>9</v>
      </c>
      <c r="F19" s="1" t="s">
        <v>1019</v>
      </c>
      <c r="G19" s="9">
        <v>45842</v>
      </c>
      <c r="H19" s="27" t="s">
        <v>63</v>
      </c>
      <c r="I19" s="27" t="s">
        <v>6</v>
      </c>
      <c r="J19" s="28">
        <v>45842</v>
      </c>
      <c r="K19" s="28">
        <v>45842</v>
      </c>
      <c r="L19" s="27" t="s">
        <v>1023</v>
      </c>
      <c r="M19" s="29" t="s">
        <v>64</v>
      </c>
      <c r="N19" s="27" t="s">
        <v>1007</v>
      </c>
      <c r="O19" s="27" t="s">
        <v>1008</v>
      </c>
      <c r="P19" s="27" t="s">
        <v>41</v>
      </c>
      <c r="Q19" s="27" t="s">
        <v>1012</v>
      </c>
      <c r="R19" s="27" t="s">
        <v>46</v>
      </c>
      <c r="S19" s="30">
        <v>0</v>
      </c>
      <c r="T19" s="27" t="s">
        <v>42</v>
      </c>
      <c r="U19" s="30">
        <v>0</v>
      </c>
      <c r="V19" s="27" t="s">
        <v>41</v>
      </c>
      <c r="W19" s="27" t="s">
        <v>1010</v>
      </c>
      <c r="X19" s="27" t="s">
        <v>41</v>
      </c>
      <c r="Y19" s="27" t="s">
        <v>41</v>
      </c>
      <c r="Z19" s="27" t="s">
        <v>1011</v>
      </c>
      <c r="AA19" s="27"/>
      <c r="AB19" s="27"/>
      <c r="AC19" s="27"/>
      <c r="AD19" s="27" t="e">
        <f>_xlfn.XLOOKUP(M19,'Customer Data Vlookup'!$R:$R,'Customer Data Vlookup'!$S:$S,,0)</f>
        <v>#N/A</v>
      </c>
      <c r="AE19" s="27"/>
      <c r="AF19" s="27"/>
      <c r="AG19" s="27" t="s">
        <v>41</v>
      </c>
      <c r="AH19" s="27" t="s">
        <v>41</v>
      </c>
      <c r="AI19" s="27" t="s">
        <v>41</v>
      </c>
      <c r="AJ19" s="27" t="s">
        <v>41</v>
      </c>
      <c r="AK19" s="28">
        <v>45842</v>
      </c>
      <c r="AL19" s="28">
        <v>45842</v>
      </c>
      <c r="AM19" s="27" t="s">
        <v>63</v>
      </c>
    </row>
    <row r="20" spans="1:39" outlineLevel="2" x14ac:dyDescent="0.35">
      <c r="A20" s="1" t="s">
        <v>1002</v>
      </c>
      <c r="B20" s="1" t="s">
        <v>1003</v>
      </c>
      <c r="C20" s="1" t="s">
        <v>1004</v>
      </c>
      <c r="D20" s="1" t="s">
        <v>1005</v>
      </c>
      <c r="E20" s="1" t="s">
        <v>9</v>
      </c>
      <c r="F20" s="1" t="s">
        <v>1019</v>
      </c>
      <c r="G20" s="9">
        <v>45842</v>
      </c>
      <c r="H20" s="27" t="s">
        <v>65</v>
      </c>
      <c r="I20" s="27" t="s">
        <v>6</v>
      </c>
      <c r="J20" s="28">
        <v>45842</v>
      </c>
      <c r="K20" s="28">
        <v>45842</v>
      </c>
      <c r="L20" s="27" t="s">
        <v>1023</v>
      </c>
      <c r="M20" s="29" t="s">
        <v>64</v>
      </c>
      <c r="N20" s="27" t="s">
        <v>1007</v>
      </c>
      <c r="O20" s="27" t="s">
        <v>1008</v>
      </c>
      <c r="P20" s="27" t="s">
        <v>41</v>
      </c>
      <c r="Q20" s="27" t="s">
        <v>1009</v>
      </c>
      <c r="R20" s="27" t="s">
        <v>46</v>
      </c>
      <c r="S20" s="30">
        <v>1166.5899999999999</v>
      </c>
      <c r="T20" s="27" t="s">
        <v>42</v>
      </c>
      <c r="U20" s="30">
        <v>101402.13</v>
      </c>
      <c r="V20" s="27" t="s">
        <v>41</v>
      </c>
      <c r="W20" s="27" t="s">
        <v>1010</v>
      </c>
      <c r="X20" s="27" t="s">
        <v>41</v>
      </c>
      <c r="Y20" s="27" t="s">
        <v>41</v>
      </c>
      <c r="Z20" s="27" t="s">
        <v>1011</v>
      </c>
      <c r="AA20" s="27"/>
      <c r="AB20" s="27"/>
      <c r="AC20" s="27"/>
      <c r="AD20" s="27" t="e">
        <f>_xlfn.XLOOKUP(M20,'Customer Data Vlookup'!$R:$R,'Customer Data Vlookup'!$S:$S,,0)</f>
        <v>#N/A</v>
      </c>
      <c r="AE20" s="27"/>
      <c r="AF20" s="27"/>
      <c r="AG20" s="27" t="s">
        <v>41</v>
      </c>
      <c r="AH20" s="27" t="s">
        <v>41</v>
      </c>
      <c r="AI20" s="27" t="s">
        <v>41</v>
      </c>
      <c r="AJ20" s="27" t="s">
        <v>41</v>
      </c>
      <c r="AK20" s="28">
        <v>45842</v>
      </c>
      <c r="AL20" s="28">
        <v>45842</v>
      </c>
      <c r="AM20" s="27" t="s">
        <v>65</v>
      </c>
    </row>
    <row r="21" spans="1:39" outlineLevel="2" x14ac:dyDescent="0.35">
      <c r="A21" s="1" t="s">
        <v>1002</v>
      </c>
      <c r="B21" s="1" t="s">
        <v>1003</v>
      </c>
      <c r="C21" s="1" t="s">
        <v>1004</v>
      </c>
      <c r="D21" s="1" t="s">
        <v>1005</v>
      </c>
      <c r="E21" s="1" t="s">
        <v>9</v>
      </c>
      <c r="F21" s="1" t="s">
        <v>1019</v>
      </c>
      <c r="G21" s="9">
        <v>45842</v>
      </c>
      <c r="H21" s="27" t="s">
        <v>65</v>
      </c>
      <c r="I21" s="27" t="s">
        <v>6</v>
      </c>
      <c r="J21" s="28">
        <v>45842</v>
      </c>
      <c r="K21" s="28">
        <v>45842</v>
      </c>
      <c r="L21" s="27" t="s">
        <v>1023</v>
      </c>
      <c r="M21" s="29" t="s">
        <v>64</v>
      </c>
      <c r="N21" s="27" t="s">
        <v>1007</v>
      </c>
      <c r="O21" s="27" t="s">
        <v>1008</v>
      </c>
      <c r="P21" s="27" t="s">
        <v>41</v>
      </c>
      <c r="Q21" s="27" t="s">
        <v>1012</v>
      </c>
      <c r="R21" s="27" t="s">
        <v>46</v>
      </c>
      <c r="S21" s="30">
        <v>-1166.5899999999999</v>
      </c>
      <c r="T21" s="27" t="s">
        <v>42</v>
      </c>
      <c r="U21" s="30">
        <v>-101402.13</v>
      </c>
      <c r="V21" s="27" t="s">
        <v>41</v>
      </c>
      <c r="W21" s="27" t="s">
        <v>1010</v>
      </c>
      <c r="X21" s="27" t="s">
        <v>41</v>
      </c>
      <c r="Y21" s="27" t="s">
        <v>41</v>
      </c>
      <c r="Z21" s="27" t="s">
        <v>1013</v>
      </c>
      <c r="AA21" s="27"/>
      <c r="AB21" s="27"/>
      <c r="AC21" s="27"/>
      <c r="AD21" s="27" t="e">
        <f>_xlfn.XLOOKUP(M21,'Customer Data Vlookup'!$R:$R,'Customer Data Vlookup'!$S:$S,,0)</f>
        <v>#N/A</v>
      </c>
      <c r="AE21" s="27"/>
      <c r="AF21" s="27"/>
      <c r="AG21" s="27" t="s">
        <v>41</v>
      </c>
      <c r="AH21" s="27" t="s">
        <v>41</v>
      </c>
      <c r="AI21" s="27" t="s">
        <v>41</v>
      </c>
      <c r="AJ21" s="27" t="s">
        <v>41</v>
      </c>
      <c r="AK21" s="28">
        <v>45842</v>
      </c>
      <c r="AL21" s="28">
        <v>45842</v>
      </c>
      <c r="AM21" s="27" t="s">
        <v>65</v>
      </c>
    </row>
    <row r="22" spans="1:39" outlineLevel="2" x14ac:dyDescent="0.35">
      <c r="A22" s="1" t="s">
        <v>1002</v>
      </c>
      <c r="B22" s="1" t="s">
        <v>1003</v>
      </c>
      <c r="C22" s="1" t="s">
        <v>1004</v>
      </c>
      <c r="D22" s="1" t="s">
        <v>1005</v>
      </c>
      <c r="E22" s="1" t="s">
        <v>9</v>
      </c>
      <c r="F22" s="1" t="s">
        <v>1019</v>
      </c>
      <c r="G22" s="9">
        <v>45842</v>
      </c>
      <c r="H22" s="27" t="s">
        <v>66</v>
      </c>
      <c r="I22" s="27" t="s">
        <v>6</v>
      </c>
      <c r="J22" s="28">
        <v>45842</v>
      </c>
      <c r="K22" s="28">
        <v>45842</v>
      </c>
      <c r="L22" s="27" t="s">
        <v>1023</v>
      </c>
      <c r="M22" s="29" t="s">
        <v>64</v>
      </c>
      <c r="N22" s="27" t="s">
        <v>1007</v>
      </c>
      <c r="O22" s="27" t="s">
        <v>1008</v>
      </c>
      <c r="P22" s="27" t="s">
        <v>41</v>
      </c>
      <c r="Q22" s="27" t="s">
        <v>1009</v>
      </c>
      <c r="R22" s="27" t="s">
        <v>46</v>
      </c>
      <c r="S22" s="30">
        <v>1143.1199999999999</v>
      </c>
      <c r="T22" s="27" t="s">
        <v>42</v>
      </c>
      <c r="U22" s="30">
        <v>99362.07</v>
      </c>
      <c r="V22" s="27" t="s">
        <v>41</v>
      </c>
      <c r="W22" s="27" t="s">
        <v>1010</v>
      </c>
      <c r="X22" s="27" t="s">
        <v>41</v>
      </c>
      <c r="Y22" s="27" t="s">
        <v>41</v>
      </c>
      <c r="Z22" s="27" t="s">
        <v>1011</v>
      </c>
      <c r="AA22" s="27"/>
      <c r="AB22" s="27"/>
      <c r="AC22" s="27"/>
      <c r="AD22" s="27" t="e">
        <f>_xlfn.XLOOKUP(M22,'Customer Data Vlookup'!$R:$R,'Customer Data Vlookup'!$S:$S,,0)</f>
        <v>#N/A</v>
      </c>
      <c r="AE22" s="27"/>
      <c r="AF22" s="27"/>
      <c r="AG22" s="27" t="s">
        <v>41</v>
      </c>
      <c r="AH22" s="27" t="s">
        <v>41</v>
      </c>
      <c r="AI22" s="27" t="s">
        <v>41</v>
      </c>
      <c r="AJ22" s="27" t="s">
        <v>41</v>
      </c>
      <c r="AK22" s="28">
        <v>45842</v>
      </c>
      <c r="AL22" s="28">
        <v>45842</v>
      </c>
      <c r="AM22" s="27" t="s">
        <v>66</v>
      </c>
    </row>
    <row r="23" spans="1:39" outlineLevel="2" x14ac:dyDescent="0.35">
      <c r="A23" s="1" t="s">
        <v>1002</v>
      </c>
      <c r="B23" s="1" t="s">
        <v>1003</v>
      </c>
      <c r="C23" s="1" t="s">
        <v>1004</v>
      </c>
      <c r="D23" s="1" t="s">
        <v>1005</v>
      </c>
      <c r="E23" s="1" t="s">
        <v>9</v>
      </c>
      <c r="F23" s="1" t="s">
        <v>1019</v>
      </c>
      <c r="G23" s="9">
        <v>45842</v>
      </c>
      <c r="H23" s="27" t="s">
        <v>66</v>
      </c>
      <c r="I23" s="27" t="s">
        <v>6</v>
      </c>
      <c r="J23" s="28">
        <v>45842</v>
      </c>
      <c r="K23" s="28">
        <v>45842</v>
      </c>
      <c r="L23" s="27" t="s">
        <v>1023</v>
      </c>
      <c r="M23" s="29" t="s">
        <v>64</v>
      </c>
      <c r="N23" s="27" t="s">
        <v>1007</v>
      </c>
      <c r="O23" s="27" t="s">
        <v>1008</v>
      </c>
      <c r="P23" s="27" t="s">
        <v>41</v>
      </c>
      <c r="Q23" s="27" t="s">
        <v>1012</v>
      </c>
      <c r="R23" s="27" t="s">
        <v>46</v>
      </c>
      <c r="S23" s="30">
        <v>-1143.1199999999999</v>
      </c>
      <c r="T23" s="27" t="s">
        <v>42</v>
      </c>
      <c r="U23" s="30">
        <v>-99362.07</v>
      </c>
      <c r="V23" s="27" t="s">
        <v>41</v>
      </c>
      <c r="W23" s="27" t="s">
        <v>1010</v>
      </c>
      <c r="X23" s="27" t="s">
        <v>41</v>
      </c>
      <c r="Y23" s="27" t="s">
        <v>41</v>
      </c>
      <c r="Z23" s="27" t="s">
        <v>1013</v>
      </c>
      <c r="AA23" s="27"/>
      <c r="AB23" s="27"/>
      <c r="AC23" s="27"/>
      <c r="AD23" s="27" t="e">
        <f>_xlfn.XLOOKUP(M23,'Customer Data Vlookup'!$R:$R,'Customer Data Vlookup'!$S:$S,,0)</f>
        <v>#N/A</v>
      </c>
      <c r="AE23" s="27"/>
      <c r="AF23" s="27"/>
      <c r="AG23" s="27" t="s">
        <v>41</v>
      </c>
      <c r="AH23" s="27" t="s">
        <v>41</v>
      </c>
      <c r="AI23" s="27" t="s">
        <v>41</v>
      </c>
      <c r="AJ23" s="27" t="s">
        <v>41</v>
      </c>
      <c r="AK23" s="28">
        <v>45842</v>
      </c>
      <c r="AL23" s="28">
        <v>45842</v>
      </c>
      <c r="AM23" s="27" t="s">
        <v>66</v>
      </c>
    </row>
    <row r="24" spans="1:39" outlineLevel="2" x14ac:dyDescent="0.35">
      <c r="A24" s="1" t="s">
        <v>1016</v>
      </c>
      <c r="B24" s="1" t="s">
        <v>1003</v>
      </c>
      <c r="C24" s="1" t="s">
        <v>1004</v>
      </c>
      <c r="D24" s="1" t="s">
        <v>1005</v>
      </c>
      <c r="E24" s="1" t="s">
        <v>9</v>
      </c>
      <c r="F24" s="1" t="s">
        <v>1024</v>
      </c>
      <c r="G24" s="9">
        <v>45787</v>
      </c>
      <c r="H24" s="27" t="s">
        <v>67</v>
      </c>
      <c r="I24" s="27" t="s">
        <v>5</v>
      </c>
      <c r="J24" s="28">
        <v>45787</v>
      </c>
      <c r="K24" s="28">
        <v>45791</v>
      </c>
      <c r="L24" s="27" t="s">
        <v>1023</v>
      </c>
      <c r="M24" s="29">
        <v>256779413144</v>
      </c>
      <c r="N24" s="27" t="s">
        <v>1007</v>
      </c>
      <c r="O24" s="27" t="s">
        <v>1008</v>
      </c>
      <c r="P24" s="27" t="s">
        <v>41</v>
      </c>
      <c r="Q24" s="27" t="s">
        <v>1025</v>
      </c>
      <c r="R24" s="27" t="s">
        <v>42</v>
      </c>
      <c r="S24" s="30">
        <v>1163.0111111111112</v>
      </c>
      <c r="T24" s="27" t="s">
        <v>42</v>
      </c>
      <c r="U24" s="30">
        <v>100000</v>
      </c>
      <c r="V24" s="27" t="s">
        <v>1026</v>
      </c>
      <c r="W24" s="27" t="s">
        <v>1010</v>
      </c>
      <c r="X24" s="27" t="s">
        <v>41</v>
      </c>
      <c r="Y24" s="27" t="s">
        <v>1023</v>
      </c>
      <c r="Z24" s="27" t="s">
        <v>1011</v>
      </c>
      <c r="AA24" s="27"/>
      <c r="AB24" s="27"/>
      <c r="AC24" s="27"/>
      <c r="AD24" s="27" t="e">
        <f>_xlfn.XLOOKUP(M24,'Customer Data Vlookup'!$R:$R,'Customer Data Vlookup'!$S:$S,,0)</f>
        <v>#N/A</v>
      </c>
      <c r="AE24" s="27"/>
      <c r="AF24" s="27"/>
      <c r="AG24" s="27" t="s">
        <v>68</v>
      </c>
      <c r="AH24" s="27" t="s">
        <v>41</v>
      </c>
      <c r="AI24" s="27" t="s">
        <v>41</v>
      </c>
      <c r="AJ24" s="27" t="s">
        <v>41</v>
      </c>
      <c r="AK24" s="28">
        <v>45787</v>
      </c>
      <c r="AL24" s="28"/>
      <c r="AM24" s="27" t="s">
        <v>41</v>
      </c>
    </row>
    <row r="25" spans="1:39" outlineLevel="2" x14ac:dyDescent="0.35">
      <c r="A25" s="1" t="s">
        <v>1016</v>
      </c>
      <c r="B25" s="1" t="s">
        <v>1003</v>
      </c>
      <c r="C25" s="1" t="s">
        <v>1004</v>
      </c>
      <c r="D25" s="1" t="s">
        <v>1005</v>
      </c>
      <c r="E25" s="1" t="s">
        <v>9</v>
      </c>
      <c r="F25" s="1" t="s">
        <v>1019</v>
      </c>
      <c r="G25" s="9">
        <v>45842</v>
      </c>
      <c r="H25" s="27" t="s">
        <v>71</v>
      </c>
      <c r="I25" s="27" t="s">
        <v>5</v>
      </c>
      <c r="J25" s="28">
        <v>45842</v>
      </c>
      <c r="K25" s="28">
        <v>45847</v>
      </c>
      <c r="L25" s="27" t="s">
        <v>1023</v>
      </c>
      <c r="M25" s="29">
        <v>256779414914</v>
      </c>
      <c r="N25" s="27" t="s">
        <v>1007</v>
      </c>
      <c r="O25" s="27" t="s">
        <v>1008</v>
      </c>
      <c r="P25" s="27" t="s">
        <v>41</v>
      </c>
      <c r="Q25" s="27" t="s">
        <v>1025</v>
      </c>
      <c r="R25" s="27" t="s">
        <v>42</v>
      </c>
      <c r="S25" s="30">
        <v>1169.72</v>
      </c>
      <c r="T25" s="27" t="s">
        <v>42</v>
      </c>
      <c r="U25" s="30">
        <v>100000</v>
      </c>
      <c r="V25" s="27" t="s">
        <v>1026</v>
      </c>
      <c r="W25" s="27" t="s">
        <v>1010</v>
      </c>
      <c r="X25" s="27" t="s">
        <v>41</v>
      </c>
      <c r="Y25" s="27" t="s">
        <v>1023</v>
      </c>
      <c r="Z25" s="27" t="s">
        <v>1011</v>
      </c>
      <c r="AA25" s="27"/>
      <c r="AB25" s="27"/>
      <c r="AC25" s="27"/>
      <c r="AD25" s="27" t="e">
        <f>_xlfn.XLOOKUP(M25,'Customer Data Vlookup'!$R:$R,'Customer Data Vlookup'!$S:$S,,0)</f>
        <v>#N/A</v>
      </c>
      <c r="AE25" s="27"/>
      <c r="AF25" s="27"/>
      <c r="AG25" s="27" t="s">
        <v>72</v>
      </c>
      <c r="AH25" s="27" t="s">
        <v>41</v>
      </c>
      <c r="AI25" s="27" t="s">
        <v>41</v>
      </c>
      <c r="AJ25" s="27" t="s">
        <v>41</v>
      </c>
      <c r="AK25" s="28">
        <v>45842</v>
      </c>
      <c r="AL25" s="28"/>
      <c r="AM25" s="27" t="s">
        <v>41</v>
      </c>
    </row>
    <row r="26" spans="1:39" outlineLevel="2" x14ac:dyDescent="0.35">
      <c r="A26" s="1" t="s">
        <v>1016</v>
      </c>
      <c r="B26" s="1" t="s">
        <v>1003</v>
      </c>
      <c r="C26" s="1" t="s">
        <v>1004</v>
      </c>
      <c r="D26" s="1" t="s">
        <v>1005</v>
      </c>
      <c r="E26" s="1" t="s">
        <v>9</v>
      </c>
      <c r="F26" s="1" t="s">
        <v>1014</v>
      </c>
      <c r="G26" s="9">
        <v>45870</v>
      </c>
      <c r="H26" s="27" t="s">
        <v>73</v>
      </c>
      <c r="I26" s="27" t="s">
        <v>5</v>
      </c>
      <c r="J26" s="28">
        <v>45870</v>
      </c>
      <c r="K26" s="28">
        <v>45873</v>
      </c>
      <c r="L26" s="27" t="s">
        <v>1023</v>
      </c>
      <c r="M26" s="29">
        <v>256779416026</v>
      </c>
      <c r="N26" s="27" t="s">
        <v>1007</v>
      </c>
      <c r="O26" s="27" t="s">
        <v>1008</v>
      </c>
      <c r="P26" s="27" t="s">
        <v>41</v>
      </c>
      <c r="Q26" s="27" t="s">
        <v>1025</v>
      </c>
      <c r="R26" s="27" t="s">
        <v>42</v>
      </c>
      <c r="S26" s="30">
        <v>1162.78</v>
      </c>
      <c r="T26" s="27" t="s">
        <v>42</v>
      </c>
      <c r="U26" s="30">
        <v>100000</v>
      </c>
      <c r="V26" s="27" t="s">
        <v>1026</v>
      </c>
      <c r="W26" s="27" t="s">
        <v>1010</v>
      </c>
      <c r="X26" s="27" t="s">
        <v>41</v>
      </c>
      <c r="Y26" s="27" t="s">
        <v>1023</v>
      </c>
      <c r="Z26" s="27" t="s">
        <v>1011</v>
      </c>
      <c r="AA26" s="27"/>
      <c r="AB26" s="27"/>
      <c r="AC26" s="27"/>
      <c r="AD26" s="27" t="e">
        <f>_xlfn.XLOOKUP(M26,'Customer Data Vlookup'!$R:$R,'Customer Data Vlookup'!$S:$S,,0)</f>
        <v>#N/A</v>
      </c>
      <c r="AE26" s="27"/>
      <c r="AF26" s="27"/>
      <c r="AG26" s="27" t="s">
        <v>74</v>
      </c>
      <c r="AH26" s="27" t="s">
        <v>41</v>
      </c>
      <c r="AI26" s="27" t="s">
        <v>41</v>
      </c>
      <c r="AJ26" s="27" t="s">
        <v>41</v>
      </c>
      <c r="AK26" s="28">
        <v>45870</v>
      </c>
      <c r="AL26" s="28"/>
      <c r="AM26" s="27" t="s">
        <v>41</v>
      </c>
    </row>
    <row r="27" spans="1:39" outlineLevel="2" x14ac:dyDescent="0.35">
      <c r="A27" s="1" t="s">
        <v>1016</v>
      </c>
      <c r="B27" s="1" t="s">
        <v>1003</v>
      </c>
      <c r="C27" s="1" t="s">
        <v>1004</v>
      </c>
      <c r="D27" s="1" t="s">
        <v>1005</v>
      </c>
      <c r="E27" s="1" t="s">
        <v>9</v>
      </c>
      <c r="F27" s="1" t="s">
        <v>1006</v>
      </c>
      <c r="G27" s="9">
        <v>45904</v>
      </c>
      <c r="H27" s="27" t="s">
        <v>75</v>
      </c>
      <c r="I27" s="27" t="s">
        <v>5</v>
      </c>
      <c r="J27" s="28">
        <v>45904</v>
      </c>
      <c r="K27" s="28">
        <v>45909</v>
      </c>
      <c r="L27" s="27" t="s">
        <v>1023</v>
      </c>
      <c r="M27" s="29">
        <v>256779417346</v>
      </c>
      <c r="N27" s="27" t="s">
        <v>1007</v>
      </c>
      <c r="O27" s="27" t="s">
        <v>1008</v>
      </c>
      <c r="P27" s="27" t="s">
        <v>41</v>
      </c>
      <c r="Q27" s="27" t="s">
        <v>1025</v>
      </c>
      <c r="R27" s="27" t="s">
        <v>42</v>
      </c>
      <c r="S27" s="30">
        <v>1162.377777777778</v>
      </c>
      <c r="T27" s="27" t="s">
        <v>42</v>
      </c>
      <c r="U27" s="30">
        <v>100000</v>
      </c>
      <c r="V27" s="27" t="s">
        <v>1026</v>
      </c>
      <c r="W27" s="27" t="s">
        <v>1010</v>
      </c>
      <c r="X27" s="27" t="s">
        <v>41</v>
      </c>
      <c r="Y27" s="27" t="s">
        <v>1027</v>
      </c>
      <c r="Z27" s="27" t="s">
        <v>1011</v>
      </c>
      <c r="AA27" s="27"/>
      <c r="AB27" s="27"/>
      <c r="AC27" s="27"/>
      <c r="AD27" s="27" t="e">
        <f>_xlfn.XLOOKUP(M27,'Customer Data Vlookup'!$R:$R,'Customer Data Vlookup'!$S:$S,,0)</f>
        <v>#N/A</v>
      </c>
      <c r="AE27" s="27"/>
      <c r="AF27" s="27"/>
      <c r="AG27" s="27" t="s">
        <v>76</v>
      </c>
      <c r="AH27" s="27" t="s">
        <v>41</v>
      </c>
      <c r="AI27" s="27" t="s">
        <v>41</v>
      </c>
      <c r="AJ27" s="27" t="s">
        <v>41</v>
      </c>
      <c r="AK27" s="28">
        <v>45904</v>
      </c>
      <c r="AL27" s="28"/>
      <c r="AM27" s="27" t="s">
        <v>41</v>
      </c>
    </row>
    <row r="28" spans="1:39" outlineLevel="2" x14ac:dyDescent="0.35">
      <c r="A28" s="1" t="s">
        <v>1016</v>
      </c>
      <c r="B28" s="1" t="s">
        <v>1003</v>
      </c>
      <c r="C28" s="1" t="s">
        <v>1004</v>
      </c>
      <c r="D28" s="1" t="s">
        <v>1005</v>
      </c>
      <c r="E28" s="1" t="s">
        <v>9</v>
      </c>
      <c r="F28" s="1" t="s">
        <v>1022</v>
      </c>
      <c r="G28" s="9">
        <v>45966</v>
      </c>
      <c r="H28" s="27" t="s">
        <v>77</v>
      </c>
      <c r="I28" s="27" t="s">
        <v>5</v>
      </c>
      <c r="J28" s="28">
        <v>45966</v>
      </c>
      <c r="K28" s="28">
        <v>45966</v>
      </c>
      <c r="L28" s="27" t="s">
        <v>1023</v>
      </c>
      <c r="M28" s="29">
        <v>256779418775</v>
      </c>
      <c r="N28" s="27" t="s">
        <v>1007</v>
      </c>
      <c r="O28" s="27" t="s">
        <v>1008</v>
      </c>
      <c r="P28" s="27" t="s">
        <v>41</v>
      </c>
      <c r="Q28" s="27" t="s">
        <v>1025</v>
      </c>
      <c r="R28" s="27" t="s">
        <v>42</v>
      </c>
      <c r="S28" s="30">
        <v>1142.67</v>
      </c>
      <c r="T28" s="27" t="s">
        <v>42</v>
      </c>
      <c r="U28" s="30">
        <v>100000</v>
      </c>
      <c r="V28" s="27" t="s">
        <v>1026</v>
      </c>
      <c r="W28" s="27" t="s">
        <v>1010</v>
      </c>
      <c r="X28" s="27" t="s">
        <v>41</v>
      </c>
      <c r="Y28" s="27" t="s">
        <v>1028</v>
      </c>
      <c r="Z28" s="27" t="s">
        <v>1011</v>
      </c>
      <c r="AA28" s="27"/>
      <c r="AB28" s="27"/>
      <c r="AC28" s="27"/>
      <c r="AD28" s="27" t="e">
        <f>_xlfn.XLOOKUP(M28,'Customer Data Vlookup'!$R:$R,'Customer Data Vlookup'!$S:$S,,0)</f>
        <v>#N/A</v>
      </c>
      <c r="AE28" s="27"/>
      <c r="AF28" s="27"/>
      <c r="AG28" s="27" t="s">
        <v>78</v>
      </c>
      <c r="AH28" s="27" t="s">
        <v>41</v>
      </c>
      <c r="AI28" s="27" t="s">
        <v>41</v>
      </c>
      <c r="AJ28" s="27" t="s">
        <v>41</v>
      </c>
      <c r="AK28" s="28">
        <v>45966</v>
      </c>
      <c r="AL28" s="28"/>
      <c r="AM28" s="27" t="s">
        <v>41</v>
      </c>
    </row>
    <row r="29" spans="1:39" outlineLevel="2" x14ac:dyDescent="0.35">
      <c r="A29" s="1" t="s">
        <v>1016</v>
      </c>
      <c r="B29" s="1" t="s">
        <v>1003</v>
      </c>
      <c r="C29" s="1" t="s">
        <v>1004</v>
      </c>
      <c r="D29" s="1" t="s">
        <v>1005</v>
      </c>
      <c r="E29" s="1" t="s">
        <v>9</v>
      </c>
      <c r="F29" s="1" t="s">
        <v>1029</v>
      </c>
      <c r="G29" s="9">
        <v>45995</v>
      </c>
      <c r="H29" s="27" t="s">
        <v>79</v>
      </c>
      <c r="I29" s="27" t="s">
        <v>5</v>
      </c>
      <c r="J29" s="28">
        <v>45995</v>
      </c>
      <c r="K29" s="28">
        <v>46000</v>
      </c>
      <c r="L29" s="27" t="s">
        <v>1023</v>
      </c>
      <c r="M29" s="29">
        <v>256779419968</v>
      </c>
      <c r="N29" s="27" t="s">
        <v>1007</v>
      </c>
      <c r="O29" s="27" t="s">
        <v>1008</v>
      </c>
      <c r="P29" s="27" t="s">
        <v>41</v>
      </c>
      <c r="Q29" s="27" t="s">
        <v>1025</v>
      </c>
      <c r="R29" s="27" t="s">
        <v>42</v>
      </c>
      <c r="S29" s="30">
        <v>1136.32</v>
      </c>
      <c r="T29" s="27" t="s">
        <v>42</v>
      </c>
      <c r="U29" s="30">
        <v>100000</v>
      </c>
      <c r="V29" s="27" t="s">
        <v>1026</v>
      </c>
      <c r="W29" s="27" t="s">
        <v>1010</v>
      </c>
      <c r="X29" s="27" t="s">
        <v>41</v>
      </c>
      <c r="Y29" s="27" t="s">
        <v>1030</v>
      </c>
      <c r="Z29" s="27" t="s">
        <v>1011</v>
      </c>
      <c r="AA29" s="27"/>
      <c r="AB29" s="27"/>
      <c r="AC29" s="27"/>
      <c r="AD29" s="27" t="e">
        <f>_xlfn.XLOOKUP(M29,'Customer Data Vlookup'!$R:$R,'Customer Data Vlookup'!$S:$S,,0)</f>
        <v>#N/A</v>
      </c>
      <c r="AE29" s="27"/>
      <c r="AF29" s="27"/>
      <c r="AG29" s="27" t="s">
        <v>80</v>
      </c>
      <c r="AH29" s="27" t="s">
        <v>41</v>
      </c>
      <c r="AI29" s="27" t="s">
        <v>41</v>
      </c>
      <c r="AJ29" s="27" t="s">
        <v>41</v>
      </c>
      <c r="AK29" s="28">
        <v>45995</v>
      </c>
      <c r="AL29" s="28"/>
      <c r="AM29" s="27" t="s">
        <v>41</v>
      </c>
    </row>
    <row r="30" spans="1:39" outlineLevel="2" x14ac:dyDescent="0.35">
      <c r="A30" s="1" t="s">
        <v>1016</v>
      </c>
      <c r="B30" s="1" t="s">
        <v>1003</v>
      </c>
      <c r="C30" s="1" t="s">
        <v>1004</v>
      </c>
      <c r="D30" s="1" t="s">
        <v>1005</v>
      </c>
      <c r="E30" s="1" t="s">
        <v>9</v>
      </c>
      <c r="F30" s="1" t="s">
        <v>1024</v>
      </c>
      <c r="G30" s="9">
        <v>45787</v>
      </c>
      <c r="H30" s="27" t="s">
        <v>81</v>
      </c>
      <c r="I30" s="27" t="s">
        <v>5</v>
      </c>
      <c r="J30" s="28">
        <v>45787</v>
      </c>
      <c r="K30" s="28">
        <v>45791</v>
      </c>
      <c r="L30" s="27" t="s">
        <v>1023</v>
      </c>
      <c r="M30" s="29">
        <v>256779413145</v>
      </c>
      <c r="N30" s="27" t="s">
        <v>1007</v>
      </c>
      <c r="O30" s="27" t="s">
        <v>1008</v>
      </c>
      <c r="P30" s="27" t="s">
        <v>41</v>
      </c>
      <c r="Q30" s="27" t="s">
        <v>1025</v>
      </c>
      <c r="R30" s="27" t="s">
        <v>42</v>
      </c>
      <c r="S30" s="30">
        <v>1127.3899999999999</v>
      </c>
      <c r="T30" s="27" t="s">
        <v>42</v>
      </c>
      <c r="U30" s="30">
        <v>35000</v>
      </c>
      <c r="V30" s="27" t="s">
        <v>1026</v>
      </c>
      <c r="W30" s="27" t="s">
        <v>1010</v>
      </c>
      <c r="X30" s="27" t="s">
        <v>41</v>
      </c>
      <c r="Y30" s="27" t="s">
        <v>1023</v>
      </c>
      <c r="Z30" s="27" t="s">
        <v>1011</v>
      </c>
      <c r="AA30" s="27"/>
      <c r="AB30" s="27"/>
      <c r="AC30" s="27"/>
      <c r="AD30" s="27" t="e">
        <f>_xlfn.XLOOKUP(M30,'Customer Data Vlookup'!$R:$R,'Customer Data Vlookup'!$S:$S,,0)</f>
        <v>#N/A</v>
      </c>
      <c r="AE30" s="27"/>
      <c r="AF30" s="27"/>
      <c r="AG30" s="27" t="s">
        <v>68</v>
      </c>
      <c r="AH30" s="27" t="s">
        <v>41</v>
      </c>
      <c r="AI30" s="27" t="s">
        <v>41</v>
      </c>
      <c r="AJ30" s="27" t="s">
        <v>41</v>
      </c>
      <c r="AK30" s="28">
        <v>45787</v>
      </c>
      <c r="AL30" s="28"/>
      <c r="AM30" s="27" t="s">
        <v>41</v>
      </c>
    </row>
    <row r="31" spans="1:39" outlineLevel="2" x14ac:dyDescent="0.35">
      <c r="A31" s="1" t="s">
        <v>1016</v>
      </c>
      <c r="B31" s="1" t="s">
        <v>1003</v>
      </c>
      <c r="C31" s="1" t="s">
        <v>1004</v>
      </c>
      <c r="D31" s="1" t="s">
        <v>1005</v>
      </c>
      <c r="E31" s="1" t="s">
        <v>9</v>
      </c>
      <c r="F31" s="1" t="s">
        <v>1019</v>
      </c>
      <c r="G31" s="9">
        <v>45842</v>
      </c>
      <c r="H31" s="27" t="s">
        <v>83</v>
      </c>
      <c r="I31" s="27" t="s">
        <v>5</v>
      </c>
      <c r="J31" s="28">
        <v>45842</v>
      </c>
      <c r="K31" s="28">
        <v>45847</v>
      </c>
      <c r="L31" s="27" t="s">
        <v>1023</v>
      </c>
      <c r="M31" s="29">
        <v>256779414915</v>
      </c>
      <c r="N31" s="27" t="s">
        <v>1007</v>
      </c>
      <c r="O31" s="27" t="s">
        <v>1008</v>
      </c>
      <c r="P31" s="27" t="s">
        <v>41</v>
      </c>
      <c r="Q31" s="27" t="s">
        <v>1025</v>
      </c>
      <c r="R31" s="27" t="s">
        <v>42</v>
      </c>
      <c r="S31" s="30">
        <v>407.05</v>
      </c>
      <c r="T31" s="27" t="s">
        <v>42</v>
      </c>
      <c r="U31" s="30">
        <v>35000</v>
      </c>
      <c r="V31" s="27" t="s">
        <v>1026</v>
      </c>
      <c r="W31" s="27" t="s">
        <v>1010</v>
      </c>
      <c r="X31" s="27" t="s">
        <v>41</v>
      </c>
      <c r="Y31" s="27" t="s">
        <v>1023</v>
      </c>
      <c r="Z31" s="27" t="s">
        <v>1011</v>
      </c>
      <c r="AA31" s="27"/>
      <c r="AB31" s="27"/>
      <c r="AC31" s="27"/>
      <c r="AD31" s="27" t="e">
        <f>_xlfn.XLOOKUP(M31,'Customer Data Vlookup'!$R:$R,'Customer Data Vlookup'!$S:$S,,0)</f>
        <v>#N/A</v>
      </c>
      <c r="AE31" s="27"/>
      <c r="AF31" s="27"/>
      <c r="AG31" s="27" t="s">
        <v>72</v>
      </c>
      <c r="AH31" s="27" t="s">
        <v>41</v>
      </c>
      <c r="AI31" s="27" t="s">
        <v>41</v>
      </c>
      <c r="AJ31" s="27" t="s">
        <v>41</v>
      </c>
      <c r="AK31" s="28">
        <v>45842</v>
      </c>
      <c r="AL31" s="28"/>
      <c r="AM31" s="27" t="s">
        <v>41</v>
      </c>
    </row>
    <row r="32" spans="1:39" outlineLevel="2" x14ac:dyDescent="0.35">
      <c r="A32" s="1" t="s">
        <v>1016</v>
      </c>
      <c r="B32" s="1" t="s">
        <v>1003</v>
      </c>
      <c r="C32" s="1" t="s">
        <v>1004</v>
      </c>
      <c r="D32" s="1" t="s">
        <v>1005</v>
      </c>
      <c r="E32" s="1" t="s">
        <v>9</v>
      </c>
      <c r="F32" s="1" t="s">
        <v>1014</v>
      </c>
      <c r="G32" s="9">
        <v>45870</v>
      </c>
      <c r="H32" s="27" t="s">
        <v>84</v>
      </c>
      <c r="I32" s="27" t="s">
        <v>5</v>
      </c>
      <c r="J32" s="28">
        <v>45870</v>
      </c>
      <c r="K32" s="28">
        <v>45873</v>
      </c>
      <c r="L32" s="27" t="s">
        <v>1023</v>
      </c>
      <c r="M32" s="29">
        <v>256779416027</v>
      </c>
      <c r="N32" s="27" t="s">
        <v>1007</v>
      </c>
      <c r="O32" s="27" t="s">
        <v>1008</v>
      </c>
      <c r="P32" s="27" t="s">
        <v>41</v>
      </c>
      <c r="Q32" s="27" t="s">
        <v>1025</v>
      </c>
      <c r="R32" s="27" t="s">
        <v>42</v>
      </c>
      <c r="S32" s="30">
        <v>409.4</v>
      </c>
      <c r="T32" s="27" t="s">
        <v>42</v>
      </c>
      <c r="U32" s="30">
        <v>35000</v>
      </c>
      <c r="V32" s="27" t="s">
        <v>1026</v>
      </c>
      <c r="W32" s="27" t="s">
        <v>1010</v>
      </c>
      <c r="X32" s="27" t="s">
        <v>41</v>
      </c>
      <c r="Y32" s="27" t="s">
        <v>1023</v>
      </c>
      <c r="Z32" s="27" t="s">
        <v>1011</v>
      </c>
      <c r="AA32" s="27"/>
      <c r="AB32" s="27"/>
      <c r="AC32" s="27"/>
      <c r="AD32" s="27" t="e">
        <f>_xlfn.XLOOKUP(M32,'Customer Data Vlookup'!$R:$R,'Customer Data Vlookup'!$S:$S,,0)</f>
        <v>#N/A</v>
      </c>
      <c r="AE32" s="27"/>
      <c r="AF32" s="27"/>
      <c r="AG32" s="27" t="s">
        <v>74</v>
      </c>
      <c r="AH32" s="27" t="s">
        <v>41</v>
      </c>
      <c r="AI32" s="27" t="s">
        <v>41</v>
      </c>
      <c r="AJ32" s="27" t="s">
        <v>41</v>
      </c>
      <c r="AK32" s="28">
        <v>45870</v>
      </c>
      <c r="AL32" s="28"/>
      <c r="AM32" s="27" t="s">
        <v>41</v>
      </c>
    </row>
    <row r="33" spans="1:39" outlineLevel="2" x14ac:dyDescent="0.35">
      <c r="A33" s="1" t="s">
        <v>1016</v>
      </c>
      <c r="B33" s="1" t="s">
        <v>1003</v>
      </c>
      <c r="C33" s="1" t="s">
        <v>1004</v>
      </c>
      <c r="D33" s="1" t="s">
        <v>1005</v>
      </c>
      <c r="E33" s="1" t="s">
        <v>9</v>
      </c>
      <c r="F33" s="1" t="s">
        <v>1006</v>
      </c>
      <c r="G33" s="9">
        <v>45904</v>
      </c>
      <c r="H33" s="27" t="s">
        <v>85</v>
      </c>
      <c r="I33" s="27" t="s">
        <v>5</v>
      </c>
      <c r="J33" s="28">
        <v>45904</v>
      </c>
      <c r="K33" s="28">
        <v>45909</v>
      </c>
      <c r="L33" s="27" t="s">
        <v>1023</v>
      </c>
      <c r="M33" s="29">
        <v>256779417347</v>
      </c>
      <c r="N33" s="27" t="s">
        <v>1007</v>
      </c>
      <c r="O33" s="27" t="s">
        <v>1008</v>
      </c>
      <c r="P33" s="27" t="s">
        <v>41</v>
      </c>
      <c r="Q33" s="27" t="s">
        <v>1025</v>
      </c>
      <c r="R33" s="27" t="s">
        <v>42</v>
      </c>
      <c r="S33" s="30">
        <v>443.14511111111108</v>
      </c>
      <c r="T33" s="27" t="s">
        <v>42</v>
      </c>
      <c r="U33" s="30">
        <v>35000</v>
      </c>
      <c r="V33" s="27" t="s">
        <v>1026</v>
      </c>
      <c r="W33" s="27" t="s">
        <v>1010</v>
      </c>
      <c r="X33" s="27" t="s">
        <v>41</v>
      </c>
      <c r="Y33" s="27" t="s">
        <v>1027</v>
      </c>
      <c r="Z33" s="27" t="s">
        <v>1011</v>
      </c>
      <c r="AA33" s="27"/>
      <c r="AB33" s="27"/>
      <c r="AC33" s="27"/>
      <c r="AD33" s="27" t="e">
        <f>_xlfn.XLOOKUP(M33,'Customer Data Vlookup'!$R:$R,'Customer Data Vlookup'!$S:$S,,0)</f>
        <v>#N/A</v>
      </c>
      <c r="AE33" s="27"/>
      <c r="AF33" s="27"/>
      <c r="AG33" s="27" t="s">
        <v>76</v>
      </c>
      <c r="AH33" s="27" t="s">
        <v>41</v>
      </c>
      <c r="AI33" s="27" t="s">
        <v>41</v>
      </c>
      <c r="AJ33" s="27" t="s">
        <v>41</v>
      </c>
      <c r="AK33" s="28">
        <v>45904</v>
      </c>
      <c r="AL33" s="28"/>
      <c r="AM33" s="27" t="s">
        <v>41</v>
      </c>
    </row>
    <row r="34" spans="1:39" outlineLevel="2" x14ac:dyDescent="0.35">
      <c r="A34" s="1" t="s">
        <v>1016</v>
      </c>
      <c r="B34" s="1" t="s">
        <v>1003</v>
      </c>
      <c r="C34" s="1" t="s">
        <v>1004</v>
      </c>
      <c r="D34" s="1" t="s">
        <v>1005</v>
      </c>
      <c r="E34" s="1" t="s">
        <v>9</v>
      </c>
      <c r="F34" s="1" t="s">
        <v>1022</v>
      </c>
      <c r="G34" s="9">
        <v>45966</v>
      </c>
      <c r="H34" s="27" t="s">
        <v>86</v>
      </c>
      <c r="I34" s="27" t="s">
        <v>5</v>
      </c>
      <c r="J34" s="28">
        <v>45966</v>
      </c>
      <c r="K34" s="28">
        <v>45966</v>
      </c>
      <c r="L34" s="27" t="s">
        <v>1023</v>
      </c>
      <c r="M34" s="29">
        <v>256779418776</v>
      </c>
      <c r="N34" s="27" t="s">
        <v>1007</v>
      </c>
      <c r="O34" s="27" t="s">
        <v>1008</v>
      </c>
      <c r="P34" s="27" t="s">
        <v>41</v>
      </c>
      <c r="Q34" s="27" t="s">
        <v>1025</v>
      </c>
      <c r="R34" s="27" t="s">
        <v>42</v>
      </c>
      <c r="S34" s="30">
        <v>442.98888888888888</v>
      </c>
      <c r="T34" s="27" t="s">
        <v>42</v>
      </c>
      <c r="U34" s="30">
        <v>35000</v>
      </c>
      <c r="V34" s="27" t="s">
        <v>1026</v>
      </c>
      <c r="W34" s="27" t="s">
        <v>1010</v>
      </c>
      <c r="X34" s="27" t="s">
        <v>41</v>
      </c>
      <c r="Y34" s="27" t="s">
        <v>1028</v>
      </c>
      <c r="Z34" s="27" t="s">
        <v>1011</v>
      </c>
      <c r="AA34" s="27"/>
      <c r="AB34" s="27"/>
      <c r="AC34" s="27"/>
      <c r="AD34" s="27" t="e">
        <f>_xlfn.XLOOKUP(M34,'Customer Data Vlookup'!$R:$R,'Customer Data Vlookup'!$S:$S,,0)</f>
        <v>#N/A</v>
      </c>
      <c r="AE34" s="27"/>
      <c r="AF34" s="27"/>
      <c r="AG34" s="27" t="s">
        <v>78</v>
      </c>
      <c r="AH34" s="27" t="s">
        <v>41</v>
      </c>
      <c r="AI34" s="27" t="s">
        <v>41</v>
      </c>
      <c r="AJ34" s="27" t="s">
        <v>41</v>
      </c>
      <c r="AK34" s="28">
        <v>45966</v>
      </c>
      <c r="AL34" s="28"/>
      <c r="AM34" s="27" t="s">
        <v>41</v>
      </c>
    </row>
    <row r="35" spans="1:39" outlineLevel="2" x14ac:dyDescent="0.35">
      <c r="A35" s="1" t="s">
        <v>1016</v>
      </c>
      <c r="B35" s="1" t="s">
        <v>1003</v>
      </c>
      <c r="C35" s="1" t="s">
        <v>1004</v>
      </c>
      <c r="D35" s="1" t="s">
        <v>1005</v>
      </c>
      <c r="E35" s="1" t="s">
        <v>9</v>
      </c>
      <c r="F35" s="1" t="s">
        <v>1029</v>
      </c>
      <c r="G35" s="9">
        <v>45995</v>
      </c>
      <c r="H35" s="27" t="s">
        <v>87</v>
      </c>
      <c r="I35" s="27" t="s">
        <v>5</v>
      </c>
      <c r="J35" s="28">
        <v>45995</v>
      </c>
      <c r="K35" s="28">
        <v>46000</v>
      </c>
      <c r="L35" s="27" t="s">
        <v>1023</v>
      </c>
      <c r="M35" s="29">
        <v>256779419969</v>
      </c>
      <c r="N35" s="27" t="s">
        <v>1007</v>
      </c>
      <c r="O35" s="27" t="s">
        <v>1008</v>
      </c>
      <c r="P35" s="27" t="s">
        <v>41</v>
      </c>
      <c r="Q35" s="27" t="s">
        <v>1025</v>
      </c>
      <c r="R35" s="27" t="s">
        <v>42</v>
      </c>
      <c r="S35" s="30">
        <v>399.93</v>
      </c>
      <c r="T35" s="27" t="s">
        <v>42</v>
      </c>
      <c r="U35" s="30">
        <v>35000</v>
      </c>
      <c r="V35" s="27" t="s">
        <v>1026</v>
      </c>
      <c r="W35" s="27" t="s">
        <v>1010</v>
      </c>
      <c r="X35" s="27" t="s">
        <v>41</v>
      </c>
      <c r="Y35" s="27" t="s">
        <v>1030</v>
      </c>
      <c r="Z35" s="27" t="s">
        <v>1011</v>
      </c>
      <c r="AA35" s="27"/>
      <c r="AB35" s="27"/>
      <c r="AC35" s="27"/>
      <c r="AD35" s="27" t="e">
        <f>_xlfn.XLOOKUP(M35,'Customer Data Vlookup'!$R:$R,'Customer Data Vlookup'!$S:$S,,0)</f>
        <v>#N/A</v>
      </c>
      <c r="AE35" s="27"/>
      <c r="AF35" s="27"/>
      <c r="AG35" s="27" t="s">
        <v>88</v>
      </c>
      <c r="AH35" s="27" t="s">
        <v>41</v>
      </c>
      <c r="AI35" s="27" t="s">
        <v>41</v>
      </c>
      <c r="AJ35" s="27" t="s">
        <v>41</v>
      </c>
      <c r="AK35" s="28">
        <v>45995</v>
      </c>
      <c r="AL35" s="28"/>
      <c r="AM35" s="27" t="s">
        <v>41</v>
      </c>
    </row>
    <row r="36" spans="1:39" outlineLevel="2" x14ac:dyDescent="0.35">
      <c r="A36" s="1" t="s">
        <v>1016</v>
      </c>
      <c r="B36" s="1" t="s">
        <v>1003</v>
      </c>
      <c r="C36" s="1" t="s">
        <v>1004</v>
      </c>
      <c r="D36" s="1" t="s">
        <v>1005</v>
      </c>
      <c r="E36" s="1" t="s">
        <v>9</v>
      </c>
      <c r="F36" s="1" t="s">
        <v>1014</v>
      </c>
      <c r="G36" s="9">
        <v>45890</v>
      </c>
      <c r="H36" s="27" t="s">
        <v>89</v>
      </c>
      <c r="I36" s="27" t="s">
        <v>4</v>
      </c>
      <c r="J36" s="28">
        <v>45890</v>
      </c>
      <c r="K36" s="28">
        <v>45890</v>
      </c>
      <c r="L36" s="27" t="s">
        <v>1023</v>
      </c>
      <c r="M36" s="29">
        <v>256779421709</v>
      </c>
      <c r="N36" s="27" t="s">
        <v>1007</v>
      </c>
      <c r="O36" s="27" t="s">
        <v>1008</v>
      </c>
      <c r="P36" s="27" t="s">
        <v>41</v>
      </c>
      <c r="Q36" s="27" t="s">
        <v>1022</v>
      </c>
      <c r="R36" s="27" t="s">
        <v>42</v>
      </c>
      <c r="S36" s="30">
        <v>433.06200000000001</v>
      </c>
      <c r="T36" s="27" t="s">
        <v>42</v>
      </c>
      <c r="U36" s="30">
        <v>-200000</v>
      </c>
      <c r="V36" s="27" t="s">
        <v>1026</v>
      </c>
      <c r="W36" s="27" t="s">
        <v>1010</v>
      </c>
      <c r="X36" s="27" t="s">
        <v>41</v>
      </c>
      <c r="Y36" s="27" t="s">
        <v>1023</v>
      </c>
      <c r="Z36" s="27" t="s">
        <v>1011</v>
      </c>
      <c r="AA36" s="27"/>
      <c r="AB36" s="27"/>
      <c r="AC36" s="27"/>
      <c r="AD36" s="27" t="e">
        <f>_xlfn.XLOOKUP(M36,'Customer Data Vlookup'!$R:$R,'Customer Data Vlookup'!$S:$S,,0)</f>
        <v>#N/A</v>
      </c>
      <c r="AE36" s="27"/>
      <c r="AF36" s="27"/>
      <c r="AG36" s="27" t="s">
        <v>90</v>
      </c>
      <c r="AH36" s="27" t="s">
        <v>41</v>
      </c>
      <c r="AI36" s="27" t="s">
        <v>41</v>
      </c>
      <c r="AJ36" s="27" t="s">
        <v>41</v>
      </c>
      <c r="AK36" s="28">
        <v>45890</v>
      </c>
      <c r="AL36" s="28"/>
      <c r="AM36" s="27" t="s">
        <v>41</v>
      </c>
    </row>
    <row r="37" spans="1:39" outlineLevel="2" x14ac:dyDescent="0.35">
      <c r="A37" s="1" t="s">
        <v>1016</v>
      </c>
      <c r="B37" s="1" t="s">
        <v>1003</v>
      </c>
      <c r="C37" s="1" t="s">
        <v>1004</v>
      </c>
      <c r="D37" s="1" t="s">
        <v>1005</v>
      </c>
      <c r="E37" s="1" t="s">
        <v>9</v>
      </c>
      <c r="F37" s="1" t="s">
        <v>1014</v>
      </c>
      <c r="G37" s="9">
        <v>45883</v>
      </c>
      <c r="H37" s="27" t="s">
        <v>91</v>
      </c>
      <c r="I37" s="27" t="s">
        <v>5</v>
      </c>
      <c r="J37" s="28">
        <v>45883</v>
      </c>
      <c r="K37" s="28">
        <v>45891</v>
      </c>
      <c r="L37" s="27" t="s">
        <v>1023</v>
      </c>
      <c r="M37" s="29">
        <v>256779416887</v>
      </c>
      <c r="N37" s="27" t="s">
        <v>1007</v>
      </c>
      <c r="O37" s="27" t="s">
        <v>1008</v>
      </c>
      <c r="P37" s="27" t="s">
        <v>41</v>
      </c>
      <c r="Q37" s="27" t="s">
        <v>1025</v>
      </c>
      <c r="R37" s="27" t="s">
        <v>42</v>
      </c>
      <c r="S37" s="30">
        <v>429.66466666666662</v>
      </c>
      <c r="T37" s="27" t="s">
        <v>42</v>
      </c>
      <c r="U37" s="30">
        <v>200000</v>
      </c>
      <c r="V37" s="27" t="s">
        <v>1026</v>
      </c>
      <c r="W37" s="27" t="s">
        <v>1010</v>
      </c>
      <c r="X37" s="27" t="s">
        <v>41</v>
      </c>
      <c r="Y37" s="27" t="s">
        <v>1023</v>
      </c>
      <c r="Z37" s="27" t="s">
        <v>1011</v>
      </c>
      <c r="AA37" s="27"/>
      <c r="AB37" s="27"/>
      <c r="AC37" s="27"/>
      <c r="AD37" s="27" t="e">
        <f>_xlfn.XLOOKUP(M37,'Customer Data Vlookup'!$R:$R,'Customer Data Vlookup'!$S:$S,,0)</f>
        <v>#N/A</v>
      </c>
      <c r="AE37" s="27"/>
      <c r="AF37" s="27"/>
      <c r="AG37" s="27" t="s">
        <v>92</v>
      </c>
      <c r="AH37" s="27" t="s">
        <v>41</v>
      </c>
      <c r="AI37" s="27" t="s">
        <v>41</v>
      </c>
      <c r="AJ37" s="27" t="s">
        <v>41</v>
      </c>
      <c r="AK37" s="28">
        <v>45883</v>
      </c>
      <c r="AL37" s="28"/>
      <c r="AM37" s="27" t="s">
        <v>41</v>
      </c>
    </row>
    <row r="38" spans="1:39" outlineLevel="2" x14ac:dyDescent="0.35">
      <c r="A38" s="1" t="s">
        <v>1016</v>
      </c>
      <c r="B38" s="1" t="s">
        <v>1003</v>
      </c>
      <c r="C38" s="1" t="s">
        <v>1004</v>
      </c>
      <c r="D38" s="1" t="s">
        <v>1005</v>
      </c>
      <c r="E38" s="1" t="s">
        <v>9</v>
      </c>
      <c r="F38" s="1" t="s">
        <v>1021</v>
      </c>
      <c r="G38" s="9">
        <v>45733</v>
      </c>
      <c r="H38" s="27" t="s">
        <v>93</v>
      </c>
      <c r="I38" s="27" t="s">
        <v>5</v>
      </c>
      <c r="J38" s="28">
        <v>45733</v>
      </c>
      <c r="K38" s="28">
        <v>45734</v>
      </c>
      <c r="L38" s="27" t="s">
        <v>1023</v>
      </c>
      <c r="M38" s="29">
        <v>246779412116</v>
      </c>
      <c r="N38" s="27" t="s">
        <v>1007</v>
      </c>
      <c r="O38" s="27" t="s">
        <v>1008</v>
      </c>
      <c r="P38" s="27" t="s">
        <v>41</v>
      </c>
      <c r="Q38" s="27" t="s">
        <v>1025</v>
      </c>
      <c r="R38" s="27" t="s">
        <v>46</v>
      </c>
      <c r="S38" s="30">
        <v>100</v>
      </c>
      <c r="T38" s="27" t="s">
        <v>42</v>
      </c>
      <c r="U38" s="30">
        <v>8669.1299999999992</v>
      </c>
      <c r="V38" s="27" t="s">
        <v>1026</v>
      </c>
      <c r="W38" s="27" t="s">
        <v>1010</v>
      </c>
      <c r="X38" s="27" t="s">
        <v>41</v>
      </c>
      <c r="Y38" s="27" t="s">
        <v>1023</v>
      </c>
      <c r="Z38" s="27" t="s">
        <v>1011</v>
      </c>
      <c r="AA38" s="27"/>
      <c r="AB38" s="27"/>
      <c r="AC38" s="27"/>
      <c r="AD38" s="27" t="e">
        <f>_xlfn.XLOOKUP(M38,'Customer Data Vlookup'!$R:$R,'Customer Data Vlookup'!$S:$S,,0)</f>
        <v>#N/A</v>
      </c>
      <c r="AE38" s="27"/>
      <c r="AF38" s="27"/>
      <c r="AG38" s="27" t="s">
        <v>94</v>
      </c>
      <c r="AH38" s="27" t="s">
        <v>41</v>
      </c>
      <c r="AI38" s="27" t="s">
        <v>41</v>
      </c>
      <c r="AJ38" s="27" t="s">
        <v>41</v>
      </c>
      <c r="AK38" s="28">
        <v>45733</v>
      </c>
      <c r="AL38" s="28"/>
      <c r="AM38" s="27" t="s">
        <v>41</v>
      </c>
    </row>
    <row r="39" spans="1:39" outlineLevel="2" x14ac:dyDescent="0.35">
      <c r="A39" s="1" t="s">
        <v>1016</v>
      </c>
      <c r="B39" s="1" t="s">
        <v>1003</v>
      </c>
      <c r="C39" s="1" t="s">
        <v>1004</v>
      </c>
      <c r="D39" s="1" t="s">
        <v>1005</v>
      </c>
      <c r="E39" s="1" t="s">
        <v>9</v>
      </c>
      <c r="F39" s="1" t="s">
        <v>1021</v>
      </c>
      <c r="G39" s="9">
        <v>45733</v>
      </c>
      <c r="H39" s="27" t="s">
        <v>95</v>
      </c>
      <c r="I39" s="27" t="s">
        <v>5</v>
      </c>
      <c r="J39" s="28">
        <v>45733</v>
      </c>
      <c r="K39" s="28">
        <v>45734</v>
      </c>
      <c r="L39" s="27" t="s">
        <v>1023</v>
      </c>
      <c r="M39" s="29">
        <v>246779412119</v>
      </c>
      <c r="N39" s="27" t="s">
        <v>1007</v>
      </c>
      <c r="O39" s="27" t="s">
        <v>1008</v>
      </c>
      <c r="P39" s="27" t="s">
        <v>41</v>
      </c>
      <c r="Q39" s="27" t="s">
        <v>1025</v>
      </c>
      <c r="R39" s="27" t="s">
        <v>46</v>
      </c>
      <c r="S39" s="30">
        <v>100</v>
      </c>
      <c r="T39" s="27" t="s">
        <v>42</v>
      </c>
      <c r="U39" s="30">
        <v>8669.1299999999992</v>
      </c>
      <c r="V39" s="27" t="s">
        <v>1026</v>
      </c>
      <c r="W39" s="27" t="s">
        <v>1010</v>
      </c>
      <c r="X39" s="27" t="s">
        <v>41</v>
      </c>
      <c r="Y39" s="27" t="s">
        <v>1023</v>
      </c>
      <c r="Z39" s="27" t="s">
        <v>1011</v>
      </c>
      <c r="AA39" s="27"/>
      <c r="AB39" s="27"/>
      <c r="AC39" s="27"/>
      <c r="AD39" s="27" t="e">
        <f>_xlfn.XLOOKUP(M39,'Customer Data Vlookup'!$R:$R,'Customer Data Vlookup'!$S:$S,,0)</f>
        <v>#N/A</v>
      </c>
      <c r="AE39" s="27"/>
      <c r="AF39" s="27"/>
      <c r="AG39" s="27" t="s">
        <v>94</v>
      </c>
      <c r="AH39" s="27" t="s">
        <v>41</v>
      </c>
      <c r="AI39" s="27" t="s">
        <v>41</v>
      </c>
      <c r="AJ39" s="27" t="s">
        <v>41</v>
      </c>
      <c r="AK39" s="28">
        <v>45733</v>
      </c>
      <c r="AL39" s="28"/>
      <c r="AM39" s="27" t="s">
        <v>41</v>
      </c>
    </row>
    <row r="40" spans="1:39" outlineLevel="2" x14ac:dyDescent="0.35">
      <c r="A40" s="1" t="s">
        <v>1016</v>
      </c>
      <c r="B40" s="1" t="s">
        <v>1003</v>
      </c>
      <c r="C40" s="1" t="s">
        <v>1004</v>
      </c>
      <c r="D40" s="1" t="s">
        <v>1005</v>
      </c>
      <c r="E40" s="1" t="s">
        <v>9</v>
      </c>
      <c r="F40" s="1" t="s">
        <v>1021</v>
      </c>
      <c r="G40" s="9">
        <v>45733</v>
      </c>
      <c r="H40" s="27" t="s">
        <v>96</v>
      </c>
      <c r="I40" s="27" t="s">
        <v>5</v>
      </c>
      <c r="J40" s="28">
        <v>45733</v>
      </c>
      <c r="K40" s="28">
        <v>45734</v>
      </c>
      <c r="L40" s="27" t="s">
        <v>1023</v>
      </c>
      <c r="M40" s="29">
        <v>246779412121</v>
      </c>
      <c r="N40" s="27" t="s">
        <v>1007</v>
      </c>
      <c r="O40" s="27" t="s">
        <v>1008</v>
      </c>
      <c r="P40" s="27" t="s">
        <v>41</v>
      </c>
      <c r="Q40" s="27" t="s">
        <v>1025</v>
      </c>
      <c r="R40" s="27" t="s">
        <v>46</v>
      </c>
      <c r="S40" s="30">
        <v>100</v>
      </c>
      <c r="T40" s="27" t="s">
        <v>42</v>
      </c>
      <c r="U40" s="30">
        <v>8669.1299999999992</v>
      </c>
      <c r="V40" s="27" t="s">
        <v>1026</v>
      </c>
      <c r="W40" s="27" t="s">
        <v>1010</v>
      </c>
      <c r="X40" s="27" t="s">
        <v>41</v>
      </c>
      <c r="Y40" s="27" t="s">
        <v>1023</v>
      </c>
      <c r="Z40" s="27" t="s">
        <v>1011</v>
      </c>
      <c r="AA40" s="27"/>
      <c r="AB40" s="27"/>
      <c r="AC40" s="27"/>
      <c r="AD40" s="27" t="e">
        <f>_xlfn.XLOOKUP(M40,'Customer Data Vlookup'!$R:$R,'Customer Data Vlookup'!$S:$S,,0)</f>
        <v>#N/A</v>
      </c>
      <c r="AE40" s="27"/>
      <c r="AF40" s="27"/>
      <c r="AG40" s="27" t="s">
        <v>94</v>
      </c>
      <c r="AH40" s="27" t="s">
        <v>41</v>
      </c>
      <c r="AI40" s="27" t="s">
        <v>41</v>
      </c>
      <c r="AJ40" s="27" t="s">
        <v>41</v>
      </c>
      <c r="AK40" s="28">
        <v>45733</v>
      </c>
      <c r="AL40" s="28"/>
      <c r="AM40" s="27" t="s">
        <v>41</v>
      </c>
    </row>
    <row r="41" spans="1:39" outlineLevel="2" x14ac:dyDescent="0.35">
      <c r="A41" s="1" t="s">
        <v>1016</v>
      </c>
      <c r="B41" s="1" t="s">
        <v>1003</v>
      </c>
      <c r="C41" s="1" t="s">
        <v>1004</v>
      </c>
      <c r="D41" s="1" t="s">
        <v>1005</v>
      </c>
      <c r="E41" s="1" t="s">
        <v>9</v>
      </c>
      <c r="F41" s="1" t="s">
        <v>1024</v>
      </c>
      <c r="G41" s="9">
        <v>45787</v>
      </c>
      <c r="H41" s="27" t="s">
        <v>97</v>
      </c>
      <c r="I41" s="27" t="s">
        <v>5</v>
      </c>
      <c r="J41" s="28">
        <v>45787</v>
      </c>
      <c r="K41" s="28">
        <v>45792</v>
      </c>
      <c r="L41" s="27" t="s">
        <v>1023</v>
      </c>
      <c r="M41" s="29">
        <v>256779413231</v>
      </c>
      <c r="N41" s="27" t="s">
        <v>1007</v>
      </c>
      <c r="O41" s="27" t="s">
        <v>1008</v>
      </c>
      <c r="P41" s="27" t="s">
        <v>41</v>
      </c>
      <c r="Q41" s="27" t="s">
        <v>1025</v>
      </c>
      <c r="R41" s="27" t="s">
        <v>46</v>
      </c>
      <c r="S41" s="30">
        <v>100</v>
      </c>
      <c r="T41" s="27" t="s">
        <v>42</v>
      </c>
      <c r="U41" s="30">
        <v>8598.3700000000008</v>
      </c>
      <c r="V41" s="27" t="s">
        <v>1026</v>
      </c>
      <c r="W41" s="27" t="s">
        <v>1010</v>
      </c>
      <c r="X41" s="27" t="s">
        <v>41</v>
      </c>
      <c r="Y41" s="27" t="s">
        <v>1023</v>
      </c>
      <c r="Z41" s="27" t="s">
        <v>1011</v>
      </c>
      <c r="AA41" s="27"/>
      <c r="AB41" s="27"/>
      <c r="AC41" s="27"/>
      <c r="AD41" s="27" t="e">
        <f>_xlfn.XLOOKUP(M41,'Customer Data Vlookup'!$R:$R,'Customer Data Vlookup'!$S:$S,,0)</f>
        <v>#N/A</v>
      </c>
      <c r="AE41" s="27"/>
      <c r="AF41" s="27"/>
      <c r="AG41" s="27" t="s">
        <v>98</v>
      </c>
      <c r="AH41" s="27" t="s">
        <v>41</v>
      </c>
      <c r="AI41" s="27" t="s">
        <v>41</v>
      </c>
      <c r="AJ41" s="27" t="s">
        <v>41</v>
      </c>
      <c r="AK41" s="28">
        <v>45787</v>
      </c>
      <c r="AL41" s="28"/>
      <c r="AM41" s="27" t="s">
        <v>41</v>
      </c>
    </row>
    <row r="42" spans="1:39" outlineLevel="2" x14ac:dyDescent="0.35">
      <c r="A42" s="1" t="s">
        <v>1016</v>
      </c>
      <c r="B42" s="1" t="s">
        <v>1003</v>
      </c>
      <c r="C42" s="1" t="s">
        <v>1004</v>
      </c>
      <c r="D42" s="1" t="s">
        <v>1005</v>
      </c>
      <c r="E42" s="1" t="s">
        <v>9</v>
      </c>
      <c r="F42" s="1" t="s">
        <v>1024</v>
      </c>
      <c r="G42" s="9">
        <v>45797</v>
      </c>
      <c r="H42" s="27" t="s">
        <v>99</v>
      </c>
      <c r="I42" s="27" t="s">
        <v>5</v>
      </c>
      <c r="J42" s="28">
        <v>45797</v>
      </c>
      <c r="K42" s="28">
        <v>45805</v>
      </c>
      <c r="L42" s="27" t="s">
        <v>1023</v>
      </c>
      <c r="M42" s="29">
        <v>256779413841</v>
      </c>
      <c r="N42" s="27" t="s">
        <v>1007</v>
      </c>
      <c r="O42" s="27" t="s">
        <v>1008</v>
      </c>
      <c r="P42" s="27" t="s">
        <v>41</v>
      </c>
      <c r="Q42" s="27" t="s">
        <v>1025</v>
      </c>
      <c r="R42" s="27" t="s">
        <v>46</v>
      </c>
      <c r="S42" s="30">
        <v>100</v>
      </c>
      <c r="T42" s="27" t="s">
        <v>42</v>
      </c>
      <c r="U42" s="30">
        <v>8598.3700000000008</v>
      </c>
      <c r="V42" s="27" t="s">
        <v>1026</v>
      </c>
      <c r="W42" s="27" t="s">
        <v>1010</v>
      </c>
      <c r="X42" s="27" t="s">
        <v>41</v>
      </c>
      <c r="Y42" s="27" t="s">
        <v>41</v>
      </c>
      <c r="Z42" s="27" t="s">
        <v>1011</v>
      </c>
      <c r="AA42" s="27"/>
      <c r="AB42" s="27"/>
      <c r="AC42" s="27"/>
      <c r="AD42" s="27" t="e">
        <f>_xlfn.XLOOKUP(M42,'Customer Data Vlookup'!$R:$R,'Customer Data Vlookup'!$S:$S,,0)</f>
        <v>#N/A</v>
      </c>
      <c r="AE42" s="27"/>
      <c r="AF42" s="27"/>
      <c r="AG42" s="27" t="s">
        <v>100</v>
      </c>
      <c r="AH42" s="27" t="s">
        <v>41</v>
      </c>
      <c r="AI42" s="27" t="s">
        <v>41</v>
      </c>
      <c r="AJ42" s="27" t="s">
        <v>41</v>
      </c>
      <c r="AK42" s="28">
        <v>45797</v>
      </c>
      <c r="AL42" s="28"/>
      <c r="AM42" s="27" t="s">
        <v>41</v>
      </c>
    </row>
    <row r="43" spans="1:39" outlineLevel="2" x14ac:dyDescent="0.35">
      <c r="A43" s="1" t="s">
        <v>1016</v>
      </c>
      <c r="B43" s="1" t="s">
        <v>1003</v>
      </c>
      <c r="C43" s="1" t="s">
        <v>1004</v>
      </c>
      <c r="D43" s="1" t="s">
        <v>1005</v>
      </c>
      <c r="E43" s="1" t="s">
        <v>9</v>
      </c>
      <c r="F43" s="1" t="s">
        <v>1024</v>
      </c>
      <c r="G43" s="9">
        <v>45797</v>
      </c>
      <c r="H43" s="27" t="s">
        <v>101</v>
      </c>
      <c r="I43" s="27" t="s">
        <v>5</v>
      </c>
      <c r="J43" s="28">
        <v>45797</v>
      </c>
      <c r="K43" s="28">
        <v>45805</v>
      </c>
      <c r="L43" s="27" t="s">
        <v>1023</v>
      </c>
      <c r="M43" s="29">
        <v>256779413847</v>
      </c>
      <c r="N43" s="27" t="s">
        <v>1007</v>
      </c>
      <c r="O43" s="27" t="s">
        <v>1008</v>
      </c>
      <c r="P43" s="27" t="s">
        <v>41</v>
      </c>
      <c r="Q43" s="27" t="s">
        <v>1025</v>
      </c>
      <c r="R43" s="27" t="s">
        <v>46</v>
      </c>
      <c r="S43" s="30">
        <v>100</v>
      </c>
      <c r="T43" s="27" t="s">
        <v>42</v>
      </c>
      <c r="U43" s="30">
        <v>8598.3700000000008</v>
      </c>
      <c r="V43" s="27" t="s">
        <v>1026</v>
      </c>
      <c r="W43" s="27" t="s">
        <v>1010</v>
      </c>
      <c r="X43" s="27" t="s">
        <v>41</v>
      </c>
      <c r="Y43" s="27" t="s">
        <v>41</v>
      </c>
      <c r="Z43" s="27" t="s">
        <v>1011</v>
      </c>
      <c r="AA43" s="27"/>
      <c r="AB43" s="27"/>
      <c r="AC43" s="27"/>
      <c r="AD43" s="27" t="e">
        <f>_xlfn.XLOOKUP(M43,'Customer Data Vlookup'!$R:$R,'Customer Data Vlookup'!$S:$S,,0)</f>
        <v>#N/A</v>
      </c>
      <c r="AE43" s="27"/>
      <c r="AF43" s="27"/>
      <c r="AG43" s="27" t="s">
        <v>100</v>
      </c>
      <c r="AH43" s="27" t="s">
        <v>41</v>
      </c>
      <c r="AI43" s="27" t="s">
        <v>41</v>
      </c>
      <c r="AJ43" s="27" t="s">
        <v>41</v>
      </c>
      <c r="AK43" s="28">
        <v>45797</v>
      </c>
      <c r="AL43" s="28"/>
      <c r="AM43" s="27" t="s">
        <v>41</v>
      </c>
    </row>
    <row r="44" spans="1:39" outlineLevel="2" x14ac:dyDescent="0.35">
      <c r="A44" s="1" t="s">
        <v>1016</v>
      </c>
      <c r="B44" s="1" t="s">
        <v>1003</v>
      </c>
      <c r="C44" s="1" t="s">
        <v>1004</v>
      </c>
      <c r="D44" s="1" t="s">
        <v>1005</v>
      </c>
      <c r="E44" s="1" t="s">
        <v>9</v>
      </c>
      <c r="F44" s="1" t="s">
        <v>1024</v>
      </c>
      <c r="G44" s="9">
        <v>45797</v>
      </c>
      <c r="H44" s="27" t="s">
        <v>102</v>
      </c>
      <c r="I44" s="27" t="s">
        <v>5</v>
      </c>
      <c r="J44" s="28">
        <v>45797</v>
      </c>
      <c r="K44" s="28">
        <v>45805</v>
      </c>
      <c r="L44" s="27" t="s">
        <v>1023</v>
      </c>
      <c r="M44" s="29">
        <v>256779413848</v>
      </c>
      <c r="N44" s="27" t="s">
        <v>1007</v>
      </c>
      <c r="O44" s="27" t="s">
        <v>1008</v>
      </c>
      <c r="P44" s="27" t="s">
        <v>41</v>
      </c>
      <c r="Q44" s="27" t="s">
        <v>1025</v>
      </c>
      <c r="R44" s="27" t="s">
        <v>46</v>
      </c>
      <c r="S44" s="30">
        <v>100</v>
      </c>
      <c r="T44" s="27" t="s">
        <v>42</v>
      </c>
      <c r="U44" s="30">
        <v>8598.3700000000008</v>
      </c>
      <c r="V44" s="27" t="s">
        <v>1026</v>
      </c>
      <c r="W44" s="27" t="s">
        <v>1010</v>
      </c>
      <c r="X44" s="27" t="s">
        <v>41</v>
      </c>
      <c r="Y44" s="27" t="s">
        <v>41</v>
      </c>
      <c r="Z44" s="27" t="s">
        <v>1011</v>
      </c>
      <c r="AA44" s="27"/>
      <c r="AB44" s="27"/>
      <c r="AC44" s="27"/>
      <c r="AD44" s="27" t="e">
        <f>_xlfn.XLOOKUP(M44,'Customer Data Vlookup'!$R:$R,'Customer Data Vlookup'!$S:$S,,0)</f>
        <v>#N/A</v>
      </c>
      <c r="AE44" s="27"/>
      <c r="AF44" s="27"/>
      <c r="AG44" s="27" t="s">
        <v>100</v>
      </c>
      <c r="AH44" s="27" t="s">
        <v>41</v>
      </c>
      <c r="AI44" s="27" t="s">
        <v>41</v>
      </c>
      <c r="AJ44" s="27" t="s">
        <v>41</v>
      </c>
      <c r="AK44" s="28">
        <v>45797</v>
      </c>
      <c r="AL44" s="28"/>
      <c r="AM44" s="27" t="s">
        <v>41</v>
      </c>
    </row>
    <row r="45" spans="1:39" outlineLevel="2" x14ac:dyDescent="0.35">
      <c r="A45" s="1" t="s">
        <v>1016</v>
      </c>
      <c r="B45" s="1" t="s">
        <v>1003</v>
      </c>
      <c r="C45" s="1" t="s">
        <v>1004</v>
      </c>
      <c r="D45" s="1" t="s">
        <v>1005</v>
      </c>
      <c r="E45" s="1" t="s">
        <v>9</v>
      </c>
      <c r="F45" s="1" t="s">
        <v>1019</v>
      </c>
      <c r="G45" s="9">
        <v>45863</v>
      </c>
      <c r="H45" s="27" t="s">
        <v>103</v>
      </c>
      <c r="I45" s="27" t="s">
        <v>5</v>
      </c>
      <c r="J45" s="28">
        <v>45863</v>
      </c>
      <c r="K45" s="28">
        <v>45863</v>
      </c>
      <c r="L45" s="27" t="s">
        <v>1023</v>
      </c>
      <c r="M45" s="29">
        <v>256779416012</v>
      </c>
      <c r="N45" s="27" t="s">
        <v>1007</v>
      </c>
      <c r="O45" s="27" t="s">
        <v>1008</v>
      </c>
      <c r="P45" s="27" t="s">
        <v>41</v>
      </c>
      <c r="Q45" s="27" t="s">
        <v>1025</v>
      </c>
      <c r="R45" s="27" t="s">
        <v>46</v>
      </c>
      <c r="S45" s="30">
        <v>100</v>
      </c>
      <c r="T45" s="27" t="s">
        <v>42</v>
      </c>
      <c r="U45" s="30">
        <v>8600.07</v>
      </c>
      <c r="V45" s="27" t="s">
        <v>1026</v>
      </c>
      <c r="W45" s="27" t="s">
        <v>1010</v>
      </c>
      <c r="X45" s="27" t="s">
        <v>41</v>
      </c>
      <c r="Y45" s="27" t="s">
        <v>41</v>
      </c>
      <c r="Z45" s="27" t="s">
        <v>1011</v>
      </c>
      <c r="AA45" s="27"/>
      <c r="AB45" s="27"/>
      <c r="AC45" s="27"/>
      <c r="AD45" s="27" t="e">
        <f>_xlfn.XLOOKUP(M45,'Customer Data Vlookup'!$R:$R,'Customer Data Vlookup'!$S:$S,,0)</f>
        <v>#N/A</v>
      </c>
      <c r="AE45" s="27"/>
      <c r="AF45" s="27"/>
      <c r="AG45" s="27" t="s">
        <v>104</v>
      </c>
      <c r="AH45" s="27" t="s">
        <v>41</v>
      </c>
      <c r="AI45" s="27" t="s">
        <v>41</v>
      </c>
      <c r="AJ45" s="27" t="s">
        <v>41</v>
      </c>
      <c r="AK45" s="28">
        <v>45863</v>
      </c>
      <c r="AL45" s="28"/>
      <c r="AM45" s="27" t="s">
        <v>41</v>
      </c>
    </row>
    <row r="46" spans="1:39" outlineLevel="2" x14ac:dyDescent="0.35">
      <c r="A46" s="1" t="s">
        <v>1002</v>
      </c>
      <c r="B46" s="1" t="s">
        <v>1003</v>
      </c>
      <c r="C46" s="1" t="s">
        <v>1004</v>
      </c>
      <c r="D46" s="1" t="s">
        <v>1005</v>
      </c>
      <c r="E46" s="1" t="s">
        <v>9</v>
      </c>
      <c r="F46" s="1" t="s">
        <v>1021</v>
      </c>
      <c r="G46" s="9">
        <v>45730</v>
      </c>
      <c r="H46" s="27" t="s">
        <v>105</v>
      </c>
      <c r="I46" s="27" t="s">
        <v>5</v>
      </c>
      <c r="J46" s="28">
        <v>45730</v>
      </c>
      <c r="K46" s="28">
        <v>45733</v>
      </c>
      <c r="L46" s="27" t="s">
        <v>1023</v>
      </c>
      <c r="M46" s="29">
        <v>246779411515</v>
      </c>
      <c r="N46" s="27" t="s">
        <v>1007</v>
      </c>
      <c r="O46" s="27" t="s">
        <v>1008</v>
      </c>
      <c r="P46" s="27" t="s">
        <v>41</v>
      </c>
      <c r="Q46" s="27" t="s">
        <v>1025</v>
      </c>
      <c r="R46" s="27" t="s">
        <v>46</v>
      </c>
      <c r="S46" s="30">
        <v>100</v>
      </c>
      <c r="T46" s="27" t="s">
        <v>42</v>
      </c>
      <c r="U46" s="30">
        <v>8669.1299999999992</v>
      </c>
      <c r="V46" s="27" t="s">
        <v>1026</v>
      </c>
      <c r="W46" s="27" t="s">
        <v>1010</v>
      </c>
      <c r="X46" s="27" t="s">
        <v>41</v>
      </c>
      <c r="Y46" s="27" t="s">
        <v>1023</v>
      </c>
      <c r="Z46" s="27" t="s">
        <v>1011</v>
      </c>
      <c r="AA46" s="27"/>
      <c r="AB46" s="27"/>
      <c r="AC46" s="27"/>
      <c r="AD46" s="27" t="e">
        <f>_xlfn.XLOOKUP(M46,'Customer Data Vlookup'!$R:$R,'Customer Data Vlookup'!$S:$S,,0)</f>
        <v>#N/A</v>
      </c>
      <c r="AE46" s="27"/>
      <c r="AF46" s="27"/>
      <c r="AG46" s="27" t="s">
        <v>106</v>
      </c>
      <c r="AH46" s="27" t="s">
        <v>41</v>
      </c>
      <c r="AI46" s="27" t="s">
        <v>41</v>
      </c>
      <c r="AJ46" s="27" t="s">
        <v>41</v>
      </c>
      <c r="AK46" s="28">
        <v>45730</v>
      </c>
      <c r="AL46" s="28">
        <v>45887</v>
      </c>
      <c r="AM46" s="27" t="s">
        <v>45</v>
      </c>
    </row>
    <row r="47" spans="1:39" outlineLevel="2" x14ac:dyDescent="0.35">
      <c r="A47" s="1" t="s">
        <v>1002</v>
      </c>
      <c r="B47" s="1" t="s">
        <v>1003</v>
      </c>
      <c r="C47" s="1" t="s">
        <v>1004</v>
      </c>
      <c r="D47" s="1" t="s">
        <v>1005</v>
      </c>
      <c r="E47" s="1" t="s">
        <v>9</v>
      </c>
      <c r="F47" s="1" t="s">
        <v>1031</v>
      </c>
      <c r="G47" s="9">
        <v>45827</v>
      </c>
      <c r="H47" s="27" t="s">
        <v>107</v>
      </c>
      <c r="I47" s="27" t="s">
        <v>5</v>
      </c>
      <c r="J47" s="28">
        <v>45827</v>
      </c>
      <c r="K47" s="28">
        <v>45829</v>
      </c>
      <c r="L47" s="27" t="s">
        <v>1023</v>
      </c>
      <c r="M47" s="29">
        <v>256779414731</v>
      </c>
      <c r="N47" s="27" t="s">
        <v>1007</v>
      </c>
      <c r="O47" s="27" t="s">
        <v>1008</v>
      </c>
      <c r="P47" s="27" t="s">
        <v>41</v>
      </c>
      <c r="Q47" s="27" t="s">
        <v>1025</v>
      </c>
      <c r="R47" s="27" t="s">
        <v>46</v>
      </c>
      <c r="S47" s="30">
        <v>100</v>
      </c>
      <c r="T47" s="27" t="s">
        <v>42</v>
      </c>
      <c r="U47" s="30">
        <v>8549.08</v>
      </c>
      <c r="V47" s="27" t="s">
        <v>1026</v>
      </c>
      <c r="W47" s="27" t="s">
        <v>1010</v>
      </c>
      <c r="X47" s="27" t="s">
        <v>41</v>
      </c>
      <c r="Y47" s="27" t="s">
        <v>1023</v>
      </c>
      <c r="Z47" s="27" t="s">
        <v>1011</v>
      </c>
      <c r="AA47" s="27"/>
      <c r="AB47" s="27"/>
      <c r="AC47" s="27"/>
      <c r="AD47" s="27" t="e">
        <f>_xlfn.XLOOKUP(M47,'Customer Data Vlookup'!$R:$R,'Customer Data Vlookup'!$S:$S,,0)</f>
        <v>#N/A</v>
      </c>
      <c r="AE47" s="27"/>
      <c r="AF47" s="27"/>
      <c r="AG47" s="27" t="s">
        <v>108</v>
      </c>
      <c r="AH47" s="27" t="s">
        <v>41</v>
      </c>
      <c r="AI47" s="27" t="s">
        <v>41</v>
      </c>
      <c r="AJ47" s="27" t="s">
        <v>41</v>
      </c>
      <c r="AK47" s="28">
        <v>45827</v>
      </c>
      <c r="AL47" s="28">
        <v>45888</v>
      </c>
      <c r="AM47" s="27" t="s">
        <v>56</v>
      </c>
    </row>
    <row r="48" spans="1:39" outlineLevel="2" x14ac:dyDescent="0.35">
      <c r="A48" s="1" t="s">
        <v>1002</v>
      </c>
      <c r="B48" s="1" t="s">
        <v>1003</v>
      </c>
      <c r="C48" s="1" t="s">
        <v>1004</v>
      </c>
      <c r="D48" s="1" t="s">
        <v>1005</v>
      </c>
      <c r="E48" s="1" t="s">
        <v>9</v>
      </c>
      <c r="F48" s="1" t="s">
        <v>1031</v>
      </c>
      <c r="G48" s="9">
        <v>45827</v>
      </c>
      <c r="H48" s="27" t="s">
        <v>109</v>
      </c>
      <c r="I48" s="27" t="s">
        <v>5</v>
      </c>
      <c r="J48" s="28">
        <v>45827</v>
      </c>
      <c r="K48" s="28">
        <v>45829</v>
      </c>
      <c r="L48" s="27" t="s">
        <v>1023</v>
      </c>
      <c r="M48" s="29">
        <v>256779414732</v>
      </c>
      <c r="N48" s="27" t="s">
        <v>1007</v>
      </c>
      <c r="O48" s="27" t="s">
        <v>1008</v>
      </c>
      <c r="P48" s="27" t="s">
        <v>41</v>
      </c>
      <c r="Q48" s="27" t="s">
        <v>1025</v>
      </c>
      <c r="R48" s="27" t="s">
        <v>46</v>
      </c>
      <c r="S48" s="30">
        <v>100</v>
      </c>
      <c r="T48" s="27" t="s">
        <v>42</v>
      </c>
      <c r="U48" s="30">
        <v>8549.08</v>
      </c>
      <c r="V48" s="27" t="s">
        <v>1026</v>
      </c>
      <c r="W48" s="27" t="s">
        <v>1010</v>
      </c>
      <c r="X48" s="27" t="s">
        <v>41</v>
      </c>
      <c r="Y48" s="27" t="s">
        <v>1023</v>
      </c>
      <c r="Z48" s="27" t="s">
        <v>1011</v>
      </c>
      <c r="AA48" s="27"/>
      <c r="AB48" s="27"/>
      <c r="AC48" s="27"/>
      <c r="AD48" s="27" t="e">
        <f>_xlfn.XLOOKUP(M48,'Customer Data Vlookup'!$R:$R,'Customer Data Vlookup'!$S:$S,,0)</f>
        <v>#N/A</v>
      </c>
      <c r="AE48" s="27"/>
      <c r="AF48" s="27"/>
      <c r="AG48" s="27" t="s">
        <v>108</v>
      </c>
      <c r="AH48" s="27" t="s">
        <v>41</v>
      </c>
      <c r="AI48" s="27" t="s">
        <v>41</v>
      </c>
      <c r="AJ48" s="27" t="s">
        <v>41</v>
      </c>
      <c r="AK48" s="28">
        <v>45827</v>
      </c>
      <c r="AL48" s="28">
        <v>45888</v>
      </c>
      <c r="AM48" s="27" t="s">
        <v>56</v>
      </c>
    </row>
    <row r="49" spans="1:39" outlineLevel="2" x14ac:dyDescent="0.35">
      <c r="A49" s="1" t="s">
        <v>1002</v>
      </c>
      <c r="B49" s="1" t="s">
        <v>1003</v>
      </c>
      <c r="C49" s="1" t="s">
        <v>1004</v>
      </c>
      <c r="D49" s="1" t="s">
        <v>1005</v>
      </c>
      <c r="E49" s="1" t="s">
        <v>9</v>
      </c>
      <c r="F49" s="1" t="s">
        <v>1031</v>
      </c>
      <c r="G49" s="9">
        <v>45827</v>
      </c>
      <c r="H49" s="27" t="s">
        <v>110</v>
      </c>
      <c r="I49" s="27" t="s">
        <v>5</v>
      </c>
      <c r="J49" s="28">
        <v>45827</v>
      </c>
      <c r="K49" s="28">
        <v>45829</v>
      </c>
      <c r="L49" s="27" t="s">
        <v>1023</v>
      </c>
      <c r="M49" s="29">
        <v>256779414733</v>
      </c>
      <c r="N49" s="27" t="s">
        <v>1007</v>
      </c>
      <c r="O49" s="27" t="s">
        <v>1008</v>
      </c>
      <c r="P49" s="27" t="s">
        <v>41</v>
      </c>
      <c r="Q49" s="27" t="s">
        <v>1025</v>
      </c>
      <c r="R49" s="27" t="s">
        <v>46</v>
      </c>
      <c r="S49" s="30">
        <v>100</v>
      </c>
      <c r="T49" s="27" t="s">
        <v>42</v>
      </c>
      <c r="U49" s="30">
        <v>8549.08</v>
      </c>
      <c r="V49" s="27" t="s">
        <v>1026</v>
      </c>
      <c r="W49" s="27" t="s">
        <v>1010</v>
      </c>
      <c r="X49" s="27" t="s">
        <v>41</v>
      </c>
      <c r="Y49" s="27" t="s">
        <v>1023</v>
      </c>
      <c r="Z49" s="27" t="s">
        <v>1011</v>
      </c>
      <c r="AA49" s="27"/>
      <c r="AB49" s="27"/>
      <c r="AC49" s="27"/>
      <c r="AD49" s="27" t="e">
        <f>_xlfn.XLOOKUP(M49,'Customer Data Vlookup'!$R:$R,'Customer Data Vlookup'!$S:$S,,0)</f>
        <v>#N/A</v>
      </c>
      <c r="AE49" s="27"/>
      <c r="AF49" s="27"/>
      <c r="AG49" s="27" t="s">
        <v>108</v>
      </c>
      <c r="AH49" s="27" t="s">
        <v>41</v>
      </c>
      <c r="AI49" s="27" t="s">
        <v>41</v>
      </c>
      <c r="AJ49" s="27" t="s">
        <v>41</v>
      </c>
      <c r="AK49" s="28">
        <v>45827</v>
      </c>
      <c r="AL49" s="28">
        <v>45888</v>
      </c>
      <c r="AM49" s="27" t="s">
        <v>56</v>
      </c>
    </row>
    <row r="50" spans="1:39" outlineLevel="2" x14ac:dyDescent="0.35">
      <c r="A50" s="1" t="s">
        <v>1002</v>
      </c>
      <c r="B50" s="1" t="s">
        <v>1003</v>
      </c>
      <c r="C50" s="1" t="s">
        <v>1004</v>
      </c>
      <c r="D50" s="1" t="s">
        <v>1005</v>
      </c>
      <c r="E50" s="1" t="s">
        <v>9</v>
      </c>
      <c r="F50" s="1" t="s">
        <v>1031</v>
      </c>
      <c r="G50" s="9">
        <v>45827</v>
      </c>
      <c r="H50" s="27" t="s">
        <v>111</v>
      </c>
      <c r="I50" s="27" t="s">
        <v>5</v>
      </c>
      <c r="J50" s="28">
        <v>45827</v>
      </c>
      <c r="K50" s="28">
        <v>45829</v>
      </c>
      <c r="L50" s="27" t="s">
        <v>1023</v>
      </c>
      <c r="M50" s="29">
        <v>256779414734</v>
      </c>
      <c r="N50" s="27" t="s">
        <v>1007</v>
      </c>
      <c r="O50" s="27" t="s">
        <v>1008</v>
      </c>
      <c r="P50" s="27" t="s">
        <v>41</v>
      </c>
      <c r="Q50" s="27" t="s">
        <v>1025</v>
      </c>
      <c r="R50" s="27" t="s">
        <v>46</v>
      </c>
      <c r="S50" s="30">
        <v>100</v>
      </c>
      <c r="T50" s="27" t="s">
        <v>42</v>
      </c>
      <c r="U50" s="30">
        <v>8549.08</v>
      </c>
      <c r="V50" s="27" t="s">
        <v>1026</v>
      </c>
      <c r="W50" s="27" t="s">
        <v>1010</v>
      </c>
      <c r="X50" s="27" t="s">
        <v>41</v>
      </c>
      <c r="Y50" s="27" t="s">
        <v>1023</v>
      </c>
      <c r="Z50" s="27" t="s">
        <v>1011</v>
      </c>
      <c r="AA50" s="27"/>
      <c r="AB50" s="27"/>
      <c r="AC50" s="27"/>
      <c r="AD50" s="27" t="e">
        <f>_xlfn.XLOOKUP(M50,'Customer Data Vlookup'!$R:$R,'Customer Data Vlookup'!$S:$S,,0)</f>
        <v>#N/A</v>
      </c>
      <c r="AE50" s="27"/>
      <c r="AF50" s="27"/>
      <c r="AG50" s="27" t="s">
        <v>108</v>
      </c>
      <c r="AH50" s="27" t="s">
        <v>41</v>
      </c>
      <c r="AI50" s="27" t="s">
        <v>41</v>
      </c>
      <c r="AJ50" s="27" t="s">
        <v>41</v>
      </c>
      <c r="AK50" s="28">
        <v>45827</v>
      </c>
      <c r="AL50" s="28">
        <v>45888</v>
      </c>
      <c r="AM50" s="27" t="s">
        <v>56</v>
      </c>
    </row>
    <row r="51" spans="1:39" outlineLevel="2" x14ac:dyDescent="0.35">
      <c r="A51" s="1" t="s">
        <v>1002</v>
      </c>
      <c r="B51" s="1" t="s">
        <v>1003</v>
      </c>
      <c r="C51" s="1" t="s">
        <v>1004</v>
      </c>
      <c r="D51" s="1" t="s">
        <v>1005</v>
      </c>
      <c r="E51" s="1" t="s">
        <v>9</v>
      </c>
      <c r="F51" s="1" t="s">
        <v>1031</v>
      </c>
      <c r="G51" s="9">
        <v>45827</v>
      </c>
      <c r="H51" s="27" t="s">
        <v>112</v>
      </c>
      <c r="I51" s="27" t="s">
        <v>5</v>
      </c>
      <c r="J51" s="28">
        <v>45827</v>
      </c>
      <c r="K51" s="28">
        <v>45829</v>
      </c>
      <c r="L51" s="27" t="s">
        <v>1023</v>
      </c>
      <c r="M51" s="29">
        <v>256779414735</v>
      </c>
      <c r="N51" s="27" t="s">
        <v>1007</v>
      </c>
      <c r="O51" s="27" t="s">
        <v>1008</v>
      </c>
      <c r="P51" s="27" t="s">
        <v>41</v>
      </c>
      <c r="Q51" s="27" t="s">
        <v>1025</v>
      </c>
      <c r="R51" s="27" t="s">
        <v>46</v>
      </c>
      <c r="S51" s="30">
        <v>100</v>
      </c>
      <c r="T51" s="27" t="s">
        <v>42</v>
      </c>
      <c r="U51" s="30">
        <v>8549.08</v>
      </c>
      <c r="V51" s="27" t="s">
        <v>1026</v>
      </c>
      <c r="W51" s="27" t="s">
        <v>1010</v>
      </c>
      <c r="X51" s="27" t="s">
        <v>41</v>
      </c>
      <c r="Y51" s="27" t="s">
        <v>1023</v>
      </c>
      <c r="Z51" s="27" t="s">
        <v>1011</v>
      </c>
      <c r="AA51" s="27"/>
      <c r="AB51" s="27"/>
      <c r="AC51" s="27"/>
      <c r="AD51" s="27" t="e">
        <f>_xlfn.XLOOKUP(M51,'Customer Data Vlookup'!$R:$R,'Customer Data Vlookup'!$S:$S,,0)</f>
        <v>#N/A</v>
      </c>
      <c r="AE51" s="27"/>
      <c r="AF51" s="27"/>
      <c r="AG51" s="27" t="s">
        <v>108</v>
      </c>
      <c r="AH51" s="27" t="s">
        <v>41</v>
      </c>
      <c r="AI51" s="27" t="s">
        <v>41</v>
      </c>
      <c r="AJ51" s="27" t="s">
        <v>41</v>
      </c>
      <c r="AK51" s="28">
        <v>45827</v>
      </c>
      <c r="AL51" s="28">
        <v>45888</v>
      </c>
      <c r="AM51" s="27" t="s">
        <v>56</v>
      </c>
    </row>
    <row r="52" spans="1:39" outlineLevel="2" x14ac:dyDescent="0.35">
      <c r="A52" s="1" t="s">
        <v>1016</v>
      </c>
      <c r="B52" s="1" t="s">
        <v>1003</v>
      </c>
      <c r="C52" s="1" t="s">
        <v>1004</v>
      </c>
      <c r="D52" s="1" t="s">
        <v>1005</v>
      </c>
      <c r="E52" s="1" t="s">
        <v>9</v>
      </c>
      <c r="F52" s="1" t="s">
        <v>1006</v>
      </c>
      <c r="G52" s="9">
        <v>45917</v>
      </c>
      <c r="H52" s="27" t="s">
        <v>113</v>
      </c>
      <c r="I52" s="27" t="s">
        <v>5</v>
      </c>
      <c r="J52" s="28">
        <v>45917</v>
      </c>
      <c r="K52" s="28">
        <v>45922</v>
      </c>
      <c r="L52" s="27" t="s">
        <v>1023</v>
      </c>
      <c r="M52" s="29">
        <v>256779417434</v>
      </c>
      <c r="N52" s="27" t="s">
        <v>1007</v>
      </c>
      <c r="O52" s="27" t="s">
        <v>1008</v>
      </c>
      <c r="P52" s="27" t="s">
        <v>41</v>
      </c>
      <c r="Q52" s="27" t="s">
        <v>1025</v>
      </c>
      <c r="R52" s="27" t="s">
        <v>46</v>
      </c>
      <c r="S52" s="30">
        <v>100</v>
      </c>
      <c r="T52" s="27" t="s">
        <v>42</v>
      </c>
      <c r="U52" s="30">
        <v>8751.43</v>
      </c>
      <c r="V52" s="27" t="s">
        <v>1026</v>
      </c>
      <c r="W52" s="27" t="s">
        <v>1010</v>
      </c>
      <c r="X52" s="27" t="s">
        <v>41</v>
      </c>
      <c r="Y52" s="27" t="s">
        <v>1032</v>
      </c>
      <c r="Z52" s="27" t="s">
        <v>1011</v>
      </c>
      <c r="AA52" s="27"/>
      <c r="AB52" s="27"/>
      <c r="AC52" s="27"/>
      <c r="AD52" s="27" t="e">
        <f>_xlfn.XLOOKUP(M52,'Customer Data Vlookup'!$R:$R,'Customer Data Vlookup'!$S:$S,,0)</f>
        <v>#N/A</v>
      </c>
      <c r="AE52" s="27"/>
      <c r="AF52" s="27"/>
      <c r="AG52" s="27" t="s">
        <v>114</v>
      </c>
      <c r="AH52" s="27" t="s">
        <v>41</v>
      </c>
      <c r="AI52" s="27" t="s">
        <v>41</v>
      </c>
      <c r="AJ52" s="27" t="s">
        <v>41</v>
      </c>
      <c r="AK52" s="28">
        <v>45917</v>
      </c>
      <c r="AL52" s="28"/>
      <c r="AM52" s="27" t="s">
        <v>41</v>
      </c>
    </row>
    <row r="53" spans="1:39" outlineLevel="2" x14ac:dyDescent="0.35">
      <c r="A53" s="1" t="s">
        <v>1016</v>
      </c>
      <c r="B53" s="1" t="s">
        <v>1003</v>
      </c>
      <c r="C53" s="1" t="s">
        <v>1004</v>
      </c>
      <c r="D53" s="1" t="s">
        <v>1005</v>
      </c>
      <c r="E53" s="1" t="s">
        <v>9</v>
      </c>
      <c r="F53" s="1" t="s">
        <v>1017</v>
      </c>
      <c r="G53" s="9">
        <v>45937</v>
      </c>
      <c r="H53" s="27" t="s">
        <v>115</v>
      </c>
      <c r="I53" s="27" t="s">
        <v>5</v>
      </c>
      <c r="J53" s="28">
        <v>45937</v>
      </c>
      <c r="K53" s="28">
        <v>45939</v>
      </c>
      <c r="L53" s="27" t="s">
        <v>1023</v>
      </c>
      <c r="M53" s="29">
        <v>256779418169</v>
      </c>
      <c r="N53" s="27" t="s">
        <v>1007</v>
      </c>
      <c r="O53" s="27" t="s">
        <v>1008</v>
      </c>
      <c r="P53" s="27" t="s">
        <v>41</v>
      </c>
      <c r="Q53" s="27" t="s">
        <v>1025</v>
      </c>
      <c r="R53" s="27" t="s">
        <v>46</v>
      </c>
      <c r="S53" s="30">
        <v>100</v>
      </c>
      <c r="T53" s="27" t="s">
        <v>42</v>
      </c>
      <c r="U53" s="30">
        <v>8819.08</v>
      </c>
      <c r="V53" s="27" t="s">
        <v>1026</v>
      </c>
      <c r="W53" s="27" t="s">
        <v>1010</v>
      </c>
      <c r="X53" s="27" t="s">
        <v>41</v>
      </c>
      <c r="Y53" s="27" t="s">
        <v>1033</v>
      </c>
      <c r="Z53" s="27" t="s">
        <v>1011</v>
      </c>
      <c r="AA53" s="27"/>
      <c r="AB53" s="27"/>
      <c r="AC53" s="27"/>
      <c r="AD53" s="27" t="e">
        <f>_xlfn.XLOOKUP(M53,'Customer Data Vlookup'!$R:$R,'Customer Data Vlookup'!$S:$S,,0)</f>
        <v>#N/A</v>
      </c>
      <c r="AE53" s="27"/>
      <c r="AF53" s="27"/>
      <c r="AG53" s="27" t="s">
        <v>116</v>
      </c>
      <c r="AH53" s="27" t="s">
        <v>41</v>
      </c>
      <c r="AI53" s="27" t="s">
        <v>41</v>
      </c>
      <c r="AJ53" s="27" t="s">
        <v>41</v>
      </c>
      <c r="AK53" s="28">
        <v>45937</v>
      </c>
      <c r="AL53" s="28"/>
      <c r="AM53" s="27" t="s">
        <v>41</v>
      </c>
    </row>
    <row r="54" spans="1:39" outlineLevel="2" x14ac:dyDescent="0.35">
      <c r="A54" s="1" t="s">
        <v>1016</v>
      </c>
      <c r="B54" s="1" t="s">
        <v>1003</v>
      </c>
      <c r="C54" s="1" t="s">
        <v>1004</v>
      </c>
      <c r="D54" s="1" t="s">
        <v>1005</v>
      </c>
      <c r="E54" s="1" t="s">
        <v>9</v>
      </c>
      <c r="F54" s="1" t="s">
        <v>1017</v>
      </c>
      <c r="G54" s="9">
        <v>45937</v>
      </c>
      <c r="H54" s="27" t="s">
        <v>117</v>
      </c>
      <c r="I54" s="27" t="s">
        <v>5</v>
      </c>
      <c r="J54" s="28">
        <v>45937</v>
      </c>
      <c r="K54" s="28">
        <v>45939</v>
      </c>
      <c r="L54" s="27" t="s">
        <v>1023</v>
      </c>
      <c r="M54" s="29">
        <v>256779418170</v>
      </c>
      <c r="N54" s="27" t="s">
        <v>1007</v>
      </c>
      <c r="O54" s="27" t="s">
        <v>1008</v>
      </c>
      <c r="P54" s="27" t="s">
        <v>41</v>
      </c>
      <c r="Q54" s="27" t="s">
        <v>1025</v>
      </c>
      <c r="R54" s="27" t="s">
        <v>46</v>
      </c>
      <c r="S54" s="30">
        <v>100</v>
      </c>
      <c r="T54" s="27" t="s">
        <v>42</v>
      </c>
      <c r="U54" s="30">
        <v>8819.08</v>
      </c>
      <c r="V54" s="27" t="s">
        <v>1026</v>
      </c>
      <c r="W54" s="27" t="s">
        <v>1010</v>
      </c>
      <c r="X54" s="27" t="s">
        <v>41</v>
      </c>
      <c r="Y54" s="27" t="s">
        <v>1033</v>
      </c>
      <c r="Z54" s="27" t="s">
        <v>1011</v>
      </c>
      <c r="AA54" s="27"/>
      <c r="AB54" s="27"/>
      <c r="AC54" s="27"/>
      <c r="AD54" s="27" t="e">
        <f>_xlfn.XLOOKUP(M54,'Customer Data Vlookup'!$R:$R,'Customer Data Vlookup'!$S:$S,,0)</f>
        <v>#N/A</v>
      </c>
      <c r="AE54" s="27"/>
      <c r="AF54" s="27"/>
      <c r="AG54" s="27" t="s">
        <v>116</v>
      </c>
      <c r="AH54" s="27" t="s">
        <v>41</v>
      </c>
      <c r="AI54" s="27" t="s">
        <v>41</v>
      </c>
      <c r="AJ54" s="27" t="s">
        <v>41</v>
      </c>
      <c r="AK54" s="28">
        <v>45937</v>
      </c>
      <c r="AL54" s="28"/>
      <c r="AM54" s="27" t="s">
        <v>41</v>
      </c>
    </row>
    <row r="55" spans="1:39" outlineLevel="2" x14ac:dyDescent="0.35">
      <c r="A55" s="1" t="s">
        <v>1016</v>
      </c>
      <c r="B55" s="1" t="s">
        <v>1003</v>
      </c>
      <c r="C55" s="1" t="s">
        <v>1004</v>
      </c>
      <c r="D55" s="1" t="s">
        <v>1005</v>
      </c>
      <c r="E55" s="1" t="s">
        <v>9</v>
      </c>
      <c r="F55" s="1" t="s">
        <v>1013</v>
      </c>
      <c r="G55" s="9">
        <v>45716</v>
      </c>
      <c r="H55" s="27" t="s">
        <v>118</v>
      </c>
      <c r="I55" s="27" t="s">
        <v>5</v>
      </c>
      <c r="J55" s="28">
        <v>45716</v>
      </c>
      <c r="K55" s="28">
        <v>45716</v>
      </c>
      <c r="L55" s="27" t="s">
        <v>1023</v>
      </c>
      <c r="M55" s="29">
        <v>246779410343</v>
      </c>
      <c r="N55" s="27" t="s">
        <v>1007</v>
      </c>
      <c r="O55" s="27" t="s">
        <v>1008</v>
      </c>
      <c r="P55" s="27" t="s">
        <v>41</v>
      </c>
      <c r="Q55" s="27" t="s">
        <v>1025</v>
      </c>
      <c r="R55" s="27" t="s">
        <v>46</v>
      </c>
      <c r="S55" s="30">
        <v>1700</v>
      </c>
      <c r="T55" s="27" t="s">
        <v>42</v>
      </c>
      <c r="U55" s="30">
        <v>146716.22</v>
      </c>
      <c r="V55" s="27" t="s">
        <v>1026</v>
      </c>
      <c r="W55" s="27" t="s">
        <v>1010</v>
      </c>
      <c r="X55" s="27" t="s">
        <v>41</v>
      </c>
      <c r="Y55" s="27" t="s">
        <v>1023</v>
      </c>
      <c r="Z55" s="27" t="s">
        <v>1011</v>
      </c>
      <c r="AA55" s="27"/>
      <c r="AB55" s="27"/>
      <c r="AC55" s="27"/>
      <c r="AD55" s="27" t="e">
        <f>_xlfn.XLOOKUP(M55,'Customer Data Vlookup'!$R:$R,'Customer Data Vlookup'!$S:$S,,0)</f>
        <v>#N/A</v>
      </c>
      <c r="AE55" s="27"/>
      <c r="AF55" s="27"/>
      <c r="AG55" s="27" t="s">
        <v>119</v>
      </c>
      <c r="AH55" s="27" t="s">
        <v>41</v>
      </c>
      <c r="AI55" s="27" t="s">
        <v>41</v>
      </c>
      <c r="AJ55" s="27" t="s">
        <v>41</v>
      </c>
      <c r="AK55" s="28">
        <v>45716</v>
      </c>
      <c r="AL55" s="28"/>
      <c r="AM55" s="27" t="s">
        <v>41</v>
      </c>
    </row>
    <row r="56" spans="1:39" outlineLevel="2" x14ac:dyDescent="0.35">
      <c r="A56" s="1" t="s">
        <v>1016</v>
      </c>
      <c r="B56" s="1" t="s">
        <v>1003</v>
      </c>
      <c r="C56" s="1" t="s">
        <v>1004</v>
      </c>
      <c r="D56" s="1" t="s">
        <v>1005</v>
      </c>
      <c r="E56" s="1" t="s">
        <v>9</v>
      </c>
      <c r="F56" s="1" t="s">
        <v>1013</v>
      </c>
      <c r="G56" s="9">
        <v>45716</v>
      </c>
      <c r="H56" s="27" t="s">
        <v>120</v>
      </c>
      <c r="I56" s="27" t="s">
        <v>5</v>
      </c>
      <c r="J56" s="28">
        <v>45716</v>
      </c>
      <c r="K56" s="28">
        <v>45716</v>
      </c>
      <c r="L56" s="27" t="s">
        <v>1023</v>
      </c>
      <c r="M56" s="29">
        <v>246779410350</v>
      </c>
      <c r="N56" s="27" t="s">
        <v>1007</v>
      </c>
      <c r="O56" s="27" t="s">
        <v>1008</v>
      </c>
      <c r="P56" s="27" t="s">
        <v>41</v>
      </c>
      <c r="Q56" s="27" t="s">
        <v>1025</v>
      </c>
      <c r="R56" s="27" t="s">
        <v>46</v>
      </c>
      <c r="S56" s="30">
        <v>1750</v>
      </c>
      <c r="T56" s="27" t="s">
        <v>42</v>
      </c>
      <c r="U56" s="30">
        <v>151031.41</v>
      </c>
      <c r="V56" s="27" t="s">
        <v>1026</v>
      </c>
      <c r="W56" s="27" t="s">
        <v>1010</v>
      </c>
      <c r="X56" s="27" t="s">
        <v>41</v>
      </c>
      <c r="Y56" s="27" t="s">
        <v>1023</v>
      </c>
      <c r="Z56" s="27" t="s">
        <v>1011</v>
      </c>
      <c r="AA56" s="27"/>
      <c r="AB56" s="27"/>
      <c r="AC56" s="27"/>
      <c r="AD56" s="27" t="e">
        <f>_xlfn.XLOOKUP(M56,'Customer Data Vlookup'!$R:$R,'Customer Data Vlookup'!$S:$S,,0)</f>
        <v>#N/A</v>
      </c>
      <c r="AE56" s="27"/>
      <c r="AF56" s="27"/>
      <c r="AG56" s="27" t="s">
        <v>119</v>
      </c>
      <c r="AH56" s="27" t="s">
        <v>41</v>
      </c>
      <c r="AI56" s="27" t="s">
        <v>41</v>
      </c>
      <c r="AJ56" s="27" t="s">
        <v>41</v>
      </c>
      <c r="AK56" s="28">
        <v>45716</v>
      </c>
      <c r="AL56" s="28"/>
      <c r="AM56" s="27" t="s">
        <v>41</v>
      </c>
    </row>
    <row r="57" spans="1:39" outlineLevel="2" x14ac:dyDescent="0.35">
      <c r="A57" s="1" t="s">
        <v>1016</v>
      </c>
      <c r="B57" s="1" t="s">
        <v>1003</v>
      </c>
      <c r="C57" s="1" t="s">
        <v>1004</v>
      </c>
      <c r="D57" s="1" t="s">
        <v>1005</v>
      </c>
      <c r="E57" s="1" t="s">
        <v>9</v>
      </c>
      <c r="F57" s="1" t="s">
        <v>1013</v>
      </c>
      <c r="G57" s="9">
        <v>45716</v>
      </c>
      <c r="H57" s="27" t="s">
        <v>121</v>
      </c>
      <c r="I57" s="27" t="s">
        <v>5</v>
      </c>
      <c r="J57" s="28">
        <v>45716</v>
      </c>
      <c r="K57" s="28">
        <v>45716</v>
      </c>
      <c r="L57" s="27" t="s">
        <v>1023</v>
      </c>
      <c r="M57" s="29">
        <v>246779410356</v>
      </c>
      <c r="N57" s="27" t="s">
        <v>1007</v>
      </c>
      <c r="O57" s="27" t="s">
        <v>1008</v>
      </c>
      <c r="P57" s="27" t="s">
        <v>41</v>
      </c>
      <c r="Q57" s="27" t="s">
        <v>1025</v>
      </c>
      <c r="R57" s="27" t="s">
        <v>46</v>
      </c>
      <c r="S57" s="30">
        <v>1750</v>
      </c>
      <c r="T57" s="27" t="s">
        <v>42</v>
      </c>
      <c r="U57" s="30">
        <v>151031.41</v>
      </c>
      <c r="V57" s="27" t="s">
        <v>1026</v>
      </c>
      <c r="W57" s="27" t="s">
        <v>1010</v>
      </c>
      <c r="X57" s="27" t="s">
        <v>41</v>
      </c>
      <c r="Y57" s="27" t="s">
        <v>1023</v>
      </c>
      <c r="Z57" s="27" t="s">
        <v>1011</v>
      </c>
      <c r="AA57" s="27"/>
      <c r="AB57" s="27"/>
      <c r="AC57" s="27"/>
      <c r="AD57" s="27" t="e">
        <f>_xlfn.XLOOKUP(M57,'Customer Data Vlookup'!$R:$R,'Customer Data Vlookup'!$S:$S,,0)</f>
        <v>#N/A</v>
      </c>
      <c r="AE57" s="27"/>
      <c r="AF57" s="27"/>
      <c r="AG57" s="27" t="s">
        <v>119</v>
      </c>
      <c r="AH57" s="27" t="s">
        <v>41</v>
      </c>
      <c r="AI57" s="27" t="s">
        <v>41</v>
      </c>
      <c r="AJ57" s="27" t="s">
        <v>41</v>
      </c>
      <c r="AK57" s="28">
        <v>45716</v>
      </c>
      <c r="AL57" s="28"/>
      <c r="AM57" s="27" t="s">
        <v>41</v>
      </c>
    </row>
    <row r="58" spans="1:39" outlineLevel="2" x14ac:dyDescent="0.35">
      <c r="A58" s="1" t="s">
        <v>1016</v>
      </c>
      <c r="B58" s="1" t="s">
        <v>1003</v>
      </c>
      <c r="C58" s="1" t="s">
        <v>1004</v>
      </c>
      <c r="D58" s="1" t="s">
        <v>1005</v>
      </c>
      <c r="E58" s="1" t="s">
        <v>9</v>
      </c>
      <c r="F58" s="1" t="s">
        <v>1013</v>
      </c>
      <c r="G58" s="9">
        <v>45716</v>
      </c>
      <c r="H58" s="27" t="s">
        <v>122</v>
      </c>
      <c r="I58" s="27" t="s">
        <v>5</v>
      </c>
      <c r="J58" s="28">
        <v>45716</v>
      </c>
      <c r="K58" s="28">
        <v>45716</v>
      </c>
      <c r="L58" s="27" t="s">
        <v>1023</v>
      </c>
      <c r="M58" s="29">
        <v>246779410362</v>
      </c>
      <c r="N58" s="27" t="s">
        <v>1007</v>
      </c>
      <c r="O58" s="27" t="s">
        <v>1008</v>
      </c>
      <c r="P58" s="27" t="s">
        <v>41</v>
      </c>
      <c r="Q58" s="27" t="s">
        <v>1025</v>
      </c>
      <c r="R58" s="27" t="s">
        <v>46</v>
      </c>
      <c r="S58" s="30">
        <v>1700</v>
      </c>
      <c r="T58" s="27" t="s">
        <v>42</v>
      </c>
      <c r="U58" s="30">
        <v>146716.22</v>
      </c>
      <c r="V58" s="27" t="s">
        <v>1026</v>
      </c>
      <c r="W58" s="27" t="s">
        <v>1010</v>
      </c>
      <c r="X58" s="27" t="s">
        <v>41</v>
      </c>
      <c r="Y58" s="27" t="s">
        <v>1023</v>
      </c>
      <c r="Z58" s="27" t="s">
        <v>1011</v>
      </c>
      <c r="AA58" s="27"/>
      <c r="AB58" s="27"/>
      <c r="AC58" s="27"/>
      <c r="AD58" s="27" t="e">
        <f>_xlfn.XLOOKUP(M58,'Customer Data Vlookup'!$R:$R,'Customer Data Vlookup'!$S:$S,,0)</f>
        <v>#N/A</v>
      </c>
      <c r="AE58" s="27"/>
      <c r="AF58" s="27"/>
      <c r="AG58" s="27" t="s">
        <v>119</v>
      </c>
      <c r="AH58" s="27" t="s">
        <v>41</v>
      </c>
      <c r="AI58" s="27" t="s">
        <v>41</v>
      </c>
      <c r="AJ58" s="27" t="s">
        <v>41</v>
      </c>
      <c r="AK58" s="28">
        <v>45716</v>
      </c>
      <c r="AL58" s="28"/>
      <c r="AM58" s="27" t="s">
        <v>41</v>
      </c>
    </row>
    <row r="59" spans="1:39" outlineLevel="2" x14ac:dyDescent="0.35">
      <c r="A59" s="1" t="s">
        <v>1016</v>
      </c>
      <c r="B59" s="1" t="s">
        <v>1003</v>
      </c>
      <c r="C59" s="1" t="s">
        <v>1004</v>
      </c>
      <c r="D59" s="1" t="s">
        <v>1005</v>
      </c>
      <c r="E59" s="1" t="s">
        <v>9</v>
      </c>
      <c r="F59" s="1" t="s">
        <v>1021</v>
      </c>
      <c r="G59" s="9">
        <v>45722</v>
      </c>
      <c r="H59" s="27" t="s">
        <v>123</v>
      </c>
      <c r="I59" s="27" t="s">
        <v>5</v>
      </c>
      <c r="J59" s="28">
        <v>45722</v>
      </c>
      <c r="K59" s="28">
        <v>45722</v>
      </c>
      <c r="L59" s="27" t="s">
        <v>1023</v>
      </c>
      <c r="M59" s="29">
        <v>246779410871</v>
      </c>
      <c r="N59" s="27" t="s">
        <v>1007</v>
      </c>
      <c r="O59" s="27" t="s">
        <v>1008</v>
      </c>
      <c r="P59" s="27" t="s">
        <v>41</v>
      </c>
      <c r="Q59" s="27" t="s">
        <v>1025</v>
      </c>
      <c r="R59" s="27" t="s">
        <v>46</v>
      </c>
      <c r="S59" s="30">
        <v>42.51</v>
      </c>
      <c r="T59" s="27" t="s">
        <v>42</v>
      </c>
      <c r="U59" s="30">
        <v>3685.25</v>
      </c>
      <c r="V59" s="27" t="s">
        <v>1026</v>
      </c>
      <c r="W59" s="27" t="s">
        <v>1010</v>
      </c>
      <c r="X59" s="27" t="s">
        <v>41</v>
      </c>
      <c r="Y59" s="27" t="s">
        <v>1023</v>
      </c>
      <c r="Z59" s="27" t="s">
        <v>1011</v>
      </c>
      <c r="AA59" s="27"/>
      <c r="AB59" s="27"/>
      <c r="AC59" s="27"/>
      <c r="AD59" s="27" t="e">
        <f>_xlfn.XLOOKUP(M59,'Customer Data Vlookup'!$R:$R,'Customer Data Vlookup'!$S:$S,,0)</f>
        <v>#N/A</v>
      </c>
      <c r="AE59" s="27"/>
      <c r="AF59" s="27"/>
      <c r="AG59" s="27" t="s">
        <v>124</v>
      </c>
      <c r="AH59" s="27" t="s">
        <v>41</v>
      </c>
      <c r="AI59" s="27" t="s">
        <v>41</v>
      </c>
      <c r="AJ59" s="27" t="s">
        <v>41</v>
      </c>
      <c r="AK59" s="28">
        <v>45722</v>
      </c>
      <c r="AL59" s="28"/>
      <c r="AM59" s="27" t="s">
        <v>41</v>
      </c>
    </row>
    <row r="60" spans="1:39" outlineLevel="2" x14ac:dyDescent="0.35">
      <c r="A60" s="1" t="s">
        <v>1016</v>
      </c>
      <c r="B60" s="1" t="s">
        <v>1003</v>
      </c>
      <c r="C60" s="1" t="s">
        <v>1004</v>
      </c>
      <c r="D60" s="1" t="s">
        <v>1005</v>
      </c>
      <c r="E60" s="1" t="s">
        <v>9</v>
      </c>
      <c r="F60" s="1" t="s">
        <v>1021</v>
      </c>
      <c r="G60" s="9">
        <v>45722</v>
      </c>
      <c r="H60" s="27" t="s">
        <v>125</v>
      </c>
      <c r="I60" s="27" t="s">
        <v>5</v>
      </c>
      <c r="J60" s="28">
        <v>45722</v>
      </c>
      <c r="K60" s="28">
        <v>45722</v>
      </c>
      <c r="L60" s="27" t="s">
        <v>1023</v>
      </c>
      <c r="M60" s="29">
        <v>246779410893</v>
      </c>
      <c r="N60" s="27" t="s">
        <v>1007</v>
      </c>
      <c r="O60" s="27" t="s">
        <v>1008</v>
      </c>
      <c r="P60" s="27" t="s">
        <v>41</v>
      </c>
      <c r="Q60" s="27" t="s">
        <v>1025</v>
      </c>
      <c r="R60" s="27" t="s">
        <v>46</v>
      </c>
      <c r="S60" s="30">
        <v>177.18</v>
      </c>
      <c r="T60" s="27" t="s">
        <v>42</v>
      </c>
      <c r="U60" s="30">
        <v>15359.96</v>
      </c>
      <c r="V60" s="27" t="s">
        <v>1026</v>
      </c>
      <c r="W60" s="27" t="s">
        <v>1010</v>
      </c>
      <c r="X60" s="27" t="s">
        <v>41</v>
      </c>
      <c r="Y60" s="27" t="s">
        <v>1023</v>
      </c>
      <c r="Z60" s="27" t="s">
        <v>1011</v>
      </c>
      <c r="AA60" s="27"/>
      <c r="AB60" s="27"/>
      <c r="AC60" s="27"/>
      <c r="AD60" s="27" t="e">
        <f>_xlfn.XLOOKUP(M60,'Customer Data Vlookup'!$R:$R,'Customer Data Vlookup'!$S:$S,,0)</f>
        <v>#N/A</v>
      </c>
      <c r="AE60" s="27"/>
      <c r="AF60" s="27"/>
      <c r="AG60" s="27" t="s">
        <v>126</v>
      </c>
      <c r="AH60" s="27" t="s">
        <v>41</v>
      </c>
      <c r="AI60" s="27" t="s">
        <v>41</v>
      </c>
      <c r="AJ60" s="27" t="s">
        <v>41</v>
      </c>
      <c r="AK60" s="28">
        <v>45722</v>
      </c>
      <c r="AL60" s="28"/>
      <c r="AM60" s="27" t="s">
        <v>41</v>
      </c>
    </row>
    <row r="61" spans="1:39" outlineLevel="2" x14ac:dyDescent="0.35">
      <c r="A61" s="1" t="s">
        <v>1016</v>
      </c>
      <c r="B61" s="1" t="s">
        <v>1003</v>
      </c>
      <c r="C61" s="1" t="s">
        <v>1004</v>
      </c>
      <c r="D61" s="1" t="s">
        <v>1005</v>
      </c>
      <c r="E61" s="1" t="s">
        <v>9</v>
      </c>
      <c r="F61" s="1" t="s">
        <v>1017</v>
      </c>
      <c r="G61" s="9">
        <v>45943</v>
      </c>
      <c r="H61" s="27" t="s">
        <v>127</v>
      </c>
      <c r="I61" s="27" t="s">
        <v>4</v>
      </c>
      <c r="J61" s="28">
        <v>45943</v>
      </c>
      <c r="K61" s="28">
        <v>45944</v>
      </c>
      <c r="L61" s="27" t="s">
        <v>1023</v>
      </c>
      <c r="M61" s="29">
        <v>256779421983</v>
      </c>
      <c r="N61" s="27" t="s">
        <v>1007</v>
      </c>
      <c r="O61" s="27" t="s">
        <v>1008</v>
      </c>
      <c r="P61" s="27" t="s">
        <v>41</v>
      </c>
      <c r="Q61" s="27" t="s">
        <v>1022</v>
      </c>
      <c r="R61" s="27" t="s">
        <v>46</v>
      </c>
      <c r="S61" s="30">
        <v>-930.14</v>
      </c>
      <c r="T61" s="27" t="s">
        <v>42</v>
      </c>
      <c r="U61" s="30">
        <v>-82029.759999999995</v>
      </c>
      <c r="V61" s="27" t="s">
        <v>1026</v>
      </c>
      <c r="W61" s="27" t="s">
        <v>1010</v>
      </c>
      <c r="X61" s="27" t="s">
        <v>41</v>
      </c>
      <c r="Y61" s="27" t="s">
        <v>1034</v>
      </c>
      <c r="Z61" s="27" t="s">
        <v>1011</v>
      </c>
      <c r="AA61" s="27"/>
      <c r="AB61" s="27"/>
      <c r="AC61" s="27"/>
      <c r="AD61" s="27" t="e">
        <f>_xlfn.XLOOKUP(M61,'Customer Data Vlookup'!$R:$R,'Customer Data Vlookup'!$S:$S,,0)</f>
        <v>#N/A</v>
      </c>
      <c r="AE61" s="27"/>
      <c r="AF61" s="27"/>
      <c r="AG61" s="27" t="s">
        <v>128</v>
      </c>
      <c r="AH61" s="27" t="s">
        <v>41</v>
      </c>
      <c r="AI61" s="27" t="s">
        <v>41</v>
      </c>
      <c r="AJ61" s="27" t="s">
        <v>41</v>
      </c>
      <c r="AK61" s="28">
        <v>45943</v>
      </c>
      <c r="AL61" s="28"/>
      <c r="AM61" s="27" t="s">
        <v>41</v>
      </c>
    </row>
    <row r="62" spans="1:39" outlineLevel="2" x14ac:dyDescent="0.35">
      <c r="A62" s="1" t="s">
        <v>1016</v>
      </c>
      <c r="B62" s="1" t="s">
        <v>1003</v>
      </c>
      <c r="C62" s="1" t="s">
        <v>1004</v>
      </c>
      <c r="D62" s="1" t="s">
        <v>1005</v>
      </c>
      <c r="E62" s="1" t="s">
        <v>9</v>
      </c>
      <c r="F62" s="1" t="s">
        <v>1021</v>
      </c>
      <c r="G62" s="9">
        <v>45719</v>
      </c>
      <c r="H62" s="27" t="s">
        <v>129</v>
      </c>
      <c r="I62" s="27" t="s">
        <v>5</v>
      </c>
      <c r="J62" s="28">
        <v>45719</v>
      </c>
      <c r="K62" s="28">
        <v>45719</v>
      </c>
      <c r="L62" s="27" t="s">
        <v>1023</v>
      </c>
      <c r="M62" s="29">
        <v>246779410376</v>
      </c>
      <c r="N62" s="27" t="s">
        <v>1007</v>
      </c>
      <c r="O62" s="27" t="s">
        <v>1008</v>
      </c>
      <c r="P62" s="27" t="s">
        <v>41</v>
      </c>
      <c r="Q62" s="27" t="s">
        <v>1025</v>
      </c>
      <c r="R62" s="27" t="s">
        <v>46</v>
      </c>
      <c r="S62" s="30">
        <v>711.35</v>
      </c>
      <c r="T62" s="27" t="s">
        <v>42</v>
      </c>
      <c r="U62" s="30">
        <v>61667.83</v>
      </c>
      <c r="V62" s="27" t="s">
        <v>1026</v>
      </c>
      <c r="W62" s="27" t="s">
        <v>1010</v>
      </c>
      <c r="X62" s="27" t="s">
        <v>41</v>
      </c>
      <c r="Y62" s="27" t="s">
        <v>1023</v>
      </c>
      <c r="Z62" s="27" t="s">
        <v>1011</v>
      </c>
      <c r="AA62" s="27"/>
      <c r="AB62" s="27"/>
      <c r="AC62" s="27"/>
      <c r="AD62" s="27" t="e">
        <f>_xlfn.XLOOKUP(M62,'Customer Data Vlookup'!$R:$R,'Customer Data Vlookup'!$S:$S,,0)</f>
        <v>#N/A</v>
      </c>
      <c r="AE62" s="27"/>
      <c r="AF62" s="27"/>
      <c r="AG62" s="27" t="s">
        <v>130</v>
      </c>
      <c r="AH62" s="27" t="s">
        <v>41</v>
      </c>
      <c r="AI62" s="27" t="s">
        <v>41</v>
      </c>
      <c r="AJ62" s="27" t="s">
        <v>41</v>
      </c>
      <c r="AK62" s="28">
        <v>45719</v>
      </c>
      <c r="AL62" s="28"/>
      <c r="AM62" s="27" t="s">
        <v>41</v>
      </c>
    </row>
    <row r="63" spans="1:39" outlineLevel="2" x14ac:dyDescent="0.35">
      <c r="A63" s="1" t="s">
        <v>1016</v>
      </c>
      <c r="B63" s="1" t="s">
        <v>1003</v>
      </c>
      <c r="C63" s="1" t="s">
        <v>1004</v>
      </c>
      <c r="D63" s="1" t="s">
        <v>1005</v>
      </c>
      <c r="E63" s="1" t="s">
        <v>9</v>
      </c>
      <c r="F63" s="1" t="s">
        <v>1021</v>
      </c>
      <c r="G63" s="9">
        <v>45719</v>
      </c>
      <c r="H63" s="27" t="s">
        <v>131</v>
      </c>
      <c r="I63" s="27" t="s">
        <v>5</v>
      </c>
      <c r="J63" s="28">
        <v>45719</v>
      </c>
      <c r="K63" s="28">
        <v>45719</v>
      </c>
      <c r="L63" s="27" t="s">
        <v>1023</v>
      </c>
      <c r="M63" s="29">
        <v>246779410401</v>
      </c>
      <c r="N63" s="27" t="s">
        <v>1007</v>
      </c>
      <c r="O63" s="27" t="s">
        <v>1008</v>
      </c>
      <c r="P63" s="27" t="s">
        <v>41</v>
      </c>
      <c r="Q63" s="27" t="s">
        <v>1025</v>
      </c>
      <c r="R63" s="27" t="s">
        <v>46</v>
      </c>
      <c r="S63" s="30">
        <v>1298.96</v>
      </c>
      <c r="T63" s="27" t="s">
        <v>42</v>
      </c>
      <c r="U63" s="30">
        <v>112608.48</v>
      </c>
      <c r="V63" s="27" t="s">
        <v>1026</v>
      </c>
      <c r="W63" s="27" t="s">
        <v>1010</v>
      </c>
      <c r="X63" s="27" t="s">
        <v>41</v>
      </c>
      <c r="Y63" s="27" t="s">
        <v>1023</v>
      </c>
      <c r="Z63" s="27" t="s">
        <v>1011</v>
      </c>
      <c r="AA63" s="27"/>
      <c r="AB63" s="27"/>
      <c r="AC63" s="27"/>
      <c r="AD63" s="27" t="e">
        <f>_xlfn.XLOOKUP(M63,'Customer Data Vlookup'!$R:$R,'Customer Data Vlookup'!$S:$S,,0)</f>
        <v>#N/A</v>
      </c>
      <c r="AE63" s="27"/>
      <c r="AF63" s="27"/>
      <c r="AG63" s="27" t="s">
        <v>132</v>
      </c>
      <c r="AH63" s="27" t="s">
        <v>41</v>
      </c>
      <c r="AI63" s="27" t="s">
        <v>41</v>
      </c>
      <c r="AJ63" s="27" t="s">
        <v>41</v>
      </c>
      <c r="AK63" s="28">
        <v>45719</v>
      </c>
      <c r="AL63" s="28"/>
      <c r="AM63" s="27" t="s">
        <v>41</v>
      </c>
    </row>
    <row r="64" spans="1:39" outlineLevel="2" x14ac:dyDescent="0.35">
      <c r="A64" s="1" t="s">
        <v>1016</v>
      </c>
      <c r="B64" s="1" t="s">
        <v>1003</v>
      </c>
      <c r="C64" s="1" t="s">
        <v>1004</v>
      </c>
      <c r="D64" s="1" t="s">
        <v>1005</v>
      </c>
      <c r="E64" s="1" t="s">
        <v>9</v>
      </c>
      <c r="F64" s="1" t="s">
        <v>1021</v>
      </c>
      <c r="G64" s="9">
        <v>45719</v>
      </c>
      <c r="H64" s="27" t="s">
        <v>133</v>
      </c>
      <c r="I64" s="27" t="s">
        <v>5</v>
      </c>
      <c r="J64" s="28">
        <v>45719</v>
      </c>
      <c r="K64" s="28">
        <v>45719</v>
      </c>
      <c r="L64" s="27" t="s">
        <v>1023</v>
      </c>
      <c r="M64" s="29">
        <v>246779410425</v>
      </c>
      <c r="N64" s="27" t="s">
        <v>1007</v>
      </c>
      <c r="O64" s="27" t="s">
        <v>1008</v>
      </c>
      <c r="P64" s="27" t="s">
        <v>41</v>
      </c>
      <c r="Q64" s="27" t="s">
        <v>1025</v>
      </c>
      <c r="R64" s="27" t="s">
        <v>46</v>
      </c>
      <c r="S64" s="30">
        <v>1687.21</v>
      </c>
      <c r="T64" s="27" t="s">
        <v>42</v>
      </c>
      <c r="U64" s="30">
        <v>146266.35999999999</v>
      </c>
      <c r="V64" s="27" t="s">
        <v>1026</v>
      </c>
      <c r="W64" s="27" t="s">
        <v>1010</v>
      </c>
      <c r="X64" s="27" t="s">
        <v>41</v>
      </c>
      <c r="Y64" s="27" t="s">
        <v>1023</v>
      </c>
      <c r="Z64" s="27" t="s">
        <v>1011</v>
      </c>
      <c r="AA64" s="27"/>
      <c r="AB64" s="27"/>
      <c r="AC64" s="27"/>
      <c r="AD64" s="27" t="e">
        <f>_xlfn.XLOOKUP(M64,'Customer Data Vlookup'!$R:$R,'Customer Data Vlookup'!$S:$S,,0)</f>
        <v>#N/A</v>
      </c>
      <c r="AE64" s="27"/>
      <c r="AF64" s="27"/>
      <c r="AG64" s="27" t="s">
        <v>134</v>
      </c>
      <c r="AH64" s="27" t="s">
        <v>41</v>
      </c>
      <c r="AI64" s="27" t="s">
        <v>41</v>
      </c>
      <c r="AJ64" s="27" t="s">
        <v>41</v>
      </c>
      <c r="AK64" s="28">
        <v>45719</v>
      </c>
      <c r="AL64" s="28"/>
      <c r="AM64" s="27" t="s">
        <v>41</v>
      </c>
    </row>
    <row r="65" spans="1:39" outlineLevel="2" x14ac:dyDescent="0.35">
      <c r="A65" s="1" t="s">
        <v>1016</v>
      </c>
      <c r="B65" s="1" t="s">
        <v>1003</v>
      </c>
      <c r="C65" s="1" t="s">
        <v>1004</v>
      </c>
      <c r="D65" s="1" t="s">
        <v>1005</v>
      </c>
      <c r="E65" s="1" t="s">
        <v>9</v>
      </c>
      <c r="F65" s="1" t="s">
        <v>1021</v>
      </c>
      <c r="G65" s="9">
        <v>45733</v>
      </c>
      <c r="H65" s="27" t="s">
        <v>135</v>
      </c>
      <c r="I65" s="27" t="s">
        <v>5</v>
      </c>
      <c r="J65" s="28">
        <v>45733</v>
      </c>
      <c r="K65" s="28">
        <v>45733</v>
      </c>
      <c r="L65" s="27" t="s">
        <v>1023</v>
      </c>
      <c r="M65" s="29">
        <v>246779411621</v>
      </c>
      <c r="N65" s="27" t="s">
        <v>1007</v>
      </c>
      <c r="O65" s="27" t="s">
        <v>1008</v>
      </c>
      <c r="P65" s="27" t="s">
        <v>41</v>
      </c>
      <c r="Q65" s="27" t="s">
        <v>1025</v>
      </c>
      <c r="R65" s="27" t="s">
        <v>46</v>
      </c>
      <c r="S65" s="30">
        <v>444.04</v>
      </c>
      <c r="T65" s="27" t="s">
        <v>42</v>
      </c>
      <c r="U65" s="30">
        <v>38494.39</v>
      </c>
      <c r="V65" s="27" t="s">
        <v>1026</v>
      </c>
      <c r="W65" s="27" t="s">
        <v>1010</v>
      </c>
      <c r="X65" s="27" t="s">
        <v>41</v>
      </c>
      <c r="Y65" s="27" t="s">
        <v>1023</v>
      </c>
      <c r="Z65" s="27" t="s">
        <v>1011</v>
      </c>
      <c r="AA65" s="27"/>
      <c r="AB65" s="27"/>
      <c r="AC65" s="27"/>
      <c r="AD65" s="27" t="e">
        <f>_xlfn.XLOOKUP(M65,'Customer Data Vlookup'!$R:$R,'Customer Data Vlookup'!$S:$S,,0)</f>
        <v>#N/A</v>
      </c>
      <c r="AE65" s="27"/>
      <c r="AF65" s="27"/>
      <c r="AG65" s="27" t="s">
        <v>136</v>
      </c>
      <c r="AH65" s="27" t="s">
        <v>41</v>
      </c>
      <c r="AI65" s="27" t="s">
        <v>41</v>
      </c>
      <c r="AJ65" s="27" t="s">
        <v>41</v>
      </c>
      <c r="AK65" s="28">
        <v>45733</v>
      </c>
      <c r="AL65" s="28"/>
      <c r="AM65" s="27" t="s">
        <v>41</v>
      </c>
    </row>
    <row r="66" spans="1:39" outlineLevel="2" x14ac:dyDescent="0.35">
      <c r="A66" s="1" t="s">
        <v>1016</v>
      </c>
      <c r="B66" s="1" t="s">
        <v>1003</v>
      </c>
      <c r="C66" s="1" t="s">
        <v>1004</v>
      </c>
      <c r="D66" s="1" t="s">
        <v>1005</v>
      </c>
      <c r="E66" s="1" t="s">
        <v>9</v>
      </c>
      <c r="F66" s="1" t="s">
        <v>1021</v>
      </c>
      <c r="G66" s="9">
        <v>45733</v>
      </c>
      <c r="H66" s="27" t="s">
        <v>137</v>
      </c>
      <c r="I66" s="27" t="s">
        <v>5</v>
      </c>
      <c r="J66" s="28">
        <v>45733</v>
      </c>
      <c r="K66" s="28">
        <v>45734</v>
      </c>
      <c r="L66" s="27" t="s">
        <v>1023</v>
      </c>
      <c r="M66" s="29">
        <v>246779411760</v>
      </c>
      <c r="N66" s="27" t="s">
        <v>1007</v>
      </c>
      <c r="O66" s="27" t="s">
        <v>1008</v>
      </c>
      <c r="P66" s="27" t="s">
        <v>41</v>
      </c>
      <c r="Q66" s="27" t="s">
        <v>1025</v>
      </c>
      <c r="R66" s="27" t="s">
        <v>46</v>
      </c>
      <c r="S66" s="30">
        <v>520.16999999999996</v>
      </c>
      <c r="T66" s="27" t="s">
        <v>42</v>
      </c>
      <c r="U66" s="30">
        <v>45094.19</v>
      </c>
      <c r="V66" s="27" t="s">
        <v>1026</v>
      </c>
      <c r="W66" s="27" t="s">
        <v>1010</v>
      </c>
      <c r="X66" s="27" t="s">
        <v>41</v>
      </c>
      <c r="Y66" s="27" t="s">
        <v>1023</v>
      </c>
      <c r="Z66" s="27" t="s">
        <v>1011</v>
      </c>
      <c r="AA66" s="27"/>
      <c r="AB66" s="27"/>
      <c r="AC66" s="27"/>
      <c r="AD66" s="27" t="e">
        <f>_xlfn.XLOOKUP(M66,'Customer Data Vlookup'!$R:$R,'Customer Data Vlookup'!$S:$S,,0)</f>
        <v>#N/A</v>
      </c>
      <c r="AE66" s="27"/>
      <c r="AF66" s="27"/>
      <c r="AG66" s="27" t="s">
        <v>138</v>
      </c>
      <c r="AH66" s="27" t="s">
        <v>41</v>
      </c>
      <c r="AI66" s="27" t="s">
        <v>41</v>
      </c>
      <c r="AJ66" s="27" t="s">
        <v>41</v>
      </c>
      <c r="AK66" s="28">
        <v>45733</v>
      </c>
      <c r="AL66" s="28"/>
      <c r="AM66" s="27" t="s">
        <v>41</v>
      </c>
    </row>
    <row r="67" spans="1:39" outlineLevel="2" x14ac:dyDescent="0.35">
      <c r="A67" s="1" t="s">
        <v>1016</v>
      </c>
      <c r="B67" s="1" t="s">
        <v>1003</v>
      </c>
      <c r="C67" s="1" t="s">
        <v>1004</v>
      </c>
      <c r="D67" s="1" t="s">
        <v>1005</v>
      </c>
      <c r="E67" s="1" t="s">
        <v>9</v>
      </c>
      <c r="F67" s="1" t="s">
        <v>1021</v>
      </c>
      <c r="G67" s="9">
        <v>45733</v>
      </c>
      <c r="H67" s="27" t="s">
        <v>139</v>
      </c>
      <c r="I67" s="27" t="s">
        <v>5</v>
      </c>
      <c r="J67" s="28">
        <v>45733</v>
      </c>
      <c r="K67" s="28">
        <v>45734</v>
      </c>
      <c r="L67" s="27" t="s">
        <v>1023</v>
      </c>
      <c r="M67" s="29">
        <v>246779412066</v>
      </c>
      <c r="N67" s="27" t="s">
        <v>1007</v>
      </c>
      <c r="O67" s="27" t="s">
        <v>1008</v>
      </c>
      <c r="P67" s="27" t="s">
        <v>41</v>
      </c>
      <c r="Q67" s="27" t="s">
        <v>1025</v>
      </c>
      <c r="R67" s="27" t="s">
        <v>46</v>
      </c>
      <c r="S67" s="30">
        <v>66.5</v>
      </c>
      <c r="T67" s="27" t="s">
        <v>42</v>
      </c>
      <c r="U67" s="30">
        <v>5764.97</v>
      </c>
      <c r="V67" s="27" t="s">
        <v>1026</v>
      </c>
      <c r="W67" s="27" t="s">
        <v>1010</v>
      </c>
      <c r="X67" s="27" t="s">
        <v>41</v>
      </c>
      <c r="Y67" s="27" t="s">
        <v>1023</v>
      </c>
      <c r="Z67" s="27" t="s">
        <v>1011</v>
      </c>
      <c r="AA67" s="27"/>
      <c r="AB67" s="27"/>
      <c r="AC67" s="27"/>
      <c r="AD67" s="27" t="e">
        <f>_xlfn.XLOOKUP(M67,'Customer Data Vlookup'!$R:$R,'Customer Data Vlookup'!$S:$S,,0)</f>
        <v>#N/A</v>
      </c>
      <c r="AE67" s="27"/>
      <c r="AF67" s="27"/>
      <c r="AG67" s="27" t="s">
        <v>140</v>
      </c>
      <c r="AH67" s="27" t="s">
        <v>41</v>
      </c>
      <c r="AI67" s="27" t="s">
        <v>41</v>
      </c>
      <c r="AJ67" s="27" t="s">
        <v>41</v>
      </c>
      <c r="AK67" s="28">
        <v>45733</v>
      </c>
      <c r="AL67" s="28"/>
      <c r="AM67" s="27" t="s">
        <v>41</v>
      </c>
    </row>
    <row r="68" spans="1:39" outlineLevel="2" x14ac:dyDescent="0.35">
      <c r="A68" s="1" t="s">
        <v>1016</v>
      </c>
      <c r="B68" s="1" t="s">
        <v>1003</v>
      </c>
      <c r="C68" s="1" t="s">
        <v>1004</v>
      </c>
      <c r="D68" s="1" t="s">
        <v>1005</v>
      </c>
      <c r="E68" s="1" t="s">
        <v>9</v>
      </c>
      <c r="F68" s="1" t="s">
        <v>1021</v>
      </c>
      <c r="G68" s="9">
        <v>45733</v>
      </c>
      <c r="H68" s="27" t="s">
        <v>141</v>
      </c>
      <c r="I68" s="27" t="s">
        <v>5</v>
      </c>
      <c r="J68" s="28">
        <v>45733</v>
      </c>
      <c r="K68" s="28">
        <v>45734</v>
      </c>
      <c r="L68" s="27" t="s">
        <v>1023</v>
      </c>
      <c r="M68" s="29">
        <v>246779411937</v>
      </c>
      <c r="N68" s="27" t="s">
        <v>1007</v>
      </c>
      <c r="O68" s="27" t="s">
        <v>1008</v>
      </c>
      <c r="P68" s="27" t="s">
        <v>41</v>
      </c>
      <c r="Q68" s="27" t="s">
        <v>1025</v>
      </c>
      <c r="R68" s="27" t="s">
        <v>46</v>
      </c>
      <c r="S68" s="30">
        <v>7.27</v>
      </c>
      <c r="T68" s="27" t="s">
        <v>42</v>
      </c>
      <c r="U68" s="30">
        <v>630.25</v>
      </c>
      <c r="V68" s="27" t="s">
        <v>1026</v>
      </c>
      <c r="W68" s="27" t="s">
        <v>1010</v>
      </c>
      <c r="X68" s="27" t="s">
        <v>41</v>
      </c>
      <c r="Y68" s="27" t="s">
        <v>1023</v>
      </c>
      <c r="Z68" s="27" t="s">
        <v>1011</v>
      </c>
      <c r="AA68" s="27"/>
      <c r="AB68" s="27"/>
      <c r="AC68" s="27"/>
      <c r="AD68" s="27" t="e">
        <f>_xlfn.XLOOKUP(M68,'Customer Data Vlookup'!$R:$R,'Customer Data Vlookup'!$S:$S,,0)</f>
        <v>#N/A</v>
      </c>
      <c r="AE68" s="27"/>
      <c r="AF68" s="27"/>
      <c r="AG68" s="27" t="s">
        <v>142</v>
      </c>
      <c r="AH68" s="27" t="s">
        <v>41</v>
      </c>
      <c r="AI68" s="27" t="s">
        <v>41</v>
      </c>
      <c r="AJ68" s="27" t="s">
        <v>41</v>
      </c>
      <c r="AK68" s="28">
        <v>45733</v>
      </c>
      <c r="AL68" s="28"/>
      <c r="AM68" s="27" t="s">
        <v>41</v>
      </c>
    </row>
    <row r="69" spans="1:39" outlineLevel="2" x14ac:dyDescent="0.35">
      <c r="A69" s="1" t="s">
        <v>1016</v>
      </c>
      <c r="B69" s="1" t="s">
        <v>1003</v>
      </c>
      <c r="C69" s="1" t="s">
        <v>1004</v>
      </c>
      <c r="D69" s="1" t="s">
        <v>1005</v>
      </c>
      <c r="E69" s="1" t="s">
        <v>9</v>
      </c>
      <c r="F69" s="1" t="s">
        <v>1021</v>
      </c>
      <c r="G69" s="9">
        <v>45733</v>
      </c>
      <c r="H69" s="27" t="s">
        <v>143</v>
      </c>
      <c r="I69" s="27" t="s">
        <v>5</v>
      </c>
      <c r="J69" s="28">
        <v>45733</v>
      </c>
      <c r="K69" s="28">
        <v>45734</v>
      </c>
      <c r="L69" s="27" t="s">
        <v>1023</v>
      </c>
      <c r="M69" s="29">
        <v>246779411938</v>
      </c>
      <c r="N69" s="27" t="s">
        <v>1007</v>
      </c>
      <c r="O69" s="27" t="s">
        <v>1008</v>
      </c>
      <c r="P69" s="27" t="s">
        <v>41</v>
      </c>
      <c r="Q69" s="27" t="s">
        <v>1025</v>
      </c>
      <c r="R69" s="27" t="s">
        <v>46</v>
      </c>
      <c r="S69" s="30">
        <v>53.26</v>
      </c>
      <c r="T69" s="27" t="s">
        <v>42</v>
      </c>
      <c r="U69" s="30">
        <v>4617.18</v>
      </c>
      <c r="V69" s="27" t="s">
        <v>1026</v>
      </c>
      <c r="W69" s="27" t="s">
        <v>1010</v>
      </c>
      <c r="X69" s="27" t="s">
        <v>41</v>
      </c>
      <c r="Y69" s="27" t="s">
        <v>1023</v>
      </c>
      <c r="Z69" s="27" t="s">
        <v>1011</v>
      </c>
      <c r="AA69" s="27"/>
      <c r="AB69" s="27"/>
      <c r="AC69" s="27"/>
      <c r="AD69" s="27" t="e">
        <f>_xlfn.XLOOKUP(M69,'Customer Data Vlookup'!$R:$R,'Customer Data Vlookup'!$S:$S,,0)</f>
        <v>#N/A</v>
      </c>
      <c r="AE69" s="27"/>
      <c r="AF69" s="27"/>
      <c r="AG69" s="27" t="s">
        <v>142</v>
      </c>
      <c r="AH69" s="27" t="s">
        <v>41</v>
      </c>
      <c r="AI69" s="27" t="s">
        <v>41</v>
      </c>
      <c r="AJ69" s="27" t="s">
        <v>41</v>
      </c>
      <c r="AK69" s="28">
        <v>45733</v>
      </c>
      <c r="AL69" s="28"/>
      <c r="AM69" s="27" t="s">
        <v>41</v>
      </c>
    </row>
    <row r="70" spans="1:39" outlineLevel="2" x14ac:dyDescent="0.35">
      <c r="A70" s="1" t="s">
        <v>1016</v>
      </c>
      <c r="B70" s="1" t="s">
        <v>1003</v>
      </c>
      <c r="C70" s="1" t="s">
        <v>1004</v>
      </c>
      <c r="D70" s="1" t="s">
        <v>1005</v>
      </c>
      <c r="E70" s="1" t="s">
        <v>9</v>
      </c>
      <c r="F70" s="1" t="s">
        <v>1021</v>
      </c>
      <c r="G70" s="9">
        <v>45733</v>
      </c>
      <c r="H70" s="27" t="s">
        <v>144</v>
      </c>
      <c r="I70" s="27" t="s">
        <v>5</v>
      </c>
      <c r="J70" s="28">
        <v>45733</v>
      </c>
      <c r="K70" s="28">
        <v>45734</v>
      </c>
      <c r="L70" s="27" t="s">
        <v>1023</v>
      </c>
      <c r="M70" s="29">
        <v>246779411939</v>
      </c>
      <c r="N70" s="27" t="s">
        <v>1007</v>
      </c>
      <c r="O70" s="27" t="s">
        <v>1008</v>
      </c>
      <c r="P70" s="27" t="s">
        <v>41</v>
      </c>
      <c r="Q70" s="27" t="s">
        <v>1025</v>
      </c>
      <c r="R70" s="27" t="s">
        <v>46</v>
      </c>
      <c r="S70" s="30">
        <v>23.08</v>
      </c>
      <c r="T70" s="27" t="s">
        <v>42</v>
      </c>
      <c r="U70" s="30">
        <v>2000.83</v>
      </c>
      <c r="V70" s="27" t="s">
        <v>1026</v>
      </c>
      <c r="W70" s="27" t="s">
        <v>1010</v>
      </c>
      <c r="X70" s="27" t="s">
        <v>41</v>
      </c>
      <c r="Y70" s="27" t="s">
        <v>1023</v>
      </c>
      <c r="Z70" s="27" t="s">
        <v>1011</v>
      </c>
      <c r="AA70" s="27"/>
      <c r="AB70" s="27"/>
      <c r="AC70" s="27"/>
      <c r="AD70" s="27" t="e">
        <f>_xlfn.XLOOKUP(M70,'Customer Data Vlookup'!$R:$R,'Customer Data Vlookup'!$S:$S,,0)</f>
        <v>#N/A</v>
      </c>
      <c r="AE70" s="27"/>
      <c r="AF70" s="27"/>
      <c r="AG70" s="27" t="s">
        <v>142</v>
      </c>
      <c r="AH70" s="27" t="s">
        <v>41</v>
      </c>
      <c r="AI70" s="27" t="s">
        <v>41</v>
      </c>
      <c r="AJ70" s="27" t="s">
        <v>41</v>
      </c>
      <c r="AK70" s="28">
        <v>45733</v>
      </c>
      <c r="AL70" s="28"/>
      <c r="AM70" s="27" t="s">
        <v>41</v>
      </c>
    </row>
    <row r="71" spans="1:39" outlineLevel="2" x14ac:dyDescent="0.35">
      <c r="A71" s="1" t="s">
        <v>1016</v>
      </c>
      <c r="B71" s="1" t="s">
        <v>1003</v>
      </c>
      <c r="C71" s="1" t="s">
        <v>1004</v>
      </c>
      <c r="D71" s="1" t="s">
        <v>1005</v>
      </c>
      <c r="E71" s="1" t="s">
        <v>9</v>
      </c>
      <c r="F71" s="1" t="s">
        <v>1021</v>
      </c>
      <c r="G71" s="9">
        <v>45733</v>
      </c>
      <c r="H71" s="27" t="s">
        <v>145</v>
      </c>
      <c r="I71" s="27" t="s">
        <v>5</v>
      </c>
      <c r="J71" s="28">
        <v>45733</v>
      </c>
      <c r="K71" s="28">
        <v>45734</v>
      </c>
      <c r="L71" s="27" t="s">
        <v>1023</v>
      </c>
      <c r="M71" s="29">
        <v>246779411940</v>
      </c>
      <c r="N71" s="27" t="s">
        <v>1007</v>
      </c>
      <c r="O71" s="27" t="s">
        <v>1008</v>
      </c>
      <c r="P71" s="27" t="s">
        <v>41</v>
      </c>
      <c r="Q71" s="27" t="s">
        <v>1025</v>
      </c>
      <c r="R71" s="27" t="s">
        <v>46</v>
      </c>
      <c r="S71" s="30">
        <v>52.73</v>
      </c>
      <c r="T71" s="27" t="s">
        <v>42</v>
      </c>
      <c r="U71" s="30">
        <v>4571.2299999999996</v>
      </c>
      <c r="V71" s="27" t="s">
        <v>1026</v>
      </c>
      <c r="W71" s="27" t="s">
        <v>1010</v>
      </c>
      <c r="X71" s="27" t="s">
        <v>41</v>
      </c>
      <c r="Y71" s="27" t="s">
        <v>1023</v>
      </c>
      <c r="Z71" s="27" t="s">
        <v>1011</v>
      </c>
      <c r="AA71" s="27"/>
      <c r="AB71" s="27"/>
      <c r="AC71" s="27"/>
      <c r="AD71" s="27" t="e">
        <f>_xlfn.XLOOKUP(M71,'Customer Data Vlookup'!$R:$R,'Customer Data Vlookup'!$S:$S,,0)</f>
        <v>#N/A</v>
      </c>
      <c r="AE71" s="27"/>
      <c r="AF71" s="27"/>
      <c r="AG71" s="27" t="s">
        <v>142</v>
      </c>
      <c r="AH71" s="27" t="s">
        <v>41</v>
      </c>
      <c r="AI71" s="27" t="s">
        <v>41</v>
      </c>
      <c r="AJ71" s="27" t="s">
        <v>41</v>
      </c>
      <c r="AK71" s="28">
        <v>45733</v>
      </c>
      <c r="AL71" s="28"/>
      <c r="AM71" s="27" t="s">
        <v>41</v>
      </c>
    </row>
    <row r="72" spans="1:39" outlineLevel="2" x14ac:dyDescent="0.35">
      <c r="A72" s="1" t="s">
        <v>1016</v>
      </c>
      <c r="B72" s="1" t="s">
        <v>1003</v>
      </c>
      <c r="C72" s="1" t="s">
        <v>1004</v>
      </c>
      <c r="D72" s="1" t="s">
        <v>1005</v>
      </c>
      <c r="E72" s="1" t="s">
        <v>9</v>
      </c>
      <c r="F72" s="1" t="s">
        <v>1021</v>
      </c>
      <c r="G72" s="9">
        <v>45733</v>
      </c>
      <c r="H72" s="27" t="s">
        <v>146</v>
      </c>
      <c r="I72" s="27" t="s">
        <v>5</v>
      </c>
      <c r="J72" s="28">
        <v>45733</v>
      </c>
      <c r="K72" s="28">
        <v>45734</v>
      </c>
      <c r="L72" s="27" t="s">
        <v>1023</v>
      </c>
      <c r="M72" s="29">
        <v>246779411941</v>
      </c>
      <c r="N72" s="27" t="s">
        <v>1007</v>
      </c>
      <c r="O72" s="27" t="s">
        <v>1008</v>
      </c>
      <c r="P72" s="27" t="s">
        <v>41</v>
      </c>
      <c r="Q72" s="27" t="s">
        <v>1025</v>
      </c>
      <c r="R72" s="27" t="s">
        <v>46</v>
      </c>
      <c r="S72" s="30">
        <v>76.02</v>
      </c>
      <c r="T72" s="27" t="s">
        <v>42</v>
      </c>
      <c r="U72" s="30">
        <v>6590.27</v>
      </c>
      <c r="V72" s="27" t="s">
        <v>1026</v>
      </c>
      <c r="W72" s="27" t="s">
        <v>1010</v>
      </c>
      <c r="X72" s="27" t="s">
        <v>41</v>
      </c>
      <c r="Y72" s="27" t="s">
        <v>1023</v>
      </c>
      <c r="Z72" s="27" t="s">
        <v>1011</v>
      </c>
      <c r="AA72" s="27"/>
      <c r="AB72" s="27"/>
      <c r="AC72" s="27"/>
      <c r="AD72" s="27" t="e">
        <f>_xlfn.XLOOKUP(M72,'Customer Data Vlookup'!$R:$R,'Customer Data Vlookup'!$S:$S,,0)</f>
        <v>#N/A</v>
      </c>
      <c r="AE72" s="27"/>
      <c r="AF72" s="27"/>
      <c r="AG72" s="27" t="s">
        <v>142</v>
      </c>
      <c r="AH72" s="27" t="s">
        <v>41</v>
      </c>
      <c r="AI72" s="27" t="s">
        <v>41</v>
      </c>
      <c r="AJ72" s="27" t="s">
        <v>41</v>
      </c>
      <c r="AK72" s="28">
        <v>45733</v>
      </c>
      <c r="AL72" s="28"/>
      <c r="AM72" s="27" t="s">
        <v>41</v>
      </c>
    </row>
    <row r="73" spans="1:39" outlineLevel="2" x14ac:dyDescent="0.35">
      <c r="A73" s="1" t="s">
        <v>1002</v>
      </c>
      <c r="B73" s="1" t="s">
        <v>1003</v>
      </c>
      <c r="C73" s="1" t="s">
        <v>1004</v>
      </c>
      <c r="D73" s="1" t="s">
        <v>1005</v>
      </c>
      <c r="E73" s="1" t="s">
        <v>9</v>
      </c>
      <c r="F73" s="1" t="s">
        <v>1015</v>
      </c>
      <c r="G73" s="9">
        <v>45762</v>
      </c>
      <c r="H73" s="27" t="s">
        <v>147</v>
      </c>
      <c r="I73" s="27" t="s">
        <v>5</v>
      </c>
      <c r="J73" s="28">
        <v>45762</v>
      </c>
      <c r="K73" s="28">
        <v>45763</v>
      </c>
      <c r="L73" s="27" t="s">
        <v>1023</v>
      </c>
      <c r="M73" s="29">
        <v>256779411152</v>
      </c>
      <c r="N73" s="27" t="s">
        <v>1007</v>
      </c>
      <c r="O73" s="27" t="s">
        <v>1008</v>
      </c>
      <c r="P73" s="27" t="s">
        <v>41</v>
      </c>
      <c r="Q73" s="27" t="s">
        <v>1025</v>
      </c>
      <c r="R73" s="27" t="s">
        <v>46</v>
      </c>
      <c r="S73" s="30">
        <v>164.38</v>
      </c>
      <c r="T73" s="27" t="s">
        <v>42</v>
      </c>
      <c r="U73" s="30">
        <v>14288.21</v>
      </c>
      <c r="V73" s="27" t="s">
        <v>1026</v>
      </c>
      <c r="W73" s="27" t="s">
        <v>41</v>
      </c>
      <c r="X73" s="27" t="s">
        <v>41</v>
      </c>
      <c r="Y73" s="27" t="s">
        <v>1023</v>
      </c>
      <c r="Z73" s="27" t="s">
        <v>1011</v>
      </c>
      <c r="AA73" s="27"/>
      <c r="AB73" s="27"/>
      <c r="AC73" s="27"/>
      <c r="AD73" s="27" t="e">
        <f>_xlfn.XLOOKUP(M73,'Customer Data Vlookup'!$R:$R,'Customer Data Vlookup'!$S:$S,,0)</f>
        <v>#N/A</v>
      </c>
      <c r="AE73" s="27"/>
      <c r="AF73" s="27"/>
      <c r="AG73" s="27" t="s">
        <v>148</v>
      </c>
      <c r="AH73" s="27" t="s">
        <v>41</v>
      </c>
      <c r="AI73" s="27" t="s">
        <v>41</v>
      </c>
      <c r="AJ73" s="27" t="s">
        <v>41</v>
      </c>
      <c r="AK73" s="28">
        <v>45762</v>
      </c>
      <c r="AL73" s="28">
        <v>45887</v>
      </c>
      <c r="AM73" s="27" t="s">
        <v>45</v>
      </c>
    </row>
    <row r="74" spans="1:39" outlineLevel="2" x14ac:dyDescent="0.35">
      <c r="A74" s="1" t="s">
        <v>1002</v>
      </c>
      <c r="B74" s="1" t="s">
        <v>1003</v>
      </c>
      <c r="C74" s="1" t="s">
        <v>1004</v>
      </c>
      <c r="D74" s="1" t="s">
        <v>1005</v>
      </c>
      <c r="E74" s="1" t="s">
        <v>9</v>
      </c>
      <c r="F74" s="1" t="s">
        <v>1015</v>
      </c>
      <c r="G74" s="9">
        <v>45762</v>
      </c>
      <c r="H74" s="27" t="s">
        <v>149</v>
      </c>
      <c r="I74" s="27" t="s">
        <v>5</v>
      </c>
      <c r="J74" s="28">
        <v>45762</v>
      </c>
      <c r="K74" s="28">
        <v>45763</v>
      </c>
      <c r="L74" s="27" t="s">
        <v>1023</v>
      </c>
      <c r="M74" s="29">
        <v>256779411153</v>
      </c>
      <c r="N74" s="27" t="s">
        <v>1007</v>
      </c>
      <c r="O74" s="27" t="s">
        <v>1008</v>
      </c>
      <c r="P74" s="27" t="s">
        <v>41</v>
      </c>
      <c r="Q74" s="27" t="s">
        <v>1025</v>
      </c>
      <c r="R74" s="27" t="s">
        <v>46</v>
      </c>
      <c r="S74" s="30">
        <v>26.54</v>
      </c>
      <c r="T74" s="27" t="s">
        <v>42</v>
      </c>
      <c r="U74" s="30">
        <v>2306.91</v>
      </c>
      <c r="V74" s="27" t="s">
        <v>1026</v>
      </c>
      <c r="W74" s="27" t="s">
        <v>41</v>
      </c>
      <c r="X74" s="27" t="s">
        <v>41</v>
      </c>
      <c r="Y74" s="27" t="s">
        <v>1023</v>
      </c>
      <c r="Z74" s="27" t="s">
        <v>1011</v>
      </c>
      <c r="AA74" s="27"/>
      <c r="AB74" s="27"/>
      <c r="AC74" s="27"/>
      <c r="AD74" s="27" t="e">
        <f>_xlfn.XLOOKUP(M74,'Customer Data Vlookup'!$R:$R,'Customer Data Vlookup'!$S:$S,,0)</f>
        <v>#N/A</v>
      </c>
      <c r="AE74" s="27"/>
      <c r="AF74" s="27"/>
      <c r="AG74" s="27" t="s">
        <v>150</v>
      </c>
      <c r="AH74" s="27" t="s">
        <v>41</v>
      </c>
      <c r="AI74" s="27" t="s">
        <v>41</v>
      </c>
      <c r="AJ74" s="27" t="s">
        <v>41</v>
      </c>
      <c r="AK74" s="28">
        <v>45762</v>
      </c>
      <c r="AL74" s="28">
        <v>45887</v>
      </c>
      <c r="AM74" s="27" t="s">
        <v>45</v>
      </c>
    </row>
    <row r="75" spans="1:39" outlineLevel="2" x14ac:dyDescent="0.35">
      <c r="A75" s="1" t="s">
        <v>1002</v>
      </c>
      <c r="B75" s="1" t="s">
        <v>1003</v>
      </c>
      <c r="C75" s="1" t="s">
        <v>1004</v>
      </c>
      <c r="D75" s="1" t="s">
        <v>1005</v>
      </c>
      <c r="E75" s="1" t="s">
        <v>9</v>
      </c>
      <c r="F75" s="1" t="s">
        <v>1015</v>
      </c>
      <c r="G75" s="9">
        <v>45762</v>
      </c>
      <c r="H75" s="27" t="s">
        <v>151</v>
      </c>
      <c r="I75" s="27" t="s">
        <v>5</v>
      </c>
      <c r="J75" s="28">
        <v>45762</v>
      </c>
      <c r="K75" s="28">
        <v>45763</v>
      </c>
      <c r="L75" s="27" t="s">
        <v>1023</v>
      </c>
      <c r="M75" s="29">
        <v>256779411154</v>
      </c>
      <c r="N75" s="27" t="s">
        <v>1007</v>
      </c>
      <c r="O75" s="27" t="s">
        <v>1008</v>
      </c>
      <c r="P75" s="27" t="s">
        <v>41</v>
      </c>
      <c r="Q75" s="27" t="s">
        <v>1025</v>
      </c>
      <c r="R75" s="27" t="s">
        <v>46</v>
      </c>
      <c r="S75" s="30">
        <v>84.26</v>
      </c>
      <c r="T75" s="27" t="s">
        <v>42</v>
      </c>
      <c r="U75" s="30">
        <v>7324.03</v>
      </c>
      <c r="V75" s="27" t="s">
        <v>1026</v>
      </c>
      <c r="W75" s="27" t="s">
        <v>41</v>
      </c>
      <c r="X75" s="27" t="s">
        <v>41</v>
      </c>
      <c r="Y75" s="27" t="s">
        <v>1023</v>
      </c>
      <c r="Z75" s="27" t="s">
        <v>1011</v>
      </c>
      <c r="AA75" s="27"/>
      <c r="AB75" s="27"/>
      <c r="AC75" s="27"/>
      <c r="AD75" s="27" t="e">
        <f>_xlfn.XLOOKUP(M75,'Customer Data Vlookup'!$R:$R,'Customer Data Vlookup'!$S:$S,,0)</f>
        <v>#N/A</v>
      </c>
      <c r="AE75" s="27"/>
      <c r="AF75" s="27"/>
      <c r="AG75" s="27" t="s">
        <v>150</v>
      </c>
      <c r="AH75" s="27" t="s">
        <v>41</v>
      </c>
      <c r="AI75" s="27" t="s">
        <v>41</v>
      </c>
      <c r="AJ75" s="27" t="s">
        <v>41</v>
      </c>
      <c r="AK75" s="28">
        <v>45762</v>
      </c>
      <c r="AL75" s="28">
        <v>45887</v>
      </c>
      <c r="AM75" s="27" t="s">
        <v>45</v>
      </c>
    </row>
    <row r="76" spans="1:39" outlineLevel="2" x14ac:dyDescent="0.35">
      <c r="A76" s="1" t="s">
        <v>1002</v>
      </c>
      <c r="B76" s="1" t="s">
        <v>1003</v>
      </c>
      <c r="C76" s="1" t="s">
        <v>1004</v>
      </c>
      <c r="D76" s="1" t="s">
        <v>1005</v>
      </c>
      <c r="E76" s="1" t="s">
        <v>9</v>
      </c>
      <c r="F76" s="1" t="s">
        <v>1015</v>
      </c>
      <c r="G76" s="9">
        <v>45762</v>
      </c>
      <c r="H76" s="27" t="s">
        <v>152</v>
      </c>
      <c r="I76" s="27" t="s">
        <v>5</v>
      </c>
      <c r="J76" s="28">
        <v>45762</v>
      </c>
      <c r="K76" s="28">
        <v>45763</v>
      </c>
      <c r="L76" s="27" t="s">
        <v>1023</v>
      </c>
      <c r="M76" s="29">
        <v>256779411155</v>
      </c>
      <c r="N76" s="27" t="s">
        <v>1007</v>
      </c>
      <c r="O76" s="27" t="s">
        <v>1008</v>
      </c>
      <c r="P76" s="27" t="s">
        <v>41</v>
      </c>
      <c r="Q76" s="27" t="s">
        <v>1025</v>
      </c>
      <c r="R76" s="27" t="s">
        <v>46</v>
      </c>
      <c r="S76" s="30">
        <v>36.9</v>
      </c>
      <c r="T76" s="27" t="s">
        <v>42</v>
      </c>
      <c r="U76" s="30">
        <v>3207.42</v>
      </c>
      <c r="V76" s="27" t="s">
        <v>1026</v>
      </c>
      <c r="W76" s="27" t="s">
        <v>41</v>
      </c>
      <c r="X76" s="27" t="s">
        <v>41</v>
      </c>
      <c r="Y76" s="27" t="s">
        <v>1023</v>
      </c>
      <c r="Z76" s="27" t="s">
        <v>1011</v>
      </c>
      <c r="AA76" s="27"/>
      <c r="AB76" s="27"/>
      <c r="AC76" s="27"/>
      <c r="AD76" s="27" t="e">
        <f>_xlfn.XLOOKUP(M76,'Customer Data Vlookup'!$R:$R,'Customer Data Vlookup'!$S:$S,,0)</f>
        <v>#N/A</v>
      </c>
      <c r="AE76" s="27"/>
      <c r="AF76" s="27"/>
      <c r="AG76" s="27" t="s">
        <v>153</v>
      </c>
      <c r="AH76" s="27" t="s">
        <v>41</v>
      </c>
      <c r="AI76" s="27" t="s">
        <v>41</v>
      </c>
      <c r="AJ76" s="27" t="s">
        <v>41</v>
      </c>
      <c r="AK76" s="28">
        <v>45762</v>
      </c>
      <c r="AL76" s="28">
        <v>45887</v>
      </c>
      <c r="AM76" s="27" t="s">
        <v>45</v>
      </c>
    </row>
    <row r="77" spans="1:39" outlineLevel="2" x14ac:dyDescent="0.35">
      <c r="A77" s="1" t="s">
        <v>1002</v>
      </c>
      <c r="B77" s="1" t="s">
        <v>1003</v>
      </c>
      <c r="C77" s="1" t="s">
        <v>1004</v>
      </c>
      <c r="D77" s="1" t="s">
        <v>1005</v>
      </c>
      <c r="E77" s="1" t="s">
        <v>9</v>
      </c>
      <c r="F77" s="1" t="s">
        <v>1015</v>
      </c>
      <c r="G77" s="9">
        <v>45762</v>
      </c>
      <c r="H77" s="27" t="s">
        <v>154</v>
      </c>
      <c r="I77" s="27" t="s">
        <v>5</v>
      </c>
      <c r="J77" s="28">
        <v>45762</v>
      </c>
      <c r="K77" s="28">
        <v>45763</v>
      </c>
      <c r="L77" s="27" t="s">
        <v>1023</v>
      </c>
      <c r="M77" s="29">
        <v>256779411156</v>
      </c>
      <c r="N77" s="27" t="s">
        <v>1007</v>
      </c>
      <c r="O77" s="27" t="s">
        <v>1008</v>
      </c>
      <c r="P77" s="27" t="s">
        <v>41</v>
      </c>
      <c r="Q77" s="27" t="s">
        <v>1025</v>
      </c>
      <c r="R77" s="27" t="s">
        <v>46</v>
      </c>
      <c r="S77" s="30">
        <v>20.23</v>
      </c>
      <c r="T77" s="27" t="s">
        <v>42</v>
      </c>
      <c r="U77" s="30">
        <v>1758.43</v>
      </c>
      <c r="V77" s="27" t="s">
        <v>1026</v>
      </c>
      <c r="W77" s="27" t="s">
        <v>41</v>
      </c>
      <c r="X77" s="27" t="s">
        <v>41</v>
      </c>
      <c r="Y77" s="27" t="s">
        <v>1023</v>
      </c>
      <c r="Z77" s="27" t="s">
        <v>1011</v>
      </c>
      <c r="AA77" s="27"/>
      <c r="AB77" s="27"/>
      <c r="AC77" s="27"/>
      <c r="AD77" s="27" t="e">
        <f>_xlfn.XLOOKUP(M77,'Customer Data Vlookup'!$R:$R,'Customer Data Vlookup'!$S:$S,,0)</f>
        <v>#N/A</v>
      </c>
      <c r="AE77" s="27"/>
      <c r="AF77" s="27"/>
      <c r="AG77" s="27" t="s">
        <v>153</v>
      </c>
      <c r="AH77" s="27" t="s">
        <v>41</v>
      </c>
      <c r="AI77" s="27" t="s">
        <v>41</v>
      </c>
      <c r="AJ77" s="27" t="s">
        <v>41</v>
      </c>
      <c r="AK77" s="28">
        <v>45762</v>
      </c>
      <c r="AL77" s="28">
        <v>45887</v>
      </c>
      <c r="AM77" s="27" t="s">
        <v>45</v>
      </c>
    </row>
    <row r="78" spans="1:39" outlineLevel="2" x14ac:dyDescent="0.35">
      <c r="A78" s="1" t="s">
        <v>1002</v>
      </c>
      <c r="B78" s="1" t="s">
        <v>1003</v>
      </c>
      <c r="C78" s="1" t="s">
        <v>1004</v>
      </c>
      <c r="D78" s="1" t="s">
        <v>1005</v>
      </c>
      <c r="E78" s="1" t="s">
        <v>9</v>
      </c>
      <c r="F78" s="1" t="s">
        <v>1015</v>
      </c>
      <c r="G78" s="9">
        <v>45762</v>
      </c>
      <c r="H78" s="27" t="s">
        <v>155</v>
      </c>
      <c r="I78" s="27" t="s">
        <v>5</v>
      </c>
      <c r="J78" s="28">
        <v>45762</v>
      </c>
      <c r="K78" s="28">
        <v>45763</v>
      </c>
      <c r="L78" s="27" t="s">
        <v>1023</v>
      </c>
      <c r="M78" s="29">
        <v>256779411157</v>
      </c>
      <c r="N78" s="27" t="s">
        <v>1007</v>
      </c>
      <c r="O78" s="27" t="s">
        <v>1008</v>
      </c>
      <c r="P78" s="27" t="s">
        <v>41</v>
      </c>
      <c r="Q78" s="27" t="s">
        <v>1025</v>
      </c>
      <c r="R78" s="27" t="s">
        <v>46</v>
      </c>
      <c r="S78" s="30">
        <v>116.32</v>
      </c>
      <c r="T78" s="27" t="s">
        <v>42</v>
      </c>
      <c r="U78" s="30">
        <v>10110.75</v>
      </c>
      <c r="V78" s="27" t="s">
        <v>1026</v>
      </c>
      <c r="W78" s="27" t="s">
        <v>41</v>
      </c>
      <c r="X78" s="27" t="s">
        <v>41</v>
      </c>
      <c r="Y78" s="27" t="s">
        <v>1023</v>
      </c>
      <c r="Z78" s="27" t="s">
        <v>1011</v>
      </c>
      <c r="AA78" s="27"/>
      <c r="AB78" s="27"/>
      <c r="AC78" s="27"/>
      <c r="AD78" s="27" t="e">
        <f>_xlfn.XLOOKUP(M78,'Customer Data Vlookup'!$R:$R,'Customer Data Vlookup'!$S:$S,,0)</f>
        <v>#N/A</v>
      </c>
      <c r="AE78" s="27"/>
      <c r="AF78" s="27"/>
      <c r="AG78" s="27" t="s">
        <v>153</v>
      </c>
      <c r="AH78" s="27" t="s">
        <v>41</v>
      </c>
      <c r="AI78" s="27" t="s">
        <v>41</v>
      </c>
      <c r="AJ78" s="27" t="s">
        <v>41</v>
      </c>
      <c r="AK78" s="28">
        <v>45762</v>
      </c>
      <c r="AL78" s="28">
        <v>45887</v>
      </c>
      <c r="AM78" s="27" t="s">
        <v>45</v>
      </c>
    </row>
    <row r="79" spans="1:39" outlineLevel="2" x14ac:dyDescent="0.35">
      <c r="A79" s="1" t="s">
        <v>1002</v>
      </c>
      <c r="B79" s="1" t="s">
        <v>1003</v>
      </c>
      <c r="C79" s="1" t="s">
        <v>1004</v>
      </c>
      <c r="D79" s="1" t="s">
        <v>1005</v>
      </c>
      <c r="E79" s="1" t="s">
        <v>9</v>
      </c>
      <c r="F79" s="1" t="s">
        <v>1015</v>
      </c>
      <c r="G79" s="9">
        <v>45762</v>
      </c>
      <c r="H79" s="27" t="s">
        <v>156</v>
      </c>
      <c r="I79" s="27" t="s">
        <v>5</v>
      </c>
      <c r="J79" s="28">
        <v>45762</v>
      </c>
      <c r="K79" s="28">
        <v>45763</v>
      </c>
      <c r="L79" s="27" t="s">
        <v>1023</v>
      </c>
      <c r="M79" s="29">
        <v>256779411565</v>
      </c>
      <c r="N79" s="27" t="s">
        <v>1007</v>
      </c>
      <c r="O79" s="27" t="s">
        <v>1008</v>
      </c>
      <c r="P79" s="27" t="s">
        <v>41</v>
      </c>
      <c r="Q79" s="27" t="s">
        <v>1025</v>
      </c>
      <c r="R79" s="27" t="s">
        <v>46</v>
      </c>
      <c r="S79" s="30">
        <v>22</v>
      </c>
      <c r="T79" s="27" t="s">
        <v>42</v>
      </c>
      <c r="U79" s="30">
        <v>1912.28</v>
      </c>
      <c r="V79" s="27" t="s">
        <v>1026</v>
      </c>
      <c r="W79" s="27" t="s">
        <v>41</v>
      </c>
      <c r="X79" s="27" t="s">
        <v>41</v>
      </c>
      <c r="Y79" s="27" t="s">
        <v>1023</v>
      </c>
      <c r="Z79" s="27" t="s">
        <v>1011</v>
      </c>
      <c r="AA79" s="27"/>
      <c r="AB79" s="27"/>
      <c r="AC79" s="27"/>
      <c r="AD79" s="27" t="e">
        <f>_xlfn.XLOOKUP(M79,'Customer Data Vlookup'!$R:$R,'Customer Data Vlookup'!$S:$S,,0)</f>
        <v>#N/A</v>
      </c>
      <c r="AE79" s="27"/>
      <c r="AF79" s="27"/>
      <c r="AG79" s="27" t="s">
        <v>157</v>
      </c>
      <c r="AH79" s="27" t="s">
        <v>41</v>
      </c>
      <c r="AI79" s="27" t="s">
        <v>41</v>
      </c>
      <c r="AJ79" s="27" t="s">
        <v>41</v>
      </c>
      <c r="AK79" s="28">
        <v>45762</v>
      </c>
      <c r="AL79" s="28">
        <v>45887</v>
      </c>
      <c r="AM79" s="27" t="s">
        <v>45</v>
      </c>
    </row>
    <row r="80" spans="1:39" outlineLevel="2" x14ac:dyDescent="0.35">
      <c r="A80" s="1" t="s">
        <v>1002</v>
      </c>
      <c r="B80" s="1" t="s">
        <v>1003</v>
      </c>
      <c r="C80" s="1" t="s">
        <v>1004</v>
      </c>
      <c r="D80" s="1" t="s">
        <v>1005</v>
      </c>
      <c r="E80" s="1" t="s">
        <v>9</v>
      </c>
      <c r="F80" s="1" t="s">
        <v>1015</v>
      </c>
      <c r="G80" s="9">
        <v>45762</v>
      </c>
      <c r="H80" s="27" t="s">
        <v>158</v>
      </c>
      <c r="I80" s="27" t="s">
        <v>5</v>
      </c>
      <c r="J80" s="28">
        <v>45762</v>
      </c>
      <c r="K80" s="28">
        <v>45763</v>
      </c>
      <c r="L80" s="27" t="s">
        <v>1023</v>
      </c>
      <c r="M80" s="29">
        <v>256779411566</v>
      </c>
      <c r="N80" s="27" t="s">
        <v>1007</v>
      </c>
      <c r="O80" s="27" t="s">
        <v>1008</v>
      </c>
      <c r="P80" s="27" t="s">
        <v>41</v>
      </c>
      <c r="Q80" s="27" t="s">
        <v>1025</v>
      </c>
      <c r="R80" s="27" t="s">
        <v>46</v>
      </c>
      <c r="S80" s="30">
        <v>4.4000000000000004</v>
      </c>
      <c r="T80" s="27" t="s">
        <v>42</v>
      </c>
      <c r="U80" s="30">
        <v>382.46</v>
      </c>
      <c r="V80" s="27" t="s">
        <v>1026</v>
      </c>
      <c r="W80" s="27" t="s">
        <v>41</v>
      </c>
      <c r="X80" s="27" t="s">
        <v>41</v>
      </c>
      <c r="Y80" s="27" t="s">
        <v>1023</v>
      </c>
      <c r="Z80" s="27" t="s">
        <v>1011</v>
      </c>
      <c r="AA80" s="27"/>
      <c r="AB80" s="27"/>
      <c r="AC80" s="27"/>
      <c r="AD80" s="27" t="e">
        <f>_xlfn.XLOOKUP(M80,'Customer Data Vlookup'!$R:$R,'Customer Data Vlookup'!$S:$S,,0)</f>
        <v>#N/A</v>
      </c>
      <c r="AE80" s="27"/>
      <c r="AF80" s="27"/>
      <c r="AG80" s="27" t="s">
        <v>157</v>
      </c>
      <c r="AH80" s="27" t="s">
        <v>41</v>
      </c>
      <c r="AI80" s="27" t="s">
        <v>41</v>
      </c>
      <c r="AJ80" s="27" t="s">
        <v>41</v>
      </c>
      <c r="AK80" s="28">
        <v>45762</v>
      </c>
      <c r="AL80" s="28">
        <v>45887</v>
      </c>
      <c r="AM80" s="27" t="s">
        <v>45</v>
      </c>
    </row>
    <row r="81" spans="1:39" outlineLevel="2" x14ac:dyDescent="0.35">
      <c r="A81" s="1" t="s">
        <v>1002</v>
      </c>
      <c r="B81" s="1" t="s">
        <v>1003</v>
      </c>
      <c r="C81" s="1" t="s">
        <v>1004</v>
      </c>
      <c r="D81" s="1" t="s">
        <v>1005</v>
      </c>
      <c r="E81" s="1" t="s">
        <v>9</v>
      </c>
      <c r="F81" s="1" t="s">
        <v>1015</v>
      </c>
      <c r="G81" s="9">
        <v>45762</v>
      </c>
      <c r="H81" s="27" t="s">
        <v>159</v>
      </c>
      <c r="I81" s="27" t="s">
        <v>5</v>
      </c>
      <c r="J81" s="28">
        <v>45762</v>
      </c>
      <c r="K81" s="28">
        <v>45763</v>
      </c>
      <c r="L81" s="27" t="s">
        <v>1023</v>
      </c>
      <c r="M81" s="29">
        <v>256779411567</v>
      </c>
      <c r="N81" s="27" t="s">
        <v>1007</v>
      </c>
      <c r="O81" s="27" t="s">
        <v>1008</v>
      </c>
      <c r="P81" s="27" t="s">
        <v>41</v>
      </c>
      <c r="Q81" s="27" t="s">
        <v>1025</v>
      </c>
      <c r="R81" s="27" t="s">
        <v>46</v>
      </c>
      <c r="S81" s="30">
        <v>5.84</v>
      </c>
      <c r="T81" s="27" t="s">
        <v>42</v>
      </c>
      <c r="U81" s="30">
        <v>507.62</v>
      </c>
      <c r="V81" s="27" t="s">
        <v>1026</v>
      </c>
      <c r="W81" s="27" t="s">
        <v>41</v>
      </c>
      <c r="X81" s="27" t="s">
        <v>41</v>
      </c>
      <c r="Y81" s="27" t="s">
        <v>1023</v>
      </c>
      <c r="Z81" s="27" t="s">
        <v>1011</v>
      </c>
      <c r="AA81" s="27"/>
      <c r="AB81" s="27"/>
      <c r="AC81" s="27"/>
      <c r="AD81" s="27" t="e">
        <f>_xlfn.XLOOKUP(M81,'Customer Data Vlookup'!$R:$R,'Customer Data Vlookup'!$S:$S,,0)</f>
        <v>#N/A</v>
      </c>
      <c r="AE81" s="27"/>
      <c r="AF81" s="27"/>
      <c r="AG81" s="27" t="s">
        <v>157</v>
      </c>
      <c r="AH81" s="27" t="s">
        <v>41</v>
      </c>
      <c r="AI81" s="27" t="s">
        <v>41</v>
      </c>
      <c r="AJ81" s="27" t="s">
        <v>41</v>
      </c>
      <c r="AK81" s="28">
        <v>45762</v>
      </c>
      <c r="AL81" s="28">
        <v>45887</v>
      </c>
      <c r="AM81" s="27" t="s">
        <v>45</v>
      </c>
    </row>
    <row r="82" spans="1:39" outlineLevel="2" x14ac:dyDescent="0.35">
      <c r="A82" s="1" t="s">
        <v>1002</v>
      </c>
      <c r="B82" s="1" t="s">
        <v>1003</v>
      </c>
      <c r="C82" s="1" t="s">
        <v>1004</v>
      </c>
      <c r="D82" s="1" t="s">
        <v>1005</v>
      </c>
      <c r="E82" s="1" t="s">
        <v>9</v>
      </c>
      <c r="F82" s="1" t="s">
        <v>1015</v>
      </c>
      <c r="G82" s="9">
        <v>45762</v>
      </c>
      <c r="H82" s="27" t="s">
        <v>160</v>
      </c>
      <c r="I82" s="27" t="s">
        <v>5</v>
      </c>
      <c r="J82" s="28">
        <v>45762</v>
      </c>
      <c r="K82" s="28">
        <v>45763</v>
      </c>
      <c r="L82" s="27" t="s">
        <v>1023</v>
      </c>
      <c r="M82" s="29">
        <v>256779411568</v>
      </c>
      <c r="N82" s="27" t="s">
        <v>1007</v>
      </c>
      <c r="O82" s="27" t="s">
        <v>1008</v>
      </c>
      <c r="P82" s="27" t="s">
        <v>41</v>
      </c>
      <c r="Q82" s="27" t="s">
        <v>1025</v>
      </c>
      <c r="R82" s="27" t="s">
        <v>46</v>
      </c>
      <c r="S82" s="30">
        <v>0.8</v>
      </c>
      <c r="T82" s="27" t="s">
        <v>42</v>
      </c>
      <c r="U82" s="30">
        <v>69.540000000000006</v>
      </c>
      <c r="V82" s="27" t="s">
        <v>1026</v>
      </c>
      <c r="W82" s="27" t="s">
        <v>41</v>
      </c>
      <c r="X82" s="27" t="s">
        <v>41</v>
      </c>
      <c r="Y82" s="27" t="s">
        <v>1023</v>
      </c>
      <c r="Z82" s="27" t="s">
        <v>1011</v>
      </c>
      <c r="AA82" s="27"/>
      <c r="AB82" s="27"/>
      <c r="AC82" s="27"/>
      <c r="AD82" s="27" t="e">
        <f>_xlfn.XLOOKUP(M82,'Customer Data Vlookup'!$R:$R,'Customer Data Vlookup'!$S:$S,,0)</f>
        <v>#N/A</v>
      </c>
      <c r="AE82" s="27"/>
      <c r="AF82" s="27"/>
      <c r="AG82" s="27" t="s">
        <v>157</v>
      </c>
      <c r="AH82" s="27" t="s">
        <v>41</v>
      </c>
      <c r="AI82" s="27" t="s">
        <v>41</v>
      </c>
      <c r="AJ82" s="27" t="s">
        <v>41</v>
      </c>
      <c r="AK82" s="28">
        <v>45762</v>
      </c>
      <c r="AL82" s="28">
        <v>45887</v>
      </c>
      <c r="AM82" s="27" t="s">
        <v>45</v>
      </c>
    </row>
    <row r="83" spans="1:39" outlineLevel="2" x14ac:dyDescent="0.35">
      <c r="A83" s="1" t="s">
        <v>1002</v>
      </c>
      <c r="B83" s="1" t="s">
        <v>1003</v>
      </c>
      <c r="C83" s="1" t="s">
        <v>1004</v>
      </c>
      <c r="D83" s="1" t="s">
        <v>1005</v>
      </c>
      <c r="E83" s="1" t="s">
        <v>9</v>
      </c>
      <c r="F83" s="1" t="s">
        <v>1015</v>
      </c>
      <c r="G83" s="9">
        <v>45762</v>
      </c>
      <c r="H83" s="27" t="s">
        <v>161</v>
      </c>
      <c r="I83" s="27" t="s">
        <v>5</v>
      </c>
      <c r="J83" s="28">
        <v>45762</v>
      </c>
      <c r="K83" s="28">
        <v>45763</v>
      </c>
      <c r="L83" s="27" t="s">
        <v>1023</v>
      </c>
      <c r="M83" s="29">
        <v>256779411569</v>
      </c>
      <c r="N83" s="27" t="s">
        <v>1007</v>
      </c>
      <c r="O83" s="27" t="s">
        <v>1008</v>
      </c>
      <c r="P83" s="27" t="s">
        <v>41</v>
      </c>
      <c r="Q83" s="27" t="s">
        <v>1025</v>
      </c>
      <c r="R83" s="27" t="s">
        <v>46</v>
      </c>
      <c r="S83" s="30">
        <v>13.85</v>
      </c>
      <c r="T83" s="27" t="s">
        <v>42</v>
      </c>
      <c r="U83" s="30">
        <v>1203.8699999999999</v>
      </c>
      <c r="V83" s="27" t="s">
        <v>1026</v>
      </c>
      <c r="W83" s="27" t="s">
        <v>41</v>
      </c>
      <c r="X83" s="27" t="s">
        <v>41</v>
      </c>
      <c r="Y83" s="27" t="s">
        <v>1023</v>
      </c>
      <c r="Z83" s="27" t="s">
        <v>1011</v>
      </c>
      <c r="AA83" s="27"/>
      <c r="AB83" s="27"/>
      <c r="AC83" s="27"/>
      <c r="AD83" s="27" t="e">
        <f>_xlfn.XLOOKUP(M83,'Customer Data Vlookup'!$R:$R,'Customer Data Vlookup'!$S:$S,,0)</f>
        <v>#N/A</v>
      </c>
      <c r="AE83" s="27"/>
      <c r="AF83" s="27"/>
      <c r="AG83" s="27" t="s">
        <v>157</v>
      </c>
      <c r="AH83" s="27" t="s">
        <v>41</v>
      </c>
      <c r="AI83" s="27" t="s">
        <v>41</v>
      </c>
      <c r="AJ83" s="27" t="s">
        <v>41</v>
      </c>
      <c r="AK83" s="28">
        <v>45762</v>
      </c>
      <c r="AL83" s="28">
        <v>45887</v>
      </c>
      <c r="AM83" s="27" t="s">
        <v>45</v>
      </c>
    </row>
    <row r="84" spans="1:39" outlineLevel="2" x14ac:dyDescent="0.35">
      <c r="A84" s="1" t="s">
        <v>1002</v>
      </c>
      <c r="B84" s="1" t="s">
        <v>1003</v>
      </c>
      <c r="C84" s="1" t="s">
        <v>1004</v>
      </c>
      <c r="D84" s="1" t="s">
        <v>1005</v>
      </c>
      <c r="E84" s="1" t="s">
        <v>9</v>
      </c>
      <c r="F84" s="1" t="s">
        <v>1015</v>
      </c>
      <c r="G84" s="9">
        <v>45762</v>
      </c>
      <c r="H84" s="27" t="s">
        <v>162</v>
      </c>
      <c r="I84" s="27" t="s">
        <v>5</v>
      </c>
      <c r="J84" s="28">
        <v>45762</v>
      </c>
      <c r="K84" s="28">
        <v>45763</v>
      </c>
      <c r="L84" s="27" t="s">
        <v>1023</v>
      </c>
      <c r="M84" s="29">
        <v>256779411570</v>
      </c>
      <c r="N84" s="27" t="s">
        <v>1007</v>
      </c>
      <c r="O84" s="27" t="s">
        <v>1008</v>
      </c>
      <c r="P84" s="27" t="s">
        <v>41</v>
      </c>
      <c r="Q84" s="27" t="s">
        <v>1025</v>
      </c>
      <c r="R84" s="27" t="s">
        <v>46</v>
      </c>
      <c r="S84" s="30">
        <v>18.149999999999999</v>
      </c>
      <c r="T84" s="27" t="s">
        <v>42</v>
      </c>
      <c r="U84" s="30">
        <v>1577.63</v>
      </c>
      <c r="V84" s="27" t="s">
        <v>1026</v>
      </c>
      <c r="W84" s="27" t="s">
        <v>41</v>
      </c>
      <c r="X84" s="27" t="s">
        <v>41</v>
      </c>
      <c r="Y84" s="27" t="s">
        <v>1023</v>
      </c>
      <c r="Z84" s="27" t="s">
        <v>1011</v>
      </c>
      <c r="AA84" s="27"/>
      <c r="AB84" s="27"/>
      <c r="AC84" s="27"/>
      <c r="AD84" s="27" t="e">
        <f>_xlfn.XLOOKUP(M84,'Customer Data Vlookup'!$R:$R,'Customer Data Vlookup'!$S:$S,,0)</f>
        <v>#N/A</v>
      </c>
      <c r="AE84" s="27"/>
      <c r="AF84" s="27"/>
      <c r="AG84" s="27" t="s">
        <v>157</v>
      </c>
      <c r="AH84" s="27" t="s">
        <v>41</v>
      </c>
      <c r="AI84" s="27" t="s">
        <v>41</v>
      </c>
      <c r="AJ84" s="27" t="s">
        <v>41</v>
      </c>
      <c r="AK84" s="28">
        <v>45762</v>
      </c>
      <c r="AL84" s="28">
        <v>45887</v>
      </c>
      <c r="AM84" s="27" t="s">
        <v>45</v>
      </c>
    </row>
    <row r="85" spans="1:39" outlineLevel="2" x14ac:dyDescent="0.35">
      <c r="A85" s="1" t="s">
        <v>1002</v>
      </c>
      <c r="B85" s="1" t="s">
        <v>1003</v>
      </c>
      <c r="C85" s="1" t="s">
        <v>1004</v>
      </c>
      <c r="D85" s="1" t="s">
        <v>1005</v>
      </c>
      <c r="E85" s="1" t="s">
        <v>9</v>
      </c>
      <c r="F85" s="1" t="s">
        <v>1015</v>
      </c>
      <c r="G85" s="9">
        <v>45762</v>
      </c>
      <c r="H85" s="27" t="s">
        <v>163</v>
      </c>
      <c r="I85" s="27" t="s">
        <v>5</v>
      </c>
      <c r="J85" s="28">
        <v>45762</v>
      </c>
      <c r="K85" s="28">
        <v>45763</v>
      </c>
      <c r="L85" s="27" t="s">
        <v>1023</v>
      </c>
      <c r="M85" s="29">
        <v>256779411571</v>
      </c>
      <c r="N85" s="27" t="s">
        <v>1007</v>
      </c>
      <c r="O85" s="27" t="s">
        <v>1008</v>
      </c>
      <c r="P85" s="27" t="s">
        <v>41</v>
      </c>
      <c r="Q85" s="27" t="s">
        <v>1025</v>
      </c>
      <c r="R85" s="27" t="s">
        <v>46</v>
      </c>
      <c r="S85" s="30">
        <v>21.36</v>
      </c>
      <c r="T85" s="27" t="s">
        <v>42</v>
      </c>
      <c r="U85" s="30">
        <v>1856.65</v>
      </c>
      <c r="V85" s="27" t="s">
        <v>1026</v>
      </c>
      <c r="W85" s="27" t="s">
        <v>41</v>
      </c>
      <c r="X85" s="27" t="s">
        <v>41</v>
      </c>
      <c r="Y85" s="27" t="s">
        <v>1023</v>
      </c>
      <c r="Z85" s="27" t="s">
        <v>1011</v>
      </c>
      <c r="AA85" s="27"/>
      <c r="AB85" s="27"/>
      <c r="AC85" s="27"/>
      <c r="AD85" s="27" t="e">
        <f>_xlfn.XLOOKUP(M85,'Customer Data Vlookup'!$R:$R,'Customer Data Vlookup'!$S:$S,,0)</f>
        <v>#N/A</v>
      </c>
      <c r="AE85" s="27"/>
      <c r="AF85" s="27"/>
      <c r="AG85" s="27" t="s">
        <v>157</v>
      </c>
      <c r="AH85" s="27" t="s">
        <v>41</v>
      </c>
      <c r="AI85" s="27" t="s">
        <v>41</v>
      </c>
      <c r="AJ85" s="27" t="s">
        <v>41</v>
      </c>
      <c r="AK85" s="28">
        <v>45762</v>
      </c>
      <c r="AL85" s="28">
        <v>45887</v>
      </c>
      <c r="AM85" s="27" t="s">
        <v>45</v>
      </c>
    </row>
    <row r="86" spans="1:39" outlineLevel="2" x14ac:dyDescent="0.35">
      <c r="A86" s="1" t="s">
        <v>1002</v>
      </c>
      <c r="B86" s="1" t="s">
        <v>1003</v>
      </c>
      <c r="C86" s="1" t="s">
        <v>1004</v>
      </c>
      <c r="D86" s="1" t="s">
        <v>1005</v>
      </c>
      <c r="E86" s="1" t="s">
        <v>9</v>
      </c>
      <c r="F86" s="1" t="s">
        <v>1015</v>
      </c>
      <c r="G86" s="9">
        <v>45762</v>
      </c>
      <c r="H86" s="27" t="s">
        <v>164</v>
      </c>
      <c r="I86" s="27" t="s">
        <v>5</v>
      </c>
      <c r="J86" s="28">
        <v>45762</v>
      </c>
      <c r="K86" s="28">
        <v>45763</v>
      </c>
      <c r="L86" s="27" t="s">
        <v>1023</v>
      </c>
      <c r="M86" s="29">
        <v>256779411572</v>
      </c>
      <c r="N86" s="27" t="s">
        <v>1007</v>
      </c>
      <c r="O86" s="27" t="s">
        <v>1008</v>
      </c>
      <c r="P86" s="27" t="s">
        <v>41</v>
      </c>
      <c r="Q86" s="27" t="s">
        <v>1025</v>
      </c>
      <c r="R86" s="27" t="s">
        <v>46</v>
      </c>
      <c r="S86" s="30">
        <v>1.97</v>
      </c>
      <c r="T86" s="27" t="s">
        <v>42</v>
      </c>
      <c r="U86" s="30">
        <v>171.24</v>
      </c>
      <c r="V86" s="27" t="s">
        <v>1026</v>
      </c>
      <c r="W86" s="27" t="s">
        <v>41</v>
      </c>
      <c r="X86" s="27" t="s">
        <v>41</v>
      </c>
      <c r="Y86" s="27" t="s">
        <v>1023</v>
      </c>
      <c r="Z86" s="27" t="s">
        <v>1011</v>
      </c>
      <c r="AA86" s="27"/>
      <c r="AB86" s="27"/>
      <c r="AC86" s="27"/>
      <c r="AD86" s="27" t="e">
        <f>_xlfn.XLOOKUP(M86,'Customer Data Vlookup'!$R:$R,'Customer Data Vlookup'!$S:$S,,0)</f>
        <v>#N/A</v>
      </c>
      <c r="AE86" s="27"/>
      <c r="AF86" s="27"/>
      <c r="AG86" s="27" t="s">
        <v>157</v>
      </c>
      <c r="AH86" s="27" t="s">
        <v>41</v>
      </c>
      <c r="AI86" s="27" t="s">
        <v>41</v>
      </c>
      <c r="AJ86" s="27" t="s">
        <v>41</v>
      </c>
      <c r="AK86" s="28">
        <v>45762</v>
      </c>
      <c r="AL86" s="28">
        <v>45887</v>
      </c>
      <c r="AM86" s="27" t="s">
        <v>45</v>
      </c>
    </row>
    <row r="87" spans="1:39" outlineLevel="2" x14ac:dyDescent="0.35">
      <c r="A87" s="1" t="s">
        <v>1002</v>
      </c>
      <c r="B87" s="1" t="s">
        <v>1003</v>
      </c>
      <c r="C87" s="1" t="s">
        <v>1004</v>
      </c>
      <c r="D87" s="1" t="s">
        <v>1005</v>
      </c>
      <c r="E87" s="1" t="s">
        <v>9</v>
      </c>
      <c r="F87" s="1" t="s">
        <v>1015</v>
      </c>
      <c r="G87" s="9">
        <v>45762</v>
      </c>
      <c r="H87" s="27" t="s">
        <v>165</v>
      </c>
      <c r="I87" s="27" t="s">
        <v>5</v>
      </c>
      <c r="J87" s="28">
        <v>45762</v>
      </c>
      <c r="K87" s="28">
        <v>45763</v>
      </c>
      <c r="L87" s="27" t="s">
        <v>1023</v>
      </c>
      <c r="M87" s="29">
        <v>256779411573</v>
      </c>
      <c r="N87" s="27" t="s">
        <v>1007</v>
      </c>
      <c r="O87" s="27" t="s">
        <v>1008</v>
      </c>
      <c r="P87" s="27" t="s">
        <v>41</v>
      </c>
      <c r="Q87" s="27" t="s">
        <v>1025</v>
      </c>
      <c r="R87" s="27" t="s">
        <v>46</v>
      </c>
      <c r="S87" s="30">
        <v>24.21</v>
      </c>
      <c r="T87" s="27" t="s">
        <v>42</v>
      </c>
      <c r="U87" s="30">
        <v>2104.38</v>
      </c>
      <c r="V87" s="27" t="s">
        <v>1026</v>
      </c>
      <c r="W87" s="27" t="s">
        <v>41</v>
      </c>
      <c r="X87" s="27" t="s">
        <v>41</v>
      </c>
      <c r="Y87" s="27" t="s">
        <v>1023</v>
      </c>
      <c r="Z87" s="27" t="s">
        <v>1011</v>
      </c>
      <c r="AA87" s="27"/>
      <c r="AB87" s="27"/>
      <c r="AC87" s="27"/>
      <c r="AD87" s="27" t="e">
        <f>_xlfn.XLOOKUP(M87,'Customer Data Vlookup'!$R:$R,'Customer Data Vlookup'!$S:$S,,0)</f>
        <v>#N/A</v>
      </c>
      <c r="AE87" s="27"/>
      <c r="AF87" s="27"/>
      <c r="AG87" s="27" t="s">
        <v>157</v>
      </c>
      <c r="AH87" s="27" t="s">
        <v>41</v>
      </c>
      <c r="AI87" s="27" t="s">
        <v>41</v>
      </c>
      <c r="AJ87" s="27" t="s">
        <v>41</v>
      </c>
      <c r="AK87" s="28">
        <v>45762</v>
      </c>
      <c r="AL87" s="28">
        <v>45887</v>
      </c>
      <c r="AM87" s="27" t="s">
        <v>45</v>
      </c>
    </row>
    <row r="88" spans="1:39" outlineLevel="2" x14ac:dyDescent="0.35">
      <c r="A88" s="1" t="s">
        <v>1002</v>
      </c>
      <c r="B88" s="1" t="s">
        <v>1003</v>
      </c>
      <c r="C88" s="1" t="s">
        <v>1004</v>
      </c>
      <c r="D88" s="1" t="s">
        <v>1005</v>
      </c>
      <c r="E88" s="1" t="s">
        <v>9</v>
      </c>
      <c r="F88" s="1" t="s">
        <v>1015</v>
      </c>
      <c r="G88" s="9">
        <v>45762</v>
      </c>
      <c r="H88" s="27" t="s">
        <v>166</v>
      </c>
      <c r="I88" s="27" t="s">
        <v>5</v>
      </c>
      <c r="J88" s="28">
        <v>45762</v>
      </c>
      <c r="K88" s="28">
        <v>45763</v>
      </c>
      <c r="L88" s="27" t="s">
        <v>1023</v>
      </c>
      <c r="M88" s="29">
        <v>256779411574</v>
      </c>
      <c r="N88" s="27" t="s">
        <v>1007</v>
      </c>
      <c r="O88" s="27" t="s">
        <v>1008</v>
      </c>
      <c r="P88" s="27" t="s">
        <v>41</v>
      </c>
      <c r="Q88" s="27" t="s">
        <v>1025</v>
      </c>
      <c r="R88" s="27" t="s">
        <v>46</v>
      </c>
      <c r="S88" s="30">
        <v>14.7</v>
      </c>
      <c r="T88" s="27" t="s">
        <v>42</v>
      </c>
      <c r="U88" s="30">
        <v>1277.75</v>
      </c>
      <c r="V88" s="27" t="s">
        <v>1026</v>
      </c>
      <c r="W88" s="27" t="s">
        <v>41</v>
      </c>
      <c r="X88" s="27" t="s">
        <v>41</v>
      </c>
      <c r="Y88" s="27" t="s">
        <v>1023</v>
      </c>
      <c r="Z88" s="27" t="s">
        <v>1011</v>
      </c>
      <c r="AA88" s="27"/>
      <c r="AB88" s="27"/>
      <c r="AC88" s="27"/>
      <c r="AD88" s="27" t="e">
        <f>_xlfn.XLOOKUP(M88,'Customer Data Vlookup'!$R:$R,'Customer Data Vlookup'!$S:$S,,0)</f>
        <v>#N/A</v>
      </c>
      <c r="AE88" s="27"/>
      <c r="AF88" s="27"/>
      <c r="AG88" s="27" t="s">
        <v>157</v>
      </c>
      <c r="AH88" s="27" t="s">
        <v>41</v>
      </c>
      <c r="AI88" s="27" t="s">
        <v>41</v>
      </c>
      <c r="AJ88" s="27" t="s">
        <v>41</v>
      </c>
      <c r="AK88" s="28">
        <v>45762</v>
      </c>
      <c r="AL88" s="28">
        <v>45887</v>
      </c>
      <c r="AM88" s="27" t="s">
        <v>45</v>
      </c>
    </row>
    <row r="89" spans="1:39" outlineLevel="2" x14ac:dyDescent="0.35">
      <c r="A89" s="1" t="s">
        <v>1002</v>
      </c>
      <c r="B89" s="1" t="s">
        <v>1003</v>
      </c>
      <c r="C89" s="1" t="s">
        <v>1004</v>
      </c>
      <c r="D89" s="1" t="s">
        <v>1005</v>
      </c>
      <c r="E89" s="1" t="s">
        <v>9</v>
      </c>
      <c r="F89" s="1" t="s">
        <v>1015</v>
      </c>
      <c r="G89" s="9">
        <v>45762</v>
      </c>
      <c r="H89" s="27" t="s">
        <v>167</v>
      </c>
      <c r="I89" s="27" t="s">
        <v>5</v>
      </c>
      <c r="J89" s="28">
        <v>45762</v>
      </c>
      <c r="K89" s="28">
        <v>45763</v>
      </c>
      <c r="L89" s="27" t="s">
        <v>1023</v>
      </c>
      <c r="M89" s="29">
        <v>256779411575</v>
      </c>
      <c r="N89" s="27" t="s">
        <v>1007</v>
      </c>
      <c r="O89" s="27" t="s">
        <v>1008</v>
      </c>
      <c r="P89" s="27" t="s">
        <v>41</v>
      </c>
      <c r="Q89" s="27" t="s">
        <v>1025</v>
      </c>
      <c r="R89" s="27" t="s">
        <v>46</v>
      </c>
      <c r="S89" s="30">
        <v>22.35</v>
      </c>
      <c r="T89" s="27" t="s">
        <v>42</v>
      </c>
      <c r="U89" s="30">
        <v>1942.7</v>
      </c>
      <c r="V89" s="27" t="s">
        <v>1026</v>
      </c>
      <c r="W89" s="27" t="s">
        <v>41</v>
      </c>
      <c r="X89" s="27" t="s">
        <v>41</v>
      </c>
      <c r="Y89" s="27" t="s">
        <v>1023</v>
      </c>
      <c r="Z89" s="27" t="s">
        <v>1011</v>
      </c>
      <c r="AA89" s="27"/>
      <c r="AB89" s="27"/>
      <c r="AC89" s="27"/>
      <c r="AD89" s="27" t="e">
        <f>_xlfn.XLOOKUP(M89,'Customer Data Vlookup'!$R:$R,'Customer Data Vlookup'!$S:$S,,0)</f>
        <v>#N/A</v>
      </c>
      <c r="AE89" s="27"/>
      <c r="AF89" s="27"/>
      <c r="AG89" s="27" t="s">
        <v>157</v>
      </c>
      <c r="AH89" s="27" t="s">
        <v>41</v>
      </c>
      <c r="AI89" s="27" t="s">
        <v>41</v>
      </c>
      <c r="AJ89" s="27" t="s">
        <v>41</v>
      </c>
      <c r="AK89" s="28">
        <v>45762</v>
      </c>
      <c r="AL89" s="28">
        <v>45887</v>
      </c>
      <c r="AM89" s="27" t="s">
        <v>45</v>
      </c>
    </row>
    <row r="90" spans="1:39" outlineLevel="2" x14ac:dyDescent="0.35">
      <c r="A90" s="1" t="s">
        <v>1002</v>
      </c>
      <c r="B90" s="1" t="s">
        <v>1003</v>
      </c>
      <c r="C90" s="1" t="s">
        <v>1004</v>
      </c>
      <c r="D90" s="1" t="s">
        <v>1005</v>
      </c>
      <c r="E90" s="1" t="s">
        <v>9</v>
      </c>
      <c r="F90" s="1" t="s">
        <v>1015</v>
      </c>
      <c r="G90" s="9">
        <v>45762</v>
      </c>
      <c r="H90" s="27" t="s">
        <v>168</v>
      </c>
      <c r="I90" s="27" t="s">
        <v>5</v>
      </c>
      <c r="J90" s="28">
        <v>45762</v>
      </c>
      <c r="K90" s="28">
        <v>45763</v>
      </c>
      <c r="L90" s="27" t="s">
        <v>1023</v>
      </c>
      <c r="M90" s="29">
        <v>256779411576</v>
      </c>
      <c r="N90" s="27" t="s">
        <v>1007</v>
      </c>
      <c r="O90" s="27" t="s">
        <v>1008</v>
      </c>
      <c r="P90" s="27" t="s">
        <v>41</v>
      </c>
      <c r="Q90" s="27" t="s">
        <v>1025</v>
      </c>
      <c r="R90" s="27" t="s">
        <v>46</v>
      </c>
      <c r="S90" s="30">
        <v>21.52</v>
      </c>
      <c r="T90" s="27" t="s">
        <v>42</v>
      </c>
      <c r="U90" s="30">
        <v>1870.56</v>
      </c>
      <c r="V90" s="27" t="s">
        <v>1026</v>
      </c>
      <c r="W90" s="27" t="s">
        <v>41</v>
      </c>
      <c r="X90" s="27" t="s">
        <v>41</v>
      </c>
      <c r="Y90" s="27" t="s">
        <v>1023</v>
      </c>
      <c r="Z90" s="27" t="s">
        <v>1011</v>
      </c>
      <c r="AA90" s="27"/>
      <c r="AB90" s="27"/>
      <c r="AC90" s="27"/>
      <c r="AD90" s="27" t="e">
        <f>_xlfn.XLOOKUP(M90,'Customer Data Vlookup'!$R:$R,'Customer Data Vlookup'!$S:$S,,0)</f>
        <v>#N/A</v>
      </c>
      <c r="AE90" s="27"/>
      <c r="AF90" s="27"/>
      <c r="AG90" s="27" t="s">
        <v>157</v>
      </c>
      <c r="AH90" s="27" t="s">
        <v>41</v>
      </c>
      <c r="AI90" s="27" t="s">
        <v>41</v>
      </c>
      <c r="AJ90" s="27" t="s">
        <v>41</v>
      </c>
      <c r="AK90" s="28">
        <v>45762</v>
      </c>
      <c r="AL90" s="28">
        <v>45887</v>
      </c>
      <c r="AM90" s="27" t="s">
        <v>45</v>
      </c>
    </row>
    <row r="91" spans="1:39" outlineLevel="2" x14ac:dyDescent="0.35">
      <c r="A91" s="1" t="s">
        <v>1002</v>
      </c>
      <c r="B91" s="1" t="s">
        <v>1003</v>
      </c>
      <c r="C91" s="1" t="s">
        <v>1004</v>
      </c>
      <c r="D91" s="1" t="s">
        <v>1005</v>
      </c>
      <c r="E91" s="1" t="s">
        <v>9</v>
      </c>
      <c r="F91" s="1" t="s">
        <v>1015</v>
      </c>
      <c r="G91" s="9">
        <v>45762</v>
      </c>
      <c r="H91" s="27" t="s">
        <v>169</v>
      </c>
      <c r="I91" s="27" t="s">
        <v>5</v>
      </c>
      <c r="J91" s="28">
        <v>45762</v>
      </c>
      <c r="K91" s="28">
        <v>45763</v>
      </c>
      <c r="L91" s="27" t="s">
        <v>1023</v>
      </c>
      <c r="M91" s="29">
        <v>256779411577</v>
      </c>
      <c r="N91" s="27" t="s">
        <v>1007</v>
      </c>
      <c r="O91" s="27" t="s">
        <v>1008</v>
      </c>
      <c r="P91" s="27" t="s">
        <v>41</v>
      </c>
      <c r="Q91" s="27" t="s">
        <v>1025</v>
      </c>
      <c r="R91" s="27" t="s">
        <v>46</v>
      </c>
      <c r="S91" s="30">
        <v>1.54</v>
      </c>
      <c r="T91" s="27" t="s">
        <v>42</v>
      </c>
      <c r="U91" s="30">
        <v>133.86000000000001</v>
      </c>
      <c r="V91" s="27" t="s">
        <v>1026</v>
      </c>
      <c r="W91" s="27" t="s">
        <v>41</v>
      </c>
      <c r="X91" s="27" t="s">
        <v>41</v>
      </c>
      <c r="Y91" s="27" t="s">
        <v>1023</v>
      </c>
      <c r="Z91" s="27" t="s">
        <v>1011</v>
      </c>
      <c r="AA91" s="27"/>
      <c r="AB91" s="27"/>
      <c r="AC91" s="27"/>
      <c r="AD91" s="27" t="e">
        <f>_xlfn.XLOOKUP(M91,'Customer Data Vlookup'!$R:$R,'Customer Data Vlookup'!$S:$S,,0)</f>
        <v>#N/A</v>
      </c>
      <c r="AE91" s="27"/>
      <c r="AF91" s="27"/>
      <c r="AG91" s="27" t="s">
        <v>157</v>
      </c>
      <c r="AH91" s="27" t="s">
        <v>41</v>
      </c>
      <c r="AI91" s="27" t="s">
        <v>41</v>
      </c>
      <c r="AJ91" s="27" t="s">
        <v>41</v>
      </c>
      <c r="AK91" s="28">
        <v>45762</v>
      </c>
      <c r="AL91" s="28">
        <v>45887</v>
      </c>
      <c r="AM91" s="27" t="s">
        <v>45</v>
      </c>
    </row>
    <row r="92" spans="1:39" outlineLevel="2" x14ac:dyDescent="0.35">
      <c r="A92" s="1" t="s">
        <v>1002</v>
      </c>
      <c r="B92" s="1" t="s">
        <v>1003</v>
      </c>
      <c r="C92" s="1" t="s">
        <v>1004</v>
      </c>
      <c r="D92" s="1" t="s">
        <v>1005</v>
      </c>
      <c r="E92" s="1" t="s">
        <v>9</v>
      </c>
      <c r="F92" s="1" t="s">
        <v>1015</v>
      </c>
      <c r="G92" s="9">
        <v>45762</v>
      </c>
      <c r="H92" s="27" t="s">
        <v>170</v>
      </c>
      <c r="I92" s="27" t="s">
        <v>5</v>
      </c>
      <c r="J92" s="28">
        <v>45762</v>
      </c>
      <c r="K92" s="28">
        <v>45763</v>
      </c>
      <c r="L92" s="27" t="s">
        <v>1023</v>
      </c>
      <c r="M92" s="29">
        <v>256779411578</v>
      </c>
      <c r="N92" s="27" t="s">
        <v>1007</v>
      </c>
      <c r="O92" s="27" t="s">
        <v>1008</v>
      </c>
      <c r="P92" s="27" t="s">
        <v>41</v>
      </c>
      <c r="Q92" s="27" t="s">
        <v>1025</v>
      </c>
      <c r="R92" s="27" t="s">
        <v>46</v>
      </c>
      <c r="S92" s="30">
        <v>7.19</v>
      </c>
      <c r="T92" s="27" t="s">
        <v>42</v>
      </c>
      <c r="U92" s="30">
        <v>624.97</v>
      </c>
      <c r="V92" s="27" t="s">
        <v>1026</v>
      </c>
      <c r="W92" s="27" t="s">
        <v>41</v>
      </c>
      <c r="X92" s="27" t="s">
        <v>41</v>
      </c>
      <c r="Y92" s="27" t="s">
        <v>1023</v>
      </c>
      <c r="Z92" s="27" t="s">
        <v>1011</v>
      </c>
      <c r="AA92" s="27"/>
      <c r="AB92" s="27"/>
      <c r="AC92" s="27"/>
      <c r="AD92" s="27" t="e">
        <f>_xlfn.XLOOKUP(M92,'Customer Data Vlookup'!$R:$R,'Customer Data Vlookup'!$S:$S,,0)</f>
        <v>#N/A</v>
      </c>
      <c r="AE92" s="27"/>
      <c r="AF92" s="27"/>
      <c r="AG92" s="27" t="s">
        <v>157</v>
      </c>
      <c r="AH92" s="27" t="s">
        <v>41</v>
      </c>
      <c r="AI92" s="27" t="s">
        <v>41</v>
      </c>
      <c r="AJ92" s="27" t="s">
        <v>41</v>
      </c>
      <c r="AK92" s="28">
        <v>45762</v>
      </c>
      <c r="AL92" s="28">
        <v>45887</v>
      </c>
      <c r="AM92" s="27" t="s">
        <v>45</v>
      </c>
    </row>
    <row r="93" spans="1:39" outlineLevel="2" x14ac:dyDescent="0.35">
      <c r="A93" s="1" t="s">
        <v>1002</v>
      </c>
      <c r="B93" s="1" t="s">
        <v>1003</v>
      </c>
      <c r="C93" s="1" t="s">
        <v>1004</v>
      </c>
      <c r="D93" s="1" t="s">
        <v>1005</v>
      </c>
      <c r="E93" s="1" t="s">
        <v>9</v>
      </c>
      <c r="F93" s="1" t="s">
        <v>1015</v>
      </c>
      <c r="G93" s="9">
        <v>45762</v>
      </c>
      <c r="H93" s="27" t="s">
        <v>171</v>
      </c>
      <c r="I93" s="27" t="s">
        <v>5</v>
      </c>
      <c r="J93" s="28">
        <v>45762</v>
      </c>
      <c r="K93" s="28">
        <v>45763</v>
      </c>
      <c r="L93" s="27" t="s">
        <v>1023</v>
      </c>
      <c r="M93" s="29">
        <v>256779411579</v>
      </c>
      <c r="N93" s="27" t="s">
        <v>1007</v>
      </c>
      <c r="O93" s="27" t="s">
        <v>1008</v>
      </c>
      <c r="P93" s="27" t="s">
        <v>41</v>
      </c>
      <c r="Q93" s="27" t="s">
        <v>1025</v>
      </c>
      <c r="R93" s="27" t="s">
        <v>46</v>
      </c>
      <c r="S93" s="30">
        <v>4.8499999999999996</v>
      </c>
      <c r="T93" s="27" t="s">
        <v>42</v>
      </c>
      <c r="U93" s="30">
        <v>421.57</v>
      </c>
      <c r="V93" s="27" t="s">
        <v>1026</v>
      </c>
      <c r="W93" s="27" t="s">
        <v>41</v>
      </c>
      <c r="X93" s="27" t="s">
        <v>41</v>
      </c>
      <c r="Y93" s="27" t="s">
        <v>1023</v>
      </c>
      <c r="Z93" s="27" t="s">
        <v>1011</v>
      </c>
      <c r="AA93" s="27"/>
      <c r="AB93" s="27"/>
      <c r="AC93" s="27"/>
      <c r="AD93" s="27" t="e">
        <f>_xlfn.XLOOKUP(M93,'Customer Data Vlookup'!$R:$R,'Customer Data Vlookup'!$S:$S,,0)</f>
        <v>#N/A</v>
      </c>
      <c r="AE93" s="27"/>
      <c r="AF93" s="27"/>
      <c r="AG93" s="27" t="s">
        <v>157</v>
      </c>
      <c r="AH93" s="27" t="s">
        <v>41</v>
      </c>
      <c r="AI93" s="27" t="s">
        <v>41</v>
      </c>
      <c r="AJ93" s="27" t="s">
        <v>41</v>
      </c>
      <c r="AK93" s="28">
        <v>45762</v>
      </c>
      <c r="AL93" s="28">
        <v>45887</v>
      </c>
      <c r="AM93" s="27" t="s">
        <v>45</v>
      </c>
    </row>
    <row r="94" spans="1:39" outlineLevel="2" x14ac:dyDescent="0.35">
      <c r="A94" s="1" t="s">
        <v>1002</v>
      </c>
      <c r="B94" s="1" t="s">
        <v>1003</v>
      </c>
      <c r="C94" s="1" t="s">
        <v>1004</v>
      </c>
      <c r="D94" s="1" t="s">
        <v>1005</v>
      </c>
      <c r="E94" s="1" t="s">
        <v>9</v>
      </c>
      <c r="F94" s="1" t="s">
        <v>1015</v>
      </c>
      <c r="G94" s="9">
        <v>45762</v>
      </c>
      <c r="H94" s="27" t="s">
        <v>172</v>
      </c>
      <c r="I94" s="27" t="s">
        <v>5</v>
      </c>
      <c r="J94" s="28">
        <v>45762</v>
      </c>
      <c r="K94" s="28">
        <v>45763</v>
      </c>
      <c r="L94" s="27" t="s">
        <v>1023</v>
      </c>
      <c r="M94" s="29">
        <v>256779411580</v>
      </c>
      <c r="N94" s="27" t="s">
        <v>1007</v>
      </c>
      <c r="O94" s="27" t="s">
        <v>1008</v>
      </c>
      <c r="P94" s="27" t="s">
        <v>41</v>
      </c>
      <c r="Q94" s="27" t="s">
        <v>1025</v>
      </c>
      <c r="R94" s="27" t="s">
        <v>46</v>
      </c>
      <c r="S94" s="30">
        <v>21.76</v>
      </c>
      <c r="T94" s="27" t="s">
        <v>42</v>
      </c>
      <c r="U94" s="30">
        <v>1891.42</v>
      </c>
      <c r="V94" s="27" t="s">
        <v>1026</v>
      </c>
      <c r="W94" s="27" t="s">
        <v>41</v>
      </c>
      <c r="X94" s="27" t="s">
        <v>41</v>
      </c>
      <c r="Y94" s="27" t="s">
        <v>1023</v>
      </c>
      <c r="Z94" s="27" t="s">
        <v>1011</v>
      </c>
      <c r="AA94" s="27"/>
      <c r="AB94" s="27"/>
      <c r="AC94" s="27"/>
      <c r="AD94" s="27" t="e">
        <f>_xlfn.XLOOKUP(M94,'Customer Data Vlookup'!$R:$R,'Customer Data Vlookup'!$S:$S,,0)</f>
        <v>#N/A</v>
      </c>
      <c r="AE94" s="27"/>
      <c r="AF94" s="27"/>
      <c r="AG94" s="27" t="s">
        <v>157</v>
      </c>
      <c r="AH94" s="27" t="s">
        <v>41</v>
      </c>
      <c r="AI94" s="27" t="s">
        <v>41</v>
      </c>
      <c r="AJ94" s="27" t="s">
        <v>41</v>
      </c>
      <c r="AK94" s="28">
        <v>45762</v>
      </c>
      <c r="AL94" s="28">
        <v>45887</v>
      </c>
      <c r="AM94" s="27" t="s">
        <v>45</v>
      </c>
    </row>
    <row r="95" spans="1:39" outlineLevel="2" x14ac:dyDescent="0.35">
      <c r="A95" s="1" t="s">
        <v>1002</v>
      </c>
      <c r="B95" s="1" t="s">
        <v>1003</v>
      </c>
      <c r="C95" s="1" t="s">
        <v>1004</v>
      </c>
      <c r="D95" s="1" t="s">
        <v>1005</v>
      </c>
      <c r="E95" s="1" t="s">
        <v>9</v>
      </c>
      <c r="F95" s="1" t="s">
        <v>1015</v>
      </c>
      <c r="G95" s="9">
        <v>45762</v>
      </c>
      <c r="H95" s="27" t="s">
        <v>173</v>
      </c>
      <c r="I95" s="27" t="s">
        <v>5</v>
      </c>
      <c r="J95" s="28">
        <v>45762</v>
      </c>
      <c r="K95" s="28">
        <v>45763</v>
      </c>
      <c r="L95" s="27" t="s">
        <v>1023</v>
      </c>
      <c r="M95" s="29">
        <v>256779411581</v>
      </c>
      <c r="N95" s="27" t="s">
        <v>1007</v>
      </c>
      <c r="O95" s="27" t="s">
        <v>1008</v>
      </c>
      <c r="P95" s="27" t="s">
        <v>41</v>
      </c>
      <c r="Q95" s="27" t="s">
        <v>1025</v>
      </c>
      <c r="R95" s="27" t="s">
        <v>46</v>
      </c>
      <c r="S95" s="30">
        <v>2.2000000000000002</v>
      </c>
      <c r="T95" s="27" t="s">
        <v>42</v>
      </c>
      <c r="U95" s="30">
        <v>191.23</v>
      </c>
      <c r="V95" s="27" t="s">
        <v>1026</v>
      </c>
      <c r="W95" s="27" t="s">
        <v>41</v>
      </c>
      <c r="X95" s="27" t="s">
        <v>41</v>
      </c>
      <c r="Y95" s="27" t="s">
        <v>1023</v>
      </c>
      <c r="Z95" s="27" t="s">
        <v>1011</v>
      </c>
      <c r="AA95" s="27"/>
      <c r="AB95" s="27"/>
      <c r="AC95" s="27"/>
      <c r="AD95" s="27" t="e">
        <f>_xlfn.XLOOKUP(M95,'Customer Data Vlookup'!$R:$R,'Customer Data Vlookup'!$S:$S,,0)</f>
        <v>#N/A</v>
      </c>
      <c r="AE95" s="27"/>
      <c r="AF95" s="27"/>
      <c r="AG95" s="27" t="s">
        <v>157</v>
      </c>
      <c r="AH95" s="27" t="s">
        <v>41</v>
      </c>
      <c r="AI95" s="27" t="s">
        <v>41</v>
      </c>
      <c r="AJ95" s="27" t="s">
        <v>41</v>
      </c>
      <c r="AK95" s="28">
        <v>45762</v>
      </c>
      <c r="AL95" s="28">
        <v>45887</v>
      </c>
      <c r="AM95" s="27" t="s">
        <v>45</v>
      </c>
    </row>
    <row r="96" spans="1:39" outlineLevel="2" x14ac:dyDescent="0.35">
      <c r="A96" s="1" t="s">
        <v>1002</v>
      </c>
      <c r="B96" s="1" t="s">
        <v>1003</v>
      </c>
      <c r="C96" s="1" t="s">
        <v>1004</v>
      </c>
      <c r="D96" s="1" t="s">
        <v>1005</v>
      </c>
      <c r="E96" s="1" t="s">
        <v>9</v>
      </c>
      <c r="F96" s="1" t="s">
        <v>1015</v>
      </c>
      <c r="G96" s="9">
        <v>45762</v>
      </c>
      <c r="H96" s="27" t="s">
        <v>174</v>
      </c>
      <c r="I96" s="27" t="s">
        <v>5</v>
      </c>
      <c r="J96" s="28">
        <v>45762</v>
      </c>
      <c r="K96" s="28">
        <v>45763</v>
      </c>
      <c r="L96" s="27" t="s">
        <v>1023</v>
      </c>
      <c r="M96" s="29">
        <v>256779411582</v>
      </c>
      <c r="N96" s="27" t="s">
        <v>1007</v>
      </c>
      <c r="O96" s="27" t="s">
        <v>1008</v>
      </c>
      <c r="P96" s="27" t="s">
        <v>41</v>
      </c>
      <c r="Q96" s="27" t="s">
        <v>1025</v>
      </c>
      <c r="R96" s="27" t="s">
        <v>46</v>
      </c>
      <c r="S96" s="30">
        <v>1.1100000000000001</v>
      </c>
      <c r="T96" s="27" t="s">
        <v>42</v>
      </c>
      <c r="U96" s="30">
        <v>96.48</v>
      </c>
      <c r="V96" s="27" t="s">
        <v>1026</v>
      </c>
      <c r="W96" s="27" t="s">
        <v>41</v>
      </c>
      <c r="X96" s="27" t="s">
        <v>41</v>
      </c>
      <c r="Y96" s="27" t="s">
        <v>1023</v>
      </c>
      <c r="Z96" s="27" t="s">
        <v>1011</v>
      </c>
      <c r="AA96" s="27"/>
      <c r="AB96" s="27"/>
      <c r="AC96" s="27"/>
      <c r="AD96" s="27" t="e">
        <f>_xlfn.XLOOKUP(M96,'Customer Data Vlookup'!$R:$R,'Customer Data Vlookup'!$S:$S,,0)</f>
        <v>#N/A</v>
      </c>
      <c r="AE96" s="27"/>
      <c r="AF96" s="27"/>
      <c r="AG96" s="27" t="s">
        <v>157</v>
      </c>
      <c r="AH96" s="27" t="s">
        <v>41</v>
      </c>
      <c r="AI96" s="27" t="s">
        <v>41</v>
      </c>
      <c r="AJ96" s="27" t="s">
        <v>41</v>
      </c>
      <c r="AK96" s="28">
        <v>45762</v>
      </c>
      <c r="AL96" s="28">
        <v>45887</v>
      </c>
      <c r="AM96" s="27" t="s">
        <v>45</v>
      </c>
    </row>
    <row r="97" spans="1:39" outlineLevel="2" x14ac:dyDescent="0.35">
      <c r="A97" s="1" t="s">
        <v>1002</v>
      </c>
      <c r="B97" s="1" t="s">
        <v>1003</v>
      </c>
      <c r="C97" s="1" t="s">
        <v>1004</v>
      </c>
      <c r="D97" s="1" t="s">
        <v>1005</v>
      </c>
      <c r="E97" s="1" t="s">
        <v>9</v>
      </c>
      <c r="F97" s="1" t="s">
        <v>1015</v>
      </c>
      <c r="G97" s="9">
        <v>45762</v>
      </c>
      <c r="H97" s="27" t="s">
        <v>175</v>
      </c>
      <c r="I97" s="27" t="s">
        <v>5</v>
      </c>
      <c r="J97" s="28">
        <v>45762</v>
      </c>
      <c r="K97" s="28">
        <v>45763</v>
      </c>
      <c r="L97" s="27" t="s">
        <v>1023</v>
      </c>
      <c r="M97" s="29">
        <v>256779411583</v>
      </c>
      <c r="N97" s="27" t="s">
        <v>1007</v>
      </c>
      <c r="O97" s="27" t="s">
        <v>1008</v>
      </c>
      <c r="P97" s="27" t="s">
        <v>41</v>
      </c>
      <c r="Q97" s="27" t="s">
        <v>1025</v>
      </c>
      <c r="R97" s="27" t="s">
        <v>46</v>
      </c>
      <c r="S97" s="30">
        <v>11</v>
      </c>
      <c r="T97" s="27" t="s">
        <v>42</v>
      </c>
      <c r="U97" s="30">
        <v>956.14</v>
      </c>
      <c r="V97" s="27" t="s">
        <v>1026</v>
      </c>
      <c r="W97" s="27" t="s">
        <v>41</v>
      </c>
      <c r="X97" s="27" t="s">
        <v>41</v>
      </c>
      <c r="Y97" s="27" t="s">
        <v>1023</v>
      </c>
      <c r="Z97" s="27" t="s">
        <v>1011</v>
      </c>
      <c r="AA97" s="27"/>
      <c r="AB97" s="27"/>
      <c r="AC97" s="27"/>
      <c r="AD97" s="27" t="e">
        <f>_xlfn.XLOOKUP(M97,'Customer Data Vlookup'!$R:$R,'Customer Data Vlookup'!$S:$S,,0)</f>
        <v>#N/A</v>
      </c>
      <c r="AE97" s="27"/>
      <c r="AF97" s="27"/>
      <c r="AG97" s="27" t="s">
        <v>157</v>
      </c>
      <c r="AH97" s="27" t="s">
        <v>41</v>
      </c>
      <c r="AI97" s="27" t="s">
        <v>41</v>
      </c>
      <c r="AJ97" s="27" t="s">
        <v>41</v>
      </c>
      <c r="AK97" s="28">
        <v>45762</v>
      </c>
      <c r="AL97" s="28">
        <v>45887</v>
      </c>
      <c r="AM97" s="27" t="s">
        <v>45</v>
      </c>
    </row>
    <row r="98" spans="1:39" outlineLevel="2" x14ac:dyDescent="0.35">
      <c r="A98" s="1" t="s">
        <v>1002</v>
      </c>
      <c r="B98" s="1" t="s">
        <v>1003</v>
      </c>
      <c r="C98" s="1" t="s">
        <v>1004</v>
      </c>
      <c r="D98" s="1" t="s">
        <v>1005</v>
      </c>
      <c r="E98" s="1" t="s">
        <v>9</v>
      </c>
      <c r="F98" s="1" t="s">
        <v>1015</v>
      </c>
      <c r="G98" s="9">
        <v>45762</v>
      </c>
      <c r="H98" s="27" t="s">
        <v>176</v>
      </c>
      <c r="I98" s="27" t="s">
        <v>5</v>
      </c>
      <c r="J98" s="28">
        <v>45762</v>
      </c>
      <c r="K98" s="28">
        <v>45763</v>
      </c>
      <c r="L98" s="27" t="s">
        <v>1023</v>
      </c>
      <c r="M98" s="29">
        <v>256779411584</v>
      </c>
      <c r="N98" s="27" t="s">
        <v>1007</v>
      </c>
      <c r="O98" s="27" t="s">
        <v>1008</v>
      </c>
      <c r="P98" s="27" t="s">
        <v>41</v>
      </c>
      <c r="Q98" s="27" t="s">
        <v>1025</v>
      </c>
      <c r="R98" s="27" t="s">
        <v>46</v>
      </c>
      <c r="S98" s="30">
        <v>23.21</v>
      </c>
      <c r="T98" s="27" t="s">
        <v>42</v>
      </c>
      <c r="U98" s="30">
        <v>2017.46</v>
      </c>
      <c r="V98" s="27" t="s">
        <v>1026</v>
      </c>
      <c r="W98" s="27" t="s">
        <v>41</v>
      </c>
      <c r="X98" s="27" t="s">
        <v>41</v>
      </c>
      <c r="Y98" s="27" t="s">
        <v>1023</v>
      </c>
      <c r="Z98" s="27" t="s">
        <v>1011</v>
      </c>
      <c r="AA98" s="27"/>
      <c r="AB98" s="27"/>
      <c r="AC98" s="27"/>
      <c r="AD98" s="27" t="e">
        <f>_xlfn.XLOOKUP(M98,'Customer Data Vlookup'!$R:$R,'Customer Data Vlookup'!$S:$S,,0)</f>
        <v>#N/A</v>
      </c>
      <c r="AE98" s="27"/>
      <c r="AF98" s="27"/>
      <c r="AG98" s="27" t="s">
        <v>157</v>
      </c>
      <c r="AH98" s="27" t="s">
        <v>41</v>
      </c>
      <c r="AI98" s="27" t="s">
        <v>41</v>
      </c>
      <c r="AJ98" s="27" t="s">
        <v>41</v>
      </c>
      <c r="AK98" s="28">
        <v>45762</v>
      </c>
      <c r="AL98" s="28">
        <v>45887</v>
      </c>
      <c r="AM98" s="27" t="s">
        <v>45</v>
      </c>
    </row>
    <row r="99" spans="1:39" outlineLevel="2" x14ac:dyDescent="0.35">
      <c r="A99" s="1" t="s">
        <v>1002</v>
      </c>
      <c r="B99" s="1" t="s">
        <v>1003</v>
      </c>
      <c r="C99" s="1" t="s">
        <v>1004</v>
      </c>
      <c r="D99" s="1" t="s">
        <v>1005</v>
      </c>
      <c r="E99" s="1" t="s">
        <v>9</v>
      </c>
      <c r="F99" s="1" t="s">
        <v>1015</v>
      </c>
      <c r="G99" s="9">
        <v>45762</v>
      </c>
      <c r="H99" s="27" t="s">
        <v>177</v>
      </c>
      <c r="I99" s="27" t="s">
        <v>5</v>
      </c>
      <c r="J99" s="28">
        <v>45762</v>
      </c>
      <c r="K99" s="28">
        <v>45763</v>
      </c>
      <c r="L99" s="27" t="s">
        <v>1023</v>
      </c>
      <c r="M99" s="29">
        <v>256779411585</v>
      </c>
      <c r="N99" s="27" t="s">
        <v>1007</v>
      </c>
      <c r="O99" s="27" t="s">
        <v>1008</v>
      </c>
      <c r="P99" s="27" t="s">
        <v>41</v>
      </c>
      <c r="Q99" s="27" t="s">
        <v>1025</v>
      </c>
      <c r="R99" s="27" t="s">
        <v>46</v>
      </c>
      <c r="S99" s="30">
        <v>7.81</v>
      </c>
      <c r="T99" s="27" t="s">
        <v>42</v>
      </c>
      <c r="U99" s="30">
        <v>678.86</v>
      </c>
      <c r="V99" s="27" t="s">
        <v>1026</v>
      </c>
      <c r="W99" s="27" t="s">
        <v>41</v>
      </c>
      <c r="X99" s="27" t="s">
        <v>41</v>
      </c>
      <c r="Y99" s="27" t="s">
        <v>1023</v>
      </c>
      <c r="Z99" s="27" t="s">
        <v>1011</v>
      </c>
      <c r="AA99" s="27"/>
      <c r="AB99" s="27"/>
      <c r="AC99" s="27"/>
      <c r="AD99" s="27" t="e">
        <f>_xlfn.XLOOKUP(M99,'Customer Data Vlookup'!$R:$R,'Customer Data Vlookup'!$S:$S,,0)</f>
        <v>#N/A</v>
      </c>
      <c r="AE99" s="27"/>
      <c r="AF99" s="27"/>
      <c r="AG99" s="27" t="s">
        <v>157</v>
      </c>
      <c r="AH99" s="27" t="s">
        <v>41</v>
      </c>
      <c r="AI99" s="27" t="s">
        <v>41</v>
      </c>
      <c r="AJ99" s="27" t="s">
        <v>41</v>
      </c>
      <c r="AK99" s="28">
        <v>45762</v>
      </c>
      <c r="AL99" s="28">
        <v>45887</v>
      </c>
      <c r="AM99" s="27" t="s">
        <v>45</v>
      </c>
    </row>
    <row r="100" spans="1:39" outlineLevel="2" x14ac:dyDescent="0.35">
      <c r="A100" s="1" t="s">
        <v>1016</v>
      </c>
      <c r="B100" s="1" t="s">
        <v>1003</v>
      </c>
      <c r="C100" s="1" t="s">
        <v>1004</v>
      </c>
      <c r="D100" s="1" t="s">
        <v>1005</v>
      </c>
      <c r="E100" s="1" t="s">
        <v>9</v>
      </c>
      <c r="F100" s="1" t="s">
        <v>1017</v>
      </c>
      <c r="G100" s="9">
        <v>45947</v>
      </c>
      <c r="H100" s="27" t="s">
        <v>178</v>
      </c>
      <c r="I100" s="27" t="s">
        <v>4</v>
      </c>
      <c r="J100" s="28">
        <v>45947</v>
      </c>
      <c r="K100" s="28">
        <v>45953</v>
      </c>
      <c r="L100" s="27" t="s">
        <v>1023</v>
      </c>
      <c r="M100" s="29">
        <v>256779422014</v>
      </c>
      <c r="N100" s="27" t="s">
        <v>1007</v>
      </c>
      <c r="O100" s="27" t="s">
        <v>1008</v>
      </c>
      <c r="P100" s="27" t="s">
        <v>41</v>
      </c>
      <c r="Q100" s="27" t="s">
        <v>1022</v>
      </c>
      <c r="R100" s="27" t="s">
        <v>46</v>
      </c>
      <c r="S100" s="30">
        <v>-136.47999999999999</v>
      </c>
      <c r="T100" s="27" t="s">
        <v>42</v>
      </c>
      <c r="U100" s="30">
        <v>-12036.28</v>
      </c>
      <c r="V100" s="27" t="s">
        <v>1026</v>
      </c>
      <c r="W100" s="27" t="s">
        <v>1010</v>
      </c>
      <c r="X100" s="27" t="s">
        <v>41</v>
      </c>
      <c r="Y100" s="27" t="s">
        <v>1035</v>
      </c>
      <c r="Z100" s="27" t="s">
        <v>1011</v>
      </c>
      <c r="AA100" s="27"/>
      <c r="AB100" s="27"/>
      <c r="AC100" s="27"/>
      <c r="AD100" s="27" t="e">
        <f>_xlfn.XLOOKUP(M100,'Customer Data Vlookup'!$R:$R,'Customer Data Vlookup'!$S:$S,,0)</f>
        <v>#N/A</v>
      </c>
      <c r="AE100" s="27"/>
      <c r="AF100" s="27"/>
      <c r="AG100" s="27" t="s">
        <v>179</v>
      </c>
      <c r="AH100" s="27" t="s">
        <v>41</v>
      </c>
      <c r="AI100" s="27" t="s">
        <v>41</v>
      </c>
      <c r="AJ100" s="27" t="s">
        <v>41</v>
      </c>
      <c r="AK100" s="28">
        <v>45947</v>
      </c>
      <c r="AL100" s="28"/>
      <c r="AM100" s="27" t="s">
        <v>41</v>
      </c>
    </row>
    <row r="101" spans="1:39" outlineLevel="2" x14ac:dyDescent="0.35">
      <c r="A101" s="1" t="s">
        <v>1016</v>
      </c>
      <c r="B101" s="1" t="s">
        <v>1003</v>
      </c>
      <c r="C101" s="1" t="s">
        <v>1004</v>
      </c>
      <c r="D101" s="1" t="s">
        <v>1005</v>
      </c>
      <c r="E101" s="1" t="s">
        <v>9</v>
      </c>
      <c r="F101" s="1" t="s">
        <v>1015</v>
      </c>
      <c r="G101" s="9">
        <v>45763</v>
      </c>
      <c r="H101" s="27" t="s">
        <v>180</v>
      </c>
      <c r="I101" s="27" t="s">
        <v>5</v>
      </c>
      <c r="J101" s="28">
        <v>45763</v>
      </c>
      <c r="K101" s="28">
        <v>45764</v>
      </c>
      <c r="L101" s="27" t="s">
        <v>1023</v>
      </c>
      <c r="M101" s="29">
        <v>256779411887</v>
      </c>
      <c r="N101" s="27" t="s">
        <v>1007</v>
      </c>
      <c r="O101" s="27" t="s">
        <v>1008</v>
      </c>
      <c r="P101" s="27" t="s">
        <v>41</v>
      </c>
      <c r="Q101" s="27" t="s">
        <v>1025</v>
      </c>
      <c r="R101" s="27" t="s">
        <v>46</v>
      </c>
      <c r="S101" s="30">
        <v>71.22</v>
      </c>
      <c r="T101" s="27" t="s">
        <v>42</v>
      </c>
      <c r="U101" s="30">
        <v>6190.57</v>
      </c>
      <c r="V101" s="27" t="s">
        <v>1026</v>
      </c>
      <c r="W101" s="27" t="s">
        <v>1010</v>
      </c>
      <c r="X101" s="27" t="s">
        <v>41</v>
      </c>
      <c r="Y101" s="27" t="s">
        <v>1023</v>
      </c>
      <c r="Z101" s="27" t="s">
        <v>1011</v>
      </c>
      <c r="AA101" s="27"/>
      <c r="AB101" s="27"/>
      <c r="AC101" s="27"/>
      <c r="AD101" s="27" t="e">
        <f>_xlfn.XLOOKUP(M101,'Customer Data Vlookup'!$R:$R,'Customer Data Vlookup'!$S:$S,,0)</f>
        <v>#N/A</v>
      </c>
      <c r="AE101" s="27"/>
      <c r="AF101" s="27"/>
      <c r="AG101" s="27" t="s">
        <v>181</v>
      </c>
      <c r="AH101" s="27" t="s">
        <v>41</v>
      </c>
      <c r="AI101" s="27" t="s">
        <v>41</v>
      </c>
      <c r="AJ101" s="27" t="s">
        <v>41</v>
      </c>
      <c r="AK101" s="28">
        <v>45763</v>
      </c>
      <c r="AL101" s="28"/>
      <c r="AM101" s="27" t="s">
        <v>41</v>
      </c>
    </row>
    <row r="102" spans="1:39" outlineLevel="2" x14ac:dyDescent="0.35">
      <c r="A102" s="1" t="s">
        <v>1016</v>
      </c>
      <c r="B102" s="1" t="s">
        <v>1003</v>
      </c>
      <c r="C102" s="1" t="s">
        <v>1004</v>
      </c>
      <c r="D102" s="1" t="s">
        <v>1005</v>
      </c>
      <c r="E102" s="1" t="s">
        <v>9</v>
      </c>
      <c r="F102" s="1" t="s">
        <v>1015</v>
      </c>
      <c r="G102" s="9">
        <v>45763</v>
      </c>
      <c r="H102" s="27" t="s">
        <v>182</v>
      </c>
      <c r="I102" s="27" t="s">
        <v>5</v>
      </c>
      <c r="J102" s="28">
        <v>45763</v>
      </c>
      <c r="K102" s="28">
        <v>45764</v>
      </c>
      <c r="L102" s="27" t="s">
        <v>1023</v>
      </c>
      <c r="M102" s="29">
        <v>256779411984</v>
      </c>
      <c r="N102" s="27" t="s">
        <v>1007</v>
      </c>
      <c r="O102" s="27" t="s">
        <v>1008</v>
      </c>
      <c r="P102" s="27" t="s">
        <v>41</v>
      </c>
      <c r="Q102" s="27" t="s">
        <v>1025</v>
      </c>
      <c r="R102" s="27" t="s">
        <v>46</v>
      </c>
      <c r="S102" s="30">
        <v>39.54</v>
      </c>
      <c r="T102" s="27" t="s">
        <v>42</v>
      </c>
      <c r="U102" s="30">
        <v>3436.89</v>
      </c>
      <c r="V102" s="27" t="s">
        <v>1026</v>
      </c>
      <c r="W102" s="27" t="s">
        <v>1010</v>
      </c>
      <c r="X102" s="27" t="s">
        <v>41</v>
      </c>
      <c r="Y102" s="27" t="s">
        <v>1023</v>
      </c>
      <c r="Z102" s="27" t="s">
        <v>1011</v>
      </c>
      <c r="AA102" s="27"/>
      <c r="AB102" s="27"/>
      <c r="AC102" s="27"/>
      <c r="AD102" s="27" t="e">
        <f>_xlfn.XLOOKUP(M102,'Customer Data Vlookup'!$R:$R,'Customer Data Vlookup'!$S:$S,,0)</f>
        <v>#N/A</v>
      </c>
      <c r="AE102" s="27"/>
      <c r="AF102" s="27"/>
      <c r="AG102" s="27" t="s">
        <v>183</v>
      </c>
      <c r="AH102" s="27" t="s">
        <v>41</v>
      </c>
      <c r="AI102" s="27" t="s">
        <v>41</v>
      </c>
      <c r="AJ102" s="27" t="s">
        <v>41</v>
      </c>
      <c r="AK102" s="28">
        <v>45763</v>
      </c>
      <c r="AL102" s="28"/>
      <c r="AM102" s="27" t="s">
        <v>41</v>
      </c>
    </row>
    <row r="103" spans="1:39" outlineLevel="2" x14ac:dyDescent="0.35">
      <c r="A103" s="1" t="s">
        <v>1016</v>
      </c>
      <c r="B103" s="1" t="s">
        <v>1003</v>
      </c>
      <c r="C103" s="1" t="s">
        <v>1004</v>
      </c>
      <c r="D103" s="1" t="s">
        <v>1005</v>
      </c>
      <c r="E103" s="1" t="s">
        <v>9</v>
      </c>
      <c r="F103" s="1" t="s">
        <v>1015</v>
      </c>
      <c r="G103" s="9">
        <v>45763</v>
      </c>
      <c r="H103" s="27" t="s">
        <v>184</v>
      </c>
      <c r="I103" s="27" t="s">
        <v>5</v>
      </c>
      <c r="J103" s="28">
        <v>45763</v>
      </c>
      <c r="K103" s="28">
        <v>45764</v>
      </c>
      <c r="L103" s="27" t="s">
        <v>1023</v>
      </c>
      <c r="M103" s="29">
        <v>256779412020</v>
      </c>
      <c r="N103" s="27" t="s">
        <v>1007</v>
      </c>
      <c r="O103" s="27" t="s">
        <v>1008</v>
      </c>
      <c r="P103" s="27" t="s">
        <v>41</v>
      </c>
      <c r="Q103" s="27" t="s">
        <v>1025</v>
      </c>
      <c r="R103" s="27" t="s">
        <v>46</v>
      </c>
      <c r="S103" s="30">
        <v>85.21</v>
      </c>
      <c r="T103" s="27" t="s">
        <v>42</v>
      </c>
      <c r="U103" s="30">
        <v>7406.61</v>
      </c>
      <c r="V103" s="27" t="s">
        <v>1026</v>
      </c>
      <c r="W103" s="27" t="s">
        <v>1010</v>
      </c>
      <c r="X103" s="27" t="s">
        <v>41</v>
      </c>
      <c r="Y103" s="27" t="s">
        <v>1023</v>
      </c>
      <c r="Z103" s="27" t="s">
        <v>1011</v>
      </c>
      <c r="AA103" s="27"/>
      <c r="AB103" s="27"/>
      <c r="AC103" s="27"/>
      <c r="AD103" s="27" t="e">
        <f>_xlfn.XLOOKUP(M103,'Customer Data Vlookup'!$R:$R,'Customer Data Vlookup'!$S:$S,,0)</f>
        <v>#N/A</v>
      </c>
      <c r="AE103" s="27"/>
      <c r="AF103" s="27"/>
      <c r="AG103" s="27" t="s">
        <v>185</v>
      </c>
      <c r="AH103" s="27" t="s">
        <v>41</v>
      </c>
      <c r="AI103" s="27" t="s">
        <v>41</v>
      </c>
      <c r="AJ103" s="27" t="s">
        <v>41</v>
      </c>
      <c r="AK103" s="28">
        <v>45763</v>
      </c>
      <c r="AL103" s="28"/>
      <c r="AM103" s="27" t="s">
        <v>41</v>
      </c>
    </row>
    <row r="104" spans="1:39" outlineLevel="2" x14ac:dyDescent="0.35">
      <c r="A104" s="1" t="s">
        <v>1016</v>
      </c>
      <c r="B104" s="1" t="s">
        <v>1003</v>
      </c>
      <c r="C104" s="1" t="s">
        <v>1004</v>
      </c>
      <c r="D104" s="1" t="s">
        <v>1005</v>
      </c>
      <c r="E104" s="1" t="s">
        <v>9</v>
      </c>
      <c r="F104" s="1" t="s">
        <v>1015</v>
      </c>
      <c r="G104" s="9">
        <v>45763</v>
      </c>
      <c r="H104" s="27" t="s">
        <v>186</v>
      </c>
      <c r="I104" s="27" t="s">
        <v>5</v>
      </c>
      <c r="J104" s="28">
        <v>45763</v>
      </c>
      <c r="K104" s="28">
        <v>45764</v>
      </c>
      <c r="L104" s="27" t="s">
        <v>1023</v>
      </c>
      <c r="M104" s="29">
        <v>256779412101</v>
      </c>
      <c r="N104" s="27" t="s">
        <v>1007</v>
      </c>
      <c r="O104" s="27" t="s">
        <v>1008</v>
      </c>
      <c r="P104" s="27" t="s">
        <v>41</v>
      </c>
      <c r="Q104" s="27" t="s">
        <v>1025</v>
      </c>
      <c r="R104" s="27" t="s">
        <v>46</v>
      </c>
      <c r="S104" s="30">
        <v>171.71</v>
      </c>
      <c r="T104" s="27" t="s">
        <v>42</v>
      </c>
      <c r="U104" s="30">
        <v>14925.35</v>
      </c>
      <c r="V104" s="27" t="s">
        <v>1026</v>
      </c>
      <c r="W104" s="27" t="s">
        <v>1010</v>
      </c>
      <c r="X104" s="27" t="s">
        <v>41</v>
      </c>
      <c r="Y104" s="27" t="s">
        <v>1023</v>
      </c>
      <c r="Z104" s="27" t="s">
        <v>1011</v>
      </c>
      <c r="AA104" s="27"/>
      <c r="AB104" s="27"/>
      <c r="AC104" s="27"/>
      <c r="AD104" s="27" t="e">
        <f>_xlfn.XLOOKUP(M104,'Customer Data Vlookup'!$R:$R,'Customer Data Vlookup'!$S:$S,,0)</f>
        <v>#N/A</v>
      </c>
      <c r="AE104" s="27"/>
      <c r="AF104" s="27"/>
      <c r="AG104" s="27" t="s">
        <v>187</v>
      </c>
      <c r="AH104" s="27" t="s">
        <v>41</v>
      </c>
      <c r="AI104" s="27" t="s">
        <v>41</v>
      </c>
      <c r="AJ104" s="27" t="s">
        <v>41</v>
      </c>
      <c r="AK104" s="28">
        <v>45763</v>
      </c>
      <c r="AL104" s="28"/>
      <c r="AM104" s="27" t="s">
        <v>41</v>
      </c>
    </row>
    <row r="105" spans="1:39" outlineLevel="2" x14ac:dyDescent="0.35">
      <c r="A105" s="1" t="s">
        <v>1016</v>
      </c>
      <c r="B105" s="1" t="s">
        <v>1003</v>
      </c>
      <c r="C105" s="1" t="s">
        <v>1004</v>
      </c>
      <c r="D105" s="1" t="s">
        <v>1005</v>
      </c>
      <c r="E105" s="1" t="s">
        <v>9</v>
      </c>
      <c r="F105" s="1" t="s">
        <v>1015</v>
      </c>
      <c r="G105" s="9">
        <v>45763</v>
      </c>
      <c r="H105" s="27" t="s">
        <v>188</v>
      </c>
      <c r="I105" s="27" t="s">
        <v>5</v>
      </c>
      <c r="J105" s="28">
        <v>45763</v>
      </c>
      <c r="K105" s="28">
        <v>45764</v>
      </c>
      <c r="L105" s="27" t="s">
        <v>1023</v>
      </c>
      <c r="M105" s="29">
        <v>256779412126</v>
      </c>
      <c r="N105" s="27" t="s">
        <v>1007</v>
      </c>
      <c r="O105" s="27" t="s">
        <v>1008</v>
      </c>
      <c r="P105" s="27" t="s">
        <v>41</v>
      </c>
      <c r="Q105" s="27" t="s">
        <v>1025</v>
      </c>
      <c r="R105" s="27" t="s">
        <v>46</v>
      </c>
      <c r="S105" s="30">
        <v>500.58</v>
      </c>
      <c r="T105" s="27" t="s">
        <v>42</v>
      </c>
      <c r="U105" s="30">
        <v>43511.32</v>
      </c>
      <c r="V105" s="27" t="s">
        <v>1026</v>
      </c>
      <c r="W105" s="27" t="s">
        <v>1010</v>
      </c>
      <c r="X105" s="27" t="s">
        <v>41</v>
      </c>
      <c r="Y105" s="27" t="s">
        <v>1023</v>
      </c>
      <c r="Z105" s="27" t="s">
        <v>1011</v>
      </c>
      <c r="AA105" s="27"/>
      <c r="AB105" s="27"/>
      <c r="AC105" s="27"/>
      <c r="AD105" s="27" t="e">
        <f>_xlfn.XLOOKUP(M105,'Customer Data Vlookup'!$R:$R,'Customer Data Vlookup'!$S:$S,,0)</f>
        <v>#N/A</v>
      </c>
      <c r="AE105" s="27"/>
      <c r="AF105" s="27"/>
      <c r="AG105" s="27" t="s">
        <v>189</v>
      </c>
      <c r="AH105" s="27" t="s">
        <v>41</v>
      </c>
      <c r="AI105" s="27" t="s">
        <v>41</v>
      </c>
      <c r="AJ105" s="27" t="s">
        <v>41</v>
      </c>
      <c r="AK105" s="28">
        <v>45763</v>
      </c>
      <c r="AL105" s="28"/>
      <c r="AM105" s="27" t="s">
        <v>41</v>
      </c>
    </row>
    <row r="106" spans="1:39" outlineLevel="2" x14ac:dyDescent="0.35">
      <c r="A106" s="1" t="s">
        <v>1016</v>
      </c>
      <c r="B106" s="1" t="s">
        <v>1003</v>
      </c>
      <c r="C106" s="1" t="s">
        <v>1004</v>
      </c>
      <c r="D106" s="1" t="s">
        <v>1005</v>
      </c>
      <c r="E106" s="1" t="s">
        <v>9</v>
      </c>
      <c r="F106" s="1" t="s">
        <v>1019</v>
      </c>
      <c r="G106" s="9">
        <v>45863</v>
      </c>
      <c r="H106" s="27" t="s">
        <v>190</v>
      </c>
      <c r="I106" s="27" t="s">
        <v>5</v>
      </c>
      <c r="J106" s="28">
        <v>45863</v>
      </c>
      <c r="K106" s="28">
        <v>45863</v>
      </c>
      <c r="L106" s="27" t="s">
        <v>1023</v>
      </c>
      <c r="M106" s="29">
        <v>256779415996</v>
      </c>
      <c r="N106" s="27" t="s">
        <v>1007</v>
      </c>
      <c r="O106" s="27" t="s">
        <v>1008</v>
      </c>
      <c r="P106" s="27" t="s">
        <v>41</v>
      </c>
      <c r="Q106" s="27" t="s">
        <v>1025</v>
      </c>
      <c r="R106" s="27" t="s">
        <v>46</v>
      </c>
      <c r="S106" s="30">
        <v>755.58</v>
      </c>
      <c r="T106" s="27" t="s">
        <v>42</v>
      </c>
      <c r="U106" s="30">
        <v>64980.39</v>
      </c>
      <c r="V106" s="27" t="s">
        <v>1026</v>
      </c>
      <c r="W106" s="27" t="s">
        <v>1010</v>
      </c>
      <c r="X106" s="27" t="s">
        <v>41</v>
      </c>
      <c r="Y106" s="27" t="s">
        <v>1023</v>
      </c>
      <c r="Z106" s="27" t="s">
        <v>1011</v>
      </c>
      <c r="AA106" s="27"/>
      <c r="AB106" s="27"/>
      <c r="AC106" s="27"/>
      <c r="AD106" s="27" t="e">
        <f>_xlfn.XLOOKUP(M106,'Customer Data Vlookup'!$R:$R,'Customer Data Vlookup'!$S:$S,,0)</f>
        <v>#N/A</v>
      </c>
      <c r="AE106" s="27"/>
      <c r="AF106" s="27"/>
      <c r="AG106" s="27" t="s">
        <v>191</v>
      </c>
      <c r="AH106" s="27" t="s">
        <v>41</v>
      </c>
      <c r="AI106" s="27" t="s">
        <v>41</v>
      </c>
      <c r="AJ106" s="27" t="s">
        <v>41</v>
      </c>
      <c r="AK106" s="28">
        <v>45863</v>
      </c>
      <c r="AL106" s="28"/>
      <c r="AM106" s="27" t="s">
        <v>41</v>
      </c>
    </row>
    <row r="107" spans="1:39" outlineLevel="2" x14ac:dyDescent="0.35">
      <c r="A107" s="1" t="s">
        <v>1002</v>
      </c>
      <c r="B107" s="1" t="s">
        <v>1003</v>
      </c>
      <c r="C107" s="1" t="s">
        <v>1004</v>
      </c>
      <c r="D107" s="1" t="s">
        <v>1005</v>
      </c>
      <c r="E107" s="1" t="s">
        <v>9</v>
      </c>
      <c r="F107" s="1" t="s">
        <v>1021</v>
      </c>
      <c r="G107" s="9">
        <v>45730</v>
      </c>
      <c r="H107" s="27" t="s">
        <v>192</v>
      </c>
      <c r="I107" s="27" t="s">
        <v>5</v>
      </c>
      <c r="J107" s="28">
        <v>45730</v>
      </c>
      <c r="K107" s="28">
        <v>45735</v>
      </c>
      <c r="L107" s="27" t="s">
        <v>1023</v>
      </c>
      <c r="M107" s="29">
        <v>246779412238</v>
      </c>
      <c r="N107" s="27" t="s">
        <v>1007</v>
      </c>
      <c r="O107" s="27" t="s">
        <v>1008</v>
      </c>
      <c r="P107" s="27" t="s">
        <v>41</v>
      </c>
      <c r="Q107" s="27" t="s">
        <v>1025</v>
      </c>
      <c r="R107" s="27" t="s">
        <v>46</v>
      </c>
      <c r="S107" s="30">
        <v>945.75</v>
      </c>
      <c r="T107" s="27" t="s">
        <v>42</v>
      </c>
      <c r="U107" s="30">
        <v>81988.259999999995</v>
      </c>
      <c r="V107" s="27" t="s">
        <v>1026</v>
      </c>
      <c r="W107" s="27" t="s">
        <v>1010</v>
      </c>
      <c r="X107" s="27" t="s">
        <v>41</v>
      </c>
      <c r="Y107" s="27" t="s">
        <v>1023</v>
      </c>
      <c r="Z107" s="27" t="s">
        <v>1011</v>
      </c>
      <c r="AA107" s="27"/>
      <c r="AB107" s="27"/>
      <c r="AC107" s="27"/>
      <c r="AD107" s="27" t="e">
        <f>_xlfn.XLOOKUP(M107,'Customer Data Vlookup'!$R:$R,'Customer Data Vlookup'!$S:$S,,0)</f>
        <v>#N/A</v>
      </c>
      <c r="AE107" s="27"/>
      <c r="AF107" s="27"/>
      <c r="AG107" s="27" t="s">
        <v>193</v>
      </c>
      <c r="AH107" s="27" t="s">
        <v>41</v>
      </c>
      <c r="AI107" s="27" t="s">
        <v>41</v>
      </c>
      <c r="AJ107" s="27" t="s">
        <v>41</v>
      </c>
      <c r="AK107" s="28">
        <v>45730</v>
      </c>
      <c r="AL107" s="28">
        <v>45842</v>
      </c>
      <c r="AM107" s="27" t="s">
        <v>63</v>
      </c>
    </row>
    <row r="108" spans="1:39" outlineLevel="2" x14ac:dyDescent="0.35">
      <c r="A108" s="1" t="s">
        <v>1002</v>
      </c>
      <c r="B108" s="1" t="s">
        <v>1003</v>
      </c>
      <c r="C108" s="1" t="s">
        <v>1004</v>
      </c>
      <c r="D108" s="1" t="s">
        <v>1005</v>
      </c>
      <c r="E108" s="1" t="s">
        <v>9</v>
      </c>
      <c r="F108" s="1" t="s">
        <v>1021</v>
      </c>
      <c r="G108" s="9">
        <v>45730</v>
      </c>
      <c r="H108" s="27" t="s">
        <v>194</v>
      </c>
      <c r="I108" s="27" t="s">
        <v>5</v>
      </c>
      <c r="J108" s="28">
        <v>45730</v>
      </c>
      <c r="K108" s="28">
        <v>45733</v>
      </c>
      <c r="L108" s="27" t="s">
        <v>1023</v>
      </c>
      <c r="M108" s="29">
        <v>246779411449</v>
      </c>
      <c r="N108" s="27" t="s">
        <v>1007</v>
      </c>
      <c r="O108" s="27" t="s">
        <v>1008</v>
      </c>
      <c r="P108" s="27" t="s">
        <v>41</v>
      </c>
      <c r="Q108" s="27" t="s">
        <v>1025</v>
      </c>
      <c r="R108" s="27" t="s">
        <v>46</v>
      </c>
      <c r="S108" s="30">
        <v>945.75</v>
      </c>
      <c r="T108" s="27" t="s">
        <v>42</v>
      </c>
      <c r="U108" s="30">
        <v>81988.259999999995</v>
      </c>
      <c r="V108" s="27" t="s">
        <v>1026</v>
      </c>
      <c r="W108" s="27" t="s">
        <v>1010</v>
      </c>
      <c r="X108" s="27" t="s">
        <v>41</v>
      </c>
      <c r="Y108" s="27" t="s">
        <v>1023</v>
      </c>
      <c r="Z108" s="27" t="s">
        <v>1011</v>
      </c>
      <c r="AA108" s="27"/>
      <c r="AB108" s="27"/>
      <c r="AC108" s="27"/>
      <c r="AD108" s="27" t="e">
        <f>_xlfn.XLOOKUP(M108,'Customer Data Vlookup'!$R:$R,'Customer Data Vlookup'!$S:$S,,0)</f>
        <v>#N/A</v>
      </c>
      <c r="AE108" s="27"/>
      <c r="AF108" s="27"/>
      <c r="AG108" s="27" t="s">
        <v>193</v>
      </c>
      <c r="AH108" s="27" t="s">
        <v>41</v>
      </c>
      <c r="AI108" s="27" t="s">
        <v>41</v>
      </c>
      <c r="AJ108" s="27" t="s">
        <v>41</v>
      </c>
      <c r="AK108" s="28">
        <v>45730</v>
      </c>
      <c r="AL108" s="28">
        <v>45887</v>
      </c>
      <c r="AM108" s="27" t="s">
        <v>45</v>
      </c>
    </row>
    <row r="109" spans="1:39" outlineLevel="2" x14ac:dyDescent="0.35">
      <c r="A109" s="1" t="s">
        <v>1016</v>
      </c>
      <c r="B109" s="1" t="s">
        <v>1003</v>
      </c>
      <c r="C109" s="1" t="s">
        <v>1004</v>
      </c>
      <c r="D109" s="1" t="s">
        <v>1005</v>
      </c>
      <c r="E109" s="1" t="s">
        <v>9</v>
      </c>
      <c r="F109" s="1" t="s">
        <v>1014</v>
      </c>
      <c r="G109" s="9">
        <v>45883</v>
      </c>
      <c r="H109" s="27" t="s">
        <v>1036</v>
      </c>
      <c r="I109" s="27" t="s">
        <v>4</v>
      </c>
      <c r="J109" s="28">
        <v>45883</v>
      </c>
      <c r="K109" s="28">
        <v>45891</v>
      </c>
      <c r="L109" s="27" t="s">
        <v>1023</v>
      </c>
      <c r="M109" s="29">
        <v>256779421715</v>
      </c>
      <c r="N109" s="27" t="s">
        <v>1007</v>
      </c>
      <c r="O109" s="27" t="s">
        <v>1008</v>
      </c>
      <c r="P109" s="27" t="s">
        <v>41</v>
      </c>
      <c r="Q109" s="27" t="s">
        <v>1022</v>
      </c>
      <c r="R109" s="27" t="s">
        <v>46</v>
      </c>
      <c r="S109" s="30">
        <v>-2324.77</v>
      </c>
      <c r="T109" s="27" t="s">
        <v>42</v>
      </c>
      <c r="U109" s="30">
        <v>-200000.24</v>
      </c>
      <c r="V109" s="27" t="s">
        <v>1026</v>
      </c>
      <c r="W109" s="27" t="s">
        <v>1010</v>
      </c>
      <c r="X109" s="27" t="s">
        <v>41</v>
      </c>
      <c r="Y109" s="27" t="s">
        <v>1023</v>
      </c>
      <c r="Z109" s="27" t="s">
        <v>1011</v>
      </c>
      <c r="AA109" s="27"/>
      <c r="AB109" s="27"/>
      <c r="AC109" s="27"/>
      <c r="AD109" s="27" t="e">
        <f>_xlfn.XLOOKUP(M109,'Customer Data Vlookup'!$R:$R,'Customer Data Vlookup'!$S:$S,,0)</f>
        <v>#N/A</v>
      </c>
      <c r="AE109" s="27"/>
      <c r="AF109" s="27"/>
      <c r="AG109" s="27" t="s">
        <v>90</v>
      </c>
      <c r="AH109" s="27" t="s">
        <v>41</v>
      </c>
      <c r="AI109" s="27" t="s">
        <v>41</v>
      </c>
      <c r="AJ109" s="27" t="s">
        <v>41</v>
      </c>
      <c r="AK109" s="28">
        <v>45883</v>
      </c>
      <c r="AL109" s="28"/>
      <c r="AM109" s="27" t="s">
        <v>41</v>
      </c>
    </row>
    <row r="110" spans="1:39" outlineLevel="2" x14ac:dyDescent="0.35">
      <c r="A110" s="1" t="s">
        <v>1016</v>
      </c>
      <c r="B110" s="1" t="s">
        <v>1003</v>
      </c>
      <c r="C110" s="1" t="s">
        <v>1004</v>
      </c>
      <c r="D110" s="1" t="s">
        <v>1005</v>
      </c>
      <c r="E110" s="1" t="s">
        <v>9</v>
      </c>
      <c r="F110" s="1" t="s">
        <v>1006</v>
      </c>
      <c r="G110" s="9">
        <v>45904</v>
      </c>
      <c r="H110" s="27" t="s">
        <v>195</v>
      </c>
      <c r="I110" s="27" t="s">
        <v>5</v>
      </c>
      <c r="J110" s="28">
        <v>45904</v>
      </c>
      <c r="K110" s="28">
        <v>45909</v>
      </c>
      <c r="L110" s="27" t="s">
        <v>1023</v>
      </c>
      <c r="M110" s="29">
        <v>256779417161</v>
      </c>
      <c r="N110" s="27" t="s">
        <v>1007</v>
      </c>
      <c r="O110" s="27" t="s">
        <v>1008</v>
      </c>
      <c r="P110" s="27" t="s">
        <v>41</v>
      </c>
      <c r="Q110" s="27" t="s">
        <v>1025</v>
      </c>
      <c r="R110" s="27" t="s">
        <v>46</v>
      </c>
      <c r="S110" s="30">
        <v>787.95</v>
      </c>
      <c r="T110" s="27" t="s">
        <v>42</v>
      </c>
      <c r="U110" s="30">
        <v>68956.92</v>
      </c>
      <c r="V110" s="27" t="s">
        <v>1026</v>
      </c>
      <c r="W110" s="27" t="s">
        <v>1010</v>
      </c>
      <c r="X110" s="27" t="s">
        <v>41</v>
      </c>
      <c r="Y110" s="27" t="s">
        <v>1023</v>
      </c>
      <c r="Z110" s="27" t="s">
        <v>1011</v>
      </c>
      <c r="AA110" s="27"/>
      <c r="AB110" s="27"/>
      <c r="AC110" s="27"/>
      <c r="AD110" s="27" t="e">
        <f>_xlfn.XLOOKUP(M110,'Customer Data Vlookup'!$R:$R,'Customer Data Vlookup'!$S:$S,,0)</f>
        <v>#N/A</v>
      </c>
      <c r="AE110" s="27"/>
      <c r="AF110" s="27"/>
      <c r="AG110" s="27" t="s">
        <v>196</v>
      </c>
      <c r="AH110" s="27" t="s">
        <v>41</v>
      </c>
      <c r="AI110" s="27" t="s">
        <v>41</v>
      </c>
      <c r="AJ110" s="27" t="s">
        <v>41</v>
      </c>
      <c r="AK110" s="28">
        <v>45904</v>
      </c>
      <c r="AL110" s="28"/>
      <c r="AM110" s="27" t="s">
        <v>41</v>
      </c>
    </row>
    <row r="111" spans="1:39" outlineLevel="2" x14ac:dyDescent="0.35">
      <c r="A111" s="1" t="s">
        <v>1016</v>
      </c>
      <c r="B111" s="1" t="s">
        <v>1003</v>
      </c>
      <c r="C111" s="1" t="s">
        <v>1004</v>
      </c>
      <c r="D111" s="1" t="s">
        <v>1005</v>
      </c>
      <c r="E111" s="1" t="s">
        <v>9</v>
      </c>
      <c r="F111" s="1" t="s">
        <v>1006</v>
      </c>
      <c r="G111" s="9">
        <v>45904</v>
      </c>
      <c r="H111" s="27" t="s">
        <v>197</v>
      </c>
      <c r="I111" s="27" t="s">
        <v>5</v>
      </c>
      <c r="J111" s="28">
        <v>45904</v>
      </c>
      <c r="K111" s="28">
        <v>45909</v>
      </c>
      <c r="L111" s="27" t="s">
        <v>1023</v>
      </c>
      <c r="M111" s="29">
        <v>256779417178</v>
      </c>
      <c r="N111" s="27" t="s">
        <v>1007</v>
      </c>
      <c r="O111" s="27" t="s">
        <v>1008</v>
      </c>
      <c r="P111" s="27" t="s">
        <v>41</v>
      </c>
      <c r="Q111" s="27" t="s">
        <v>1025</v>
      </c>
      <c r="R111" s="27" t="s">
        <v>46</v>
      </c>
      <c r="S111" s="30">
        <v>1560</v>
      </c>
      <c r="T111" s="27" t="s">
        <v>42</v>
      </c>
      <c r="U111" s="30">
        <v>136522.35</v>
      </c>
      <c r="V111" s="27" t="s">
        <v>1026</v>
      </c>
      <c r="W111" s="27" t="s">
        <v>1010</v>
      </c>
      <c r="X111" s="27" t="s">
        <v>41</v>
      </c>
      <c r="Y111" s="27" t="s">
        <v>1023</v>
      </c>
      <c r="Z111" s="27" t="s">
        <v>1011</v>
      </c>
      <c r="AA111" s="27"/>
      <c r="AB111" s="27"/>
      <c r="AC111" s="27"/>
      <c r="AD111" s="27" t="e">
        <f>_xlfn.XLOOKUP(M111,'Customer Data Vlookup'!$R:$R,'Customer Data Vlookup'!$S:$S,,0)</f>
        <v>#N/A</v>
      </c>
      <c r="AE111" s="27"/>
      <c r="AF111" s="27"/>
      <c r="AG111" s="27" t="s">
        <v>198</v>
      </c>
      <c r="AH111" s="27" t="s">
        <v>41</v>
      </c>
      <c r="AI111" s="27" t="s">
        <v>41</v>
      </c>
      <c r="AJ111" s="27" t="s">
        <v>41</v>
      </c>
      <c r="AK111" s="28">
        <v>45904</v>
      </c>
      <c r="AL111" s="28"/>
      <c r="AM111" s="27" t="s">
        <v>41</v>
      </c>
    </row>
    <row r="112" spans="1:39" outlineLevel="2" x14ac:dyDescent="0.35">
      <c r="A112" s="1" t="s">
        <v>1016</v>
      </c>
      <c r="B112" s="1" t="s">
        <v>1003</v>
      </c>
      <c r="C112" s="1" t="s">
        <v>1004</v>
      </c>
      <c r="D112" s="1" t="s">
        <v>1005</v>
      </c>
      <c r="E112" s="1" t="s">
        <v>9</v>
      </c>
      <c r="F112" s="1" t="s">
        <v>1006</v>
      </c>
      <c r="G112" s="9">
        <v>45904</v>
      </c>
      <c r="H112" s="27" t="s">
        <v>199</v>
      </c>
      <c r="I112" s="27" t="s">
        <v>5</v>
      </c>
      <c r="J112" s="28">
        <v>45904</v>
      </c>
      <c r="K112" s="28">
        <v>45909</v>
      </c>
      <c r="L112" s="27" t="s">
        <v>1023</v>
      </c>
      <c r="M112" s="29">
        <v>256779417179</v>
      </c>
      <c r="N112" s="27" t="s">
        <v>1007</v>
      </c>
      <c r="O112" s="27" t="s">
        <v>1008</v>
      </c>
      <c r="P112" s="27" t="s">
        <v>41</v>
      </c>
      <c r="Q112" s="27" t="s">
        <v>1025</v>
      </c>
      <c r="R112" s="27" t="s">
        <v>46</v>
      </c>
      <c r="S112" s="30">
        <v>1560</v>
      </c>
      <c r="T112" s="27" t="s">
        <v>42</v>
      </c>
      <c r="U112" s="30">
        <v>136522.35</v>
      </c>
      <c r="V112" s="27" t="s">
        <v>1026</v>
      </c>
      <c r="W112" s="27" t="s">
        <v>1010</v>
      </c>
      <c r="X112" s="27" t="s">
        <v>41</v>
      </c>
      <c r="Y112" s="27" t="s">
        <v>1023</v>
      </c>
      <c r="Z112" s="27" t="s">
        <v>1011</v>
      </c>
      <c r="AA112" s="27"/>
      <c r="AB112" s="27"/>
      <c r="AC112" s="27"/>
      <c r="AD112" s="27" t="e">
        <f>_xlfn.XLOOKUP(M112,'Customer Data Vlookup'!$R:$R,'Customer Data Vlookup'!$S:$S,,0)</f>
        <v>#N/A</v>
      </c>
      <c r="AE112" s="27"/>
      <c r="AF112" s="27"/>
      <c r="AG112" s="27" t="s">
        <v>200</v>
      </c>
      <c r="AH112" s="27" t="s">
        <v>41</v>
      </c>
      <c r="AI112" s="27" t="s">
        <v>41</v>
      </c>
      <c r="AJ112" s="27" t="s">
        <v>41</v>
      </c>
      <c r="AK112" s="28">
        <v>45904</v>
      </c>
      <c r="AL112" s="28"/>
      <c r="AM112" s="27" t="s">
        <v>41</v>
      </c>
    </row>
    <row r="113" spans="1:39" outlineLevel="2" x14ac:dyDescent="0.35">
      <c r="A113" s="1" t="s">
        <v>1016</v>
      </c>
      <c r="B113" s="1" t="s">
        <v>1003</v>
      </c>
      <c r="C113" s="1" t="s">
        <v>1004</v>
      </c>
      <c r="D113" s="1" t="s">
        <v>1005</v>
      </c>
      <c r="E113" s="1" t="s">
        <v>9</v>
      </c>
      <c r="F113" s="1" t="s">
        <v>1006</v>
      </c>
      <c r="G113" s="9">
        <v>45904</v>
      </c>
      <c r="H113" s="27" t="s">
        <v>201</v>
      </c>
      <c r="I113" s="27" t="s">
        <v>5</v>
      </c>
      <c r="J113" s="28">
        <v>45904</v>
      </c>
      <c r="K113" s="28">
        <v>45909</v>
      </c>
      <c r="L113" s="27" t="s">
        <v>1023</v>
      </c>
      <c r="M113" s="29">
        <v>256779417180</v>
      </c>
      <c r="N113" s="27" t="s">
        <v>1007</v>
      </c>
      <c r="O113" s="27" t="s">
        <v>1008</v>
      </c>
      <c r="P113" s="27" t="s">
        <v>41</v>
      </c>
      <c r="Q113" s="27" t="s">
        <v>1025</v>
      </c>
      <c r="R113" s="27" t="s">
        <v>46</v>
      </c>
      <c r="S113" s="30">
        <v>1799.1</v>
      </c>
      <c r="T113" s="27" t="s">
        <v>42</v>
      </c>
      <c r="U113" s="30">
        <v>157447.03</v>
      </c>
      <c r="V113" s="27" t="s">
        <v>1026</v>
      </c>
      <c r="W113" s="27" t="s">
        <v>1010</v>
      </c>
      <c r="X113" s="27" t="s">
        <v>41</v>
      </c>
      <c r="Y113" s="27" t="s">
        <v>1023</v>
      </c>
      <c r="Z113" s="27" t="s">
        <v>1011</v>
      </c>
      <c r="AA113" s="27"/>
      <c r="AB113" s="27"/>
      <c r="AC113" s="27"/>
      <c r="AD113" s="27" t="e">
        <f>_xlfn.XLOOKUP(M113,'Customer Data Vlookup'!$R:$R,'Customer Data Vlookup'!$S:$S,,0)</f>
        <v>#N/A</v>
      </c>
      <c r="AE113" s="27"/>
      <c r="AF113" s="27"/>
      <c r="AG113" s="27" t="s">
        <v>202</v>
      </c>
      <c r="AH113" s="27" t="s">
        <v>41</v>
      </c>
      <c r="AI113" s="27" t="s">
        <v>41</v>
      </c>
      <c r="AJ113" s="27" t="s">
        <v>41</v>
      </c>
      <c r="AK113" s="28">
        <v>45904</v>
      </c>
      <c r="AL113" s="28"/>
      <c r="AM113" s="27" t="s">
        <v>41</v>
      </c>
    </row>
    <row r="114" spans="1:39" outlineLevel="2" x14ac:dyDescent="0.35">
      <c r="A114" s="1" t="s">
        <v>1016</v>
      </c>
      <c r="B114" s="1" t="s">
        <v>1003</v>
      </c>
      <c r="C114" s="1" t="s">
        <v>1004</v>
      </c>
      <c r="D114" s="1" t="s">
        <v>1005</v>
      </c>
      <c r="E114" s="1" t="s">
        <v>9</v>
      </c>
      <c r="F114" s="1" t="s">
        <v>1006</v>
      </c>
      <c r="G114" s="9">
        <v>45904</v>
      </c>
      <c r="H114" s="27" t="s">
        <v>1037</v>
      </c>
      <c r="I114" s="27" t="s">
        <v>5</v>
      </c>
      <c r="J114" s="28">
        <v>45904</v>
      </c>
      <c r="K114" s="28">
        <v>45909</v>
      </c>
      <c r="L114" s="27" t="s">
        <v>1023</v>
      </c>
      <c r="M114" s="29">
        <v>256779417181</v>
      </c>
      <c r="N114" s="27" t="s">
        <v>1007</v>
      </c>
      <c r="O114" s="27" t="s">
        <v>1008</v>
      </c>
      <c r="P114" s="27" t="s">
        <v>41</v>
      </c>
      <c r="Q114" s="27" t="s">
        <v>1025</v>
      </c>
      <c r="R114" s="27" t="s">
        <v>46</v>
      </c>
      <c r="S114" s="30">
        <v>1812</v>
      </c>
      <c r="T114" s="27" t="s">
        <v>42</v>
      </c>
      <c r="U114" s="30">
        <v>158575.97</v>
      </c>
      <c r="V114" s="27" t="s">
        <v>1026</v>
      </c>
      <c r="W114" s="27" t="s">
        <v>1010</v>
      </c>
      <c r="X114" s="27" t="s">
        <v>41</v>
      </c>
      <c r="Y114" s="27" t="s">
        <v>1023</v>
      </c>
      <c r="Z114" s="27" t="s">
        <v>1011</v>
      </c>
      <c r="AA114" s="27"/>
      <c r="AB114" s="27"/>
      <c r="AC114" s="27"/>
      <c r="AD114" s="27" t="e">
        <f>_xlfn.XLOOKUP(M114,'Customer Data Vlookup'!$R:$R,'Customer Data Vlookup'!$S:$S,,0)</f>
        <v>#N/A</v>
      </c>
      <c r="AE114" s="27"/>
      <c r="AF114" s="27"/>
      <c r="AG114" s="27" t="s">
        <v>203</v>
      </c>
      <c r="AH114" s="27" t="s">
        <v>41</v>
      </c>
      <c r="AI114" s="27" t="s">
        <v>41</v>
      </c>
      <c r="AJ114" s="27" t="s">
        <v>41</v>
      </c>
      <c r="AK114" s="28">
        <v>45904</v>
      </c>
      <c r="AL114" s="28"/>
      <c r="AM114" s="27" t="s">
        <v>41</v>
      </c>
    </row>
    <row r="115" spans="1:39" outlineLevel="2" x14ac:dyDescent="0.35">
      <c r="A115" s="1" t="s">
        <v>1016</v>
      </c>
      <c r="B115" s="1" t="s">
        <v>1003</v>
      </c>
      <c r="C115" s="1" t="s">
        <v>1004</v>
      </c>
      <c r="D115" s="1" t="s">
        <v>1005</v>
      </c>
      <c r="E115" s="1" t="s">
        <v>9</v>
      </c>
      <c r="F115" s="1" t="s">
        <v>1006</v>
      </c>
      <c r="G115" s="9">
        <v>45904</v>
      </c>
      <c r="H115" s="27" t="s">
        <v>204</v>
      </c>
      <c r="I115" s="27" t="s">
        <v>5</v>
      </c>
      <c r="J115" s="28">
        <v>45904</v>
      </c>
      <c r="K115" s="28">
        <v>45909</v>
      </c>
      <c r="L115" s="27" t="s">
        <v>1023</v>
      </c>
      <c r="M115" s="29">
        <v>256779417206</v>
      </c>
      <c r="N115" s="27" t="s">
        <v>1007</v>
      </c>
      <c r="O115" s="27" t="s">
        <v>1008</v>
      </c>
      <c r="P115" s="27" t="s">
        <v>41</v>
      </c>
      <c r="Q115" s="27" t="s">
        <v>1025</v>
      </c>
      <c r="R115" s="27" t="s">
        <v>46</v>
      </c>
      <c r="S115" s="30">
        <v>152.28</v>
      </c>
      <c r="T115" s="27" t="s">
        <v>42</v>
      </c>
      <c r="U115" s="30">
        <v>13326.68</v>
      </c>
      <c r="V115" s="27" t="s">
        <v>1026</v>
      </c>
      <c r="W115" s="27" t="s">
        <v>1010</v>
      </c>
      <c r="X115" s="27" t="s">
        <v>41</v>
      </c>
      <c r="Y115" s="27" t="s">
        <v>1023</v>
      </c>
      <c r="Z115" s="27" t="s">
        <v>1011</v>
      </c>
      <c r="AA115" s="27"/>
      <c r="AB115" s="27"/>
      <c r="AC115" s="27"/>
      <c r="AD115" s="27" t="e">
        <f>_xlfn.XLOOKUP(M115,'Customer Data Vlookup'!$R:$R,'Customer Data Vlookup'!$S:$S,,0)</f>
        <v>#N/A</v>
      </c>
      <c r="AE115" s="27"/>
      <c r="AF115" s="27"/>
      <c r="AG115" s="27" t="s">
        <v>205</v>
      </c>
      <c r="AH115" s="27" t="s">
        <v>41</v>
      </c>
      <c r="AI115" s="27" t="s">
        <v>41</v>
      </c>
      <c r="AJ115" s="27" t="s">
        <v>41</v>
      </c>
      <c r="AK115" s="28">
        <v>45904</v>
      </c>
      <c r="AL115" s="28"/>
      <c r="AM115" s="27" t="s">
        <v>41</v>
      </c>
    </row>
    <row r="116" spans="1:39" outlineLevel="2" x14ac:dyDescent="0.35">
      <c r="A116" s="1" t="s">
        <v>1016</v>
      </c>
      <c r="B116" s="1" t="s">
        <v>1003</v>
      </c>
      <c r="C116" s="1" t="s">
        <v>1004</v>
      </c>
      <c r="D116" s="1" t="s">
        <v>1005</v>
      </c>
      <c r="E116" s="1" t="s">
        <v>9</v>
      </c>
      <c r="F116" s="1" t="s">
        <v>1006</v>
      </c>
      <c r="G116" s="9">
        <v>45904</v>
      </c>
      <c r="H116" s="27" t="s">
        <v>206</v>
      </c>
      <c r="I116" s="27" t="s">
        <v>5</v>
      </c>
      <c r="J116" s="28">
        <v>45904</v>
      </c>
      <c r="K116" s="28">
        <v>45909</v>
      </c>
      <c r="L116" s="27" t="s">
        <v>1023</v>
      </c>
      <c r="M116" s="29">
        <v>256779417245</v>
      </c>
      <c r="N116" s="27" t="s">
        <v>1007</v>
      </c>
      <c r="O116" s="27" t="s">
        <v>1008</v>
      </c>
      <c r="P116" s="27" t="s">
        <v>41</v>
      </c>
      <c r="Q116" s="27" t="s">
        <v>1025</v>
      </c>
      <c r="R116" s="27" t="s">
        <v>46</v>
      </c>
      <c r="S116" s="30">
        <v>83.89</v>
      </c>
      <c r="T116" s="27" t="s">
        <v>42</v>
      </c>
      <c r="U116" s="30">
        <v>7341.58</v>
      </c>
      <c r="V116" s="27" t="s">
        <v>1026</v>
      </c>
      <c r="W116" s="27" t="s">
        <v>1010</v>
      </c>
      <c r="X116" s="27" t="s">
        <v>41</v>
      </c>
      <c r="Y116" s="27" t="s">
        <v>1023</v>
      </c>
      <c r="Z116" s="27" t="s">
        <v>1011</v>
      </c>
      <c r="AA116" s="27"/>
      <c r="AB116" s="27"/>
      <c r="AC116" s="27"/>
      <c r="AD116" s="27" t="e">
        <f>_xlfn.XLOOKUP(M116,'Customer Data Vlookup'!$R:$R,'Customer Data Vlookup'!$S:$S,,0)</f>
        <v>#N/A</v>
      </c>
      <c r="AE116" s="27"/>
      <c r="AF116" s="27"/>
      <c r="AG116" s="27" t="s">
        <v>207</v>
      </c>
      <c r="AH116" s="27" t="s">
        <v>41</v>
      </c>
      <c r="AI116" s="27" t="s">
        <v>41</v>
      </c>
      <c r="AJ116" s="27" t="s">
        <v>41</v>
      </c>
      <c r="AK116" s="28">
        <v>45904</v>
      </c>
      <c r="AL116" s="28"/>
      <c r="AM116" s="27" t="s">
        <v>41</v>
      </c>
    </row>
    <row r="117" spans="1:39" outlineLevel="2" x14ac:dyDescent="0.35">
      <c r="A117" s="1" t="s">
        <v>1016</v>
      </c>
      <c r="B117" s="1" t="s">
        <v>1003</v>
      </c>
      <c r="C117" s="1" t="s">
        <v>1004</v>
      </c>
      <c r="D117" s="1" t="s">
        <v>1005</v>
      </c>
      <c r="E117" s="1" t="s">
        <v>9</v>
      </c>
      <c r="F117" s="1" t="s">
        <v>1006</v>
      </c>
      <c r="G117" s="9">
        <v>45904</v>
      </c>
      <c r="H117" s="27" t="s">
        <v>208</v>
      </c>
      <c r="I117" s="27" t="s">
        <v>5</v>
      </c>
      <c r="J117" s="28">
        <v>45904</v>
      </c>
      <c r="K117" s="28">
        <v>45909</v>
      </c>
      <c r="L117" s="27" t="s">
        <v>1023</v>
      </c>
      <c r="M117" s="29">
        <v>256779417287</v>
      </c>
      <c r="N117" s="27" t="s">
        <v>1007</v>
      </c>
      <c r="O117" s="27" t="s">
        <v>1008</v>
      </c>
      <c r="P117" s="27" t="s">
        <v>41</v>
      </c>
      <c r="Q117" s="27" t="s">
        <v>1025</v>
      </c>
      <c r="R117" s="27" t="s">
        <v>46</v>
      </c>
      <c r="S117" s="30">
        <v>410.58</v>
      </c>
      <c r="T117" s="27" t="s">
        <v>42</v>
      </c>
      <c r="U117" s="30">
        <v>35931.629999999997</v>
      </c>
      <c r="V117" s="27" t="s">
        <v>1026</v>
      </c>
      <c r="W117" s="27" t="s">
        <v>1010</v>
      </c>
      <c r="X117" s="27" t="s">
        <v>41</v>
      </c>
      <c r="Y117" s="27" t="s">
        <v>1023</v>
      </c>
      <c r="Z117" s="27" t="s">
        <v>1011</v>
      </c>
      <c r="AA117" s="27"/>
      <c r="AB117" s="27"/>
      <c r="AC117" s="27"/>
      <c r="AD117" s="27" t="e">
        <f>_xlfn.XLOOKUP(M117,'Customer Data Vlookup'!$R:$R,'Customer Data Vlookup'!$S:$S,,0)</f>
        <v>#N/A</v>
      </c>
      <c r="AE117" s="27"/>
      <c r="AF117" s="27"/>
      <c r="AG117" s="27" t="s">
        <v>209</v>
      </c>
      <c r="AH117" s="27" t="s">
        <v>41</v>
      </c>
      <c r="AI117" s="27" t="s">
        <v>41</v>
      </c>
      <c r="AJ117" s="27" t="s">
        <v>41</v>
      </c>
      <c r="AK117" s="28">
        <v>45904</v>
      </c>
      <c r="AL117" s="28"/>
      <c r="AM117" s="27" t="s">
        <v>41</v>
      </c>
    </row>
    <row r="118" spans="1:39" outlineLevel="2" x14ac:dyDescent="0.35">
      <c r="A118" s="1" t="s">
        <v>1016</v>
      </c>
      <c r="B118" s="1" t="s">
        <v>1003</v>
      </c>
      <c r="C118" s="1" t="s">
        <v>1004</v>
      </c>
      <c r="D118" s="1" t="s">
        <v>1005</v>
      </c>
      <c r="E118" s="1" t="s">
        <v>9</v>
      </c>
      <c r="F118" s="1" t="s">
        <v>1006</v>
      </c>
      <c r="G118" s="9">
        <v>45904</v>
      </c>
      <c r="H118" s="27" t="s">
        <v>210</v>
      </c>
      <c r="I118" s="27" t="s">
        <v>5</v>
      </c>
      <c r="J118" s="28">
        <v>45904</v>
      </c>
      <c r="K118" s="28">
        <v>45909</v>
      </c>
      <c r="L118" s="27" t="s">
        <v>1023</v>
      </c>
      <c r="M118" s="29">
        <v>256779417325</v>
      </c>
      <c r="N118" s="27" t="s">
        <v>1007</v>
      </c>
      <c r="O118" s="27" t="s">
        <v>1008</v>
      </c>
      <c r="P118" s="27" t="s">
        <v>41</v>
      </c>
      <c r="Q118" s="27" t="s">
        <v>1025</v>
      </c>
      <c r="R118" s="27" t="s">
        <v>46</v>
      </c>
      <c r="S118" s="30">
        <v>97.84</v>
      </c>
      <c r="T118" s="27" t="s">
        <v>42</v>
      </c>
      <c r="U118" s="30">
        <v>8562.4</v>
      </c>
      <c r="V118" s="27" t="s">
        <v>1026</v>
      </c>
      <c r="W118" s="27" t="s">
        <v>1010</v>
      </c>
      <c r="X118" s="27" t="s">
        <v>41</v>
      </c>
      <c r="Y118" s="27" t="s">
        <v>1038</v>
      </c>
      <c r="Z118" s="27" t="s">
        <v>1011</v>
      </c>
      <c r="AA118" s="27"/>
      <c r="AB118" s="27"/>
      <c r="AC118" s="27"/>
      <c r="AD118" s="27" t="e">
        <f>_xlfn.XLOOKUP(M118,'Customer Data Vlookup'!$R:$R,'Customer Data Vlookup'!$S:$S,,0)</f>
        <v>#N/A</v>
      </c>
      <c r="AE118" s="27"/>
      <c r="AF118" s="27"/>
      <c r="AG118" s="27" t="s">
        <v>211</v>
      </c>
      <c r="AH118" s="27" t="s">
        <v>41</v>
      </c>
      <c r="AI118" s="27" t="s">
        <v>41</v>
      </c>
      <c r="AJ118" s="27" t="s">
        <v>41</v>
      </c>
      <c r="AK118" s="28">
        <v>45904</v>
      </c>
      <c r="AL118" s="28"/>
      <c r="AM118" s="27" t="s">
        <v>41</v>
      </c>
    </row>
    <row r="119" spans="1:39" outlineLevel="2" x14ac:dyDescent="0.35">
      <c r="A119" s="1" t="s">
        <v>1016</v>
      </c>
      <c r="B119" s="1" t="s">
        <v>1003</v>
      </c>
      <c r="C119" s="1" t="s">
        <v>1004</v>
      </c>
      <c r="D119" s="1" t="s">
        <v>1005</v>
      </c>
      <c r="E119" s="1" t="s">
        <v>9</v>
      </c>
      <c r="F119" s="1" t="s">
        <v>1006</v>
      </c>
      <c r="G119" s="9">
        <v>45904</v>
      </c>
      <c r="H119" s="27" t="s">
        <v>212</v>
      </c>
      <c r="I119" s="27" t="s">
        <v>4</v>
      </c>
      <c r="J119" s="28">
        <v>45904</v>
      </c>
      <c r="K119" s="28">
        <v>45915</v>
      </c>
      <c r="L119" s="27" t="s">
        <v>1023</v>
      </c>
      <c r="M119" s="29">
        <v>256779421767</v>
      </c>
      <c r="N119" s="27" t="s">
        <v>1007</v>
      </c>
      <c r="O119" s="27" t="s">
        <v>1008</v>
      </c>
      <c r="P119" s="27" t="s">
        <v>41</v>
      </c>
      <c r="Q119" s="27" t="s">
        <v>1022</v>
      </c>
      <c r="R119" s="27" t="s">
        <v>46</v>
      </c>
      <c r="S119" s="30">
        <v>-60</v>
      </c>
      <c r="T119" s="27" t="s">
        <v>42</v>
      </c>
      <c r="U119" s="30">
        <v>-5250.86</v>
      </c>
      <c r="V119" s="27" t="s">
        <v>1026</v>
      </c>
      <c r="W119" s="27" t="s">
        <v>1010</v>
      </c>
      <c r="X119" s="27" t="s">
        <v>41</v>
      </c>
      <c r="Y119" s="27" t="s">
        <v>1039</v>
      </c>
      <c r="Z119" s="27" t="s">
        <v>1011</v>
      </c>
      <c r="AA119" s="27"/>
      <c r="AB119" s="27"/>
      <c r="AC119" s="27"/>
      <c r="AD119" s="27" t="e">
        <f>_xlfn.XLOOKUP(M119,'Customer Data Vlookup'!$R:$R,'Customer Data Vlookup'!$S:$S,,0)</f>
        <v>#N/A</v>
      </c>
      <c r="AE119" s="27"/>
      <c r="AF119" s="27"/>
      <c r="AG119" s="27" t="s">
        <v>213</v>
      </c>
      <c r="AH119" s="27" t="s">
        <v>41</v>
      </c>
      <c r="AI119" s="27" t="s">
        <v>41</v>
      </c>
      <c r="AJ119" s="27" t="s">
        <v>41</v>
      </c>
      <c r="AK119" s="28">
        <v>45904</v>
      </c>
      <c r="AL119" s="28"/>
      <c r="AM119" s="27" t="s">
        <v>41</v>
      </c>
    </row>
    <row r="120" spans="1:39" outlineLevel="2" x14ac:dyDescent="0.35">
      <c r="A120" s="1" t="s">
        <v>1016</v>
      </c>
      <c r="B120" s="1" t="s">
        <v>1003</v>
      </c>
      <c r="C120" s="1" t="s">
        <v>1004</v>
      </c>
      <c r="D120" s="1" t="s">
        <v>1005</v>
      </c>
      <c r="E120" s="1" t="s">
        <v>9</v>
      </c>
      <c r="F120" s="1" t="s">
        <v>1006</v>
      </c>
      <c r="G120" s="9">
        <v>45904</v>
      </c>
      <c r="H120" s="27" t="s">
        <v>214</v>
      </c>
      <c r="I120" s="27" t="s">
        <v>4</v>
      </c>
      <c r="J120" s="28">
        <v>45904</v>
      </c>
      <c r="K120" s="28">
        <v>45915</v>
      </c>
      <c r="L120" s="27" t="s">
        <v>1023</v>
      </c>
      <c r="M120" s="29">
        <v>256779421768</v>
      </c>
      <c r="N120" s="27" t="s">
        <v>1007</v>
      </c>
      <c r="O120" s="27" t="s">
        <v>1008</v>
      </c>
      <c r="P120" s="27" t="s">
        <v>41</v>
      </c>
      <c r="Q120" s="27" t="s">
        <v>1022</v>
      </c>
      <c r="R120" s="27" t="s">
        <v>46</v>
      </c>
      <c r="S120" s="30">
        <v>-60</v>
      </c>
      <c r="T120" s="27" t="s">
        <v>42</v>
      </c>
      <c r="U120" s="30">
        <v>-5250.86</v>
      </c>
      <c r="V120" s="27" t="s">
        <v>1026</v>
      </c>
      <c r="W120" s="27" t="s">
        <v>1010</v>
      </c>
      <c r="X120" s="27" t="s">
        <v>41</v>
      </c>
      <c r="Y120" s="27" t="s">
        <v>1039</v>
      </c>
      <c r="Z120" s="27" t="s">
        <v>1011</v>
      </c>
      <c r="AA120" s="27"/>
      <c r="AB120" s="27"/>
      <c r="AC120" s="27"/>
      <c r="AD120" s="27" t="e">
        <f>_xlfn.XLOOKUP(M120,'Customer Data Vlookup'!$R:$R,'Customer Data Vlookup'!$S:$S,,0)</f>
        <v>#N/A</v>
      </c>
      <c r="AE120" s="27"/>
      <c r="AF120" s="27"/>
      <c r="AG120" s="27" t="s">
        <v>215</v>
      </c>
      <c r="AH120" s="27" t="s">
        <v>41</v>
      </c>
      <c r="AI120" s="27" t="s">
        <v>41</v>
      </c>
      <c r="AJ120" s="27" t="s">
        <v>41</v>
      </c>
      <c r="AK120" s="28">
        <v>45904</v>
      </c>
      <c r="AL120" s="28"/>
      <c r="AM120" s="27" t="s">
        <v>41</v>
      </c>
    </row>
    <row r="121" spans="1:39" outlineLevel="2" x14ac:dyDescent="0.35">
      <c r="A121" s="1" t="s">
        <v>1016</v>
      </c>
      <c r="B121" s="1" t="s">
        <v>1003</v>
      </c>
      <c r="C121" s="1" t="s">
        <v>1004</v>
      </c>
      <c r="D121" s="1" t="s">
        <v>1005</v>
      </c>
      <c r="E121" s="1" t="s">
        <v>9</v>
      </c>
      <c r="F121" s="1" t="s">
        <v>1006</v>
      </c>
      <c r="G121" s="9">
        <v>45904</v>
      </c>
      <c r="H121" s="27" t="s">
        <v>216</v>
      </c>
      <c r="I121" s="27" t="s">
        <v>4</v>
      </c>
      <c r="J121" s="28">
        <v>45904</v>
      </c>
      <c r="K121" s="28">
        <v>45915</v>
      </c>
      <c r="L121" s="27" t="s">
        <v>1023</v>
      </c>
      <c r="M121" s="29">
        <v>256779421769</v>
      </c>
      <c r="N121" s="27" t="s">
        <v>1007</v>
      </c>
      <c r="O121" s="27" t="s">
        <v>1008</v>
      </c>
      <c r="P121" s="27" t="s">
        <v>41</v>
      </c>
      <c r="Q121" s="27" t="s">
        <v>1022</v>
      </c>
      <c r="R121" s="27" t="s">
        <v>46</v>
      </c>
      <c r="S121" s="30">
        <v>-62</v>
      </c>
      <c r="T121" s="27" t="s">
        <v>42</v>
      </c>
      <c r="U121" s="30">
        <v>-5425.89</v>
      </c>
      <c r="V121" s="27" t="s">
        <v>1026</v>
      </c>
      <c r="W121" s="27" t="s">
        <v>1010</v>
      </c>
      <c r="X121" s="27" t="s">
        <v>41</v>
      </c>
      <c r="Y121" s="27" t="s">
        <v>1039</v>
      </c>
      <c r="Z121" s="27" t="s">
        <v>1011</v>
      </c>
      <c r="AA121" s="27"/>
      <c r="AB121" s="27"/>
      <c r="AC121" s="27"/>
      <c r="AD121" s="27" t="e">
        <f>_xlfn.XLOOKUP(M121,'Customer Data Vlookup'!$R:$R,'Customer Data Vlookup'!$S:$S,,0)</f>
        <v>#N/A</v>
      </c>
      <c r="AE121" s="27"/>
      <c r="AF121" s="27"/>
      <c r="AG121" s="27" t="s">
        <v>217</v>
      </c>
      <c r="AH121" s="27" t="s">
        <v>41</v>
      </c>
      <c r="AI121" s="27" t="s">
        <v>41</v>
      </c>
      <c r="AJ121" s="27" t="s">
        <v>41</v>
      </c>
      <c r="AK121" s="28">
        <v>45904</v>
      </c>
      <c r="AL121" s="28"/>
      <c r="AM121" s="27" t="s">
        <v>41</v>
      </c>
    </row>
    <row r="122" spans="1:39" outlineLevel="2" x14ac:dyDescent="0.35">
      <c r="A122" s="1" t="s">
        <v>1016</v>
      </c>
      <c r="B122" s="1" t="s">
        <v>1003</v>
      </c>
      <c r="C122" s="1" t="s">
        <v>1004</v>
      </c>
      <c r="D122" s="1" t="s">
        <v>1005</v>
      </c>
      <c r="E122" s="1" t="s">
        <v>9</v>
      </c>
      <c r="F122" s="1" t="s">
        <v>1006</v>
      </c>
      <c r="G122" s="9">
        <v>45904</v>
      </c>
      <c r="H122" s="27" t="s">
        <v>218</v>
      </c>
      <c r="I122" s="27" t="s">
        <v>4</v>
      </c>
      <c r="J122" s="28">
        <v>45904</v>
      </c>
      <c r="K122" s="28">
        <v>45915</v>
      </c>
      <c r="L122" s="27" t="s">
        <v>1023</v>
      </c>
      <c r="M122" s="29">
        <v>256779421770</v>
      </c>
      <c r="N122" s="27" t="s">
        <v>1007</v>
      </c>
      <c r="O122" s="27" t="s">
        <v>1008</v>
      </c>
      <c r="P122" s="27" t="s">
        <v>41</v>
      </c>
      <c r="Q122" s="27" t="s">
        <v>1022</v>
      </c>
      <c r="R122" s="27" t="s">
        <v>46</v>
      </c>
      <c r="S122" s="30">
        <v>-62</v>
      </c>
      <c r="T122" s="27" t="s">
        <v>42</v>
      </c>
      <c r="U122" s="30">
        <v>-5425.89</v>
      </c>
      <c r="V122" s="27" t="s">
        <v>1026</v>
      </c>
      <c r="W122" s="27" t="s">
        <v>1010</v>
      </c>
      <c r="X122" s="27" t="s">
        <v>41</v>
      </c>
      <c r="Y122" s="27" t="s">
        <v>1039</v>
      </c>
      <c r="Z122" s="27" t="s">
        <v>1011</v>
      </c>
      <c r="AA122" s="27"/>
      <c r="AB122" s="27"/>
      <c r="AC122" s="27"/>
      <c r="AD122" s="27" t="e">
        <f>_xlfn.XLOOKUP(M122,'Customer Data Vlookup'!$R:$R,'Customer Data Vlookup'!$S:$S,,0)</f>
        <v>#N/A</v>
      </c>
      <c r="AE122" s="27"/>
      <c r="AF122" s="27"/>
      <c r="AG122" s="27" t="s">
        <v>219</v>
      </c>
      <c r="AH122" s="27" t="s">
        <v>41</v>
      </c>
      <c r="AI122" s="27" t="s">
        <v>41</v>
      </c>
      <c r="AJ122" s="27" t="s">
        <v>41</v>
      </c>
      <c r="AK122" s="28">
        <v>45904</v>
      </c>
      <c r="AL122" s="28"/>
      <c r="AM122" s="27" t="s">
        <v>41</v>
      </c>
    </row>
    <row r="123" spans="1:39" outlineLevel="2" x14ac:dyDescent="0.35">
      <c r="A123" s="1" t="s">
        <v>1016</v>
      </c>
      <c r="B123" s="1" t="s">
        <v>1003</v>
      </c>
      <c r="C123" s="1" t="s">
        <v>1004</v>
      </c>
      <c r="D123" s="1" t="s">
        <v>1005</v>
      </c>
      <c r="E123" s="1" t="s">
        <v>9</v>
      </c>
      <c r="F123" s="1" t="s">
        <v>1019</v>
      </c>
      <c r="G123" s="9">
        <v>45842</v>
      </c>
      <c r="H123" s="27" t="s">
        <v>220</v>
      </c>
      <c r="I123" s="27" t="s">
        <v>5</v>
      </c>
      <c r="J123" s="28">
        <v>45842</v>
      </c>
      <c r="K123" s="28">
        <v>45845</v>
      </c>
      <c r="L123" s="27" t="s">
        <v>1023</v>
      </c>
      <c r="M123" s="29">
        <v>256779414772</v>
      </c>
      <c r="N123" s="27" t="s">
        <v>1007</v>
      </c>
      <c r="O123" s="27" t="s">
        <v>1008</v>
      </c>
      <c r="P123" s="27" t="s">
        <v>41</v>
      </c>
      <c r="Q123" s="27" t="s">
        <v>1025</v>
      </c>
      <c r="R123" s="27" t="s">
        <v>46</v>
      </c>
      <c r="S123" s="30">
        <v>220</v>
      </c>
      <c r="T123" s="27" t="s">
        <v>42</v>
      </c>
      <c r="U123" s="30">
        <v>18920.150000000001</v>
      </c>
      <c r="V123" s="27" t="s">
        <v>1026</v>
      </c>
      <c r="W123" s="27" t="s">
        <v>1010</v>
      </c>
      <c r="X123" s="27" t="s">
        <v>41</v>
      </c>
      <c r="Y123" s="27" t="s">
        <v>1023</v>
      </c>
      <c r="Z123" s="27" t="s">
        <v>1011</v>
      </c>
      <c r="AA123" s="27"/>
      <c r="AB123" s="27"/>
      <c r="AC123" s="27"/>
      <c r="AD123" s="27" t="e">
        <f>_xlfn.XLOOKUP(M123,'Customer Data Vlookup'!$R:$R,'Customer Data Vlookup'!$S:$S,,0)</f>
        <v>#N/A</v>
      </c>
      <c r="AE123" s="27"/>
      <c r="AF123" s="27"/>
      <c r="AG123" s="27" t="s">
        <v>221</v>
      </c>
      <c r="AH123" s="27" t="s">
        <v>41</v>
      </c>
      <c r="AI123" s="27" t="s">
        <v>41</v>
      </c>
      <c r="AJ123" s="27" t="s">
        <v>41</v>
      </c>
      <c r="AK123" s="28">
        <v>45842</v>
      </c>
      <c r="AL123" s="28"/>
      <c r="AM123" s="27" t="s">
        <v>41</v>
      </c>
    </row>
    <row r="124" spans="1:39" outlineLevel="2" x14ac:dyDescent="0.35">
      <c r="A124" s="1" t="s">
        <v>1016</v>
      </c>
      <c r="B124" s="1" t="s">
        <v>1003</v>
      </c>
      <c r="C124" s="1" t="s">
        <v>1004</v>
      </c>
      <c r="D124" s="1" t="s">
        <v>1005</v>
      </c>
      <c r="E124" s="1" t="s">
        <v>9</v>
      </c>
      <c r="F124" s="1" t="s">
        <v>1019</v>
      </c>
      <c r="G124" s="9">
        <v>45842</v>
      </c>
      <c r="H124" s="27" t="s">
        <v>222</v>
      </c>
      <c r="I124" s="27" t="s">
        <v>5</v>
      </c>
      <c r="J124" s="28">
        <v>45842</v>
      </c>
      <c r="K124" s="28">
        <v>45845</v>
      </c>
      <c r="L124" s="27" t="s">
        <v>1023</v>
      </c>
      <c r="M124" s="29">
        <v>256779414830</v>
      </c>
      <c r="N124" s="27" t="s">
        <v>1007</v>
      </c>
      <c r="O124" s="27" t="s">
        <v>1008</v>
      </c>
      <c r="P124" s="27" t="s">
        <v>41</v>
      </c>
      <c r="Q124" s="27" t="s">
        <v>1025</v>
      </c>
      <c r="R124" s="27" t="s">
        <v>46</v>
      </c>
      <c r="S124" s="30">
        <v>142.32</v>
      </c>
      <c r="T124" s="27" t="s">
        <v>42</v>
      </c>
      <c r="U124" s="30">
        <v>12239.62</v>
      </c>
      <c r="V124" s="27" t="s">
        <v>1026</v>
      </c>
      <c r="W124" s="27" t="s">
        <v>1010</v>
      </c>
      <c r="X124" s="27" t="s">
        <v>41</v>
      </c>
      <c r="Y124" s="27" t="s">
        <v>1023</v>
      </c>
      <c r="Z124" s="27" t="s">
        <v>1011</v>
      </c>
      <c r="AA124" s="27"/>
      <c r="AB124" s="27"/>
      <c r="AC124" s="27"/>
      <c r="AD124" s="27" t="e">
        <f>_xlfn.XLOOKUP(M124,'Customer Data Vlookup'!$R:$R,'Customer Data Vlookup'!$S:$S,,0)</f>
        <v>#N/A</v>
      </c>
      <c r="AE124" s="27"/>
      <c r="AF124" s="27"/>
      <c r="AG124" s="27" t="s">
        <v>223</v>
      </c>
      <c r="AH124" s="27" t="s">
        <v>41</v>
      </c>
      <c r="AI124" s="27" t="s">
        <v>41</v>
      </c>
      <c r="AJ124" s="27" t="s">
        <v>41</v>
      </c>
      <c r="AK124" s="28">
        <v>45842</v>
      </c>
      <c r="AL124" s="28"/>
      <c r="AM124" s="27" t="s">
        <v>41</v>
      </c>
    </row>
    <row r="125" spans="1:39" outlineLevel="2" x14ac:dyDescent="0.35">
      <c r="A125" s="1" t="s">
        <v>1016</v>
      </c>
      <c r="B125" s="1" t="s">
        <v>1003</v>
      </c>
      <c r="C125" s="1" t="s">
        <v>1004</v>
      </c>
      <c r="D125" s="1" t="s">
        <v>1005</v>
      </c>
      <c r="E125" s="1" t="s">
        <v>9</v>
      </c>
      <c r="F125" s="1" t="s">
        <v>1019</v>
      </c>
      <c r="G125" s="9">
        <v>45842</v>
      </c>
      <c r="H125" s="27" t="s">
        <v>224</v>
      </c>
      <c r="I125" s="27" t="s">
        <v>5</v>
      </c>
      <c r="J125" s="28">
        <v>45842</v>
      </c>
      <c r="K125" s="28">
        <v>45847</v>
      </c>
      <c r="L125" s="27" t="s">
        <v>1023</v>
      </c>
      <c r="M125" s="29">
        <v>256779414879</v>
      </c>
      <c r="N125" s="27" t="s">
        <v>1007</v>
      </c>
      <c r="O125" s="27" t="s">
        <v>1008</v>
      </c>
      <c r="P125" s="27" t="s">
        <v>41</v>
      </c>
      <c r="Q125" s="27" t="s">
        <v>1025</v>
      </c>
      <c r="R125" s="27" t="s">
        <v>46</v>
      </c>
      <c r="S125" s="30">
        <v>1663.92</v>
      </c>
      <c r="T125" s="27" t="s">
        <v>42</v>
      </c>
      <c r="U125" s="30">
        <v>143098.23000000001</v>
      </c>
      <c r="V125" s="27" t="s">
        <v>1026</v>
      </c>
      <c r="W125" s="27" t="s">
        <v>1010</v>
      </c>
      <c r="X125" s="27" t="s">
        <v>41</v>
      </c>
      <c r="Y125" s="27" t="s">
        <v>1023</v>
      </c>
      <c r="Z125" s="27" t="s">
        <v>1011</v>
      </c>
      <c r="AA125" s="27"/>
      <c r="AB125" s="27"/>
      <c r="AC125" s="27"/>
      <c r="AD125" s="27" t="e">
        <f>_xlfn.XLOOKUP(M125,'Customer Data Vlookup'!$R:$R,'Customer Data Vlookup'!$S:$S,,0)</f>
        <v>#N/A</v>
      </c>
      <c r="AE125" s="27"/>
      <c r="AF125" s="27"/>
      <c r="AG125" s="27" t="s">
        <v>225</v>
      </c>
      <c r="AH125" s="27" t="s">
        <v>41</v>
      </c>
      <c r="AI125" s="27" t="s">
        <v>41</v>
      </c>
      <c r="AJ125" s="27" t="s">
        <v>41</v>
      </c>
      <c r="AK125" s="28">
        <v>45842</v>
      </c>
      <c r="AL125" s="28"/>
      <c r="AM125" s="27" t="s">
        <v>41</v>
      </c>
    </row>
    <row r="126" spans="1:39" outlineLevel="2" x14ac:dyDescent="0.35">
      <c r="A126" s="1" t="s">
        <v>1016</v>
      </c>
      <c r="B126" s="1" t="s">
        <v>1003</v>
      </c>
      <c r="C126" s="1" t="s">
        <v>1004</v>
      </c>
      <c r="D126" s="1" t="s">
        <v>1005</v>
      </c>
      <c r="E126" s="1" t="s">
        <v>9</v>
      </c>
      <c r="F126" s="1" t="s">
        <v>1019</v>
      </c>
      <c r="G126" s="9">
        <v>45842</v>
      </c>
      <c r="H126" s="27" t="s">
        <v>226</v>
      </c>
      <c r="I126" s="27" t="s">
        <v>5</v>
      </c>
      <c r="J126" s="28">
        <v>45842</v>
      </c>
      <c r="K126" s="28">
        <v>45847</v>
      </c>
      <c r="L126" s="27" t="s">
        <v>1023</v>
      </c>
      <c r="M126" s="29">
        <v>256779414891</v>
      </c>
      <c r="N126" s="27" t="s">
        <v>1007</v>
      </c>
      <c r="O126" s="27" t="s">
        <v>1008</v>
      </c>
      <c r="P126" s="27" t="s">
        <v>41</v>
      </c>
      <c r="Q126" s="27" t="s">
        <v>1025</v>
      </c>
      <c r="R126" s="27" t="s">
        <v>46</v>
      </c>
      <c r="S126" s="30">
        <v>413.33</v>
      </c>
      <c r="T126" s="27" t="s">
        <v>42</v>
      </c>
      <c r="U126" s="30">
        <v>35546.660000000003</v>
      </c>
      <c r="V126" s="27" t="s">
        <v>1026</v>
      </c>
      <c r="W126" s="27" t="s">
        <v>1010</v>
      </c>
      <c r="X126" s="27" t="s">
        <v>41</v>
      </c>
      <c r="Y126" s="27" t="s">
        <v>1023</v>
      </c>
      <c r="Z126" s="27" t="s">
        <v>1011</v>
      </c>
      <c r="AA126" s="27"/>
      <c r="AB126" s="27"/>
      <c r="AC126" s="27"/>
      <c r="AD126" s="27" t="e">
        <f>_xlfn.XLOOKUP(M126,'Customer Data Vlookup'!$R:$R,'Customer Data Vlookup'!$S:$S,,0)</f>
        <v>#N/A</v>
      </c>
      <c r="AE126" s="27"/>
      <c r="AF126" s="27"/>
      <c r="AG126" s="27" t="s">
        <v>227</v>
      </c>
      <c r="AH126" s="27" t="s">
        <v>41</v>
      </c>
      <c r="AI126" s="27" t="s">
        <v>41</v>
      </c>
      <c r="AJ126" s="27" t="s">
        <v>41</v>
      </c>
      <c r="AK126" s="28">
        <v>45842</v>
      </c>
      <c r="AL126" s="28"/>
      <c r="AM126" s="27" t="s">
        <v>41</v>
      </c>
    </row>
    <row r="127" spans="1:39" outlineLevel="2" x14ac:dyDescent="0.35">
      <c r="A127" s="1" t="s">
        <v>1016</v>
      </c>
      <c r="B127" s="1" t="s">
        <v>1003</v>
      </c>
      <c r="C127" s="1" t="s">
        <v>1004</v>
      </c>
      <c r="D127" s="1" t="s">
        <v>1005</v>
      </c>
      <c r="E127" s="1" t="s">
        <v>9</v>
      </c>
      <c r="F127" s="1" t="s">
        <v>1019</v>
      </c>
      <c r="G127" s="9">
        <v>45842</v>
      </c>
      <c r="H127" s="27" t="s">
        <v>228</v>
      </c>
      <c r="I127" s="27" t="s">
        <v>5</v>
      </c>
      <c r="J127" s="28">
        <v>45842</v>
      </c>
      <c r="K127" s="28">
        <v>45847</v>
      </c>
      <c r="L127" s="27" t="s">
        <v>1023</v>
      </c>
      <c r="M127" s="29">
        <v>256779414904</v>
      </c>
      <c r="N127" s="27" t="s">
        <v>1007</v>
      </c>
      <c r="O127" s="27" t="s">
        <v>1008</v>
      </c>
      <c r="P127" s="27" t="s">
        <v>41</v>
      </c>
      <c r="Q127" s="27" t="s">
        <v>1025</v>
      </c>
      <c r="R127" s="27" t="s">
        <v>46</v>
      </c>
      <c r="S127" s="30">
        <v>68.97</v>
      </c>
      <c r="T127" s="27" t="s">
        <v>42</v>
      </c>
      <c r="U127" s="30">
        <v>5931.47</v>
      </c>
      <c r="V127" s="27" t="s">
        <v>1026</v>
      </c>
      <c r="W127" s="27" t="s">
        <v>1010</v>
      </c>
      <c r="X127" s="27" t="s">
        <v>41</v>
      </c>
      <c r="Y127" s="27" t="s">
        <v>1023</v>
      </c>
      <c r="Z127" s="27" t="s">
        <v>1011</v>
      </c>
      <c r="AA127" s="27"/>
      <c r="AB127" s="27"/>
      <c r="AC127" s="27"/>
      <c r="AD127" s="27" t="e">
        <f>_xlfn.XLOOKUP(M127,'Customer Data Vlookup'!$R:$R,'Customer Data Vlookup'!$S:$S,,0)</f>
        <v>#N/A</v>
      </c>
      <c r="AE127" s="27"/>
      <c r="AF127" s="27"/>
      <c r="AG127" s="27" t="s">
        <v>229</v>
      </c>
      <c r="AH127" s="27" t="s">
        <v>41</v>
      </c>
      <c r="AI127" s="27" t="s">
        <v>41</v>
      </c>
      <c r="AJ127" s="27" t="s">
        <v>41</v>
      </c>
      <c r="AK127" s="28">
        <v>45842</v>
      </c>
      <c r="AL127" s="28"/>
      <c r="AM127" s="27" t="s">
        <v>41</v>
      </c>
    </row>
    <row r="128" spans="1:39" outlineLevel="2" x14ac:dyDescent="0.35">
      <c r="A128" s="1" t="s">
        <v>1016</v>
      </c>
      <c r="B128" s="1" t="s">
        <v>1003</v>
      </c>
      <c r="C128" s="1" t="s">
        <v>1004</v>
      </c>
      <c r="D128" s="1" t="s">
        <v>1005</v>
      </c>
      <c r="E128" s="1" t="s">
        <v>9</v>
      </c>
      <c r="F128" s="1" t="s">
        <v>1019</v>
      </c>
      <c r="G128" s="9">
        <v>45842</v>
      </c>
      <c r="H128" s="27" t="s">
        <v>230</v>
      </c>
      <c r="I128" s="27" t="s">
        <v>5</v>
      </c>
      <c r="J128" s="28">
        <v>45842</v>
      </c>
      <c r="K128" s="28">
        <v>45847</v>
      </c>
      <c r="L128" s="27" t="s">
        <v>1023</v>
      </c>
      <c r="M128" s="29">
        <v>256779414956</v>
      </c>
      <c r="N128" s="27" t="s">
        <v>1007</v>
      </c>
      <c r="O128" s="27" t="s">
        <v>1008</v>
      </c>
      <c r="P128" s="27" t="s">
        <v>41</v>
      </c>
      <c r="Q128" s="27" t="s">
        <v>1025</v>
      </c>
      <c r="R128" s="27" t="s">
        <v>46</v>
      </c>
      <c r="S128" s="30">
        <v>50</v>
      </c>
      <c r="T128" s="27" t="s">
        <v>42</v>
      </c>
      <c r="U128" s="30">
        <v>4300.03</v>
      </c>
      <c r="V128" s="27" t="s">
        <v>1026</v>
      </c>
      <c r="W128" s="27" t="s">
        <v>1010</v>
      </c>
      <c r="X128" s="27" t="s">
        <v>41</v>
      </c>
      <c r="Y128" s="27" t="s">
        <v>1023</v>
      </c>
      <c r="Z128" s="27" t="s">
        <v>1011</v>
      </c>
      <c r="AA128" s="27"/>
      <c r="AB128" s="27"/>
      <c r="AC128" s="27"/>
      <c r="AD128" s="27" t="e">
        <f>_xlfn.XLOOKUP(M128,'Customer Data Vlookup'!$R:$R,'Customer Data Vlookup'!$S:$S,,0)</f>
        <v>#N/A</v>
      </c>
      <c r="AE128" s="27"/>
      <c r="AF128" s="27"/>
      <c r="AG128" s="27" t="s">
        <v>231</v>
      </c>
      <c r="AH128" s="27" t="s">
        <v>41</v>
      </c>
      <c r="AI128" s="27" t="s">
        <v>41</v>
      </c>
      <c r="AJ128" s="27" t="s">
        <v>41</v>
      </c>
      <c r="AK128" s="28">
        <v>45842</v>
      </c>
      <c r="AL128" s="28"/>
      <c r="AM128" s="27" t="s">
        <v>41</v>
      </c>
    </row>
    <row r="129" spans="1:39" outlineLevel="2" x14ac:dyDescent="0.35">
      <c r="A129" s="1" t="s">
        <v>1016</v>
      </c>
      <c r="B129" s="1" t="s">
        <v>1003</v>
      </c>
      <c r="C129" s="1" t="s">
        <v>1004</v>
      </c>
      <c r="D129" s="1" t="s">
        <v>1005</v>
      </c>
      <c r="E129" s="1" t="s">
        <v>9</v>
      </c>
      <c r="F129" s="1" t="s">
        <v>1019</v>
      </c>
      <c r="G129" s="9">
        <v>45842</v>
      </c>
      <c r="H129" s="27" t="s">
        <v>232</v>
      </c>
      <c r="I129" s="27" t="s">
        <v>5</v>
      </c>
      <c r="J129" s="28">
        <v>45842</v>
      </c>
      <c r="K129" s="28">
        <v>45847</v>
      </c>
      <c r="L129" s="27" t="s">
        <v>1023</v>
      </c>
      <c r="M129" s="29">
        <v>256779414957</v>
      </c>
      <c r="N129" s="27" t="s">
        <v>1007</v>
      </c>
      <c r="O129" s="27" t="s">
        <v>1008</v>
      </c>
      <c r="P129" s="27" t="s">
        <v>41</v>
      </c>
      <c r="Q129" s="27" t="s">
        <v>1025</v>
      </c>
      <c r="R129" s="27" t="s">
        <v>46</v>
      </c>
      <c r="S129" s="30">
        <v>50</v>
      </c>
      <c r="T129" s="27" t="s">
        <v>42</v>
      </c>
      <c r="U129" s="30">
        <v>4300.03</v>
      </c>
      <c r="V129" s="27" t="s">
        <v>1026</v>
      </c>
      <c r="W129" s="27" t="s">
        <v>1010</v>
      </c>
      <c r="X129" s="27" t="s">
        <v>41</v>
      </c>
      <c r="Y129" s="27" t="s">
        <v>1023</v>
      </c>
      <c r="Z129" s="27" t="s">
        <v>1011</v>
      </c>
      <c r="AA129" s="27"/>
      <c r="AB129" s="27"/>
      <c r="AC129" s="27"/>
      <c r="AD129" s="27" t="e">
        <f>_xlfn.XLOOKUP(M129,'Customer Data Vlookup'!$R:$R,'Customer Data Vlookup'!$S:$S,,0)</f>
        <v>#N/A</v>
      </c>
      <c r="AE129" s="27"/>
      <c r="AF129" s="27"/>
      <c r="AG129" s="27" t="s">
        <v>231</v>
      </c>
      <c r="AH129" s="27" t="s">
        <v>41</v>
      </c>
      <c r="AI129" s="27" t="s">
        <v>41</v>
      </c>
      <c r="AJ129" s="27" t="s">
        <v>41</v>
      </c>
      <c r="AK129" s="28">
        <v>45842</v>
      </c>
      <c r="AL129" s="28"/>
      <c r="AM129" s="27" t="s">
        <v>41</v>
      </c>
    </row>
    <row r="130" spans="1:39" outlineLevel="2" x14ac:dyDescent="0.35">
      <c r="A130" s="1" t="s">
        <v>1016</v>
      </c>
      <c r="B130" s="1" t="s">
        <v>1003</v>
      </c>
      <c r="C130" s="1" t="s">
        <v>1004</v>
      </c>
      <c r="D130" s="1" t="s">
        <v>1005</v>
      </c>
      <c r="E130" s="1" t="s">
        <v>9</v>
      </c>
      <c r="F130" s="1" t="s">
        <v>1019</v>
      </c>
      <c r="G130" s="9">
        <v>45842</v>
      </c>
      <c r="H130" s="27" t="s">
        <v>233</v>
      </c>
      <c r="I130" s="27" t="s">
        <v>5</v>
      </c>
      <c r="J130" s="28">
        <v>45842</v>
      </c>
      <c r="K130" s="28">
        <v>45847</v>
      </c>
      <c r="L130" s="27" t="s">
        <v>1023</v>
      </c>
      <c r="M130" s="29">
        <v>256779415017</v>
      </c>
      <c r="N130" s="27" t="s">
        <v>1007</v>
      </c>
      <c r="O130" s="27" t="s">
        <v>1008</v>
      </c>
      <c r="P130" s="27" t="s">
        <v>41</v>
      </c>
      <c r="Q130" s="27" t="s">
        <v>1025</v>
      </c>
      <c r="R130" s="27" t="s">
        <v>46</v>
      </c>
      <c r="S130" s="30">
        <v>349.26</v>
      </c>
      <c r="T130" s="27" t="s">
        <v>42</v>
      </c>
      <c r="U130" s="30">
        <v>30036.59</v>
      </c>
      <c r="V130" s="27" t="s">
        <v>1026</v>
      </c>
      <c r="W130" s="27" t="s">
        <v>1010</v>
      </c>
      <c r="X130" s="27" t="s">
        <v>41</v>
      </c>
      <c r="Y130" s="27" t="s">
        <v>1023</v>
      </c>
      <c r="Z130" s="27" t="s">
        <v>1011</v>
      </c>
      <c r="AA130" s="27"/>
      <c r="AB130" s="27"/>
      <c r="AC130" s="27"/>
      <c r="AD130" s="27" t="e">
        <f>_xlfn.XLOOKUP(M130,'Customer Data Vlookup'!$R:$R,'Customer Data Vlookup'!$S:$S,,0)</f>
        <v>#N/A</v>
      </c>
      <c r="AE130" s="27"/>
      <c r="AF130" s="27"/>
      <c r="AG130" s="27" t="s">
        <v>234</v>
      </c>
      <c r="AH130" s="27" t="s">
        <v>41</v>
      </c>
      <c r="AI130" s="27" t="s">
        <v>41</v>
      </c>
      <c r="AJ130" s="27" t="s">
        <v>41</v>
      </c>
      <c r="AK130" s="28">
        <v>45842</v>
      </c>
      <c r="AL130" s="28"/>
      <c r="AM130" s="27" t="s">
        <v>41</v>
      </c>
    </row>
    <row r="131" spans="1:39" outlineLevel="2" x14ac:dyDescent="0.35">
      <c r="A131" s="1" t="s">
        <v>1016</v>
      </c>
      <c r="B131" s="1" t="s">
        <v>1003</v>
      </c>
      <c r="C131" s="1" t="s">
        <v>1004</v>
      </c>
      <c r="D131" s="1" t="s">
        <v>1005</v>
      </c>
      <c r="E131" s="1" t="s">
        <v>9</v>
      </c>
      <c r="F131" s="1" t="s">
        <v>1019</v>
      </c>
      <c r="G131" s="9">
        <v>45842</v>
      </c>
      <c r="H131" s="27" t="s">
        <v>235</v>
      </c>
      <c r="I131" s="27" t="s">
        <v>5</v>
      </c>
      <c r="J131" s="28">
        <v>45842</v>
      </c>
      <c r="K131" s="28">
        <v>45847</v>
      </c>
      <c r="L131" s="27" t="s">
        <v>1023</v>
      </c>
      <c r="M131" s="29">
        <v>256779415196</v>
      </c>
      <c r="N131" s="27" t="s">
        <v>1007</v>
      </c>
      <c r="O131" s="27" t="s">
        <v>1008</v>
      </c>
      <c r="P131" s="27" t="s">
        <v>41</v>
      </c>
      <c r="Q131" s="27" t="s">
        <v>1025</v>
      </c>
      <c r="R131" s="27" t="s">
        <v>46</v>
      </c>
      <c r="S131" s="30">
        <v>17.48</v>
      </c>
      <c r="T131" s="27" t="s">
        <v>42</v>
      </c>
      <c r="U131" s="30">
        <v>1503.29</v>
      </c>
      <c r="V131" s="27" t="s">
        <v>1026</v>
      </c>
      <c r="W131" s="27" t="s">
        <v>1010</v>
      </c>
      <c r="X131" s="27" t="s">
        <v>41</v>
      </c>
      <c r="Y131" s="27" t="s">
        <v>1023</v>
      </c>
      <c r="Z131" s="27" t="s">
        <v>1011</v>
      </c>
      <c r="AA131" s="27"/>
      <c r="AB131" s="27"/>
      <c r="AC131" s="27"/>
      <c r="AD131" s="27" t="e">
        <f>_xlfn.XLOOKUP(M131,'Customer Data Vlookup'!$R:$R,'Customer Data Vlookup'!$S:$S,,0)</f>
        <v>#N/A</v>
      </c>
      <c r="AE131" s="27"/>
      <c r="AF131" s="27"/>
      <c r="AG131" s="27" t="s">
        <v>236</v>
      </c>
      <c r="AH131" s="27" t="s">
        <v>41</v>
      </c>
      <c r="AI131" s="27" t="s">
        <v>41</v>
      </c>
      <c r="AJ131" s="27" t="s">
        <v>41</v>
      </c>
      <c r="AK131" s="28">
        <v>45842</v>
      </c>
      <c r="AL131" s="28"/>
      <c r="AM131" s="27" t="s">
        <v>41</v>
      </c>
    </row>
    <row r="132" spans="1:39" outlineLevel="2" x14ac:dyDescent="0.35">
      <c r="A132" s="1" t="s">
        <v>1016</v>
      </c>
      <c r="B132" s="1" t="s">
        <v>1003</v>
      </c>
      <c r="C132" s="1" t="s">
        <v>1004</v>
      </c>
      <c r="D132" s="1" t="s">
        <v>1005</v>
      </c>
      <c r="E132" s="1" t="s">
        <v>9</v>
      </c>
      <c r="F132" s="1" t="s">
        <v>1019</v>
      </c>
      <c r="G132" s="9">
        <v>45842</v>
      </c>
      <c r="H132" s="27" t="s">
        <v>237</v>
      </c>
      <c r="I132" s="27" t="s">
        <v>5</v>
      </c>
      <c r="J132" s="28">
        <v>45842</v>
      </c>
      <c r="K132" s="28">
        <v>45847</v>
      </c>
      <c r="L132" s="27" t="s">
        <v>1023</v>
      </c>
      <c r="M132" s="29">
        <v>256779415264</v>
      </c>
      <c r="N132" s="27" t="s">
        <v>1007</v>
      </c>
      <c r="O132" s="27" t="s">
        <v>1008</v>
      </c>
      <c r="P132" s="27" t="s">
        <v>41</v>
      </c>
      <c r="Q132" s="27" t="s">
        <v>1025</v>
      </c>
      <c r="R132" s="27" t="s">
        <v>46</v>
      </c>
      <c r="S132" s="30">
        <v>926.11</v>
      </c>
      <c r="T132" s="27" t="s">
        <v>42</v>
      </c>
      <c r="U132" s="30">
        <v>79646.080000000002</v>
      </c>
      <c r="V132" s="27" t="s">
        <v>1026</v>
      </c>
      <c r="W132" s="27" t="s">
        <v>1010</v>
      </c>
      <c r="X132" s="27" t="s">
        <v>41</v>
      </c>
      <c r="Y132" s="27" t="s">
        <v>41</v>
      </c>
      <c r="Z132" s="27" t="s">
        <v>1011</v>
      </c>
      <c r="AA132" s="27"/>
      <c r="AB132" s="27"/>
      <c r="AC132" s="27"/>
      <c r="AD132" s="27" t="e">
        <f>_xlfn.XLOOKUP(M132,'Customer Data Vlookup'!$R:$R,'Customer Data Vlookup'!$S:$S,,0)</f>
        <v>#N/A</v>
      </c>
      <c r="AE132" s="27"/>
      <c r="AF132" s="27"/>
      <c r="AG132" s="27" t="s">
        <v>238</v>
      </c>
      <c r="AH132" s="27" t="s">
        <v>41</v>
      </c>
      <c r="AI132" s="27" t="s">
        <v>41</v>
      </c>
      <c r="AJ132" s="27" t="s">
        <v>41</v>
      </c>
      <c r="AK132" s="28">
        <v>45842</v>
      </c>
      <c r="AL132" s="28"/>
      <c r="AM132" s="27" t="s">
        <v>41</v>
      </c>
    </row>
    <row r="133" spans="1:39" outlineLevel="2" x14ac:dyDescent="0.35">
      <c r="A133" s="1" t="s">
        <v>1002</v>
      </c>
      <c r="B133" s="1" t="s">
        <v>1003</v>
      </c>
      <c r="C133" s="1" t="s">
        <v>1004</v>
      </c>
      <c r="D133" s="1" t="s">
        <v>1005</v>
      </c>
      <c r="E133" s="1" t="s">
        <v>9</v>
      </c>
      <c r="F133" s="1" t="s">
        <v>1019</v>
      </c>
      <c r="G133" s="9">
        <v>45842</v>
      </c>
      <c r="H133" s="27" t="s">
        <v>239</v>
      </c>
      <c r="I133" s="27" t="s">
        <v>4</v>
      </c>
      <c r="J133" s="28">
        <v>45842</v>
      </c>
      <c r="K133" s="28">
        <v>45846</v>
      </c>
      <c r="L133" s="27" t="s">
        <v>1023</v>
      </c>
      <c r="M133" s="29">
        <v>256779421172</v>
      </c>
      <c r="N133" s="27" t="s">
        <v>1007</v>
      </c>
      <c r="O133" s="27" t="s">
        <v>1008</v>
      </c>
      <c r="P133" s="27" t="s">
        <v>41</v>
      </c>
      <c r="Q133" s="27" t="s">
        <v>1022</v>
      </c>
      <c r="R133" s="27" t="s">
        <v>46</v>
      </c>
      <c r="S133" s="30">
        <v>-1700</v>
      </c>
      <c r="T133" s="27" t="s">
        <v>42</v>
      </c>
      <c r="U133" s="30">
        <v>-146201.14000000001</v>
      </c>
      <c r="V133" s="27" t="s">
        <v>1026</v>
      </c>
      <c r="W133" s="27" t="s">
        <v>1010</v>
      </c>
      <c r="X133" s="27" t="s">
        <v>41</v>
      </c>
      <c r="Y133" s="27" t="s">
        <v>1023</v>
      </c>
      <c r="Z133" s="27" t="s">
        <v>1011</v>
      </c>
      <c r="AA133" s="27"/>
      <c r="AB133" s="27"/>
      <c r="AC133" s="27"/>
      <c r="AD133" s="27" t="e">
        <f>_xlfn.XLOOKUP(M133,'Customer Data Vlookup'!$R:$R,'Customer Data Vlookup'!$S:$S,,0)</f>
        <v>#N/A</v>
      </c>
      <c r="AE133" s="27"/>
      <c r="AF133" s="27"/>
      <c r="AG133" s="27" t="s">
        <v>240</v>
      </c>
      <c r="AH133" s="27" t="s">
        <v>41</v>
      </c>
      <c r="AI133" s="27" t="s">
        <v>41</v>
      </c>
      <c r="AJ133" s="27" t="s">
        <v>41</v>
      </c>
      <c r="AK133" s="28">
        <v>45842</v>
      </c>
      <c r="AL133" s="28">
        <v>45902</v>
      </c>
      <c r="AM133" s="27" t="s">
        <v>44</v>
      </c>
    </row>
    <row r="134" spans="1:39" outlineLevel="2" x14ac:dyDescent="0.35">
      <c r="A134" s="1" t="s">
        <v>1002</v>
      </c>
      <c r="B134" s="1" t="s">
        <v>1003</v>
      </c>
      <c r="C134" s="1" t="s">
        <v>1004</v>
      </c>
      <c r="D134" s="1" t="s">
        <v>1005</v>
      </c>
      <c r="E134" s="1" t="s">
        <v>9</v>
      </c>
      <c r="F134" s="1" t="s">
        <v>1019</v>
      </c>
      <c r="G134" s="9">
        <v>45842</v>
      </c>
      <c r="H134" s="27" t="s">
        <v>241</v>
      </c>
      <c r="I134" s="27" t="s">
        <v>4</v>
      </c>
      <c r="J134" s="28">
        <v>45842</v>
      </c>
      <c r="K134" s="28">
        <v>45846</v>
      </c>
      <c r="L134" s="27" t="s">
        <v>1023</v>
      </c>
      <c r="M134" s="29">
        <v>256779421173</v>
      </c>
      <c r="N134" s="27" t="s">
        <v>1007</v>
      </c>
      <c r="O134" s="27" t="s">
        <v>1008</v>
      </c>
      <c r="P134" s="27" t="s">
        <v>41</v>
      </c>
      <c r="Q134" s="27" t="s">
        <v>1022</v>
      </c>
      <c r="R134" s="27" t="s">
        <v>46</v>
      </c>
      <c r="S134" s="30">
        <v>-1750</v>
      </c>
      <c r="T134" s="27" t="s">
        <v>42</v>
      </c>
      <c r="U134" s="30">
        <v>-150501.17000000001</v>
      </c>
      <c r="V134" s="27" t="s">
        <v>1026</v>
      </c>
      <c r="W134" s="27" t="s">
        <v>1010</v>
      </c>
      <c r="X134" s="27" t="s">
        <v>41</v>
      </c>
      <c r="Y134" s="27" t="s">
        <v>1023</v>
      </c>
      <c r="Z134" s="27" t="s">
        <v>1011</v>
      </c>
      <c r="AA134" s="27"/>
      <c r="AB134" s="27"/>
      <c r="AC134" s="27"/>
      <c r="AD134" s="27" t="e">
        <f>_xlfn.XLOOKUP(M134,'Customer Data Vlookup'!$R:$R,'Customer Data Vlookup'!$S:$S,,0)</f>
        <v>#N/A</v>
      </c>
      <c r="AE134" s="27"/>
      <c r="AF134" s="27"/>
      <c r="AG134" s="27" t="s">
        <v>242</v>
      </c>
      <c r="AH134" s="27" t="s">
        <v>41</v>
      </c>
      <c r="AI134" s="27" t="s">
        <v>41</v>
      </c>
      <c r="AJ134" s="27" t="s">
        <v>41</v>
      </c>
      <c r="AK134" s="28">
        <v>45842</v>
      </c>
      <c r="AL134" s="28">
        <v>45902</v>
      </c>
      <c r="AM134" s="27" t="s">
        <v>44</v>
      </c>
    </row>
    <row r="135" spans="1:39" outlineLevel="2" x14ac:dyDescent="0.35">
      <c r="A135" s="1" t="s">
        <v>1002</v>
      </c>
      <c r="B135" s="1" t="s">
        <v>1003</v>
      </c>
      <c r="C135" s="1" t="s">
        <v>1004</v>
      </c>
      <c r="D135" s="1" t="s">
        <v>1005</v>
      </c>
      <c r="E135" s="1" t="s">
        <v>9</v>
      </c>
      <c r="F135" s="1" t="s">
        <v>1019</v>
      </c>
      <c r="G135" s="9">
        <v>45842</v>
      </c>
      <c r="H135" s="27" t="s">
        <v>243</v>
      </c>
      <c r="I135" s="27" t="s">
        <v>4</v>
      </c>
      <c r="J135" s="28">
        <v>45842</v>
      </c>
      <c r="K135" s="28">
        <v>45846</v>
      </c>
      <c r="L135" s="27" t="s">
        <v>1023</v>
      </c>
      <c r="M135" s="29">
        <v>256779421174</v>
      </c>
      <c r="N135" s="27" t="s">
        <v>1007</v>
      </c>
      <c r="O135" s="27" t="s">
        <v>1008</v>
      </c>
      <c r="P135" s="27" t="s">
        <v>41</v>
      </c>
      <c r="Q135" s="27" t="s">
        <v>1022</v>
      </c>
      <c r="R135" s="27" t="s">
        <v>46</v>
      </c>
      <c r="S135" s="30">
        <v>-1700</v>
      </c>
      <c r="T135" s="27" t="s">
        <v>42</v>
      </c>
      <c r="U135" s="30">
        <v>-146201.14000000001</v>
      </c>
      <c r="V135" s="27" t="s">
        <v>1026</v>
      </c>
      <c r="W135" s="27" t="s">
        <v>1010</v>
      </c>
      <c r="X135" s="27" t="s">
        <v>41</v>
      </c>
      <c r="Y135" s="27" t="s">
        <v>1023</v>
      </c>
      <c r="Z135" s="27" t="s">
        <v>1011</v>
      </c>
      <c r="AA135" s="27"/>
      <c r="AB135" s="27"/>
      <c r="AC135" s="27"/>
      <c r="AD135" s="27" t="e">
        <f>_xlfn.XLOOKUP(M135,'Customer Data Vlookup'!$R:$R,'Customer Data Vlookup'!$S:$S,,0)</f>
        <v>#N/A</v>
      </c>
      <c r="AE135" s="27"/>
      <c r="AF135" s="27"/>
      <c r="AG135" s="27" t="s">
        <v>244</v>
      </c>
      <c r="AH135" s="27" t="s">
        <v>41</v>
      </c>
      <c r="AI135" s="27" t="s">
        <v>41</v>
      </c>
      <c r="AJ135" s="27" t="s">
        <v>41</v>
      </c>
      <c r="AK135" s="28">
        <v>45842</v>
      </c>
      <c r="AL135" s="28">
        <v>45902</v>
      </c>
      <c r="AM135" s="27" t="s">
        <v>44</v>
      </c>
    </row>
    <row r="136" spans="1:39" outlineLevel="2" x14ac:dyDescent="0.35">
      <c r="A136" s="1" t="s">
        <v>1002</v>
      </c>
      <c r="B136" s="1" t="s">
        <v>1003</v>
      </c>
      <c r="C136" s="1" t="s">
        <v>1004</v>
      </c>
      <c r="D136" s="1" t="s">
        <v>1005</v>
      </c>
      <c r="E136" s="1" t="s">
        <v>9</v>
      </c>
      <c r="F136" s="1" t="s">
        <v>1019</v>
      </c>
      <c r="G136" s="9">
        <v>45842</v>
      </c>
      <c r="H136" s="27" t="s">
        <v>245</v>
      </c>
      <c r="I136" s="27" t="s">
        <v>4</v>
      </c>
      <c r="J136" s="28">
        <v>45842</v>
      </c>
      <c r="K136" s="28">
        <v>45846</v>
      </c>
      <c r="L136" s="27" t="s">
        <v>1023</v>
      </c>
      <c r="M136" s="29">
        <v>256779421175</v>
      </c>
      <c r="N136" s="27" t="s">
        <v>1007</v>
      </c>
      <c r="O136" s="27" t="s">
        <v>1008</v>
      </c>
      <c r="P136" s="27" t="s">
        <v>41</v>
      </c>
      <c r="Q136" s="27" t="s">
        <v>1022</v>
      </c>
      <c r="R136" s="27" t="s">
        <v>46</v>
      </c>
      <c r="S136" s="30">
        <v>-1750</v>
      </c>
      <c r="T136" s="27" t="s">
        <v>42</v>
      </c>
      <c r="U136" s="30">
        <v>-150501.17000000001</v>
      </c>
      <c r="V136" s="27" t="s">
        <v>1026</v>
      </c>
      <c r="W136" s="27" t="s">
        <v>1010</v>
      </c>
      <c r="X136" s="27" t="s">
        <v>41</v>
      </c>
      <c r="Y136" s="27" t="s">
        <v>1023</v>
      </c>
      <c r="Z136" s="27" t="s">
        <v>1011</v>
      </c>
      <c r="AA136" s="27"/>
      <c r="AB136" s="27"/>
      <c r="AC136" s="27"/>
      <c r="AD136" s="27" t="e">
        <f>_xlfn.XLOOKUP(M136,'Customer Data Vlookup'!$R:$R,'Customer Data Vlookup'!$S:$S,,0)</f>
        <v>#N/A</v>
      </c>
      <c r="AE136" s="27"/>
      <c r="AF136" s="27"/>
      <c r="AG136" s="27" t="s">
        <v>246</v>
      </c>
      <c r="AH136" s="27" t="s">
        <v>41</v>
      </c>
      <c r="AI136" s="27" t="s">
        <v>41</v>
      </c>
      <c r="AJ136" s="27" t="s">
        <v>41</v>
      </c>
      <c r="AK136" s="28">
        <v>45842</v>
      </c>
      <c r="AL136" s="28">
        <v>45902</v>
      </c>
      <c r="AM136" s="27" t="s">
        <v>44</v>
      </c>
    </row>
    <row r="137" spans="1:39" outlineLevel="2" x14ac:dyDescent="0.35">
      <c r="A137" s="1" t="s">
        <v>1016</v>
      </c>
      <c r="B137" s="1" t="s">
        <v>1003</v>
      </c>
      <c r="C137" s="1" t="s">
        <v>1004</v>
      </c>
      <c r="D137" s="1" t="s">
        <v>1005</v>
      </c>
      <c r="E137" s="1" t="s">
        <v>9</v>
      </c>
      <c r="F137" s="1" t="s">
        <v>1022</v>
      </c>
      <c r="G137" s="9">
        <v>45966</v>
      </c>
      <c r="H137" s="27" t="s">
        <v>247</v>
      </c>
      <c r="I137" s="27" t="s">
        <v>5</v>
      </c>
      <c r="J137" s="28">
        <v>45966</v>
      </c>
      <c r="K137" s="28">
        <v>45967</v>
      </c>
      <c r="L137" s="27" t="s">
        <v>1023</v>
      </c>
      <c r="M137" s="29">
        <v>256779418820</v>
      </c>
      <c r="N137" s="27" t="s">
        <v>1007</v>
      </c>
      <c r="O137" s="27" t="s">
        <v>1008</v>
      </c>
      <c r="P137" s="27" t="s">
        <v>41</v>
      </c>
      <c r="Q137" s="27" t="s">
        <v>1025</v>
      </c>
      <c r="R137" s="27" t="s">
        <v>46</v>
      </c>
      <c r="S137" s="30">
        <v>351.13</v>
      </c>
      <c r="T137" s="27" t="s">
        <v>42</v>
      </c>
      <c r="U137" s="30">
        <v>30900.63</v>
      </c>
      <c r="V137" s="27" t="s">
        <v>1026</v>
      </c>
      <c r="W137" s="27" t="s">
        <v>1010</v>
      </c>
      <c r="X137" s="27" t="s">
        <v>41</v>
      </c>
      <c r="Y137" s="27" t="s">
        <v>1040</v>
      </c>
      <c r="Z137" s="27" t="s">
        <v>1011</v>
      </c>
      <c r="AA137" s="27"/>
      <c r="AB137" s="27"/>
      <c r="AC137" s="27"/>
      <c r="AD137" s="27" t="e">
        <f>_xlfn.XLOOKUP(M137,'Customer Data Vlookup'!$R:$R,'Customer Data Vlookup'!$S:$S,,0)</f>
        <v>#N/A</v>
      </c>
      <c r="AE137" s="27"/>
      <c r="AF137" s="27"/>
      <c r="AG137" s="27" t="s">
        <v>248</v>
      </c>
      <c r="AH137" s="27" t="s">
        <v>41</v>
      </c>
      <c r="AI137" s="27" t="s">
        <v>41</v>
      </c>
      <c r="AJ137" s="27" t="s">
        <v>41</v>
      </c>
      <c r="AK137" s="28">
        <v>45966</v>
      </c>
      <c r="AL137" s="28"/>
      <c r="AM137" s="27" t="s">
        <v>41</v>
      </c>
    </row>
    <row r="138" spans="1:39" outlineLevel="2" x14ac:dyDescent="0.35">
      <c r="A138" s="1" t="s">
        <v>1016</v>
      </c>
      <c r="B138" s="1" t="s">
        <v>1003</v>
      </c>
      <c r="C138" s="1" t="s">
        <v>1004</v>
      </c>
      <c r="D138" s="1" t="s">
        <v>1005</v>
      </c>
      <c r="E138" s="1" t="s">
        <v>9</v>
      </c>
      <c r="F138" s="1" t="s">
        <v>1022</v>
      </c>
      <c r="G138" s="9">
        <v>45966</v>
      </c>
      <c r="H138" s="27" t="s">
        <v>249</v>
      </c>
      <c r="I138" s="27" t="s">
        <v>5</v>
      </c>
      <c r="J138" s="28">
        <v>45966</v>
      </c>
      <c r="K138" s="28">
        <v>45967</v>
      </c>
      <c r="L138" s="27" t="s">
        <v>1023</v>
      </c>
      <c r="M138" s="29">
        <v>256779418876</v>
      </c>
      <c r="N138" s="27" t="s">
        <v>1007</v>
      </c>
      <c r="O138" s="27" t="s">
        <v>1008</v>
      </c>
      <c r="P138" s="27" t="s">
        <v>41</v>
      </c>
      <c r="Q138" s="27" t="s">
        <v>1025</v>
      </c>
      <c r="R138" s="27" t="s">
        <v>46</v>
      </c>
      <c r="S138" s="30">
        <v>745.97</v>
      </c>
      <c r="T138" s="27" t="s">
        <v>42</v>
      </c>
      <c r="U138" s="30">
        <v>65647.89</v>
      </c>
      <c r="V138" s="27" t="s">
        <v>1026</v>
      </c>
      <c r="W138" s="27" t="s">
        <v>1010</v>
      </c>
      <c r="X138" s="27" t="s">
        <v>41</v>
      </c>
      <c r="Y138" s="27" t="s">
        <v>1041</v>
      </c>
      <c r="Z138" s="27" t="s">
        <v>1011</v>
      </c>
      <c r="AA138" s="27"/>
      <c r="AB138" s="27"/>
      <c r="AC138" s="27"/>
      <c r="AD138" s="27" t="e">
        <f>_xlfn.XLOOKUP(M138,'Customer Data Vlookup'!$R:$R,'Customer Data Vlookup'!$S:$S,,0)</f>
        <v>#N/A</v>
      </c>
      <c r="AE138" s="27"/>
      <c r="AF138" s="27"/>
      <c r="AG138" s="27" t="s">
        <v>250</v>
      </c>
      <c r="AH138" s="27" t="s">
        <v>41</v>
      </c>
      <c r="AI138" s="27" t="s">
        <v>41</v>
      </c>
      <c r="AJ138" s="27" t="s">
        <v>41</v>
      </c>
      <c r="AK138" s="28">
        <v>45966</v>
      </c>
      <c r="AL138" s="28"/>
      <c r="AM138" s="27" t="s">
        <v>41</v>
      </c>
    </row>
    <row r="139" spans="1:39" outlineLevel="2" x14ac:dyDescent="0.35">
      <c r="A139" s="1" t="s">
        <v>1016</v>
      </c>
      <c r="B139" s="1" t="s">
        <v>1003</v>
      </c>
      <c r="C139" s="1" t="s">
        <v>1004</v>
      </c>
      <c r="D139" s="1" t="s">
        <v>1005</v>
      </c>
      <c r="E139" s="1" t="s">
        <v>9</v>
      </c>
      <c r="F139" s="1" t="s">
        <v>1022</v>
      </c>
      <c r="G139" s="9">
        <v>45966</v>
      </c>
      <c r="H139" s="27" t="s">
        <v>1042</v>
      </c>
      <c r="I139" s="27" t="s">
        <v>5</v>
      </c>
      <c r="J139" s="28">
        <v>45966</v>
      </c>
      <c r="K139" s="28">
        <v>45967</v>
      </c>
      <c r="L139" s="27" t="s">
        <v>1023</v>
      </c>
      <c r="M139" s="29">
        <v>256779419077</v>
      </c>
      <c r="N139" s="27" t="s">
        <v>1007</v>
      </c>
      <c r="O139" s="27" t="s">
        <v>1008</v>
      </c>
      <c r="P139" s="27" t="s">
        <v>41</v>
      </c>
      <c r="Q139" s="27" t="s">
        <v>1025</v>
      </c>
      <c r="R139" s="27" t="s">
        <v>46</v>
      </c>
      <c r="S139" s="30">
        <v>900</v>
      </c>
      <c r="T139" s="27" t="s">
        <v>42</v>
      </c>
      <c r="U139" s="30">
        <v>79203.05</v>
      </c>
      <c r="V139" s="27" t="s">
        <v>1026</v>
      </c>
      <c r="W139" s="27" t="s">
        <v>1010</v>
      </c>
      <c r="X139" s="27" t="s">
        <v>41</v>
      </c>
      <c r="Y139" s="27" t="s">
        <v>1043</v>
      </c>
      <c r="Z139" s="27" t="s">
        <v>1011</v>
      </c>
      <c r="AA139" s="27"/>
      <c r="AB139" s="27"/>
      <c r="AC139" s="27"/>
      <c r="AD139" s="27" t="e">
        <f>_xlfn.XLOOKUP(M139,'Customer Data Vlookup'!$R:$R,'Customer Data Vlookup'!$S:$S,,0)</f>
        <v>#N/A</v>
      </c>
      <c r="AE139" s="27"/>
      <c r="AF139" s="27"/>
      <c r="AG139" s="27" t="s">
        <v>251</v>
      </c>
      <c r="AH139" s="27" t="s">
        <v>41</v>
      </c>
      <c r="AI139" s="27" t="s">
        <v>41</v>
      </c>
      <c r="AJ139" s="27" t="s">
        <v>41</v>
      </c>
      <c r="AK139" s="28">
        <v>45966</v>
      </c>
      <c r="AL139" s="28"/>
      <c r="AM139" s="27" t="s">
        <v>41</v>
      </c>
    </row>
    <row r="140" spans="1:39" outlineLevel="2" x14ac:dyDescent="0.35">
      <c r="A140" s="1" t="s">
        <v>1016</v>
      </c>
      <c r="B140" s="1" t="s">
        <v>1003</v>
      </c>
      <c r="C140" s="1" t="s">
        <v>1004</v>
      </c>
      <c r="D140" s="1" t="s">
        <v>1005</v>
      </c>
      <c r="E140" s="1" t="s">
        <v>9</v>
      </c>
      <c r="F140" s="1" t="s">
        <v>1022</v>
      </c>
      <c r="G140" s="9">
        <v>45966</v>
      </c>
      <c r="H140" s="27" t="s">
        <v>252</v>
      </c>
      <c r="I140" s="27" t="s">
        <v>5</v>
      </c>
      <c r="J140" s="28">
        <v>45966</v>
      </c>
      <c r="K140" s="28">
        <v>45967</v>
      </c>
      <c r="L140" s="27" t="s">
        <v>1023</v>
      </c>
      <c r="M140" s="29">
        <v>256779419174</v>
      </c>
      <c r="N140" s="27" t="s">
        <v>1007</v>
      </c>
      <c r="O140" s="27" t="s">
        <v>1008</v>
      </c>
      <c r="P140" s="27" t="s">
        <v>41</v>
      </c>
      <c r="Q140" s="27" t="s">
        <v>1025</v>
      </c>
      <c r="R140" s="27" t="s">
        <v>46</v>
      </c>
      <c r="S140" s="30">
        <v>8.2100000000000009</v>
      </c>
      <c r="T140" s="27" t="s">
        <v>42</v>
      </c>
      <c r="U140" s="30">
        <v>722.51</v>
      </c>
      <c r="V140" s="27" t="s">
        <v>1026</v>
      </c>
      <c r="W140" s="27" t="s">
        <v>1010</v>
      </c>
      <c r="X140" s="27" t="s">
        <v>41</v>
      </c>
      <c r="Y140" s="27" t="s">
        <v>1044</v>
      </c>
      <c r="Z140" s="27" t="s">
        <v>1011</v>
      </c>
      <c r="AA140" s="27"/>
      <c r="AB140" s="27"/>
      <c r="AC140" s="27"/>
      <c r="AD140" s="27" t="e">
        <f>_xlfn.XLOOKUP(M140,'Customer Data Vlookup'!$R:$R,'Customer Data Vlookup'!$S:$S,,0)</f>
        <v>#N/A</v>
      </c>
      <c r="AE140" s="27"/>
      <c r="AF140" s="27"/>
      <c r="AG140" s="27" t="s">
        <v>253</v>
      </c>
      <c r="AH140" s="27" t="s">
        <v>41</v>
      </c>
      <c r="AI140" s="27" t="s">
        <v>41</v>
      </c>
      <c r="AJ140" s="27" t="s">
        <v>41</v>
      </c>
      <c r="AK140" s="28">
        <v>45966</v>
      </c>
      <c r="AL140" s="28"/>
      <c r="AM140" s="27" t="s">
        <v>41</v>
      </c>
    </row>
    <row r="141" spans="1:39" outlineLevel="2" x14ac:dyDescent="0.35">
      <c r="A141" s="1" t="s">
        <v>1016</v>
      </c>
      <c r="B141" s="1" t="s">
        <v>1003</v>
      </c>
      <c r="C141" s="1" t="s">
        <v>1004</v>
      </c>
      <c r="D141" s="1" t="s">
        <v>1005</v>
      </c>
      <c r="E141" s="1" t="s">
        <v>9</v>
      </c>
      <c r="F141" s="1" t="s">
        <v>1022</v>
      </c>
      <c r="G141" s="9">
        <v>45966</v>
      </c>
      <c r="H141" s="27" t="s">
        <v>254</v>
      </c>
      <c r="I141" s="27" t="s">
        <v>5</v>
      </c>
      <c r="J141" s="28">
        <v>45966</v>
      </c>
      <c r="K141" s="28">
        <v>45967</v>
      </c>
      <c r="L141" s="27" t="s">
        <v>1023</v>
      </c>
      <c r="M141" s="29">
        <v>256779419200</v>
      </c>
      <c r="N141" s="27" t="s">
        <v>1007</v>
      </c>
      <c r="O141" s="27" t="s">
        <v>1008</v>
      </c>
      <c r="P141" s="27" t="s">
        <v>41</v>
      </c>
      <c r="Q141" s="27" t="s">
        <v>1025</v>
      </c>
      <c r="R141" s="27" t="s">
        <v>46</v>
      </c>
      <c r="S141" s="30">
        <v>152.26</v>
      </c>
      <c r="T141" s="27" t="s">
        <v>42</v>
      </c>
      <c r="U141" s="30">
        <v>13399.4</v>
      </c>
      <c r="V141" s="27" t="s">
        <v>1026</v>
      </c>
      <c r="W141" s="27" t="s">
        <v>1010</v>
      </c>
      <c r="X141" s="27" t="s">
        <v>41</v>
      </c>
      <c r="Y141" s="27" t="s">
        <v>1045</v>
      </c>
      <c r="Z141" s="27" t="s">
        <v>1011</v>
      </c>
      <c r="AA141" s="27"/>
      <c r="AB141" s="27"/>
      <c r="AC141" s="27"/>
      <c r="AD141" s="27" t="e">
        <f>_xlfn.XLOOKUP(M141,'Customer Data Vlookup'!$R:$R,'Customer Data Vlookup'!$S:$S,,0)</f>
        <v>#N/A</v>
      </c>
      <c r="AE141" s="27"/>
      <c r="AF141" s="27"/>
      <c r="AG141" s="27" t="s">
        <v>255</v>
      </c>
      <c r="AH141" s="27" t="s">
        <v>41</v>
      </c>
      <c r="AI141" s="27" t="s">
        <v>41</v>
      </c>
      <c r="AJ141" s="27" t="s">
        <v>41</v>
      </c>
      <c r="AK141" s="28">
        <v>45966</v>
      </c>
      <c r="AL141" s="28"/>
      <c r="AM141" s="27" t="s">
        <v>41</v>
      </c>
    </row>
    <row r="142" spans="1:39" outlineLevel="2" x14ac:dyDescent="0.35">
      <c r="A142" s="1" t="s">
        <v>1016</v>
      </c>
      <c r="B142" s="1" t="s">
        <v>1003</v>
      </c>
      <c r="C142" s="1" t="s">
        <v>1004</v>
      </c>
      <c r="D142" s="1" t="s">
        <v>1005</v>
      </c>
      <c r="E142" s="1" t="s">
        <v>9</v>
      </c>
      <c r="F142" s="1" t="s">
        <v>1022</v>
      </c>
      <c r="G142" s="9">
        <v>45966</v>
      </c>
      <c r="H142" s="27" t="s">
        <v>256</v>
      </c>
      <c r="I142" s="27" t="s">
        <v>5</v>
      </c>
      <c r="J142" s="28">
        <v>45966</v>
      </c>
      <c r="K142" s="28">
        <v>45968</v>
      </c>
      <c r="L142" s="27" t="s">
        <v>1046</v>
      </c>
      <c r="M142" s="29">
        <v>256779419232</v>
      </c>
      <c r="N142" s="27" t="s">
        <v>1007</v>
      </c>
      <c r="O142" s="27" t="s">
        <v>1008</v>
      </c>
      <c r="P142" s="27" t="s">
        <v>41</v>
      </c>
      <c r="Q142" s="27" t="s">
        <v>1025</v>
      </c>
      <c r="R142" s="27" t="s">
        <v>46</v>
      </c>
      <c r="S142" s="30">
        <v>25.69</v>
      </c>
      <c r="T142" s="27" t="s">
        <v>42</v>
      </c>
      <c r="U142" s="30">
        <v>2260.81</v>
      </c>
      <c r="V142" s="27" t="s">
        <v>1026</v>
      </c>
      <c r="W142" s="27" t="s">
        <v>1010</v>
      </c>
      <c r="X142" s="27" t="s">
        <v>41</v>
      </c>
      <c r="Y142" s="27" t="s">
        <v>1023</v>
      </c>
      <c r="Z142" s="27" t="s">
        <v>1011</v>
      </c>
      <c r="AA142" s="27"/>
      <c r="AB142" s="27"/>
      <c r="AC142" s="27"/>
      <c r="AD142" s="27" t="e">
        <f>_xlfn.XLOOKUP(M142,'Customer Data Vlookup'!$R:$R,'Customer Data Vlookup'!$S:$S,,0)</f>
        <v>#N/A</v>
      </c>
      <c r="AE142" s="27"/>
      <c r="AF142" s="27"/>
      <c r="AG142" s="27" t="s">
        <v>257</v>
      </c>
      <c r="AH142" s="27" t="s">
        <v>41</v>
      </c>
      <c r="AI142" s="27" t="s">
        <v>41</v>
      </c>
      <c r="AJ142" s="27" t="s">
        <v>41</v>
      </c>
      <c r="AK142" s="28">
        <v>45966</v>
      </c>
      <c r="AL142" s="28"/>
      <c r="AM142" s="27" t="s">
        <v>41</v>
      </c>
    </row>
    <row r="143" spans="1:39" outlineLevel="2" x14ac:dyDescent="0.35">
      <c r="A143" s="1" t="s">
        <v>1002</v>
      </c>
      <c r="B143" s="1" t="s">
        <v>1003</v>
      </c>
      <c r="C143" s="1" t="s">
        <v>1004</v>
      </c>
      <c r="D143" s="1" t="s">
        <v>1005</v>
      </c>
      <c r="E143" s="1" t="s">
        <v>9</v>
      </c>
      <c r="F143" s="1" t="s">
        <v>1013</v>
      </c>
      <c r="G143" s="9">
        <v>45713</v>
      </c>
      <c r="H143" s="27" t="s">
        <v>258</v>
      </c>
      <c r="I143" s="27" t="s">
        <v>5</v>
      </c>
      <c r="J143" s="28">
        <v>45713</v>
      </c>
      <c r="K143" s="28">
        <v>45713</v>
      </c>
      <c r="L143" s="27" t="s">
        <v>1023</v>
      </c>
      <c r="M143" s="29">
        <v>246779410324</v>
      </c>
      <c r="N143" s="27" t="s">
        <v>1007</v>
      </c>
      <c r="O143" s="27" t="s">
        <v>1008</v>
      </c>
      <c r="P143" s="27" t="s">
        <v>41</v>
      </c>
      <c r="Q143" s="27" t="s">
        <v>1025</v>
      </c>
      <c r="R143" s="27" t="s">
        <v>46</v>
      </c>
      <c r="S143" s="30">
        <v>1750</v>
      </c>
      <c r="T143" s="27" t="s">
        <v>42</v>
      </c>
      <c r="U143" s="30">
        <v>151031.41</v>
      </c>
      <c r="V143" s="27" t="s">
        <v>1026</v>
      </c>
      <c r="W143" s="27" t="s">
        <v>1010</v>
      </c>
      <c r="X143" s="27" t="s">
        <v>41</v>
      </c>
      <c r="Y143" s="27" t="s">
        <v>1023</v>
      </c>
      <c r="Z143" s="27" t="s">
        <v>1011</v>
      </c>
      <c r="AA143" s="27"/>
      <c r="AB143" s="27"/>
      <c r="AC143" s="27"/>
      <c r="AD143" s="27" t="e">
        <f>_xlfn.XLOOKUP(M143,'Customer Data Vlookup'!$R:$R,'Customer Data Vlookup'!$S:$S,,0)</f>
        <v>#N/A</v>
      </c>
      <c r="AE143" s="27"/>
      <c r="AF143" s="27"/>
      <c r="AG143" s="27" t="s">
        <v>119</v>
      </c>
      <c r="AH143" s="27" t="s">
        <v>41</v>
      </c>
      <c r="AI143" s="27" t="s">
        <v>41</v>
      </c>
      <c r="AJ143" s="27" t="s">
        <v>41</v>
      </c>
      <c r="AK143" s="28">
        <v>45713</v>
      </c>
      <c r="AL143" s="28">
        <v>45887</v>
      </c>
      <c r="AM143" s="27" t="s">
        <v>45</v>
      </c>
    </row>
    <row r="144" spans="1:39" outlineLevel="2" x14ac:dyDescent="0.35">
      <c r="A144" s="1" t="s">
        <v>1016</v>
      </c>
      <c r="B144" s="1" t="s">
        <v>1003</v>
      </c>
      <c r="C144" s="1" t="s">
        <v>1004</v>
      </c>
      <c r="D144" s="1" t="s">
        <v>1005</v>
      </c>
      <c r="E144" s="1" t="s">
        <v>9</v>
      </c>
      <c r="F144" s="1" t="s">
        <v>1014</v>
      </c>
      <c r="G144" s="9">
        <v>45877</v>
      </c>
      <c r="H144" s="27" t="s">
        <v>261</v>
      </c>
      <c r="I144" s="27" t="s">
        <v>5</v>
      </c>
      <c r="J144" s="28">
        <v>45877</v>
      </c>
      <c r="K144" s="28">
        <v>45877</v>
      </c>
      <c r="L144" s="27" t="s">
        <v>1023</v>
      </c>
      <c r="M144" s="29">
        <v>256779416078</v>
      </c>
      <c r="N144" s="27" t="s">
        <v>1007</v>
      </c>
      <c r="O144" s="27" t="s">
        <v>1008</v>
      </c>
      <c r="P144" s="27" t="s">
        <v>41</v>
      </c>
      <c r="Q144" s="27" t="s">
        <v>1025</v>
      </c>
      <c r="R144" s="27" t="s">
        <v>46</v>
      </c>
      <c r="S144" s="30">
        <v>1477.42</v>
      </c>
      <c r="T144" s="27" t="s">
        <v>42</v>
      </c>
      <c r="U144" s="30">
        <v>127102.62</v>
      </c>
      <c r="V144" s="27" t="s">
        <v>1026</v>
      </c>
      <c r="W144" s="27" t="s">
        <v>1010</v>
      </c>
      <c r="X144" s="27" t="s">
        <v>41</v>
      </c>
      <c r="Y144" s="27" t="s">
        <v>1023</v>
      </c>
      <c r="Z144" s="27" t="s">
        <v>1011</v>
      </c>
      <c r="AA144" s="27"/>
      <c r="AB144" s="27"/>
      <c r="AC144" s="27"/>
      <c r="AD144" s="27" t="e">
        <f>_xlfn.XLOOKUP(M144,'Customer Data Vlookup'!$R:$R,'Customer Data Vlookup'!$S:$S,,0)</f>
        <v>#N/A</v>
      </c>
      <c r="AE144" s="27"/>
      <c r="AF144" s="27"/>
      <c r="AG144" s="27" t="s">
        <v>236</v>
      </c>
      <c r="AH144" s="27" t="s">
        <v>41</v>
      </c>
      <c r="AI144" s="27" t="s">
        <v>41</v>
      </c>
      <c r="AJ144" s="27" t="s">
        <v>41</v>
      </c>
      <c r="AK144" s="28">
        <v>45877</v>
      </c>
      <c r="AL144" s="28"/>
      <c r="AM144" s="27" t="s">
        <v>41</v>
      </c>
    </row>
    <row r="145" spans="1:39" outlineLevel="2" x14ac:dyDescent="0.35">
      <c r="A145" s="1" t="s">
        <v>1016</v>
      </c>
      <c r="B145" s="1" t="s">
        <v>1003</v>
      </c>
      <c r="C145" s="1" t="s">
        <v>1004</v>
      </c>
      <c r="D145" s="1" t="s">
        <v>1005</v>
      </c>
      <c r="E145" s="1" t="s">
        <v>9</v>
      </c>
      <c r="F145" s="1" t="s">
        <v>1014</v>
      </c>
      <c r="G145" s="9">
        <v>45877</v>
      </c>
      <c r="H145" s="27" t="s">
        <v>262</v>
      </c>
      <c r="I145" s="27" t="s">
        <v>5</v>
      </c>
      <c r="J145" s="28">
        <v>45877</v>
      </c>
      <c r="K145" s="28">
        <v>45877</v>
      </c>
      <c r="L145" s="27" t="s">
        <v>1023</v>
      </c>
      <c r="M145" s="29">
        <v>256779416086</v>
      </c>
      <c r="N145" s="27" t="s">
        <v>1007</v>
      </c>
      <c r="O145" s="27" t="s">
        <v>1008</v>
      </c>
      <c r="P145" s="27" t="s">
        <v>41</v>
      </c>
      <c r="Q145" s="27" t="s">
        <v>1025</v>
      </c>
      <c r="R145" s="27" t="s">
        <v>46</v>
      </c>
      <c r="S145" s="30">
        <v>1449.76</v>
      </c>
      <c r="T145" s="27" t="s">
        <v>42</v>
      </c>
      <c r="U145" s="30">
        <v>124723.03</v>
      </c>
      <c r="V145" s="27" t="s">
        <v>1026</v>
      </c>
      <c r="W145" s="27" t="s">
        <v>1010</v>
      </c>
      <c r="X145" s="27" t="s">
        <v>41</v>
      </c>
      <c r="Y145" s="27" t="s">
        <v>1023</v>
      </c>
      <c r="Z145" s="27" t="s">
        <v>1011</v>
      </c>
      <c r="AA145" s="27"/>
      <c r="AB145" s="27"/>
      <c r="AC145" s="27"/>
      <c r="AD145" s="27" t="e">
        <f>_xlfn.XLOOKUP(M145,'Customer Data Vlookup'!$R:$R,'Customer Data Vlookup'!$S:$S,,0)</f>
        <v>#N/A</v>
      </c>
      <c r="AE145" s="27"/>
      <c r="AF145" s="27"/>
      <c r="AG145" s="27" t="s">
        <v>263</v>
      </c>
      <c r="AH145" s="27" t="s">
        <v>41</v>
      </c>
      <c r="AI145" s="27" t="s">
        <v>41</v>
      </c>
      <c r="AJ145" s="27" t="s">
        <v>41</v>
      </c>
      <c r="AK145" s="28">
        <v>45877</v>
      </c>
      <c r="AL145" s="28"/>
      <c r="AM145" s="27" t="s">
        <v>41</v>
      </c>
    </row>
    <row r="146" spans="1:39" outlineLevel="2" x14ac:dyDescent="0.35">
      <c r="A146" s="1" t="s">
        <v>1016</v>
      </c>
      <c r="B146" s="1" t="s">
        <v>1003</v>
      </c>
      <c r="C146" s="1" t="s">
        <v>1004</v>
      </c>
      <c r="D146" s="1" t="s">
        <v>1005</v>
      </c>
      <c r="E146" s="1" t="s">
        <v>9</v>
      </c>
      <c r="F146" s="1" t="s">
        <v>1014</v>
      </c>
      <c r="G146" s="9">
        <v>45877</v>
      </c>
      <c r="H146" s="27" t="s">
        <v>264</v>
      </c>
      <c r="I146" s="27" t="s">
        <v>5</v>
      </c>
      <c r="J146" s="28">
        <v>45877</v>
      </c>
      <c r="K146" s="28">
        <v>45877</v>
      </c>
      <c r="L146" s="27" t="s">
        <v>1023</v>
      </c>
      <c r="M146" s="29">
        <v>256779416103</v>
      </c>
      <c r="N146" s="27" t="s">
        <v>1007</v>
      </c>
      <c r="O146" s="27" t="s">
        <v>1008</v>
      </c>
      <c r="P146" s="27" t="s">
        <v>41</v>
      </c>
      <c r="Q146" s="27" t="s">
        <v>1025</v>
      </c>
      <c r="R146" s="27" t="s">
        <v>46</v>
      </c>
      <c r="S146" s="30">
        <v>50</v>
      </c>
      <c r="T146" s="27" t="s">
        <v>42</v>
      </c>
      <c r="U146" s="30">
        <v>4301.51</v>
      </c>
      <c r="V146" s="27" t="s">
        <v>1026</v>
      </c>
      <c r="W146" s="27" t="s">
        <v>1010</v>
      </c>
      <c r="X146" s="27" t="s">
        <v>41</v>
      </c>
      <c r="Y146" s="27" t="s">
        <v>1023</v>
      </c>
      <c r="Z146" s="27" t="s">
        <v>1011</v>
      </c>
      <c r="AA146" s="27"/>
      <c r="AB146" s="27"/>
      <c r="AC146" s="27"/>
      <c r="AD146" s="27" t="e">
        <f>_xlfn.XLOOKUP(M146,'Customer Data Vlookup'!$R:$R,'Customer Data Vlookup'!$S:$S,,0)</f>
        <v>#N/A</v>
      </c>
      <c r="AE146" s="27"/>
      <c r="AF146" s="27"/>
      <c r="AG146" s="27" t="s">
        <v>265</v>
      </c>
      <c r="AH146" s="27" t="s">
        <v>41</v>
      </c>
      <c r="AI146" s="27" t="s">
        <v>41</v>
      </c>
      <c r="AJ146" s="27" t="s">
        <v>41</v>
      </c>
      <c r="AK146" s="28">
        <v>45877</v>
      </c>
      <c r="AL146" s="28"/>
      <c r="AM146" s="27" t="s">
        <v>41</v>
      </c>
    </row>
    <row r="147" spans="1:39" outlineLevel="2" x14ac:dyDescent="0.35">
      <c r="A147" s="1" t="s">
        <v>1016</v>
      </c>
      <c r="B147" s="1" t="s">
        <v>1003</v>
      </c>
      <c r="C147" s="1" t="s">
        <v>1004</v>
      </c>
      <c r="D147" s="1" t="s">
        <v>1005</v>
      </c>
      <c r="E147" s="1" t="s">
        <v>9</v>
      </c>
      <c r="F147" s="1" t="s">
        <v>1014</v>
      </c>
      <c r="G147" s="9">
        <v>45877</v>
      </c>
      <c r="H147" s="27" t="s">
        <v>1047</v>
      </c>
      <c r="I147" s="27" t="s">
        <v>5</v>
      </c>
      <c r="J147" s="28">
        <v>45877</v>
      </c>
      <c r="K147" s="28">
        <v>45877</v>
      </c>
      <c r="L147" s="27" t="s">
        <v>1023</v>
      </c>
      <c r="M147" s="29">
        <v>256779416141</v>
      </c>
      <c r="N147" s="27" t="s">
        <v>1007</v>
      </c>
      <c r="O147" s="27" t="s">
        <v>1008</v>
      </c>
      <c r="P147" s="27" t="s">
        <v>41</v>
      </c>
      <c r="Q147" s="27" t="s">
        <v>1025</v>
      </c>
      <c r="R147" s="27" t="s">
        <v>46</v>
      </c>
      <c r="S147" s="30">
        <v>299.12</v>
      </c>
      <c r="T147" s="27" t="s">
        <v>42</v>
      </c>
      <c r="U147" s="30">
        <v>25733.33</v>
      </c>
      <c r="V147" s="27" t="s">
        <v>1026</v>
      </c>
      <c r="W147" s="27" t="s">
        <v>1010</v>
      </c>
      <c r="X147" s="27" t="s">
        <v>41</v>
      </c>
      <c r="Y147" s="27" t="s">
        <v>1023</v>
      </c>
      <c r="Z147" s="27" t="s">
        <v>1011</v>
      </c>
      <c r="AA147" s="27"/>
      <c r="AB147" s="27"/>
      <c r="AC147" s="27"/>
      <c r="AD147" s="27" t="e">
        <f>_xlfn.XLOOKUP(M147,'Customer Data Vlookup'!$R:$R,'Customer Data Vlookup'!$S:$S,,0)</f>
        <v>#N/A</v>
      </c>
      <c r="AE147" s="27"/>
      <c r="AF147" s="27"/>
      <c r="AG147" s="27" t="s">
        <v>266</v>
      </c>
      <c r="AH147" s="27" t="s">
        <v>41</v>
      </c>
      <c r="AI147" s="27" t="s">
        <v>41</v>
      </c>
      <c r="AJ147" s="27" t="s">
        <v>41</v>
      </c>
      <c r="AK147" s="28">
        <v>45877</v>
      </c>
      <c r="AL147" s="28"/>
      <c r="AM147" s="27" t="s">
        <v>41</v>
      </c>
    </row>
    <row r="148" spans="1:39" outlineLevel="2" x14ac:dyDescent="0.35">
      <c r="A148" s="1" t="s">
        <v>1016</v>
      </c>
      <c r="B148" s="1" t="s">
        <v>1003</v>
      </c>
      <c r="C148" s="1" t="s">
        <v>1004</v>
      </c>
      <c r="D148" s="1" t="s">
        <v>1005</v>
      </c>
      <c r="E148" s="1" t="s">
        <v>9</v>
      </c>
      <c r="F148" s="1" t="s">
        <v>1014</v>
      </c>
      <c r="G148" s="9">
        <v>45877</v>
      </c>
      <c r="H148" s="27" t="s">
        <v>267</v>
      </c>
      <c r="I148" s="27" t="s">
        <v>5</v>
      </c>
      <c r="J148" s="28">
        <v>45877</v>
      </c>
      <c r="K148" s="28">
        <v>45877</v>
      </c>
      <c r="L148" s="27" t="s">
        <v>1023</v>
      </c>
      <c r="M148" s="29">
        <v>256779416179</v>
      </c>
      <c r="N148" s="27" t="s">
        <v>1007</v>
      </c>
      <c r="O148" s="27" t="s">
        <v>1008</v>
      </c>
      <c r="P148" s="27" t="s">
        <v>41</v>
      </c>
      <c r="Q148" s="27" t="s">
        <v>1025</v>
      </c>
      <c r="R148" s="27" t="s">
        <v>46</v>
      </c>
      <c r="S148" s="30">
        <v>2787.24</v>
      </c>
      <c r="T148" s="27" t="s">
        <v>42</v>
      </c>
      <c r="U148" s="30">
        <v>239786.59</v>
      </c>
      <c r="V148" s="27" t="s">
        <v>1026</v>
      </c>
      <c r="W148" s="27" t="s">
        <v>1010</v>
      </c>
      <c r="X148" s="27" t="s">
        <v>41</v>
      </c>
      <c r="Y148" s="27" t="s">
        <v>1023</v>
      </c>
      <c r="Z148" s="27" t="s">
        <v>1011</v>
      </c>
      <c r="AA148" s="27"/>
      <c r="AB148" s="27"/>
      <c r="AC148" s="27"/>
      <c r="AD148" s="27" t="e">
        <f>_xlfn.XLOOKUP(M148,'Customer Data Vlookup'!$R:$R,'Customer Data Vlookup'!$S:$S,,0)</f>
        <v>#N/A</v>
      </c>
      <c r="AE148" s="27"/>
      <c r="AF148" s="27"/>
      <c r="AG148" s="27" t="s">
        <v>268</v>
      </c>
      <c r="AH148" s="27" t="s">
        <v>41</v>
      </c>
      <c r="AI148" s="27" t="s">
        <v>41</v>
      </c>
      <c r="AJ148" s="27" t="s">
        <v>41</v>
      </c>
      <c r="AK148" s="28">
        <v>45877</v>
      </c>
      <c r="AL148" s="28"/>
      <c r="AM148" s="27" t="s">
        <v>41</v>
      </c>
    </row>
    <row r="149" spans="1:39" outlineLevel="2" x14ac:dyDescent="0.35">
      <c r="A149" s="1" t="s">
        <v>1016</v>
      </c>
      <c r="B149" s="1" t="s">
        <v>1003</v>
      </c>
      <c r="C149" s="1" t="s">
        <v>1004</v>
      </c>
      <c r="D149" s="1" t="s">
        <v>1005</v>
      </c>
      <c r="E149" s="1" t="s">
        <v>9</v>
      </c>
      <c r="F149" s="1" t="s">
        <v>1014</v>
      </c>
      <c r="G149" s="9">
        <v>45877</v>
      </c>
      <c r="H149" s="27" t="s">
        <v>269</v>
      </c>
      <c r="I149" s="27" t="s">
        <v>5</v>
      </c>
      <c r="J149" s="28">
        <v>45877</v>
      </c>
      <c r="K149" s="28">
        <v>45877</v>
      </c>
      <c r="L149" s="27" t="s">
        <v>1023</v>
      </c>
      <c r="M149" s="29">
        <v>256779416224</v>
      </c>
      <c r="N149" s="27" t="s">
        <v>1007</v>
      </c>
      <c r="O149" s="27" t="s">
        <v>1008</v>
      </c>
      <c r="P149" s="27" t="s">
        <v>41</v>
      </c>
      <c r="Q149" s="27" t="s">
        <v>1025</v>
      </c>
      <c r="R149" s="27" t="s">
        <v>46</v>
      </c>
      <c r="S149" s="30">
        <v>304.52999999999997</v>
      </c>
      <c r="T149" s="27" t="s">
        <v>42</v>
      </c>
      <c r="U149" s="30">
        <v>26198.75</v>
      </c>
      <c r="V149" s="27" t="s">
        <v>1026</v>
      </c>
      <c r="W149" s="27" t="s">
        <v>1010</v>
      </c>
      <c r="X149" s="27" t="s">
        <v>41</v>
      </c>
      <c r="Y149" s="27" t="s">
        <v>1023</v>
      </c>
      <c r="Z149" s="27" t="s">
        <v>1011</v>
      </c>
      <c r="AA149" s="27"/>
      <c r="AB149" s="27"/>
      <c r="AC149" s="27"/>
      <c r="AD149" s="27" t="e">
        <f>_xlfn.XLOOKUP(M149,'Customer Data Vlookup'!$R:$R,'Customer Data Vlookup'!$S:$S,,0)</f>
        <v>#N/A</v>
      </c>
      <c r="AE149" s="27"/>
      <c r="AF149" s="27"/>
      <c r="AG149" s="27" t="s">
        <v>270</v>
      </c>
      <c r="AH149" s="27" t="s">
        <v>41</v>
      </c>
      <c r="AI149" s="27" t="s">
        <v>41</v>
      </c>
      <c r="AJ149" s="27" t="s">
        <v>41</v>
      </c>
      <c r="AK149" s="28">
        <v>45877</v>
      </c>
      <c r="AL149" s="28"/>
      <c r="AM149" s="27" t="s">
        <v>41</v>
      </c>
    </row>
    <row r="150" spans="1:39" outlineLevel="2" x14ac:dyDescent="0.35">
      <c r="A150" s="1" t="s">
        <v>1016</v>
      </c>
      <c r="B150" s="1" t="s">
        <v>1003</v>
      </c>
      <c r="C150" s="1" t="s">
        <v>1004</v>
      </c>
      <c r="D150" s="1" t="s">
        <v>1005</v>
      </c>
      <c r="E150" s="1" t="s">
        <v>9</v>
      </c>
      <c r="F150" s="1" t="s">
        <v>1014</v>
      </c>
      <c r="G150" s="9">
        <v>45877</v>
      </c>
      <c r="H150" s="27" t="s">
        <v>271</v>
      </c>
      <c r="I150" s="27" t="s">
        <v>5</v>
      </c>
      <c r="J150" s="28">
        <v>45877</v>
      </c>
      <c r="K150" s="28">
        <v>45877</v>
      </c>
      <c r="L150" s="27" t="s">
        <v>1023</v>
      </c>
      <c r="M150" s="29">
        <v>256779416445</v>
      </c>
      <c r="N150" s="27" t="s">
        <v>1007</v>
      </c>
      <c r="O150" s="27" t="s">
        <v>1008</v>
      </c>
      <c r="P150" s="27" t="s">
        <v>41</v>
      </c>
      <c r="Q150" s="27" t="s">
        <v>1025</v>
      </c>
      <c r="R150" s="27" t="s">
        <v>46</v>
      </c>
      <c r="S150" s="30">
        <v>586.79</v>
      </c>
      <c r="T150" s="27" t="s">
        <v>42</v>
      </c>
      <c r="U150" s="30">
        <v>50481.61</v>
      </c>
      <c r="V150" s="27" t="s">
        <v>1026</v>
      </c>
      <c r="W150" s="27" t="s">
        <v>1010</v>
      </c>
      <c r="X150" s="27" t="s">
        <v>41</v>
      </c>
      <c r="Y150" s="27" t="s">
        <v>1023</v>
      </c>
      <c r="Z150" s="27" t="s">
        <v>1011</v>
      </c>
      <c r="AA150" s="27"/>
      <c r="AB150" s="27"/>
      <c r="AC150" s="27"/>
      <c r="AD150" s="27" t="e">
        <f>_xlfn.XLOOKUP(M150,'Customer Data Vlookup'!$R:$R,'Customer Data Vlookup'!$S:$S,,0)</f>
        <v>#N/A</v>
      </c>
      <c r="AE150" s="27"/>
      <c r="AF150" s="27"/>
      <c r="AG150" s="27" t="s">
        <v>272</v>
      </c>
      <c r="AH150" s="27" t="s">
        <v>41</v>
      </c>
      <c r="AI150" s="27" t="s">
        <v>41</v>
      </c>
      <c r="AJ150" s="27" t="s">
        <v>41</v>
      </c>
      <c r="AK150" s="28">
        <v>45877</v>
      </c>
      <c r="AL150" s="28"/>
      <c r="AM150" s="27" t="s">
        <v>41</v>
      </c>
    </row>
    <row r="151" spans="1:39" outlineLevel="2" x14ac:dyDescent="0.35">
      <c r="A151" s="1" t="s">
        <v>1016</v>
      </c>
      <c r="B151" s="1" t="s">
        <v>1003</v>
      </c>
      <c r="C151" s="1" t="s">
        <v>1004</v>
      </c>
      <c r="D151" s="1" t="s">
        <v>1005</v>
      </c>
      <c r="E151" s="1" t="s">
        <v>9</v>
      </c>
      <c r="F151" s="1" t="s">
        <v>1014</v>
      </c>
      <c r="G151" s="9">
        <v>45877</v>
      </c>
      <c r="H151" s="27" t="s">
        <v>1048</v>
      </c>
      <c r="I151" s="27" t="s">
        <v>5</v>
      </c>
      <c r="J151" s="28">
        <v>45877</v>
      </c>
      <c r="K151" s="28">
        <v>45877</v>
      </c>
      <c r="L151" s="27" t="s">
        <v>1023</v>
      </c>
      <c r="M151" s="29">
        <v>256779416515</v>
      </c>
      <c r="N151" s="27" t="s">
        <v>1007</v>
      </c>
      <c r="O151" s="27" t="s">
        <v>1008</v>
      </c>
      <c r="P151" s="27" t="s">
        <v>41</v>
      </c>
      <c r="Q151" s="27" t="s">
        <v>1025</v>
      </c>
      <c r="R151" s="27" t="s">
        <v>46</v>
      </c>
      <c r="S151" s="30">
        <v>396.98</v>
      </c>
      <c r="T151" s="27" t="s">
        <v>42</v>
      </c>
      <c r="U151" s="30">
        <v>34152.239999999998</v>
      </c>
      <c r="V151" s="27" t="s">
        <v>1026</v>
      </c>
      <c r="W151" s="27" t="s">
        <v>1010</v>
      </c>
      <c r="X151" s="27" t="s">
        <v>41</v>
      </c>
      <c r="Y151" s="27" t="s">
        <v>1023</v>
      </c>
      <c r="Z151" s="27" t="s">
        <v>1011</v>
      </c>
      <c r="AA151" s="27"/>
      <c r="AB151" s="27"/>
      <c r="AC151" s="27"/>
      <c r="AD151" s="27" t="e">
        <f>_xlfn.XLOOKUP(M151,'Customer Data Vlookup'!$R:$R,'Customer Data Vlookup'!$S:$S,,0)</f>
        <v>#N/A</v>
      </c>
      <c r="AE151" s="27"/>
      <c r="AF151" s="27"/>
      <c r="AG151" s="27" t="s">
        <v>273</v>
      </c>
      <c r="AH151" s="27" t="s">
        <v>41</v>
      </c>
      <c r="AI151" s="27" t="s">
        <v>41</v>
      </c>
      <c r="AJ151" s="27" t="s">
        <v>41</v>
      </c>
      <c r="AK151" s="28">
        <v>45877</v>
      </c>
      <c r="AL151" s="28"/>
      <c r="AM151" s="27" t="s">
        <v>41</v>
      </c>
    </row>
    <row r="152" spans="1:39" outlineLevel="2" x14ac:dyDescent="0.35">
      <c r="A152" s="1" t="s">
        <v>1016</v>
      </c>
      <c r="B152" s="1" t="s">
        <v>1003</v>
      </c>
      <c r="C152" s="1" t="s">
        <v>1004</v>
      </c>
      <c r="D152" s="1" t="s">
        <v>1005</v>
      </c>
      <c r="E152" s="1" t="s">
        <v>9</v>
      </c>
      <c r="F152" s="1" t="s">
        <v>1031</v>
      </c>
      <c r="G152" s="9">
        <v>45812</v>
      </c>
      <c r="H152" s="27" t="s">
        <v>274</v>
      </c>
      <c r="I152" s="27" t="s">
        <v>5</v>
      </c>
      <c r="J152" s="28">
        <v>45812</v>
      </c>
      <c r="K152" s="28">
        <v>45817</v>
      </c>
      <c r="L152" s="27" t="s">
        <v>1023</v>
      </c>
      <c r="M152" s="29">
        <v>256779414217</v>
      </c>
      <c r="N152" s="27" t="s">
        <v>1007</v>
      </c>
      <c r="O152" s="27" t="s">
        <v>1008</v>
      </c>
      <c r="P152" s="27" t="s">
        <v>41</v>
      </c>
      <c r="Q152" s="27" t="s">
        <v>1025</v>
      </c>
      <c r="R152" s="27" t="s">
        <v>46</v>
      </c>
      <c r="S152" s="30">
        <v>71.760000000000005</v>
      </c>
      <c r="T152" s="27" t="s">
        <v>42</v>
      </c>
      <c r="U152" s="30">
        <v>6134.82</v>
      </c>
      <c r="V152" s="27" t="s">
        <v>1026</v>
      </c>
      <c r="W152" s="27" t="s">
        <v>1010</v>
      </c>
      <c r="X152" s="27" t="s">
        <v>41</v>
      </c>
      <c r="Y152" s="27" t="s">
        <v>1023</v>
      </c>
      <c r="Z152" s="27" t="s">
        <v>1011</v>
      </c>
      <c r="AA152" s="27"/>
      <c r="AB152" s="27"/>
      <c r="AC152" s="27"/>
      <c r="AD152" s="27" t="e">
        <f>_xlfn.XLOOKUP(M152,'Customer Data Vlookup'!$R:$R,'Customer Data Vlookup'!$S:$S,,0)</f>
        <v>#N/A</v>
      </c>
      <c r="AE152" s="27"/>
      <c r="AF152" s="27"/>
      <c r="AG152" s="27" t="s">
        <v>275</v>
      </c>
      <c r="AH152" s="27" t="s">
        <v>41</v>
      </c>
      <c r="AI152" s="27" t="s">
        <v>41</v>
      </c>
      <c r="AJ152" s="27" t="s">
        <v>41</v>
      </c>
      <c r="AK152" s="28">
        <v>45812</v>
      </c>
      <c r="AL152" s="28"/>
      <c r="AM152" s="27" t="s">
        <v>41</v>
      </c>
    </row>
    <row r="153" spans="1:39" outlineLevel="2" x14ac:dyDescent="0.35">
      <c r="A153" s="1" t="s">
        <v>1002</v>
      </c>
      <c r="B153" s="1" t="s">
        <v>1003</v>
      </c>
      <c r="C153" s="1" t="s">
        <v>1004</v>
      </c>
      <c r="D153" s="1" t="s">
        <v>1005</v>
      </c>
      <c r="E153" s="1" t="s">
        <v>9</v>
      </c>
      <c r="F153" s="1" t="s">
        <v>1024</v>
      </c>
      <c r="G153" s="9">
        <v>45791</v>
      </c>
      <c r="H153" s="27" t="s">
        <v>280</v>
      </c>
      <c r="I153" s="27" t="s">
        <v>4</v>
      </c>
      <c r="J153" s="28">
        <v>45791</v>
      </c>
      <c r="K153" s="28">
        <v>45793</v>
      </c>
      <c r="L153" s="27" t="s">
        <v>1023</v>
      </c>
      <c r="M153" s="29">
        <v>256779420305</v>
      </c>
      <c r="N153" s="27" t="s">
        <v>1007</v>
      </c>
      <c r="O153" s="27" t="s">
        <v>1008</v>
      </c>
      <c r="P153" s="27" t="s">
        <v>41</v>
      </c>
      <c r="Q153" s="27" t="s">
        <v>1022</v>
      </c>
      <c r="R153" s="27" t="s">
        <v>46</v>
      </c>
      <c r="S153" s="30">
        <v>-945.75</v>
      </c>
      <c r="T153" s="27" t="s">
        <v>42</v>
      </c>
      <c r="U153" s="30">
        <v>-81988.259999999995</v>
      </c>
      <c r="V153" s="27" t="s">
        <v>1026</v>
      </c>
      <c r="W153" s="27" t="s">
        <v>1010</v>
      </c>
      <c r="X153" s="27" t="s">
        <v>41</v>
      </c>
      <c r="Y153" s="27" t="s">
        <v>1023</v>
      </c>
      <c r="Z153" s="27" t="s">
        <v>1011</v>
      </c>
      <c r="AA153" s="27"/>
      <c r="AB153" s="27"/>
      <c r="AC153" s="27"/>
      <c r="AD153" s="27" t="e">
        <f>_xlfn.XLOOKUP(M153,'Customer Data Vlookup'!$R:$R,'Customer Data Vlookup'!$S:$S,,0)</f>
        <v>#N/A</v>
      </c>
      <c r="AE153" s="27"/>
      <c r="AF153" s="27"/>
      <c r="AG153" s="27" t="s">
        <v>281</v>
      </c>
      <c r="AH153" s="27" t="s">
        <v>41</v>
      </c>
      <c r="AI153" s="27" t="s">
        <v>41</v>
      </c>
      <c r="AJ153" s="27" t="s">
        <v>41</v>
      </c>
      <c r="AK153" s="28">
        <v>45791</v>
      </c>
      <c r="AL153" s="28">
        <v>45842</v>
      </c>
      <c r="AM153" s="27" t="s">
        <v>63</v>
      </c>
    </row>
    <row r="154" spans="1:39" outlineLevel="2" x14ac:dyDescent="0.35">
      <c r="A154" s="1" t="s">
        <v>1002</v>
      </c>
      <c r="B154" s="1" t="s">
        <v>1003</v>
      </c>
      <c r="C154" s="1" t="s">
        <v>1004</v>
      </c>
      <c r="D154" s="1" t="s">
        <v>1005</v>
      </c>
      <c r="E154" s="1" t="s">
        <v>9</v>
      </c>
      <c r="F154" s="1" t="s">
        <v>1024</v>
      </c>
      <c r="G154" s="9">
        <v>45791</v>
      </c>
      <c r="H154" s="27" t="s">
        <v>282</v>
      </c>
      <c r="I154" s="27" t="s">
        <v>4</v>
      </c>
      <c r="J154" s="28">
        <v>45791</v>
      </c>
      <c r="K154" s="28">
        <v>45793</v>
      </c>
      <c r="L154" s="27" t="s">
        <v>1023</v>
      </c>
      <c r="M154" s="29">
        <v>256779420491</v>
      </c>
      <c r="N154" s="27" t="s">
        <v>1007</v>
      </c>
      <c r="O154" s="27" t="s">
        <v>1008</v>
      </c>
      <c r="P154" s="27" t="s">
        <v>41</v>
      </c>
      <c r="Q154" s="27" t="s">
        <v>1022</v>
      </c>
      <c r="R154" s="27" t="s">
        <v>46</v>
      </c>
      <c r="S154" s="30">
        <v>-1166.5899999999999</v>
      </c>
      <c r="T154" s="27" t="s">
        <v>42</v>
      </c>
      <c r="U154" s="30">
        <v>-101402.13</v>
      </c>
      <c r="V154" s="27" t="s">
        <v>1026</v>
      </c>
      <c r="W154" s="27" t="s">
        <v>1010</v>
      </c>
      <c r="X154" s="27" t="s">
        <v>41</v>
      </c>
      <c r="Y154" s="27" t="s">
        <v>1023</v>
      </c>
      <c r="Z154" s="27" t="s">
        <v>1011</v>
      </c>
      <c r="AA154" s="27"/>
      <c r="AB154" s="27"/>
      <c r="AC154" s="27"/>
      <c r="AD154" s="27" t="e">
        <f>_xlfn.XLOOKUP(M154,'Customer Data Vlookup'!$R:$R,'Customer Data Vlookup'!$S:$S,,0)</f>
        <v>#N/A</v>
      </c>
      <c r="AE154" s="27"/>
      <c r="AF154" s="27"/>
      <c r="AG154" s="27" t="s">
        <v>283</v>
      </c>
      <c r="AH154" s="27" t="s">
        <v>41</v>
      </c>
      <c r="AI154" s="27" t="s">
        <v>41</v>
      </c>
      <c r="AJ154" s="27" t="s">
        <v>41</v>
      </c>
      <c r="AK154" s="28">
        <v>45791</v>
      </c>
      <c r="AL154" s="28">
        <v>45842</v>
      </c>
      <c r="AM154" s="27" t="s">
        <v>65</v>
      </c>
    </row>
    <row r="155" spans="1:39" outlineLevel="2" x14ac:dyDescent="0.35">
      <c r="A155" s="1" t="s">
        <v>1002</v>
      </c>
      <c r="B155" s="1" t="s">
        <v>1003</v>
      </c>
      <c r="C155" s="1" t="s">
        <v>1004</v>
      </c>
      <c r="D155" s="1" t="s">
        <v>1005</v>
      </c>
      <c r="E155" s="1" t="s">
        <v>9</v>
      </c>
      <c r="F155" s="1" t="s">
        <v>1024</v>
      </c>
      <c r="G155" s="9">
        <v>45791</v>
      </c>
      <c r="H155" s="27" t="s">
        <v>284</v>
      </c>
      <c r="I155" s="27" t="s">
        <v>4</v>
      </c>
      <c r="J155" s="28">
        <v>45791</v>
      </c>
      <c r="K155" s="28">
        <v>45793</v>
      </c>
      <c r="L155" s="27" t="s">
        <v>1023</v>
      </c>
      <c r="M155" s="29">
        <v>256779420525</v>
      </c>
      <c r="N155" s="27" t="s">
        <v>1007</v>
      </c>
      <c r="O155" s="27" t="s">
        <v>1008</v>
      </c>
      <c r="P155" s="27" t="s">
        <v>41</v>
      </c>
      <c r="Q155" s="27" t="s">
        <v>1022</v>
      </c>
      <c r="R155" s="27" t="s">
        <v>46</v>
      </c>
      <c r="S155" s="30">
        <v>-1143.1199999999999</v>
      </c>
      <c r="T155" s="27" t="s">
        <v>42</v>
      </c>
      <c r="U155" s="30">
        <v>-99362.07</v>
      </c>
      <c r="V155" s="27" t="s">
        <v>1026</v>
      </c>
      <c r="W155" s="27" t="s">
        <v>1010</v>
      </c>
      <c r="X155" s="27" t="s">
        <v>41</v>
      </c>
      <c r="Y155" s="27" t="s">
        <v>1023</v>
      </c>
      <c r="Z155" s="27" t="s">
        <v>1011</v>
      </c>
      <c r="AA155" s="27"/>
      <c r="AB155" s="27"/>
      <c r="AC155" s="27"/>
      <c r="AD155" s="27" t="e">
        <f>_xlfn.XLOOKUP(M155,'Customer Data Vlookup'!$R:$R,'Customer Data Vlookup'!$S:$S,,0)</f>
        <v>#N/A</v>
      </c>
      <c r="AE155" s="27"/>
      <c r="AF155" s="27"/>
      <c r="AG155" s="27" t="s">
        <v>285</v>
      </c>
      <c r="AH155" s="27" t="s">
        <v>41</v>
      </c>
      <c r="AI155" s="27" t="s">
        <v>41</v>
      </c>
      <c r="AJ155" s="27" t="s">
        <v>41</v>
      </c>
      <c r="AK155" s="28">
        <v>45791</v>
      </c>
      <c r="AL155" s="28">
        <v>45842</v>
      </c>
      <c r="AM155" s="27" t="s">
        <v>66</v>
      </c>
    </row>
    <row r="156" spans="1:39" outlineLevel="2" x14ac:dyDescent="0.35">
      <c r="A156" s="1" t="s">
        <v>1016</v>
      </c>
      <c r="B156" s="1" t="s">
        <v>1003</v>
      </c>
      <c r="C156" s="1" t="s">
        <v>1004</v>
      </c>
      <c r="D156" s="1" t="s">
        <v>1005</v>
      </c>
      <c r="E156" s="1" t="s">
        <v>9</v>
      </c>
      <c r="F156" s="1" t="s">
        <v>1024</v>
      </c>
      <c r="G156" s="9">
        <v>45793</v>
      </c>
      <c r="H156" s="27" t="s">
        <v>1049</v>
      </c>
      <c r="I156" s="27" t="s">
        <v>5</v>
      </c>
      <c r="J156" s="28">
        <v>45793</v>
      </c>
      <c r="K156" s="28">
        <v>45800</v>
      </c>
      <c r="L156" s="27" t="s">
        <v>1023</v>
      </c>
      <c r="M156" s="29">
        <v>256779413313</v>
      </c>
      <c r="N156" s="27" t="s">
        <v>1007</v>
      </c>
      <c r="O156" s="27" t="s">
        <v>1008</v>
      </c>
      <c r="P156" s="27" t="s">
        <v>41</v>
      </c>
      <c r="Q156" s="27" t="s">
        <v>1025</v>
      </c>
      <c r="R156" s="27" t="s">
        <v>46</v>
      </c>
      <c r="S156" s="30">
        <v>86</v>
      </c>
      <c r="T156" s="27" t="s">
        <v>42</v>
      </c>
      <c r="U156" s="30">
        <v>7394.6</v>
      </c>
      <c r="V156" s="27" t="s">
        <v>1026</v>
      </c>
      <c r="W156" s="27" t="s">
        <v>1010</v>
      </c>
      <c r="X156" s="27" t="s">
        <v>41</v>
      </c>
      <c r="Y156" s="27" t="s">
        <v>1023</v>
      </c>
      <c r="Z156" s="27" t="s">
        <v>1011</v>
      </c>
      <c r="AA156" s="27"/>
      <c r="AB156" s="27"/>
      <c r="AC156" s="27"/>
      <c r="AD156" s="27" t="e">
        <f>_xlfn.XLOOKUP(M156,'Customer Data Vlookup'!$R:$R,'Customer Data Vlookup'!$S:$S,,0)</f>
        <v>#N/A</v>
      </c>
      <c r="AE156" s="27"/>
      <c r="AF156" s="27"/>
      <c r="AG156" s="27" t="s">
        <v>290</v>
      </c>
      <c r="AH156" s="27" t="s">
        <v>41</v>
      </c>
      <c r="AI156" s="27" t="s">
        <v>41</v>
      </c>
      <c r="AJ156" s="27" t="s">
        <v>41</v>
      </c>
      <c r="AK156" s="28">
        <v>45793</v>
      </c>
      <c r="AL156" s="28"/>
      <c r="AM156" s="27" t="s">
        <v>41</v>
      </c>
    </row>
    <row r="157" spans="1:39" outlineLevel="2" x14ac:dyDescent="0.35">
      <c r="A157" s="1" t="s">
        <v>1016</v>
      </c>
      <c r="B157" s="1" t="s">
        <v>1003</v>
      </c>
      <c r="C157" s="1" t="s">
        <v>1004</v>
      </c>
      <c r="D157" s="1" t="s">
        <v>1005</v>
      </c>
      <c r="E157" s="1" t="s">
        <v>9</v>
      </c>
      <c r="F157" s="1" t="s">
        <v>1024</v>
      </c>
      <c r="G157" s="9">
        <v>45793</v>
      </c>
      <c r="H157" s="27" t="s">
        <v>1050</v>
      </c>
      <c r="I157" s="27" t="s">
        <v>5</v>
      </c>
      <c r="J157" s="28">
        <v>45793</v>
      </c>
      <c r="K157" s="28">
        <v>45800</v>
      </c>
      <c r="L157" s="27" t="s">
        <v>1023</v>
      </c>
      <c r="M157" s="29">
        <v>256779413358</v>
      </c>
      <c r="N157" s="27" t="s">
        <v>1007</v>
      </c>
      <c r="O157" s="27" t="s">
        <v>1008</v>
      </c>
      <c r="P157" s="27" t="s">
        <v>41</v>
      </c>
      <c r="Q157" s="27" t="s">
        <v>1025</v>
      </c>
      <c r="R157" s="27" t="s">
        <v>46</v>
      </c>
      <c r="S157" s="30">
        <v>20.11</v>
      </c>
      <c r="T157" s="27" t="s">
        <v>42</v>
      </c>
      <c r="U157" s="30">
        <v>1729.13</v>
      </c>
      <c r="V157" s="27" t="s">
        <v>1026</v>
      </c>
      <c r="W157" s="27" t="s">
        <v>1010</v>
      </c>
      <c r="X157" s="27" t="s">
        <v>41</v>
      </c>
      <c r="Y157" s="27" t="s">
        <v>1023</v>
      </c>
      <c r="Z157" s="27" t="s">
        <v>1011</v>
      </c>
      <c r="AA157" s="27"/>
      <c r="AB157" s="27"/>
      <c r="AC157" s="27"/>
      <c r="AD157" s="27" t="e">
        <f>_xlfn.XLOOKUP(M157,'Customer Data Vlookup'!$R:$R,'Customer Data Vlookup'!$S:$S,,0)</f>
        <v>#N/A</v>
      </c>
      <c r="AE157" s="27"/>
      <c r="AF157" s="27"/>
      <c r="AG157" s="27" t="s">
        <v>291</v>
      </c>
      <c r="AH157" s="27" t="s">
        <v>41</v>
      </c>
      <c r="AI157" s="27" t="s">
        <v>41</v>
      </c>
      <c r="AJ157" s="27" t="s">
        <v>41</v>
      </c>
      <c r="AK157" s="28">
        <v>45793</v>
      </c>
      <c r="AL157" s="28"/>
      <c r="AM157" s="27" t="s">
        <v>41</v>
      </c>
    </row>
    <row r="158" spans="1:39" outlineLevel="2" x14ac:dyDescent="0.35">
      <c r="A158" s="1" t="s">
        <v>1016</v>
      </c>
      <c r="B158" s="1" t="s">
        <v>1003</v>
      </c>
      <c r="C158" s="1" t="s">
        <v>1004</v>
      </c>
      <c r="D158" s="1" t="s">
        <v>1005</v>
      </c>
      <c r="E158" s="1" t="s">
        <v>9</v>
      </c>
      <c r="F158" s="1" t="s">
        <v>1024</v>
      </c>
      <c r="G158" s="9">
        <v>45805</v>
      </c>
      <c r="H158" s="27" t="s">
        <v>292</v>
      </c>
      <c r="I158" s="27" t="s">
        <v>5</v>
      </c>
      <c r="J158" s="28">
        <v>45805</v>
      </c>
      <c r="K158" s="28">
        <v>45805</v>
      </c>
      <c r="L158" s="27" t="s">
        <v>1023</v>
      </c>
      <c r="M158" s="29">
        <v>256779413897</v>
      </c>
      <c r="N158" s="27" t="s">
        <v>1007</v>
      </c>
      <c r="O158" s="27" t="s">
        <v>1008</v>
      </c>
      <c r="P158" s="27" t="s">
        <v>41</v>
      </c>
      <c r="Q158" s="27" t="s">
        <v>1025</v>
      </c>
      <c r="R158" s="27" t="s">
        <v>46</v>
      </c>
      <c r="S158" s="30">
        <v>553.24</v>
      </c>
      <c r="T158" s="27" t="s">
        <v>42</v>
      </c>
      <c r="U158" s="30">
        <v>47569.62</v>
      </c>
      <c r="V158" s="27" t="s">
        <v>1026</v>
      </c>
      <c r="W158" s="27" t="s">
        <v>1010</v>
      </c>
      <c r="X158" s="27" t="s">
        <v>41</v>
      </c>
      <c r="Y158" s="27" t="s">
        <v>1023</v>
      </c>
      <c r="Z158" s="27" t="s">
        <v>1011</v>
      </c>
      <c r="AA158" s="27"/>
      <c r="AB158" s="27"/>
      <c r="AC158" s="27"/>
      <c r="AD158" s="27" t="e">
        <f>_xlfn.XLOOKUP(M158,'Customer Data Vlookup'!$R:$R,'Customer Data Vlookup'!$S:$S,,0)</f>
        <v>#N/A</v>
      </c>
      <c r="AE158" s="27"/>
      <c r="AF158" s="27"/>
      <c r="AG158" s="27" t="s">
        <v>293</v>
      </c>
      <c r="AH158" s="27" t="s">
        <v>41</v>
      </c>
      <c r="AI158" s="27" t="s">
        <v>41</v>
      </c>
      <c r="AJ158" s="27" t="s">
        <v>41</v>
      </c>
      <c r="AK158" s="28">
        <v>45805</v>
      </c>
      <c r="AL158" s="28"/>
      <c r="AM158" s="27" t="s">
        <v>41</v>
      </c>
    </row>
    <row r="159" spans="1:39" outlineLevel="2" x14ac:dyDescent="0.35">
      <c r="A159" s="1" t="s">
        <v>1016</v>
      </c>
      <c r="B159" s="1" t="s">
        <v>1003</v>
      </c>
      <c r="C159" s="1" t="s">
        <v>1004</v>
      </c>
      <c r="D159" s="1" t="s">
        <v>1005</v>
      </c>
      <c r="E159" s="1" t="s">
        <v>9</v>
      </c>
      <c r="F159" s="1" t="s">
        <v>1019</v>
      </c>
      <c r="G159" s="9">
        <v>45856</v>
      </c>
      <c r="H159" s="27" t="s">
        <v>294</v>
      </c>
      <c r="I159" s="27" t="s">
        <v>5</v>
      </c>
      <c r="J159" s="28">
        <v>45856</v>
      </c>
      <c r="K159" s="28">
        <v>45859</v>
      </c>
      <c r="L159" s="27" t="s">
        <v>1023</v>
      </c>
      <c r="M159" s="29">
        <v>256779415432</v>
      </c>
      <c r="N159" s="27" t="s">
        <v>1007</v>
      </c>
      <c r="O159" s="27" t="s">
        <v>1008</v>
      </c>
      <c r="P159" s="27" t="s">
        <v>41</v>
      </c>
      <c r="Q159" s="27" t="s">
        <v>1025</v>
      </c>
      <c r="R159" s="27" t="s">
        <v>46</v>
      </c>
      <c r="S159" s="30">
        <v>296.64</v>
      </c>
      <c r="T159" s="27" t="s">
        <v>42</v>
      </c>
      <c r="U159" s="30">
        <v>25511.24</v>
      </c>
      <c r="V159" s="27" t="s">
        <v>1026</v>
      </c>
      <c r="W159" s="27" t="s">
        <v>1010</v>
      </c>
      <c r="X159" s="27" t="s">
        <v>41</v>
      </c>
      <c r="Y159" s="27" t="s">
        <v>1023</v>
      </c>
      <c r="Z159" s="27" t="s">
        <v>1011</v>
      </c>
      <c r="AA159" s="27"/>
      <c r="AB159" s="27"/>
      <c r="AC159" s="27"/>
      <c r="AD159" s="27" t="e">
        <f>_xlfn.XLOOKUP(M159,'Customer Data Vlookup'!$R:$R,'Customer Data Vlookup'!$S:$S,,0)</f>
        <v>#N/A</v>
      </c>
      <c r="AE159" s="27"/>
      <c r="AF159" s="27"/>
      <c r="AG159" s="27" t="s">
        <v>295</v>
      </c>
      <c r="AH159" s="27" t="s">
        <v>41</v>
      </c>
      <c r="AI159" s="27" t="s">
        <v>41</v>
      </c>
      <c r="AJ159" s="27" t="s">
        <v>41</v>
      </c>
      <c r="AK159" s="28">
        <v>45856</v>
      </c>
      <c r="AL159" s="28"/>
      <c r="AM159" s="27" t="s">
        <v>41</v>
      </c>
    </row>
    <row r="160" spans="1:39" outlineLevel="2" x14ac:dyDescent="0.35">
      <c r="A160" s="1" t="s">
        <v>1016</v>
      </c>
      <c r="B160" s="1" t="s">
        <v>1003</v>
      </c>
      <c r="C160" s="1" t="s">
        <v>1004</v>
      </c>
      <c r="D160" s="1" t="s">
        <v>1005</v>
      </c>
      <c r="E160" s="1" t="s">
        <v>9</v>
      </c>
      <c r="F160" s="1" t="s">
        <v>1019</v>
      </c>
      <c r="G160" s="9">
        <v>45856</v>
      </c>
      <c r="H160" s="27" t="s">
        <v>296</v>
      </c>
      <c r="I160" s="27" t="s">
        <v>5</v>
      </c>
      <c r="J160" s="28">
        <v>45856</v>
      </c>
      <c r="K160" s="28">
        <v>45859</v>
      </c>
      <c r="L160" s="27" t="s">
        <v>1023</v>
      </c>
      <c r="M160" s="29">
        <v>256779415482</v>
      </c>
      <c r="N160" s="27" t="s">
        <v>1007</v>
      </c>
      <c r="O160" s="27" t="s">
        <v>1008</v>
      </c>
      <c r="P160" s="27" t="s">
        <v>41</v>
      </c>
      <c r="Q160" s="27" t="s">
        <v>1025</v>
      </c>
      <c r="R160" s="27" t="s">
        <v>46</v>
      </c>
      <c r="S160" s="30">
        <v>860.97</v>
      </c>
      <c r="T160" s="27" t="s">
        <v>42</v>
      </c>
      <c r="U160" s="30">
        <v>74044</v>
      </c>
      <c r="V160" s="27" t="s">
        <v>1026</v>
      </c>
      <c r="W160" s="27" t="s">
        <v>1010</v>
      </c>
      <c r="X160" s="27" t="s">
        <v>41</v>
      </c>
      <c r="Y160" s="27" t="s">
        <v>1023</v>
      </c>
      <c r="Z160" s="27" t="s">
        <v>1011</v>
      </c>
      <c r="AA160" s="27"/>
      <c r="AB160" s="27"/>
      <c r="AC160" s="27"/>
      <c r="AD160" s="27" t="e">
        <f>_xlfn.XLOOKUP(M160,'Customer Data Vlookup'!$R:$R,'Customer Data Vlookup'!$S:$S,,0)</f>
        <v>#N/A</v>
      </c>
      <c r="AE160" s="27"/>
      <c r="AF160" s="27"/>
      <c r="AG160" s="27" t="s">
        <v>297</v>
      </c>
      <c r="AH160" s="27" t="s">
        <v>41</v>
      </c>
      <c r="AI160" s="27" t="s">
        <v>41</v>
      </c>
      <c r="AJ160" s="27" t="s">
        <v>41</v>
      </c>
      <c r="AK160" s="28">
        <v>45856</v>
      </c>
      <c r="AL160" s="28"/>
      <c r="AM160" s="27" t="s">
        <v>41</v>
      </c>
    </row>
    <row r="161" spans="1:39" outlineLevel="2" x14ac:dyDescent="0.35">
      <c r="A161" s="1" t="s">
        <v>1016</v>
      </c>
      <c r="B161" s="1" t="s">
        <v>1003</v>
      </c>
      <c r="C161" s="1" t="s">
        <v>1004</v>
      </c>
      <c r="D161" s="1" t="s">
        <v>1005</v>
      </c>
      <c r="E161" s="1" t="s">
        <v>9</v>
      </c>
      <c r="F161" s="1" t="s">
        <v>1019</v>
      </c>
      <c r="G161" s="9">
        <v>45856</v>
      </c>
      <c r="H161" s="27" t="s">
        <v>298</v>
      </c>
      <c r="I161" s="27" t="s">
        <v>5</v>
      </c>
      <c r="J161" s="28">
        <v>45856</v>
      </c>
      <c r="K161" s="28">
        <v>45859</v>
      </c>
      <c r="L161" s="27" t="s">
        <v>1023</v>
      </c>
      <c r="M161" s="29">
        <v>256779415524</v>
      </c>
      <c r="N161" s="27" t="s">
        <v>1007</v>
      </c>
      <c r="O161" s="27" t="s">
        <v>1008</v>
      </c>
      <c r="P161" s="27" t="s">
        <v>41</v>
      </c>
      <c r="Q161" s="27" t="s">
        <v>1025</v>
      </c>
      <c r="R161" s="27" t="s">
        <v>46</v>
      </c>
      <c r="S161" s="30">
        <v>73.12</v>
      </c>
      <c r="T161" s="27" t="s">
        <v>42</v>
      </c>
      <c r="U161" s="30">
        <v>6288.37</v>
      </c>
      <c r="V161" s="27" t="s">
        <v>1026</v>
      </c>
      <c r="W161" s="27" t="s">
        <v>1010</v>
      </c>
      <c r="X161" s="27" t="s">
        <v>41</v>
      </c>
      <c r="Y161" s="27" t="s">
        <v>1023</v>
      </c>
      <c r="Z161" s="27" t="s">
        <v>1011</v>
      </c>
      <c r="AA161" s="27"/>
      <c r="AB161" s="27"/>
      <c r="AC161" s="27"/>
      <c r="AD161" s="27" t="e">
        <f>_xlfn.XLOOKUP(M161,'Customer Data Vlookup'!$R:$R,'Customer Data Vlookup'!$S:$S,,0)</f>
        <v>#N/A</v>
      </c>
      <c r="AE161" s="27"/>
      <c r="AF161" s="27"/>
      <c r="AG161" s="27" t="s">
        <v>299</v>
      </c>
      <c r="AH161" s="27" t="s">
        <v>41</v>
      </c>
      <c r="AI161" s="27" t="s">
        <v>41</v>
      </c>
      <c r="AJ161" s="27" t="s">
        <v>41</v>
      </c>
      <c r="AK161" s="28">
        <v>45856</v>
      </c>
      <c r="AL161" s="28"/>
      <c r="AM161" s="27" t="s">
        <v>41</v>
      </c>
    </row>
    <row r="162" spans="1:39" outlineLevel="2" x14ac:dyDescent="0.35">
      <c r="A162" s="1" t="s">
        <v>1016</v>
      </c>
      <c r="B162" s="1" t="s">
        <v>1003</v>
      </c>
      <c r="C162" s="1" t="s">
        <v>1004</v>
      </c>
      <c r="D162" s="1" t="s">
        <v>1005</v>
      </c>
      <c r="E162" s="1" t="s">
        <v>9</v>
      </c>
      <c r="F162" s="1" t="s">
        <v>1019</v>
      </c>
      <c r="G162" s="9">
        <v>45856</v>
      </c>
      <c r="H162" s="27" t="s">
        <v>300</v>
      </c>
      <c r="I162" s="27" t="s">
        <v>5</v>
      </c>
      <c r="J162" s="28">
        <v>45856</v>
      </c>
      <c r="K162" s="28">
        <v>45859</v>
      </c>
      <c r="L162" s="27" t="s">
        <v>1023</v>
      </c>
      <c r="M162" s="29">
        <v>256779415701</v>
      </c>
      <c r="N162" s="27" t="s">
        <v>1007</v>
      </c>
      <c r="O162" s="27" t="s">
        <v>1008</v>
      </c>
      <c r="P162" s="27" t="s">
        <v>41</v>
      </c>
      <c r="Q162" s="27" t="s">
        <v>1025</v>
      </c>
      <c r="R162" s="27" t="s">
        <v>46</v>
      </c>
      <c r="S162" s="30">
        <v>660</v>
      </c>
      <c r="T162" s="27" t="s">
        <v>42</v>
      </c>
      <c r="U162" s="30">
        <v>56760.44</v>
      </c>
      <c r="V162" s="27" t="s">
        <v>1026</v>
      </c>
      <c r="W162" s="27" t="s">
        <v>1010</v>
      </c>
      <c r="X162" s="27" t="s">
        <v>41</v>
      </c>
      <c r="Y162" s="27" t="s">
        <v>1023</v>
      </c>
      <c r="Z162" s="27" t="s">
        <v>1011</v>
      </c>
      <c r="AA162" s="27"/>
      <c r="AB162" s="27"/>
      <c r="AC162" s="27"/>
      <c r="AD162" s="27" t="e">
        <f>_xlfn.XLOOKUP(M162,'Customer Data Vlookup'!$R:$R,'Customer Data Vlookup'!$S:$S,,0)</f>
        <v>#N/A</v>
      </c>
      <c r="AE162" s="27"/>
      <c r="AF162" s="27"/>
      <c r="AG162" s="27" t="s">
        <v>301</v>
      </c>
      <c r="AH162" s="27" t="s">
        <v>41</v>
      </c>
      <c r="AI162" s="27" t="s">
        <v>41</v>
      </c>
      <c r="AJ162" s="27" t="s">
        <v>41</v>
      </c>
      <c r="AK162" s="28">
        <v>45856</v>
      </c>
      <c r="AL162" s="28"/>
      <c r="AM162" s="27" t="s">
        <v>41</v>
      </c>
    </row>
    <row r="163" spans="1:39" outlineLevel="2" x14ac:dyDescent="0.35">
      <c r="A163" s="1" t="s">
        <v>1016</v>
      </c>
      <c r="B163" s="1" t="s">
        <v>1003</v>
      </c>
      <c r="C163" s="1" t="s">
        <v>1004</v>
      </c>
      <c r="D163" s="1" t="s">
        <v>1005</v>
      </c>
      <c r="E163" s="1" t="s">
        <v>9</v>
      </c>
      <c r="F163" s="1" t="s">
        <v>1019</v>
      </c>
      <c r="G163" s="9">
        <v>45856</v>
      </c>
      <c r="H163" s="27" t="s">
        <v>302</v>
      </c>
      <c r="I163" s="27" t="s">
        <v>5</v>
      </c>
      <c r="J163" s="28">
        <v>45856</v>
      </c>
      <c r="K163" s="28">
        <v>45859</v>
      </c>
      <c r="L163" s="27" t="s">
        <v>1023</v>
      </c>
      <c r="M163" s="29">
        <v>256779415802</v>
      </c>
      <c r="N163" s="27" t="s">
        <v>1007</v>
      </c>
      <c r="O163" s="27" t="s">
        <v>1008</v>
      </c>
      <c r="P163" s="27" t="s">
        <v>41</v>
      </c>
      <c r="Q163" s="27" t="s">
        <v>1025</v>
      </c>
      <c r="R163" s="27" t="s">
        <v>46</v>
      </c>
      <c r="S163" s="30">
        <v>860.97</v>
      </c>
      <c r="T163" s="27" t="s">
        <v>42</v>
      </c>
      <c r="U163" s="30">
        <v>74044</v>
      </c>
      <c r="V163" s="27" t="s">
        <v>1026</v>
      </c>
      <c r="W163" s="27" t="s">
        <v>1010</v>
      </c>
      <c r="X163" s="27" t="s">
        <v>41</v>
      </c>
      <c r="Y163" s="27" t="s">
        <v>1023</v>
      </c>
      <c r="Z163" s="27" t="s">
        <v>1011</v>
      </c>
      <c r="AA163" s="27"/>
      <c r="AB163" s="27"/>
      <c r="AC163" s="27"/>
      <c r="AD163" s="27" t="e">
        <f>_xlfn.XLOOKUP(M163,'Customer Data Vlookup'!$R:$R,'Customer Data Vlookup'!$S:$S,,0)</f>
        <v>#N/A</v>
      </c>
      <c r="AE163" s="27"/>
      <c r="AF163" s="27"/>
      <c r="AG163" s="27" t="s">
        <v>297</v>
      </c>
      <c r="AH163" s="27" t="s">
        <v>41</v>
      </c>
      <c r="AI163" s="27" t="s">
        <v>41</v>
      </c>
      <c r="AJ163" s="27" t="s">
        <v>41</v>
      </c>
      <c r="AK163" s="28">
        <v>45856</v>
      </c>
      <c r="AL163" s="28"/>
      <c r="AM163" s="27" t="s">
        <v>41</v>
      </c>
    </row>
    <row r="164" spans="1:39" outlineLevel="2" x14ac:dyDescent="0.35">
      <c r="A164" s="1" t="s">
        <v>1016</v>
      </c>
      <c r="B164" s="1" t="s">
        <v>1003</v>
      </c>
      <c r="C164" s="1" t="s">
        <v>1004</v>
      </c>
      <c r="D164" s="1" t="s">
        <v>1005</v>
      </c>
      <c r="E164" s="1" t="s">
        <v>9</v>
      </c>
      <c r="F164" s="1" t="s">
        <v>1021</v>
      </c>
      <c r="G164" s="9">
        <v>45729</v>
      </c>
      <c r="H164" s="27" t="s">
        <v>303</v>
      </c>
      <c r="I164" s="27" t="s">
        <v>5</v>
      </c>
      <c r="J164" s="28">
        <v>45729</v>
      </c>
      <c r="K164" s="28">
        <v>45733</v>
      </c>
      <c r="L164" s="27" t="s">
        <v>1023</v>
      </c>
      <c r="M164" s="29">
        <v>246779411301</v>
      </c>
      <c r="N164" s="27" t="s">
        <v>1007</v>
      </c>
      <c r="O164" s="27" t="s">
        <v>1008</v>
      </c>
      <c r="P164" s="27" t="s">
        <v>41</v>
      </c>
      <c r="Q164" s="27" t="s">
        <v>1025</v>
      </c>
      <c r="R164" s="27" t="s">
        <v>46</v>
      </c>
      <c r="S164" s="30">
        <v>85</v>
      </c>
      <c r="T164" s="27" t="s">
        <v>42</v>
      </c>
      <c r="U164" s="30">
        <v>7368.76</v>
      </c>
      <c r="V164" s="27" t="s">
        <v>1026</v>
      </c>
      <c r="W164" s="27" t="s">
        <v>1010</v>
      </c>
      <c r="X164" s="27" t="s">
        <v>41</v>
      </c>
      <c r="Y164" s="27" t="s">
        <v>1023</v>
      </c>
      <c r="Z164" s="27" t="s">
        <v>1011</v>
      </c>
      <c r="AA164" s="27"/>
      <c r="AB164" s="27"/>
      <c r="AC164" s="27"/>
      <c r="AD164" s="27" t="e">
        <f>_xlfn.XLOOKUP(M164,'Customer Data Vlookup'!$R:$R,'Customer Data Vlookup'!$S:$S,,0)</f>
        <v>#N/A</v>
      </c>
      <c r="AE164" s="27"/>
      <c r="AF164" s="27"/>
      <c r="AG164" s="27" t="s">
        <v>304</v>
      </c>
      <c r="AH164" s="27" t="s">
        <v>41</v>
      </c>
      <c r="AI164" s="27" t="s">
        <v>41</v>
      </c>
      <c r="AJ164" s="27" t="s">
        <v>41</v>
      </c>
      <c r="AK164" s="28">
        <v>45729</v>
      </c>
      <c r="AL164" s="28"/>
      <c r="AM164" s="27" t="s">
        <v>41</v>
      </c>
    </row>
    <row r="165" spans="1:39" outlineLevel="2" x14ac:dyDescent="0.35">
      <c r="A165" s="1" t="s">
        <v>1016</v>
      </c>
      <c r="B165" s="1" t="s">
        <v>1003</v>
      </c>
      <c r="C165" s="1" t="s">
        <v>1004</v>
      </c>
      <c r="D165" s="1" t="s">
        <v>1005</v>
      </c>
      <c r="E165" s="1" t="s">
        <v>9</v>
      </c>
      <c r="F165" s="1" t="s">
        <v>1021</v>
      </c>
      <c r="G165" s="9">
        <v>45729</v>
      </c>
      <c r="H165" s="27" t="s">
        <v>305</v>
      </c>
      <c r="I165" s="27" t="s">
        <v>5</v>
      </c>
      <c r="J165" s="28">
        <v>45729</v>
      </c>
      <c r="K165" s="28">
        <v>45733</v>
      </c>
      <c r="L165" s="27" t="s">
        <v>1023</v>
      </c>
      <c r="M165" s="29">
        <v>246779411315</v>
      </c>
      <c r="N165" s="27" t="s">
        <v>1007</v>
      </c>
      <c r="O165" s="27" t="s">
        <v>1008</v>
      </c>
      <c r="P165" s="27" t="s">
        <v>41</v>
      </c>
      <c r="Q165" s="27" t="s">
        <v>1025</v>
      </c>
      <c r="R165" s="27" t="s">
        <v>46</v>
      </c>
      <c r="S165" s="30">
        <v>35</v>
      </c>
      <c r="T165" s="27" t="s">
        <v>42</v>
      </c>
      <c r="U165" s="30">
        <v>3034.19</v>
      </c>
      <c r="V165" s="27" t="s">
        <v>1026</v>
      </c>
      <c r="W165" s="27" t="s">
        <v>1010</v>
      </c>
      <c r="X165" s="27" t="s">
        <v>41</v>
      </c>
      <c r="Y165" s="27" t="s">
        <v>1023</v>
      </c>
      <c r="Z165" s="27" t="s">
        <v>1011</v>
      </c>
      <c r="AA165" s="27"/>
      <c r="AB165" s="27"/>
      <c r="AC165" s="27"/>
      <c r="AD165" s="27" t="e">
        <f>_xlfn.XLOOKUP(M165,'Customer Data Vlookup'!$R:$R,'Customer Data Vlookup'!$S:$S,,0)</f>
        <v>#N/A</v>
      </c>
      <c r="AE165" s="27"/>
      <c r="AF165" s="27"/>
      <c r="AG165" s="27" t="s">
        <v>306</v>
      </c>
      <c r="AH165" s="27" t="s">
        <v>41</v>
      </c>
      <c r="AI165" s="27" t="s">
        <v>41</v>
      </c>
      <c r="AJ165" s="27" t="s">
        <v>41</v>
      </c>
      <c r="AK165" s="28">
        <v>45729</v>
      </c>
      <c r="AL165" s="28"/>
      <c r="AM165" s="27" t="s">
        <v>41</v>
      </c>
    </row>
    <row r="166" spans="1:39" outlineLevel="2" x14ac:dyDescent="0.35">
      <c r="A166" s="1" t="s">
        <v>1002</v>
      </c>
      <c r="B166" s="1" t="s">
        <v>1003</v>
      </c>
      <c r="C166" s="1" t="s">
        <v>1004</v>
      </c>
      <c r="D166" s="1" t="s">
        <v>1005</v>
      </c>
      <c r="E166" s="1" t="s">
        <v>9</v>
      </c>
      <c r="F166" s="1" t="s">
        <v>1021</v>
      </c>
      <c r="G166" s="9">
        <v>45729</v>
      </c>
      <c r="H166" s="27" t="s">
        <v>307</v>
      </c>
      <c r="I166" s="27" t="s">
        <v>5</v>
      </c>
      <c r="J166" s="28">
        <v>45729</v>
      </c>
      <c r="K166" s="28">
        <v>45731</v>
      </c>
      <c r="L166" s="27" t="s">
        <v>1023</v>
      </c>
      <c r="M166" s="29">
        <v>246779411279</v>
      </c>
      <c r="N166" s="27" t="s">
        <v>1007</v>
      </c>
      <c r="O166" s="27" t="s">
        <v>1008</v>
      </c>
      <c r="P166" s="27" t="s">
        <v>41</v>
      </c>
      <c r="Q166" s="27" t="s">
        <v>1025</v>
      </c>
      <c r="R166" s="27" t="s">
        <v>46</v>
      </c>
      <c r="S166" s="30">
        <v>35</v>
      </c>
      <c r="T166" s="27" t="s">
        <v>42</v>
      </c>
      <c r="U166" s="30">
        <v>3034.19</v>
      </c>
      <c r="V166" s="27" t="s">
        <v>1026</v>
      </c>
      <c r="W166" s="27" t="s">
        <v>1010</v>
      </c>
      <c r="X166" s="27" t="s">
        <v>41</v>
      </c>
      <c r="Y166" s="27" t="s">
        <v>1023</v>
      </c>
      <c r="Z166" s="27" t="s">
        <v>1011</v>
      </c>
      <c r="AA166" s="27"/>
      <c r="AB166" s="27"/>
      <c r="AC166" s="27"/>
      <c r="AD166" s="27" t="e">
        <f>_xlfn.XLOOKUP(M166,'Customer Data Vlookup'!$R:$R,'Customer Data Vlookup'!$S:$S,,0)</f>
        <v>#N/A</v>
      </c>
      <c r="AE166" s="27"/>
      <c r="AF166" s="27"/>
      <c r="AG166" s="27" t="s">
        <v>308</v>
      </c>
      <c r="AH166" s="27" t="s">
        <v>41</v>
      </c>
      <c r="AI166" s="27" t="s">
        <v>41</v>
      </c>
      <c r="AJ166" s="27" t="s">
        <v>41</v>
      </c>
      <c r="AK166" s="28">
        <v>45729</v>
      </c>
      <c r="AL166" s="28">
        <v>45887</v>
      </c>
      <c r="AM166" s="27" t="s">
        <v>45</v>
      </c>
    </row>
    <row r="167" spans="1:39" outlineLevel="2" x14ac:dyDescent="0.35">
      <c r="A167" s="1" t="s">
        <v>1016</v>
      </c>
      <c r="B167" s="1" t="s">
        <v>1003</v>
      </c>
      <c r="C167" s="1" t="s">
        <v>1004</v>
      </c>
      <c r="D167" s="1" t="s">
        <v>1005</v>
      </c>
      <c r="E167" s="1" t="s">
        <v>9</v>
      </c>
      <c r="F167" s="1" t="s">
        <v>1021</v>
      </c>
      <c r="G167" s="9">
        <v>45736</v>
      </c>
      <c r="H167" s="27" t="s">
        <v>309</v>
      </c>
      <c r="I167" s="27" t="s">
        <v>5</v>
      </c>
      <c r="J167" s="28">
        <v>45736</v>
      </c>
      <c r="K167" s="28">
        <v>45736</v>
      </c>
      <c r="L167" s="27" t="s">
        <v>1023</v>
      </c>
      <c r="M167" s="29">
        <v>246779413797</v>
      </c>
      <c r="N167" s="27" t="s">
        <v>1007</v>
      </c>
      <c r="O167" s="27" t="s">
        <v>1008</v>
      </c>
      <c r="P167" s="27" t="s">
        <v>41</v>
      </c>
      <c r="Q167" s="27" t="s">
        <v>1025</v>
      </c>
      <c r="R167" s="27" t="s">
        <v>46</v>
      </c>
      <c r="S167" s="30">
        <v>1750</v>
      </c>
      <c r="T167" s="27" t="s">
        <v>42</v>
      </c>
      <c r="U167" s="30">
        <v>151709.71</v>
      </c>
      <c r="V167" s="27" t="s">
        <v>1026</v>
      </c>
      <c r="W167" s="27" t="s">
        <v>1010</v>
      </c>
      <c r="X167" s="27" t="s">
        <v>41</v>
      </c>
      <c r="Y167" s="27" t="s">
        <v>1023</v>
      </c>
      <c r="Z167" s="27" t="s">
        <v>1011</v>
      </c>
      <c r="AA167" s="27"/>
      <c r="AB167" s="27"/>
      <c r="AC167" s="27"/>
      <c r="AD167" s="27" t="e">
        <f>_xlfn.XLOOKUP(M167,'Customer Data Vlookup'!$R:$R,'Customer Data Vlookup'!$S:$S,,0)</f>
        <v>#N/A</v>
      </c>
      <c r="AE167" s="27"/>
      <c r="AF167" s="27"/>
      <c r="AG167" s="27" t="s">
        <v>310</v>
      </c>
      <c r="AH167" s="27" t="s">
        <v>41</v>
      </c>
      <c r="AI167" s="27" t="s">
        <v>41</v>
      </c>
      <c r="AJ167" s="27" t="s">
        <v>41</v>
      </c>
      <c r="AK167" s="28">
        <v>45736</v>
      </c>
      <c r="AL167" s="28"/>
      <c r="AM167" s="27" t="s">
        <v>41</v>
      </c>
    </row>
    <row r="168" spans="1:39" outlineLevel="2" x14ac:dyDescent="0.35">
      <c r="A168" s="1" t="s">
        <v>1016</v>
      </c>
      <c r="B168" s="1" t="s">
        <v>1003</v>
      </c>
      <c r="C168" s="1" t="s">
        <v>1004</v>
      </c>
      <c r="D168" s="1" t="s">
        <v>1005</v>
      </c>
      <c r="E168" s="1" t="s">
        <v>9</v>
      </c>
      <c r="F168" s="1" t="s">
        <v>1021</v>
      </c>
      <c r="G168" s="9">
        <v>45736</v>
      </c>
      <c r="H168" s="27" t="s">
        <v>311</v>
      </c>
      <c r="I168" s="27" t="s">
        <v>5</v>
      </c>
      <c r="J168" s="28">
        <v>45736</v>
      </c>
      <c r="K168" s="28">
        <v>45736</v>
      </c>
      <c r="L168" s="27" t="s">
        <v>1023</v>
      </c>
      <c r="M168" s="29">
        <v>246779413808</v>
      </c>
      <c r="N168" s="27" t="s">
        <v>1007</v>
      </c>
      <c r="O168" s="27" t="s">
        <v>1008</v>
      </c>
      <c r="P168" s="27" t="s">
        <v>41</v>
      </c>
      <c r="Q168" s="27" t="s">
        <v>1025</v>
      </c>
      <c r="R168" s="27" t="s">
        <v>46</v>
      </c>
      <c r="S168" s="30">
        <v>1600</v>
      </c>
      <c r="T168" s="27" t="s">
        <v>42</v>
      </c>
      <c r="U168" s="30">
        <v>138706.01999999999</v>
      </c>
      <c r="V168" s="27" t="s">
        <v>1026</v>
      </c>
      <c r="W168" s="27" t="s">
        <v>1010</v>
      </c>
      <c r="X168" s="27" t="s">
        <v>41</v>
      </c>
      <c r="Y168" s="27" t="s">
        <v>1023</v>
      </c>
      <c r="Z168" s="27" t="s">
        <v>1011</v>
      </c>
      <c r="AA168" s="27"/>
      <c r="AB168" s="27"/>
      <c r="AC168" s="27"/>
      <c r="AD168" s="27" t="e">
        <f>_xlfn.XLOOKUP(M168,'Customer Data Vlookup'!$R:$R,'Customer Data Vlookup'!$S:$S,,0)</f>
        <v>#N/A</v>
      </c>
      <c r="AE168" s="27"/>
      <c r="AF168" s="27"/>
      <c r="AG168" s="27" t="s">
        <v>312</v>
      </c>
      <c r="AH168" s="27" t="s">
        <v>41</v>
      </c>
      <c r="AI168" s="27" t="s">
        <v>41</v>
      </c>
      <c r="AJ168" s="27" t="s">
        <v>41</v>
      </c>
      <c r="AK168" s="28">
        <v>45736</v>
      </c>
      <c r="AL168" s="28"/>
      <c r="AM168" s="27" t="s">
        <v>41</v>
      </c>
    </row>
    <row r="169" spans="1:39" outlineLevel="2" x14ac:dyDescent="0.35">
      <c r="A169" s="1" t="s">
        <v>1016</v>
      </c>
      <c r="B169" s="1" t="s">
        <v>1003</v>
      </c>
      <c r="C169" s="1" t="s">
        <v>1004</v>
      </c>
      <c r="D169" s="1" t="s">
        <v>1005</v>
      </c>
      <c r="E169" s="1" t="s">
        <v>9</v>
      </c>
      <c r="F169" s="1" t="s">
        <v>1021</v>
      </c>
      <c r="G169" s="9">
        <v>45736</v>
      </c>
      <c r="H169" s="27" t="s">
        <v>313</v>
      </c>
      <c r="I169" s="27" t="s">
        <v>5</v>
      </c>
      <c r="J169" s="28">
        <v>45736</v>
      </c>
      <c r="K169" s="28">
        <v>45737</v>
      </c>
      <c r="L169" s="27" t="s">
        <v>1023</v>
      </c>
      <c r="M169" s="29">
        <v>246779413817</v>
      </c>
      <c r="N169" s="27" t="s">
        <v>1007</v>
      </c>
      <c r="O169" s="27" t="s">
        <v>1008</v>
      </c>
      <c r="P169" s="27" t="s">
        <v>41</v>
      </c>
      <c r="Q169" s="27" t="s">
        <v>1025</v>
      </c>
      <c r="R169" s="27" t="s">
        <v>46</v>
      </c>
      <c r="S169" s="30">
        <v>50</v>
      </c>
      <c r="T169" s="27" t="s">
        <v>42</v>
      </c>
      <c r="U169" s="30">
        <v>4334.5600000000004</v>
      </c>
      <c r="V169" s="27" t="s">
        <v>1026</v>
      </c>
      <c r="W169" s="27" t="s">
        <v>1010</v>
      </c>
      <c r="X169" s="27" t="s">
        <v>41</v>
      </c>
      <c r="Y169" s="27" t="s">
        <v>1023</v>
      </c>
      <c r="Z169" s="27" t="s">
        <v>1011</v>
      </c>
      <c r="AA169" s="27"/>
      <c r="AB169" s="27"/>
      <c r="AC169" s="27"/>
      <c r="AD169" s="27" t="e">
        <f>_xlfn.XLOOKUP(M169,'Customer Data Vlookup'!$R:$R,'Customer Data Vlookup'!$S:$S,,0)</f>
        <v>#N/A</v>
      </c>
      <c r="AE169" s="27"/>
      <c r="AF169" s="27"/>
      <c r="AG169" s="27" t="s">
        <v>314</v>
      </c>
      <c r="AH169" s="27" t="s">
        <v>41</v>
      </c>
      <c r="AI169" s="27" t="s">
        <v>41</v>
      </c>
      <c r="AJ169" s="27" t="s">
        <v>41</v>
      </c>
      <c r="AK169" s="28">
        <v>45736</v>
      </c>
      <c r="AL169" s="28"/>
      <c r="AM169" s="27" t="s">
        <v>41</v>
      </c>
    </row>
    <row r="170" spans="1:39" outlineLevel="2" x14ac:dyDescent="0.35">
      <c r="A170" s="1" t="s">
        <v>1016</v>
      </c>
      <c r="B170" s="1" t="s">
        <v>1003</v>
      </c>
      <c r="C170" s="1" t="s">
        <v>1004</v>
      </c>
      <c r="D170" s="1" t="s">
        <v>1005</v>
      </c>
      <c r="E170" s="1" t="s">
        <v>9</v>
      </c>
      <c r="F170" s="1" t="s">
        <v>1021</v>
      </c>
      <c r="G170" s="9">
        <v>45736</v>
      </c>
      <c r="H170" s="27" t="s">
        <v>315</v>
      </c>
      <c r="I170" s="27" t="s">
        <v>5</v>
      </c>
      <c r="J170" s="28">
        <v>45736</v>
      </c>
      <c r="K170" s="28">
        <v>45737</v>
      </c>
      <c r="L170" s="27" t="s">
        <v>1023</v>
      </c>
      <c r="M170" s="29">
        <v>246779413828</v>
      </c>
      <c r="N170" s="27" t="s">
        <v>1007</v>
      </c>
      <c r="O170" s="27" t="s">
        <v>1008</v>
      </c>
      <c r="P170" s="27" t="s">
        <v>41</v>
      </c>
      <c r="Q170" s="27" t="s">
        <v>1025</v>
      </c>
      <c r="R170" s="27" t="s">
        <v>46</v>
      </c>
      <c r="S170" s="30">
        <v>50</v>
      </c>
      <c r="T170" s="27" t="s">
        <v>42</v>
      </c>
      <c r="U170" s="30">
        <v>4334.5600000000004</v>
      </c>
      <c r="V170" s="27" t="s">
        <v>1026</v>
      </c>
      <c r="W170" s="27" t="s">
        <v>1010</v>
      </c>
      <c r="X170" s="27" t="s">
        <v>41</v>
      </c>
      <c r="Y170" s="27" t="s">
        <v>1023</v>
      </c>
      <c r="Z170" s="27" t="s">
        <v>1011</v>
      </c>
      <c r="AA170" s="27"/>
      <c r="AB170" s="27"/>
      <c r="AC170" s="27"/>
      <c r="AD170" s="27" t="e">
        <f>_xlfn.XLOOKUP(M170,'Customer Data Vlookup'!$R:$R,'Customer Data Vlookup'!$S:$S,,0)</f>
        <v>#N/A</v>
      </c>
      <c r="AE170" s="27"/>
      <c r="AF170" s="27"/>
      <c r="AG170" s="27" t="s">
        <v>316</v>
      </c>
      <c r="AH170" s="27" t="s">
        <v>41</v>
      </c>
      <c r="AI170" s="27" t="s">
        <v>41</v>
      </c>
      <c r="AJ170" s="27" t="s">
        <v>41</v>
      </c>
      <c r="AK170" s="28">
        <v>45736</v>
      </c>
      <c r="AL170" s="28"/>
      <c r="AM170" s="27" t="s">
        <v>41</v>
      </c>
    </row>
    <row r="171" spans="1:39" outlineLevel="2" x14ac:dyDescent="0.35">
      <c r="A171" s="1" t="s">
        <v>1016</v>
      </c>
      <c r="B171" s="1" t="s">
        <v>1003</v>
      </c>
      <c r="C171" s="1" t="s">
        <v>1004</v>
      </c>
      <c r="D171" s="1" t="s">
        <v>1005</v>
      </c>
      <c r="E171" s="1" t="s">
        <v>9</v>
      </c>
      <c r="F171" s="1" t="s">
        <v>1021</v>
      </c>
      <c r="G171" s="9">
        <v>45736</v>
      </c>
      <c r="H171" s="27" t="s">
        <v>317</v>
      </c>
      <c r="I171" s="27" t="s">
        <v>5</v>
      </c>
      <c r="J171" s="28">
        <v>45736</v>
      </c>
      <c r="K171" s="28">
        <v>45737</v>
      </c>
      <c r="L171" s="27" t="s">
        <v>1023</v>
      </c>
      <c r="M171" s="29">
        <v>246779413905</v>
      </c>
      <c r="N171" s="27" t="s">
        <v>1007</v>
      </c>
      <c r="O171" s="27" t="s">
        <v>1008</v>
      </c>
      <c r="P171" s="27" t="s">
        <v>41</v>
      </c>
      <c r="Q171" s="27" t="s">
        <v>1025</v>
      </c>
      <c r="R171" s="27" t="s">
        <v>46</v>
      </c>
      <c r="S171" s="30">
        <v>4.4000000000000004</v>
      </c>
      <c r="T171" s="27" t="s">
        <v>42</v>
      </c>
      <c r="U171" s="30">
        <v>381.44</v>
      </c>
      <c r="V171" s="27" t="s">
        <v>1026</v>
      </c>
      <c r="W171" s="27" t="s">
        <v>1010</v>
      </c>
      <c r="X171" s="27" t="s">
        <v>41</v>
      </c>
      <c r="Y171" s="27" t="s">
        <v>1023</v>
      </c>
      <c r="Z171" s="27" t="s">
        <v>1011</v>
      </c>
      <c r="AA171" s="27"/>
      <c r="AB171" s="27"/>
      <c r="AC171" s="27"/>
      <c r="AD171" s="27" t="e">
        <f>_xlfn.XLOOKUP(M171,'Customer Data Vlookup'!$R:$R,'Customer Data Vlookup'!$S:$S,,0)</f>
        <v>#N/A</v>
      </c>
      <c r="AE171" s="27"/>
      <c r="AF171" s="27"/>
      <c r="AG171" s="27" t="s">
        <v>318</v>
      </c>
      <c r="AH171" s="27" t="s">
        <v>41</v>
      </c>
      <c r="AI171" s="27" t="s">
        <v>41</v>
      </c>
      <c r="AJ171" s="27" t="s">
        <v>41</v>
      </c>
      <c r="AK171" s="28">
        <v>45736</v>
      </c>
      <c r="AL171" s="28"/>
      <c r="AM171" s="27" t="s">
        <v>41</v>
      </c>
    </row>
    <row r="172" spans="1:39" outlineLevel="2" x14ac:dyDescent="0.35">
      <c r="A172" s="1" t="s">
        <v>1016</v>
      </c>
      <c r="B172" s="1" t="s">
        <v>1003</v>
      </c>
      <c r="C172" s="1" t="s">
        <v>1004</v>
      </c>
      <c r="D172" s="1" t="s">
        <v>1005</v>
      </c>
      <c r="E172" s="1" t="s">
        <v>9</v>
      </c>
      <c r="F172" s="1" t="s">
        <v>1021</v>
      </c>
      <c r="G172" s="9">
        <v>45736</v>
      </c>
      <c r="H172" s="27" t="s">
        <v>319</v>
      </c>
      <c r="I172" s="27" t="s">
        <v>5</v>
      </c>
      <c r="J172" s="28">
        <v>45736</v>
      </c>
      <c r="K172" s="28">
        <v>45737</v>
      </c>
      <c r="L172" s="27" t="s">
        <v>1023</v>
      </c>
      <c r="M172" s="29">
        <v>246779414143</v>
      </c>
      <c r="N172" s="27" t="s">
        <v>1007</v>
      </c>
      <c r="O172" s="27" t="s">
        <v>1008</v>
      </c>
      <c r="P172" s="27" t="s">
        <v>41</v>
      </c>
      <c r="Q172" s="27" t="s">
        <v>1025</v>
      </c>
      <c r="R172" s="27" t="s">
        <v>46</v>
      </c>
      <c r="S172" s="30">
        <v>566.11</v>
      </c>
      <c r="T172" s="27" t="s">
        <v>42</v>
      </c>
      <c r="U172" s="30">
        <v>49076.79</v>
      </c>
      <c r="V172" s="27" t="s">
        <v>1026</v>
      </c>
      <c r="W172" s="27" t="s">
        <v>1010</v>
      </c>
      <c r="X172" s="27" t="s">
        <v>41</v>
      </c>
      <c r="Y172" s="27" t="s">
        <v>1023</v>
      </c>
      <c r="Z172" s="27" t="s">
        <v>1011</v>
      </c>
      <c r="AA172" s="27"/>
      <c r="AB172" s="27"/>
      <c r="AC172" s="27"/>
      <c r="AD172" s="27" t="e">
        <f>_xlfn.XLOOKUP(M172,'Customer Data Vlookup'!$R:$R,'Customer Data Vlookup'!$S:$S,,0)</f>
        <v>#N/A</v>
      </c>
      <c r="AE172" s="27"/>
      <c r="AF172" s="27"/>
      <c r="AG172" s="27" t="s">
        <v>320</v>
      </c>
      <c r="AH172" s="27" t="s">
        <v>41</v>
      </c>
      <c r="AI172" s="27" t="s">
        <v>41</v>
      </c>
      <c r="AJ172" s="27" t="s">
        <v>41</v>
      </c>
      <c r="AK172" s="28">
        <v>45736</v>
      </c>
      <c r="AL172" s="28"/>
      <c r="AM172" s="27" t="s">
        <v>41</v>
      </c>
    </row>
    <row r="173" spans="1:39" outlineLevel="2" x14ac:dyDescent="0.35">
      <c r="A173" s="1" t="s">
        <v>1016</v>
      </c>
      <c r="B173" s="1" t="s">
        <v>1003</v>
      </c>
      <c r="C173" s="1" t="s">
        <v>1004</v>
      </c>
      <c r="D173" s="1" t="s">
        <v>1005</v>
      </c>
      <c r="E173" s="1" t="s">
        <v>9</v>
      </c>
      <c r="F173" s="1" t="s">
        <v>1021</v>
      </c>
      <c r="G173" s="9">
        <v>45736</v>
      </c>
      <c r="H173" s="27" t="s">
        <v>321</v>
      </c>
      <c r="I173" s="27" t="s">
        <v>5</v>
      </c>
      <c r="J173" s="28">
        <v>45736</v>
      </c>
      <c r="K173" s="28">
        <v>45737</v>
      </c>
      <c r="L173" s="27" t="s">
        <v>1023</v>
      </c>
      <c r="M173" s="29">
        <v>246779414144</v>
      </c>
      <c r="N173" s="27" t="s">
        <v>1007</v>
      </c>
      <c r="O173" s="27" t="s">
        <v>1008</v>
      </c>
      <c r="P173" s="27" t="s">
        <v>41</v>
      </c>
      <c r="Q173" s="27" t="s">
        <v>1025</v>
      </c>
      <c r="R173" s="27" t="s">
        <v>46</v>
      </c>
      <c r="S173" s="30">
        <v>126</v>
      </c>
      <c r="T173" s="27" t="s">
        <v>42</v>
      </c>
      <c r="U173" s="30">
        <v>10923.1</v>
      </c>
      <c r="V173" s="27" t="s">
        <v>1026</v>
      </c>
      <c r="W173" s="27" t="s">
        <v>1010</v>
      </c>
      <c r="X173" s="27" t="s">
        <v>41</v>
      </c>
      <c r="Y173" s="27" t="s">
        <v>1023</v>
      </c>
      <c r="Z173" s="27" t="s">
        <v>1011</v>
      </c>
      <c r="AA173" s="27"/>
      <c r="AB173" s="27"/>
      <c r="AC173" s="27"/>
      <c r="AD173" s="27" t="e">
        <f>_xlfn.XLOOKUP(M173,'Customer Data Vlookup'!$R:$R,'Customer Data Vlookup'!$S:$S,,0)</f>
        <v>#N/A</v>
      </c>
      <c r="AE173" s="27"/>
      <c r="AF173" s="27"/>
      <c r="AG173" s="27" t="s">
        <v>322</v>
      </c>
      <c r="AH173" s="27" t="s">
        <v>41</v>
      </c>
      <c r="AI173" s="27" t="s">
        <v>41</v>
      </c>
      <c r="AJ173" s="27" t="s">
        <v>41</v>
      </c>
      <c r="AK173" s="28">
        <v>45736</v>
      </c>
      <c r="AL173" s="28"/>
      <c r="AM173" s="27" t="s">
        <v>41</v>
      </c>
    </row>
    <row r="174" spans="1:39" outlineLevel="2" x14ac:dyDescent="0.35">
      <c r="A174" s="1" t="s">
        <v>1016</v>
      </c>
      <c r="B174" s="1" t="s">
        <v>1003</v>
      </c>
      <c r="C174" s="1" t="s">
        <v>1004</v>
      </c>
      <c r="D174" s="1" t="s">
        <v>1005</v>
      </c>
      <c r="E174" s="1" t="s">
        <v>9</v>
      </c>
      <c r="F174" s="1" t="s">
        <v>1021</v>
      </c>
      <c r="G174" s="9">
        <v>45736</v>
      </c>
      <c r="H174" s="27" t="s">
        <v>323</v>
      </c>
      <c r="I174" s="27" t="s">
        <v>5</v>
      </c>
      <c r="J174" s="28">
        <v>45736</v>
      </c>
      <c r="K174" s="28">
        <v>45737</v>
      </c>
      <c r="L174" s="27" t="s">
        <v>1023</v>
      </c>
      <c r="M174" s="29">
        <v>246779414145</v>
      </c>
      <c r="N174" s="27" t="s">
        <v>1007</v>
      </c>
      <c r="O174" s="27" t="s">
        <v>1008</v>
      </c>
      <c r="P174" s="27" t="s">
        <v>41</v>
      </c>
      <c r="Q174" s="27" t="s">
        <v>1025</v>
      </c>
      <c r="R174" s="27" t="s">
        <v>46</v>
      </c>
      <c r="S174" s="30">
        <v>150</v>
      </c>
      <c r="T174" s="27" t="s">
        <v>42</v>
      </c>
      <c r="U174" s="30">
        <v>13003.69</v>
      </c>
      <c r="V174" s="27" t="s">
        <v>1026</v>
      </c>
      <c r="W174" s="27" t="s">
        <v>1010</v>
      </c>
      <c r="X174" s="27" t="s">
        <v>41</v>
      </c>
      <c r="Y174" s="27" t="s">
        <v>1023</v>
      </c>
      <c r="Z174" s="27" t="s">
        <v>1011</v>
      </c>
      <c r="AA174" s="27"/>
      <c r="AB174" s="27"/>
      <c r="AC174" s="27"/>
      <c r="AD174" s="27" t="e">
        <f>_xlfn.XLOOKUP(M174,'Customer Data Vlookup'!$R:$R,'Customer Data Vlookup'!$S:$S,,0)</f>
        <v>#N/A</v>
      </c>
      <c r="AE174" s="27"/>
      <c r="AF174" s="27"/>
      <c r="AG174" s="27" t="s">
        <v>324</v>
      </c>
      <c r="AH174" s="27" t="s">
        <v>41</v>
      </c>
      <c r="AI174" s="27" t="s">
        <v>41</v>
      </c>
      <c r="AJ174" s="27" t="s">
        <v>41</v>
      </c>
      <c r="AK174" s="28">
        <v>45736</v>
      </c>
      <c r="AL174" s="28"/>
      <c r="AM174" s="27" t="s">
        <v>41</v>
      </c>
    </row>
    <row r="175" spans="1:39" outlineLevel="2" x14ac:dyDescent="0.35">
      <c r="A175" s="1" t="s">
        <v>1016</v>
      </c>
      <c r="B175" s="1" t="s">
        <v>1003</v>
      </c>
      <c r="C175" s="1" t="s">
        <v>1004</v>
      </c>
      <c r="D175" s="1" t="s">
        <v>1005</v>
      </c>
      <c r="E175" s="1" t="s">
        <v>9</v>
      </c>
      <c r="F175" s="1" t="s">
        <v>1021</v>
      </c>
      <c r="G175" s="9">
        <v>45736</v>
      </c>
      <c r="H175" s="27" t="s">
        <v>325</v>
      </c>
      <c r="I175" s="27" t="s">
        <v>5</v>
      </c>
      <c r="J175" s="28">
        <v>45736</v>
      </c>
      <c r="K175" s="28">
        <v>45737</v>
      </c>
      <c r="L175" s="27" t="s">
        <v>1023</v>
      </c>
      <c r="M175" s="29">
        <v>246779414146</v>
      </c>
      <c r="N175" s="27" t="s">
        <v>1007</v>
      </c>
      <c r="O175" s="27" t="s">
        <v>1008</v>
      </c>
      <c r="P175" s="27" t="s">
        <v>41</v>
      </c>
      <c r="Q175" s="27" t="s">
        <v>1025</v>
      </c>
      <c r="R175" s="27" t="s">
        <v>46</v>
      </c>
      <c r="S175" s="30">
        <v>19.350000000000001</v>
      </c>
      <c r="T175" s="27" t="s">
        <v>42</v>
      </c>
      <c r="U175" s="30">
        <v>1677.48</v>
      </c>
      <c r="V175" s="27" t="s">
        <v>1026</v>
      </c>
      <c r="W175" s="27" t="s">
        <v>1010</v>
      </c>
      <c r="X175" s="27" t="s">
        <v>41</v>
      </c>
      <c r="Y175" s="27" t="s">
        <v>1023</v>
      </c>
      <c r="Z175" s="27" t="s">
        <v>1011</v>
      </c>
      <c r="AA175" s="27"/>
      <c r="AB175" s="27"/>
      <c r="AC175" s="27"/>
      <c r="AD175" s="27" t="e">
        <f>_xlfn.XLOOKUP(M175,'Customer Data Vlookup'!$R:$R,'Customer Data Vlookup'!$S:$S,,0)</f>
        <v>#N/A</v>
      </c>
      <c r="AE175" s="27"/>
      <c r="AF175" s="27"/>
      <c r="AG175" s="27" t="s">
        <v>326</v>
      </c>
      <c r="AH175" s="27" t="s">
        <v>41</v>
      </c>
      <c r="AI175" s="27" t="s">
        <v>41</v>
      </c>
      <c r="AJ175" s="27" t="s">
        <v>41</v>
      </c>
      <c r="AK175" s="28">
        <v>45736</v>
      </c>
      <c r="AL175" s="28"/>
      <c r="AM175" s="27" t="s">
        <v>41</v>
      </c>
    </row>
    <row r="176" spans="1:39" outlineLevel="2" x14ac:dyDescent="0.35">
      <c r="A176" s="1" t="s">
        <v>1016</v>
      </c>
      <c r="B176" s="1" t="s">
        <v>1003</v>
      </c>
      <c r="C176" s="1" t="s">
        <v>1004</v>
      </c>
      <c r="D176" s="1" t="s">
        <v>1005</v>
      </c>
      <c r="E176" s="1" t="s">
        <v>9</v>
      </c>
      <c r="F176" s="1" t="s">
        <v>1021</v>
      </c>
      <c r="G176" s="9">
        <v>45736</v>
      </c>
      <c r="H176" s="27" t="s">
        <v>327</v>
      </c>
      <c r="I176" s="27" t="s">
        <v>5</v>
      </c>
      <c r="J176" s="28">
        <v>45736</v>
      </c>
      <c r="K176" s="28">
        <v>45737</v>
      </c>
      <c r="L176" s="27" t="s">
        <v>1023</v>
      </c>
      <c r="M176" s="29">
        <v>246779414222</v>
      </c>
      <c r="N176" s="27" t="s">
        <v>1007</v>
      </c>
      <c r="O176" s="27" t="s">
        <v>1008</v>
      </c>
      <c r="P176" s="27" t="s">
        <v>41</v>
      </c>
      <c r="Q176" s="27" t="s">
        <v>1025</v>
      </c>
      <c r="R176" s="27" t="s">
        <v>46</v>
      </c>
      <c r="S176" s="30">
        <v>196.78</v>
      </c>
      <c r="T176" s="27" t="s">
        <v>42</v>
      </c>
      <c r="U176" s="30">
        <v>17059.11</v>
      </c>
      <c r="V176" s="27" t="s">
        <v>1026</v>
      </c>
      <c r="W176" s="27" t="s">
        <v>1010</v>
      </c>
      <c r="X176" s="27" t="s">
        <v>41</v>
      </c>
      <c r="Y176" s="27" t="s">
        <v>1023</v>
      </c>
      <c r="Z176" s="27" t="s">
        <v>1011</v>
      </c>
      <c r="AA176" s="27"/>
      <c r="AB176" s="27"/>
      <c r="AC176" s="27"/>
      <c r="AD176" s="27" t="e">
        <f>_xlfn.XLOOKUP(M176,'Customer Data Vlookup'!$R:$R,'Customer Data Vlookup'!$S:$S,,0)</f>
        <v>#N/A</v>
      </c>
      <c r="AE176" s="27"/>
      <c r="AF176" s="27"/>
      <c r="AG176" s="27" t="s">
        <v>328</v>
      </c>
      <c r="AH176" s="27" t="s">
        <v>41</v>
      </c>
      <c r="AI176" s="27" t="s">
        <v>41</v>
      </c>
      <c r="AJ176" s="27" t="s">
        <v>41</v>
      </c>
      <c r="AK176" s="28">
        <v>45736</v>
      </c>
      <c r="AL176" s="28"/>
      <c r="AM176" s="27" t="s">
        <v>41</v>
      </c>
    </row>
    <row r="177" spans="1:39" outlineLevel="2" x14ac:dyDescent="0.35">
      <c r="A177" s="1" t="s">
        <v>1016</v>
      </c>
      <c r="B177" s="1" t="s">
        <v>1003</v>
      </c>
      <c r="C177" s="1" t="s">
        <v>1004</v>
      </c>
      <c r="D177" s="1" t="s">
        <v>1005</v>
      </c>
      <c r="E177" s="1" t="s">
        <v>9</v>
      </c>
      <c r="F177" s="1" t="s">
        <v>1021</v>
      </c>
      <c r="G177" s="9">
        <v>45736</v>
      </c>
      <c r="H177" s="27" t="s">
        <v>329</v>
      </c>
      <c r="I177" s="27" t="s">
        <v>5</v>
      </c>
      <c r="J177" s="28">
        <v>45736</v>
      </c>
      <c r="K177" s="28">
        <v>45737</v>
      </c>
      <c r="L177" s="27" t="s">
        <v>1023</v>
      </c>
      <c r="M177" s="29">
        <v>246779414397</v>
      </c>
      <c r="N177" s="27" t="s">
        <v>1007</v>
      </c>
      <c r="O177" s="27" t="s">
        <v>1008</v>
      </c>
      <c r="P177" s="27" t="s">
        <v>41</v>
      </c>
      <c r="Q177" s="27" t="s">
        <v>1025</v>
      </c>
      <c r="R177" s="27" t="s">
        <v>46</v>
      </c>
      <c r="S177" s="30">
        <v>7.03</v>
      </c>
      <c r="T177" s="27" t="s">
        <v>42</v>
      </c>
      <c r="U177" s="30">
        <v>609.44000000000005</v>
      </c>
      <c r="V177" s="27" t="s">
        <v>1026</v>
      </c>
      <c r="W177" s="27" t="s">
        <v>1010</v>
      </c>
      <c r="X177" s="27" t="s">
        <v>41</v>
      </c>
      <c r="Y177" s="27" t="s">
        <v>1023</v>
      </c>
      <c r="Z177" s="27" t="s">
        <v>1011</v>
      </c>
      <c r="AA177" s="27"/>
      <c r="AB177" s="27"/>
      <c r="AC177" s="27"/>
      <c r="AD177" s="27" t="e">
        <f>_xlfn.XLOOKUP(M177,'Customer Data Vlookup'!$R:$R,'Customer Data Vlookup'!$S:$S,,0)</f>
        <v>#N/A</v>
      </c>
      <c r="AE177" s="27"/>
      <c r="AF177" s="27"/>
      <c r="AG177" s="27" t="s">
        <v>330</v>
      </c>
      <c r="AH177" s="27" t="s">
        <v>41</v>
      </c>
      <c r="AI177" s="27" t="s">
        <v>41</v>
      </c>
      <c r="AJ177" s="27" t="s">
        <v>41</v>
      </c>
      <c r="AK177" s="28">
        <v>45736</v>
      </c>
      <c r="AL177" s="28"/>
      <c r="AM177" s="27" t="s">
        <v>41</v>
      </c>
    </row>
    <row r="178" spans="1:39" outlineLevel="2" x14ac:dyDescent="0.35">
      <c r="A178" s="1" t="s">
        <v>1016</v>
      </c>
      <c r="B178" s="1" t="s">
        <v>1003</v>
      </c>
      <c r="C178" s="1" t="s">
        <v>1004</v>
      </c>
      <c r="D178" s="1" t="s">
        <v>1005</v>
      </c>
      <c r="E178" s="1" t="s">
        <v>9</v>
      </c>
      <c r="F178" s="1" t="s">
        <v>1021</v>
      </c>
      <c r="G178" s="9">
        <v>45736</v>
      </c>
      <c r="H178" s="27" t="s">
        <v>331</v>
      </c>
      <c r="I178" s="27" t="s">
        <v>5</v>
      </c>
      <c r="J178" s="28">
        <v>45736</v>
      </c>
      <c r="K178" s="28">
        <v>45737</v>
      </c>
      <c r="L178" s="27" t="s">
        <v>1023</v>
      </c>
      <c r="M178" s="29">
        <v>246779414398</v>
      </c>
      <c r="N178" s="27" t="s">
        <v>1007</v>
      </c>
      <c r="O178" s="27" t="s">
        <v>1008</v>
      </c>
      <c r="P178" s="27" t="s">
        <v>41</v>
      </c>
      <c r="Q178" s="27" t="s">
        <v>1025</v>
      </c>
      <c r="R178" s="27" t="s">
        <v>46</v>
      </c>
      <c r="S178" s="30">
        <v>32.380000000000003</v>
      </c>
      <c r="T178" s="27" t="s">
        <v>42</v>
      </c>
      <c r="U178" s="30">
        <v>2807.06</v>
      </c>
      <c r="V178" s="27" t="s">
        <v>1026</v>
      </c>
      <c r="W178" s="27" t="s">
        <v>1010</v>
      </c>
      <c r="X178" s="27" t="s">
        <v>41</v>
      </c>
      <c r="Y178" s="27" t="s">
        <v>1023</v>
      </c>
      <c r="Z178" s="27" t="s">
        <v>1011</v>
      </c>
      <c r="AA178" s="27"/>
      <c r="AB178" s="27"/>
      <c r="AC178" s="27"/>
      <c r="AD178" s="27" t="e">
        <f>_xlfn.XLOOKUP(M178,'Customer Data Vlookup'!$R:$R,'Customer Data Vlookup'!$S:$S,,0)</f>
        <v>#N/A</v>
      </c>
      <c r="AE178" s="27"/>
      <c r="AF178" s="27"/>
      <c r="AG178" s="27" t="s">
        <v>332</v>
      </c>
      <c r="AH178" s="27" t="s">
        <v>41</v>
      </c>
      <c r="AI178" s="27" t="s">
        <v>41</v>
      </c>
      <c r="AJ178" s="27" t="s">
        <v>41</v>
      </c>
      <c r="AK178" s="28">
        <v>45736</v>
      </c>
      <c r="AL178" s="28"/>
      <c r="AM178" s="27" t="s">
        <v>41</v>
      </c>
    </row>
    <row r="179" spans="1:39" outlineLevel="2" x14ac:dyDescent="0.35">
      <c r="A179" s="1" t="s">
        <v>1016</v>
      </c>
      <c r="B179" s="1" t="s">
        <v>1003</v>
      </c>
      <c r="C179" s="1" t="s">
        <v>1004</v>
      </c>
      <c r="D179" s="1" t="s">
        <v>1005</v>
      </c>
      <c r="E179" s="1" t="s">
        <v>9</v>
      </c>
      <c r="F179" s="1" t="s">
        <v>1021</v>
      </c>
      <c r="G179" s="9">
        <v>45736</v>
      </c>
      <c r="H179" s="27" t="s">
        <v>333</v>
      </c>
      <c r="I179" s="27" t="s">
        <v>5</v>
      </c>
      <c r="J179" s="28">
        <v>45736</v>
      </c>
      <c r="K179" s="28">
        <v>45737</v>
      </c>
      <c r="L179" s="27" t="s">
        <v>1023</v>
      </c>
      <c r="M179" s="29">
        <v>246779414399</v>
      </c>
      <c r="N179" s="27" t="s">
        <v>1007</v>
      </c>
      <c r="O179" s="27" t="s">
        <v>1008</v>
      </c>
      <c r="P179" s="27" t="s">
        <v>41</v>
      </c>
      <c r="Q179" s="27" t="s">
        <v>1025</v>
      </c>
      <c r="R179" s="27" t="s">
        <v>46</v>
      </c>
      <c r="S179" s="30">
        <v>77.040000000000006</v>
      </c>
      <c r="T179" s="27" t="s">
        <v>42</v>
      </c>
      <c r="U179" s="30">
        <v>6678.69</v>
      </c>
      <c r="V179" s="27" t="s">
        <v>1026</v>
      </c>
      <c r="W179" s="27" t="s">
        <v>1010</v>
      </c>
      <c r="X179" s="27" t="s">
        <v>41</v>
      </c>
      <c r="Y179" s="27" t="s">
        <v>1023</v>
      </c>
      <c r="Z179" s="27" t="s">
        <v>1011</v>
      </c>
      <c r="AA179" s="27"/>
      <c r="AB179" s="27"/>
      <c r="AC179" s="27"/>
      <c r="AD179" s="27" t="e">
        <f>_xlfn.XLOOKUP(M179,'Customer Data Vlookup'!$R:$R,'Customer Data Vlookup'!$S:$S,,0)</f>
        <v>#N/A</v>
      </c>
      <c r="AE179" s="27"/>
      <c r="AF179" s="27"/>
      <c r="AG179" s="27" t="s">
        <v>334</v>
      </c>
      <c r="AH179" s="27" t="s">
        <v>41</v>
      </c>
      <c r="AI179" s="27" t="s">
        <v>41</v>
      </c>
      <c r="AJ179" s="27" t="s">
        <v>41</v>
      </c>
      <c r="AK179" s="28">
        <v>45736</v>
      </c>
      <c r="AL179" s="28"/>
      <c r="AM179" s="27" t="s">
        <v>41</v>
      </c>
    </row>
    <row r="180" spans="1:39" outlineLevel="2" x14ac:dyDescent="0.35">
      <c r="A180" s="1" t="s">
        <v>1016</v>
      </c>
      <c r="B180" s="1" t="s">
        <v>1003</v>
      </c>
      <c r="C180" s="1" t="s">
        <v>1004</v>
      </c>
      <c r="D180" s="1" t="s">
        <v>1005</v>
      </c>
      <c r="E180" s="1" t="s">
        <v>9</v>
      </c>
      <c r="F180" s="1" t="s">
        <v>1021</v>
      </c>
      <c r="G180" s="9">
        <v>45736</v>
      </c>
      <c r="H180" s="27" t="s">
        <v>335</v>
      </c>
      <c r="I180" s="27" t="s">
        <v>5</v>
      </c>
      <c r="J180" s="28">
        <v>45736</v>
      </c>
      <c r="K180" s="28">
        <v>45737</v>
      </c>
      <c r="L180" s="27" t="s">
        <v>1023</v>
      </c>
      <c r="M180" s="29">
        <v>246779414735</v>
      </c>
      <c r="N180" s="27" t="s">
        <v>1007</v>
      </c>
      <c r="O180" s="27" t="s">
        <v>1008</v>
      </c>
      <c r="P180" s="27" t="s">
        <v>41</v>
      </c>
      <c r="Q180" s="27" t="s">
        <v>1025</v>
      </c>
      <c r="R180" s="27" t="s">
        <v>46</v>
      </c>
      <c r="S180" s="30">
        <v>97.4</v>
      </c>
      <c r="T180" s="27" t="s">
        <v>42</v>
      </c>
      <c r="U180" s="30">
        <v>8443.73</v>
      </c>
      <c r="V180" s="27" t="s">
        <v>1026</v>
      </c>
      <c r="W180" s="27" t="s">
        <v>1010</v>
      </c>
      <c r="X180" s="27" t="s">
        <v>41</v>
      </c>
      <c r="Y180" s="27" t="s">
        <v>1023</v>
      </c>
      <c r="Z180" s="27" t="s">
        <v>1011</v>
      </c>
      <c r="AA180" s="27"/>
      <c r="AB180" s="27"/>
      <c r="AC180" s="27"/>
      <c r="AD180" s="27" t="e">
        <f>_xlfn.XLOOKUP(M180,'Customer Data Vlookup'!$R:$R,'Customer Data Vlookup'!$S:$S,,0)</f>
        <v>#N/A</v>
      </c>
      <c r="AE180" s="27"/>
      <c r="AF180" s="27"/>
      <c r="AG180" s="27" t="s">
        <v>336</v>
      </c>
      <c r="AH180" s="27" t="s">
        <v>41</v>
      </c>
      <c r="AI180" s="27" t="s">
        <v>41</v>
      </c>
      <c r="AJ180" s="27" t="s">
        <v>41</v>
      </c>
      <c r="AK180" s="28">
        <v>45736</v>
      </c>
      <c r="AL180" s="28"/>
      <c r="AM180" s="27" t="s">
        <v>41</v>
      </c>
    </row>
    <row r="181" spans="1:39" outlineLevel="2" x14ac:dyDescent="0.35">
      <c r="A181" s="1" t="s">
        <v>1016</v>
      </c>
      <c r="B181" s="1" t="s">
        <v>1003</v>
      </c>
      <c r="C181" s="1" t="s">
        <v>1004</v>
      </c>
      <c r="D181" s="1" t="s">
        <v>1005</v>
      </c>
      <c r="E181" s="1" t="s">
        <v>9</v>
      </c>
      <c r="F181" s="1" t="s">
        <v>1021</v>
      </c>
      <c r="G181" s="9">
        <v>45736</v>
      </c>
      <c r="H181" s="27" t="s">
        <v>337</v>
      </c>
      <c r="I181" s="27" t="s">
        <v>5</v>
      </c>
      <c r="J181" s="28">
        <v>45736</v>
      </c>
      <c r="K181" s="28">
        <v>45737</v>
      </c>
      <c r="L181" s="27" t="s">
        <v>1023</v>
      </c>
      <c r="M181" s="29">
        <v>246779414886</v>
      </c>
      <c r="N181" s="27" t="s">
        <v>1007</v>
      </c>
      <c r="O181" s="27" t="s">
        <v>1008</v>
      </c>
      <c r="P181" s="27" t="s">
        <v>41</v>
      </c>
      <c r="Q181" s="27" t="s">
        <v>1025</v>
      </c>
      <c r="R181" s="27" t="s">
        <v>46</v>
      </c>
      <c r="S181" s="30">
        <v>30.8</v>
      </c>
      <c r="T181" s="27" t="s">
        <v>42</v>
      </c>
      <c r="U181" s="30">
        <v>2670.09</v>
      </c>
      <c r="V181" s="27" t="s">
        <v>1026</v>
      </c>
      <c r="W181" s="27" t="s">
        <v>1010</v>
      </c>
      <c r="X181" s="27" t="s">
        <v>41</v>
      </c>
      <c r="Y181" s="27" t="s">
        <v>1023</v>
      </c>
      <c r="Z181" s="27" t="s">
        <v>1011</v>
      </c>
      <c r="AA181" s="27"/>
      <c r="AB181" s="27"/>
      <c r="AC181" s="27"/>
      <c r="AD181" s="27" t="e">
        <f>_xlfn.XLOOKUP(M181,'Customer Data Vlookup'!$R:$R,'Customer Data Vlookup'!$S:$S,,0)</f>
        <v>#N/A</v>
      </c>
      <c r="AE181" s="27"/>
      <c r="AF181" s="27"/>
      <c r="AG181" s="27" t="s">
        <v>336</v>
      </c>
      <c r="AH181" s="27" t="s">
        <v>41</v>
      </c>
      <c r="AI181" s="27" t="s">
        <v>41</v>
      </c>
      <c r="AJ181" s="27" t="s">
        <v>41</v>
      </c>
      <c r="AK181" s="28">
        <v>45736</v>
      </c>
      <c r="AL181" s="28"/>
      <c r="AM181" s="27" t="s">
        <v>41</v>
      </c>
    </row>
    <row r="182" spans="1:39" outlineLevel="2" x14ac:dyDescent="0.35">
      <c r="A182" s="1" t="s">
        <v>1016</v>
      </c>
      <c r="B182" s="1" t="s">
        <v>1003</v>
      </c>
      <c r="C182" s="1" t="s">
        <v>1004</v>
      </c>
      <c r="D182" s="1" t="s">
        <v>1005</v>
      </c>
      <c r="E182" s="1" t="s">
        <v>9</v>
      </c>
      <c r="F182" s="1" t="s">
        <v>1021</v>
      </c>
      <c r="G182" s="9">
        <v>45736</v>
      </c>
      <c r="H182" s="27" t="s">
        <v>338</v>
      </c>
      <c r="I182" s="27" t="s">
        <v>5</v>
      </c>
      <c r="J182" s="28">
        <v>45736</v>
      </c>
      <c r="K182" s="28">
        <v>45737</v>
      </c>
      <c r="L182" s="27" t="s">
        <v>1023</v>
      </c>
      <c r="M182" s="29">
        <v>246779414887</v>
      </c>
      <c r="N182" s="27" t="s">
        <v>1007</v>
      </c>
      <c r="O182" s="27" t="s">
        <v>1008</v>
      </c>
      <c r="P182" s="27" t="s">
        <v>41</v>
      </c>
      <c r="Q182" s="27" t="s">
        <v>1025</v>
      </c>
      <c r="R182" s="27" t="s">
        <v>46</v>
      </c>
      <c r="S182" s="30">
        <v>7.27</v>
      </c>
      <c r="T182" s="27" t="s">
        <v>42</v>
      </c>
      <c r="U182" s="30">
        <v>630.25</v>
      </c>
      <c r="V182" s="27" t="s">
        <v>1026</v>
      </c>
      <c r="W182" s="27" t="s">
        <v>1010</v>
      </c>
      <c r="X182" s="27" t="s">
        <v>41</v>
      </c>
      <c r="Y182" s="27" t="s">
        <v>1023</v>
      </c>
      <c r="Z182" s="27" t="s">
        <v>1011</v>
      </c>
      <c r="AA182" s="27"/>
      <c r="AB182" s="27"/>
      <c r="AC182" s="27"/>
      <c r="AD182" s="27" t="e">
        <f>_xlfn.XLOOKUP(M182,'Customer Data Vlookup'!$R:$R,'Customer Data Vlookup'!$S:$S,,0)</f>
        <v>#N/A</v>
      </c>
      <c r="AE182" s="27"/>
      <c r="AF182" s="27"/>
      <c r="AG182" s="27" t="s">
        <v>336</v>
      </c>
      <c r="AH182" s="27" t="s">
        <v>41</v>
      </c>
      <c r="AI182" s="27" t="s">
        <v>41</v>
      </c>
      <c r="AJ182" s="27" t="s">
        <v>41</v>
      </c>
      <c r="AK182" s="28">
        <v>45736</v>
      </c>
      <c r="AL182" s="28"/>
      <c r="AM182" s="27" t="s">
        <v>41</v>
      </c>
    </row>
    <row r="183" spans="1:39" outlineLevel="2" x14ac:dyDescent="0.35">
      <c r="A183" s="1" t="s">
        <v>1016</v>
      </c>
      <c r="B183" s="1" t="s">
        <v>1003</v>
      </c>
      <c r="C183" s="1" t="s">
        <v>1004</v>
      </c>
      <c r="D183" s="1" t="s">
        <v>1005</v>
      </c>
      <c r="E183" s="1" t="s">
        <v>9</v>
      </c>
      <c r="F183" s="1" t="s">
        <v>1021</v>
      </c>
      <c r="G183" s="9">
        <v>45736</v>
      </c>
      <c r="H183" s="27" t="s">
        <v>339</v>
      </c>
      <c r="I183" s="27" t="s">
        <v>5</v>
      </c>
      <c r="J183" s="28">
        <v>45736</v>
      </c>
      <c r="K183" s="28">
        <v>45737</v>
      </c>
      <c r="L183" s="27" t="s">
        <v>1023</v>
      </c>
      <c r="M183" s="29">
        <v>246779414888</v>
      </c>
      <c r="N183" s="27" t="s">
        <v>1007</v>
      </c>
      <c r="O183" s="27" t="s">
        <v>1008</v>
      </c>
      <c r="P183" s="27" t="s">
        <v>41</v>
      </c>
      <c r="Q183" s="27" t="s">
        <v>1025</v>
      </c>
      <c r="R183" s="27" t="s">
        <v>46</v>
      </c>
      <c r="S183" s="30">
        <v>10.91</v>
      </c>
      <c r="T183" s="27" t="s">
        <v>42</v>
      </c>
      <c r="U183" s="30">
        <v>945.8</v>
      </c>
      <c r="V183" s="27" t="s">
        <v>1026</v>
      </c>
      <c r="W183" s="27" t="s">
        <v>1010</v>
      </c>
      <c r="X183" s="27" t="s">
        <v>41</v>
      </c>
      <c r="Y183" s="27" t="s">
        <v>1023</v>
      </c>
      <c r="Z183" s="27" t="s">
        <v>1011</v>
      </c>
      <c r="AA183" s="27"/>
      <c r="AB183" s="27"/>
      <c r="AC183" s="27"/>
      <c r="AD183" s="27" t="e">
        <f>_xlfn.XLOOKUP(M183,'Customer Data Vlookup'!$R:$R,'Customer Data Vlookup'!$S:$S,,0)</f>
        <v>#N/A</v>
      </c>
      <c r="AE183" s="27"/>
      <c r="AF183" s="27"/>
      <c r="AG183" s="27" t="s">
        <v>336</v>
      </c>
      <c r="AH183" s="27" t="s">
        <v>41</v>
      </c>
      <c r="AI183" s="27" t="s">
        <v>41</v>
      </c>
      <c r="AJ183" s="27" t="s">
        <v>41</v>
      </c>
      <c r="AK183" s="28">
        <v>45736</v>
      </c>
      <c r="AL183" s="28"/>
      <c r="AM183" s="27" t="s">
        <v>41</v>
      </c>
    </row>
    <row r="184" spans="1:39" outlineLevel="2" x14ac:dyDescent="0.35">
      <c r="A184" s="1" t="s">
        <v>1016</v>
      </c>
      <c r="B184" s="1" t="s">
        <v>1003</v>
      </c>
      <c r="C184" s="1" t="s">
        <v>1004</v>
      </c>
      <c r="D184" s="1" t="s">
        <v>1005</v>
      </c>
      <c r="E184" s="1" t="s">
        <v>9</v>
      </c>
      <c r="F184" s="1" t="s">
        <v>1021</v>
      </c>
      <c r="G184" s="9">
        <v>45736</v>
      </c>
      <c r="H184" s="27" t="s">
        <v>340</v>
      </c>
      <c r="I184" s="27" t="s">
        <v>5</v>
      </c>
      <c r="J184" s="28">
        <v>45736</v>
      </c>
      <c r="K184" s="28">
        <v>45737</v>
      </c>
      <c r="L184" s="27" t="s">
        <v>1023</v>
      </c>
      <c r="M184" s="29">
        <v>246779414889</v>
      </c>
      <c r="N184" s="27" t="s">
        <v>1007</v>
      </c>
      <c r="O184" s="27" t="s">
        <v>1008</v>
      </c>
      <c r="P184" s="27" t="s">
        <v>41</v>
      </c>
      <c r="Q184" s="27" t="s">
        <v>1025</v>
      </c>
      <c r="R184" s="27" t="s">
        <v>46</v>
      </c>
      <c r="S184" s="30">
        <v>2.52</v>
      </c>
      <c r="T184" s="27" t="s">
        <v>42</v>
      </c>
      <c r="U184" s="30">
        <v>218.46</v>
      </c>
      <c r="V184" s="27" t="s">
        <v>1026</v>
      </c>
      <c r="W184" s="27" t="s">
        <v>1010</v>
      </c>
      <c r="X184" s="27" t="s">
        <v>41</v>
      </c>
      <c r="Y184" s="27" t="s">
        <v>1023</v>
      </c>
      <c r="Z184" s="27" t="s">
        <v>1011</v>
      </c>
      <c r="AA184" s="27"/>
      <c r="AB184" s="27"/>
      <c r="AC184" s="27"/>
      <c r="AD184" s="27" t="e">
        <f>_xlfn.XLOOKUP(M184,'Customer Data Vlookup'!$R:$R,'Customer Data Vlookup'!$S:$S,,0)</f>
        <v>#N/A</v>
      </c>
      <c r="AE184" s="27"/>
      <c r="AF184" s="27"/>
      <c r="AG184" s="27" t="s">
        <v>336</v>
      </c>
      <c r="AH184" s="27" t="s">
        <v>41</v>
      </c>
      <c r="AI184" s="27" t="s">
        <v>41</v>
      </c>
      <c r="AJ184" s="27" t="s">
        <v>41</v>
      </c>
      <c r="AK184" s="28">
        <v>45736</v>
      </c>
      <c r="AL184" s="28"/>
      <c r="AM184" s="27" t="s">
        <v>41</v>
      </c>
    </row>
    <row r="185" spans="1:39" outlineLevel="2" x14ac:dyDescent="0.35">
      <c r="A185" s="1" t="s">
        <v>1016</v>
      </c>
      <c r="B185" s="1" t="s">
        <v>1003</v>
      </c>
      <c r="C185" s="1" t="s">
        <v>1004</v>
      </c>
      <c r="D185" s="1" t="s">
        <v>1005</v>
      </c>
      <c r="E185" s="1" t="s">
        <v>9</v>
      </c>
      <c r="F185" s="1" t="s">
        <v>1021</v>
      </c>
      <c r="G185" s="9">
        <v>45736</v>
      </c>
      <c r="H185" s="27" t="s">
        <v>341</v>
      </c>
      <c r="I185" s="27" t="s">
        <v>5</v>
      </c>
      <c r="J185" s="28">
        <v>45736</v>
      </c>
      <c r="K185" s="28">
        <v>45737</v>
      </c>
      <c r="L185" s="27" t="s">
        <v>1023</v>
      </c>
      <c r="M185" s="29">
        <v>246779414890</v>
      </c>
      <c r="N185" s="27" t="s">
        <v>1007</v>
      </c>
      <c r="O185" s="27" t="s">
        <v>1008</v>
      </c>
      <c r="P185" s="27" t="s">
        <v>41</v>
      </c>
      <c r="Q185" s="27" t="s">
        <v>1025</v>
      </c>
      <c r="R185" s="27" t="s">
        <v>46</v>
      </c>
      <c r="S185" s="30">
        <v>44</v>
      </c>
      <c r="T185" s="27" t="s">
        <v>42</v>
      </c>
      <c r="U185" s="30">
        <v>3814.42</v>
      </c>
      <c r="V185" s="27" t="s">
        <v>1026</v>
      </c>
      <c r="W185" s="27" t="s">
        <v>1010</v>
      </c>
      <c r="X185" s="27" t="s">
        <v>41</v>
      </c>
      <c r="Y185" s="27" t="s">
        <v>1023</v>
      </c>
      <c r="Z185" s="27" t="s">
        <v>1011</v>
      </c>
      <c r="AA185" s="27"/>
      <c r="AB185" s="27"/>
      <c r="AC185" s="27"/>
      <c r="AD185" s="27" t="e">
        <f>_xlfn.XLOOKUP(M185,'Customer Data Vlookup'!$R:$R,'Customer Data Vlookup'!$S:$S,,0)</f>
        <v>#N/A</v>
      </c>
      <c r="AE185" s="27"/>
      <c r="AF185" s="27"/>
      <c r="AG185" s="27" t="s">
        <v>336</v>
      </c>
      <c r="AH185" s="27" t="s">
        <v>41</v>
      </c>
      <c r="AI185" s="27" t="s">
        <v>41</v>
      </c>
      <c r="AJ185" s="27" t="s">
        <v>41</v>
      </c>
      <c r="AK185" s="28">
        <v>45736</v>
      </c>
      <c r="AL185" s="28"/>
      <c r="AM185" s="27" t="s">
        <v>41</v>
      </c>
    </row>
    <row r="186" spans="1:39" outlineLevel="2" x14ac:dyDescent="0.35">
      <c r="A186" s="1" t="s">
        <v>1016</v>
      </c>
      <c r="B186" s="1" t="s">
        <v>1003</v>
      </c>
      <c r="C186" s="1" t="s">
        <v>1004</v>
      </c>
      <c r="D186" s="1" t="s">
        <v>1005</v>
      </c>
      <c r="E186" s="1" t="s">
        <v>9</v>
      </c>
      <c r="F186" s="1" t="s">
        <v>1021</v>
      </c>
      <c r="G186" s="9">
        <v>45736</v>
      </c>
      <c r="H186" s="27" t="s">
        <v>342</v>
      </c>
      <c r="I186" s="27" t="s">
        <v>5</v>
      </c>
      <c r="J186" s="28">
        <v>45736</v>
      </c>
      <c r="K186" s="28">
        <v>45737</v>
      </c>
      <c r="L186" s="27" t="s">
        <v>1023</v>
      </c>
      <c r="M186" s="29">
        <v>246779414468</v>
      </c>
      <c r="N186" s="27" t="s">
        <v>1007</v>
      </c>
      <c r="O186" s="27" t="s">
        <v>1008</v>
      </c>
      <c r="P186" s="27" t="s">
        <v>41</v>
      </c>
      <c r="Q186" s="27" t="s">
        <v>1025</v>
      </c>
      <c r="R186" s="27" t="s">
        <v>46</v>
      </c>
      <c r="S186" s="30">
        <v>92.22</v>
      </c>
      <c r="T186" s="27" t="s">
        <v>42</v>
      </c>
      <c r="U186" s="30">
        <v>7994.67</v>
      </c>
      <c r="V186" s="27" t="s">
        <v>1026</v>
      </c>
      <c r="W186" s="27" t="s">
        <v>1010</v>
      </c>
      <c r="X186" s="27" t="s">
        <v>41</v>
      </c>
      <c r="Y186" s="27" t="s">
        <v>1023</v>
      </c>
      <c r="Z186" s="27" t="s">
        <v>1011</v>
      </c>
      <c r="AA186" s="27"/>
      <c r="AB186" s="27"/>
      <c r="AC186" s="27"/>
      <c r="AD186" s="27" t="e">
        <f>_xlfn.XLOOKUP(M186,'Customer Data Vlookup'!$R:$R,'Customer Data Vlookup'!$S:$S,,0)</f>
        <v>#N/A</v>
      </c>
      <c r="AE186" s="27"/>
      <c r="AF186" s="27"/>
      <c r="AG186" s="27" t="s">
        <v>343</v>
      </c>
      <c r="AH186" s="27" t="s">
        <v>41</v>
      </c>
      <c r="AI186" s="27" t="s">
        <v>41</v>
      </c>
      <c r="AJ186" s="27" t="s">
        <v>41</v>
      </c>
      <c r="AK186" s="28">
        <v>45736</v>
      </c>
      <c r="AL186" s="28"/>
      <c r="AM186" s="27" t="s">
        <v>41</v>
      </c>
    </row>
    <row r="187" spans="1:39" outlineLevel="2" x14ac:dyDescent="0.35">
      <c r="A187" s="1" t="s">
        <v>1016</v>
      </c>
      <c r="B187" s="1" t="s">
        <v>1003</v>
      </c>
      <c r="C187" s="1" t="s">
        <v>1004</v>
      </c>
      <c r="D187" s="1" t="s">
        <v>1005</v>
      </c>
      <c r="E187" s="1" t="s">
        <v>9</v>
      </c>
      <c r="F187" s="1" t="s">
        <v>1021</v>
      </c>
      <c r="G187" s="9">
        <v>45736</v>
      </c>
      <c r="H187" s="27" t="s">
        <v>344</v>
      </c>
      <c r="I187" s="27" t="s">
        <v>5</v>
      </c>
      <c r="J187" s="28">
        <v>45736</v>
      </c>
      <c r="K187" s="28">
        <v>45737</v>
      </c>
      <c r="L187" s="27" t="s">
        <v>1023</v>
      </c>
      <c r="M187" s="29">
        <v>246779414604</v>
      </c>
      <c r="N187" s="27" t="s">
        <v>1007</v>
      </c>
      <c r="O187" s="27" t="s">
        <v>1008</v>
      </c>
      <c r="P187" s="27" t="s">
        <v>41</v>
      </c>
      <c r="Q187" s="27" t="s">
        <v>1025</v>
      </c>
      <c r="R187" s="27" t="s">
        <v>46</v>
      </c>
      <c r="S187" s="30">
        <v>458.06</v>
      </c>
      <c r="T187" s="27" t="s">
        <v>42</v>
      </c>
      <c r="U187" s="30">
        <v>39709.800000000003</v>
      </c>
      <c r="V187" s="27" t="s">
        <v>1026</v>
      </c>
      <c r="W187" s="27" t="s">
        <v>1010</v>
      </c>
      <c r="X187" s="27" t="s">
        <v>41</v>
      </c>
      <c r="Y187" s="27" t="s">
        <v>1023</v>
      </c>
      <c r="Z187" s="27" t="s">
        <v>1011</v>
      </c>
      <c r="AA187" s="27"/>
      <c r="AB187" s="27"/>
      <c r="AC187" s="27"/>
      <c r="AD187" s="27" t="e">
        <f>_xlfn.XLOOKUP(M187,'Customer Data Vlookup'!$R:$R,'Customer Data Vlookup'!$S:$S,,0)</f>
        <v>#N/A</v>
      </c>
      <c r="AE187" s="27"/>
      <c r="AF187" s="27"/>
      <c r="AG187" s="27" t="s">
        <v>345</v>
      </c>
      <c r="AH187" s="27" t="s">
        <v>41</v>
      </c>
      <c r="AI187" s="27" t="s">
        <v>41</v>
      </c>
      <c r="AJ187" s="27" t="s">
        <v>41</v>
      </c>
      <c r="AK187" s="28">
        <v>45736</v>
      </c>
      <c r="AL187" s="28"/>
      <c r="AM187" s="27" t="s">
        <v>41</v>
      </c>
    </row>
    <row r="188" spans="1:39" outlineLevel="2" x14ac:dyDescent="0.35">
      <c r="A188" s="1" t="s">
        <v>1016</v>
      </c>
      <c r="B188" s="1" t="s">
        <v>1003</v>
      </c>
      <c r="C188" s="1" t="s">
        <v>1004</v>
      </c>
      <c r="D188" s="1" t="s">
        <v>1005</v>
      </c>
      <c r="E188" s="1" t="s">
        <v>9</v>
      </c>
      <c r="F188" s="1" t="s">
        <v>1021</v>
      </c>
      <c r="G188" s="9">
        <v>45736</v>
      </c>
      <c r="H188" s="27" t="s">
        <v>346</v>
      </c>
      <c r="I188" s="27" t="s">
        <v>5</v>
      </c>
      <c r="J188" s="28">
        <v>45736</v>
      </c>
      <c r="K188" s="28">
        <v>45737</v>
      </c>
      <c r="L188" s="27" t="s">
        <v>1023</v>
      </c>
      <c r="M188" s="29">
        <v>246779414682</v>
      </c>
      <c r="N188" s="27" t="s">
        <v>1007</v>
      </c>
      <c r="O188" s="27" t="s">
        <v>1008</v>
      </c>
      <c r="P188" s="27" t="s">
        <v>41</v>
      </c>
      <c r="Q188" s="27" t="s">
        <v>1025</v>
      </c>
      <c r="R188" s="27" t="s">
        <v>46</v>
      </c>
      <c r="S188" s="30">
        <v>90.86</v>
      </c>
      <c r="T188" s="27" t="s">
        <v>42</v>
      </c>
      <c r="U188" s="30">
        <v>7876.77</v>
      </c>
      <c r="V188" s="27" t="s">
        <v>1026</v>
      </c>
      <c r="W188" s="27" t="s">
        <v>1010</v>
      </c>
      <c r="X188" s="27" t="s">
        <v>41</v>
      </c>
      <c r="Y188" s="27" t="s">
        <v>1023</v>
      </c>
      <c r="Z188" s="27" t="s">
        <v>1011</v>
      </c>
      <c r="AA188" s="27"/>
      <c r="AB188" s="27"/>
      <c r="AC188" s="27"/>
      <c r="AD188" s="27" t="e">
        <f>_xlfn.XLOOKUP(M188,'Customer Data Vlookup'!$R:$R,'Customer Data Vlookup'!$S:$S,,0)</f>
        <v>#N/A</v>
      </c>
      <c r="AE188" s="27"/>
      <c r="AF188" s="27"/>
      <c r="AG188" s="27" t="s">
        <v>347</v>
      </c>
      <c r="AH188" s="27" t="s">
        <v>41</v>
      </c>
      <c r="AI188" s="27" t="s">
        <v>41</v>
      </c>
      <c r="AJ188" s="27" t="s">
        <v>41</v>
      </c>
      <c r="AK188" s="28">
        <v>45736</v>
      </c>
      <c r="AL188" s="28"/>
      <c r="AM188" s="27" t="s">
        <v>41</v>
      </c>
    </row>
    <row r="189" spans="1:39" outlineLevel="2" x14ac:dyDescent="0.35">
      <c r="A189" s="1" t="s">
        <v>1016</v>
      </c>
      <c r="B189" s="1" t="s">
        <v>1003</v>
      </c>
      <c r="C189" s="1" t="s">
        <v>1004</v>
      </c>
      <c r="D189" s="1" t="s">
        <v>1005</v>
      </c>
      <c r="E189" s="1" t="s">
        <v>9</v>
      </c>
      <c r="F189" s="1" t="s">
        <v>1013</v>
      </c>
      <c r="G189" s="9">
        <v>45708</v>
      </c>
      <c r="H189" s="27" t="s">
        <v>348</v>
      </c>
      <c r="I189" s="27" t="s">
        <v>5</v>
      </c>
      <c r="J189" s="28">
        <v>45708</v>
      </c>
      <c r="K189" s="28">
        <v>45708</v>
      </c>
      <c r="L189" s="27" t="s">
        <v>1023</v>
      </c>
      <c r="M189" s="29">
        <v>246779410029</v>
      </c>
      <c r="N189" s="27" t="s">
        <v>1007</v>
      </c>
      <c r="O189" s="27" t="s">
        <v>1008</v>
      </c>
      <c r="P189" s="27" t="s">
        <v>41</v>
      </c>
      <c r="Q189" s="27" t="s">
        <v>1025</v>
      </c>
      <c r="R189" s="27" t="s">
        <v>46</v>
      </c>
      <c r="S189" s="30">
        <v>1190.48</v>
      </c>
      <c r="T189" s="27" t="s">
        <v>42</v>
      </c>
      <c r="U189" s="30">
        <v>102742.78</v>
      </c>
      <c r="V189" s="27" t="s">
        <v>1026</v>
      </c>
      <c r="W189" s="27" t="s">
        <v>1010</v>
      </c>
      <c r="X189" s="27" t="s">
        <v>41</v>
      </c>
      <c r="Y189" s="27" t="s">
        <v>1023</v>
      </c>
      <c r="Z189" s="27" t="s">
        <v>1011</v>
      </c>
      <c r="AA189" s="27"/>
      <c r="AB189" s="27"/>
      <c r="AC189" s="27"/>
      <c r="AD189" s="27" t="e">
        <f>_xlfn.XLOOKUP(M189,'Customer Data Vlookup'!$R:$R,'Customer Data Vlookup'!$S:$S,,0)</f>
        <v>#N/A</v>
      </c>
      <c r="AE189" s="27"/>
      <c r="AF189" s="27"/>
      <c r="AG189" s="27" t="s">
        <v>349</v>
      </c>
      <c r="AH189" s="27" t="s">
        <v>41</v>
      </c>
      <c r="AI189" s="27" t="s">
        <v>41</v>
      </c>
      <c r="AJ189" s="27" t="s">
        <v>41</v>
      </c>
      <c r="AK189" s="28">
        <v>45708</v>
      </c>
      <c r="AL189" s="28"/>
      <c r="AM189" s="27" t="s">
        <v>41</v>
      </c>
    </row>
    <row r="190" spans="1:39" outlineLevel="2" x14ac:dyDescent="0.35">
      <c r="A190" s="1" t="s">
        <v>1016</v>
      </c>
      <c r="B190" s="1" t="s">
        <v>1003</v>
      </c>
      <c r="C190" s="1" t="s">
        <v>1004</v>
      </c>
      <c r="D190" s="1" t="s">
        <v>1005</v>
      </c>
      <c r="E190" s="1" t="s">
        <v>9</v>
      </c>
      <c r="F190" s="1" t="s">
        <v>1013</v>
      </c>
      <c r="G190" s="9">
        <v>45708</v>
      </c>
      <c r="H190" s="27" t="s">
        <v>350</v>
      </c>
      <c r="I190" s="27" t="s">
        <v>5</v>
      </c>
      <c r="J190" s="28">
        <v>45708</v>
      </c>
      <c r="K190" s="28">
        <v>45708</v>
      </c>
      <c r="L190" s="27" t="s">
        <v>1023</v>
      </c>
      <c r="M190" s="29">
        <v>246779410055</v>
      </c>
      <c r="N190" s="27" t="s">
        <v>1007</v>
      </c>
      <c r="O190" s="27" t="s">
        <v>1008</v>
      </c>
      <c r="P190" s="27" t="s">
        <v>41</v>
      </c>
      <c r="Q190" s="27" t="s">
        <v>1025</v>
      </c>
      <c r="R190" s="27" t="s">
        <v>46</v>
      </c>
      <c r="S190" s="30">
        <v>416.67</v>
      </c>
      <c r="T190" s="27" t="s">
        <v>42</v>
      </c>
      <c r="U190" s="30">
        <v>35960.15</v>
      </c>
      <c r="V190" s="27" t="s">
        <v>1026</v>
      </c>
      <c r="W190" s="27" t="s">
        <v>1010</v>
      </c>
      <c r="X190" s="27" t="s">
        <v>41</v>
      </c>
      <c r="Y190" s="27" t="s">
        <v>1023</v>
      </c>
      <c r="Z190" s="27" t="s">
        <v>1011</v>
      </c>
      <c r="AA190" s="27"/>
      <c r="AB190" s="27"/>
      <c r="AC190" s="27"/>
      <c r="AD190" s="27" t="e">
        <f>_xlfn.XLOOKUP(M190,'Customer Data Vlookup'!$R:$R,'Customer Data Vlookup'!$S:$S,,0)</f>
        <v>#N/A</v>
      </c>
      <c r="AE190" s="27"/>
      <c r="AF190" s="27"/>
      <c r="AG190" s="27" t="s">
        <v>351</v>
      </c>
      <c r="AH190" s="27" t="s">
        <v>41</v>
      </c>
      <c r="AI190" s="27" t="s">
        <v>41</v>
      </c>
      <c r="AJ190" s="27" t="s">
        <v>41</v>
      </c>
      <c r="AK190" s="28">
        <v>45708</v>
      </c>
      <c r="AL190" s="28"/>
      <c r="AM190" s="27" t="s">
        <v>41</v>
      </c>
    </row>
    <row r="191" spans="1:39" outlineLevel="2" x14ac:dyDescent="0.35">
      <c r="A191" s="1" t="s">
        <v>1016</v>
      </c>
      <c r="B191" s="1" t="s">
        <v>1003</v>
      </c>
      <c r="C191" s="1" t="s">
        <v>1004</v>
      </c>
      <c r="D191" s="1" t="s">
        <v>1005</v>
      </c>
      <c r="E191" s="1" t="s">
        <v>9</v>
      </c>
      <c r="F191" s="1" t="s">
        <v>1013</v>
      </c>
      <c r="G191" s="9">
        <v>45708</v>
      </c>
      <c r="H191" s="27" t="s">
        <v>352</v>
      </c>
      <c r="I191" s="27" t="s">
        <v>5</v>
      </c>
      <c r="J191" s="28">
        <v>45708</v>
      </c>
      <c r="K191" s="28">
        <v>45708</v>
      </c>
      <c r="L191" s="27" t="s">
        <v>1023</v>
      </c>
      <c r="M191" s="29">
        <v>246779410097</v>
      </c>
      <c r="N191" s="27" t="s">
        <v>1007</v>
      </c>
      <c r="O191" s="27" t="s">
        <v>1008</v>
      </c>
      <c r="P191" s="27" t="s">
        <v>41</v>
      </c>
      <c r="Q191" s="27" t="s">
        <v>1025</v>
      </c>
      <c r="R191" s="27" t="s">
        <v>46</v>
      </c>
      <c r="S191" s="30">
        <v>1190.48</v>
      </c>
      <c r="T191" s="27" t="s">
        <v>42</v>
      </c>
      <c r="U191" s="30">
        <v>102742.78</v>
      </c>
      <c r="V191" s="27" t="s">
        <v>1026</v>
      </c>
      <c r="W191" s="27" t="s">
        <v>1010</v>
      </c>
      <c r="X191" s="27" t="s">
        <v>41</v>
      </c>
      <c r="Y191" s="27" t="s">
        <v>1023</v>
      </c>
      <c r="Z191" s="27" t="s">
        <v>1011</v>
      </c>
      <c r="AA191" s="27"/>
      <c r="AB191" s="27"/>
      <c r="AC191" s="27"/>
      <c r="AD191" s="27" t="e">
        <f>_xlfn.XLOOKUP(M191,'Customer Data Vlookup'!$R:$R,'Customer Data Vlookup'!$S:$S,,0)</f>
        <v>#N/A</v>
      </c>
      <c r="AE191" s="27"/>
      <c r="AF191" s="27"/>
      <c r="AG191" s="27" t="s">
        <v>353</v>
      </c>
      <c r="AH191" s="27" t="s">
        <v>41</v>
      </c>
      <c r="AI191" s="27" t="s">
        <v>41</v>
      </c>
      <c r="AJ191" s="27" t="s">
        <v>41</v>
      </c>
      <c r="AK191" s="28">
        <v>45708</v>
      </c>
      <c r="AL191" s="28"/>
      <c r="AM191" s="27" t="s">
        <v>41</v>
      </c>
    </row>
    <row r="192" spans="1:39" outlineLevel="2" x14ac:dyDescent="0.35">
      <c r="A192" s="1" t="s">
        <v>1016</v>
      </c>
      <c r="B192" s="1" t="s">
        <v>1003</v>
      </c>
      <c r="C192" s="1" t="s">
        <v>1004</v>
      </c>
      <c r="D192" s="1" t="s">
        <v>1005</v>
      </c>
      <c r="E192" s="1" t="s">
        <v>9</v>
      </c>
      <c r="F192" s="1" t="s">
        <v>1013</v>
      </c>
      <c r="G192" s="9">
        <v>45708</v>
      </c>
      <c r="H192" s="27" t="s">
        <v>354</v>
      </c>
      <c r="I192" s="27" t="s">
        <v>5</v>
      </c>
      <c r="J192" s="28">
        <v>45708</v>
      </c>
      <c r="K192" s="28">
        <v>45708</v>
      </c>
      <c r="L192" s="27" t="s">
        <v>1023</v>
      </c>
      <c r="M192" s="29">
        <v>246779410123</v>
      </c>
      <c r="N192" s="27" t="s">
        <v>1007</v>
      </c>
      <c r="O192" s="27" t="s">
        <v>1008</v>
      </c>
      <c r="P192" s="27" t="s">
        <v>41</v>
      </c>
      <c r="Q192" s="27" t="s">
        <v>1025</v>
      </c>
      <c r="R192" s="27" t="s">
        <v>46</v>
      </c>
      <c r="S192" s="30">
        <v>416.67</v>
      </c>
      <c r="T192" s="27" t="s">
        <v>42</v>
      </c>
      <c r="U192" s="30">
        <v>35960.15</v>
      </c>
      <c r="V192" s="27" t="s">
        <v>1026</v>
      </c>
      <c r="W192" s="27" t="s">
        <v>1010</v>
      </c>
      <c r="X192" s="27" t="s">
        <v>41</v>
      </c>
      <c r="Y192" s="27" t="s">
        <v>1023</v>
      </c>
      <c r="Z192" s="27" t="s">
        <v>1011</v>
      </c>
      <c r="AA192" s="27"/>
      <c r="AB192" s="27"/>
      <c r="AC192" s="27"/>
      <c r="AD192" s="27" t="e">
        <f>_xlfn.XLOOKUP(M192,'Customer Data Vlookup'!$R:$R,'Customer Data Vlookup'!$S:$S,,0)</f>
        <v>#N/A</v>
      </c>
      <c r="AE192" s="27"/>
      <c r="AF192" s="27"/>
      <c r="AG192" s="27" t="s">
        <v>355</v>
      </c>
      <c r="AH192" s="27" t="s">
        <v>41</v>
      </c>
      <c r="AI192" s="27" t="s">
        <v>41</v>
      </c>
      <c r="AJ192" s="27" t="s">
        <v>41</v>
      </c>
      <c r="AK192" s="28">
        <v>45708</v>
      </c>
      <c r="AL192" s="28"/>
      <c r="AM192" s="27" t="s">
        <v>41</v>
      </c>
    </row>
    <row r="193" spans="1:39" outlineLevel="2" x14ac:dyDescent="0.35">
      <c r="A193" s="1" t="s">
        <v>1016</v>
      </c>
      <c r="B193" s="1" t="s">
        <v>1003</v>
      </c>
      <c r="C193" s="1" t="s">
        <v>1004</v>
      </c>
      <c r="D193" s="1" t="s">
        <v>1005</v>
      </c>
      <c r="E193" s="1" t="s">
        <v>9</v>
      </c>
      <c r="F193" s="1" t="s">
        <v>1013</v>
      </c>
      <c r="G193" s="9">
        <v>45708</v>
      </c>
      <c r="H193" s="27" t="s">
        <v>356</v>
      </c>
      <c r="I193" s="27" t="s">
        <v>5</v>
      </c>
      <c r="J193" s="28">
        <v>45708</v>
      </c>
      <c r="K193" s="28">
        <v>45708</v>
      </c>
      <c r="L193" s="27" t="s">
        <v>1023</v>
      </c>
      <c r="M193" s="29">
        <v>246779410140</v>
      </c>
      <c r="N193" s="27" t="s">
        <v>1007</v>
      </c>
      <c r="O193" s="27" t="s">
        <v>1008</v>
      </c>
      <c r="P193" s="27" t="s">
        <v>41</v>
      </c>
      <c r="Q193" s="27" t="s">
        <v>1025</v>
      </c>
      <c r="R193" s="27" t="s">
        <v>46</v>
      </c>
      <c r="S193" s="30">
        <v>1190.48</v>
      </c>
      <c r="T193" s="27" t="s">
        <v>42</v>
      </c>
      <c r="U193" s="30">
        <v>102742.78</v>
      </c>
      <c r="V193" s="27" t="s">
        <v>1026</v>
      </c>
      <c r="W193" s="27" t="s">
        <v>1010</v>
      </c>
      <c r="X193" s="27" t="s">
        <v>41</v>
      </c>
      <c r="Y193" s="27" t="s">
        <v>1023</v>
      </c>
      <c r="Z193" s="27" t="s">
        <v>1011</v>
      </c>
      <c r="AA193" s="27"/>
      <c r="AB193" s="27"/>
      <c r="AC193" s="27"/>
      <c r="AD193" s="27" t="e">
        <f>_xlfn.XLOOKUP(M193,'Customer Data Vlookup'!$R:$R,'Customer Data Vlookup'!$S:$S,,0)</f>
        <v>#N/A</v>
      </c>
      <c r="AE193" s="27"/>
      <c r="AF193" s="27"/>
      <c r="AG193" s="27" t="s">
        <v>357</v>
      </c>
      <c r="AH193" s="27" t="s">
        <v>41</v>
      </c>
      <c r="AI193" s="27" t="s">
        <v>41</v>
      </c>
      <c r="AJ193" s="27" t="s">
        <v>41</v>
      </c>
      <c r="AK193" s="28">
        <v>45708</v>
      </c>
      <c r="AL193" s="28"/>
      <c r="AM193" s="27" t="s">
        <v>41</v>
      </c>
    </row>
    <row r="194" spans="1:39" outlineLevel="2" x14ac:dyDescent="0.35">
      <c r="A194" s="1" t="s">
        <v>1016</v>
      </c>
      <c r="B194" s="1" t="s">
        <v>1003</v>
      </c>
      <c r="C194" s="1" t="s">
        <v>1004</v>
      </c>
      <c r="D194" s="1" t="s">
        <v>1005</v>
      </c>
      <c r="E194" s="1" t="s">
        <v>9</v>
      </c>
      <c r="F194" s="1" t="s">
        <v>1013</v>
      </c>
      <c r="G194" s="9">
        <v>45708</v>
      </c>
      <c r="H194" s="27" t="s">
        <v>358</v>
      </c>
      <c r="I194" s="27" t="s">
        <v>5</v>
      </c>
      <c r="J194" s="28">
        <v>45708</v>
      </c>
      <c r="K194" s="28">
        <v>45708</v>
      </c>
      <c r="L194" s="27" t="s">
        <v>1023</v>
      </c>
      <c r="M194" s="29">
        <v>246779410166</v>
      </c>
      <c r="N194" s="27" t="s">
        <v>1007</v>
      </c>
      <c r="O194" s="27" t="s">
        <v>1008</v>
      </c>
      <c r="P194" s="27" t="s">
        <v>41</v>
      </c>
      <c r="Q194" s="27" t="s">
        <v>1025</v>
      </c>
      <c r="R194" s="27" t="s">
        <v>46</v>
      </c>
      <c r="S194" s="30">
        <v>416.67</v>
      </c>
      <c r="T194" s="27" t="s">
        <v>42</v>
      </c>
      <c r="U194" s="30">
        <v>35960.15</v>
      </c>
      <c r="V194" s="27" t="s">
        <v>1026</v>
      </c>
      <c r="W194" s="27" t="s">
        <v>1010</v>
      </c>
      <c r="X194" s="27" t="s">
        <v>41</v>
      </c>
      <c r="Y194" s="27" t="s">
        <v>1023</v>
      </c>
      <c r="Z194" s="27" t="s">
        <v>1011</v>
      </c>
      <c r="AA194" s="27"/>
      <c r="AB194" s="27"/>
      <c r="AC194" s="27"/>
      <c r="AD194" s="27" t="e">
        <f>_xlfn.XLOOKUP(M194,'Customer Data Vlookup'!$R:$R,'Customer Data Vlookup'!$S:$S,,0)</f>
        <v>#N/A</v>
      </c>
      <c r="AE194" s="27"/>
      <c r="AF194" s="27"/>
      <c r="AG194" s="27" t="s">
        <v>359</v>
      </c>
      <c r="AH194" s="27" t="s">
        <v>41</v>
      </c>
      <c r="AI194" s="27" t="s">
        <v>41</v>
      </c>
      <c r="AJ194" s="27" t="s">
        <v>41</v>
      </c>
      <c r="AK194" s="28">
        <v>45708</v>
      </c>
      <c r="AL194" s="28"/>
      <c r="AM194" s="27" t="s">
        <v>41</v>
      </c>
    </row>
    <row r="195" spans="1:39" outlineLevel="2" x14ac:dyDescent="0.35">
      <c r="A195" s="1" t="s">
        <v>1016</v>
      </c>
      <c r="B195" s="1" t="s">
        <v>1003</v>
      </c>
      <c r="C195" s="1" t="s">
        <v>1004</v>
      </c>
      <c r="D195" s="1" t="s">
        <v>1005</v>
      </c>
      <c r="E195" s="1" t="s">
        <v>9</v>
      </c>
      <c r="F195" s="1" t="s">
        <v>1013</v>
      </c>
      <c r="G195" s="9">
        <v>45708</v>
      </c>
      <c r="H195" s="27" t="s">
        <v>360</v>
      </c>
      <c r="I195" s="27" t="s">
        <v>5</v>
      </c>
      <c r="J195" s="28">
        <v>45708</v>
      </c>
      <c r="K195" s="28">
        <v>45708</v>
      </c>
      <c r="L195" s="27" t="s">
        <v>1023</v>
      </c>
      <c r="M195" s="29">
        <v>246779410183</v>
      </c>
      <c r="N195" s="27" t="s">
        <v>1007</v>
      </c>
      <c r="O195" s="27" t="s">
        <v>1008</v>
      </c>
      <c r="P195" s="27" t="s">
        <v>41</v>
      </c>
      <c r="Q195" s="27" t="s">
        <v>1025</v>
      </c>
      <c r="R195" s="27" t="s">
        <v>46</v>
      </c>
      <c r="S195" s="30">
        <v>1166.5899999999999</v>
      </c>
      <c r="T195" s="27" t="s">
        <v>42</v>
      </c>
      <c r="U195" s="30">
        <v>100680.99</v>
      </c>
      <c r="V195" s="27" t="s">
        <v>1026</v>
      </c>
      <c r="W195" s="27" t="s">
        <v>1010</v>
      </c>
      <c r="X195" s="27" t="s">
        <v>41</v>
      </c>
      <c r="Y195" s="27" t="s">
        <v>1023</v>
      </c>
      <c r="Z195" s="27" t="s">
        <v>1011</v>
      </c>
      <c r="AA195" s="27"/>
      <c r="AB195" s="27"/>
      <c r="AC195" s="27"/>
      <c r="AD195" s="27" t="e">
        <f>_xlfn.XLOOKUP(M195,'Customer Data Vlookup'!$R:$R,'Customer Data Vlookup'!$S:$S,,0)</f>
        <v>#N/A</v>
      </c>
      <c r="AE195" s="27"/>
      <c r="AF195" s="27"/>
      <c r="AG195" s="27" t="s">
        <v>361</v>
      </c>
      <c r="AH195" s="27" t="s">
        <v>41</v>
      </c>
      <c r="AI195" s="27" t="s">
        <v>41</v>
      </c>
      <c r="AJ195" s="27" t="s">
        <v>41</v>
      </c>
      <c r="AK195" s="28">
        <v>45708</v>
      </c>
      <c r="AL195" s="28"/>
      <c r="AM195" s="27" t="s">
        <v>41</v>
      </c>
    </row>
    <row r="196" spans="1:39" outlineLevel="2" x14ac:dyDescent="0.35">
      <c r="A196" s="1" t="s">
        <v>1016</v>
      </c>
      <c r="B196" s="1" t="s">
        <v>1003</v>
      </c>
      <c r="C196" s="1" t="s">
        <v>1004</v>
      </c>
      <c r="D196" s="1" t="s">
        <v>1005</v>
      </c>
      <c r="E196" s="1" t="s">
        <v>9</v>
      </c>
      <c r="F196" s="1" t="s">
        <v>1013</v>
      </c>
      <c r="G196" s="9">
        <v>45708</v>
      </c>
      <c r="H196" s="27" t="s">
        <v>1051</v>
      </c>
      <c r="I196" s="27" t="s">
        <v>5</v>
      </c>
      <c r="J196" s="28">
        <v>45708</v>
      </c>
      <c r="K196" s="28">
        <v>45708</v>
      </c>
      <c r="L196" s="27" t="s">
        <v>1023</v>
      </c>
      <c r="M196" s="29">
        <v>246779410209</v>
      </c>
      <c r="N196" s="27" t="s">
        <v>1007</v>
      </c>
      <c r="O196" s="27" t="s">
        <v>1008</v>
      </c>
      <c r="P196" s="27" t="s">
        <v>41</v>
      </c>
      <c r="Q196" s="27" t="s">
        <v>1025</v>
      </c>
      <c r="R196" s="27" t="s">
        <v>46</v>
      </c>
      <c r="S196" s="30">
        <v>408.31</v>
      </c>
      <c r="T196" s="27" t="s">
        <v>42</v>
      </c>
      <c r="U196" s="30">
        <v>35238.65</v>
      </c>
      <c r="V196" s="27" t="s">
        <v>1026</v>
      </c>
      <c r="W196" s="27" t="s">
        <v>1010</v>
      </c>
      <c r="X196" s="27" t="s">
        <v>41</v>
      </c>
      <c r="Y196" s="27" t="s">
        <v>1023</v>
      </c>
      <c r="Z196" s="27" t="s">
        <v>1011</v>
      </c>
      <c r="AA196" s="27"/>
      <c r="AB196" s="27"/>
      <c r="AC196" s="27"/>
      <c r="AD196" s="27" t="e">
        <f>_xlfn.XLOOKUP(M196,'Customer Data Vlookup'!$R:$R,'Customer Data Vlookup'!$S:$S,,0)</f>
        <v>#N/A</v>
      </c>
      <c r="AE196" s="27"/>
      <c r="AF196" s="27"/>
      <c r="AG196" s="27" t="s">
        <v>362</v>
      </c>
      <c r="AH196" s="27" t="s">
        <v>41</v>
      </c>
      <c r="AI196" s="27" t="s">
        <v>41</v>
      </c>
      <c r="AJ196" s="27" t="s">
        <v>41</v>
      </c>
      <c r="AK196" s="28">
        <v>45708</v>
      </c>
      <c r="AL196" s="28"/>
      <c r="AM196" s="27" t="s">
        <v>41</v>
      </c>
    </row>
    <row r="197" spans="1:39" outlineLevel="2" x14ac:dyDescent="0.35">
      <c r="A197" s="1" t="s">
        <v>1016</v>
      </c>
      <c r="B197" s="1" t="s">
        <v>1003</v>
      </c>
      <c r="C197" s="1" t="s">
        <v>1004</v>
      </c>
      <c r="D197" s="1" t="s">
        <v>1005</v>
      </c>
      <c r="E197" s="1" t="s">
        <v>9</v>
      </c>
      <c r="F197" s="1" t="s">
        <v>1013</v>
      </c>
      <c r="G197" s="9">
        <v>45708</v>
      </c>
      <c r="H197" s="27" t="s">
        <v>363</v>
      </c>
      <c r="I197" s="27" t="s">
        <v>5</v>
      </c>
      <c r="J197" s="28">
        <v>45708</v>
      </c>
      <c r="K197" s="28">
        <v>45708</v>
      </c>
      <c r="L197" s="27" t="s">
        <v>1023</v>
      </c>
      <c r="M197" s="29">
        <v>246779410226</v>
      </c>
      <c r="N197" s="27" t="s">
        <v>1007</v>
      </c>
      <c r="O197" s="27" t="s">
        <v>1008</v>
      </c>
      <c r="P197" s="27" t="s">
        <v>41</v>
      </c>
      <c r="Q197" s="27" t="s">
        <v>1025</v>
      </c>
      <c r="R197" s="27" t="s">
        <v>46</v>
      </c>
      <c r="S197" s="30">
        <v>1143.1199999999999</v>
      </c>
      <c r="T197" s="27" t="s">
        <v>42</v>
      </c>
      <c r="U197" s="30">
        <v>98655.44</v>
      </c>
      <c r="V197" s="27" t="s">
        <v>1026</v>
      </c>
      <c r="W197" s="27" t="s">
        <v>1010</v>
      </c>
      <c r="X197" s="27" t="s">
        <v>41</v>
      </c>
      <c r="Y197" s="27" t="s">
        <v>1023</v>
      </c>
      <c r="Z197" s="27" t="s">
        <v>1011</v>
      </c>
      <c r="AA197" s="27"/>
      <c r="AB197" s="27"/>
      <c r="AC197" s="27"/>
      <c r="AD197" s="27" t="e">
        <f>_xlfn.XLOOKUP(M197,'Customer Data Vlookup'!$R:$R,'Customer Data Vlookup'!$S:$S,,0)</f>
        <v>#N/A</v>
      </c>
      <c r="AE197" s="27"/>
      <c r="AF197" s="27"/>
      <c r="AG197" s="27" t="s">
        <v>364</v>
      </c>
      <c r="AH197" s="27" t="s">
        <v>41</v>
      </c>
      <c r="AI197" s="27" t="s">
        <v>41</v>
      </c>
      <c r="AJ197" s="27" t="s">
        <v>41</v>
      </c>
      <c r="AK197" s="28">
        <v>45708</v>
      </c>
      <c r="AL197" s="28"/>
      <c r="AM197" s="27" t="s">
        <v>41</v>
      </c>
    </row>
    <row r="198" spans="1:39" outlineLevel="2" x14ac:dyDescent="0.35">
      <c r="A198" s="1" t="s">
        <v>1016</v>
      </c>
      <c r="B198" s="1" t="s">
        <v>1003</v>
      </c>
      <c r="C198" s="1" t="s">
        <v>1004</v>
      </c>
      <c r="D198" s="1" t="s">
        <v>1005</v>
      </c>
      <c r="E198" s="1" t="s">
        <v>9</v>
      </c>
      <c r="F198" s="1" t="s">
        <v>1013</v>
      </c>
      <c r="G198" s="9">
        <v>45708</v>
      </c>
      <c r="H198" s="27" t="s">
        <v>365</v>
      </c>
      <c r="I198" s="27" t="s">
        <v>5</v>
      </c>
      <c r="J198" s="28">
        <v>45708</v>
      </c>
      <c r="K198" s="28">
        <v>45708</v>
      </c>
      <c r="L198" s="27" t="s">
        <v>1023</v>
      </c>
      <c r="M198" s="29">
        <v>246779410252</v>
      </c>
      <c r="N198" s="27" t="s">
        <v>1007</v>
      </c>
      <c r="O198" s="27" t="s">
        <v>1008</v>
      </c>
      <c r="P198" s="27" t="s">
        <v>41</v>
      </c>
      <c r="Q198" s="27" t="s">
        <v>1025</v>
      </c>
      <c r="R198" s="27" t="s">
        <v>46</v>
      </c>
      <c r="S198" s="30">
        <v>400.09</v>
      </c>
      <c r="T198" s="27" t="s">
        <v>42</v>
      </c>
      <c r="U198" s="30">
        <v>34529.230000000003</v>
      </c>
      <c r="V198" s="27" t="s">
        <v>1026</v>
      </c>
      <c r="W198" s="27" t="s">
        <v>1010</v>
      </c>
      <c r="X198" s="27" t="s">
        <v>41</v>
      </c>
      <c r="Y198" s="27" t="s">
        <v>1023</v>
      </c>
      <c r="Z198" s="27" t="s">
        <v>1011</v>
      </c>
      <c r="AA198" s="27"/>
      <c r="AB198" s="27"/>
      <c r="AC198" s="27"/>
      <c r="AD198" s="27" t="e">
        <f>_xlfn.XLOOKUP(M198,'Customer Data Vlookup'!$R:$R,'Customer Data Vlookup'!$S:$S,,0)</f>
        <v>#N/A</v>
      </c>
      <c r="AE198" s="27"/>
      <c r="AF198" s="27"/>
      <c r="AG198" s="27" t="s">
        <v>366</v>
      </c>
      <c r="AH198" s="27" t="s">
        <v>41</v>
      </c>
      <c r="AI198" s="27" t="s">
        <v>41</v>
      </c>
      <c r="AJ198" s="27" t="s">
        <v>41</v>
      </c>
      <c r="AK198" s="28">
        <v>45708</v>
      </c>
      <c r="AL198" s="28"/>
      <c r="AM198" s="27" t="s">
        <v>41</v>
      </c>
    </row>
    <row r="199" spans="1:39" outlineLevel="2" x14ac:dyDescent="0.35">
      <c r="A199" s="1" t="s">
        <v>1016</v>
      </c>
      <c r="B199" s="1" t="s">
        <v>1003</v>
      </c>
      <c r="C199" s="1" t="s">
        <v>1004</v>
      </c>
      <c r="D199" s="1" t="s">
        <v>1005</v>
      </c>
      <c r="E199" s="1" t="s">
        <v>9</v>
      </c>
      <c r="F199" s="1" t="s">
        <v>1013</v>
      </c>
      <c r="G199" s="9">
        <v>45708</v>
      </c>
      <c r="H199" s="27" t="s">
        <v>367</v>
      </c>
      <c r="I199" s="27" t="s">
        <v>5</v>
      </c>
      <c r="J199" s="28">
        <v>45708</v>
      </c>
      <c r="K199" s="28">
        <v>45709</v>
      </c>
      <c r="L199" s="27" t="s">
        <v>1023</v>
      </c>
      <c r="M199" s="29">
        <v>246779410276</v>
      </c>
      <c r="N199" s="27" t="s">
        <v>1007</v>
      </c>
      <c r="O199" s="27" t="s">
        <v>1008</v>
      </c>
      <c r="P199" s="27" t="s">
        <v>41</v>
      </c>
      <c r="Q199" s="27" t="s">
        <v>1025</v>
      </c>
      <c r="R199" s="27" t="s">
        <v>46</v>
      </c>
      <c r="S199" s="30">
        <v>1190.48</v>
      </c>
      <c r="T199" s="27" t="s">
        <v>42</v>
      </c>
      <c r="U199" s="30">
        <v>102742.78</v>
      </c>
      <c r="V199" s="27" t="s">
        <v>1026</v>
      </c>
      <c r="W199" s="27" t="s">
        <v>1010</v>
      </c>
      <c r="X199" s="27" t="s">
        <v>41</v>
      </c>
      <c r="Y199" s="27" t="s">
        <v>1023</v>
      </c>
      <c r="Z199" s="27" t="s">
        <v>1011</v>
      </c>
      <c r="AA199" s="27"/>
      <c r="AB199" s="27"/>
      <c r="AC199" s="27"/>
      <c r="AD199" s="27" t="e">
        <f>_xlfn.XLOOKUP(M199,'Customer Data Vlookup'!$R:$R,'Customer Data Vlookup'!$S:$S,,0)</f>
        <v>#N/A</v>
      </c>
      <c r="AE199" s="27"/>
      <c r="AF199" s="27"/>
      <c r="AG199" s="27" t="s">
        <v>368</v>
      </c>
      <c r="AH199" s="27" t="s">
        <v>41</v>
      </c>
      <c r="AI199" s="27" t="s">
        <v>41</v>
      </c>
      <c r="AJ199" s="27" t="s">
        <v>41</v>
      </c>
      <c r="AK199" s="28">
        <v>45708</v>
      </c>
      <c r="AL199" s="28"/>
      <c r="AM199" s="27" t="s">
        <v>41</v>
      </c>
    </row>
    <row r="200" spans="1:39" outlineLevel="2" x14ac:dyDescent="0.35">
      <c r="A200" s="1" t="s">
        <v>1016</v>
      </c>
      <c r="B200" s="1" t="s">
        <v>1003</v>
      </c>
      <c r="C200" s="1" t="s">
        <v>1004</v>
      </c>
      <c r="D200" s="1" t="s">
        <v>1005</v>
      </c>
      <c r="E200" s="1" t="s">
        <v>9</v>
      </c>
      <c r="F200" s="1" t="s">
        <v>1013</v>
      </c>
      <c r="G200" s="9">
        <v>45708</v>
      </c>
      <c r="H200" s="27" t="s">
        <v>369</v>
      </c>
      <c r="I200" s="27" t="s">
        <v>5</v>
      </c>
      <c r="J200" s="28">
        <v>45708</v>
      </c>
      <c r="K200" s="28">
        <v>45709</v>
      </c>
      <c r="L200" s="27" t="s">
        <v>1023</v>
      </c>
      <c r="M200" s="29">
        <v>246779410308</v>
      </c>
      <c r="N200" s="27" t="s">
        <v>1007</v>
      </c>
      <c r="O200" s="27" t="s">
        <v>1008</v>
      </c>
      <c r="P200" s="27" t="s">
        <v>41</v>
      </c>
      <c r="Q200" s="27" t="s">
        <v>1025</v>
      </c>
      <c r="R200" s="27" t="s">
        <v>46</v>
      </c>
      <c r="S200" s="30">
        <v>416.67</v>
      </c>
      <c r="T200" s="27" t="s">
        <v>42</v>
      </c>
      <c r="U200" s="30">
        <v>35960.15</v>
      </c>
      <c r="V200" s="27" t="s">
        <v>1026</v>
      </c>
      <c r="W200" s="27" t="s">
        <v>1010</v>
      </c>
      <c r="X200" s="27" t="s">
        <v>41</v>
      </c>
      <c r="Y200" s="27" t="s">
        <v>1023</v>
      </c>
      <c r="Z200" s="27" t="s">
        <v>1011</v>
      </c>
      <c r="AA200" s="27"/>
      <c r="AB200" s="27"/>
      <c r="AC200" s="27"/>
      <c r="AD200" s="27" t="e">
        <f>_xlfn.XLOOKUP(M200,'Customer Data Vlookup'!$R:$R,'Customer Data Vlookup'!$S:$S,,0)</f>
        <v>#N/A</v>
      </c>
      <c r="AE200" s="27"/>
      <c r="AF200" s="27"/>
      <c r="AG200" s="27" t="s">
        <v>370</v>
      </c>
      <c r="AH200" s="27" t="s">
        <v>41</v>
      </c>
      <c r="AI200" s="27" t="s">
        <v>41</v>
      </c>
      <c r="AJ200" s="27" t="s">
        <v>41</v>
      </c>
      <c r="AK200" s="28">
        <v>45708</v>
      </c>
      <c r="AL200" s="28"/>
      <c r="AM200" s="27" t="s">
        <v>41</v>
      </c>
    </row>
    <row r="201" spans="1:39" outlineLevel="2" x14ac:dyDescent="0.35">
      <c r="A201" s="1" t="s">
        <v>1002</v>
      </c>
      <c r="B201" s="1" t="s">
        <v>1003</v>
      </c>
      <c r="C201" s="1" t="s">
        <v>1004</v>
      </c>
      <c r="D201" s="1" t="s">
        <v>1005</v>
      </c>
      <c r="E201" s="1" t="s">
        <v>9</v>
      </c>
      <c r="F201" s="1" t="s">
        <v>1013</v>
      </c>
      <c r="G201" s="9">
        <v>45708</v>
      </c>
      <c r="H201" s="27" t="s">
        <v>371</v>
      </c>
      <c r="I201" s="27" t="s">
        <v>5</v>
      </c>
      <c r="J201" s="28">
        <v>45708</v>
      </c>
      <c r="K201" s="28">
        <v>45708</v>
      </c>
      <c r="L201" s="27" t="s">
        <v>1023</v>
      </c>
      <c r="M201" s="29">
        <v>246779410077</v>
      </c>
      <c r="N201" s="27" t="s">
        <v>1007</v>
      </c>
      <c r="O201" s="27" t="s">
        <v>1008</v>
      </c>
      <c r="P201" s="27" t="s">
        <v>41</v>
      </c>
      <c r="Q201" s="27" t="s">
        <v>1025</v>
      </c>
      <c r="R201" s="27" t="s">
        <v>46</v>
      </c>
      <c r="S201" s="30">
        <v>416.67</v>
      </c>
      <c r="T201" s="27" t="s">
        <v>42</v>
      </c>
      <c r="U201" s="30">
        <v>35960.15</v>
      </c>
      <c r="V201" s="27" t="s">
        <v>1026</v>
      </c>
      <c r="W201" s="27" t="s">
        <v>1010</v>
      </c>
      <c r="X201" s="27" t="s">
        <v>41</v>
      </c>
      <c r="Y201" s="27" t="s">
        <v>1023</v>
      </c>
      <c r="Z201" s="27" t="s">
        <v>1011</v>
      </c>
      <c r="AA201" s="27"/>
      <c r="AB201" s="27"/>
      <c r="AC201" s="27"/>
      <c r="AD201" s="27" t="e">
        <f>_xlfn.XLOOKUP(M201,'Customer Data Vlookup'!$R:$R,'Customer Data Vlookup'!$S:$S,,0)</f>
        <v>#N/A</v>
      </c>
      <c r="AE201" s="27"/>
      <c r="AF201" s="27"/>
      <c r="AG201" s="27" t="s">
        <v>372</v>
      </c>
      <c r="AH201" s="27" t="s">
        <v>41</v>
      </c>
      <c r="AI201" s="27" t="s">
        <v>41</v>
      </c>
      <c r="AJ201" s="27" t="s">
        <v>41</v>
      </c>
      <c r="AK201" s="28">
        <v>45708</v>
      </c>
      <c r="AL201" s="28">
        <v>45887</v>
      </c>
      <c r="AM201" s="27" t="s">
        <v>45</v>
      </c>
    </row>
    <row r="202" spans="1:39" outlineLevel="2" x14ac:dyDescent="0.35">
      <c r="A202" s="1" t="s">
        <v>1016</v>
      </c>
      <c r="B202" s="1" t="s">
        <v>1003</v>
      </c>
      <c r="C202" s="1" t="s">
        <v>1004</v>
      </c>
      <c r="D202" s="1" t="s">
        <v>1005</v>
      </c>
      <c r="E202" s="1" t="s">
        <v>9</v>
      </c>
      <c r="F202" s="1" t="s">
        <v>1014</v>
      </c>
      <c r="G202" s="9">
        <v>45889</v>
      </c>
      <c r="H202" s="27" t="s">
        <v>1052</v>
      </c>
      <c r="I202" s="27" t="s">
        <v>5</v>
      </c>
      <c r="J202" s="28">
        <v>45889</v>
      </c>
      <c r="K202" s="28">
        <v>45891</v>
      </c>
      <c r="L202" s="27" t="s">
        <v>1023</v>
      </c>
      <c r="M202" s="29">
        <v>256779416817</v>
      </c>
      <c r="N202" s="27" t="s">
        <v>1007</v>
      </c>
      <c r="O202" s="27" t="s">
        <v>1008</v>
      </c>
      <c r="P202" s="27" t="s">
        <v>41</v>
      </c>
      <c r="Q202" s="27" t="s">
        <v>1025</v>
      </c>
      <c r="R202" s="27" t="s">
        <v>46</v>
      </c>
      <c r="S202" s="30">
        <v>180</v>
      </c>
      <c r="T202" s="27" t="s">
        <v>42</v>
      </c>
      <c r="U202" s="30">
        <v>15485.42</v>
      </c>
      <c r="V202" s="27" t="s">
        <v>1026</v>
      </c>
      <c r="W202" s="27" t="s">
        <v>1010</v>
      </c>
      <c r="X202" s="27" t="s">
        <v>41</v>
      </c>
      <c r="Y202" s="27" t="s">
        <v>1023</v>
      </c>
      <c r="Z202" s="27" t="s">
        <v>1011</v>
      </c>
      <c r="AA202" s="27"/>
      <c r="AB202" s="27"/>
      <c r="AC202" s="27"/>
      <c r="AD202" s="27" t="e">
        <f>_xlfn.XLOOKUP(M202,'Customer Data Vlookup'!$R:$R,'Customer Data Vlookup'!$S:$S,,0)</f>
        <v>#N/A</v>
      </c>
      <c r="AE202" s="27"/>
      <c r="AF202" s="27"/>
      <c r="AG202" s="27" t="s">
        <v>373</v>
      </c>
      <c r="AH202" s="27" t="s">
        <v>41</v>
      </c>
      <c r="AI202" s="27" t="s">
        <v>41</v>
      </c>
      <c r="AJ202" s="27" t="s">
        <v>41</v>
      </c>
      <c r="AK202" s="28">
        <v>45889</v>
      </c>
      <c r="AL202" s="28"/>
      <c r="AM202" s="27" t="s">
        <v>41</v>
      </c>
    </row>
    <row r="203" spans="1:39" outlineLevel="2" x14ac:dyDescent="0.35">
      <c r="A203" s="1" t="s">
        <v>1016</v>
      </c>
      <c r="B203" s="1" t="s">
        <v>1003</v>
      </c>
      <c r="C203" s="1" t="s">
        <v>1004</v>
      </c>
      <c r="D203" s="1" t="s">
        <v>1005</v>
      </c>
      <c r="E203" s="1" t="s">
        <v>9</v>
      </c>
      <c r="F203" s="1" t="s">
        <v>1014</v>
      </c>
      <c r="G203" s="9">
        <v>45889</v>
      </c>
      <c r="H203" s="27" t="s">
        <v>1053</v>
      </c>
      <c r="I203" s="27" t="s">
        <v>5</v>
      </c>
      <c r="J203" s="28">
        <v>45889</v>
      </c>
      <c r="K203" s="28">
        <v>45891</v>
      </c>
      <c r="L203" s="27" t="s">
        <v>1023</v>
      </c>
      <c r="M203" s="29">
        <v>256779416845</v>
      </c>
      <c r="N203" s="27" t="s">
        <v>1007</v>
      </c>
      <c r="O203" s="27" t="s">
        <v>1008</v>
      </c>
      <c r="P203" s="27" t="s">
        <v>41</v>
      </c>
      <c r="Q203" s="27" t="s">
        <v>1025</v>
      </c>
      <c r="R203" s="27" t="s">
        <v>46</v>
      </c>
      <c r="S203" s="30">
        <v>492.48</v>
      </c>
      <c r="T203" s="27" t="s">
        <v>42</v>
      </c>
      <c r="U203" s="30">
        <v>42368.11</v>
      </c>
      <c r="V203" s="27" t="s">
        <v>1026</v>
      </c>
      <c r="W203" s="27" t="s">
        <v>1010</v>
      </c>
      <c r="X203" s="27" t="s">
        <v>41</v>
      </c>
      <c r="Y203" s="27" t="s">
        <v>1023</v>
      </c>
      <c r="Z203" s="27" t="s">
        <v>1011</v>
      </c>
      <c r="AA203" s="27"/>
      <c r="AB203" s="27"/>
      <c r="AC203" s="27"/>
      <c r="AD203" s="27" t="e">
        <f>_xlfn.XLOOKUP(M203,'Customer Data Vlookup'!$R:$R,'Customer Data Vlookup'!$S:$S,,0)</f>
        <v>#N/A</v>
      </c>
      <c r="AE203" s="27"/>
      <c r="AF203" s="27"/>
      <c r="AG203" s="27" t="s">
        <v>374</v>
      </c>
      <c r="AH203" s="27" t="s">
        <v>41</v>
      </c>
      <c r="AI203" s="27" t="s">
        <v>41</v>
      </c>
      <c r="AJ203" s="27" t="s">
        <v>41</v>
      </c>
      <c r="AK203" s="28">
        <v>45889</v>
      </c>
      <c r="AL203" s="28"/>
      <c r="AM203" s="27" t="s">
        <v>41</v>
      </c>
    </row>
    <row r="204" spans="1:39" outlineLevel="2" x14ac:dyDescent="0.35">
      <c r="A204" s="1" t="s">
        <v>1016</v>
      </c>
      <c r="B204" s="1" t="s">
        <v>1003</v>
      </c>
      <c r="C204" s="1" t="s">
        <v>1004</v>
      </c>
      <c r="D204" s="1" t="s">
        <v>1005</v>
      </c>
      <c r="E204" s="1" t="s">
        <v>9</v>
      </c>
      <c r="F204" s="1" t="s">
        <v>1014</v>
      </c>
      <c r="G204" s="9">
        <v>45889</v>
      </c>
      <c r="H204" s="27" t="s">
        <v>1054</v>
      </c>
      <c r="I204" s="27" t="s">
        <v>5</v>
      </c>
      <c r="J204" s="28">
        <v>45889</v>
      </c>
      <c r="K204" s="28">
        <v>45891</v>
      </c>
      <c r="L204" s="27" t="s">
        <v>1023</v>
      </c>
      <c r="M204" s="29">
        <v>256779416879</v>
      </c>
      <c r="N204" s="27" t="s">
        <v>1007</v>
      </c>
      <c r="O204" s="27" t="s">
        <v>1008</v>
      </c>
      <c r="P204" s="27" t="s">
        <v>41</v>
      </c>
      <c r="Q204" s="27" t="s">
        <v>1025</v>
      </c>
      <c r="R204" s="27" t="s">
        <v>46</v>
      </c>
      <c r="S204" s="30">
        <v>84.14</v>
      </c>
      <c r="T204" s="27" t="s">
        <v>42</v>
      </c>
      <c r="U204" s="30">
        <v>7238.57</v>
      </c>
      <c r="V204" s="27" t="s">
        <v>1026</v>
      </c>
      <c r="W204" s="27" t="s">
        <v>1010</v>
      </c>
      <c r="X204" s="27" t="s">
        <v>41</v>
      </c>
      <c r="Y204" s="27" t="s">
        <v>1023</v>
      </c>
      <c r="Z204" s="27" t="s">
        <v>1011</v>
      </c>
      <c r="AA204" s="27"/>
      <c r="AB204" s="27"/>
      <c r="AC204" s="27"/>
      <c r="AD204" s="27" t="e">
        <f>_xlfn.XLOOKUP(M204,'Customer Data Vlookup'!$R:$R,'Customer Data Vlookup'!$S:$S,,0)</f>
        <v>#N/A</v>
      </c>
      <c r="AE204" s="27"/>
      <c r="AF204" s="27"/>
      <c r="AG204" s="27" t="s">
        <v>375</v>
      </c>
      <c r="AH204" s="27" t="s">
        <v>41</v>
      </c>
      <c r="AI204" s="27" t="s">
        <v>41</v>
      </c>
      <c r="AJ204" s="27" t="s">
        <v>41</v>
      </c>
      <c r="AK204" s="28">
        <v>45889</v>
      </c>
      <c r="AL204" s="28"/>
      <c r="AM204" s="27" t="s">
        <v>41</v>
      </c>
    </row>
    <row r="205" spans="1:39" outlineLevel="2" x14ac:dyDescent="0.35">
      <c r="A205" s="1" t="s">
        <v>1002</v>
      </c>
      <c r="B205" s="1" t="s">
        <v>1003</v>
      </c>
      <c r="C205" s="1" t="s">
        <v>1004</v>
      </c>
      <c r="D205" s="1" t="s">
        <v>1005</v>
      </c>
      <c r="E205" s="1" t="s">
        <v>9</v>
      </c>
      <c r="F205" s="1" t="s">
        <v>1013</v>
      </c>
      <c r="G205" s="9">
        <v>45707</v>
      </c>
      <c r="H205" s="27" t="s">
        <v>376</v>
      </c>
      <c r="I205" s="27" t="s">
        <v>5</v>
      </c>
      <c r="J205" s="28">
        <v>45707</v>
      </c>
      <c r="K205" s="28">
        <v>45708</v>
      </c>
      <c r="L205" s="27" t="s">
        <v>1023</v>
      </c>
      <c r="M205" s="29">
        <v>246779410009</v>
      </c>
      <c r="N205" s="27" t="s">
        <v>1007</v>
      </c>
      <c r="O205" s="27" t="s">
        <v>1008</v>
      </c>
      <c r="P205" s="27" t="s">
        <v>41</v>
      </c>
      <c r="Q205" s="27" t="s">
        <v>1025</v>
      </c>
      <c r="R205" s="27" t="s">
        <v>46</v>
      </c>
      <c r="S205" s="30">
        <v>1190.48</v>
      </c>
      <c r="T205" s="27" t="s">
        <v>42</v>
      </c>
      <c r="U205" s="30">
        <v>102742.78</v>
      </c>
      <c r="V205" s="27" t="s">
        <v>1026</v>
      </c>
      <c r="W205" s="27" t="s">
        <v>1010</v>
      </c>
      <c r="X205" s="27" t="s">
        <v>41</v>
      </c>
      <c r="Y205" s="27" t="s">
        <v>1023</v>
      </c>
      <c r="Z205" s="27" t="s">
        <v>1011</v>
      </c>
      <c r="AA205" s="27"/>
      <c r="AB205" s="27"/>
      <c r="AC205" s="27"/>
      <c r="AD205" s="27" t="e">
        <f>_xlfn.XLOOKUP(M205,'Customer Data Vlookup'!$R:$R,'Customer Data Vlookup'!$S:$S,,0)</f>
        <v>#N/A</v>
      </c>
      <c r="AE205" s="27"/>
      <c r="AF205" s="27"/>
      <c r="AG205" s="27" t="s">
        <v>377</v>
      </c>
      <c r="AH205" s="27" t="s">
        <v>41</v>
      </c>
      <c r="AI205" s="27" t="s">
        <v>41</v>
      </c>
      <c r="AJ205" s="27" t="s">
        <v>41</v>
      </c>
      <c r="AK205" s="28">
        <v>45707</v>
      </c>
      <c r="AL205" s="28">
        <v>45887</v>
      </c>
      <c r="AM205" s="27" t="s">
        <v>45</v>
      </c>
    </row>
    <row r="206" spans="1:39" outlineLevel="2" x14ac:dyDescent="0.35">
      <c r="A206" s="1" t="s">
        <v>1016</v>
      </c>
      <c r="B206" s="1" t="s">
        <v>1003</v>
      </c>
      <c r="C206" s="1" t="s">
        <v>1004</v>
      </c>
      <c r="D206" s="1" t="s">
        <v>1005</v>
      </c>
      <c r="E206" s="1" t="s">
        <v>9</v>
      </c>
      <c r="F206" s="1" t="s">
        <v>1006</v>
      </c>
      <c r="G206" s="9">
        <v>45923</v>
      </c>
      <c r="H206" s="27" t="s">
        <v>378</v>
      </c>
      <c r="I206" s="27" t="s">
        <v>4</v>
      </c>
      <c r="J206" s="28">
        <v>45923</v>
      </c>
      <c r="K206" s="28">
        <v>45923</v>
      </c>
      <c r="L206" s="27" t="s">
        <v>1023</v>
      </c>
      <c r="M206" s="29">
        <v>256779421873</v>
      </c>
      <c r="N206" s="27" t="s">
        <v>1007</v>
      </c>
      <c r="O206" s="27" t="s">
        <v>1008</v>
      </c>
      <c r="P206" s="27" t="s">
        <v>41</v>
      </c>
      <c r="Q206" s="27" t="s">
        <v>1022</v>
      </c>
      <c r="R206" s="27" t="s">
        <v>46</v>
      </c>
      <c r="S206" s="30">
        <v>-260.79000000000002</v>
      </c>
      <c r="T206" s="27" t="s">
        <v>42</v>
      </c>
      <c r="U206" s="30">
        <v>-22423.69</v>
      </c>
      <c r="V206" s="27" t="s">
        <v>1026</v>
      </c>
      <c r="W206" s="27" t="s">
        <v>1010</v>
      </c>
      <c r="X206" s="27" t="s">
        <v>41</v>
      </c>
      <c r="Y206" s="27" t="s">
        <v>1055</v>
      </c>
      <c r="Z206" s="27" t="s">
        <v>1011</v>
      </c>
      <c r="AA206" s="27"/>
      <c r="AB206" s="27"/>
      <c r="AC206" s="27"/>
      <c r="AD206" s="27" t="e">
        <f>_xlfn.XLOOKUP(M206,'Customer Data Vlookup'!$R:$R,'Customer Data Vlookup'!$S:$S,,0)</f>
        <v>#N/A</v>
      </c>
      <c r="AE206" s="27"/>
      <c r="AF206" s="27"/>
      <c r="AG206" s="27" t="s">
        <v>379</v>
      </c>
      <c r="AH206" s="27" t="s">
        <v>41</v>
      </c>
      <c r="AI206" s="27" t="s">
        <v>41</v>
      </c>
      <c r="AJ206" s="27" t="s">
        <v>41</v>
      </c>
      <c r="AK206" s="28">
        <v>45923</v>
      </c>
      <c r="AL206" s="28"/>
      <c r="AM206" s="27" t="s">
        <v>41</v>
      </c>
    </row>
    <row r="207" spans="1:39" outlineLevel="2" x14ac:dyDescent="0.35">
      <c r="A207" s="1" t="s">
        <v>1002</v>
      </c>
      <c r="B207" s="1" t="s">
        <v>1003</v>
      </c>
      <c r="C207" s="1" t="s">
        <v>1004</v>
      </c>
      <c r="D207" s="1" t="s">
        <v>1005</v>
      </c>
      <c r="E207" s="1" t="s">
        <v>9</v>
      </c>
      <c r="F207" s="1" t="s">
        <v>1031</v>
      </c>
      <c r="G207" s="9">
        <v>45821</v>
      </c>
      <c r="H207" s="27" t="s">
        <v>380</v>
      </c>
      <c r="I207" s="27" t="s">
        <v>5</v>
      </c>
      <c r="J207" s="28">
        <v>45821</v>
      </c>
      <c r="K207" s="28">
        <v>45825</v>
      </c>
      <c r="L207" s="27" t="s">
        <v>1023</v>
      </c>
      <c r="M207" s="29">
        <v>256779414341</v>
      </c>
      <c r="N207" s="27" t="s">
        <v>1007</v>
      </c>
      <c r="O207" s="27" t="s">
        <v>1008</v>
      </c>
      <c r="P207" s="27" t="s">
        <v>41</v>
      </c>
      <c r="Q207" s="27" t="s">
        <v>1025</v>
      </c>
      <c r="R207" s="27" t="s">
        <v>46</v>
      </c>
      <c r="S207" s="30">
        <v>200</v>
      </c>
      <c r="T207" s="27" t="s">
        <v>42</v>
      </c>
      <c r="U207" s="30">
        <v>17098.16</v>
      </c>
      <c r="V207" s="27" t="s">
        <v>1026</v>
      </c>
      <c r="W207" s="27" t="s">
        <v>1010</v>
      </c>
      <c r="X207" s="27" t="s">
        <v>41</v>
      </c>
      <c r="Y207" s="27" t="s">
        <v>1023</v>
      </c>
      <c r="Z207" s="27" t="s">
        <v>1011</v>
      </c>
      <c r="AA207" s="27"/>
      <c r="AB207" s="27"/>
      <c r="AC207" s="27"/>
      <c r="AD207" s="27" t="e">
        <f>_xlfn.XLOOKUP(M207,'Customer Data Vlookup'!$R:$R,'Customer Data Vlookup'!$S:$S,,0)</f>
        <v>#N/A</v>
      </c>
      <c r="AE207" s="27"/>
      <c r="AF207" s="27"/>
      <c r="AG207" s="27" t="s">
        <v>381</v>
      </c>
      <c r="AH207" s="27" t="s">
        <v>41</v>
      </c>
      <c r="AI207" s="27" t="s">
        <v>41</v>
      </c>
      <c r="AJ207" s="27" t="s">
        <v>41</v>
      </c>
      <c r="AK207" s="28">
        <v>45821</v>
      </c>
      <c r="AL207" s="28">
        <v>45888</v>
      </c>
      <c r="AM207" s="27" t="s">
        <v>56</v>
      </c>
    </row>
    <row r="208" spans="1:39" outlineLevel="2" x14ac:dyDescent="0.35">
      <c r="A208" s="1" t="s">
        <v>1016</v>
      </c>
      <c r="B208" s="1" t="s">
        <v>1003</v>
      </c>
      <c r="C208" s="1" t="s">
        <v>1004</v>
      </c>
      <c r="D208" s="1" t="s">
        <v>1005</v>
      </c>
      <c r="E208" s="1" t="s">
        <v>9</v>
      </c>
      <c r="F208" s="1" t="s">
        <v>1024</v>
      </c>
      <c r="G208" s="9">
        <v>45797</v>
      </c>
      <c r="H208" s="27" t="s">
        <v>1056</v>
      </c>
      <c r="I208" s="27" t="s">
        <v>5</v>
      </c>
      <c r="J208" s="28">
        <v>45797</v>
      </c>
      <c r="K208" s="28">
        <v>45805</v>
      </c>
      <c r="L208" s="27" t="s">
        <v>1023</v>
      </c>
      <c r="M208" s="29">
        <v>256779413487</v>
      </c>
      <c r="N208" s="27" t="s">
        <v>1007</v>
      </c>
      <c r="O208" s="27" t="s">
        <v>1008</v>
      </c>
      <c r="P208" s="27" t="s">
        <v>41</v>
      </c>
      <c r="Q208" s="27" t="s">
        <v>1025</v>
      </c>
      <c r="R208" s="27" t="s">
        <v>46</v>
      </c>
      <c r="S208" s="30">
        <v>97.9</v>
      </c>
      <c r="T208" s="27" t="s">
        <v>42</v>
      </c>
      <c r="U208" s="30">
        <v>8417.7999999999993</v>
      </c>
      <c r="V208" s="27" t="s">
        <v>1026</v>
      </c>
      <c r="W208" s="27" t="s">
        <v>1010</v>
      </c>
      <c r="X208" s="27" t="s">
        <v>41</v>
      </c>
      <c r="Y208" s="27" t="s">
        <v>1023</v>
      </c>
      <c r="Z208" s="27" t="s">
        <v>1011</v>
      </c>
      <c r="AA208" s="27"/>
      <c r="AB208" s="27"/>
      <c r="AC208" s="27"/>
      <c r="AD208" s="27" t="e">
        <f>_xlfn.XLOOKUP(M208,'Customer Data Vlookup'!$R:$R,'Customer Data Vlookup'!$S:$S,,0)</f>
        <v>#N/A</v>
      </c>
      <c r="AE208" s="27"/>
      <c r="AF208" s="27"/>
      <c r="AG208" s="27" t="s">
        <v>382</v>
      </c>
      <c r="AH208" s="27" t="s">
        <v>41</v>
      </c>
      <c r="AI208" s="27" t="s">
        <v>41</v>
      </c>
      <c r="AJ208" s="27" t="s">
        <v>41</v>
      </c>
      <c r="AK208" s="28">
        <v>45797</v>
      </c>
      <c r="AL208" s="28"/>
      <c r="AM208" s="27" t="s">
        <v>41</v>
      </c>
    </row>
    <row r="209" spans="1:39" outlineLevel="2" x14ac:dyDescent="0.35">
      <c r="A209" s="1" t="s">
        <v>1016</v>
      </c>
      <c r="B209" s="1" t="s">
        <v>1003</v>
      </c>
      <c r="C209" s="1" t="s">
        <v>1004</v>
      </c>
      <c r="D209" s="1" t="s">
        <v>1005</v>
      </c>
      <c r="E209" s="1" t="s">
        <v>9</v>
      </c>
      <c r="F209" s="1" t="s">
        <v>1024</v>
      </c>
      <c r="G209" s="9">
        <v>45797</v>
      </c>
      <c r="H209" s="27" t="s">
        <v>383</v>
      </c>
      <c r="I209" s="27" t="s">
        <v>5</v>
      </c>
      <c r="J209" s="28">
        <v>45797</v>
      </c>
      <c r="K209" s="28">
        <v>45805</v>
      </c>
      <c r="L209" s="27" t="s">
        <v>1023</v>
      </c>
      <c r="M209" s="29">
        <v>256779413886</v>
      </c>
      <c r="N209" s="27" t="s">
        <v>1007</v>
      </c>
      <c r="O209" s="27" t="s">
        <v>1008</v>
      </c>
      <c r="P209" s="27" t="s">
        <v>41</v>
      </c>
      <c r="Q209" s="27" t="s">
        <v>1025</v>
      </c>
      <c r="R209" s="27" t="s">
        <v>46</v>
      </c>
      <c r="S209" s="30">
        <v>260.79000000000002</v>
      </c>
      <c r="T209" s="27" t="s">
        <v>42</v>
      </c>
      <c r="U209" s="30">
        <v>22423.69</v>
      </c>
      <c r="V209" s="27" t="s">
        <v>1026</v>
      </c>
      <c r="W209" s="27" t="s">
        <v>1010</v>
      </c>
      <c r="X209" s="27" t="s">
        <v>41</v>
      </c>
      <c r="Y209" s="27" t="s">
        <v>1023</v>
      </c>
      <c r="Z209" s="27" t="s">
        <v>1011</v>
      </c>
      <c r="AA209" s="27"/>
      <c r="AB209" s="27"/>
      <c r="AC209" s="27"/>
      <c r="AD209" s="27" t="e">
        <f>_xlfn.XLOOKUP(M209,'Customer Data Vlookup'!$R:$R,'Customer Data Vlookup'!$S:$S,,0)</f>
        <v>#N/A</v>
      </c>
      <c r="AE209" s="27"/>
      <c r="AF209" s="27"/>
      <c r="AG209" s="27" t="s">
        <v>384</v>
      </c>
      <c r="AH209" s="27" t="s">
        <v>41</v>
      </c>
      <c r="AI209" s="27" t="s">
        <v>41</v>
      </c>
      <c r="AJ209" s="27" t="s">
        <v>41</v>
      </c>
      <c r="AK209" s="28">
        <v>45797</v>
      </c>
      <c r="AL209" s="28"/>
      <c r="AM209" s="27" t="s">
        <v>41</v>
      </c>
    </row>
    <row r="210" spans="1:39" outlineLevel="2" x14ac:dyDescent="0.35">
      <c r="A210" s="1" t="s">
        <v>1016</v>
      </c>
      <c r="B210" s="1" t="s">
        <v>1003</v>
      </c>
      <c r="C210" s="1" t="s">
        <v>1004</v>
      </c>
      <c r="D210" s="1" t="s">
        <v>1005</v>
      </c>
      <c r="E210" s="1" t="s">
        <v>9</v>
      </c>
      <c r="F210" s="1" t="s">
        <v>1014</v>
      </c>
      <c r="G210" s="9">
        <v>45873</v>
      </c>
      <c r="H210" s="27" t="s">
        <v>385</v>
      </c>
      <c r="I210" s="27" t="s">
        <v>5</v>
      </c>
      <c r="J210" s="28">
        <v>45873</v>
      </c>
      <c r="K210" s="28">
        <v>45873</v>
      </c>
      <c r="L210" s="27" t="s">
        <v>1023</v>
      </c>
      <c r="M210" s="29">
        <v>256779416064</v>
      </c>
      <c r="N210" s="27" t="s">
        <v>1007</v>
      </c>
      <c r="O210" s="27" t="s">
        <v>1008</v>
      </c>
      <c r="P210" s="27" t="s">
        <v>41</v>
      </c>
      <c r="Q210" s="27" t="s">
        <v>1025</v>
      </c>
      <c r="R210" s="27" t="s">
        <v>46</v>
      </c>
      <c r="S210" s="30">
        <v>2006</v>
      </c>
      <c r="T210" s="27" t="s">
        <v>42</v>
      </c>
      <c r="U210" s="30">
        <v>172517.34</v>
      </c>
      <c r="V210" s="27" t="s">
        <v>1057</v>
      </c>
      <c r="W210" s="27" t="s">
        <v>1010</v>
      </c>
      <c r="X210" s="27" t="s">
        <v>41</v>
      </c>
      <c r="Y210" s="27" t="s">
        <v>1023</v>
      </c>
      <c r="Z210" s="27" t="s">
        <v>1011</v>
      </c>
      <c r="AA210" s="27"/>
      <c r="AB210" s="27"/>
      <c r="AC210" s="27"/>
      <c r="AD210" s="27" t="e">
        <f>_xlfn.XLOOKUP(M210,'Customer Data Vlookup'!$R:$R,'Customer Data Vlookup'!$S:$S,,0)</f>
        <v>#N/A</v>
      </c>
      <c r="AE210" s="27"/>
      <c r="AF210" s="27"/>
      <c r="AG210" s="27" t="s">
        <v>386</v>
      </c>
      <c r="AH210" s="27" t="s">
        <v>41</v>
      </c>
      <c r="AI210" s="27" t="s">
        <v>41</v>
      </c>
      <c r="AJ210" s="27" t="s">
        <v>41</v>
      </c>
      <c r="AK210" s="28">
        <v>45873</v>
      </c>
      <c r="AL210" s="28"/>
      <c r="AM210" s="27" t="s">
        <v>41</v>
      </c>
    </row>
    <row r="211" spans="1:39" outlineLevel="2" x14ac:dyDescent="0.35">
      <c r="A211" s="1" t="s">
        <v>1016</v>
      </c>
      <c r="B211" s="1" t="s">
        <v>1003</v>
      </c>
      <c r="C211" s="1" t="s">
        <v>1004</v>
      </c>
      <c r="D211" s="1" t="s">
        <v>1005</v>
      </c>
      <c r="E211" s="1" t="s">
        <v>9</v>
      </c>
      <c r="F211" s="1" t="s">
        <v>1014</v>
      </c>
      <c r="G211" s="9">
        <v>45873</v>
      </c>
      <c r="H211" s="27" t="s">
        <v>387</v>
      </c>
      <c r="I211" s="27" t="s">
        <v>5</v>
      </c>
      <c r="J211" s="28">
        <v>45873</v>
      </c>
      <c r="K211" s="28">
        <v>45873</v>
      </c>
      <c r="L211" s="27" t="s">
        <v>1023</v>
      </c>
      <c r="M211" s="29">
        <v>256779416065</v>
      </c>
      <c r="N211" s="27" t="s">
        <v>1007</v>
      </c>
      <c r="O211" s="27" t="s">
        <v>1008</v>
      </c>
      <c r="P211" s="27" t="s">
        <v>41</v>
      </c>
      <c r="Q211" s="27" t="s">
        <v>1025</v>
      </c>
      <c r="R211" s="27" t="s">
        <v>46</v>
      </c>
      <c r="S211" s="30">
        <v>2065</v>
      </c>
      <c r="T211" s="27" t="s">
        <v>42</v>
      </c>
      <c r="U211" s="30">
        <v>177591.38</v>
      </c>
      <c r="V211" s="27" t="s">
        <v>1057</v>
      </c>
      <c r="W211" s="27" t="s">
        <v>1010</v>
      </c>
      <c r="X211" s="27" t="s">
        <v>41</v>
      </c>
      <c r="Y211" s="27" t="s">
        <v>1023</v>
      </c>
      <c r="Z211" s="27" t="s">
        <v>1011</v>
      </c>
      <c r="AA211" s="27"/>
      <c r="AB211" s="27"/>
      <c r="AC211" s="27"/>
      <c r="AD211" s="27" t="e">
        <f>_xlfn.XLOOKUP(M211,'Customer Data Vlookup'!$R:$R,'Customer Data Vlookup'!$S:$S,,0)</f>
        <v>#N/A</v>
      </c>
      <c r="AE211" s="27"/>
      <c r="AF211" s="27"/>
      <c r="AG211" s="27" t="s">
        <v>388</v>
      </c>
      <c r="AH211" s="27" t="s">
        <v>41</v>
      </c>
      <c r="AI211" s="27" t="s">
        <v>41</v>
      </c>
      <c r="AJ211" s="27" t="s">
        <v>41</v>
      </c>
      <c r="AK211" s="28">
        <v>45873</v>
      </c>
      <c r="AL211" s="28"/>
      <c r="AM211" s="27" t="s">
        <v>41</v>
      </c>
    </row>
    <row r="212" spans="1:39" outlineLevel="2" x14ac:dyDescent="0.35">
      <c r="A212" s="1" t="s">
        <v>1016</v>
      </c>
      <c r="B212" s="1" t="s">
        <v>1003</v>
      </c>
      <c r="C212" s="1" t="s">
        <v>1004</v>
      </c>
      <c r="D212" s="1" t="s">
        <v>1005</v>
      </c>
      <c r="E212" s="1" t="s">
        <v>9</v>
      </c>
      <c r="F212" s="1" t="s">
        <v>1014</v>
      </c>
      <c r="G212" s="9">
        <v>45873</v>
      </c>
      <c r="H212" s="27" t="s">
        <v>389</v>
      </c>
      <c r="I212" s="27" t="s">
        <v>5</v>
      </c>
      <c r="J212" s="28">
        <v>45873</v>
      </c>
      <c r="K212" s="28">
        <v>45873</v>
      </c>
      <c r="L212" s="27" t="s">
        <v>1023</v>
      </c>
      <c r="M212" s="29">
        <v>256779416066</v>
      </c>
      <c r="N212" s="27" t="s">
        <v>1007</v>
      </c>
      <c r="O212" s="27" t="s">
        <v>1008</v>
      </c>
      <c r="P212" s="27" t="s">
        <v>41</v>
      </c>
      <c r="Q212" s="27" t="s">
        <v>1025</v>
      </c>
      <c r="R212" s="27" t="s">
        <v>46</v>
      </c>
      <c r="S212" s="30">
        <v>2006</v>
      </c>
      <c r="T212" s="27" t="s">
        <v>42</v>
      </c>
      <c r="U212" s="30">
        <v>172517.34</v>
      </c>
      <c r="V212" s="27" t="s">
        <v>1057</v>
      </c>
      <c r="W212" s="27" t="s">
        <v>1010</v>
      </c>
      <c r="X212" s="27" t="s">
        <v>41</v>
      </c>
      <c r="Y212" s="27" t="s">
        <v>1023</v>
      </c>
      <c r="Z212" s="27" t="s">
        <v>1011</v>
      </c>
      <c r="AA212" s="27"/>
      <c r="AB212" s="27"/>
      <c r="AC212" s="27"/>
      <c r="AD212" s="27" t="e">
        <f>_xlfn.XLOOKUP(M212,'Customer Data Vlookup'!$R:$R,'Customer Data Vlookup'!$S:$S,,0)</f>
        <v>#N/A</v>
      </c>
      <c r="AE212" s="27"/>
      <c r="AF212" s="27"/>
      <c r="AG212" s="27" t="s">
        <v>390</v>
      </c>
      <c r="AH212" s="27" t="s">
        <v>41</v>
      </c>
      <c r="AI212" s="27" t="s">
        <v>41</v>
      </c>
      <c r="AJ212" s="27" t="s">
        <v>41</v>
      </c>
      <c r="AK212" s="28">
        <v>45873</v>
      </c>
      <c r="AL212" s="28"/>
      <c r="AM212" s="27" t="s">
        <v>41</v>
      </c>
    </row>
    <row r="213" spans="1:39" outlineLevel="2" x14ac:dyDescent="0.35">
      <c r="A213" s="1" t="s">
        <v>1016</v>
      </c>
      <c r="B213" s="1" t="s">
        <v>1003</v>
      </c>
      <c r="C213" s="1" t="s">
        <v>1004</v>
      </c>
      <c r="D213" s="1" t="s">
        <v>1005</v>
      </c>
      <c r="E213" s="1" t="s">
        <v>9</v>
      </c>
      <c r="F213" s="1" t="s">
        <v>1014</v>
      </c>
      <c r="G213" s="9">
        <v>45873</v>
      </c>
      <c r="H213" s="27" t="s">
        <v>391</v>
      </c>
      <c r="I213" s="27" t="s">
        <v>5</v>
      </c>
      <c r="J213" s="28">
        <v>45873</v>
      </c>
      <c r="K213" s="28">
        <v>45873</v>
      </c>
      <c r="L213" s="27" t="s">
        <v>1023</v>
      </c>
      <c r="M213" s="29">
        <v>256779416067</v>
      </c>
      <c r="N213" s="27" t="s">
        <v>1007</v>
      </c>
      <c r="O213" s="27" t="s">
        <v>1008</v>
      </c>
      <c r="P213" s="27" t="s">
        <v>41</v>
      </c>
      <c r="Q213" s="27" t="s">
        <v>1025</v>
      </c>
      <c r="R213" s="27" t="s">
        <v>46</v>
      </c>
      <c r="S213" s="30">
        <v>2065</v>
      </c>
      <c r="T213" s="27" t="s">
        <v>42</v>
      </c>
      <c r="U213" s="30">
        <v>177591.38</v>
      </c>
      <c r="V213" s="27" t="s">
        <v>1057</v>
      </c>
      <c r="W213" s="27" t="s">
        <v>1010</v>
      </c>
      <c r="X213" s="27" t="s">
        <v>41</v>
      </c>
      <c r="Y213" s="27" t="s">
        <v>1023</v>
      </c>
      <c r="Z213" s="27" t="s">
        <v>1011</v>
      </c>
      <c r="AA213" s="27"/>
      <c r="AB213" s="27"/>
      <c r="AC213" s="27"/>
      <c r="AD213" s="27" t="e">
        <f>_xlfn.XLOOKUP(M213,'Customer Data Vlookup'!$R:$R,'Customer Data Vlookup'!$S:$S,,0)</f>
        <v>#N/A</v>
      </c>
      <c r="AE213" s="27"/>
      <c r="AF213" s="27"/>
      <c r="AG213" s="27" t="s">
        <v>392</v>
      </c>
      <c r="AH213" s="27" t="s">
        <v>41</v>
      </c>
      <c r="AI213" s="27" t="s">
        <v>41</v>
      </c>
      <c r="AJ213" s="27" t="s">
        <v>41</v>
      </c>
      <c r="AK213" s="28">
        <v>45873</v>
      </c>
      <c r="AL213" s="28"/>
      <c r="AM213" s="27" t="s">
        <v>41</v>
      </c>
    </row>
    <row r="214" spans="1:39" outlineLevel="2" x14ac:dyDescent="0.35">
      <c r="A214" s="1" t="s">
        <v>1016</v>
      </c>
      <c r="B214" s="1" t="s">
        <v>1003</v>
      </c>
      <c r="C214" s="1" t="s">
        <v>1004</v>
      </c>
      <c r="D214" s="1" t="s">
        <v>1005</v>
      </c>
      <c r="E214" s="1" t="s">
        <v>9</v>
      </c>
      <c r="F214" s="1" t="s">
        <v>1015</v>
      </c>
      <c r="G214" s="9">
        <v>45750</v>
      </c>
      <c r="H214" s="27" t="s">
        <v>393</v>
      </c>
      <c r="I214" s="27" t="s">
        <v>5</v>
      </c>
      <c r="J214" s="28">
        <v>45750</v>
      </c>
      <c r="K214" s="28">
        <v>45752</v>
      </c>
      <c r="L214" s="27" t="s">
        <v>1023</v>
      </c>
      <c r="M214" s="29">
        <v>256779410136</v>
      </c>
      <c r="N214" s="27" t="s">
        <v>1007</v>
      </c>
      <c r="O214" s="27" t="s">
        <v>1008</v>
      </c>
      <c r="P214" s="27" t="s">
        <v>41</v>
      </c>
      <c r="Q214" s="27" t="s">
        <v>1025</v>
      </c>
      <c r="R214" s="27" t="s">
        <v>46</v>
      </c>
      <c r="S214" s="30">
        <v>9.85</v>
      </c>
      <c r="T214" s="27" t="s">
        <v>42</v>
      </c>
      <c r="U214" s="30">
        <v>856.18</v>
      </c>
      <c r="V214" s="27" t="s">
        <v>1026</v>
      </c>
      <c r="W214" s="27" t="s">
        <v>41</v>
      </c>
      <c r="X214" s="27" t="s">
        <v>41</v>
      </c>
      <c r="Y214" s="27" t="s">
        <v>1023</v>
      </c>
      <c r="Z214" s="27" t="s">
        <v>1011</v>
      </c>
      <c r="AA214" s="27"/>
      <c r="AB214" s="27"/>
      <c r="AC214" s="27"/>
      <c r="AD214" s="27" t="e">
        <f>_xlfn.XLOOKUP(M214,'Customer Data Vlookup'!$R:$R,'Customer Data Vlookup'!$S:$S,,0)</f>
        <v>#N/A</v>
      </c>
      <c r="AE214" s="27"/>
      <c r="AF214" s="27"/>
      <c r="AG214" s="27" t="s">
        <v>394</v>
      </c>
      <c r="AH214" s="27" t="s">
        <v>41</v>
      </c>
      <c r="AI214" s="27" t="s">
        <v>41</v>
      </c>
      <c r="AJ214" s="27" t="s">
        <v>41</v>
      </c>
      <c r="AK214" s="28">
        <v>45750</v>
      </c>
      <c r="AL214" s="28"/>
      <c r="AM214" s="27" t="s">
        <v>41</v>
      </c>
    </row>
    <row r="215" spans="1:39" outlineLevel="2" x14ac:dyDescent="0.35">
      <c r="A215" s="1" t="s">
        <v>1016</v>
      </c>
      <c r="B215" s="1" t="s">
        <v>1003</v>
      </c>
      <c r="C215" s="1" t="s">
        <v>1004</v>
      </c>
      <c r="D215" s="1" t="s">
        <v>1005</v>
      </c>
      <c r="E215" s="1" t="s">
        <v>9</v>
      </c>
      <c r="F215" s="1" t="s">
        <v>1015</v>
      </c>
      <c r="G215" s="9">
        <v>45750</v>
      </c>
      <c r="H215" s="27" t="s">
        <v>395</v>
      </c>
      <c r="I215" s="27" t="s">
        <v>5</v>
      </c>
      <c r="J215" s="28">
        <v>45750</v>
      </c>
      <c r="K215" s="28">
        <v>45752</v>
      </c>
      <c r="L215" s="27" t="s">
        <v>1023</v>
      </c>
      <c r="M215" s="29">
        <v>256779410256</v>
      </c>
      <c r="N215" s="27" t="s">
        <v>1007</v>
      </c>
      <c r="O215" s="27" t="s">
        <v>1008</v>
      </c>
      <c r="P215" s="27" t="s">
        <v>41</v>
      </c>
      <c r="Q215" s="27" t="s">
        <v>1025</v>
      </c>
      <c r="R215" s="27" t="s">
        <v>46</v>
      </c>
      <c r="S215" s="30">
        <v>408.31</v>
      </c>
      <c r="T215" s="27" t="s">
        <v>42</v>
      </c>
      <c r="U215" s="30">
        <v>35491.050000000003</v>
      </c>
      <c r="V215" s="27" t="s">
        <v>1026</v>
      </c>
      <c r="W215" s="27" t="s">
        <v>41</v>
      </c>
      <c r="X215" s="27" t="s">
        <v>41</v>
      </c>
      <c r="Y215" s="27" t="s">
        <v>1023</v>
      </c>
      <c r="Z215" s="27" t="s">
        <v>1011</v>
      </c>
      <c r="AA215" s="27"/>
      <c r="AB215" s="27"/>
      <c r="AC215" s="27"/>
      <c r="AD215" s="27" t="e">
        <f>_xlfn.XLOOKUP(M215,'Customer Data Vlookup'!$R:$R,'Customer Data Vlookup'!$S:$S,,0)</f>
        <v>#N/A</v>
      </c>
      <c r="AE215" s="27"/>
      <c r="AF215" s="27"/>
      <c r="AG215" s="27" t="s">
        <v>362</v>
      </c>
      <c r="AH215" s="27" t="s">
        <v>41</v>
      </c>
      <c r="AI215" s="27" t="s">
        <v>41</v>
      </c>
      <c r="AJ215" s="27" t="s">
        <v>41</v>
      </c>
      <c r="AK215" s="28">
        <v>45750</v>
      </c>
      <c r="AL215" s="28"/>
      <c r="AM215" s="27" t="s">
        <v>41</v>
      </c>
    </row>
    <row r="216" spans="1:39" outlineLevel="2" x14ac:dyDescent="0.35">
      <c r="A216" s="1" t="s">
        <v>1016</v>
      </c>
      <c r="B216" s="1" t="s">
        <v>1003</v>
      </c>
      <c r="C216" s="1" t="s">
        <v>1004</v>
      </c>
      <c r="D216" s="1" t="s">
        <v>1005</v>
      </c>
      <c r="E216" s="1" t="s">
        <v>9</v>
      </c>
      <c r="F216" s="1" t="s">
        <v>1015</v>
      </c>
      <c r="G216" s="9">
        <v>45750</v>
      </c>
      <c r="H216" s="27" t="s">
        <v>396</v>
      </c>
      <c r="I216" s="27" t="s">
        <v>5</v>
      </c>
      <c r="J216" s="28">
        <v>45750</v>
      </c>
      <c r="K216" s="28">
        <v>45752</v>
      </c>
      <c r="L216" s="27" t="s">
        <v>1023</v>
      </c>
      <c r="M216" s="29">
        <v>256779410297</v>
      </c>
      <c r="N216" s="27" t="s">
        <v>1007</v>
      </c>
      <c r="O216" s="27" t="s">
        <v>1008</v>
      </c>
      <c r="P216" s="27" t="s">
        <v>41</v>
      </c>
      <c r="Q216" s="27" t="s">
        <v>1025</v>
      </c>
      <c r="R216" s="27" t="s">
        <v>46</v>
      </c>
      <c r="S216" s="30">
        <v>400.09</v>
      </c>
      <c r="T216" s="27" t="s">
        <v>42</v>
      </c>
      <c r="U216" s="30">
        <v>34776.550000000003</v>
      </c>
      <c r="V216" s="27" t="s">
        <v>1026</v>
      </c>
      <c r="W216" s="27" t="s">
        <v>41</v>
      </c>
      <c r="X216" s="27" t="s">
        <v>41</v>
      </c>
      <c r="Y216" s="27" t="s">
        <v>1023</v>
      </c>
      <c r="Z216" s="27" t="s">
        <v>1011</v>
      </c>
      <c r="AA216" s="27"/>
      <c r="AB216" s="27"/>
      <c r="AC216" s="27"/>
      <c r="AD216" s="27" t="e">
        <f>_xlfn.XLOOKUP(M216,'Customer Data Vlookup'!$R:$R,'Customer Data Vlookup'!$S:$S,,0)</f>
        <v>#N/A</v>
      </c>
      <c r="AE216" s="27"/>
      <c r="AF216" s="27"/>
      <c r="AG216" s="27" t="s">
        <v>366</v>
      </c>
      <c r="AH216" s="27" t="s">
        <v>41</v>
      </c>
      <c r="AI216" s="27" t="s">
        <v>41</v>
      </c>
      <c r="AJ216" s="27" t="s">
        <v>41</v>
      </c>
      <c r="AK216" s="28">
        <v>45750</v>
      </c>
      <c r="AL216" s="28"/>
      <c r="AM216" s="27" t="s">
        <v>41</v>
      </c>
    </row>
    <row r="217" spans="1:39" outlineLevel="2" x14ac:dyDescent="0.35">
      <c r="A217" s="1" t="s">
        <v>1002</v>
      </c>
      <c r="B217" s="1" t="s">
        <v>1003</v>
      </c>
      <c r="C217" s="1" t="s">
        <v>1004</v>
      </c>
      <c r="D217" s="1" t="s">
        <v>1005</v>
      </c>
      <c r="E217" s="1" t="s">
        <v>9</v>
      </c>
      <c r="F217" s="1" t="s">
        <v>1015</v>
      </c>
      <c r="G217" s="9">
        <v>45750</v>
      </c>
      <c r="H217" s="27" t="s">
        <v>397</v>
      </c>
      <c r="I217" s="27" t="s">
        <v>5</v>
      </c>
      <c r="J217" s="28">
        <v>45750</v>
      </c>
      <c r="K217" s="28">
        <v>45752</v>
      </c>
      <c r="L217" s="27" t="s">
        <v>1023</v>
      </c>
      <c r="M217" s="29">
        <v>256779410230</v>
      </c>
      <c r="N217" s="27" t="s">
        <v>1007</v>
      </c>
      <c r="O217" s="27" t="s">
        <v>1008</v>
      </c>
      <c r="P217" s="27" t="s">
        <v>41</v>
      </c>
      <c r="Q217" s="27" t="s">
        <v>1025</v>
      </c>
      <c r="R217" s="27" t="s">
        <v>46</v>
      </c>
      <c r="S217" s="30">
        <v>1166.5899999999999</v>
      </c>
      <c r="T217" s="27" t="s">
        <v>42</v>
      </c>
      <c r="U217" s="30">
        <v>101402.13</v>
      </c>
      <c r="V217" s="27" t="s">
        <v>1026</v>
      </c>
      <c r="W217" s="27" t="s">
        <v>41</v>
      </c>
      <c r="X217" s="27" t="s">
        <v>41</v>
      </c>
      <c r="Y217" s="27" t="s">
        <v>1023</v>
      </c>
      <c r="Z217" s="27" t="s">
        <v>1011</v>
      </c>
      <c r="AA217" s="27"/>
      <c r="AB217" s="27"/>
      <c r="AC217" s="27"/>
      <c r="AD217" s="27" t="e">
        <f>_xlfn.XLOOKUP(M217,'Customer Data Vlookup'!$R:$R,'Customer Data Vlookup'!$S:$S,,0)</f>
        <v>#N/A</v>
      </c>
      <c r="AE217" s="27"/>
      <c r="AF217" s="27"/>
      <c r="AG217" s="27" t="s">
        <v>361</v>
      </c>
      <c r="AH217" s="27" t="s">
        <v>41</v>
      </c>
      <c r="AI217" s="27" t="s">
        <v>41</v>
      </c>
      <c r="AJ217" s="27" t="s">
        <v>41</v>
      </c>
      <c r="AK217" s="28">
        <v>45750</v>
      </c>
      <c r="AL217" s="28">
        <v>45842</v>
      </c>
      <c r="AM217" s="27" t="s">
        <v>65</v>
      </c>
    </row>
    <row r="218" spans="1:39" outlineLevel="2" x14ac:dyDescent="0.35">
      <c r="A218" s="1" t="s">
        <v>1002</v>
      </c>
      <c r="B218" s="1" t="s">
        <v>1003</v>
      </c>
      <c r="C218" s="1" t="s">
        <v>1004</v>
      </c>
      <c r="D218" s="1" t="s">
        <v>1005</v>
      </c>
      <c r="E218" s="1" t="s">
        <v>9</v>
      </c>
      <c r="F218" s="1" t="s">
        <v>1015</v>
      </c>
      <c r="G218" s="9">
        <v>45750</v>
      </c>
      <c r="H218" s="27" t="s">
        <v>398</v>
      </c>
      <c r="I218" s="27" t="s">
        <v>5</v>
      </c>
      <c r="J218" s="28">
        <v>45750</v>
      </c>
      <c r="K218" s="28">
        <v>45752</v>
      </c>
      <c r="L218" s="27" t="s">
        <v>1023</v>
      </c>
      <c r="M218" s="29">
        <v>256779410271</v>
      </c>
      <c r="N218" s="27" t="s">
        <v>1007</v>
      </c>
      <c r="O218" s="27" t="s">
        <v>1008</v>
      </c>
      <c r="P218" s="27" t="s">
        <v>41</v>
      </c>
      <c r="Q218" s="27" t="s">
        <v>1025</v>
      </c>
      <c r="R218" s="27" t="s">
        <v>46</v>
      </c>
      <c r="S218" s="30">
        <v>1143.1199999999999</v>
      </c>
      <c r="T218" s="27" t="s">
        <v>42</v>
      </c>
      <c r="U218" s="30">
        <v>99362.07</v>
      </c>
      <c r="V218" s="27" t="s">
        <v>1026</v>
      </c>
      <c r="W218" s="27" t="s">
        <v>41</v>
      </c>
      <c r="X218" s="27" t="s">
        <v>41</v>
      </c>
      <c r="Y218" s="27" t="s">
        <v>1023</v>
      </c>
      <c r="Z218" s="27" t="s">
        <v>1011</v>
      </c>
      <c r="AA218" s="27"/>
      <c r="AB218" s="27"/>
      <c r="AC218" s="27"/>
      <c r="AD218" s="27" t="e">
        <f>_xlfn.XLOOKUP(M218,'Customer Data Vlookup'!$R:$R,'Customer Data Vlookup'!$S:$S,,0)</f>
        <v>#N/A</v>
      </c>
      <c r="AE218" s="27"/>
      <c r="AF218" s="27"/>
      <c r="AG218" s="27" t="s">
        <v>364</v>
      </c>
      <c r="AH218" s="27" t="s">
        <v>41</v>
      </c>
      <c r="AI218" s="27" t="s">
        <v>41</v>
      </c>
      <c r="AJ218" s="27" t="s">
        <v>41</v>
      </c>
      <c r="AK218" s="28">
        <v>45750</v>
      </c>
      <c r="AL218" s="28">
        <v>45842</v>
      </c>
      <c r="AM218" s="27" t="s">
        <v>66</v>
      </c>
    </row>
    <row r="219" spans="1:39" outlineLevel="2" x14ac:dyDescent="0.35">
      <c r="A219" s="1" t="s">
        <v>1002</v>
      </c>
      <c r="B219" s="1" t="s">
        <v>1003</v>
      </c>
      <c r="C219" s="1" t="s">
        <v>1004</v>
      </c>
      <c r="D219" s="1" t="s">
        <v>1005</v>
      </c>
      <c r="E219" s="1" t="s">
        <v>9</v>
      </c>
      <c r="F219" s="1" t="s">
        <v>1015</v>
      </c>
      <c r="G219" s="9">
        <v>45750</v>
      </c>
      <c r="H219" s="27" t="s">
        <v>399</v>
      </c>
      <c r="I219" s="27" t="s">
        <v>5</v>
      </c>
      <c r="J219" s="28">
        <v>45750</v>
      </c>
      <c r="K219" s="28">
        <v>45752</v>
      </c>
      <c r="L219" s="27" t="s">
        <v>1023</v>
      </c>
      <c r="M219" s="29">
        <v>256779410006</v>
      </c>
      <c r="N219" s="27" t="s">
        <v>1007</v>
      </c>
      <c r="O219" s="27" t="s">
        <v>1008</v>
      </c>
      <c r="P219" s="27" t="s">
        <v>41</v>
      </c>
      <c r="Q219" s="27" t="s">
        <v>1025</v>
      </c>
      <c r="R219" s="27" t="s">
        <v>46</v>
      </c>
      <c r="S219" s="30">
        <v>1700</v>
      </c>
      <c r="T219" s="27" t="s">
        <v>42</v>
      </c>
      <c r="U219" s="30">
        <v>147767.09</v>
      </c>
      <c r="V219" s="27" t="s">
        <v>1026</v>
      </c>
      <c r="W219" s="27" t="s">
        <v>41</v>
      </c>
      <c r="X219" s="27" t="s">
        <v>41</v>
      </c>
      <c r="Y219" s="27" t="s">
        <v>1023</v>
      </c>
      <c r="Z219" s="27" t="s">
        <v>1011</v>
      </c>
      <c r="AA219" s="27"/>
      <c r="AB219" s="27"/>
      <c r="AC219" s="27"/>
      <c r="AD219" s="27" t="e">
        <f>_xlfn.XLOOKUP(M219,'Customer Data Vlookup'!$R:$R,'Customer Data Vlookup'!$S:$S,,0)</f>
        <v>#N/A</v>
      </c>
      <c r="AE219" s="27"/>
      <c r="AF219" s="27"/>
      <c r="AG219" s="27" t="s">
        <v>119</v>
      </c>
      <c r="AH219" s="27" t="s">
        <v>41</v>
      </c>
      <c r="AI219" s="27" t="s">
        <v>41</v>
      </c>
      <c r="AJ219" s="27" t="s">
        <v>41</v>
      </c>
      <c r="AK219" s="28">
        <v>45750</v>
      </c>
      <c r="AL219" s="28">
        <v>45902</v>
      </c>
      <c r="AM219" s="27" t="s">
        <v>44</v>
      </c>
    </row>
    <row r="220" spans="1:39" outlineLevel="2" x14ac:dyDescent="0.35">
      <c r="A220" s="1" t="s">
        <v>1002</v>
      </c>
      <c r="B220" s="1" t="s">
        <v>1003</v>
      </c>
      <c r="C220" s="1" t="s">
        <v>1004</v>
      </c>
      <c r="D220" s="1" t="s">
        <v>1005</v>
      </c>
      <c r="E220" s="1" t="s">
        <v>9</v>
      </c>
      <c r="F220" s="1" t="s">
        <v>1015</v>
      </c>
      <c r="G220" s="9">
        <v>45750</v>
      </c>
      <c r="H220" s="27" t="s">
        <v>400</v>
      </c>
      <c r="I220" s="27" t="s">
        <v>5</v>
      </c>
      <c r="J220" s="28">
        <v>45750</v>
      </c>
      <c r="K220" s="28">
        <v>45752</v>
      </c>
      <c r="L220" s="27" t="s">
        <v>1023</v>
      </c>
      <c r="M220" s="29">
        <v>256779410012</v>
      </c>
      <c r="N220" s="27" t="s">
        <v>1007</v>
      </c>
      <c r="O220" s="27" t="s">
        <v>1008</v>
      </c>
      <c r="P220" s="27" t="s">
        <v>41</v>
      </c>
      <c r="Q220" s="27" t="s">
        <v>1025</v>
      </c>
      <c r="R220" s="27" t="s">
        <v>46</v>
      </c>
      <c r="S220" s="30">
        <v>1750</v>
      </c>
      <c r="T220" s="27" t="s">
        <v>42</v>
      </c>
      <c r="U220" s="30">
        <v>152113.19</v>
      </c>
      <c r="V220" s="27" t="s">
        <v>1026</v>
      </c>
      <c r="W220" s="27" t="s">
        <v>41</v>
      </c>
      <c r="X220" s="27" t="s">
        <v>41</v>
      </c>
      <c r="Y220" s="27" t="s">
        <v>1023</v>
      </c>
      <c r="Z220" s="27" t="s">
        <v>1011</v>
      </c>
      <c r="AA220" s="27"/>
      <c r="AB220" s="27"/>
      <c r="AC220" s="27"/>
      <c r="AD220" s="27" t="e">
        <f>_xlfn.XLOOKUP(M220,'Customer Data Vlookup'!$R:$R,'Customer Data Vlookup'!$S:$S,,0)</f>
        <v>#N/A</v>
      </c>
      <c r="AE220" s="27"/>
      <c r="AF220" s="27"/>
      <c r="AG220" s="27" t="s">
        <v>119</v>
      </c>
      <c r="AH220" s="27" t="s">
        <v>41</v>
      </c>
      <c r="AI220" s="27" t="s">
        <v>41</v>
      </c>
      <c r="AJ220" s="27" t="s">
        <v>41</v>
      </c>
      <c r="AK220" s="28">
        <v>45750</v>
      </c>
      <c r="AL220" s="28">
        <v>45902</v>
      </c>
      <c r="AM220" s="27" t="s">
        <v>44</v>
      </c>
    </row>
    <row r="221" spans="1:39" outlineLevel="2" x14ac:dyDescent="0.35">
      <c r="A221" s="1" t="s">
        <v>1002</v>
      </c>
      <c r="B221" s="1" t="s">
        <v>1003</v>
      </c>
      <c r="C221" s="1" t="s">
        <v>1004</v>
      </c>
      <c r="D221" s="1" t="s">
        <v>1005</v>
      </c>
      <c r="E221" s="1" t="s">
        <v>9</v>
      </c>
      <c r="F221" s="1" t="s">
        <v>1015</v>
      </c>
      <c r="G221" s="9">
        <v>45750</v>
      </c>
      <c r="H221" s="27" t="s">
        <v>401</v>
      </c>
      <c r="I221" s="27" t="s">
        <v>5</v>
      </c>
      <c r="J221" s="28">
        <v>45750</v>
      </c>
      <c r="K221" s="28">
        <v>45752</v>
      </c>
      <c r="L221" s="27" t="s">
        <v>1023</v>
      </c>
      <c r="M221" s="29">
        <v>256779410015</v>
      </c>
      <c r="N221" s="27" t="s">
        <v>1007</v>
      </c>
      <c r="O221" s="27" t="s">
        <v>1008</v>
      </c>
      <c r="P221" s="27" t="s">
        <v>41</v>
      </c>
      <c r="Q221" s="27" t="s">
        <v>1025</v>
      </c>
      <c r="R221" s="27" t="s">
        <v>46</v>
      </c>
      <c r="S221" s="30">
        <v>1700</v>
      </c>
      <c r="T221" s="27" t="s">
        <v>42</v>
      </c>
      <c r="U221" s="30">
        <v>147767.09</v>
      </c>
      <c r="V221" s="27" t="s">
        <v>1026</v>
      </c>
      <c r="W221" s="27" t="s">
        <v>41</v>
      </c>
      <c r="X221" s="27" t="s">
        <v>41</v>
      </c>
      <c r="Y221" s="27" t="s">
        <v>1023</v>
      </c>
      <c r="Z221" s="27" t="s">
        <v>1011</v>
      </c>
      <c r="AA221" s="27"/>
      <c r="AB221" s="27"/>
      <c r="AC221" s="27"/>
      <c r="AD221" s="27" t="e">
        <f>_xlfn.XLOOKUP(M221,'Customer Data Vlookup'!$R:$R,'Customer Data Vlookup'!$S:$S,,0)</f>
        <v>#N/A</v>
      </c>
      <c r="AE221" s="27"/>
      <c r="AF221" s="27"/>
      <c r="AG221" s="27" t="s">
        <v>119</v>
      </c>
      <c r="AH221" s="27" t="s">
        <v>41</v>
      </c>
      <c r="AI221" s="27" t="s">
        <v>41</v>
      </c>
      <c r="AJ221" s="27" t="s">
        <v>41</v>
      </c>
      <c r="AK221" s="28">
        <v>45750</v>
      </c>
      <c r="AL221" s="28">
        <v>45902</v>
      </c>
      <c r="AM221" s="27" t="s">
        <v>44</v>
      </c>
    </row>
    <row r="222" spans="1:39" outlineLevel="2" x14ac:dyDescent="0.35">
      <c r="A222" s="1" t="s">
        <v>1002</v>
      </c>
      <c r="B222" s="1" t="s">
        <v>1003</v>
      </c>
      <c r="C222" s="1" t="s">
        <v>1004</v>
      </c>
      <c r="D222" s="1" t="s">
        <v>1005</v>
      </c>
      <c r="E222" s="1" t="s">
        <v>9</v>
      </c>
      <c r="F222" s="1" t="s">
        <v>1015</v>
      </c>
      <c r="G222" s="9">
        <v>45750</v>
      </c>
      <c r="H222" s="27" t="s">
        <v>402</v>
      </c>
      <c r="I222" s="27" t="s">
        <v>5</v>
      </c>
      <c r="J222" s="28">
        <v>45750</v>
      </c>
      <c r="K222" s="28">
        <v>45752</v>
      </c>
      <c r="L222" s="27" t="s">
        <v>1023</v>
      </c>
      <c r="M222" s="29">
        <v>256779410224</v>
      </c>
      <c r="N222" s="27" t="s">
        <v>1007</v>
      </c>
      <c r="O222" s="27" t="s">
        <v>1008</v>
      </c>
      <c r="P222" s="27" t="s">
        <v>41</v>
      </c>
      <c r="Q222" s="27" t="s">
        <v>1025</v>
      </c>
      <c r="R222" s="27" t="s">
        <v>46</v>
      </c>
      <c r="S222" s="30">
        <v>1750</v>
      </c>
      <c r="T222" s="27" t="s">
        <v>42</v>
      </c>
      <c r="U222" s="30">
        <v>152113.19</v>
      </c>
      <c r="V222" s="27" t="s">
        <v>1026</v>
      </c>
      <c r="W222" s="27" t="s">
        <v>41</v>
      </c>
      <c r="X222" s="27" t="s">
        <v>41</v>
      </c>
      <c r="Y222" s="27" t="s">
        <v>1023</v>
      </c>
      <c r="Z222" s="27" t="s">
        <v>1011</v>
      </c>
      <c r="AA222" s="27"/>
      <c r="AB222" s="27"/>
      <c r="AC222" s="27"/>
      <c r="AD222" s="27" t="e">
        <f>_xlfn.XLOOKUP(M222,'Customer Data Vlookup'!$R:$R,'Customer Data Vlookup'!$S:$S,,0)</f>
        <v>#N/A</v>
      </c>
      <c r="AE222" s="27"/>
      <c r="AF222" s="27"/>
      <c r="AG222" s="27" t="s">
        <v>119</v>
      </c>
      <c r="AH222" s="27" t="s">
        <v>41</v>
      </c>
      <c r="AI222" s="27" t="s">
        <v>41</v>
      </c>
      <c r="AJ222" s="27" t="s">
        <v>41</v>
      </c>
      <c r="AK222" s="28">
        <v>45750</v>
      </c>
      <c r="AL222" s="28">
        <v>45902</v>
      </c>
      <c r="AM222" s="27" t="s">
        <v>44</v>
      </c>
    </row>
    <row r="223" spans="1:39" outlineLevel="2" x14ac:dyDescent="0.35">
      <c r="A223" s="1" t="s">
        <v>1016</v>
      </c>
      <c r="B223" s="1" t="s">
        <v>1003</v>
      </c>
      <c r="C223" s="1" t="s">
        <v>1004</v>
      </c>
      <c r="D223" s="1" t="s">
        <v>1005</v>
      </c>
      <c r="E223" s="1" t="s">
        <v>9</v>
      </c>
      <c r="F223" s="1" t="s">
        <v>1017</v>
      </c>
      <c r="G223" s="9">
        <v>45950</v>
      </c>
      <c r="H223" s="27" t="s">
        <v>1058</v>
      </c>
      <c r="I223" s="27" t="s">
        <v>5</v>
      </c>
      <c r="J223" s="28">
        <v>45950</v>
      </c>
      <c r="K223" s="28">
        <v>45951</v>
      </c>
      <c r="L223" s="27" t="s">
        <v>1023</v>
      </c>
      <c r="M223" s="29">
        <v>256779418621</v>
      </c>
      <c r="N223" s="27" t="s">
        <v>1007</v>
      </c>
      <c r="O223" s="27" t="s">
        <v>1008</v>
      </c>
      <c r="P223" s="27" t="s">
        <v>41</v>
      </c>
      <c r="Q223" s="27" t="s">
        <v>1025</v>
      </c>
      <c r="R223" s="27" t="s">
        <v>46</v>
      </c>
      <c r="S223" s="30">
        <v>850</v>
      </c>
      <c r="T223" s="27" t="s">
        <v>42</v>
      </c>
      <c r="U223" s="30">
        <v>74962.149999999994</v>
      </c>
      <c r="V223" s="27" t="s">
        <v>1026</v>
      </c>
      <c r="W223" s="27" t="s">
        <v>1010</v>
      </c>
      <c r="X223" s="27" t="s">
        <v>41</v>
      </c>
      <c r="Y223" s="27" t="s">
        <v>1059</v>
      </c>
      <c r="Z223" s="27" t="s">
        <v>1011</v>
      </c>
      <c r="AA223" s="27"/>
      <c r="AB223" s="27"/>
      <c r="AC223" s="27"/>
      <c r="AD223" s="27" t="e">
        <f>_xlfn.XLOOKUP(M223,'Customer Data Vlookup'!$R:$R,'Customer Data Vlookup'!$S:$S,,0)</f>
        <v>#N/A</v>
      </c>
      <c r="AE223" s="27"/>
      <c r="AF223" s="27"/>
      <c r="AG223" s="27" t="s">
        <v>403</v>
      </c>
      <c r="AH223" s="27" t="s">
        <v>41</v>
      </c>
      <c r="AI223" s="27" t="s">
        <v>41</v>
      </c>
      <c r="AJ223" s="27" t="s">
        <v>41</v>
      </c>
      <c r="AK223" s="28">
        <v>45950</v>
      </c>
      <c r="AL223" s="28"/>
      <c r="AM223" s="27" t="s">
        <v>41</v>
      </c>
    </row>
    <row r="224" spans="1:39" outlineLevel="2" x14ac:dyDescent="0.35">
      <c r="A224" s="1" t="s">
        <v>1016</v>
      </c>
      <c r="B224" s="1" t="s">
        <v>1003</v>
      </c>
      <c r="C224" s="1" t="s">
        <v>1004</v>
      </c>
      <c r="D224" s="1" t="s">
        <v>1005</v>
      </c>
      <c r="E224" s="1" t="s">
        <v>9</v>
      </c>
      <c r="F224" s="1" t="s">
        <v>1017</v>
      </c>
      <c r="G224" s="9">
        <v>45950</v>
      </c>
      <c r="H224" s="27" t="s">
        <v>404</v>
      </c>
      <c r="I224" s="27" t="s">
        <v>5</v>
      </c>
      <c r="J224" s="28">
        <v>45950</v>
      </c>
      <c r="K224" s="28">
        <v>45951</v>
      </c>
      <c r="L224" s="27" t="s">
        <v>1023</v>
      </c>
      <c r="M224" s="29">
        <v>256779418633</v>
      </c>
      <c r="N224" s="27" t="s">
        <v>1007</v>
      </c>
      <c r="O224" s="27" t="s">
        <v>1008</v>
      </c>
      <c r="P224" s="27" t="s">
        <v>41</v>
      </c>
      <c r="Q224" s="27" t="s">
        <v>1025</v>
      </c>
      <c r="R224" s="27" t="s">
        <v>46</v>
      </c>
      <c r="S224" s="30">
        <v>35</v>
      </c>
      <c r="T224" s="27" t="s">
        <v>42</v>
      </c>
      <c r="U224" s="30">
        <v>3086.68</v>
      </c>
      <c r="V224" s="27" t="s">
        <v>1026</v>
      </c>
      <c r="W224" s="27" t="s">
        <v>1010</v>
      </c>
      <c r="X224" s="27" t="s">
        <v>41</v>
      </c>
      <c r="Y224" s="27" t="s">
        <v>1060</v>
      </c>
      <c r="Z224" s="27" t="s">
        <v>1011</v>
      </c>
      <c r="AA224" s="27"/>
      <c r="AB224" s="27"/>
      <c r="AC224" s="27"/>
      <c r="AD224" s="27" t="e">
        <f>_xlfn.XLOOKUP(M224,'Customer Data Vlookup'!$R:$R,'Customer Data Vlookup'!$S:$S,,0)</f>
        <v>#N/A</v>
      </c>
      <c r="AE224" s="27"/>
      <c r="AF224" s="27"/>
      <c r="AG224" s="27" t="s">
        <v>405</v>
      </c>
      <c r="AH224" s="27" t="s">
        <v>41</v>
      </c>
      <c r="AI224" s="27" t="s">
        <v>41</v>
      </c>
      <c r="AJ224" s="27" t="s">
        <v>41</v>
      </c>
      <c r="AK224" s="28">
        <v>45950</v>
      </c>
      <c r="AL224" s="28"/>
      <c r="AM224" s="27" t="s">
        <v>41</v>
      </c>
    </row>
    <row r="225" spans="1:39" outlineLevel="2" x14ac:dyDescent="0.35">
      <c r="A225" s="1" t="s">
        <v>1016</v>
      </c>
      <c r="B225" s="1" t="s">
        <v>1003</v>
      </c>
      <c r="C225" s="1" t="s">
        <v>1004</v>
      </c>
      <c r="D225" s="1" t="s">
        <v>1005</v>
      </c>
      <c r="E225" s="1" t="s">
        <v>9</v>
      </c>
      <c r="F225" s="1" t="s">
        <v>1017</v>
      </c>
      <c r="G225" s="9">
        <v>45950</v>
      </c>
      <c r="H225" s="27" t="s">
        <v>406</v>
      </c>
      <c r="I225" s="27" t="s">
        <v>5</v>
      </c>
      <c r="J225" s="28">
        <v>45950</v>
      </c>
      <c r="K225" s="28">
        <v>45951</v>
      </c>
      <c r="L225" s="27" t="s">
        <v>1023</v>
      </c>
      <c r="M225" s="29">
        <v>256779418663</v>
      </c>
      <c r="N225" s="27" t="s">
        <v>1007</v>
      </c>
      <c r="O225" s="27" t="s">
        <v>1008</v>
      </c>
      <c r="P225" s="27" t="s">
        <v>41</v>
      </c>
      <c r="Q225" s="27" t="s">
        <v>1025</v>
      </c>
      <c r="R225" s="27" t="s">
        <v>46</v>
      </c>
      <c r="S225" s="30">
        <v>293.89</v>
      </c>
      <c r="T225" s="27" t="s">
        <v>42</v>
      </c>
      <c r="U225" s="30">
        <v>25918.39</v>
      </c>
      <c r="V225" s="27" t="s">
        <v>1026</v>
      </c>
      <c r="W225" s="27" t="s">
        <v>1010</v>
      </c>
      <c r="X225" s="27" t="s">
        <v>41</v>
      </c>
      <c r="Y225" s="27" t="s">
        <v>1061</v>
      </c>
      <c r="Z225" s="27" t="s">
        <v>1011</v>
      </c>
      <c r="AA225" s="27"/>
      <c r="AB225" s="27"/>
      <c r="AC225" s="27"/>
      <c r="AD225" s="27" t="e">
        <f>_xlfn.XLOOKUP(M225,'Customer Data Vlookup'!$R:$R,'Customer Data Vlookup'!$S:$S,,0)</f>
        <v>#N/A</v>
      </c>
      <c r="AE225" s="27"/>
      <c r="AF225" s="27"/>
      <c r="AG225" s="27" t="s">
        <v>407</v>
      </c>
      <c r="AH225" s="27" t="s">
        <v>41</v>
      </c>
      <c r="AI225" s="27" t="s">
        <v>41</v>
      </c>
      <c r="AJ225" s="27" t="s">
        <v>41</v>
      </c>
      <c r="AK225" s="28">
        <v>45950</v>
      </c>
      <c r="AL225" s="28"/>
      <c r="AM225" s="27" t="s">
        <v>41</v>
      </c>
    </row>
    <row r="226" spans="1:39" outlineLevel="2" x14ac:dyDescent="0.35">
      <c r="A226" s="1" t="s">
        <v>1016</v>
      </c>
      <c r="B226" s="1" t="s">
        <v>1003</v>
      </c>
      <c r="C226" s="1" t="s">
        <v>1004</v>
      </c>
      <c r="D226" s="1" t="s">
        <v>1005</v>
      </c>
      <c r="E226" s="1" t="s">
        <v>9</v>
      </c>
      <c r="F226" s="1" t="s">
        <v>1017</v>
      </c>
      <c r="G226" s="9">
        <v>45950</v>
      </c>
      <c r="H226" s="27" t="s">
        <v>408</v>
      </c>
      <c r="I226" s="27" t="s">
        <v>5</v>
      </c>
      <c r="J226" s="28">
        <v>45950</v>
      </c>
      <c r="K226" s="28">
        <v>45951</v>
      </c>
      <c r="L226" s="27" t="s">
        <v>1023</v>
      </c>
      <c r="M226" s="29">
        <v>256779418703</v>
      </c>
      <c r="N226" s="27" t="s">
        <v>1007</v>
      </c>
      <c r="O226" s="27" t="s">
        <v>1008</v>
      </c>
      <c r="P226" s="27" t="s">
        <v>41</v>
      </c>
      <c r="Q226" s="27" t="s">
        <v>1025</v>
      </c>
      <c r="R226" s="27" t="s">
        <v>46</v>
      </c>
      <c r="S226" s="30">
        <v>9.83</v>
      </c>
      <c r="T226" s="27" t="s">
        <v>42</v>
      </c>
      <c r="U226" s="30">
        <v>866.92</v>
      </c>
      <c r="V226" s="27" t="s">
        <v>1026</v>
      </c>
      <c r="W226" s="27" t="s">
        <v>1010</v>
      </c>
      <c r="X226" s="27" t="s">
        <v>41</v>
      </c>
      <c r="Y226" s="27" t="s">
        <v>1062</v>
      </c>
      <c r="Z226" s="27" t="s">
        <v>1011</v>
      </c>
      <c r="AA226" s="27"/>
      <c r="AB226" s="27"/>
      <c r="AC226" s="27"/>
      <c r="AD226" s="27" t="e">
        <f>_xlfn.XLOOKUP(M226,'Customer Data Vlookup'!$R:$R,'Customer Data Vlookup'!$S:$S,,0)</f>
        <v>#N/A</v>
      </c>
      <c r="AE226" s="27"/>
      <c r="AF226" s="27"/>
      <c r="AG226" s="27" t="s">
        <v>409</v>
      </c>
      <c r="AH226" s="27" t="s">
        <v>41</v>
      </c>
      <c r="AI226" s="27" t="s">
        <v>41</v>
      </c>
      <c r="AJ226" s="27" t="s">
        <v>41</v>
      </c>
      <c r="AK226" s="28">
        <v>45950</v>
      </c>
      <c r="AL226" s="28"/>
      <c r="AM226" s="27" t="s">
        <v>41</v>
      </c>
    </row>
    <row r="227" spans="1:39" outlineLevel="2" x14ac:dyDescent="0.35">
      <c r="A227" s="1" t="s">
        <v>1016</v>
      </c>
      <c r="B227" s="1" t="s">
        <v>1003</v>
      </c>
      <c r="C227" s="1" t="s">
        <v>1004</v>
      </c>
      <c r="D227" s="1" t="s">
        <v>1005</v>
      </c>
      <c r="E227" s="1" t="s">
        <v>9</v>
      </c>
      <c r="F227" s="1" t="s">
        <v>1015</v>
      </c>
      <c r="G227" s="9">
        <v>45768</v>
      </c>
      <c r="H227" s="27" t="s">
        <v>410</v>
      </c>
      <c r="I227" s="27" t="s">
        <v>5</v>
      </c>
      <c r="J227" s="28">
        <v>45768</v>
      </c>
      <c r="K227" s="28">
        <v>45769</v>
      </c>
      <c r="L227" s="27" t="s">
        <v>1023</v>
      </c>
      <c r="M227" s="29">
        <v>256779412142</v>
      </c>
      <c r="N227" s="27" t="s">
        <v>1007</v>
      </c>
      <c r="O227" s="27" t="s">
        <v>1008</v>
      </c>
      <c r="P227" s="27" t="s">
        <v>41</v>
      </c>
      <c r="Q227" s="27" t="s">
        <v>1025</v>
      </c>
      <c r="R227" s="27" t="s">
        <v>46</v>
      </c>
      <c r="S227" s="30">
        <v>1165.3699999999999</v>
      </c>
      <c r="T227" s="27" t="s">
        <v>42</v>
      </c>
      <c r="U227" s="30">
        <v>100000.4</v>
      </c>
      <c r="V227" s="27" t="s">
        <v>1026</v>
      </c>
      <c r="W227" s="27" t="s">
        <v>1010</v>
      </c>
      <c r="X227" s="27" t="s">
        <v>41</v>
      </c>
      <c r="Y227" s="27" t="s">
        <v>1023</v>
      </c>
      <c r="Z227" s="27" t="s">
        <v>1011</v>
      </c>
      <c r="AA227" s="27"/>
      <c r="AB227" s="27"/>
      <c r="AC227" s="27"/>
      <c r="AD227" s="27" t="e">
        <f>_xlfn.XLOOKUP(M227,'Customer Data Vlookup'!$R:$R,'Customer Data Vlookup'!$S:$S,,0)</f>
        <v>#N/A</v>
      </c>
      <c r="AE227" s="27"/>
      <c r="AF227" s="27"/>
      <c r="AG227" s="27" t="s">
        <v>411</v>
      </c>
      <c r="AH227" s="27" t="s">
        <v>41</v>
      </c>
      <c r="AI227" s="27" t="s">
        <v>41</v>
      </c>
      <c r="AJ227" s="27" t="s">
        <v>41</v>
      </c>
      <c r="AK227" s="28">
        <v>45768</v>
      </c>
      <c r="AL227" s="28"/>
      <c r="AM227" s="27" t="s">
        <v>41</v>
      </c>
    </row>
    <row r="228" spans="1:39" outlineLevel="2" x14ac:dyDescent="0.35">
      <c r="A228" s="1" t="s">
        <v>1016</v>
      </c>
      <c r="B228" s="1" t="s">
        <v>1003</v>
      </c>
      <c r="C228" s="1" t="s">
        <v>1004</v>
      </c>
      <c r="D228" s="1" t="s">
        <v>1005</v>
      </c>
      <c r="E228" s="1" t="s">
        <v>9</v>
      </c>
      <c r="F228" s="1" t="s">
        <v>1015</v>
      </c>
      <c r="G228" s="9">
        <v>45768</v>
      </c>
      <c r="H228" s="27" t="s">
        <v>412</v>
      </c>
      <c r="I228" s="27" t="s">
        <v>5</v>
      </c>
      <c r="J228" s="28">
        <v>45768</v>
      </c>
      <c r="K228" s="28">
        <v>45769</v>
      </c>
      <c r="L228" s="27" t="s">
        <v>1023</v>
      </c>
      <c r="M228" s="29">
        <v>256779412177</v>
      </c>
      <c r="N228" s="27" t="s">
        <v>1007</v>
      </c>
      <c r="O228" s="27" t="s">
        <v>1008</v>
      </c>
      <c r="P228" s="27" t="s">
        <v>41</v>
      </c>
      <c r="Q228" s="27" t="s">
        <v>1025</v>
      </c>
      <c r="R228" s="27" t="s">
        <v>46</v>
      </c>
      <c r="S228" s="30">
        <v>407.88</v>
      </c>
      <c r="T228" s="27" t="s">
        <v>42</v>
      </c>
      <c r="U228" s="30">
        <v>35000.18</v>
      </c>
      <c r="V228" s="27" t="s">
        <v>1026</v>
      </c>
      <c r="W228" s="27" t="s">
        <v>1010</v>
      </c>
      <c r="X228" s="27" t="s">
        <v>41</v>
      </c>
      <c r="Y228" s="27" t="s">
        <v>1023</v>
      </c>
      <c r="Z228" s="27" t="s">
        <v>1011</v>
      </c>
      <c r="AA228" s="27"/>
      <c r="AB228" s="27"/>
      <c r="AC228" s="27"/>
      <c r="AD228" s="27" t="e">
        <f>_xlfn.XLOOKUP(M228,'Customer Data Vlookup'!$R:$R,'Customer Data Vlookup'!$S:$S,,0)</f>
        <v>#N/A</v>
      </c>
      <c r="AE228" s="27"/>
      <c r="AF228" s="27"/>
      <c r="AG228" s="27" t="s">
        <v>411</v>
      </c>
      <c r="AH228" s="27" t="s">
        <v>41</v>
      </c>
      <c r="AI228" s="27" t="s">
        <v>41</v>
      </c>
      <c r="AJ228" s="27" t="s">
        <v>41</v>
      </c>
      <c r="AK228" s="28">
        <v>45768</v>
      </c>
      <c r="AL228" s="28"/>
      <c r="AM228" s="27" t="s">
        <v>41</v>
      </c>
    </row>
    <row r="229" spans="1:39" outlineLevel="2" x14ac:dyDescent="0.35">
      <c r="A229" s="1" t="s">
        <v>1016</v>
      </c>
      <c r="B229" s="1" t="s">
        <v>1003</v>
      </c>
      <c r="C229" s="1" t="s">
        <v>1004</v>
      </c>
      <c r="D229" s="1" t="s">
        <v>1005</v>
      </c>
      <c r="E229" s="1" t="s">
        <v>9</v>
      </c>
      <c r="F229" s="1" t="s">
        <v>1019</v>
      </c>
      <c r="G229" s="9">
        <v>45862</v>
      </c>
      <c r="H229" s="27" t="s">
        <v>413</v>
      </c>
      <c r="I229" s="27" t="s">
        <v>4</v>
      </c>
      <c r="J229" s="28">
        <v>45862</v>
      </c>
      <c r="K229" s="28">
        <v>45862</v>
      </c>
      <c r="L229" s="27" t="s">
        <v>1023</v>
      </c>
      <c r="M229" s="29">
        <v>256779421459</v>
      </c>
      <c r="N229" s="27" t="s">
        <v>1007</v>
      </c>
      <c r="O229" s="27" t="s">
        <v>1008</v>
      </c>
      <c r="P229" s="27" t="s">
        <v>41</v>
      </c>
      <c r="Q229" s="27" t="s">
        <v>1022</v>
      </c>
      <c r="R229" s="27" t="s">
        <v>46</v>
      </c>
      <c r="S229" s="30">
        <v>-1700</v>
      </c>
      <c r="T229" s="27" t="s">
        <v>42</v>
      </c>
      <c r="U229" s="30">
        <v>-146201.14000000001</v>
      </c>
      <c r="V229" s="27" t="s">
        <v>1026</v>
      </c>
      <c r="W229" s="27" t="s">
        <v>1010</v>
      </c>
      <c r="X229" s="27" t="s">
        <v>41</v>
      </c>
      <c r="Y229" s="27" t="s">
        <v>1023</v>
      </c>
      <c r="Z229" s="27" t="s">
        <v>1011</v>
      </c>
      <c r="AA229" s="27"/>
      <c r="AB229" s="27"/>
      <c r="AC229" s="27"/>
      <c r="AD229" s="27" t="e">
        <f>_xlfn.XLOOKUP(M229,'Customer Data Vlookup'!$R:$R,'Customer Data Vlookup'!$S:$S,,0)</f>
        <v>#N/A</v>
      </c>
      <c r="AE229" s="27"/>
      <c r="AF229" s="27"/>
      <c r="AG229" s="27" t="s">
        <v>414</v>
      </c>
      <c r="AH229" s="27" t="s">
        <v>41</v>
      </c>
      <c r="AI229" s="27" t="s">
        <v>41</v>
      </c>
      <c r="AJ229" s="27" t="s">
        <v>41</v>
      </c>
      <c r="AK229" s="28">
        <v>45862</v>
      </c>
      <c r="AL229" s="28"/>
      <c r="AM229" s="27" t="s">
        <v>41</v>
      </c>
    </row>
    <row r="230" spans="1:39" outlineLevel="2" x14ac:dyDescent="0.35">
      <c r="A230" s="1" t="s">
        <v>1016</v>
      </c>
      <c r="B230" s="1" t="s">
        <v>1003</v>
      </c>
      <c r="C230" s="1" t="s">
        <v>1004</v>
      </c>
      <c r="D230" s="1" t="s">
        <v>1005</v>
      </c>
      <c r="E230" s="1" t="s">
        <v>9</v>
      </c>
      <c r="F230" s="1" t="s">
        <v>1019</v>
      </c>
      <c r="G230" s="9">
        <v>45862</v>
      </c>
      <c r="H230" s="27" t="s">
        <v>415</v>
      </c>
      <c r="I230" s="27" t="s">
        <v>4</v>
      </c>
      <c r="J230" s="28">
        <v>45862</v>
      </c>
      <c r="K230" s="28">
        <v>45862</v>
      </c>
      <c r="L230" s="27" t="s">
        <v>1023</v>
      </c>
      <c r="M230" s="29">
        <v>256779421460</v>
      </c>
      <c r="N230" s="27" t="s">
        <v>1007</v>
      </c>
      <c r="O230" s="27" t="s">
        <v>1008</v>
      </c>
      <c r="P230" s="27" t="s">
        <v>41</v>
      </c>
      <c r="Q230" s="27" t="s">
        <v>1022</v>
      </c>
      <c r="R230" s="27" t="s">
        <v>46</v>
      </c>
      <c r="S230" s="30">
        <v>-1750</v>
      </c>
      <c r="T230" s="27" t="s">
        <v>42</v>
      </c>
      <c r="U230" s="30">
        <v>-150501.17000000001</v>
      </c>
      <c r="V230" s="27" t="s">
        <v>1026</v>
      </c>
      <c r="W230" s="27" t="s">
        <v>1010</v>
      </c>
      <c r="X230" s="27" t="s">
        <v>41</v>
      </c>
      <c r="Y230" s="27" t="s">
        <v>1023</v>
      </c>
      <c r="Z230" s="27" t="s">
        <v>1011</v>
      </c>
      <c r="AA230" s="27"/>
      <c r="AB230" s="27"/>
      <c r="AC230" s="27"/>
      <c r="AD230" s="27" t="e">
        <f>_xlfn.XLOOKUP(M230,'Customer Data Vlookup'!$R:$R,'Customer Data Vlookup'!$S:$S,,0)</f>
        <v>#N/A</v>
      </c>
      <c r="AE230" s="27"/>
      <c r="AF230" s="27"/>
      <c r="AG230" s="27" t="s">
        <v>416</v>
      </c>
      <c r="AH230" s="27" t="s">
        <v>41</v>
      </c>
      <c r="AI230" s="27" t="s">
        <v>41</v>
      </c>
      <c r="AJ230" s="27" t="s">
        <v>41</v>
      </c>
      <c r="AK230" s="28">
        <v>45862</v>
      </c>
      <c r="AL230" s="28"/>
      <c r="AM230" s="27" t="s">
        <v>41</v>
      </c>
    </row>
    <row r="231" spans="1:39" outlineLevel="2" x14ac:dyDescent="0.35">
      <c r="A231" s="1" t="s">
        <v>1016</v>
      </c>
      <c r="B231" s="1" t="s">
        <v>1003</v>
      </c>
      <c r="C231" s="1" t="s">
        <v>1004</v>
      </c>
      <c r="D231" s="1" t="s">
        <v>1005</v>
      </c>
      <c r="E231" s="1" t="s">
        <v>9</v>
      </c>
      <c r="F231" s="1" t="s">
        <v>1019</v>
      </c>
      <c r="G231" s="9">
        <v>45862</v>
      </c>
      <c r="H231" s="27" t="s">
        <v>417</v>
      </c>
      <c r="I231" s="27" t="s">
        <v>4</v>
      </c>
      <c r="J231" s="28">
        <v>45862</v>
      </c>
      <c r="K231" s="28">
        <v>45862</v>
      </c>
      <c r="L231" s="27" t="s">
        <v>1023</v>
      </c>
      <c r="M231" s="29">
        <v>256779421461</v>
      </c>
      <c r="N231" s="27" t="s">
        <v>1007</v>
      </c>
      <c r="O231" s="27" t="s">
        <v>1008</v>
      </c>
      <c r="P231" s="27" t="s">
        <v>41</v>
      </c>
      <c r="Q231" s="27" t="s">
        <v>1022</v>
      </c>
      <c r="R231" s="27" t="s">
        <v>46</v>
      </c>
      <c r="S231" s="30">
        <v>-1700</v>
      </c>
      <c r="T231" s="27" t="s">
        <v>42</v>
      </c>
      <c r="U231" s="30">
        <v>-146201.14000000001</v>
      </c>
      <c r="V231" s="27" t="s">
        <v>1026</v>
      </c>
      <c r="W231" s="27" t="s">
        <v>1010</v>
      </c>
      <c r="X231" s="27" t="s">
        <v>41</v>
      </c>
      <c r="Y231" s="27" t="s">
        <v>1023</v>
      </c>
      <c r="Z231" s="27" t="s">
        <v>1011</v>
      </c>
      <c r="AA231" s="27"/>
      <c r="AB231" s="27"/>
      <c r="AC231" s="27"/>
      <c r="AD231" s="27" t="e">
        <f>_xlfn.XLOOKUP(M231,'Customer Data Vlookup'!$R:$R,'Customer Data Vlookup'!$S:$S,,0)</f>
        <v>#N/A</v>
      </c>
      <c r="AE231" s="27"/>
      <c r="AF231" s="27"/>
      <c r="AG231" s="27" t="s">
        <v>418</v>
      </c>
      <c r="AH231" s="27" t="s">
        <v>41</v>
      </c>
      <c r="AI231" s="27" t="s">
        <v>41</v>
      </c>
      <c r="AJ231" s="27" t="s">
        <v>41</v>
      </c>
      <c r="AK231" s="28">
        <v>45862</v>
      </c>
      <c r="AL231" s="28"/>
      <c r="AM231" s="27" t="s">
        <v>41</v>
      </c>
    </row>
    <row r="232" spans="1:39" outlineLevel="2" x14ac:dyDescent="0.35">
      <c r="A232" s="1" t="s">
        <v>1016</v>
      </c>
      <c r="B232" s="1" t="s">
        <v>1003</v>
      </c>
      <c r="C232" s="1" t="s">
        <v>1004</v>
      </c>
      <c r="D232" s="1" t="s">
        <v>1005</v>
      </c>
      <c r="E232" s="1" t="s">
        <v>9</v>
      </c>
      <c r="F232" s="1" t="s">
        <v>1019</v>
      </c>
      <c r="G232" s="9">
        <v>45862</v>
      </c>
      <c r="H232" s="27" t="s">
        <v>419</v>
      </c>
      <c r="I232" s="27" t="s">
        <v>4</v>
      </c>
      <c r="J232" s="28">
        <v>45862</v>
      </c>
      <c r="K232" s="28">
        <v>45862</v>
      </c>
      <c r="L232" s="27" t="s">
        <v>1023</v>
      </c>
      <c r="M232" s="29">
        <v>256779421462</v>
      </c>
      <c r="N232" s="27" t="s">
        <v>1007</v>
      </c>
      <c r="O232" s="27" t="s">
        <v>1008</v>
      </c>
      <c r="P232" s="27" t="s">
        <v>41</v>
      </c>
      <c r="Q232" s="27" t="s">
        <v>1022</v>
      </c>
      <c r="R232" s="27" t="s">
        <v>46</v>
      </c>
      <c r="S232" s="30">
        <v>-1750</v>
      </c>
      <c r="T232" s="27" t="s">
        <v>42</v>
      </c>
      <c r="U232" s="30">
        <v>-150501.17000000001</v>
      </c>
      <c r="V232" s="27" t="s">
        <v>1026</v>
      </c>
      <c r="W232" s="27" t="s">
        <v>1010</v>
      </c>
      <c r="X232" s="27" t="s">
        <v>41</v>
      </c>
      <c r="Y232" s="27" t="s">
        <v>1023</v>
      </c>
      <c r="Z232" s="27" t="s">
        <v>1011</v>
      </c>
      <c r="AA232" s="27"/>
      <c r="AB232" s="27"/>
      <c r="AC232" s="27"/>
      <c r="AD232" s="27" t="e">
        <f>_xlfn.XLOOKUP(M232,'Customer Data Vlookup'!$R:$R,'Customer Data Vlookup'!$S:$S,,0)</f>
        <v>#N/A</v>
      </c>
      <c r="AE232" s="27"/>
      <c r="AF232" s="27"/>
      <c r="AG232" s="27" t="s">
        <v>420</v>
      </c>
      <c r="AH232" s="27" t="s">
        <v>41</v>
      </c>
      <c r="AI232" s="27" t="s">
        <v>41</v>
      </c>
      <c r="AJ232" s="27" t="s">
        <v>41</v>
      </c>
      <c r="AK232" s="28">
        <v>45862</v>
      </c>
      <c r="AL232" s="28"/>
      <c r="AM232" s="27" t="s">
        <v>41</v>
      </c>
    </row>
    <row r="233" spans="1:39" outlineLevel="2" x14ac:dyDescent="0.35">
      <c r="A233" s="1" t="s">
        <v>1002</v>
      </c>
      <c r="B233" s="1" t="s">
        <v>1003</v>
      </c>
      <c r="C233" s="1" t="s">
        <v>1004</v>
      </c>
      <c r="D233" s="1" t="s">
        <v>1005</v>
      </c>
      <c r="E233" s="1" t="s">
        <v>9</v>
      </c>
      <c r="F233" s="1" t="s">
        <v>1019</v>
      </c>
      <c r="G233" s="9">
        <v>45862</v>
      </c>
      <c r="H233" s="27" t="s">
        <v>421</v>
      </c>
      <c r="I233" s="27" t="s">
        <v>4</v>
      </c>
      <c r="J233" s="28">
        <v>45862</v>
      </c>
      <c r="K233" s="28">
        <v>45862</v>
      </c>
      <c r="L233" s="27" t="s">
        <v>1023</v>
      </c>
      <c r="M233" s="29">
        <v>256779421482</v>
      </c>
      <c r="N233" s="27" t="s">
        <v>1007</v>
      </c>
      <c r="O233" s="27" t="s">
        <v>1008</v>
      </c>
      <c r="P233" s="27" t="s">
        <v>41</v>
      </c>
      <c r="Q233" s="27" t="s">
        <v>1022</v>
      </c>
      <c r="R233" s="27" t="s">
        <v>46</v>
      </c>
      <c r="S233" s="30">
        <v>-1190.48</v>
      </c>
      <c r="T233" s="27" t="s">
        <v>42</v>
      </c>
      <c r="U233" s="30">
        <v>-102382.08</v>
      </c>
      <c r="V233" s="27" t="s">
        <v>1026</v>
      </c>
      <c r="W233" s="27" t="s">
        <v>1010</v>
      </c>
      <c r="X233" s="27" t="s">
        <v>41</v>
      </c>
      <c r="Y233" s="27" t="s">
        <v>1023</v>
      </c>
      <c r="Z233" s="27" t="s">
        <v>1011</v>
      </c>
      <c r="AA233" s="27"/>
      <c r="AB233" s="27"/>
      <c r="AC233" s="27"/>
      <c r="AD233" s="27" t="e">
        <f>_xlfn.XLOOKUP(M233,'Customer Data Vlookup'!$R:$R,'Customer Data Vlookup'!$S:$S,,0)</f>
        <v>#N/A</v>
      </c>
      <c r="AE233" s="27"/>
      <c r="AF233" s="27"/>
      <c r="AG233" s="27" t="s">
        <v>422</v>
      </c>
      <c r="AH233" s="27" t="s">
        <v>41</v>
      </c>
      <c r="AI233" s="27" t="s">
        <v>41</v>
      </c>
      <c r="AJ233" s="27" t="s">
        <v>41</v>
      </c>
      <c r="AK233" s="28">
        <v>45862</v>
      </c>
      <c r="AL233" s="28">
        <v>45902</v>
      </c>
      <c r="AM233" s="27" t="s">
        <v>44</v>
      </c>
    </row>
    <row r="234" spans="1:39" outlineLevel="2" x14ac:dyDescent="0.35">
      <c r="A234" s="1" t="s">
        <v>1002</v>
      </c>
      <c r="B234" s="1" t="s">
        <v>1003</v>
      </c>
      <c r="C234" s="1" t="s">
        <v>1004</v>
      </c>
      <c r="D234" s="1" t="s">
        <v>1005</v>
      </c>
      <c r="E234" s="1" t="s">
        <v>9</v>
      </c>
      <c r="F234" s="1" t="s">
        <v>1019</v>
      </c>
      <c r="G234" s="9">
        <v>45862</v>
      </c>
      <c r="H234" s="27" t="s">
        <v>423</v>
      </c>
      <c r="I234" s="27" t="s">
        <v>4</v>
      </c>
      <c r="J234" s="28">
        <v>45862</v>
      </c>
      <c r="K234" s="28">
        <v>45862</v>
      </c>
      <c r="L234" s="27" t="s">
        <v>1023</v>
      </c>
      <c r="M234" s="29">
        <v>256779421504</v>
      </c>
      <c r="N234" s="27" t="s">
        <v>1007</v>
      </c>
      <c r="O234" s="27" t="s">
        <v>1008</v>
      </c>
      <c r="P234" s="27" t="s">
        <v>41</v>
      </c>
      <c r="Q234" s="27" t="s">
        <v>1022</v>
      </c>
      <c r="R234" s="27" t="s">
        <v>46</v>
      </c>
      <c r="S234" s="30">
        <v>-1190.48</v>
      </c>
      <c r="T234" s="27" t="s">
        <v>42</v>
      </c>
      <c r="U234" s="30">
        <v>-102382.08</v>
      </c>
      <c r="V234" s="27" t="s">
        <v>1026</v>
      </c>
      <c r="W234" s="27" t="s">
        <v>1010</v>
      </c>
      <c r="X234" s="27" t="s">
        <v>41</v>
      </c>
      <c r="Y234" s="27" t="s">
        <v>1023</v>
      </c>
      <c r="Z234" s="27" t="s">
        <v>1011</v>
      </c>
      <c r="AA234" s="27"/>
      <c r="AB234" s="27"/>
      <c r="AC234" s="27"/>
      <c r="AD234" s="27" t="e">
        <f>_xlfn.XLOOKUP(M234,'Customer Data Vlookup'!$R:$R,'Customer Data Vlookup'!$S:$S,,0)</f>
        <v>#N/A</v>
      </c>
      <c r="AE234" s="27"/>
      <c r="AF234" s="27"/>
      <c r="AG234" s="27" t="s">
        <v>424</v>
      </c>
      <c r="AH234" s="27" t="s">
        <v>41</v>
      </c>
      <c r="AI234" s="27" t="s">
        <v>41</v>
      </c>
      <c r="AJ234" s="27" t="s">
        <v>41</v>
      </c>
      <c r="AK234" s="28">
        <v>45862</v>
      </c>
      <c r="AL234" s="28">
        <v>45902</v>
      </c>
      <c r="AM234" s="27" t="s">
        <v>44</v>
      </c>
    </row>
    <row r="235" spans="1:39" outlineLevel="2" x14ac:dyDescent="0.35">
      <c r="A235" s="1" t="s">
        <v>1002</v>
      </c>
      <c r="B235" s="1" t="s">
        <v>1003</v>
      </c>
      <c r="C235" s="1" t="s">
        <v>1004</v>
      </c>
      <c r="D235" s="1" t="s">
        <v>1005</v>
      </c>
      <c r="E235" s="1" t="s">
        <v>9</v>
      </c>
      <c r="F235" s="1" t="s">
        <v>1019</v>
      </c>
      <c r="G235" s="9">
        <v>45862</v>
      </c>
      <c r="H235" s="27" t="s">
        <v>425</v>
      </c>
      <c r="I235" s="27" t="s">
        <v>4</v>
      </c>
      <c r="J235" s="28">
        <v>45862</v>
      </c>
      <c r="K235" s="28">
        <v>45862</v>
      </c>
      <c r="L235" s="27" t="s">
        <v>1023</v>
      </c>
      <c r="M235" s="29">
        <v>256779421505</v>
      </c>
      <c r="N235" s="27" t="s">
        <v>1007</v>
      </c>
      <c r="O235" s="27" t="s">
        <v>1008</v>
      </c>
      <c r="P235" s="27" t="s">
        <v>41</v>
      </c>
      <c r="Q235" s="27" t="s">
        <v>1022</v>
      </c>
      <c r="R235" s="27" t="s">
        <v>46</v>
      </c>
      <c r="S235" s="30">
        <v>-416.67</v>
      </c>
      <c r="T235" s="27" t="s">
        <v>42</v>
      </c>
      <c r="U235" s="30">
        <v>-35833.9</v>
      </c>
      <c r="V235" s="27" t="s">
        <v>1026</v>
      </c>
      <c r="W235" s="27" t="s">
        <v>1010</v>
      </c>
      <c r="X235" s="27" t="s">
        <v>41</v>
      </c>
      <c r="Y235" s="27" t="s">
        <v>1023</v>
      </c>
      <c r="Z235" s="27" t="s">
        <v>1011</v>
      </c>
      <c r="AA235" s="27"/>
      <c r="AB235" s="27"/>
      <c r="AC235" s="27"/>
      <c r="AD235" s="27" t="e">
        <f>_xlfn.XLOOKUP(M235,'Customer Data Vlookup'!$R:$R,'Customer Data Vlookup'!$S:$S,,0)</f>
        <v>#N/A</v>
      </c>
      <c r="AE235" s="27"/>
      <c r="AF235" s="27"/>
      <c r="AG235" s="27" t="s">
        <v>426</v>
      </c>
      <c r="AH235" s="27" t="s">
        <v>41</v>
      </c>
      <c r="AI235" s="27" t="s">
        <v>41</v>
      </c>
      <c r="AJ235" s="27" t="s">
        <v>41</v>
      </c>
      <c r="AK235" s="28">
        <v>45862</v>
      </c>
      <c r="AL235" s="28">
        <v>45902</v>
      </c>
      <c r="AM235" s="27" t="s">
        <v>44</v>
      </c>
    </row>
    <row r="236" spans="1:39" outlineLevel="2" x14ac:dyDescent="0.35">
      <c r="A236" s="1" t="s">
        <v>1002</v>
      </c>
      <c r="B236" s="1" t="s">
        <v>1003</v>
      </c>
      <c r="C236" s="1" t="s">
        <v>1004</v>
      </c>
      <c r="D236" s="1" t="s">
        <v>1005</v>
      </c>
      <c r="E236" s="1" t="s">
        <v>9</v>
      </c>
      <c r="F236" s="1" t="s">
        <v>1019</v>
      </c>
      <c r="G236" s="9">
        <v>45862</v>
      </c>
      <c r="H236" s="27" t="s">
        <v>427</v>
      </c>
      <c r="I236" s="27" t="s">
        <v>4</v>
      </c>
      <c r="J236" s="28">
        <v>45862</v>
      </c>
      <c r="K236" s="28">
        <v>45862</v>
      </c>
      <c r="L236" s="27" t="s">
        <v>1023</v>
      </c>
      <c r="M236" s="29">
        <v>256779421532</v>
      </c>
      <c r="N236" s="27" t="s">
        <v>1007</v>
      </c>
      <c r="O236" s="27" t="s">
        <v>1008</v>
      </c>
      <c r="P236" s="27" t="s">
        <v>41</v>
      </c>
      <c r="Q236" s="27" t="s">
        <v>1022</v>
      </c>
      <c r="R236" s="27" t="s">
        <v>46</v>
      </c>
      <c r="S236" s="30">
        <v>-408.31</v>
      </c>
      <c r="T236" s="27" t="s">
        <v>42</v>
      </c>
      <c r="U236" s="30">
        <v>-35114.93</v>
      </c>
      <c r="V236" s="27" t="s">
        <v>1026</v>
      </c>
      <c r="W236" s="27" t="s">
        <v>1010</v>
      </c>
      <c r="X236" s="27" t="s">
        <v>41</v>
      </c>
      <c r="Y236" s="27" t="s">
        <v>1023</v>
      </c>
      <c r="Z236" s="27" t="s">
        <v>1011</v>
      </c>
      <c r="AA236" s="27"/>
      <c r="AB236" s="27"/>
      <c r="AC236" s="27"/>
      <c r="AD236" s="27" t="e">
        <f>_xlfn.XLOOKUP(M236,'Customer Data Vlookup'!$R:$R,'Customer Data Vlookup'!$S:$S,,0)</f>
        <v>#N/A</v>
      </c>
      <c r="AE236" s="27"/>
      <c r="AF236" s="27"/>
      <c r="AG236" s="27" t="s">
        <v>428</v>
      </c>
      <c r="AH236" s="27" t="s">
        <v>41</v>
      </c>
      <c r="AI236" s="27" t="s">
        <v>41</v>
      </c>
      <c r="AJ236" s="27" t="s">
        <v>41</v>
      </c>
      <c r="AK236" s="28">
        <v>45862</v>
      </c>
      <c r="AL236" s="28">
        <v>45902</v>
      </c>
      <c r="AM236" s="27" t="s">
        <v>44</v>
      </c>
    </row>
    <row r="237" spans="1:39" outlineLevel="2" x14ac:dyDescent="0.35">
      <c r="A237" s="1" t="s">
        <v>1002</v>
      </c>
      <c r="B237" s="1" t="s">
        <v>1003</v>
      </c>
      <c r="C237" s="1" t="s">
        <v>1004</v>
      </c>
      <c r="D237" s="1" t="s">
        <v>1005</v>
      </c>
      <c r="E237" s="1" t="s">
        <v>9</v>
      </c>
      <c r="F237" s="1" t="s">
        <v>1019</v>
      </c>
      <c r="G237" s="9">
        <v>45862</v>
      </c>
      <c r="H237" s="27" t="s">
        <v>429</v>
      </c>
      <c r="I237" s="27" t="s">
        <v>4</v>
      </c>
      <c r="J237" s="28">
        <v>45862</v>
      </c>
      <c r="K237" s="28">
        <v>45862</v>
      </c>
      <c r="L237" s="27" t="s">
        <v>1023</v>
      </c>
      <c r="M237" s="29">
        <v>256779421548</v>
      </c>
      <c r="N237" s="27" t="s">
        <v>1007</v>
      </c>
      <c r="O237" s="27" t="s">
        <v>1008</v>
      </c>
      <c r="P237" s="27" t="s">
        <v>41</v>
      </c>
      <c r="Q237" s="27" t="s">
        <v>1022</v>
      </c>
      <c r="R237" s="27" t="s">
        <v>46</v>
      </c>
      <c r="S237" s="30">
        <v>-400.09</v>
      </c>
      <c r="T237" s="27" t="s">
        <v>42</v>
      </c>
      <c r="U237" s="30">
        <v>-34408.01</v>
      </c>
      <c r="V237" s="27" t="s">
        <v>1026</v>
      </c>
      <c r="W237" s="27" t="s">
        <v>1010</v>
      </c>
      <c r="X237" s="27" t="s">
        <v>41</v>
      </c>
      <c r="Y237" s="27" t="s">
        <v>1023</v>
      </c>
      <c r="Z237" s="27" t="s">
        <v>1011</v>
      </c>
      <c r="AA237" s="27"/>
      <c r="AB237" s="27"/>
      <c r="AC237" s="27"/>
      <c r="AD237" s="27" t="e">
        <f>_xlfn.XLOOKUP(M237,'Customer Data Vlookup'!$R:$R,'Customer Data Vlookup'!$S:$S,,0)</f>
        <v>#N/A</v>
      </c>
      <c r="AE237" s="27"/>
      <c r="AF237" s="27"/>
      <c r="AG237" s="27" t="s">
        <v>430</v>
      </c>
      <c r="AH237" s="27" t="s">
        <v>41</v>
      </c>
      <c r="AI237" s="27" t="s">
        <v>41</v>
      </c>
      <c r="AJ237" s="27" t="s">
        <v>41</v>
      </c>
      <c r="AK237" s="28">
        <v>45862</v>
      </c>
      <c r="AL237" s="28">
        <v>45902</v>
      </c>
      <c r="AM237" s="27" t="s">
        <v>44</v>
      </c>
    </row>
    <row r="238" spans="1:39" outlineLevel="2" x14ac:dyDescent="0.35">
      <c r="A238" s="1" t="s">
        <v>1002</v>
      </c>
      <c r="B238" s="1" t="s">
        <v>1003</v>
      </c>
      <c r="C238" s="1" t="s">
        <v>1004</v>
      </c>
      <c r="D238" s="1" t="s">
        <v>1005</v>
      </c>
      <c r="E238" s="1" t="s">
        <v>9</v>
      </c>
      <c r="F238" s="1" t="s">
        <v>1031</v>
      </c>
      <c r="G238" s="9">
        <v>45826</v>
      </c>
      <c r="H238" s="27" t="s">
        <v>431</v>
      </c>
      <c r="I238" s="27" t="s">
        <v>5</v>
      </c>
      <c r="J238" s="28">
        <v>45826</v>
      </c>
      <c r="K238" s="28">
        <v>45827</v>
      </c>
      <c r="L238" s="27" t="s">
        <v>1023</v>
      </c>
      <c r="M238" s="29">
        <v>256779414414</v>
      </c>
      <c r="N238" s="27" t="s">
        <v>1007</v>
      </c>
      <c r="O238" s="27" t="s">
        <v>1008</v>
      </c>
      <c r="P238" s="27" t="s">
        <v>41</v>
      </c>
      <c r="Q238" s="27" t="s">
        <v>1025</v>
      </c>
      <c r="R238" s="27" t="s">
        <v>46</v>
      </c>
      <c r="S238" s="30">
        <v>1190.48</v>
      </c>
      <c r="T238" s="27" t="s">
        <v>42</v>
      </c>
      <c r="U238" s="30">
        <v>101775.06</v>
      </c>
      <c r="V238" s="27" t="s">
        <v>1026</v>
      </c>
      <c r="W238" s="27" t="s">
        <v>1010</v>
      </c>
      <c r="X238" s="27" t="s">
        <v>41</v>
      </c>
      <c r="Y238" s="27" t="s">
        <v>1023</v>
      </c>
      <c r="Z238" s="27" t="s">
        <v>1011</v>
      </c>
      <c r="AA238" s="27"/>
      <c r="AB238" s="27"/>
      <c r="AC238" s="27"/>
      <c r="AD238" s="27" t="e">
        <f>_xlfn.XLOOKUP(M238,'Customer Data Vlookup'!$R:$R,'Customer Data Vlookup'!$S:$S,,0)</f>
        <v>#N/A</v>
      </c>
      <c r="AE238" s="27"/>
      <c r="AF238" s="27"/>
      <c r="AG238" s="27" t="s">
        <v>353</v>
      </c>
      <c r="AH238" s="27" t="s">
        <v>41</v>
      </c>
      <c r="AI238" s="27" t="s">
        <v>41</v>
      </c>
      <c r="AJ238" s="27" t="s">
        <v>41</v>
      </c>
      <c r="AK238" s="28">
        <v>45826</v>
      </c>
      <c r="AL238" s="28">
        <v>45902</v>
      </c>
      <c r="AM238" s="27" t="s">
        <v>44</v>
      </c>
    </row>
    <row r="239" spans="1:39" outlineLevel="2" x14ac:dyDescent="0.35">
      <c r="A239" s="1" t="s">
        <v>1002</v>
      </c>
      <c r="B239" s="1" t="s">
        <v>1003</v>
      </c>
      <c r="C239" s="1" t="s">
        <v>1004</v>
      </c>
      <c r="D239" s="1" t="s">
        <v>1005</v>
      </c>
      <c r="E239" s="1" t="s">
        <v>9</v>
      </c>
      <c r="F239" s="1" t="s">
        <v>1031</v>
      </c>
      <c r="G239" s="9">
        <v>45826</v>
      </c>
      <c r="H239" s="27" t="s">
        <v>432</v>
      </c>
      <c r="I239" s="27" t="s">
        <v>5</v>
      </c>
      <c r="J239" s="28">
        <v>45826</v>
      </c>
      <c r="K239" s="28">
        <v>45827</v>
      </c>
      <c r="L239" s="27" t="s">
        <v>1023</v>
      </c>
      <c r="M239" s="29">
        <v>256779414437</v>
      </c>
      <c r="N239" s="27" t="s">
        <v>1007</v>
      </c>
      <c r="O239" s="27" t="s">
        <v>1008</v>
      </c>
      <c r="P239" s="27" t="s">
        <v>41</v>
      </c>
      <c r="Q239" s="27" t="s">
        <v>1025</v>
      </c>
      <c r="R239" s="27" t="s">
        <v>46</v>
      </c>
      <c r="S239" s="30">
        <v>1190.48</v>
      </c>
      <c r="T239" s="27" t="s">
        <v>42</v>
      </c>
      <c r="U239" s="30">
        <v>101775.06</v>
      </c>
      <c r="V239" s="27" t="s">
        <v>1026</v>
      </c>
      <c r="W239" s="27" t="s">
        <v>1010</v>
      </c>
      <c r="X239" s="27" t="s">
        <v>41</v>
      </c>
      <c r="Y239" s="27" t="s">
        <v>1023</v>
      </c>
      <c r="Z239" s="27" t="s">
        <v>1011</v>
      </c>
      <c r="AA239" s="27"/>
      <c r="AB239" s="27"/>
      <c r="AC239" s="27"/>
      <c r="AD239" s="27" t="e">
        <f>_xlfn.XLOOKUP(M239,'Customer Data Vlookup'!$R:$R,'Customer Data Vlookup'!$S:$S,,0)</f>
        <v>#N/A</v>
      </c>
      <c r="AE239" s="27"/>
      <c r="AF239" s="27"/>
      <c r="AG239" s="27" t="s">
        <v>357</v>
      </c>
      <c r="AH239" s="27" t="s">
        <v>41</v>
      </c>
      <c r="AI239" s="27" t="s">
        <v>41</v>
      </c>
      <c r="AJ239" s="27" t="s">
        <v>41</v>
      </c>
      <c r="AK239" s="28">
        <v>45826</v>
      </c>
      <c r="AL239" s="28">
        <v>45902</v>
      </c>
      <c r="AM239" s="27" t="s">
        <v>44</v>
      </c>
    </row>
    <row r="240" spans="1:39" outlineLevel="2" x14ac:dyDescent="0.35">
      <c r="A240" s="1" t="s">
        <v>1002</v>
      </c>
      <c r="B240" s="1" t="s">
        <v>1003</v>
      </c>
      <c r="C240" s="1" t="s">
        <v>1004</v>
      </c>
      <c r="D240" s="1" t="s">
        <v>1005</v>
      </c>
      <c r="E240" s="1" t="s">
        <v>9</v>
      </c>
      <c r="F240" s="1" t="s">
        <v>1031</v>
      </c>
      <c r="G240" s="9">
        <v>45826</v>
      </c>
      <c r="H240" s="27" t="s">
        <v>433</v>
      </c>
      <c r="I240" s="27" t="s">
        <v>5</v>
      </c>
      <c r="J240" s="28">
        <v>45826</v>
      </c>
      <c r="K240" s="28">
        <v>45827</v>
      </c>
      <c r="L240" s="27" t="s">
        <v>1023</v>
      </c>
      <c r="M240" s="29">
        <v>256779414438</v>
      </c>
      <c r="N240" s="27" t="s">
        <v>1007</v>
      </c>
      <c r="O240" s="27" t="s">
        <v>1008</v>
      </c>
      <c r="P240" s="27" t="s">
        <v>41</v>
      </c>
      <c r="Q240" s="27" t="s">
        <v>1025</v>
      </c>
      <c r="R240" s="27" t="s">
        <v>46</v>
      </c>
      <c r="S240" s="30">
        <v>416.67</v>
      </c>
      <c r="T240" s="27" t="s">
        <v>42</v>
      </c>
      <c r="U240" s="30">
        <v>35621.440000000002</v>
      </c>
      <c r="V240" s="27" t="s">
        <v>1026</v>
      </c>
      <c r="W240" s="27" t="s">
        <v>1010</v>
      </c>
      <c r="X240" s="27" t="s">
        <v>41</v>
      </c>
      <c r="Y240" s="27" t="s">
        <v>1023</v>
      </c>
      <c r="Z240" s="27" t="s">
        <v>1011</v>
      </c>
      <c r="AA240" s="27"/>
      <c r="AB240" s="27"/>
      <c r="AC240" s="27"/>
      <c r="AD240" s="27" t="e">
        <f>_xlfn.XLOOKUP(M240,'Customer Data Vlookup'!$R:$R,'Customer Data Vlookup'!$S:$S,,0)</f>
        <v>#N/A</v>
      </c>
      <c r="AE240" s="27"/>
      <c r="AF240" s="27"/>
      <c r="AG240" s="27" t="s">
        <v>359</v>
      </c>
      <c r="AH240" s="27" t="s">
        <v>41</v>
      </c>
      <c r="AI240" s="27" t="s">
        <v>41</v>
      </c>
      <c r="AJ240" s="27" t="s">
        <v>41</v>
      </c>
      <c r="AK240" s="28">
        <v>45826</v>
      </c>
      <c r="AL240" s="28">
        <v>45902</v>
      </c>
      <c r="AM240" s="27" t="s">
        <v>44</v>
      </c>
    </row>
    <row r="241" spans="1:39" outlineLevel="2" x14ac:dyDescent="0.35">
      <c r="A241" s="1" t="s">
        <v>1002</v>
      </c>
      <c r="B241" s="1" t="s">
        <v>1003</v>
      </c>
      <c r="C241" s="1" t="s">
        <v>1004</v>
      </c>
      <c r="D241" s="1" t="s">
        <v>1005</v>
      </c>
      <c r="E241" s="1" t="s">
        <v>9</v>
      </c>
      <c r="F241" s="1" t="s">
        <v>1031</v>
      </c>
      <c r="G241" s="9">
        <v>45826</v>
      </c>
      <c r="H241" s="27" t="s">
        <v>434</v>
      </c>
      <c r="I241" s="27" t="s">
        <v>5</v>
      </c>
      <c r="J241" s="28">
        <v>45826</v>
      </c>
      <c r="K241" s="28">
        <v>45827</v>
      </c>
      <c r="L241" s="27" t="s">
        <v>1023</v>
      </c>
      <c r="M241" s="29">
        <v>256779414465</v>
      </c>
      <c r="N241" s="27" t="s">
        <v>1007</v>
      </c>
      <c r="O241" s="27" t="s">
        <v>1008</v>
      </c>
      <c r="P241" s="27" t="s">
        <v>41</v>
      </c>
      <c r="Q241" s="27" t="s">
        <v>1025</v>
      </c>
      <c r="R241" s="27" t="s">
        <v>46</v>
      </c>
      <c r="S241" s="30">
        <v>408.31</v>
      </c>
      <c r="T241" s="27" t="s">
        <v>42</v>
      </c>
      <c r="U241" s="30">
        <v>34906.74</v>
      </c>
      <c r="V241" s="27" t="s">
        <v>1026</v>
      </c>
      <c r="W241" s="27" t="s">
        <v>1010</v>
      </c>
      <c r="X241" s="27" t="s">
        <v>41</v>
      </c>
      <c r="Y241" s="27" t="s">
        <v>1023</v>
      </c>
      <c r="Z241" s="27" t="s">
        <v>1011</v>
      </c>
      <c r="AA241" s="27"/>
      <c r="AB241" s="27"/>
      <c r="AC241" s="27"/>
      <c r="AD241" s="27" t="e">
        <f>_xlfn.XLOOKUP(M241,'Customer Data Vlookup'!$R:$R,'Customer Data Vlookup'!$S:$S,,0)</f>
        <v>#N/A</v>
      </c>
      <c r="AE241" s="27"/>
      <c r="AF241" s="27"/>
      <c r="AG241" s="27" t="s">
        <v>362</v>
      </c>
      <c r="AH241" s="27" t="s">
        <v>41</v>
      </c>
      <c r="AI241" s="27" t="s">
        <v>41</v>
      </c>
      <c r="AJ241" s="27" t="s">
        <v>41</v>
      </c>
      <c r="AK241" s="28">
        <v>45826</v>
      </c>
      <c r="AL241" s="28">
        <v>45902</v>
      </c>
      <c r="AM241" s="27" t="s">
        <v>44</v>
      </c>
    </row>
    <row r="242" spans="1:39" outlineLevel="2" x14ac:dyDescent="0.35">
      <c r="A242" s="1" t="s">
        <v>1002</v>
      </c>
      <c r="B242" s="1" t="s">
        <v>1003</v>
      </c>
      <c r="C242" s="1" t="s">
        <v>1004</v>
      </c>
      <c r="D242" s="1" t="s">
        <v>1005</v>
      </c>
      <c r="E242" s="1" t="s">
        <v>9</v>
      </c>
      <c r="F242" s="1" t="s">
        <v>1031</v>
      </c>
      <c r="G242" s="9">
        <v>45826</v>
      </c>
      <c r="H242" s="27" t="s">
        <v>435</v>
      </c>
      <c r="I242" s="27" t="s">
        <v>5</v>
      </c>
      <c r="J242" s="28">
        <v>45826</v>
      </c>
      <c r="K242" s="28">
        <v>45827</v>
      </c>
      <c r="L242" s="27" t="s">
        <v>1023</v>
      </c>
      <c r="M242" s="29">
        <v>256779414481</v>
      </c>
      <c r="N242" s="27" t="s">
        <v>1007</v>
      </c>
      <c r="O242" s="27" t="s">
        <v>1008</v>
      </c>
      <c r="P242" s="27" t="s">
        <v>41</v>
      </c>
      <c r="Q242" s="27" t="s">
        <v>1025</v>
      </c>
      <c r="R242" s="27" t="s">
        <v>46</v>
      </c>
      <c r="S242" s="30">
        <v>400.09</v>
      </c>
      <c r="T242" s="27" t="s">
        <v>42</v>
      </c>
      <c r="U242" s="30">
        <v>34204.01</v>
      </c>
      <c r="V242" s="27" t="s">
        <v>1026</v>
      </c>
      <c r="W242" s="27" t="s">
        <v>1010</v>
      </c>
      <c r="X242" s="27" t="s">
        <v>41</v>
      </c>
      <c r="Y242" s="27" t="s">
        <v>1023</v>
      </c>
      <c r="Z242" s="27" t="s">
        <v>1011</v>
      </c>
      <c r="AA242" s="27"/>
      <c r="AB242" s="27"/>
      <c r="AC242" s="27"/>
      <c r="AD242" s="27" t="e">
        <f>_xlfn.XLOOKUP(M242,'Customer Data Vlookup'!$R:$R,'Customer Data Vlookup'!$S:$S,,0)</f>
        <v>#N/A</v>
      </c>
      <c r="AE242" s="27"/>
      <c r="AF242" s="27"/>
      <c r="AG242" s="27" t="s">
        <v>366</v>
      </c>
      <c r="AH242" s="27" t="s">
        <v>41</v>
      </c>
      <c r="AI242" s="27" t="s">
        <v>41</v>
      </c>
      <c r="AJ242" s="27" t="s">
        <v>41</v>
      </c>
      <c r="AK242" s="28">
        <v>45826</v>
      </c>
      <c r="AL242" s="28">
        <v>45902</v>
      </c>
      <c r="AM242" s="27" t="s">
        <v>44</v>
      </c>
    </row>
    <row r="243" spans="1:39" outlineLevel="2" x14ac:dyDescent="0.35">
      <c r="A243" s="1" t="s">
        <v>1016</v>
      </c>
      <c r="B243" s="1" t="s">
        <v>1003</v>
      </c>
      <c r="C243" s="1" t="s">
        <v>1004</v>
      </c>
      <c r="D243" s="1" t="s">
        <v>1005</v>
      </c>
      <c r="E243" s="1" t="s">
        <v>9</v>
      </c>
      <c r="F243" s="1" t="s">
        <v>1021</v>
      </c>
      <c r="G243" s="9">
        <v>45735</v>
      </c>
      <c r="H243" s="27" t="s">
        <v>436</v>
      </c>
      <c r="I243" s="27" t="s">
        <v>5</v>
      </c>
      <c r="J243" s="28">
        <v>45735</v>
      </c>
      <c r="K243" s="28">
        <v>45736</v>
      </c>
      <c r="L243" s="27" t="s">
        <v>1023</v>
      </c>
      <c r="M243" s="29">
        <v>246779412981</v>
      </c>
      <c r="N243" s="27" t="s">
        <v>1007</v>
      </c>
      <c r="O243" s="27" t="s">
        <v>1008</v>
      </c>
      <c r="P243" s="27" t="s">
        <v>41</v>
      </c>
      <c r="Q243" s="27" t="s">
        <v>1025</v>
      </c>
      <c r="R243" s="27" t="s">
        <v>46</v>
      </c>
      <c r="S243" s="30">
        <v>1148.6300000000001</v>
      </c>
      <c r="T243" s="27" t="s">
        <v>42</v>
      </c>
      <c r="U243" s="30">
        <v>99576.18</v>
      </c>
      <c r="V243" s="27" t="s">
        <v>1026</v>
      </c>
      <c r="W243" s="27" t="s">
        <v>1010</v>
      </c>
      <c r="X243" s="27" t="s">
        <v>41</v>
      </c>
      <c r="Y243" s="27" t="s">
        <v>1023</v>
      </c>
      <c r="Z243" s="27" t="s">
        <v>1011</v>
      </c>
      <c r="AA243" s="27"/>
      <c r="AB243" s="27"/>
      <c r="AC243" s="27"/>
      <c r="AD243" s="27" t="e">
        <f>_xlfn.XLOOKUP(M243,'Customer Data Vlookup'!$R:$R,'Customer Data Vlookup'!$S:$S,,0)</f>
        <v>#N/A</v>
      </c>
      <c r="AE243" s="27"/>
      <c r="AF243" s="27"/>
      <c r="AG243" s="27" t="s">
        <v>437</v>
      </c>
      <c r="AH243" s="27" t="s">
        <v>41</v>
      </c>
      <c r="AI243" s="27" t="s">
        <v>41</v>
      </c>
      <c r="AJ243" s="27" t="s">
        <v>41</v>
      </c>
      <c r="AK243" s="28">
        <v>45735</v>
      </c>
      <c r="AL243" s="28"/>
      <c r="AM243" s="27" t="s">
        <v>41</v>
      </c>
    </row>
    <row r="244" spans="1:39" outlineLevel="2" x14ac:dyDescent="0.35">
      <c r="A244" s="1" t="s">
        <v>1016</v>
      </c>
      <c r="B244" s="1" t="s">
        <v>1003</v>
      </c>
      <c r="C244" s="1" t="s">
        <v>1004</v>
      </c>
      <c r="D244" s="1" t="s">
        <v>1005</v>
      </c>
      <c r="E244" s="1" t="s">
        <v>9</v>
      </c>
      <c r="F244" s="1" t="s">
        <v>1021</v>
      </c>
      <c r="G244" s="9">
        <v>45735</v>
      </c>
      <c r="H244" s="27" t="s">
        <v>438</v>
      </c>
      <c r="I244" s="27" t="s">
        <v>5</v>
      </c>
      <c r="J244" s="28">
        <v>45735</v>
      </c>
      <c r="K244" s="28">
        <v>45736</v>
      </c>
      <c r="L244" s="27" t="s">
        <v>1023</v>
      </c>
      <c r="M244" s="29">
        <v>246779413089</v>
      </c>
      <c r="N244" s="27" t="s">
        <v>1007</v>
      </c>
      <c r="O244" s="27" t="s">
        <v>1008</v>
      </c>
      <c r="P244" s="27" t="s">
        <v>41</v>
      </c>
      <c r="Q244" s="27" t="s">
        <v>1025</v>
      </c>
      <c r="R244" s="27" t="s">
        <v>46</v>
      </c>
      <c r="S244" s="30">
        <v>79.05</v>
      </c>
      <c r="T244" s="27" t="s">
        <v>42</v>
      </c>
      <c r="U244" s="30">
        <v>6852.94</v>
      </c>
      <c r="V244" s="27" t="s">
        <v>1026</v>
      </c>
      <c r="W244" s="27" t="s">
        <v>1010</v>
      </c>
      <c r="X244" s="27" t="s">
        <v>41</v>
      </c>
      <c r="Y244" s="27" t="s">
        <v>1023</v>
      </c>
      <c r="Z244" s="27" t="s">
        <v>1011</v>
      </c>
      <c r="AA244" s="27"/>
      <c r="AB244" s="27"/>
      <c r="AC244" s="27"/>
      <c r="AD244" s="27" t="e">
        <f>_xlfn.XLOOKUP(M244,'Customer Data Vlookup'!$R:$R,'Customer Data Vlookup'!$S:$S,,0)</f>
        <v>#N/A</v>
      </c>
      <c r="AE244" s="27"/>
      <c r="AF244" s="27"/>
      <c r="AG244" s="27" t="s">
        <v>439</v>
      </c>
      <c r="AH244" s="27" t="s">
        <v>41</v>
      </c>
      <c r="AI244" s="27" t="s">
        <v>41</v>
      </c>
      <c r="AJ244" s="27" t="s">
        <v>41</v>
      </c>
      <c r="AK244" s="28">
        <v>45735</v>
      </c>
      <c r="AL244" s="28"/>
      <c r="AM244" s="27" t="s">
        <v>41</v>
      </c>
    </row>
    <row r="245" spans="1:39" outlineLevel="2" x14ac:dyDescent="0.35">
      <c r="A245" s="1" t="s">
        <v>1016</v>
      </c>
      <c r="B245" s="1" t="s">
        <v>1003</v>
      </c>
      <c r="C245" s="1" t="s">
        <v>1004</v>
      </c>
      <c r="D245" s="1" t="s">
        <v>1005</v>
      </c>
      <c r="E245" s="1" t="s">
        <v>9</v>
      </c>
      <c r="F245" s="1" t="s">
        <v>1021</v>
      </c>
      <c r="G245" s="9">
        <v>45735</v>
      </c>
      <c r="H245" s="27" t="s">
        <v>440</v>
      </c>
      <c r="I245" s="27" t="s">
        <v>5</v>
      </c>
      <c r="J245" s="28">
        <v>45735</v>
      </c>
      <c r="K245" s="28">
        <v>45736</v>
      </c>
      <c r="L245" s="27" t="s">
        <v>1023</v>
      </c>
      <c r="M245" s="29">
        <v>246779413214</v>
      </c>
      <c r="N245" s="27" t="s">
        <v>1007</v>
      </c>
      <c r="O245" s="27" t="s">
        <v>1008</v>
      </c>
      <c r="P245" s="27" t="s">
        <v>41</v>
      </c>
      <c r="Q245" s="27" t="s">
        <v>1025</v>
      </c>
      <c r="R245" s="27" t="s">
        <v>46</v>
      </c>
      <c r="S245" s="30">
        <v>78.12</v>
      </c>
      <c r="T245" s="27" t="s">
        <v>42</v>
      </c>
      <c r="U245" s="30">
        <v>6772.32</v>
      </c>
      <c r="V245" s="27" t="s">
        <v>1026</v>
      </c>
      <c r="W245" s="27" t="s">
        <v>1010</v>
      </c>
      <c r="X245" s="27" t="s">
        <v>41</v>
      </c>
      <c r="Y245" s="27" t="s">
        <v>1023</v>
      </c>
      <c r="Z245" s="27" t="s">
        <v>1011</v>
      </c>
      <c r="AA245" s="27"/>
      <c r="AB245" s="27"/>
      <c r="AC245" s="27"/>
      <c r="AD245" s="27" t="e">
        <f>_xlfn.XLOOKUP(M245,'Customer Data Vlookup'!$R:$R,'Customer Data Vlookup'!$S:$S,,0)</f>
        <v>#N/A</v>
      </c>
      <c r="AE245" s="27"/>
      <c r="AF245" s="27"/>
      <c r="AG245" s="27" t="s">
        <v>441</v>
      </c>
      <c r="AH245" s="27" t="s">
        <v>41</v>
      </c>
      <c r="AI245" s="27" t="s">
        <v>41</v>
      </c>
      <c r="AJ245" s="27" t="s">
        <v>41</v>
      </c>
      <c r="AK245" s="28">
        <v>45735</v>
      </c>
      <c r="AL245" s="28"/>
      <c r="AM245" s="27" t="s">
        <v>41</v>
      </c>
    </row>
    <row r="246" spans="1:39" outlineLevel="2" x14ac:dyDescent="0.35">
      <c r="A246" s="1" t="s">
        <v>1002</v>
      </c>
      <c r="B246" s="1" t="s">
        <v>1003</v>
      </c>
      <c r="C246" s="1" t="s">
        <v>1004</v>
      </c>
      <c r="D246" s="1" t="s">
        <v>1005</v>
      </c>
      <c r="E246" s="1" t="s">
        <v>9</v>
      </c>
      <c r="F246" s="1" t="s">
        <v>1021</v>
      </c>
      <c r="G246" s="9">
        <v>45735</v>
      </c>
      <c r="H246" s="27" t="s">
        <v>442</v>
      </c>
      <c r="I246" s="27" t="s">
        <v>5</v>
      </c>
      <c r="J246" s="28">
        <v>45735</v>
      </c>
      <c r="K246" s="28">
        <v>45736</v>
      </c>
      <c r="L246" s="27" t="s">
        <v>1023</v>
      </c>
      <c r="M246" s="29">
        <v>246779413016</v>
      </c>
      <c r="N246" s="27" t="s">
        <v>1007</v>
      </c>
      <c r="O246" s="27" t="s">
        <v>1008</v>
      </c>
      <c r="P246" s="27" t="s">
        <v>41</v>
      </c>
      <c r="Q246" s="27" t="s">
        <v>1025</v>
      </c>
      <c r="R246" s="27" t="s">
        <v>46</v>
      </c>
      <c r="S246" s="30">
        <v>402.02</v>
      </c>
      <c r="T246" s="27" t="s">
        <v>42</v>
      </c>
      <c r="U246" s="30">
        <v>34851.620000000003</v>
      </c>
      <c r="V246" s="27" t="s">
        <v>1026</v>
      </c>
      <c r="W246" s="27" t="s">
        <v>1010</v>
      </c>
      <c r="X246" s="27" t="s">
        <v>41</v>
      </c>
      <c r="Y246" s="27" t="s">
        <v>1023</v>
      </c>
      <c r="Z246" s="27" t="s">
        <v>1011</v>
      </c>
      <c r="AA246" s="27"/>
      <c r="AB246" s="27"/>
      <c r="AC246" s="27"/>
      <c r="AD246" s="27" t="e">
        <f>_xlfn.XLOOKUP(M246,'Customer Data Vlookup'!$R:$R,'Customer Data Vlookup'!$S:$S,,0)</f>
        <v>#N/A</v>
      </c>
      <c r="AE246" s="27"/>
      <c r="AF246" s="27"/>
      <c r="AG246" s="27" t="s">
        <v>437</v>
      </c>
      <c r="AH246" s="27" t="s">
        <v>41</v>
      </c>
      <c r="AI246" s="27" t="s">
        <v>41</v>
      </c>
      <c r="AJ246" s="27" t="s">
        <v>41</v>
      </c>
      <c r="AK246" s="28">
        <v>45735</v>
      </c>
      <c r="AL246" s="28">
        <v>45888</v>
      </c>
      <c r="AM246" s="27" t="s">
        <v>56</v>
      </c>
    </row>
    <row r="247" spans="1:39" outlineLevel="2" x14ac:dyDescent="0.35">
      <c r="A247" s="1" t="s">
        <v>1016</v>
      </c>
      <c r="B247" s="1" t="s">
        <v>1003</v>
      </c>
      <c r="C247" s="1" t="s">
        <v>1004</v>
      </c>
      <c r="D247" s="1" t="s">
        <v>1005</v>
      </c>
      <c r="E247" s="1" t="s">
        <v>9</v>
      </c>
      <c r="F247" s="1" t="s">
        <v>1006</v>
      </c>
      <c r="G247" s="9">
        <v>45924</v>
      </c>
      <c r="H247" s="27" t="s">
        <v>443</v>
      </c>
      <c r="I247" s="27" t="s">
        <v>5</v>
      </c>
      <c r="J247" s="28">
        <v>45924</v>
      </c>
      <c r="K247" s="28">
        <v>45924</v>
      </c>
      <c r="L247" s="27" t="s">
        <v>1023</v>
      </c>
      <c r="M247" s="29">
        <v>256779417818</v>
      </c>
      <c r="N247" s="27" t="s">
        <v>1007</v>
      </c>
      <c r="O247" s="27" t="s">
        <v>1008</v>
      </c>
      <c r="P247" s="27" t="s">
        <v>41</v>
      </c>
      <c r="Q247" s="27" t="s">
        <v>1025</v>
      </c>
      <c r="R247" s="27" t="s">
        <v>46</v>
      </c>
      <c r="S247" s="30">
        <v>260.79000000000002</v>
      </c>
      <c r="T247" s="27" t="s">
        <v>42</v>
      </c>
      <c r="U247" s="30">
        <v>22423.69</v>
      </c>
      <c r="V247" s="27" t="s">
        <v>1026</v>
      </c>
      <c r="W247" s="27" t="s">
        <v>1010</v>
      </c>
      <c r="X247" s="27" t="s">
        <v>41</v>
      </c>
      <c r="Y247" s="27" t="s">
        <v>1063</v>
      </c>
      <c r="Z247" s="27" t="s">
        <v>1011</v>
      </c>
      <c r="AA247" s="27"/>
      <c r="AB247" s="27"/>
      <c r="AC247" s="27"/>
      <c r="AD247" s="27" t="e">
        <f>_xlfn.XLOOKUP(M247,'Customer Data Vlookup'!$R:$R,'Customer Data Vlookup'!$S:$S,,0)</f>
        <v>#N/A</v>
      </c>
      <c r="AE247" s="27"/>
      <c r="AF247" s="27"/>
      <c r="AG247" s="27" t="s">
        <v>444</v>
      </c>
      <c r="AH247" s="27" t="s">
        <v>41</v>
      </c>
      <c r="AI247" s="27" t="s">
        <v>41</v>
      </c>
      <c r="AJ247" s="27" t="s">
        <v>41</v>
      </c>
      <c r="AK247" s="28">
        <v>45924</v>
      </c>
      <c r="AL247" s="28"/>
      <c r="AM247" s="27" t="s">
        <v>41</v>
      </c>
    </row>
    <row r="248" spans="1:39" outlineLevel="2" x14ac:dyDescent="0.35">
      <c r="A248" s="1" t="s">
        <v>1016</v>
      </c>
      <c r="B248" s="1" t="s">
        <v>1003</v>
      </c>
      <c r="C248" s="1" t="s">
        <v>1004</v>
      </c>
      <c r="D248" s="1" t="s">
        <v>1005</v>
      </c>
      <c r="E248" s="1" t="s">
        <v>9</v>
      </c>
      <c r="F248" s="1" t="s">
        <v>1022</v>
      </c>
      <c r="G248" s="9">
        <v>45981</v>
      </c>
      <c r="H248" s="27" t="s">
        <v>1064</v>
      </c>
      <c r="I248" s="27" t="s">
        <v>5</v>
      </c>
      <c r="J248" s="28">
        <v>45981</v>
      </c>
      <c r="K248" s="28">
        <v>45985</v>
      </c>
      <c r="L248" s="27" t="s">
        <v>1023</v>
      </c>
      <c r="M248" s="29">
        <v>256779419558</v>
      </c>
      <c r="N248" s="27" t="s">
        <v>1007</v>
      </c>
      <c r="O248" s="27" t="s">
        <v>1008</v>
      </c>
      <c r="P248" s="27" t="s">
        <v>41</v>
      </c>
      <c r="Q248" s="27" t="s">
        <v>1025</v>
      </c>
      <c r="R248" s="27" t="s">
        <v>46</v>
      </c>
      <c r="S248" s="30">
        <v>850</v>
      </c>
      <c r="T248" s="27" t="s">
        <v>42</v>
      </c>
      <c r="U248" s="30">
        <v>74802.880000000005</v>
      </c>
      <c r="V248" s="27" t="s">
        <v>1026</v>
      </c>
      <c r="W248" s="27" t="s">
        <v>1010</v>
      </c>
      <c r="X248" s="27" t="s">
        <v>41</v>
      </c>
      <c r="Y248" s="27" t="s">
        <v>1065</v>
      </c>
      <c r="Z248" s="27" t="s">
        <v>1011</v>
      </c>
      <c r="AA248" s="27"/>
      <c r="AB248" s="27"/>
      <c r="AC248" s="27"/>
      <c r="AD248" s="27" t="e">
        <f>_xlfn.XLOOKUP(M248,'Customer Data Vlookup'!$R:$R,'Customer Data Vlookup'!$S:$S,,0)</f>
        <v>#N/A</v>
      </c>
      <c r="AE248" s="27"/>
      <c r="AF248" s="27"/>
      <c r="AG248" s="27" t="s">
        <v>445</v>
      </c>
      <c r="AH248" s="27" t="s">
        <v>41</v>
      </c>
      <c r="AI248" s="27" t="s">
        <v>41</v>
      </c>
      <c r="AJ248" s="27" t="s">
        <v>41</v>
      </c>
      <c r="AK248" s="28">
        <v>45981</v>
      </c>
      <c r="AL248" s="28"/>
      <c r="AM248" s="27" t="s">
        <v>41</v>
      </c>
    </row>
    <row r="249" spans="1:39" outlineLevel="2" x14ac:dyDescent="0.35">
      <c r="A249" s="1" t="s">
        <v>1016</v>
      </c>
      <c r="B249" s="1" t="s">
        <v>1003</v>
      </c>
      <c r="C249" s="1" t="s">
        <v>1004</v>
      </c>
      <c r="D249" s="1" t="s">
        <v>1005</v>
      </c>
      <c r="E249" s="1" t="s">
        <v>9</v>
      </c>
      <c r="F249" s="1" t="s">
        <v>1022</v>
      </c>
      <c r="G249" s="9">
        <v>45981</v>
      </c>
      <c r="H249" s="27" t="s">
        <v>446</v>
      </c>
      <c r="I249" s="27" t="s">
        <v>5</v>
      </c>
      <c r="J249" s="28">
        <v>45981</v>
      </c>
      <c r="K249" s="28">
        <v>45985</v>
      </c>
      <c r="L249" s="27" t="s">
        <v>1023</v>
      </c>
      <c r="M249" s="29">
        <v>256779419590</v>
      </c>
      <c r="N249" s="27" t="s">
        <v>1007</v>
      </c>
      <c r="O249" s="27" t="s">
        <v>1008</v>
      </c>
      <c r="P249" s="27" t="s">
        <v>41</v>
      </c>
      <c r="Q249" s="27" t="s">
        <v>1025</v>
      </c>
      <c r="R249" s="27" t="s">
        <v>46</v>
      </c>
      <c r="S249" s="30">
        <v>331.5</v>
      </c>
      <c r="T249" s="27" t="s">
        <v>42</v>
      </c>
      <c r="U249" s="30">
        <v>29173.119999999999</v>
      </c>
      <c r="V249" s="27" t="s">
        <v>1026</v>
      </c>
      <c r="W249" s="27" t="s">
        <v>1010</v>
      </c>
      <c r="X249" s="27" t="s">
        <v>41</v>
      </c>
      <c r="Y249" s="27" t="s">
        <v>1066</v>
      </c>
      <c r="Z249" s="27" t="s">
        <v>1011</v>
      </c>
      <c r="AA249" s="27"/>
      <c r="AB249" s="27"/>
      <c r="AC249" s="27"/>
      <c r="AD249" s="27" t="e">
        <f>_xlfn.XLOOKUP(M249,'Customer Data Vlookup'!$R:$R,'Customer Data Vlookup'!$S:$S,,0)</f>
        <v>#N/A</v>
      </c>
      <c r="AE249" s="27"/>
      <c r="AF249" s="27"/>
      <c r="AG249" s="27" t="s">
        <v>447</v>
      </c>
      <c r="AH249" s="27" t="s">
        <v>41</v>
      </c>
      <c r="AI249" s="27" t="s">
        <v>41</v>
      </c>
      <c r="AJ249" s="27" t="s">
        <v>41</v>
      </c>
      <c r="AK249" s="28">
        <v>45981</v>
      </c>
      <c r="AL249" s="28"/>
      <c r="AM249" s="27" t="s">
        <v>41</v>
      </c>
    </row>
    <row r="250" spans="1:39" outlineLevel="2" x14ac:dyDescent="0.35">
      <c r="A250" s="1" t="s">
        <v>1016</v>
      </c>
      <c r="B250" s="1" t="s">
        <v>1003</v>
      </c>
      <c r="C250" s="1" t="s">
        <v>1004</v>
      </c>
      <c r="D250" s="1" t="s">
        <v>1005</v>
      </c>
      <c r="E250" s="1" t="s">
        <v>9</v>
      </c>
      <c r="F250" s="1" t="s">
        <v>1022</v>
      </c>
      <c r="G250" s="9">
        <v>45981</v>
      </c>
      <c r="H250" s="27" t="s">
        <v>448</v>
      </c>
      <c r="I250" s="27" t="s">
        <v>5</v>
      </c>
      <c r="J250" s="28">
        <v>45981</v>
      </c>
      <c r="K250" s="28">
        <v>45985</v>
      </c>
      <c r="L250" s="27" t="s">
        <v>1023</v>
      </c>
      <c r="M250" s="29">
        <v>256779419630</v>
      </c>
      <c r="N250" s="27" t="s">
        <v>1007</v>
      </c>
      <c r="O250" s="27" t="s">
        <v>1008</v>
      </c>
      <c r="P250" s="27" t="s">
        <v>41</v>
      </c>
      <c r="Q250" s="27" t="s">
        <v>1025</v>
      </c>
      <c r="R250" s="27" t="s">
        <v>46</v>
      </c>
      <c r="S250" s="30">
        <v>112.58</v>
      </c>
      <c r="T250" s="27" t="s">
        <v>42</v>
      </c>
      <c r="U250" s="30">
        <v>9907.42</v>
      </c>
      <c r="V250" s="27" t="s">
        <v>1026</v>
      </c>
      <c r="W250" s="27" t="s">
        <v>1010</v>
      </c>
      <c r="X250" s="27" t="s">
        <v>41</v>
      </c>
      <c r="Y250" s="27" t="s">
        <v>1067</v>
      </c>
      <c r="Z250" s="27" t="s">
        <v>1011</v>
      </c>
      <c r="AA250" s="27"/>
      <c r="AB250" s="27"/>
      <c r="AC250" s="27"/>
      <c r="AD250" s="27" t="e">
        <f>_xlfn.XLOOKUP(M250,'Customer Data Vlookup'!$R:$R,'Customer Data Vlookup'!$S:$S,,0)</f>
        <v>#N/A</v>
      </c>
      <c r="AE250" s="27"/>
      <c r="AF250" s="27"/>
      <c r="AG250" s="27" t="s">
        <v>449</v>
      </c>
      <c r="AH250" s="27" t="s">
        <v>41</v>
      </c>
      <c r="AI250" s="27" t="s">
        <v>41</v>
      </c>
      <c r="AJ250" s="27" t="s">
        <v>41</v>
      </c>
      <c r="AK250" s="28">
        <v>45981</v>
      </c>
      <c r="AL250" s="28"/>
      <c r="AM250" s="27" t="s">
        <v>41</v>
      </c>
    </row>
    <row r="251" spans="1:39" outlineLevel="2" x14ac:dyDescent="0.35">
      <c r="A251" s="1" t="s">
        <v>1016</v>
      </c>
      <c r="B251" s="1" t="s">
        <v>1003</v>
      </c>
      <c r="C251" s="1" t="s">
        <v>1004</v>
      </c>
      <c r="D251" s="1" t="s">
        <v>1005</v>
      </c>
      <c r="E251" s="1" t="s">
        <v>9</v>
      </c>
      <c r="F251" s="1" t="s">
        <v>1015</v>
      </c>
      <c r="G251" s="9">
        <v>45769</v>
      </c>
      <c r="H251" s="27" t="s">
        <v>450</v>
      </c>
      <c r="I251" s="27" t="s">
        <v>5</v>
      </c>
      <c r="J251" s="28">
        <v>45769</v>
      </c>
      <c r="K251" s="28">
        <v>45770</v>
      </c>
      <c r="L251" s="27" t="s">
        <v>1023</v>
      </c>
      <c r="M251" s="29">
        <v>256779412550</v>
      </c>
      <c r="N251" s="27" t="s">
        <v>1007</v>
      </c>
      <c r="O251" s="27" t="s">
        <v>1008</v>
      </c>
      <c r="P251" s="27" t="s">
        <v>41</v>
      </c>
      <c r="Q251" s="27" t="s">
        <v>1025</v>
      </c>
      <c r="R251" s="27" t="s">
        <v>46</v>
      </c>
      <c r="S251" s="30">
        <v>87.2</v>
      </c>
      <c r="T251" s="27" t="s">
        <v>42</v>
      </c>
      <c r="U251" s="30">
        <v>7579.58</v>
      </c>
      <c r="V251" s="27" t="s">
        <v>1026</v>
      </c>
      <c r="W251" s="27" t="s">
        <v>1010</v>
      </c>
      <c r="X251" s="27" t="s">
        <v>41</v>
      </c>
      <c r="Y251" s="27" t="s">
        <v>1023</v>
      </c>
      <c r="Z251" s="27" t="s">
        <v>1011</v>
      </c>
      <c r="AA251" s="27"/>
      <c r="AB251" s="27"/>
      <c r="AC251" s="27"/>
      <c r="AD251" s="27" t="e">
        <f>_xlfn.XLOOKUP(M251,'Customer Data Vlookup'!$R:$R,'Customer Data Vlookup'!$S:$S,,0)</f>
        <v>#N/A</v>
      </c>
      <c r="AE251" s="27"/>
      <c r="AF251" s="27"/>
      <c r="AG251" s="27" t="s">
        <v>451</v>
      </c>
      <c r="AH251" s="27" t="s">
        <v>41</v>
      </c>
      <c r="AI251" s="27" t="s">
        <v>41</v>
      </c>
      <c r="AJ251" s="27" t="s">
        <v>41</v>
      </c>
      <c r="AK251" s="28">
        <v>45769</v>
      </c>
      <c r="AL251" s="28"/>
      <c r="AM251" s="27" t="s">
        <v>41</v>
      </c>
    </row>
    <row r="252" spans="1:39" outlineLevel="2" x14ac:dyDescent="0.35">
      <c r="A252" s="1" t="s">
        <v>1016</v>
      </c>
      <c r="B252" s="1" t="s">
        <v>1003</v>
      </c>
      <c r="C252" s="1" t="s">
        <v>1004</v>
      </c>
      <c r="D252" s="1" t="s">
        <v>1005</v>
      </c>
      <c r="E252" s="1" t="s">
        <v>9</v>
      </c>
      <c r="F252" s="1" t="s">
        <v>1015</v>
      </c>
      <c r="G252" s="9">
        <v>45769</v>
      </c>
      <c r="H252" s="27" t="s">
        <v>452</v>
      </c>
      <c r="I252" s="27" t="s">
        <v>5</v>
      </c>
      <c r="J252" s="28">
        <v>45769</v>
      </c>
      <c r="K252" s="28">
        <v>45770</v>
      </c>
      <c r="L252" s="27" t="s">
        <v>1023</v>
      </c>
      <c r="M252" s="29">
        <v>256779412582</v>
      </c>
      <c r="N252" s="27" t="s">
        <v>1007</v>
      </c>
      <c r="O252" s="27" t="s">
        <v>1008</v>
      </c>
      <c r="P252" s="27" t="s">
        <v>41</v>
      </c>
      <c r="Q252" s="27" t="s">
        <v>1025</v>
      </c>
      <c r="R252" s="27" t="s">
        <v>46</v>
      </c>
      <c r="S252" s="30">
        <v>56.95</v>
      </c>
      <c r="T252" s="27" t="s">
        <v>42</v>
      </c>
      <c r="U252" s="30">
        <v>4950.2</v>
      </c>
      <c r="V252" s="27" t="s">
        <v>1026</v>
      </c>
      <c r="W252" s="27" t="s">
        <v>1010</v>
      </c>
      <c r="X252" s="27" t="s">
        <v>41</v>
      </c>
      <c r="Y252" s="27" t="s">
        <v>1023</v>
      </c>
      <c r="Z252" s="27" t="s">
        <v>1011</v>
      </c>
      <c r="AA252" s="27"/>
      <c r="AB252" s="27"/>
      <c r="AC252" s="27"/>
      <c r="AD252" s="27" t="e">
        <f>_xlfn.XLOOKUP(M252,'Customer Data Vlookup'!$R:$R,'Customer Data Vlookup'!$S:$S,,0)</f>
        <v>#N/A</v>
      </c>
      <c r="AE252" s="27"/>
      <c r="AF252" s="27"/>
      <c r="AG252" s="27" t="s">
        <v>451</v>
      </c>
      <c r="AH252" s="27" t="s">
        <v>41</v>
      </c>
      <c r="AI252" s="27" t="s">
        <v>41</v>
      </c>
      <c r="AJ252" s="27" t="s">
        <v>41</v>
      </c>
      <c r="AK252" s="28">
        <v>45769</v>
      </c>
      <c r="AL252" s="28"/>
      <c r="AM252" s="27" t="s">
        <v>41</v>
      </c>
    </row>
    <row r="253" spans="1:39" outlineLevel="2" x14ac:dyDescent="0.35">
      <c r="A253" s="1" t="s">
        <v>1016</v>
      </c>
      <c r="B253" s="1" t="s">
        <v>1003</v>
      </c>
      <c r="C253" s="1" t="s">
        <v>1004</v>
      </c>
      <c r="D253" s="1" t="s">
        <v>1005</v>
      </c>
      <c r="E253" s="1" t="s">
        <v>9</v>
      </c>
      <c r="F253" s="1" t="s">
        <v>1015</v>
      </c>
      <c r="G253" s="9">
        <v>45769</v>
      </c>
      <c r="H253" s="27" t="s">
        <v>453</v>
      </c>
      <c r="I253" s="27" t="s">
        <v>5</v>
      </c>
      <c r="J253" s="28">
        <v>45769</v>
      </c>
      <c r="K253" s="28">
        <v>45770</v>
      </c>
      <c r="L253" s="27" t="s">
        <v>1023</v>
      </c>
      <c r="M253" s="29">
        <v>256779412615</v>
      </c>
      <c r="N253" s="27" t="s">
        <v>1007</v>
      </c>
      <c r="O253" s="27" t="s">
        <v>1008</v>
      </c>
      <c r="P253" s="27" t="s">
        <v>41</v>
      </c>
      <c r="Q253" s="27" t="s">
        <v>1025</v>
      </c>
      <c r="R253" s="27" t="s">
        <v>46</v>
      </c>
      <c r="S253" s="30">
        <v>87.2</v>
      </c>
      <c r="T253" s="27" t="s">
        <v>42</v>
      </c>
      <c r="U253" s="30">
        <v>7579.58</v>
      </c>
      <c r="V253" s="27" t="s">
        <v>1026</v>
      </c>
      <c r="W253" s="27" t="s">
        <v>1010</v>
      </c>
      <c r="X253" s="27" t="s">
        <v>41</v>
      </c>
      <c r="Y253" s="27" t="s">
        <v>1023</v>
      </c>
      <c r="Z253" s="27" t="s">
        <v>1011</v>
      </c>
      <c r="AA253" s="27"/>
      <c r="AB253" s="27"/>
      <c r="AC253" s="27"/>
      <c r="AD253" s="27" t="e">
        <f>_xlfn.XLOOKUP(M253,'Customer Data Vlookup'!$R:$R,'Customer Data Vlookup'!$S:$S,,0)</f>
        <v>#N/A</v>
      </c>
      <c r="AE253" s="27"/>
      <c r="AF253" s="27"/>
      <c r="AG253" s="27" t="s">
        <v>454</v>
      </c>
      <c r="AH253" s="27" t="s">
        <v>41</v>
      </c>
      <c r="AI253" s="27" t="s">
        <v>41</v>
      </c>
      <c r="AJ253" s="27" t="s">
        <v>41</v>
      </c>
      <c r="AK253" s="28">
        <v>45769</v>
      </c>
      <c r="AL253" s="28"/>
      <c r="AM253" s="27" t="s">
        <v>41</v>
      </c>
    </row>
    <row r="254" spans="1:39" outlineLevel="2" x14ac:dyDescent="0.35">
      <c r="A254" s="1" t="s">
        <v>1016</v>
      </c>
      <c r="B254" s="1" t="s">
        <v>1003</v>
      </c>
      <c r="C254" s="1" t="s">
        <v>1004</v>
      </c>
      <c r="D254" s="1" t="s">
        <v>1005</v>
      </c>
      <c r="E254" s="1" t="s">
        <v>9</v>
      </c>
      <c r="F254" s="1" t="s">
        <v>1015</v>
      </c>
      <c r="G254" s="9">
        <v>45769</v>
      </c>
      <c r="H254" s="27" t="s">
        <v>455</v>
      </c>
      <c r="I254" s="27" t="s">
        <v>5</v>
      </c>
      <c r="J254" s="28">
        <v>45769</v>
      </c>
      <c r="K254" s="28">
        <v>45770</v>
      </c>
      <c r="L254" s="27" t="s">
        <v>1023</v>
      </c>
      <c r="M254" s="29">
        <v>256779412657</v>
      </c>
      <c r="N254" s="27" t="s">
        <v>1007</v>
      </c>
      <c r="O254" s="27" t="s">
        <v>1008</v>
      </c>
      <c r="P254" s="27" t="s">
        <v>41</v>
      </c>
      <c r="Q254" s="27" t="s">
        <v>1025</v>
      </c>
      <c r="R254" s="27" t="s">
        <v>46</v>
      </c>
      <c r="S254" s="30">
        <v>4.93</v>
      </c>
      <c r="T254" s="27" t="s">
        <v>42</v>
      </c>
      <c r="U254" s="30">
        <v>428.52</v>
      </c>
      <c r="V254" s="27" t="s">
        <v>1026</v>
      </c>
      <c r="W254" s="27" t="s">
        <v>1010</v>
      </c>
      <c r="X254" s="27" t="s">
        <v>41</v>
      </c>
      <c r="Y254" s="27" t="s">
        <v>1023</v>
      </c>
      <c r="Z254" s="27" t="s">
        <v>1011</v>
      </c>
      <c r="AA254" s="27"/>
      <c r="AB254" s="27"/>
      <c r="AC254" s="27"/>
      <c r="AD254" s="27" t="e">
        <f>_xlfn.XLOOKUP(M254,'Customer Data Vlookup'!$R:$R,'Customer Data Vlookup'!$S:$S,,0)</f>
        <v>#N/A</v>
      </c>
      <c r="AE254" s="27"/>
      <c r="AF254" s="27"/>
      <c r="AG254" s="27" t="s">
        <v>456</v>
      </c>
      <c r="AH254" s="27" t="s">
        <v>41</v>
      </c>
      <c r="AI254" s="27" t="s">
        <v>41</v>
      </c>
      <c r="AJ254" s="27" t="s">
        <v>41</v>
      </c>
      <c r="AK254" s="28">
        <v>45769</v>
      </c>
      <c r="AL254" s="28"/>
      <c r="AM254" s="27" t="s">
        <v>41</v>
      </c>
    </row>
    <row r="255" spans="1:39" outlineLevel="2" x14ac:dyDescent="0.35">
      <c r="A255" s="1" t="s">
        <v>1016</v>
      </c>
      <c r="B255" s="1" t="s">
        <v>1003</v>
      </c>
      <c r="C255" s="1" t="s">
        <v>1004</v>
      </c>
      <c r="D255" s="1" t="s">
        <v>1005</v>
      </c>
      <c r="E255" s="1" t="s">
        <v>9</v>
      </c>
      <c r="F255" s="1" t="s">
        <v>1006</v>
      </c>
      <c r="G255" s="9">
        <v>45918</v>
      </c>
      <c r="H255" s="27" t="s">
        <v>457</v>
      </c>
      <c r="I255" s="27" t="s">
        <v>5</v>
      </c>
      <c r="J255" s="28">
        <v>45918</v>
      </c>
      <c r="K255" s="28">
        <v>45922</v>
      </c>
      <c r="L255" s="27" t="s">
        <v>1023</v>
      </c>
      <c r="M255" s="29">
        <v>256779417420</v>
      </c>
      <c r="N255" s="27" t="s">
        <v>1007</v>
      </c>
      <c r="O255" s="27" t="s">
        <v>1008</v>
      </c>
      <c r="P255" s="27" t="s">
        <v>41</v>
      </c>
      <c r="Q255" s="27" t="s">
        <v>1025</v>
      </c>
      <c r="R255" s="27" t="s">
        <v>46</v>
      </c>
      <c r="S255" s="30">
        <v>35</v>
      </c>
      <c r="T255" s="27" t="s">
        <v>42</v>
      </c>
      <c r="U255" s="30">
        <v>3063</v>
      </c>
      <c r="V255" s="27" t="s">
        <v>1026</v>
      </c>
      <c r="W255" s="27" t="s">
        <v>1010</v>
      </c>
      <c r="X255" s="27" t="s">
        <v>41</v>
      </c>
      <c r="Y255" s="27" t="s">
        <v>1068</v>
      </c>
      <c r="Z255" s="27" t="s">
        <v>1011</v>
      </c>
      <c r="AA255" s="27"/>
      <c r="AB255" s="27"/>
      <c r="AC255" s="27"/>
      <c r="AD255" s="27" t="e">
        <f>_xlfn.XLOOKUP(M255,'Customer Data Vlookup'!$R:$R,'Customer Data Vlookup'!$S:$S,,0)</f>
        <v>#N/A</v>
      </c>
      <c r="AE255" s="27"/>
      <c r="AF255" s="27"/>
      <c r="AG255" s="27" t="s">
        <v>458</v>
      </c>
      <c r="AH255" s="27" t="s">
        <v>41</v>
      </c>
      <c r="AI255" s="27" t="s">
        <v>41</v>
      </c>
      <c r="AJ255" s="27" t="s">
        <v>41</v>
      </c>
      <c r="AK255" s="28">
        <v>45918</v>
      </c>
      <c r="AL255" s="28"/>
      <c r="AM255" s="27" t="s">
        <v>41</v>
      </c>
    </row>
    <row r="256" spans="1:39" outlineLevel="2" x14ac:dyDescent="0.35">
      <c r="A256" s="1" t="s">
        <v>1016</v>
      </c>
      <c r="B256" s="1" t="s">
        <v>1003</v>
      </c>
      <c r="C256" s="1" t="s">
        <v>1004</v>
      </c>
      <c r="D256" s="1" t="s">
        <v>1005</v>
      </c>
      <c r="E256" s="1" t="s">
        <v>9</v>
      </c>
      <c r="F256" s="1" t="s">
        <v>1006</v>
      </c>
      <c r="G256" s="9">
        <v>45918</v>
      </c>
      <c r="H256" s="27" t="s">
        <v>1069</v>
      </c>
      <c r="I256" s="27" t="s">
        <v>5</v>
      </c>
      <c r="J256" s="28">
        <v>45918</v>
      </c>
      <c r="K256" s="28">
        <v>45922</v>
      </c>
      <c r="L256" s="27" t="s">
        <v>1023</v>
      </c>
      <c r="M256" s="29">
        <v>256779417490</v>
      </c>
      <c r="N256" s="27" t="s">
        <v>1007</v>
      </c>
      <c r="O256" s="27" t="s">
        <v>1008</v>
      </c>
      <c r="P256" s="27" t="s">
        <v>41</v>
      </c>
      <c r="Q256" s="27" t="s">
        <v>1025</v>
      </c>
      <c r="R256" s="27" t="s">
        <v>46</v>
      </c>
      <c r="S256" s="30">
        <v>850</v>
      </c>
      <c r="T256" s="27" t="s">
        <v>42</v>
      </c>
      <c r="U256" s="30">
        <v>74387.179999999993</v>
      </c>
      <c r="V256" s="27" t="s">
        <v>1026</v>
      </c>
      <c r="W256" s="27" t="s">
        <v>1010</v>
      </c>
      <c r="X256" s="27" t="s">
        <v>41</v>
      </c>
      <c r="Y256" s="27" t="s">
        <v>1070</v>
      </c>
      <c r="Z256" s="27" t="s">
        <v>1011</v>
      </c>
      <c r="AA256" s="27"/>
      <c r="AB256" s="27"/>
      <c r="AC256" s="27"/>
      <c r="AD256" s="27" t="e">
        <f>_xlfn.XLOOKUP(M256,'Customer Data Vlookup'!$R:$R,'Customer Data Vlookup'!$S:$S,,0)</f>
        <v>#N/A</v>
      </c>
      <c r="AE256" s="27"/>
      <c r="AF256" s="27"/>
      <c r="AG256" s="27" t="s">
        <v>459</v>
      </c>
      <c r="AH256" s="27" t="s">
        <v>41</v>
      </c>
      <c r="AI256" s="27" t="s">
        <v>41</v>
      </c>
      <c r="AJ256" s="27" t="s">
        <v>41</v>
      </c>
      <c r="AK256" s="28">
        <v>45918</v>
      </c>
      <c r="AL256" s="28"/>
      <c r="AM256" s="27" t="s">
        <v>41</v>
      </c>
    </row>
    <row r="257" spans="1:39" outlineLevel="2" x14ac:dyDescent="0.35">
      <c r="A257" s="1" t="s">
        <v>1016</v>
      </c>
      <c r="B257" s="1" t="s">
        <v>1003</v>
      </c>
      <c r="C257" s="1" t="s">
        <v>1004</v>
      </c>
      <c r="D257" s="1" t="s">
        <v>1005</v>
      </c>
      <c r="E257" s="1" t="s">
        <v>9</v>
      </c>
      <c r="F257" s="1" t="s">
        <v>1006</v>
      </c>
      <c r="G257" s="9">
        <v>45918</v>
      </c>
      <c r="H257" s="27" t="s">
        <v>460</v>
      </c>
      <c r="I257" s="27" t="s">
        <v>5</v>
      </c>
      <c r="J257" s="28">
        <v>45918</v>
      </c>
      <c r="K257" s="28">
        <v>45922</v>
      </c>
      <c r="L257" s="27" t="s">
        <v>1023</v>
      </c>
      <c r="M257" s="29">
        <v>256779417526</v>
      </c>
      <c r="N257" s="27" t="s">
        <v>1007</v>
      </c>
      <c r="O257" s="27" t="s">
        <v>1008</v>
      </c>
      <c r="P257" s="27" t="s">
        <v>41</v>
      </c>
      <c r="Q257" s="27" t="s">
        <v>1025</v>
      </c>
      <c r="R257" s="27" t="s">
        <v>46</v>
      </c>
      <c r="S257" s="30">
        <v>22.43</v>
      </c>
      <c r="T257" s="27" t="s">
        <v>42</v>
      </c>
      <c r="U257" s="30">
        <v>1962.95</v>
      </c>
      <c r="V257" s="27" t="s">
        <v>1026</v>
      </c>
      <c r="W257" s="27" t="s">
        <v>1010</v>
      </c>
      <c r="X257" s="27" t="s">
        <v>41</v>
      </c>
      <c r="Y257" s="27" t="s">
        <v>1071</v>
      </c>
      <c r="Z257" s="27" t="s">
        <v>1011</v>
      </c>
      <c r="AA257" s="27"/>
      <c r="AB257" s="27"/>
      <c r="AC257" s="27"/>
      <c r="AD257" s="27" t="e">
        <f>_xlfn.XLOOKUP(M257,'Customer Data Vlookup'!$R:$R,'Customer Data Vlookup'!$S:$S,,0)</f>
        <v>#N/A</v>
      </c>
      <c r="AE257" s="27"/>
      <c r="AF257" s="27"/>
      <c r="AG257" s="27" t="s">
        <v>461</v>
      </c>
      <c r="AH257" s="27" t="s">
        <v>41</v>
      </c>
      <c r="AI257" s="27" t="s">
        <v>41</v>
      </c>
      <c r="AJ257" s="27" t="s">
        <v>41</v>
      </c>
      <c r="AK257" s="28">
        <v>45918</v>
      </c>
      <c r="AL257" s="28"/>
      <c r="AM257" s="27" t="s">
        <v>41</v>
      </c>
    </row>
    <row r="258" spans="1:39" outlineLevel="2" x14ac:dyDescent="0.35">
      <c r="A258" s="1" t="s">
        <v>1016</v>
      </c>
      <c r="B258" s="1" t="s">
        <v>1003</v>
      </c>
      <c r="C258" s="1" t="s">
        <v>1004</v>
      </c>
      <c r="D258" s="1" t="s">
        <v>1005</v>
      </c>
      <c r="E258" s="1" t="s">
        <v>9</v>
      </c>
      <c r="F258" s="1" t="s">
        <v>1006</v>
      </c>
      <c r="G258" s="9">
        <v>45918</v>
      </c>
      <c r="H258" s="27" t="s">
        <v>462</v>
      </c>
      <c r="I258" s="27" t="s">
        <v>5</v>
      </c>
      <c r="J258" s="28">
        <v>45918</v>
      </c>
      <c r="K258" s="28">
        <v>45922</v>
      </c>
      <c r="L258" s="27" t="s">
        <v>1023</v>
      </c>
      <c r="M258" s="29">
        <v>256779417568</v>
      </c>
      <c r="N258" s="27" t="s">
        <v>1007</v>
      </c>
      <c r="O258" s="27" t="s">
        <v>1008</v>
      </c>
      <c r="P258" s="27" t="s">
        <v>41</v>
      </c>
      <c r="Q258" s="27" t="s">
        <v>1025</v>
      </c>
      <c r="R258" s="27" t="s">
        <v>46</v>
      </c>
      <c r="S258" s="30">
        <v>293.89</v>
      </c>
      <c r="T258" s="27" t="s">
        <v>42</v>
      </c>
      <c r="U258" s="30">
        <v>25719.59</v>
      </c>
      <c r="V258" s="27" t="s">
        <v>1026</v>
      </c>
      <c r="W258" s="27" t="s">
        <v>1010</v>
      </c>
      <c r="X258" s="27" t="s">
        <v>41</v>
      </c>
      <c r="Y258" s="27" t="s">
        <v>1072</v>
      </c>
      <c r="Z258" s="27" t="s">
        <v>1011</v>
      </c>
      <c r="AA258" s="27"/>
      <c r="AB258" s="27"/>
      <c r="AC258" s="27"/>
      <c r="AD258" s="27" t="e">
        <f>_xlfn.XLOOKUP(M258,'Customer Data Vlookup'!$R:$R,'Customer Data Vlookup'!$S:$S,,0)</f>
        <v>#N/A</v>
      </c>
      <c r="AE258" s="27"/>
      <c r="AF258" s="27"/>
      <c r="AG258" s="27" t="s">
        <v>463</v>
      </c>
      <c r="AH258" s="27" t="s">
        <v>41</v>
      </c>
      <c r="AI258" s="27" t="s">
        <v>41</v>
      </c>
      <c r="AJ258" s="27" t="s">
        <v>41</v>
      </c>
      <c r="AK258" s="28">
        <v>45918</v>
      </c>
      <c r="AL258" s="28"/>
      <c r="AM258" s="27" t="s">
        <v>41</v>
      </c>
    </row>
    <row r="259" spans="1:39" outlineLevel="2" x14ac:dyDescent="0.35">
      <c r="A259" s="1" t="s">
        <v>1016</v>
      </c>
      <c r="B259" s="1" t="s">
        <v>1003</v>
      </c>
      <c r="C259" s="1" t="s">
        <v>1004</v>
      </c>
      <c r="D259" s="1" t="s">
        <v>1005</v>
      </c>
      <c r="E259" s="1" t="s">
        <v>9</v>
      </c>
      <c r="F259" s="1" t="s">
        <v>1029</v>
      </c>
      <c r="G259" s="9">
        <v>45996</v>
      </c>
      <c r="H259" s="27" t="s">
        <v>1073</v>
      </c>
      <c r="I259" s="27" t="s">
        <v>5</v>
      </c>
      <c r="J259" s="28">
        <v>45996</v>
      </c>
      <c r="K259" s="28">
        <v>46000</v>
      </c>
      <c r="L259" s="27" t="s">
        <v>1023</v>
      </c>
      <c r="M259" s="29">
        <v>256779419796</v>
      </c>
      <c r="N259" s="27" t="s">
        <v>1007</v>
      </c>
      <c r="O259" s="27" t="s">
        <v>1008</v>
      </c>
      <c r="P259" s="27" t="s">
        <v>41</v>
      </c>
      <c r="Q259" s="27" t="s">
        <v>1025</v>
      </c>
      <c r="R259" s="27" t="s">
        <v>46</v>
      </c>
      <c r="S259" s="30">
        <v>850</v>
      </c>
      <c r="T259" s="27" t="s">
        <v>42</v>
      </c>
      <c r="U259" s="30">
        <v>75395.12</v>
      </c>
      <c r="V259" s="27" t="s">
        <v>1026</v>
      </c>
      <c r="W259" s="27" t="s">
        <v>1010</v>
      </c>
      <c r="X259" s="27" t="s">
        <v>41</v>
      </c>
      <c r="Y259" s="27" t="s">
        <v>1074</v>
      </c>
      <c r="Z259" s="27" t="s">
        <v>1011</v>
      </c>
      <c r="AA259" s="27"/>
      <c r="AB259" s="27"/>
      <c r="AC259" s="27"/>
      <c r="AD259" s="27" t="e">
        <f>_xlfn.XLOOKUP(M259,'Customer Data Vlookup'!$R:$R,'Customer Data Vlookup'!$S:$S,,0)</f>
        <v>#N/A</v>
      </c>
      <c r="AE259" s="27"/>
      <c r="AF259" s="27"/>
      <c r="AG259" s="27" t="s">
        <v>464</v>
      </c>
      <c r="AH259" s="27" t="s">
        <v>41</v>
      </c>
      <c r="AI259" s="27" t="s">
        <v>41</v>
      </c>
      <c r="AJ259" s="27" t="s">
        <v>41</v>
      </c>
      <c r="AK259" s="28">
        <v>45996</v>
      </c>
      <c r="AL259" s="28"/>
      <c r="AM259" s="27" t="s">
        <v>41</v>
      </c>
    </row>
    <row r="260" spans="1:39" outlineLevel="2" x14ac:dyDescent="0.35">
      <c r="A260" s="1" t="s">
        <v>1016</v>
      </c>
      <c r="B260" s="1" t="s">
        <v>1003</v>
      </c>
      <c r="C260" s="1" t="s">
        <v>1004</v>
      </c>
      <c r="D260" s="1" t="s">
        <v>1005</v>
      </c>
      <c r="E260" s="1" t="s">
        <v>9</v>
      </c>
      <c r="F260" s="1" t="s">
        <v>1029</v>
      </c>
      <c r="G260" s="9">
        <v>45996</v>
      </c>
      <c r="H260" s="27" t="s">
        <v>465</v>
      </c>
      <c r="I260" s="27" t="s">
        <v>5</v>
      </c>
      <c r="J260" s="28">
        <v>45996</v>
      </c>
      <c r="K260" s="28">
        <v>46000</v>
      </c>
      <c r="L260" s="27" t="s">
        <v>1023</v>
      </c>
      <c r="M260" s="29">
        <v>256779419918</v>
      </c>
      <c r="N260" s="27" t="s">
        <v>1007</v>
      </c>
      <c r="O260" s="27" t="s">
        <v>1008</v>
      </c>
      <c r="P260" s="27" t="s">
        <v>41</v>
      </c>
      <c r="Q260" s="27" t="s">
        <v>1025</v>
      </c>
      <c r="R260" s="27" t="s">
        <v>46</v>
      </c>
      <c r="S260" s="30">
        <v>111.4</v>
      </c>
      <c r="T260" s="27" t="s">
        <v>42</v>
      </c>
      <c r="U260" s="30">
        <v>9881.2000000000007</v>
      </c>
      <c r="V260" s="27" t="s">
        <v>1026</v>
      </c>
      <c r="W260" s="27" t="s">
        <v>1010</v>
      </c>
      <c r="X260" s="27" t="s">
        <v>41</v>
      </c>
      <c r="Y260" s="27" t="s">
        <v>1075</v>
      </c>
      <c r="Z260" s="27" t="s">
        <v>1011</v>
      </c>
      <c r="AA260" s="27"/>
      <c r="AB260" s="27"/>
      <c r="AC260" s="27"/>
      <c r="AD260" s="27" t="e">
        <f>_xlfn.XLOOKUP(M260,'Customer Data Vlookup'!$R:$R,'Customer Data Vlookup'!$S:$S,,0)</f>
        <v>#N/A</v>
      </c>
      <c r="AE260" s="27"/>
      <c r="AF260" s="27"/>
      <c r="AG260" s="27" t="s">
        <v>466</v>
      </c>
      <c r="AH260" s="27" t="s">
        <v>41</v>
      </c>
      <c r="AI260" s="27" t="s">
        <v>41</v>
      </c>
      <c r="AJ260" s="27" t="s">
        <v>41</v>
      </c>
      <c r="AK260" s="28">
        <v>45996</v>
      </c>
      <c r="AL260" s="28"/>
      <c r="AM260" s="27" t="s">
        <v>41</v>
      </c>
    </row>
    <row r="261" spans="1:39" outlineLevel="2" x14ac:dyDescent="0.35">
      <c r="A261" s="1" t="s">
        <v>1016</v>
      </c>
      <c r="B261" s="1" t="s">
        <v>1003</v>
      </c>
      <c r="C261" s="1" t="s">
        <v>1004</v>
      </c>
      <c r="D261" s="1" t="s">
        <v>1005</v>
      </c>
      <c r="E261" s="1" t="s">
        <v>9</v>
      </c>
      <c r="F261" s="1" t="s">
        <v>1015</v>
      </c>
      <c r="G261" s="9">
        <v>45770</v>
      </c>
      <c r="H261" s="27" t="s">
        <v>467</v>
      </c>
      <c r="I261" s="27" t="s">
        <v>5</v>
      </c>
      <c r="J261" s="28">
        <v>45770</v>
      </c>
      <c r="K261" s="28">
        <v>45776</v>
      </c>
      <c r="L261" s="27" t="s">
        <v>1023</v>
      </c>
      <c r="M261" s="29">
        <v>256779412928</v>
      </c>
      <c r="N261" s="27" t="s">
        <v>1007</v>
      </c>
      <c r="O261" s="27" t="s">
        <v>1008</v>
      </c>
      <c r="P261" s="27" t="s">
        <v>41</v>
      </c>
      <c r="Q261" s="27" t="s">
        <v>1025</v>
      </c>
      <c r="R261" s="27" t="s">
        <v>46</v>
      </c>
      <c r="S261" s="30">
        <v>12.12</v>
      </c>
      <c r="T261" s="27" t="s">
        <v>42</v>
      </c>
      <c r="U261" s="30">
        <v>1053.49</v>
      </c>
      <c r="V261" s="27" t="s">
        <v>1026</v>
      </c>
      <c r="W261" s="27" t="s">
        <v>1010</v>
      </c>
      <c r="X261" s="27" t="s">
        <v>41</v>
      </c>
      <c r="Y261" s="27" t="s">
        <v>1023</v>
      </c>
      <c r="Z261" s="27" t="s">
        <v>1011</v>
      </c>
      <c r="AA261" s="27"/>
      <c r="AB261" s="27"/>
      <c r="AC261" s="27"/>
      <c r="AD261" s="27" t="e">
        <f>_xlfn.XLOOKUP(M261,'Customer Data Vlookup'!$R:$R,'Customer Data Vlookup'!$S:$S,,0)</f>
        <v>#N/A</v>
      </c>
      <c r="AE261" s="27"/>
      <c r="AF261" s="27"/>
      <c r="AG261" s="27" t="s">
        <v>468</v>
      </c>
      <c r="AH261" s="27" t="s">
        <v>41</v>
      </c>
      <c r="AI261" s="27" t="s">
        <v>41</v>
      </c>
      <c r="AJ261" s="27" t="s">
        <v>41</v>
      </c>
      <c r="AK261" s="28">
        <v>45770</v>
      </c>
      <c r="AL261" s="28"/>
      <c r="AM261" s="27" t="s">
        <v>41</v>
      </c>
    </row>
    <row r="262" spans="1:39" outlineLevel="2" x14ac:dyDescent="0.35">
      <c r="A262" s="1" t="s">
        <v>1016</v>
      </c>
      <c r="B262" s="1" t="s">
        <v>1003</v>
      </c>
      <c r="C262" s="1" t="s">
        <v>1004</v>
      </c>
      <c r="D262" s="1" t="s">
        <v>1005</v>
      </c>
      <c r="E262" s="1" t="s">
        <v>9</v>
      </c>
      <c r="F262" s="1" t="s">
        <v>1021</v>
      </c>
      <c r="G262" s="9">
        <v>45737</v>
      </c>
      <c r="H262" s="27" t="s">
        <v>469</v>
      </c>
      <c r="I262" s="27" t="s">
        <v>5</v>
      </c>
      <c r="J262" s="28">
        <v>45737</v>
      </c>
      <c r="K262" s="28">
        <v>45737</v>
      </c>
      <c r="L262" s="27" t="s">
        <v>1023</v>
      </c>
      <c r="M262" s="29">
        <v>246779414318</v>
      </c>
      <c r="N262" s="27" t="s">
        <v>1007</v>
      </c>
      <c r="O262" s="27" t="s">
        <v>1008</v>
      </c>
      <c r="P262" s="27" t="s">
        <v>41</v>
      </c>
      <c r="Q262" s="27" t="s">
        <v>1025</v>
      </c>
      <c r="R262" s="27" t="s">
        <v>46</v>
      </c>
      <c r="S262" s="30">
        <v>45.74</v>
      </c>
      <c r="T262" s="27" t="s">
        <v>42</v>
      </c>
      <c r="U262" s="30">
        <v>3965.26</v>
      </c>
      <c r="V262" s="27" t="s">
        <v>1026</v>
      </c>
      <c r="W262" s="27" t="s">
        <v>1010</v>
      </c>
      <c r="X262" s="27" t="s">
        <v>41</v>
      </c>
      <c r="Y262" s="27" t="s">
        <v>1023</v>
      </c>
      <c r="Z262" s="27" t="s">
        <v>1011</v>
      </c>
      <c r="AA262" s="27"/>
      <c r="AB262" s="27"/>
      <c r="AC262" s="27"/>
      <c r="AD262" s="27" t="e">
        <f>_xlfn.XLOOKUP(M262,'Customer Data Vlookup'!$R:$R,'Customer Data Vlookup'!$S:$S,,0)</f>
        <v>#N/A</v>
      </c>
      <c r="AE262" s="27"/>
      <c r="AF262" s="27"/>
      <c r="AG262" s="27" t="s">
        <v>470</v>
      </c>
      <c r="AH262" s="27" t="s">
        <v>41</v>
      </c>
      <c r="AI262" s="27" t="s">
        <v>41</v>
      </c>
      <c r="AJ262" s="27" t="s">
        <v>41</v>
      </c>
      <c r="AK262" s="28">
        <v>45737</v>
      </c>
      <c r="AL262" s="28"/>
      <c r="AM262" s="27" t="s">
        <v>41</v>
      </c>
    </row>
    <row r="263" spans="1:39" outlineLevel="2" x14ac:dyDescent="0.35">
      <c r="A263" s="1" t="s">
        <v>1016</v>
      </c>
      <c r="B263" s="1" t="s">
        <v>1003</v>
      </c>
      <c r="C263" s="1" t="s">
        <v>1004</v>
      </c>
      <c r="D263" s="1" t="s">
        <v>1005</v>
      </c>
      <c r="E263" s="1" t="s">
        <v>9</v>
      </c>
      <c r="F263" s="1" t="s">
        <v>1017</v>
      </c>
      <c r="G263" s="9">
        <v>45937</v>
      </c>
      <c r="H263" s="27" t="s">
        <v>471</v>
      </c>
      <c r="I263" s="27" t="s">
        <v>5</v>
      </c>
      <c r="J263" s="28">
        <v>45937</v>
      </c>
      <c r="K263" s="28">
        <v>45939</v>
      </c>
      <c r="L263" s="27" t="s">
        <v>1023</v>
      </c>
      <c r="M263" s="29">
        <v>256779418180</v>
      </c>
      <c r="N263" s="27" t="s">
        <v>1007</v>
      </c>
      <c r="O263" s="27" t="s">
        <v>1008</v>
      </c>
      <c r="P263" s="27" t="s">
        <v>41</v>
      </c>
      <c r="Q263" s="27" t="s">
        <v>1025</v>
      </c>
      <c r="R263" s="27" t="s">
        <v>46</v>
      </c>
      <c r="S263" s="30">
        <v>173.22</v>
      </c>
      <c r="T263" s="27" t="s">
        <v>42</v>
      </c>
      <c r="U263" s="30">
        <v>15276.41</v>
      </c>
      <c r="V263" s="27" t="s">
        <v>1026</v>
      </c>
      <c r="W263" s="27" t="s">
        <v>1010</v>
      </c>
      <c r="X263" s="27" t="s">
        <v>41</v>
      </c>
      <c r="Y263" s="27" t="s">
        <v>1033</v>
      </c>
      <c r="Z263" s="27" t="s">
        <v>1011</v>
      </c>
      <c r="AA263" s="27"/>
      <c r="AB263" s="27"/>
      <c r="AC263" s="27"/>
      <c r="AD263" s="27" t="e">
        <f>_xlfn.XLOOKUP(M263,'Customer Data Vlookup'!$R:$R,'Customer Data Vlookup'!$S:$S,,0)</f>
        <v>#N/A</v>
      </c>
      <c r="AE263" s="27"/>
      <c r="AF263" s="27"/>
      <c r="AG263" s="27" t="s">
        <v>472</v>
      </c>
      <c r="AH263" s="27" t="s">
        <v>41</v>
      </c>
      <c r="AI263" s="27" t="s">
        <v>41</v>
      </c>
      <c r="AJ263" s="27" t="s">
        <v>41</v>
      </c>
      <c r="AK263" s="28">
        <v>45937</v>
      </c>
      <c r="AL263" s="28"/>
      <c r="AM263" s="27" t="s">
        <v>41</v>
      </c>
    </row>
    <row r="264" spans="1:39" outlineLevel="2" x14ac:dyDescent="0.35">
      <c r="A264" s="1" t="s">
        <v>1016</v>
      </c>
      <c r="B264" s="1" t="s">
        <v>1003</v>
      </c>
      <c r="C264" s="1" t="s">
        <v>1004</v>
      </c>
      <c r="D264" s="1" t="s">
        <v>1005</v>
      </c>
      <c r="E264" s="1" t="s">
        <v>9</v>
      </c>
      <c r="F264" s="1" t="s">
        <v>1024</v>
      </c>
      <c r="G264" s="9">
        <v>45787</v>
      </c>
      <c r="H264" s="27" t="s">
        <v>473</v>
      </c>
      <c r="I264" s="27" t="s">
        <v>5</v>
      </c>
      <c r="J264" s="28">
        <v>45787</v>
      </c>
      <c r="K264" s="28">
        <v>45792</v>
      </c>
      <c r="L264" s="27" t="s">
        <v>1023</v>
      </c>
      <c r="M264" s="29">
        <v>256779413185</v>
      </c>
      <c r="N264" s="27" t="s">
        <v>1007</v>
      </c>
      <c r="O264" s="27" t="s">
        <v>1008</v>
      </c>
      <c r="P264" s="27" t="s">
        <v>41</v>
      </c>
      <c r="Q264" s="27" t="s">
        <v>1025</v>
      </c>
      <c r="R264" s="27" t="s">
        <v>46</v>
      </c>
      <c r="S264" s="30">
        <v>200</v>
      </c>
      <c r="T264" s="27" t="s">
        <v>42</v>
      </c>
      <c r="U264" s="30">
        <v>17196.740000000002</v>
      </c>
      <c r="V264" s="27" t="s">
        <v>1026</v>
      </c>
      <c r="W264" s="27" t="s">
        <v>1010</v>
      </c>
      <c r="X264" s="27" t="s">
        <v>41</v>
      </c>
      <c r="Y264" s="27" t="s">
        <v>1023</v>
      </c>
      <c r="Z264" s="27" t="s">
        <v>1011</v>
      </c>
      <c r="AA264" s="27"/>
      <c r="AB264" s="27"/>
      <c r="AC264" s="27"/>
      <c r="AD264" s="27" t="e">
        <f>_xlfn.XLOOKUP(M264,'Customer Data Vlookup'!$R:$R,'Customer Data Vlookup'!$S:$S,,0)</f>
        <v>#N/A</v>
      </c>
      <c r="AE264" s="27"/>
      <c r="AF264" s="27"/>
      <c r="AG264" s="27" t="s">
        <v>474</v>
      </c>
      <c r="AH264" s="27" t="s">
        <v>41</v>
      </c>
      <c r="AI264" s="27" t="s">
        <v>41</v>
      </c>
      <c r="AJ264" s="27" t="s">
        <v>41</v>
      </c>
      <c r="AK264" s="28">
        <v>45787</v>
      </c>
      <c r="AL264" s="28"/>
      <c r="AM264" s="27" t="s">
        <v>41</v>
      </c>
    </row>
    <row r="265" spans="1:39" outlineLevel="2" x14ac:dyDescent="0.35">
      <c r="A265" s="1" t="s">
        <v>1016</v>
      </c>
      <c r="B265" s="1" t="s">
        <v>1003</v>
      </c>
      <c r="C265" s="1" t="s">
        <v>1004</v>
      </c>
      <c r="D265" s="1" t="s">
        <v>1005</v>
      </c>
      <c r="E265" s="1" t="s">
        <v>9</v>
      </c>
      <c r="F265" s="1" t="s">
        <v>1024</v>
      </c>
      <c r="G265" s="9">
        <v>45787</v>
      </c>
      <c r="H265" s="27" t="s">
        <v>475</v>
      </c>
      <c r="I265" s="27" t="s">
        <v>5</v>
      </c>
      <c r="J265" s="28">
        <v>45787</v>
      </c>
      <c r="K265" s="28">
        <v>45792</v>
      </c>
      <c r="L265" s="27" t="s">
        <v>1023</v>
      </c>
      <c r="M265" s="29">
        <v>256779413244</v>
      </c>
      <c r="N265" s="27" t="s">
        <v>1007</v>
      </c>
      <c r="O265" s="27" t="s">
        <v>1008</v>
      </c>
      <c r="P265" s="27" t="s">
        <v>41</v>
      </c>
      <c r="Q265" s="27" t="s">
        <v>1025</v>
      </c>
      <c r="R265" s="27" t="s">
        <v>46</v>
      </c>
      <c r="S265" s="30">
        <v>401.24</v>
      </c>
      <c r="T265" s="27" t="s">
        <v>42</v>
      </c>
      <c r="U265" s="30">
        <v>34500.1</v>
      </c>
      <c r="V265" s="27" t="s">
        <v>1026</v>
      </c>
      <c r="W265" s="27" t="s">
        <v>1010</v>
      </c>
      <c r="X265" s="27" t="s">
        <v>41</v>
      </c>
      <c r="Y265" s="27" t="s">
        <v>1023</v>
      </c>
      <c r="Z265" s="27" t="s">
        <v>1011</v>
      </c>
      <c r="AA265" s="27"/>
      <c r="AB265" s="27"/>
      <c r="AC265" s="27"/>
      <c r="AD265" s="27" t="e">
        <f>_xlfn.XLOOKUP(M265,'Customer Data Vlookup'!$R:$R,'Customer Data Vlookup'!$S:$S,,0)</f>
        <v>#N/A</v>
      </c>
      <c r="AE265" s="27"/>
      <c r="AF265" s="27"/>
      <c r="AG265" s="27" t="s">
        <v>476</v>
      </c>
      <c r="AH265" s="27" t="s">
        <v>41</v>
      </c>
      <c r="AI265" s="27" t="s">
        <v>41</v>
      </c>
      <c r="AJ265" s="27" t="s">
        <v>41</v>
      </c>
      <c r="AK265" s="28">
        <v>45787</v>
      </c>
      <c r="AL265" s="28"/>
      <c r="AM265" s="27" t="s">
        <v>41</v>
      </c>
    </row>
    <row r="266" spans="1:39" outlineLevel="2" x14ac:dyDescent="0.35">
      <c r="A266" s="1" t="s">
        <v>1016</v>
      </c>
      <c r="B266" s="1" t="s">
        <v>1003</v>
      </c>
      <c r="C266" s="1" t="s">
        <v>1004</v>
      </c>
      <c r="D266" s="1" t="s">
        <v>1005</v>
      </c>
      <c r="E266" s="1" t="s">
        <v>9</v>
      </c>
      <c r="F266" s="1" t="s">
        <v>1029</v>
      </c>
      <c r="G266" s="9">
        <v>45997</v>
      </c>
      <c r="H266" s="27" t="s">
        <v>477</v>
      </c>
      <c r="I266" s="27" t="s">
        <v>5</v>
      </c>
      <c r="J266" s="28">
        <v>45997</v>
      </c>
      <c r="K266" s="28">
        <v>46000</v>
      </c>
      <c r="L266" s="27" t="s">
        <v>1023</v>
      </c>
      <c r="M266" s="29">
        <v>256779419955</v>
      </c>
      <c r="N266" s="27" t="s">
        <v>1007</v>
      </c>
      <c r="O266" s="27" t="s">
        <v>1008</v>
      </c>
      <c r="P266" s="27" t="s">
        <v>41</v>
      </c>
      <c r="Q266" s="27" t="s">
        <v>1025</v>
      </c>
      <c r="R266" s="27" t="s">
        <v>46</v>
      </c>
      <c r="S266" s="30">
        <v>61.99</v>
      </c>
      <c r="T266" s="27" t="s">
        <v>42</v>
      </c>
      <c r="U266" s="30">
        <v>5498.52</v>
      </c>
      <c r="V266" s="27" t="s">
        <v>1026</v>
      </c>
      <c r="W266" s="27" t="s">
        <v>1010</v>
      </c>
      <c r="X266" s="27" t="s">
        <v>41</v>
      </c>
      <c r="Y266" s="27" t="s">
        <v>1076</v>
      </c>
      <c r="Z266" s="27" t="s">
        <v>1011</v>
      </c>
      <c r="AA266" s="27"/>
      <c r="AB266" s="27"/>
      <c r="AC266" s="27"/>
      <c r="AD266" s="27" t="e">
        <f>_xlfn.XLOOKUP(M266,'Customer Data Vlookup'!$R:$R,'Customer Data Vlookup'!$S:$S,,0)</f>
        <v>#N/A</v>
      </c>
      <c r="AE266" s="27"/>
      <c r="AF266" s="27"/>
      <c r="AG266" s="27" t="s">
        <v>478</v>
      </c>
      <c r="AH266" s="27" t="s">
        <v>41</v>
      </c>
      <c r="AI266" s="27" t="s">
        <v>41</v>
      </c>
      <c r="AJ266" s="27" t="s">
        <v>41</v>
      </c>
      <c r="AK266" s="28">
        <v>45997</v>
      </c>
      <c r="AL266" s="28"/>
      <c r="AM266" s="27" t="s">
        <v>41</v>
      </c>
    </row>
    <row r="267" spans="1:39" outlineLevel="2" x14ac:dyDescent="0.35">
      <c r="A267" s="1" t="s">
        <v>1016</v>
      </c>
      <c r="B267" s="1" t="s">
        <v>1003</v>
      </c>
      <c r="C267" s="1" t="s">
        <v>1004</v>
      </c>
      <c r="D267" s="1" t="s">
        <v>1005</v>
      </c>
      <c r="E267" s="1" t="s">
        <v>9</v>
      </c>
      <c r="F267" s="1" t="s">
        <v>1029</v>
      </c>
      <c r="G267" s="9">
        <v>45997</v>
      </c>
      <c r="H267" s="27" t="s">
        <v>479</v>
      </c>
      <c r="I267" s="27" t="s">
        <v>5</v>
      </c>
      <c r="J267" s="28">
        <v>45997</v>
      </c>
      <c r="K267" s="28">
        <v>46000</v>
      </c>
      <c r="L267" s="27" t="s">
        <v>1023</v>
      </c>
      <c r="M267" s="29">
        <v>256779419992</v>
      </c>
      <c r="N267" s="27" t="s">
        <v>1007</v>
      </c>
      <c r="O267" s="27" t="s">
        <v>1008</v>
      </c>
      <c r="P267" s="27" t="s">
        <v>41</v>
      </c>
      <c r="Q267" s="27" t="s">
        <v>1025</v>
      </c>
      <c r="R267" s="27" t="s">
        <v>46</v>
      </c>
      <c r="S267" s="30">
        <v>124.11</v>
      </c>
      <c r="T267" s="27" t="s">
        <v>42</v>
      </c>
      <c r="U267" s="30">
        <v>11008.57</v>
      </c>
      <c r="V267" s="27" t="s">
        <v>1026</v>
      </c>
      <c r="W267" s="27" t="s">
        <v>1010</v>
      </c>
      <c r="X267" s="27" t="s">
        <v>41</v>
      </c>
      <c r="Y267" s="27" t="s">
        <v>1077</v>
      </c>
      <c r="Z267" s="27" t="s">
        <v>1011</v>
      </c>
      <c r="AA267" s="27"/>
      <c r="AB267" s="27"/>
      <c r="AC267" s="27"/>
      <c r="AD267" s="27" t="e">
        <f>_xlfn.XLOOKUP(M267,'Customer Data Vlookup'!$R:$R,'Customer Data Vlookup'!$S:$S,,0)</f>
        <v>#N/A</v>
      </c>
      <c r="AE267" s="27"/>
      <c r="AF267" s="27"/>
      <c r="AG267" s="27" t="s">
        <v>480</v>
      </c>
      <c r="AH267" s="27" t="s">
        <v>41</v>
      </c>
      <c r="AI267" s="27" t="s">
        <v>41</v>
      </c>
      <c r="AJ267" s="27" t="s">
        <v>41</v>
      </c>
      <c r="AK267" s="28">
        <v>45997</v>
      </c>
      <c r="AL267" s="28"/>
      <c r="AM267" s="27" t="s">
        <v>41</v>
      </c>
    </row>
    <row r="268" spans="1:39" outlineLevel="2" x14ac:dyDescent="0.35">
      <c r="A268" s="1" t="s">
        <v>1016</v>
      </c>
      <c r="B268" s="1" t="s">
        <v>1003</v>
      </c>
      <c r="C268" s="1" t="s">
        <v>1004</v>
      </c>
      <c r="D268" s="1" t="s">
        <v>1005</v>
      </c>
      <c r="E268" s="1" t="s">
        <v>9</v>
      </c>
      <c r="F268" s="1" t="s">
        <v>1017</v>
      </c>
      <c r="G268" s="9">
        <v>45936</v>
      </c>
      <c r="H268" s="27" t="s">
        <v>483</v>
      </c>
      <c r="I268" s="27" t="s">
        <v>5</v>
      </c>
      <c r="J268" s="28">
        <v>45936</v>
      </c>
      <c r="K268" s="28">
        <v>45937</v>
      </c>
      <c r="L268" s="27" t="s">
        <v>1023</v>
      </c>
      <c r="M268" s="29">
        <v>256779418011</v>
      </c>
      <c r="N268" s="27" t="s">
        <v>1007</v>
      </c>
      <c r="O268" s="27" t="s">
        <v>1008</v>
      </c>
      <c r="P268" s="27" t="s">
        <v>41</v>
      </c>
      <c r="Q268" s="27" t="s">
        <v>1025</v>
      </c>
      <c r="R268" s="27" t="s">
        <v>46</v>
      </c>
      <c r="S268" s="30">
        <v>930.14</v>
      </c>
      <c r="T268" s="27" t="s">
        <v>42</v>
      </c>
      <c r="U268" s="30">
        <v>82029.759999999995</v>
      </c>
      <c r="V268" s="27" t="s">
        <v>1026</v>
      </c>
      <c r="W268" s="27" t="s">
        <v>1010</v>
      </c>
      <c r="X268" s="27" t="s">
        <v>41</v>
      </c>
      <c r="Y268" s="27" t="s">
        <v>1078</v>
      </c>
      <c r="Z268" s="27" t="s">
        <v>1011</v>
      </c>
      <c r="AA268" s="27"/>
      <c r="AB268" s="27"/>
      <c r="AC268" s="27"/>
      <c r="AD268" s="27" t="e">
        <f>_xlfn.XLOOKUP(M268,'Customer Data Vlookup'!$R:$R,'Customer Data Vlookup'!$S:$S,,0)</f>
        <v>#N/A</v>
      </c>
      <c r="AE268" s="27"/>
      <c r="AF268" s="27"/>
      <c r="AG268" s="27" t="s">
        <v>484</v>
      </c>
      <c r="AH268" s="27" t="s">
        <v>41</v>
      </c>
      <c r="AI268" s="27" t="s">
        <v>41</v>
      </c>
      <c r="AJ268" s="27" t="s">
        <v>41</v>
      </c>
      <c r="AK268" s="28">
        <v>45936</v>
      </c>
      <c r="AL268" s="28"/>
      <c r="AM268" s="27" t="s">
        <v>41</v>
      </c>
    </row>
    <row r="269" spans="1:39" outlineLevel="2" x14ac:dyDescent="0.35">
      <c r="A269" s="1" t="s">
        <v>1016</v>
      </c>
      <c r="B269" s="1" t="s">
        <v>1003</v>
      </c>
      <c r="C269" s="1" t="s">
        <v>1004</v>
      </c>
      <c r="D269" s="1" t="s">
        <v>1005</v>
      </c>
      <c r="E269" s="1" t="s">
        <v>9</v>
      </c>
      <c r="F269" s="1" t="s">
        <v>1017</v>
      </c>
      <c r="G269" s="9">
        <v>45935</v>
      </c>
      <c r="H269" s="27" t="s">
        <v>485</v>
      </c>
      <c r="I269" s="27" t="s">
        <v>5</v>
      </c>
      <c r="J269" s="28">
        <v>45935</v>
      </c>
      <c r="K269" s="28">
        <v>45937</v>
      </c>
      <c r="L269" s="27" t="s">
        <v>1023</v>
      </c>
      <c r="M269" s="29">
        <v>256779417902</v>
      </c>
      <c r="N269" s="27" t="s">
        <v>1007</v>
      </c>
      <c r="O269" s="27" t="s">
        <v>1008</v>
      </c>
      <c r="P269" s="27" t="s">
        <v>41</v>
      </c>
      <c r="Q269" s="27" t="s">
        <v>1025</v>
      </c>
      <c r="R269" s="27" t="s">
        <v>46</v>
      </c>
      <c r="S269" s="30">
        <v>28.15</v>
      </c>
      <c r="T269" s="27" t="s">
        <v>42</v>
      </c>
      <c r="U269" s="30">
        <v>2482.5700000000002</v>
      </c>
      <c r="V269" s="27" t="s">
        <v>1026</v>
      </c>
      <c r="W269" s="27" t="s">
        <v>1010</v>
      </c>
      <c r="X269" s="27" t="s">
        <v>41</v>
      </c>
      <c r="Y269" s="27" t="s">
        <v>1079</v>
      </c>
      <c r="Z269" s="27" t="s">
        <v>1011</v>
      </c>
      <c r="AA269" s="27"/>
      <c r="AB269" s="27"/>
      <c r="AC269" s="27"/>
      <c r="AD269" s="27" t="e">
        <f>_xlfn.XLOOKUP(M269,'Customer Data Vlookup'!$R:$R,'Customer Data Vlookup'!$S:$S,,0)</f>
        <v>#N/A</v>
      </c>
      <c r="AE269" s="27"/>
      <c r="AF269" s="27"/>
      <c r="AG269" s="27" t="s">
        <v>486</v>
      </c>
      <c r="AH269" s="27" t="s">
        <v>41</v>
      </c>
      <c r="AI269" s="27" t="s">
        <v>41</v>
      </c>
      <c r="AJ269" s="27" t="s">
        <v>41</v>
      </c>
      <c r="AK269" s="28">
        <v>45935</v>
      </c>
      <c r="AL269" s="28"/>
      <c r="AM269" s="27" t="s">
        <v>41</v>
      </c>
    </row>
    <row r="270" spans="1:39" outlineLevel="2" x14ac:dyDescent="0.35">
      <c r="A270" s="1" t="s">
        <v>1016</v>
      </c>
      <c r="B270" s="1" t="s">
        <v>1003</v>
      </c>
      <c r="C270" s="1" t="s">
        <v>1004</v>
      </c>
      <c r="D270" s="1" t="s">
        <v>1005</v>
      </c>
      <c r="E270" s="1" t="s">
        <v>9</v>
      </c>
      <c r="F270" s="1" t="s">
        <v>1017</v>
      </c>
      <c r="G270" s="9">
        <v>45935</v>
      </c>
      <c r="H270" s="27" t="s">
        <v>487</v>
      </c>
      <c r="I270" s="27" t="s">
        <v>5</v>
      </c>
      <c r="J270" s="28">
        <v>45935</v>
      </c>
      <c r="K270" s="28">
        <v>45937</v>
      </c>
      <c r="L270" s="27" t="s">
        <v>1023</v>
      </c>
      <c r="M270" s="29">
        <v>256779417940</v>
      </c>
      <c r="N270" s="27" t="s">
        <v>1007</v>
      </c>
      <c r="O270" s="27" t="s">
        <v>1008</v>
      </c>
      <c r="P270" s="27" t="s">
        <v>41</v>
      </c>
      <c r="Q270" s="27" t="s">
        <v>1025</v>
      </c>
      <c r="R270" s="27" t="s">
        <v>46</v>
      </c>
      <c r="S270" s="30">
        <v>331.5</v>
      </c>
      <c r="T270" s="27" t="s">
        <v>42</v>
      </c>
      <c r="U270" s="30">
        <v>29235.24</v>
      </c>
      <c r="V270" s="27" t="s">
        <v>1026</v>
      </c>
      <c r="W270" s="27" t="s">
        <v>1010</v>
      </c>
      <c r="X270" s="27" t="s">
        <v>41</v>
      </c>
      <c r="Y270" s="27" t="s">
        <v>1023</v>
      </c>
      <c r="Z270" s="27" t="s">
        <v>1011</v>
      </c>
      <c r="AA270" s="27"/>
      <c r="AB270" s="27"/>
      <c r="AC270" s="27"/>
      <c r="AD270" s="27" t="e">
        <f>_xlfn.XLOOKUP(M270,'Customer Data Vlookup'!$R:$R,'Customer Data Vlookup'!$S:$S,,0)</f>
        <v>#N/A</v>
      </c>
      <c r="AE270" s="27"/>
      <c r="AF270" s="27"/>
      <c r="AG270" s="27" t="s">
        <v>488</v>
      </c>
      <c r="AH270" s="27" t="s">
        <v>41</v>
      </c>
      <c r="AI270" s="27" t="s">
        <v>41</v>
      </c>
      <c r="AJ270" s="27" t="s">
        <v>41</v>
      </c>
      <c r="AK270" s="28">
        <v>45935</v>
      </c>
      <c r="AL270" s="28"/>
      <c r="AM270" s="27" t="s">
        <v>41</v>
      </c>
    </row>
    <row r="271" spans="1:39" outlineLevel="2" x14ac:dyDescent="0.35">
      <c r="A271" s="1" t="s">
        <v>1016</v>
      </c>
      <c r="B271" s="1" t="s">
        <v>1003</v>
      </c>
      <c r="C271" s="1" t="s">
        <v>1004</v>
      </c>
      <c r="D271" s="1" t="s">
        <v>1005</v>
      </c>
      <c r="E271" s="1" t="s">
        <v>9</v>
      </c>
      <c r="F271" s="1" t="s">
        <v>1017</v>
      </c>
      <c r="G271" s="9">
        <v>45935</v>
      </c>
      <c r="H271" s="27" t="s">
        <v>489</v>
      </c>
      <c r="I271" s="27" t="s">
        <v>5</v>
      </c>
      <c r="J271" s="28">
        <v>45935</v>
      </c>
      <c r="K271" s="28">
        <v>45937</v>
      </c>
      <c r="L271" s="27" t="s">
        <v>1023</v>
      </c>
      <c r="M271" s="29">
        <v>256779418076</v>
      </c>
      <c r="N271" s="27" t="s">
        <v>1007</v>
      </c>
      <c r="O271" s="27" t="s">
        <v>1008</v>
      </c>
      <c r="P271" s="27" t="s">
        <v>41</v>
      </c>
      <c r="Q271" s="27" t="s">
        <v>1025</v>
      </c>
      <c r="R271" s="27" t="s">
        <v>46</v>
      </c>
      <c r="S271" s="30">
        <v>136.47999999999999</v>
      </c>
      <c r="T271" s="27" t="s">
        <v>42</v>
      </c>
      <c r="U271" s="30">
        <v>12036.28</v>
      </c>
      <c r="V271" s="27" t="s">
        <v>1026</v>
      </c>
      <c r="W271" s="27" t="s">
        <v>1010</v>
      </c>
      <c r="X271" s="27" t="s">
        <v>41</v>
      </c>
      <c r="Y271" s="27" t="s">
        <v>1080</v>
      </c>
      <c r="Z271" s="27" t="s">
        <v>1011</v>
      </c>
      <c r="AA271" s="27"/>
      <c r="AB271" s="27"/>
      <c r="AC271" s="27"/>
      <c r="AD271" s="27" t="e">
        <f>_xlfn.XLOOKUP(M271,'Customer Data Vlookup'!$R:$R,'Customer Data Vlookup'!$S:$S,,0)</f>
        <v>#N/A</v>
      </c>
      <c r="AE271" s="27"/>
      <c r="AF271" s="27"/>
      <c r="AG271" s="27" t="s">
        <v>490</v>
      </c>
      <c r="AH271" s="27" t="s">
        <v>41</v>
      </c>
      <c r="AI271" s="27" t="s">
        <v>41</v>
      </c>
      <c r="AJ271" s="27" t="s">
        <v>41</v>
      </c>
      <c r="AK271" s="28">
        <v>45935</v>
      </c>
      <c r="AL271" s="28"/>
      <c r="AM271" s="27" t="s">
        <v>41</v>
      </c>
    </row>
    <row r="272" spans="1:39" outlineLevel="2" x14ac:dyDescent="0.35">
      <c r="A272" s="1" t="s">
        <v>1016</v>
      </c>
      <c r="B272" s="1" t="s">
        <v>1003</v>
      </c>
      <c r="C272" s="1" t="s">
        <v>1004</v>
      </c>
      <c r="D272" s="1" t="s">
        <v>1005</v>
      </c>
      <c r="E272" s="1" t="s">
        <v>9</v>
      </c>
      <c r="F272" s="1" t="s">
        <v>1017</v>
      </c>
      <c r="G272" s="9">
        <v>45935</v>
      </c>
      <c r="H272" s="27" t="s">
        <v>491</v>
      </c>
      <c r="I272" s="27" t="s">
        <v>5</v>
      </c>
      <c r="J272" s="28">
        <v>45935</v>
      </c>
      <c r="K272" s="28">
        <v>45940</v>
      </c>
      <c r="L272" s="27" t="s">
        <v>1023</v>
      </c>
      <c r="M272" s="29">
        <v>256779418400</v>
      </c>
      <c r="N272" s="27" t="s">
        <v>1007</v>
      </c>
      <c r="O272" s="27" t="s">
        <v>1008</v>
      </c>
      <c r="P272" s="27" t="s">
        <v>41</v>
      </c>
      <c r="Q272" s="27" t="s">
        <v>1025</v>
      </c>
      <c r="R272" s="27" t="s">
        <v>46</v>
      </c>
      <c r="S272" s="30">
        <v>293.3</v>
      </c>
      <c r="T272" s="27" t="s">
        <v>42</v>
      </c>
      <c r="U272" s="30">
        <v>25866.35</v>
      </c>
      <c r="V272" s="27" t="s">
        <v>1026</v>
      </c>
      <c r="W272" s="27" t="s">
        <v>1010</v>
      </c>
      <c r="X272" s="27" t="s">
        <v>41</v>
      </c>
      <c r="Y272" s="27" t="s">
        <v>1081</v>
      </c>
      <c r="Z272" s="27" t="s">
        <v>1011</v>
      </c>
      <c r="AA272" s="27"/>
      <c r="AB272" s="27"/>
      <c r="AC272" s="27"/>
      <c r="AD272" s="27" t="e">
        <f>_xlfn.XLOOKUP(M272,'Customer Data Vlookup'!$R:$R,'Customer Data Vlookup'!$S:$S,,0)</f>
        <v>#N/A</v>
      </c>
      <c r="AE272" s="27"/>
      <c r="AF272" s="27"/>
      <c r="AG272" s="27" t="s">
        <v>492</v>
      </c>
      <c r="AH272" s="27" t="s">
        <v>41</v>
      </c>
      <c r="AI272" s="27" t="s">
        <v>41</v>
      </c>
      <c r="AJ272" s="27" t="s">
        <v>41</v>
      </c>
      <c r="AK272" s="28">
        <v>45935</v>
      </c>
      <c r="AL272" s="28"/>
      <c r="AM272" s="27" t="s">
        <v>41</v>
      </c>
    </row>
    <row r="273" spans="1:39" outlineLevel="2" x14ac:dyDescent="0.35">
      <c r="A273" s="1" t="s">
        <v>1016</v>
      </c>
      <c r="B273" s="1" t="s">
        <v>1003</v>
      </c>
      <c r="C273" s="1" t="s">
        <v>1004</v>
      </c>
      <c r="D273" s="1" t="s">
        <v>1005</v>
      </c>
      <c r="E273" s="1" t="s">
        <v>9</v>
      </c>
      <c r="F273" s="1" t="s">
        <v>1006</v>
      </c>
      <c r="G273" s="9">
        <v>45906</v>
      </c>
      <c r="H273" s="27" t="s">
        <v>493</v>
      </c>
      <c r="I273" s="27" t="s">
        <v>5</v>
      </c>
      <c r="J273" s="28">
        <v>45906</v>
      </c>
      <c r="K273" s="28">
        <v>45909</v>
      </c>
      <c r="L273" s="27" t="s">
        <v>1023</v>
      </c>
      <c r="M273" s="29">
        <v>256779417082</v>
      </c>
      <c r="N273" s="27" t="s">
        <v>1007</v>
      </c>
      <c r="O273" s="27" t="s">
        <v>1008</v>
      </c>
      <c r="P273" s="27" t="s">
        <v>41</v>
      </c>
      <c r="Q273" s="27" t="s">
        <v>1025</v>
      </c>
      <c r="R273" s="27" t="s">
        <v>46</v>
      </c>
      <c r="S273" s="30">
        <v>1664.01</v>
      </c>
      <c r="T273" s="27" t="s">
        <v>42</v>
      </c>
      <c r="U273" s="30">
        <v>145624.72</v>
      </c>
      <c r="V273" s="27" t="s">
        <v>1026</v>
      </c>
      <c r="W273" s="27" t="s">
        <v>1010</v>
      </c>
      <c r="X273" s="27" t="s">
        <v>41</v>
      </c>
      <c r="Y273" s="27" t="s">
        <v>1023</v>
      </c>
      <c r="Z273" s="27" t="s">
        <v>1011</v>
      </c>
      <c r="AA273" s="27"/>
      <c r="AB273" s="27"/>
      <c r="AC273" s="27"/>
      <c r="AD273" s="27" t="e">
        <f>_xlfn.XLOOKUP(M273,'Customer Data Vlookup'!$R:$R,'Customer Data Vlookup'!$S:$S,,0)</f>
        <v>#N/A</v>
      </c>
      <c r="AE273" s="27"/>
      <c r="AF273" s="27"/>
      <c r="AG273" s="27" t="s">
        <v>494</v>
      </c>
      <c r="AH273" s="27" t="s">
        <v>41</v>
      </c>
      <c r="AI273" s="27" t="s">
        <v>41</v>
      </c>
      <c r="AJ273" s="27" t="s">
        <v>41</v>
      </c>
      <c r="AK273" s="28">
        <v>45906</v>
      </c>
      <c r="AL273" s="28"/>
      <c r="AM273" s="27" t="s">
        <v>41</v>
      </c>
    </row>
    <row r="274" spans="1:39" outlineLevel="2" x14ac:dyDescent="0.35">
      <c r="A274" s="1" t="s">
        <v>1016</v>
      </c>
      <c r="B274" s="1" t="s">
        <v>1003</v>
      </c>
      <c r="C274" s="1" t="s">
        <v>1004</v>
      </c>
      <c r="D274" s="1" t="s">
        <v>1005</v>
      </c>
      <c r="E274" s="1" t="s">
        <v>25</v>
      </c>
      <c r="F274" s="1" t="s">
        <v>1011</v>
      </c>
      <c r="G274" s="9">
        <v>46024</v>
      </c>
      <c r="H274" s="27" t="s">
        <v>495</v>
      </c>
      <c r="I274" s="27" t="s">
        <v>5</v>
      </c>
      <c r="J274" s="28">
        <v>46024</v>
      </c>
      <c r="K274" s="28">
        <v>46024</v>
      </c>
      <c r="L274" s="27" t="s">
        <v>1023</v>
      </c>
      <c r="M274" s="29">
        <v>256779440011</v>
      </c>
      <c r="N274" s="27" t="s">
        <v>1007</v>
      </c>
      <c r="O274" s="27" t="s">
        <v>1008</v>
      </c>
      <c r="P274" s="27" t="s">
        <v>41</v>
      </c>
      <c r="Q274" s="27" t="s">
        <v>1025</v>
      </c>
      <c r="R274" s="27" t="s">
        <v>46</v>
      </c>
      <c r="S274" s="30">
        <v>464.42</v>
      </c>
      <c r="T274" s="27" t="s">
        <v>42</v>
      </c>
      <c r="U274" s="30">
        <v>42142.93</v>
      </c>
      <c r="V274" s="27" t="s">
        <v>1026</v>
      </c>
      <c r="W274" s="27" t="s">
        <v>1010</v>
      </c>
      <c r="X274" s="27" t="s">
        <v>41</v>
      </c>
      <c r="Y274" s="27" t="s">
        <v>1082</v>
      </c>
      <c r="Z274" s="27" t="s">
        <v>1011</v>
      </c>
      <c r="AA274" s="27"/>
      <c r="AB274" s="27"/>
      <c r="AC274" s="27"/>
      <c r="AD274" s="27" t="e">
        <f>_xlfn.XLOOKUP(M274,'Customer Data Vlookup'!$R:$R,'Customer Data Vlookup'!$S:$S,,0)</f>
        <v>#N/A</v>
      </c>
      <c r="AE274" s="27"/>
      <c r="AF274" s="27"/>
      <c r="AG274" s="27" t="s">
        <v>496</v>
      </c>
      <c r="AH274" s="27" t="s">
        <v>41</v>
      </c>
      <c r="AI274" s="27" t="s">
        <v>41</v>
      </c>
      <c r="AJ274" s="27" t="s">
        <v>41</v>
      </c>
      <c r="AK274" s="28">
        <v>46024</v>
      </c>
      <c r="AL274" s="28"/>
      <c r="AM274" s="27" t="s">
        <v>41</v>
      </c>
    </row>
    <row r="275" spans="1:39" outlineLevel="2" x14ac:dyDescent="0.35">
      <c r="A275" s="1" t="s">
        <v>1016</v>
      </c>
      <c r="B275" s="1" t="s">
        <v>1003</v>
      </c>
      <c r="C275" s="1" t="s">
        <v>1004</v>
      </c>
      <c r="D275" s="1" t="s">
        <v>1005</v>
      </c>
      <c r="E275" s="1" t="s">
        <v>25</v>
      </c>
      <c r="F275" s="1" t="s">
        <v>1011</v>
      </c>
      <c r="G275" s="9">
        <v>46027</v>
      </c>
      <c r="H275" s="27" t="s">
        <v>1083</v>
      </c>
      <c r="I275" s="27" t="s">
        <v>5</v>
      </c>
      <c r="J275" s="28">
        <v>46027</v>
      </c>
      <c r="K275" s="28">
        <v>46027</v>
      </c>
      <c r="L275" s="27" t="s">
        <v>1023</v>
      </c>
      <c r="M275" s="29">
        <v>256779440052</v>
      </c>
      <c r="N275" s="27" t="s">
        <v>1007</v>
      </c>
      <c r="O275" s="27" t="s">
        <v>1008</v>
      </c>
      <c r="P275" s="27" t="s">
        <v>41</v>
      </c>
      <c r="Q275" s="27" t="s">
        <v>1025</v>
      </c>
      <c r="R275" s="27" t="s">
        <v>46</v>
      </c>
      <c r="S275" s="30">
        <v>846.77</v>
      </c>
      <c r="T275" s="27" t="s">
        <v>42</v>
      </c>
      <c r="U275" s="30">
        <v>76838.570000000007</v>
      </c>
      <c r="V275" s="27" t="s">
        <v>1026</v>
      </c>
      <c r="W275" s="27" t="s">
        <v>1010</v>
      </c>
      <c r="X275" s="27" t="s">
        <v>41</v>
      </c>
      <c r="Y275" s="27" t="s">
        <v>1084</v>
      </c>
      <c r="Z275" s="27" t="s">
        <v>1011</v>
      </c>
      <c r="AA275" s="27"/>
      <c r="AB275" s="27"/>
      <c r="AC275" s="27"/>
      <c r="AD275" s="27" t="e">
        <f>_xlfn.XLOOKUP(M275,'Customer Data Vlookup'!$R:$R,'Customer Data Vlookup'!$S:$S,,0)</f>
        <v>#N/A</v>
      </c>
      <c r="AE275" s="27"/>
      <c r="AF275" s="27"/>
      <c r="AG275" s="27" t="s">
        <v>497</v>
      </c>
      <c r="AH275" s="27" t="s">
        <v>41</v>
      </c>
      <c r="AI275" s="27" t="s">
        <v>41</v>
      </c>
      <c r="AJ275" s="27" t="s">
        <v>41</v>
      </c>
      <c r="AK275" s="28">
        <v>46027</v>
      </c>
      <c r="AL275" s="28"/>
      <c r="AM275" s="27" t="s">
        <v>41</v>
      </c>
    </row>
    <row r="276" spans="1:39" outlineLevel="2" x14ac:dyDescent="0.35">
      <c r="A276" s="1" t="s">
        <v>1016</v>
      </c>
      <c r="B276" s="1" t="s">
        <v>1003</v>
      </c>
      <c r="C276" s="1" t="s">
        <v>1004</v>
      </c>
      <c r="D276" s="1" t="s">
        <v>1005</v>
      </c>
      <c r="E276" s="1" t="s">
        <v>25</v>
      </c>
      <c r="F276" s="1" t="s">
        <v>1011</v>
      </c>
      <c r="G276" s="9">
        <v>46027</v>
      </c>
      <c r="H276" s="27" t="s">
        <v>498</v>
      </c>
      <c r="I276" s="27" t="s">
        <v>5</v>
      </c>
      <c r="J276" s="28">
        <v>46027</v>
      </c>
      <c r="K276" s="28">
        <v>46027</v>
      </c>
      <c r="L276" s="27" t="s">
        <v>1085</v>
      </c>
      <c r="M276" s="29">
        <v>256779440081</v>
      </c>
      <c r="N276" s="27" t="s">
        <v>1007</v>
      </c>
      <c r="O276" s="27" t="s">
        <v>1008</v>
      </c>
      <c r="P276" s="27" t="s">
        <v>41</v>
      </c>
      <c r="Q276" s="27" t="s">
        <v>1025</v>
      </c>
      <c r="R276" s="27" t="s">
        <v>46</v>
      </c>
      <c r="S276" s="30">
        <v>3.45</v>
      </c>
      <c r="T276" s="27" t="s">
        <v>42</v>
      </c>
      <c r="U276" s="30">
        <v>313.06</v>
      </c>
      <c r="V276" s="27" t="s">
        <v>1026</v>
      </c>
      <c r="W276" s="27" t="s">
        <v>1010</v>
      </c>
      <c r="X276" s="27" t="s">
        <v>41</v>
      </c>
      <c r="Y276" s="27" t="s">
        <v>1023</v>
      </c>
      <c r="Z276" s="27" t="s">
        <v>1011</v>
      </c>
      <c r="AA276" s="27"/>
      <c r="AB276" s="27"/>
      <c r="AC276" s="27"/>
      <c r="AD276" s="27" t="e">
        <f>_xlfn.XLOOKUP(M276,'Customer Data Vlookup'!$R:$R,'Customer Data Vlookup'!$S:$S,,0)</f>
        <v>#N/A</v>
      </c>
      <c r="AE276" s="27"/>
      <c r="AF276" s="27"/>
      <c r="AG276" s="27" t="s">
        <v>499</v>
      </c>
      <c r="AH276" s="27" t="s">
        <v>41</v>
      </c>
      <c r="AI276" s="27" t="s">
        <v>41</v>
      </c>
      <c r="AJ276" s="27" t="s">
        <v>41</v>
      </c>
      <c r="AK276" s="28">
        <v>46027</v>
      </c>
      <c r="AL276" s="28"/>
      <c r="AM276" s="27" t="s">
        <v>41</v>
      </c>
    </row>
    <row r="277" spans="1:39" outlineLevel="2" x14ac:dyDescent="0.35">
      <c r="A277" s="1" t="s">
        <v>1002</v>
      </c>
      <c r="B277" s="1" t="s">
        <v>1003</v>
      </c>
      <c r="C277" s="1" t="s">
        <v>1004</v>
      </c>
      <c r="D277" s="1" t="s">
        <v>1005</v>
      </c>
      <c r="E277" s="1" t="s">
        <v>25</v>
      </c>
      <c r="F277" s="1" t="s">
        <v>1011</v>
      </c>
      <c r="G277" s="9">
        <v>46029</v>
      </c>
      <c r="H277" s="27" t="s">
        <v>500</v>
      </c>
      <c r="I277" s="27" t="s">
        <v>7</v>
      </c>
      <c r="J277" s="28">
        <v>46029</v>
      </c>
      <c r="K277" s="28">
        <v>46029</v>
      </c>
      <c r="L277" s="27" t="s">
        <v>501</v>
      </c>
      <c r="M277" s="29" t="s">
        <v>41</v>
      </c>
      <c r="N277" s="27" t="s">
        <v>1007</v>
      </c>
      <c r="O277" s="27" t="s">
        <v>1008</v>
      </c>
      <c r="P277" s="27" t="s">
        <v>41</v>
      </c>
      <c r="Q277" s="27" t="s">
        <v>1020</v>
      </c>
      <c r="R277" s="27" t="s">
        <v>46</v>
      </c>
      <c r="S277" s="30">
        <v>1530.78</v>
      </c>
      <c r="T277" s="27" t="s">
        <v>42</v>
      </c>
      <c r="U277" s="30">
        <v>135000</v>
      </c>
      <c r="V277" s="27" t="s">
        <v>41</v>
      </c>
      <c r="W277" s="27" t="s">
        <v>1010</v>
      </c>
      <c r="X277" s="27" t="s">
        <v>41</v>
      </c>
      <c r="Y277" s="27" t="s">
        <v>41</v>
      </c>
      <c r="Z277" s="27" t="s">
        <v>1024</v>
      </c>
      <c r="AA277" s="27"/>
      <c r="AB277" s="27"/>
      <c r="AC277" s="27"/>
      <c r="AD277" s="27" t="e">
        <f>_xlfn.XLOOKUP(M277,'Customer Data Vlookup'!$R:$R,'Customer Data Vlookup'!$S:$S,,0)</f>
        <v>#N/A</v>
      </c>
      <c r="AE277" s="27"/>
      <c r="AF277" s="27"/>
      <c r="AG277" s="27" t="s">
        <v>501</v>
      </c>
      <c r="AH277" s="27" t="s">
        <v>41</v>
      </c>
      <c r="AI277" s="27" t="s">
        <v>41</v>
      </c>
      <c r="AJ277" s="27" t="s">
        <v>41</v>
      </c>
      <c r="AK277" s="28">
        <v>46029</v>
      </c>
      <c r="AL277" s="28">
        <v>46029</v>
      </c>
      <c r="AM277" s="27" t="s">
        <v>500</v>
      </c>
    </row>
    <row r="278" spans="1:39" outlineLevel="2" x14ac:dyDescent="0.35">
      <c r="A278" s="1" t="s">
        <v>1002</v>
      </c>
      <c r="B278" s="1" t="s">
        <v>1003</v>
      </c>
      <c r="C278" s="1" t="s">
        <v>1004</v>
      </c>
      <c r="D278" s="1" t="s">
        <v>1005</v>
      </c>
      <c r="E278" s="1" t="s">
        <v>25</v>
      </c>
      <c r="F278" s="1" t="s">
        <v>1011</v>
      </c>
      <c r="G278" s="9">
        <v>46029</v>
      </c>
      <c r="H278" s="27" t="s">
        <v>500</v>
      </c>
      <c r="I278" s="27" t="s">
        <v>7</v>
      </c>
      <c r="J278" s="28">
        <v>46029</v>
      </c>
      <c r="K278" s="28">
        <v>46029</v>
      </c>
      <c r="L278" s="27" t="s">
        <v>501</v>
      </c>
      <c r="M278" s="29" t="s">
        <v>41</v>
      </c>
      <c r="N278" s="27" t="s">
        <v>1007</v>
      </c>
      <c r="O278" s="27" t="s">
        <v>1008</v>
      </c>
      <c r="P278" s="27" t="s">
        <v>41</v>
      </c>
      <c r="Q278" s="27" t="s">
        <v>1020</v>
      </c>
      <c r="R278" s="27" t="s">
        <v>46</v>
      </c>
      <c r="S278" s="30">
        <v>986.48</v>
      </c>
      <c r="T278" s="27" t="s">
        <v>42</v>
      </c>
      <c r="U278" s="30">
        <v>86998.43</v>
      </c>
      <c r="V278" s="27" t="s">
        <v>41</v>
      </c>
      <c r="W278" s="27" t="s">
        <v>1010</v>
      </c>
      <c r="X278" s="27" t="s">
        <v>41</v>
      </c>
      <c r="Y278" s="27" t="s">
        <v>41</v>
      </c>
      <c r="Z278" s="27" t="s">
        <v>1031</v>
      </c>
      <c r="AA278" s="27"/>
      <c r="AB278" s="27"/>
      <c r="AC278" s="27"/>
      <c r="AD278" s="27" t="e">
        <f>_xlfn.XLOOKUP(M278,'Customer Data Vlookup'!$R:$R,'Customer Data Vlookup'!$S:$S,,0)</f>
        <v>#N/A</v>
      </c>
      <c r="AE278" s="27"/>
      <c r="AF278" s="27"/>
      <c r="AG278" s="27" t="s">
        <v>501</v>
      </c>
      <c r="AH278" s="27" t="s">
        <v>41</v>
      </c>
      <c r="AI278" s="27" t="s">
        <v>41</v>
      </c>
      <c r="AJ278" s="27" t="s">
        <v>41</v>
      </c>
      <c r="AK278" s="28">
        <v>46029</v>
      </c>
      <c r="AL278" s="28">
        <v>46029</v>
      </c>
      <c r="AM278" s="27" t="s">
        <v>500</v>
      </c>
    </row>
    <row r="279" spans="1:39" outlineLevel="2" x14ac:dyDescent="0.35">
      <c r="A279" s="1" t="s">
        <v>1002</v>
      </c>
      <c r="B279" s="1" t="s">
        <v>1003</v>
      </c>
      <c r="C279" s="1" t="s">
        <v>1004</v>
      </c>
      <c r="D279" s="1" t="s">
        <v>1005</v>
      </c>
      <c r="E279" s="1" t="s">
        <v>25</v>
      </c>
      <c r="F279" s="1" t="s">
        <v>1011</v>
      </c>
      <c r="G279" s="9">
        <v>46029</v>
      </c>
      <c r="H279" s="27" t="s">
        <v>502</v>
      </c>
      <c r="I279" s="27" t="s">
        <v>7</v>
      </c>
      <c r="J279" s="28">
        <v>46029</v>
      </c>
      <c r="K279" s="28">
        <v>46029</v>
      </c>
      <c r="L279" s="27" t="s">
        <v>501</v>
      </c>
      <c r="M279" s="29" t="s">
        <v>41</v>
      </c>
      <c r="N279" s="27" t="s">
        <v>1007</v>
      </c>
      <c r="O279" s="27" t="s">
        <v>1008</v>
      </c>
      <c r="P279" s="27" t="s">
        <v>41</v>
      </c>
      <c r="Q279" s="27" t="s">
        <v>1012</v>
      </c>
      <c r="R279" s="27" t="s">
        <v>46</v>
      </c>
      <c r="S279" s="30">
        <v>-1530.78</v>
      </c>
      <c r="T279" s="27" t="s">
        <v>42</v>
      </c>
      <c r="U279" s="30">
        <v>-135000</v>
      </c>
      <c r="V279" s="27" t="s">
        <v>41</v>
      </c>
      <c r="W279" s="27" t="s">
        <v>1010</v>
      </c>
      <c r="X279" s="27" t="s">
        <v>41</v>
      </c>
      <c r="Y279" s="27" t="s">
        <v>41</v>
      </c>
      <c r="Z279" s="27" t="s">
        <v>1024</v>
      </c>
      <c r="AA279" s="27"/>
      <c r="AB279" s="27"/>
      <c r="AC279" s="27"/>
      <c r="AD279" s="27" t="e">
        <f>_xlfn.XLOOKUP(M279,'Customer Data Vlookup'!$R:$R,'Customer Data Vlookup'!$S:$S,,0)</f>
        <v>#N/A</v>
      </c>
      <c r="AE279" s="27"/>
      <c r="AF279" s="27"/>
      <c r="AG279" s="27" t="s">
        <v>501</v>
      </c>
      <c r="AH279" s="27" t="s">
        <v>41</v>
      </c>
      <c r="AI279" s="27" t="s">
        <v>41</v>
      </c>
      <c r="AJ279" s="27" t="s">
        <v>41</v>
      </c>
      <c r="AK279" s="28">
        <v>46029</v>
      </c>
      <c r="AL279" s="28">
        <v>46029</v>
      </c>
      <c r="AM279" s="27" t="s">
        <v>500</v>
      </c>
    </row>
    <row r="280" spans="1:39" outlineLevel="2" x14ac:dyDescent="0.35">
      <c r="A280" s="1" t="s">
        <v>1002</v>
      </c>
      <c r="B280" s="1" t="s">
        <v>1003</v>
      </c>
      <c r="C280" s="1" t="s">
        <v>1004</v>
      </c>
      <c r="D280" s="1" t="s">
        <v>1005</v>
      </c>
      <c r="E280" s="1" t="s">
        <v>25</v>
      </c>
      <c r="F280" s="1" t="s">
        <v>1011</v>
      </c>
      <c r="G280" s="9">
        <v>46029</v>
      </c>
      <c r="H280" s="27" t="s">
        <v>502</v>
      </c>
      <c r="I280" s="27" t="s">
        <v>7</v>
      </c>
      <c r="J280" s="28">
        <v>46029</v>
      </c>
      <c r="K280" s="28">
        <v>46029</v>
      </c>
      <c r="L280" s="27" t="s">
        <v>501</v>
      </c>
      <c r="M280" s="29" t="s">
        <v>41</v>
      </c>
      <c r="N280" s="27" t="s">
        <v>1007</v>
      </c>
      <c r="O280" s="27" t="s">
        <v>1008</v>
      </c>
      <c r="P280" s="27" t="s">
        <v>41</v>
      </c>
      <c r="Q280" s="27" t="s">
        <v>1012</v>
      </c>
      <c r="R280" s="27" t="s">
        <v>46</v>
      </c>
      <c r="S280" s="30">
        <v>-986.48</v>
      </c>
      <c r="T280" s="27" t="s">
        <v>42</v>
      </c>
      <c r="U280" s="30">
        <v>-86998.43</v>
      </c>
      <c r="V280" s="27" t="s">
        <v>41</v>
      </c>
      <c r="W280" s="27" t="s">
        <v>1010</v>
      </c>
      <c r="X280" s="27" t="s">
        <v>41</v>
      </c>
      <c r="Y280" s="27" t="s">
        <v>41</v>
      </c>
      <c r="Z280" s="27" t="s">
        <v>1031</v>
      </c>
      <c r="AA280" s="27"/>
      <c r="AB280" s="27"/>
      <c r="AC280" s="27"/>
      <c r="AD280" s="27" t="e">
        <f>_xlfn.XLOOKUP(M280,'Customer Data Vlookup'!$R:$R,'Customer Data Vlookup'!$S:$S,,0)</f>
        <v>#N/A</v>
      </c>
      <c r="AE280" s="27"/>
      <c r="AF280" s="27"/>
      <c r="AG280" s="27" t="s">
        <v>501</v>
      </c>
      <c r="AH280" s="27" t="s">
        <v>41</v>
      </c>
      <c r="AI280" s="27" t="s">
        <v>41</v>
      </c>
      <c r="AJ280" s="27" t="s">
        <v>41</v>
      </c>
      <c r="AK280" s="28">
        <v>46029</v>
      </c>
      <c r="AL280" s="28">
        <v>46029</v>
      </c>
      <c r="AM280" s="27" t="s">
        <v>500</v>
      </c>
    </row>
    <row r="281" spans="1:39" outlineLevel="2" x14ac:dyDescent="0.35">
      <c r="A281" s="1" t="s">
        <v>1002</v>
      </c>
      <c r="B281" s="1" t="s">
        <v>1003</v>
      </c>
      <c r="C281" s="1" t="s">
        <v>1004</v>
      </c>
      <c r="D281" s="1" t="s">
        <v>1005</v>
      </c>
      <c r="E281" s="1" t="s">
        <v>25</v>
      </c>
      <c r="F281" s="1" t="s">
        <v>1011</v>
      </c>
      <c r="G281" s="9">
        <v>46029</v>
      </c>
      <c r="H281" s="27" t="s">
        <v>503</v>
      </c>
      <c r="I281" s="27" t="s">
        <v>7</v>
      </c>
      <c r="J281" s="28">
        <v>46029</v>
      </c>
      <c r="K281" s="28">
        <v>46029</v>
      </c>
      <c r="L281" s="27" t="s">
        <v>501</v>
      </c>
      <c r="M281" s="29" t="s">
        <v>41</v>
      </c>
      <c r="N281" s="27" t="s">
        <v>1007</v>
      </c>
      <c r="O281" s="27" t="s">
        <v>1008</v>
      </c>
      <c r="P281" s="27" t="s">
        <v>41</v>
      </c>
      <c r="Q281" s="27" t="s">
        <v>1012</v>
      </c>
      <c r="R281" s="27" t="s">
        <v>46</v>
      </c>
      <c r="S281" s="30">
        <v>-1530.78</v>
      </c>
      <c r="T281" s="27" t="s">
        <v>42</v>
      </c>
      <c r="U281" s="30">
        <v>-135000</v>
      </c>
      <c r="V281" s="27" t="s">
        <v>41</v>
      </c>
      <c r="W281" s="27" t="s">
        <v>1010</v>
      </c>
      <c r="X281" s="27" t="s">
        <v>41</v>
      </c>
      <c r="Y281" s="27" t="s">
        <v>41</v>
      </c>
      <c r="Z281" s="27" t="s">
        <v>1015</v>
      </c>
      <c r="AA281" s="27"/>
      <c r="AB281" s="27"/>
      <c r="AC281" s="27"/>
      <c r="AD281" s="27" t="e">
        <f>_xlfn.XLOOKUP(M281,'Customer Data Vlookup'!$R:$R,'Customer Data Vlookup'!$S:$S,,0)</f>
        <v>#N/A</v>
      </c>
      <c r="AE281" s="27"/>
      <c r="AF281" s="27"/>
      <c r="AG281" s="27" t="s">
        <v>501</v>
      </c>
      <c r="AH281" s="27" t="s">
        <v>41</v>
      </c>
      <c r="AI281" s="27" t="s">
        <v>41</v>
      </c>
      <c r="AJ281" s="27" t="s">
        <v>41</v>
      </c>
      <c r="AK281" s="28">
        <v>46029</v>
      </c>
      <c r="AL281" s="28">
        <v>46029</v>
      </c>
      <c r="AM281" s="27" t="s">
        <v>503</v>
      </c>
    </row>
    <row r="282" spans="1:39" outlineLevel="2" x14ac:dyDescent="0.35">
      <c r="A282" s="1" t="s">
        <v>1002</v>
      </c>
      <c r="B282" s="1" t="s">
        <v>1003</v>
      </c>
      <c r="C282" s="1" t="s">
        <v>1004</v>
      </c>
      <c r="D282" s="1" t="s">
        <v>1005</v>
      </c>
      <c r="E282" s="1" t="s">
        <v>25</v>
      </c>
      <c r="F282" s="1" t="s">
        <v>1011</v>
      </c>
      <c r="G282" s="9">
        <v>46029</v>
      </c>
      <c r="H282" s="27" t="s">
        <v>503</v>
      </c>
      <c r="I282" s="27" t="s">
        <v>7</v>
      </c>
      <c r="J282" s="28">
        <v>46029</v>
      </c>
      <c r="K282" s="28">
        <v>46029</v>
      </c>
      <c r="L282" s="27" t="s">
        <v>501</v>
      </c>
      <c r="M282" s="29" t="s">
        <v>41</v>
      </c>
      <c r="N282" s="27" t="s">
        <v>1007</v>
      </c>
      <c r="O282" s="27" t="s">
        <v>1008</v>
      </c>
      <c r="P282" s="27" t="s">
        <v>41</v>
      </c>
      <c r="Q282" s="27" t="s">
        <v>1012</v>
      </c>
      <c r="R282" s="27" t="s">
        <v>46</v>
      </c>
      <c r="S282" s="30">
        <v>-986.48</v>
      </c>
      <c r="T282" s="27" t="s">
        <v>42</v>
      </c>
      <c r="U282" s="30">
        <v>-86998.43</v>
      </c>
      <c r="V282" s="27" t="s">
        <v>41</v>
      </c>
      <c r="W282" s="27" t="s">
        <v>1010</v>
      </c>
      <c r="X282" s="27" t="s">
        <v>41</v>
      </c>
      <c r="Y282" s="27" t="s">
        <v>41</v>
      </c>
      <c r="Z282" s="27" t="s">
        <v>1024</v>
      </c>
      <c r="AA282" s="27"/>
      <c r="AB282" s="27"/>
      <c r="AC282" s="27"/>
      <c r="AD282" s="27" t="e">
        <f>_xlfn.XLOOKUP(M282,'Customer Data Vlookup'!$R:$R,'Customer Data Vlookup'!$S:$S,,0)</f>
        <v>#N/A</v>
      </c>
      <c r="AE282" s="27"/>
      <c r="AF282" s="27"/>
      <c r="AG282" s="27" t="s">
        <v>501</v>
      </c>
      <c r="AH282" s="27" t="s">
        <v>41</v>
      </c>
      <c r="AI282" s="27" t="s">
        <v>41</v>
      </c>
      <c r="AJ282" s="27" t="s">
        <v>41</v>
      </c>
      <c r="AK282" s="28">
        <v>46029</v>
      </c>
      <c r="AL282" s="28">
        <v>46029</v>
      </c>
      <c r="AM282" s="27" t="s">
        <v>503</v>
      </c>
    </row>
    <row r="283" spans="1:39" outlineLevel="2" x14ac:dyDescent="0.35">
      <c r="A283" s="1" t="s">
        <v>1002</v>
      </c>
      <c r="B283" s="1" t="s">
        <v>1003</v>
      </c>
      <c r="C283" s="1" t="s">
        <v>1004</v>
      </c>
      <c r="D283" s="1" t="s">
        <v>1005</v>
      </c>
      <c r="E283" s="1" t="s">
        <v>9</v>
      </c>
      <c r="F283" s="1" t="s">
        <v>1017</v>
      </c>
      <c r="G283" s="9">
        <v>45935</v>
      </c>
      <c r="H283" s="27" t="s">
        <v>504</v>
      </c>
      <c r="I283" s="27" t="s">
        <v>5</v>
      </c>
      <c r="J283" s="28">
        <v>45935</v>
      </c>
      <c r="K283" s="28">
        <v>45937</v>
      </c>
      <c r="L283" s="27" t="s">
        <v>1023</v>
      </c>
      <c r="M283" s="29">
        <v>256779417873</v>
      </c>
      <c r="N283" s="27" t="s">
        <v>1007</v>
      </c>
      <c r="O283" s="27" t="s">
        <v>1008</v>
      </c>
      <c r="P283" s="27" t="s">
        <v>41</v>
      </c>
      <c r="Q283" s="27" t="s">
        <v>1025</v>
      </c>
      <c r="R283" s="27" t="s">
        <v>42</v>
      </c>
      <c r="S283" s="30">
        <v>-2298.8505747126437</v>
      </c>
      <c r="T283" s="27" t="s">
        <v>42</v>
      </c>
      <c r="U283" s="30">
        <v>100000</v>
      </c>
      <c r="V283" s="27" t="s">
        <v>1026</v>
      </c>
      <c r="W283" s="27" t="s">
        <v>1010</v>
      </c>
      <c r="X283" s="27" t="s">
        <v>41</v>
      </c>
      <c r="Y283" s="27" t="s">
        <v>1086</v>
      </c>
      <c r="Z283" s="27" t="s">
        <v>1011</v>
      </c>
      <c r="AA283" s="27"/>
      <c r="AB283" s="27"/>
      <c r="AC283" s="27"/>
      <c r="AD283" s="27" t="e">
        <f>_xlfn.XLOOKUP(M283,'Customer Data Vlookup'!$R:$R,'Customer Data Vlookup'!$S:$S,,0)</f>
        <v>#N/A</v>
      </c>
      <c r="AE283" s="27"/>
      <c r="AF283" s="27"/>
      <c r="AG283" s="27" t="s">
        <v>505</v>
      </c>
      <c r="AH283" s="27" t="s">
        <v>41</v>
      </c>
      <c r="AI283" s="27" t="s">
        <v>41</v>
      </c>
      <c r="AJ283" s="27" t="s">
        <v>41</v>
      </c>
      <c r="AK283" s="28">
        <v>45935</v>
      </c>
      <c r="AL283" s="28">
        <v>46029</v>
      </c>
      <c r="AM283" s="27" t="s">
        <v>503</v>
      </c>
    </row>
    <row r="284" spans="1:39" outlineLevel="2" x14ac:dyDescent="0.35">
      <c r="A284" s="1" t="s">
        <v>1002</v>
      </c>
      <c r="B284" s="1" t="s">
        <v>1003</v>
      </c>
      <c r="C284" s="1" t="s">
        <v>1004</v>
      </c>
      <c r="D284" s="1" t="s">
        <v>1005</v>
      </c>
      <c r="E284" s="1" t="s">
        <v>9</v>
      </c>
      <c r="F284" s="1" t="s">
        <v>1017</v>
      </c>
      <c r="G284" s="9">
        <v>45935</v>
      </c>
      <c r="H284" s="27" t="s">
        <v>506</v>
      </c>
      <c r="I284" s="27" t="s">
        <v>5</v>
      </c>
      <c r="J284" s="28">
        <v>45935</v>
      </c>
      <c r="K284" s="28">
        <v>45937</v>
      </c>
      <c r="L284" s="27" t="s">
        <v>1023</v>
      </c>
      <c r="M284" s="29">
        <v>256779417874</v>
      </c>
      <c r="N284" s="27" t="s">
        <v>1007</v>
      </c>
      <c r="O284" s="27" t="s">
        <v>1008</v>
      </c>
      <c r="P284" s="27" t="s">
        <v>41</v>
      </c>
      <c r="Q284" s="27" t="s">
        <v>1025</v>
      </c>
      <c r="R284" s="27" t="s">
        <v>42</v>
      </c>
      <c r="S284" s="30">
        <v>2298.8505747126437</v>
      </c>
      <c r="T284" s="27" t="s">
        <v>42</v>
      </c>
      <c r="U284" s="30">
        <v>35000</v>
      </c>
      <c r="V284" s="27" t="s">
        <v>1026</v>
      </c>
      <c r="W284" s="27" t="s">
        <v>1010</v>
      </c>
      <c r="X284" s="27" t="s">
        <v>41</v>
      </c>
      <c r="Y284" s="27" t="s">
        <v>1086</v>
      </c>
      <c r="Z284" s="27" t="s">
        <v>1011</v>
      </c>
      <c r="AA284" s="27"/>
      <c r="AB284" s="27"/>
      <c r="AC284" s="27"/>
      <c r="AD284" s="27" t="e">
        <f>_xlfn.XLOOKUP(M284,'Customer Data Vlookup'!$R:$R,'Customer Data Vlookup'!$S:$S,,0)</f>
        <v>#N/A</v>
      </c>
      <c r="AE284" s="27"/>
      <c r="AF284" s="27"/>
      <c r="AG284" s="27" t="s">
        <v>505</v>
      </c>
      <c r="AH284" s="27" t="s">
        <v>41</v>
      </c>
      <c r="AI284" s="27" t="s">
        <v>41</v>
      </c>
      <c r="AJ284" s="27" t="s">
        <v>41</v>
      </c>
      <c r="AK284" s="28">
        <v>45935</v>
      </c>
      <c r="AL284" s="28">
        <v>46029</v>
      </c>
      <c r="AM284" s="27" t="s">
        <v>503</v>
      </c>
    </row>
    <row r="285" spans="1:39" outlineLevel="2" x14ac:dyDescent="0.35">
      <c r="A285" s="1" t="s">
        <v>1002</v>
      </c>
      <c r="B285" s="1" t="s">
        <v>1003</v>
      </c>
      <c r="C285" s="1" t="s">
        <v>1004</v>
      </c>
      <c r="D285" s="1" t="s">
        <v>1005</v>
      </c>
      <c r="E285" s="1" t="s">
        <v>9</v>
      </c>
      <c r="F285" s="1" t="s">
        <v>1017</v>
      </c>
      <c r="G285" s="9">
        <v>45935</v>
      </c>
      <c r="H285" s="27" t="s">
        <v>507</v>
      </c>
      <c r="I285" s="27" t="s">
        <v>5</v>
      </c>
      <c r="J285" s="28">
        <v>45935</v>
      </c>
      <c r="K285" s="28">
        <v>45937</v>
      </c>
      <c r="L285" s="27" t="s">
        <v>1023</v>
      </c>
      <c r="M285" s="29">
        <v>256779417979</v>
      </c>
      <c r="N285" s="27" t="s">
        <v>1007</v>
      </c>
      <c r="O285" s="27" t="s">
        <v>1008</v>
      </c>
      <c r="P285" s="27" t="s">
        <v>41</v>
      </c>
      <c r="Q285" s="27" t="s">
        <v>1025</v>
      </c>
      <c r="R285" s="27" t="s">
        <v>46</v>
      </c>
      <c r="S285" s="30">
        <v>136.47999999999999</v>
      </c>
      <c r="T285" s="27" t="s">
        <v>42</v>
      </c>
      <c r="U285" s="30">
        <v>12036.28</v>
      </c>
      <c r="V285" s="27" t="s">
        <v>1026</v>
      </c>
      <c r="W285" s="27" t="s">
        <v>1010</v>
      </c>
      <c r="X285" s="27" t="s">
        <v>41</v>
      </c>
      <c r="Y285" s="27" t="s">
        <v>1087</v>
      </c>
      <c r="Z285" s="27" t="s">
        <v>1011</v>
      </c>
      <c r="AA285" s="27"/>
      <c r="AB285" s="27"/>
      <c r="AC285" s="27"/>
      <c r="AD285" s="27" t="e">
        <f>_xlfn.XLOOKUP(M285,'Customer Data Vlookup'!$R:$R,'Customer Data Vlookup'!$S:$S,,0)</f>
        <v>#N/A</v>
      </c>
      <c r="AE285" s="27"/>
      <c r="AF285" s="27"/>
      <c r="AG285" s="27" t="s">
        <v>490</v>
      </c>
      <c r="AH285" s="27" t="s">
        <v>41</v>
      </c>
      <c r="AI285" s="27" t="s">
        <v>41</v>
      </c>
      <c r="AJ285" s="27" t="s">
        <v>41</v>
      </c>
      <c r="AK285" s="28">
        <v>45935</v>
      </c>
      <c r="AL285" s="28">
        <v>46029</v>
      </c>
      <c r="AM285" s="27" t="s">
        <v>503</v>
      </c>
    </row>
    <row r="286" spans="1:39" outlineLevel="2" x14ac:dyDescent="0.35">
      <c r="A286" s="1" t="s">
        <v>1002</v>
      </c>
      <c r="B286" s="1" t="s">
        <v>1003</v>
      </c>
      <c r="C286" s="1" t="s">
        <v>1004</v>
      </c>
      <c r="D286" s="1" t="s">
        <v>1005</v>
      </c>
      <c r="E286" s="1" t="s">
        <v>9</v>
      </c>
      <c r="F286" s="1" t="s">
        <v>1017</v>
      </c>
      <c r="G286" s="9">
        <v>45935</v>
      </c>
      <c r="H286" s="27" t="s">
        <v>1088</v>
      </c>
      <c r="I286" s="27" t="s">
        <v>5</v>
      </c>
      <c r="J286" s="28">
        <v>45935</v>
      </c>
      <c r="K286" s="28">
        <v>45937</v>
      </c>
      <c r="L286" s="27" t="s">
        <v>1023</v>
      </c>
      <c r="M286" s="29">
        <v>256779418095</v>
      </c>
      <c r="N286" s="27" t="s">
        <v>1007</v>
      </c>
      <c r="O286" s="27" t="s">
        <v>1008</v>
      </c>
      <c r="P286" s="27" t="s">
        <v>41</v>
      </c>
      <c r="Q286" s="27" t="s">
        <v>1025</v>
      </c>
      <c r="R286" s="27" t="s">
        <v>46</v>
      </c>
      <c r="S286" s="30">
        <v>850</v>
      </c>
      <c r="T286" s="27" t="s">
        <v>42</v>
      </c>
      <c r="U286" s="30">
        <v>74962.149999999994</v>
      </c>
      <c r="V286" s="27" t="s">
        <v>1026</v>
      </c>
      <c r="W286" s="27" t="s">
        <v>1010</v>
      </c>
      <c r="X286" s="27" t="s">
        <v>41</v>
      </c>
      <c r="Y286" s="27" t="s">
        <v>1089</v>
      </c>
      <c r="Z286" s="27" t="s">
        <v>1011</v>
      </c>
      <c r="AA286" s="27"/>
      <c r="AB286" s="27"/>
      <c r="AC286" s="27"/>
      <c r="AD286" s="27" t="e">
        <f>_xlfn.XLOOKUP(M286,'Customer Data Vlookup'!$R:$R,'Customer Data Vlookup'!$S:$S,,0)</f>
        <v>#N/A</v>
      </c>
      <c r="AE286" s="27"/>
      <c r="AF286" s="27"/>
      <c r="AG286" s="27" t="s">
        <v>508</v>
      </c>
      <c r="AH286" s="27" t="s">
        <v>41</v>
      </c>
      <c r="AI286" s="27" t="s">
        <v>41</v>
      </c>
      <c r="AJ286" s="27" t="s">
        <v>41</v>
      </c>
      <c r="AK286" s="28">
        <v>45935</v>
      </c>
      <c r="AL286" s="28">
        <v>46029</v>
      </c>
      <c r="AM286" s="27" t="s">
        <v>503</v>
      </c>
    </row>
    <row r="287" spans="1:39" outlineLevel="2" x14ac:dyDescent="0.35">
      <c r="A287" s="1" t="s">
        <v>1016</v>
      </c>
      <c r="B287" s="1" t="s">
        <v>1003</v>
      </c>
      <c r="C287" s="1" t="s">
        <v>1004</v>
      </c>
      <c r="D287" s="1" t="s">
        <v>1005</v>
      </c>
      <c r="E287" s="1" t="s">
        <v>25</v>
      </c>
      <c r="F287" s="1" t="s">
        <v>1011</v>
      </c>
      <c r="G287" s="9">
        <v>46034</v>
      </c>
      <c r="H287" s="27" t="s">
        <v>509</v>
      </c>
      <c r="I287" s="27" t="s">
        <v>5</v>
      </c>
      <c r="J287" s="28">
        <v>46034</v>
      </c>
      <c r="K287" s="28">
        <v>46034</v>
      </c>
      <c r="L287" s="27" t="s">
        <v>1090</v>
      </c>
      <c r="M287" s="29">
        <v>256779440168</v>
      </c>
      <c r="N287" s="27" t="s">
        <v>1007</v>
      </c>
      <c r="O287" s="27" t="s">
        <v>1008</v>
      </c>
      <c r="P287" s="27" t="s">
        <v>41</v>
      </c>
      <c r="Q287" s="27" t="s">
        <v>1025</v>
      </c>
      <c r="R287" s="27" t="s">
        <v>46</v>
      </c>
      <c r="S287" s="30">
        <v>903.23</v>
      </c>
      <c r="T287" s="27" t="s">
        <v>42</v>
      </c>
      <c r="U287" s="30">
        <v>81961.929999999993</v>
      </c>
      <c r="V287" s="27" t="s">
        <v>1026</v>
      </c>
      <c r="W287" s="27" t="s">
        <v>1010</v>
      </c>
      <c r="X287" s="27" t="s">
        <v>41</v>
      </c>
      <c r="Y287" s="27" t="s">
        <v>1023</v>
      </c>
      <c r="Z287" s="27" t="s">
        <v>1011</v>
      </c>
      <c r="AA287" s="27"/>
      <c r="AB287" s="27"/>
      <c r="AC287" s="27"/>
      <c r="AD287" s="27" t="e">
        <f>_xlfn.XLOOKUP(M287,'Customer Data Vlookup'!$R:$R,'Customer Data Vlookup'!$S:$S,,0)</f>
        <v>#N/A</v>
      </c>
      <c r="AE287" s="27"/>
      <c r="AF287" s="27"/>
      <c r="AG287" s="27" t="s">
        <v>510</v>
      </c>
      <c r="AH287" s="27" t="s">
        <v>41</v>
      </c>
      <c r="AI287" s="27" t="s">
        <v>41</v>
      </c>
      <c r="AJ287" s="27" t="s">
        <v>41</v>
      </c>
      <c r="AK287" s="28">
        <v>46034</v>
      </c>
      <c r="AL287" s="28"/>
      <c r="AM287" s="27" t="s">
        <v>41</v>
      </c>
    </row>
    <row r="288" spans="1:39" outlineLevel="2" x14ac:dyDescent="0.35">
      <c r="A288" s="1" t="s">
        <v>1016</v>
      </c>
      <c r="B288" s="1" t="s">
        <v>1003</v>
      </c>
      <c r="C288" s="1" t="s">
        <v>1004</v>
      </c>
      <c r="D288" s="1" t="s">
        <v>1005</v>
      </c>
      <c r="E288" s="1" t="s">
        <v>25</v>
      </c>
      <c r="F288" s="1" t="s">
        <v>1011</v>
      </c>
      <c r="G288" s="9">
        <v>46028</v>
      </c>
      <c r="H288" s="27" t="s">
        <v>511</v>
      </c>
      <c r="I288" s="27" t="s">
        <v>5</v>
      </c>
      <c r="J288" s="28">
        <v>46028</v>
      </c>
      <c r="K288" s="28">
        <v>46034</v>
      </c>
      <c r="L288" s="27" t="s">
        <v>1091</v>
      </c>
      <c r="M288" s="29">
        <v>256779440211</v>
      </c>
      <c r="N288" s="27" t="s">
        <v>1007</v>
      </c>
      <c r="O288" s="27" t="s">
        <v>1008</v>
      </c>
      <c r="P288" s="27" t="s">
        <v>41</v>
      </c>
      <c r="Q288" s="27" t="s">
        <v>1025</v>
      </c>
      <c r="R288" s="27" t="s">
        <v>46</v>
      </c>
      <c r="S288" s="30">
        <v>26.97</v>
      </c>
      <c r="T288" s="27" t="s">
        <v>42</v>
      </c>
      <c r="U288" s="30">
        <v>2447.34</v>
      </c>
      <c r="V288" s="27" t="s">
        <v>1026</v>
      </c>
      <c r="W288" s="27" t="s">
        <v>1010</v>
      </c>
      <c r="X288" s="27" t="s">
        <v>41</v>
      </c>
      <c r="Y288" s="27" t="s">
        <v>1023</v>
      </c>
      <c r="Z288" s="27" t="s">
        <v>1011</v>
      </c>
      <c r="AA288" s="27"/>
      <c r="AB288" s="27"/>
      <c r="AC288" s="27"/>
      <c r="AD288" s="27" t="e">
        <f>_xlfn.XLOOKUP(M288,'Customer Data Vlookup'!$R:$R,'Customer Data Vlookup'!$S:$S,,0)</f>
        <v>#N/A</v>
      </c>
      <c r="AE288" s="27"/>
      <c r="AF288" s="27"/>
      <c r="AG288" s="27" t="s">
        <v>512</v>
      </c>
      <c r="AH288" s="27" t="s">
        <v>41</v>
      </c>
      <c r="AI288" s="27" t="s">
        <v>41</v>
      </c>
      <c r="AJ288" s="27" t="s">
        <v>41</v>
      </c>
      <c r="AK288" s="28">
        <v>46028</v>
      </c>
      <c r="AL288" s="28"/>
      <c r="AM288" s="27" t="s">
        <v>41</v>
      </c>
    </row>
    <row r="289" spans="1:39" outlineLevel="2" x14ac:dyDescent="0.35">
      <c r="A289" s="1" t="s">
        <v>1016</v>
      </c>
      <c r="B289" s="1" t="s">
        <v>1003</v>
      </c>
      <c r="C289" s="1" t="s">
        <v>1004</v>
      </c>
      <c r="D289" s="1" t="s">
        <v>1005</v>
      </c>
      <c r="E289" s="1" t="s">
        <v>25</v>
      </c>
      <c r="F289" s="1" t="s">
        <v>1011</v>
      </c>
      <c r="G289" s="9">
        <v>46034</v>
      </c>
      <c r="H289" s="27" t="s">
        <v>513</v>
      </c>
      <c r="I289" s="27" t="s">
        <v>5</v>
      </c>
      <c r="J289" s="28">
        <v>46034</v>
      </c>
      <c r="K289" s="28">
        <v>46034</v>
      </c>
      <c r="L289" s="27" t="s">
        <v>1092</v>
      </c>
      <c r="M289" s="29">
        <v>256779440230</v>
      </c>
      <c r="N289" s="27" t="s">
        <v>1007</v>
      </c>
      <c r="O289" s="27" t="s">
        <v>1008</v>
      </c>
      <c r="P289" s="27" t="s">
        <v>41</v>
      </c>
      <c r="Q289" s="27" t="s">
        <v>1025</v>
      </c>
      <c r="R289" s="27" t="s">
        <v>46</v>
      </c>
      <c r="S289" s="30">
        <v>40.56</v>
      </c>
      <c r="T289" s="27" t="s">
        <v>42</v>
      </c>
      <c r="U289" s="30">
        <v>3680.54</v>
      </c>
      <c r="V289" s="27" t="s">
        <v>1026</v>
      </c>
      <c r="W289" s="27" t="s">
        <v>1010</v>
      </c>
      <c r="X289" s="27" t="s">
        <v>41</v>
      </c>
      <c r="Y289" s="27" t="s">
        <v>1023</v>
      </c>
      <c r="Z289" s="27" t="s">
        <v>1011</v>
      </c>
      <c r="AA289" s="27"/>
      <c r="AB289" s="27"/>
      <c r="AC289" s="27"/>
      <c r="AD289" s="27" t="e">
        <f>_xlfn.XLOOKUP(M289,'Customer Data Vlookup'!$R:$R,'Customer Data Vlookup'!$S:$S,,0)</f>
        <v>#N/A</v>
      </c>
      <c r="AE289" s="27"/>
      <c r="AF289" s="27"/>
      <c r="AG289" s="27" t="s">
        <v>514</v>
      </c>
      <c r="AH289" s="27" t="s">
        <v>41</v>
      </c>
      <c r="AI289" s="27" t="s">
        <v>41</v>
      </c>
      <c r="AJ289" s="27" t="s">
        <v>41</v>
      </c>
      <c r="AK289" s="28">
        <v>46034</v>
      </c>
      <c r="AL289" s="28"/>
      <c r="AM289" s="27" t="s">
        <v>41</v>
      </c>
    </row>
    <row r="290" spans="1:39" outlineLevel="2" x14ac:dyDescent="0.35">
      <c r="A290" s="1" t="s">
        <v>1016</v>
      </c>
      <c r="B290" s="1" t="s">
        <v>1003</v>
      </c>
      <c r="C290" s="1" t="s">
        <v>1004</v>
      </c>
      <c r="D290" s="1" t="s">
        <v>1005</v>
      </c>
      <c r="E290" s="1" t="s">
        <v>25</v>
      </c>
      <c r="F290" s="1" t="s">
        <v>1011</v>
      </c>
      <c r="G290" s="9">
        <v>46028</v>
      </c>
      <c r="H290" s="27" t="s">
        <v>515</v>
      </c>
      <c r="I290" s="27" t="s">
        <v>5</v>
      </c>
      <c r="J290" s="28">
        <v>46028</v>
      </c>
      <c r="K290" s="28">
        <v>46035</v>
      </c>
      <c r="L290" s="27" t="s">
        <v>1093</v>
      </c>
      <c r="M290" s="29">
        <v>256779440262</v>
      </c>
      <c r="N290" s="27" t="s">
        <v>1007</v>
      </c>
      <c r="O290" s="27" t="s">
        <v>1008</v>
      </c>
      <c r="P290" s="27" t="s">
        <v>41</v>
      </c>
      <c r="Q290" s="27" t="s">
        <v>1025</v>
      </c>
      <c r="R290" s="27" t="s">
        <v>46</v>
      </c>
      <c r="S290" s="30">
        <v>100</v>
      </c>
      <c r="T290" s="27" t="s">
        <v>42</v>
      </c>
      <c r="U290" s="30">
        <v>9074.31</v>
      </c>
      <c r="V290" s="27" t="s">
        <v>1026</v>
      </c>
      <c r="W290" s="27" t="s">
        <v>1010</v>
      </c>
      <c r="X290" s="27" t="s">
        <v>41</v>
      </c>
      <c r="Y290" s="27" t="s">
        <v>1023</v>
      </c>
      <c r="Z290" s="27" t="s">
        <v>1011</v>
      </c>
      <c r="AA290" s="27"/>
      <c r="AB290" s="27"/>
      <c r="AC290" s="27"/>
      <c r="AD290" s="27" t="e">
        <f>_xlfn.XLOOKUP(M290,'Customer Data Vlookup'!$R:$R,'Customer Data Vlookup'!$S:$S,,0)</f>
        <v>#N/A</v>
      </c>
      <c r="AE290" s="27"/>
      <c r="AF290" s="27"/>
      <c r="AG290" s="27" t="s">
        <v>516</v>
      </c>
      <c r="AH290" s="27" t="s">
        <v>41</v>
      </c>
      <c r="AI290" s="27" t="s">
        <v>41</v>
      </c>
      <c r="AJ290" s="27" t="s">
        <v>41</v>
      </c>
      <c r="AK290" s="28">
        <v>46028</v>
      </c>
      <c r="AL290" s="28"/>
      <c r="AM290" s="27" t="s">
        <v>41</v>
      </c>
    </row>
    <row r="291" spans="1:39" outlineLevel="2" x14ac:dyDescent="0.35">
      <c r="A291" s="1" t="s">
        <v>1016</v>
      </c>
      <c r="B291" s="1" t="s">
        <v>1003</v>
      </c>
      <c r="C291" s="1" t="s">
        <v>1004</v>
      </c>
      <c r="D291" s="1" t="s">
        <v>1005</v>
      </c>
      <c r="E291" s="1" t="s">
        <v>25</v>
      </c>
      <c r="F291" s="1" t="s">
        <v>1011</v>
      </c>
      <c r="G291" s="9">
        <v>46028</v>
      </c>
      <c r="H291" s="27" t="s">
        <v>517</v>
      </c>
      <c r="I291" s="27" t="s">
        <v>5</v>
      </c>
      <c r="J291" s="28">
        <v>46028</v>
      </c>
      <c r="K291" s="28">
        <v>46035</v>
      </c>
      <c r="L291" s="27" t="s">
        <v>1093</v>
      </c>
      <c r="M291" s="29">
        <v>256779440263</v>
      </c>
      <c r="N291" s="27" t="s">
        <v>1007</v>
      </c>
      <c r="O291" s="27" t="s">
        <v>1008</v>
      </c>
      <c r="P291" s="27" t="s">
        <v>41</v>
      </c>
      <c r="Q291" s="27" t="s">
        <v>1025</v>
      </c>
      <c r="R291" s="27" t="s">
        <v>46</v>
      </c>
      <c r="S291" s="30">
        <v>100</v>
      </c>
      <c r="T291" s="27" t="s">
        <v>42</v>
      </c>
      <c r="U291" s="30">
        <v>9074.31</v>
      </c>
      <c r="V291" s="27" t="s">
        <v>1026</v>
      </c>
      <c r="W291" s="27" t="s">
        <v>1010</v>
      </c>
      <c r="X291" s="27" t="s">
        <v>41</v>
      </c>
      <c r="Y291" s="27" t="s">
        <v>1023</v>
      </c>
      <c r="Z291" s="27" t="s">
        <v>1011</v>
      </c>
      <c r="AA291" s="27"/>
      <c r="AB291" s="27"/>
      <c r="AC291" s="27"/>
      <c r="AD291" s="27" t="e">
        <f>_xlfn.XLOOKUP(M291,'Customer Data Vlookup'!$R:$R,'Customer Data Vlookup'!$S:$S,,0)</f>
        <v>#N/A</v>
      </c>
      <c r="AE291" s="27"/>
      <c r="AF291" s="27"/>
      <c r="AG291" s="27" t="s">
        <v>516</v>
      </c>
      <c r="AH291" s="27" t="s">
        <v>41</v>
      </c>
      <c r="AI291" s="27" t="s">
        <v>41</v>
      </c>
      <c r="AJ291" s="27" t="s">
        <v>41</v>
      </c>
      <c r="AK291" s="28">
        <v>46028</v>
      </c>
      <c r="AL291" s="28"/>
      <c r="AM291" s="27" t="s">
        <v>41</v>
      </c>
    </row>
    <row r="292" spans="1:39" outlineLevel="2" x14ac:dyDescent="0.35">
      <c r="A292" s="1" t="s">
        <v>1016</v>
      </c>
      <c r="B292" s="1" t="s">
        <v>1003</v>
      </c>
      <c r="C292" s="1" t="s">
        <v>1004</v>
      </c>
      <c r="D292" s="1" t="s">
        <v>1005</v>
      </c>
      <c r="E292" s="1" t="s">
        <v>25</v>
      </c>
      <c r="F292" s="1" t="s">
        <v>1011</v>
      </c>
      <c r="G292" s="9">
        <v>46028</v>
      </c>
      <c r="H292" s="27" t="s">
        <v>518</v>
      </c>
      <c r="I292" s="27" t="s">
        <v>5</v>
      </c>
      <c r="J292" s="28">
        <v>46028</v>
      </c>
      <c r="K292" s="28">
        <v>46035</v>
      </c>
      <c r="L292" s="27" t="s">
        <v>1093</v>
      </c>
      <c r="M292" s="29">
        <v>256779440264</v>
      </c>
      <c r="N292" s="27" t="s">
        <v>1007</v>
      </c>
      <c r="O292" s="27" t="s">
        <v>1008</v>
      </c>
      <c r="P292" s="27" t="s">
        <v>41</v>
      </c>
      <c r="Q292" s="27" t="s">
        <v>1025</v>
      </c>
      <c r="R292" s="27" t="s">
        <v>46</v>
      </c>
      <c r="S292" s="30">
        <v>100</v>
      </c>
      <c r="T292" s="27" t="s">
        <v>42</v>
      </c>
      <c r="U292" s="30">
        <v>9074.31</v>
      </c>
      <c r="V292" s="27" t="s">
        <v>1026</v>
      </c>
      <c r="W292" s="27" t="s">
        <v>1010</v>
      </c>
      <c r="X292" s="27" t="s">
        <v>41</v>
      </c>
      <c r="Y292" s="27" t="s">
        <v>1023</v>
      </c>
      <c r="Z292" s="27" t="s">
        <v>1011</v>
      </c>
      <c r="AA292" s="27"/>
      <c r="AB292" s="27"/>
      <c r="AC292" s="27"/>
      <c r="AD292" s="27" t="e">
        <f>_xlfn.XLOOKUP(M292,'Customer Data Vlookup'!$R:$R,'Customer Data Vlookup'!$S:$S,,0)</f>
        <v>#N/A</v>
      </c>
      <c r="AE292" s="27"/>
      <c r="AF292" s="27"/>
      <c r="AG292" s="27" t="s">
        <v>516</v>
      </c>
      <c r="AH292" s="27" t="s">
        <v>41</v>
      </c>
      <c r="AI292" s="27" t="s">
        <v>41</v>
      </c>
      <c r="AJ292" s="27" t="s">
        <v>41</v>
      </c>
      <c r="AK292" s="28">
        <v>46028</v>
      </c>
      <c r="AL292" s="28"/>
      <c r="AM292" s="27" t="s">
        <v>41</v>
      </c>
    </row>
    <row r="293" spans="1:39" outlineLevel="2" x14ac:dyDescent="0.35">
      <c r="A293" s="1" t="s">
        <v>1016</v>
      </c>
      <c r="B293" s="1" t="s">
        <v>1003</v>
      </c>
      <c r="C293" s="1" t="s">
        <v>1004</v>
      </c>
      <c r="D293" s="1" t="s">
        <v>1005</v>
      </c>
      <c r="E293" s="1" t="s">
        <v>25</v>
      </c>
      <c r="F293" s="1" t="s">
        <v>1011</v>
      </c>
      <c r="G293" s="9">
        <v>46028</v>
      </c>
      <c r="H293" s="27" t="s">
        <v>519</v>
      </c>
      <c r="I293" s="27" t="s">
        <v>5</v>
      </c>
      <c r="J293" s="28">
        <v>46028</v>
      </c>
      <c r="K293" s="28">
        <v>46035</v>
      </c>
      <c r="L293" s="27" t="s">
        <v>1093</v>
      </c>
      <c r="M293" s="29">
        <v>256779440265</v>
      </c>
      <c r="N293" s="27" t="s">
        <v>1007</v>
      </c>
      <c r="O293" s="27" t="s">
        <v>1008</v>
      </c>
      <c r="P293" s="27" t="s">
        <v>41</v>
      </c>
      <c r="Q293" s="27" t="s">
        <v>1025</v>
      </c>
      <c r="R293" s="27" t="s">
        <v>46</v>
      </c>
      <c r="S293" s="30">
        <v>100</v>
      </c>
      <c r="T293" s="27" t="s">
        <v>42</v>
      </c>
      <c r="U293" s="30">
        <v>9074.31</v>
      </c>
      <c r="V293" s="27" t="s">
        <v>1026</v>
      </c>
      <c r="W293" s="27" t="s">
        <v>1010</v>
      </c>
      <c r="X293" s="27" t="s">
        <v>41</v>
      </c>
      <c r="Y293" s="27" t="s">
        <v>1023</v>
      </c>
      <c r="Z293" s="27" t="s">
        <v>1011</v>
      </c>
      <c r="AA293" s="27"/>
      <c r="AB293" s="27"/>
      <c r="AC293" s="27"/>
      <c r="AD293" s="27" t="e">
        <f>_xlfn.XLOOKUP(M293,'Customer Data Vlookup'!$R:$R,'Customer Data Vlookup'!$S:$S,,0)</f>
        <v>#N/A</v>
      </c>
      <c r="AE293" s="27"/>
      <c r="AF293" s="27"/>
      <c r="AG293" s="27" t="s">
        <v>516</v>
      </c>
      <c r="AH293" s="27" t="s">
        <v>41</v>
      </c>
      <c r="AI293" s="27" t="s">
        <v>41</v>
      </c>
      <c r="AJ293" s="27" t="s">
        <v>41</v>
      </c>
      <c r="AK293" s="28">
        <v>46028</v>
      </c>
      <c r="AL293" s="28"/>
      <c r="AM293" s="27" t="s">
        <v>41</v>
      </c>
    </row>
    <row r="294" spans="1:39" outlineLevel="2" x14ac:dyDescent="0.35">
      <c r="A294" s="1" t="s">
        <v>1016</v>
      </c>
      <c r="B294" s="1" t="s">
        <v>1003</v>
      </c>
      <c r="C294" s="1" t="s">
        <v>1004</v>
      </c>
      <c r="D294" s="1" t="s">
        <v>1005</v>
      </c>
      <c r="E294" s="1" t="s">
        <v>25</v>
      </c>
      <c r="F294" s="1" t="s">
        <v>1011</v>
      </c>
      <c r="G294" s="9">
        <v>46028</v>
      </c>
      <c r="H294" s="27" t="s">
        <v>520</v>
      </c>
      <c r="I294" s="27" t="s">
        <v>5</v>
      </c>
      <c r="J294" s="28">
        <v>46028</v>
      </c>
      <c r="K294" s="28">
        <v>46035</v>
      </c>
      <c r="L294" s="27" t="s">
        <v>1094</v>
      </c>
      <c r="M294" s="29">
        <v>256779440307</v>
      </c>
      <c r="N294" s="27" t="s">
        <v>1007</v>
      </c>
      <c r="O294" s="27" t="s">
        <v>1008</v>
      </c>
      <c r="P294" s="27" t="s">
        <v>41</v>
      </c>
      <c r="Q294" s="27" t="s">
        <v>1025</v>
      </c>
      <c r="R294" s="27" t="s">
        <v>42</v>
      </c>
      <c r="S294" s="30">
        <v>1133.911111111111</v>
      </c>
      <c r="T294" s="27" t="s">
        <v>42</v>
      </c>
      <c r="U294" s="30">
        <v>100000</v>
      </c>
      <c r="V294" s="27" t="s">
        <v>1026</v>
      </c>
      <c r="W294" s="27" t="s">
        <v>1010</v>
      </c>
      <c r="X294" s="27" t="s">
        <v>41</v>
      </c>
      <c r="Y294" s="27" t="s">
        <v>1023</v>
      </c>
      <c r="Z294" s="27" t="s">
        <v>1011</v>
      </c>
      <c r="AA294" s="27"/>
      <c r="AB294" s="27"/>
      <c r="AC294" s="27"/>
      <c r="AD294" s="27" t="e">
        <f>_xlfn.XLOOKUP(M294,'Customer Data Vlookup'!$R:$R,'Customer Data Vlookup'!$S:$S,,0)</f>
        <v>#N/A</v>
      </c>
      <c r="AE294" s="27"/>
      <c r="AF294" s="27"/>
      <c r="AG294" s="27" t="s">
        <v>521</v>
      </c>
      <c r="AH294" s="27" t="s">
        <v>41</v>
      </c>
      <c r="AI294" s="27" t="s">
        <v>41</v>
      </c>
      <c r="AJ294" s="27" t="s">
        <v>41</v>
      </c>
      <c r="AK294" s="28">
        <v>46028</v>
      </c>
      <c r="AL294" s="28"/>
      <c r="AM294" s="27" t="s">
        <v>41</v>
      </c>
    </row>
    <row r="295" spans="1:39" outlineLevel="2" x14ac:dyDescent="0.35">
      <c r="A295" s="1" t="s">
        <v>1016</v>
      </c>
      <c r="B295" s="1" t="s">
        <v>1003</v>
      </c>
      <c r="C295" s="1" t="s">
        <v>1004</v>
      </c>
      <c r="D295" s="1" t="s">
        <v>1005</v>
      </c>
      <c r="E295" s="1" t="s">
        <v>25</v>
      </c>
      <c r="F295" s="1" t="s">
        <v>1011</v>
      </c>
      <c r="G295" s="9">
        <v>46028</v>
      </c>
      <c r="H295" s="27" t="s">
        <v>522</v>
      </c>
      <c r="I295" s="27" t="s">
        <v>5</v>
      </c>
      <c r="J295" s="28">
        <v>46028</v>
      </c>
      <c r="K295" s="28">
        <v>46035</v>
      </c>
      <c r="L295" s="27" t="s">
        <v>1094</v>
      </c>
      <c r="M295" s="29">
        <v>256779440308</v>
      </c>
      <c r="N295" s="27" t="s">
        <v>1007</v>
      </c>
      <c r="O295" s="27" t="s">
        <v>1008</v>
      </c>
      <c r="P295" s="27" t="s">
        <v>41</v>
      </c>
      <c r="Q295" s="27" t="s">
        <v>1025</v>
      </c>
      <c r="R295" s="27" t="s">
        <v>42</v>
      </c>
      <c r="S295" s="30">
        <v>432.14733333333328</v>
      </c>
      <c r="T295" s="27" t="s">
        <v>42</v>
      </c>
      <c r="U295" s="30">
        <v>35000</v>
      </c>
      <c r="V295" s="27" t="s">
        <v>1026</v>
      </c>
      <c r="W295" s="27" t="s">
        <v>1010</v>
      </c>
      <c r="X295" s="27" t="s">
        <v>41</v>
      </c>
      <c r="Y295" s="27" t="s">
        <v>1023</v>
      </c>
      <c r="Z295" s="27" t="s">
        <v>1011</v>
      </c>
      <c r="AA295" s="27"/>
      <c r="AB295" s="27"/>
      <c r="AC295" s="27"/>
      <c r="AD295" s="27" t="e">
        <f>_xlfn.XLOOKUP(M295,'Customer Data Vlookup'!$R:$R,'Customer Data Vlookup'!$S:$S,,0)</f>
        <v>#N/A</v>
      </c>
      <c r="AE295" s="27"/>
      <c r="AF295" s="27"/>
      <c r="AG295" s="27" t="s">
        <v>523</v>
      </c>
      <c r="AH295" s="27" t="s">
        <v>41</v>
      </c>
      <c r="AI295" s="27" t="s">
        <v>41</v>
      </c>
      <c r="AJ295" s="27" t="s">
        <v>41</v>
      </c>
      <c r="AK295" s="28">
        <v>46028</v>
      </c>
      <c r="AL295" s="28"/>
      <c r="AM295" s="27" t="s">
        <v>41</v>
      </c>
    </row>
    <row r="296" spans="1:39" outlineLevel="2" x14ac:dyDescent="0.35">
      <c r="A296" s="1" t="s">
        <v>1016</v>
      </c>
      <c r="B296" s="1" t="s">
        <v>1003</v>
      </c>
      <c r="C296" s="1" t="s">
        <v>1004</v>
      </c>
      <c r="D296" s="1" t="s">
        <v>1005</v>
      </c>
      <c r="E296" s="1" t="s">
        <v>25</v>
      </c>
      <c r="F296" s="1" t="s">
        <v>1011</v>
      </c>
      <c r="G296" s="9">
        <v>46035</v>
      </c>
      <c r="H296" s="27" t="s">
        <v>524</v>
      </c>
      <c r="I296" s="27" t="s">
        <v>5</v>
      </c>
      <c r="J296" s="28">
        <v>46035</v>
      </c>
      <c r="K296" s="28">
        <v>46035</v>
      </c>
      <c r="L296" s="27" t="s">
        <v>1023</v>
      </c>
      <c r="M296" s="29">
        <v>256779440358</v>
      </c>
      <c r="N296" s="27" t="s">
        <v>1007</v>
      </c>
      <c r="O296" s="27" t="s">
        <v>1008</v>
      </c>
      <c r="P296" s="27" t="s">
        <v>41</v>
      </c>
      <c r="Q296" s="27" t="s">
        <v>1025</v>
      </c>
      <c r="R296" s="27" t="s">
        <v>46</v>
      </c>
      <c r="S296" s="30">
        <v>100</v>
      </c>
      <c r="T296" s="27" t="s">
        <v>42</v>
      </c>
      <c r="U296" s="30">
        <v>9074.31</v>
      </c>
      <c r="V296" s="27" t="s">
        <v>1026</v>
      </c>
      <c r="W296" s="27" t="s">
        <v>1010</v>
      </c>
      <c r="X296" s="27" t="s">
        <v>41</v>
      </c>
      <c r="Y296" s="27" t="s">
        <v>1095</v>
      </c>
      <c r="Z296" s="27" t="s">
        <v>1011</v>
      </c>
      <c r="AA296" s="27"/>
      <c r="AB296" s="27"/>
      <c r="AC296" s="27"/>
      <c r="AD296" s="27" t="e">
        <f>_xlfn.XLOOKUP(M296,'Customer Data Vlookup'!$R:$R,'Customer Data Vlookup'!$S:$S,,0)</f>
        <v>#N/A</v>
      </c>
      <c r="AE296" s="27"/>
      <c r="AF296" s="27"/>
      <c r="AG296" s="27" t="s">
        <v>525</v>
      </c>
      <c r="AH296" s="27" t="s">
        <v>41</v>
      </c>
      <c r="AI296" s="27" t="s">
        <v>41</v>
      </c>
      <c r="AJ296" s="27" t="s">
        <v>41</v>
      </c>
      <c r="AK296" s="28">
        <v>46035</v>
      </c>
      <c r="AL296" s="28"/>
      <c r="AM296" s="27" t="s">
        <v>41</v>
      </c>
    </row>
    <row r="297" spans="1:39" outlineLevel="2" x14ac:dyDescent="0.35">
      <c r="A297" s="1" t="s">
        <v>1016</v>
      </c>
      <c r="B297" s="1" t="s">
        <v>1003</v>
      </c>
      <c r="C297" s="1" t="s">
        <v>1004</v>
      </c>
      <c r="D297" s="1" t="s">
        <v>1005</v>
      </c>
      <c r="E297" s="1" t="s">
        <v>25</v>
      </c>
      <c r="F297" s="1" t="s">
        <v>1011</v>
      </c>
      <c r="G297" s="9">
        <v>46035</v>
      </c>
      <c r="H297" s="27" t="s">
        <v>526</v>
      </c>
      <c r="I297" s="27" t="s">
        <v>5</v>
      </c>
      <c r="J297" s="28">
        <v>46035</v>
      </c>
      <c r="K297" s="28">
        <v>46035</v>
      </c>
      <c r="L297" s="27" t="s">
        <v>1023</v>
      </c>
      <c r="M297" s="29">
        <v>256779440365</v>
      </c>
      <c r="N297" s="27" t="s">
        <v>1007</v>
      </c>
      <c r="O297" s="27" t="s">
        <v>1008</v>
      </c>
      <c r="P297" s="27" t="s">
        <v>41</v>
      </c>
      <c r="Q297" s="27" t="s">
        <v>1025</v>
      </c>
      <c r="R297" s="27" t="s">
        <v>46</v>
      </c>
      <c r="S297" s="30">
        <v>38.229999999999997</v>
      </c>
      <c r="T297" s="27" t="s">
        <v>42</v>
      </c>
      <c r="U297" s="30">
        <v>3469.11</v>
      </c>
      <c r="V297" s="27" t="s">
        <v>1026</v>
      </c>
      <c r="W297" s="27" t="s">
        <v>1010</v>
      </c>
      <c r="X297" s="27" t="s">
        <v>41</v>
      </c>
      <c r="Y297" s="27" t="s">
        <v>1095</v>
      </c>
      <c r="Z297" s="27" t="s">
        <v>1011</v>
      </c>
      <c r="AA297" s="27"/>
      <c r="AB297" s="27"/>
      <c r="AC297" s="27"/>
      <c r="AD297" s="27" t="e">
        <f>_xlfn.XLOOKUP(M297,'Customer Data Vlookup'!$R:$R,'Customer Data Vlookup'!$S:$S,,0)</f>
        <v>#N/A</v>
      </c>
      <c r="AE297" s="27"/>
      <c r="AF297" s="27"/>
      <c r="AG297" s="27" t="s">
        <v>527</v>
      </c>
      <c r="AH297" s="27" t="s">
        <v>41</v>
      </c>
      <c r="AI297" s="27" t="s">
        <v>41</v>
      </c>
      <c r="AJ297" s="27" t="s">
        <v>41</v>
      </c>
      <c r="AK297" s="28">
        <v>46035</v>
      </c>
      <c r="AL297" s="28"/>
      <c r="AM297" s="27" t="s">
        <v>41</v>
      </c>
    </row>
    <row r="298" spans="1:39" outlineLevel="2" x14ac:dyDescent="0.35">
      <c r="A298" s="1" t="s">
        <v>1016</v>
      </c>
      <c r="B298" s="1" t="s">
        <v>1003</v>
      </c>
      <c r="C298" s="1" t="s">
        <v>1004</v>
      </c>
      <c r="D298" s="1" t="s">
        <v>1005</v>
      </c>
      <c r="E298" s="1" t="s">
        <v>25</v>
      </c>
      <c r="F298" s="1" t="s">
        <v>1011</v>
      </c>
      <c r="G298" s="9">
        <v>46044</v>
      </c>
      <c r="H298" s="27" t="s">
        <v>528</v>
      </c>
      <c r="I298" s="27" t="s">
        <v>5</v>
      </c>
      <c r="J298" s="28">
        <v>46044</v>
      </c>
      <c r="K298" s="28">
        <v>46049</v>
      </c>
      <c r="L298" s="27" t="s">
        <v>1096</v>
      </c>
      <c r="M298" s="29">
        <v>256779440395</v>
      </c>
      <c r="N298" s="27" t="s">
        <v>1007</v>
      </c>
      <c r="O298" s="27" t="s">
        <v>1008</v>
      </c>
      <c r="P298" s="27" t="s">
        <v>41</v>
      </c>
      <c r="Q298" s="27" t="s">
        <v>1025</v>
      </c>
      <c r="R298" s="27" t="s">
        <v>46</v>
      </c>
      <c r="S298" s="30">
        <v>846.77</v>
      </c>
      <c r="T298" s="27" t="s">
        <v>42</v>
      </c>
      <c r="U298" s="30">
        <v>76838.570000000007</v>
      </c>
      <c r="V298" s="27" t="s">
        <v>1026</v>
      </c>
      <c r="W298" s="27" t="s">
        <v>1010</v>
      </c>
      <c r="X298" s="27" t="s">
        <v>41</v>
      </c>
      <c r="Y298" s="27" t="s">
        <v>1023</v>
      </c>
      <c r="Z298" s="27" t="s">
        <v>1011</v>
      </c>
      <c r="AA298" s="27"/>
      <c r="AB298" s="27"/>
      <c r="AC298" s="27"/>
      <c r="AD298" s="27" t="e">
        <f>_xlfn.XLOOKUP(M298,'Customer Data Vlookup'!$R:$R,'Customer Data Vlookup'!$S:$S,,0)</f>
        <v>#N/A</v>
      </c>
      <c r="AE298" s="27"/>
      <c r="AF298" s="27"/>
      <c r="AG298" s="27" t="s">
        <v>529</v>
      </c>
      <c r="AH298" s="27" t="s">
        <v>41</v>
      </c>
      <c r="AI298" s="27" t="s">
        <v>41</v>
      </c>
      <c r="AJ298" s="27" t="s">
        <v>41</v>
      </c>
      <c r="AK298" s="28">
        <v>46044</v>
      </c>
      <c r="AL298" s="28"/>
      <c r="AM298" s="27" t="s">
        <v>41</v>
      </c>
    </row>
    <row r="299" spans="1:39" outlineLevel="2" x14ac:dyDescent="0.35">
      <c r="A299" s="1" t="s">
        <v>1016</v>
      </c>
      <c r="B299" s="1" t="s">
        <v>1003</v>
      </c>
      <c r="C299" s="1" t="s">
        <v>1004</v>
      </c>
      <c r="D299" s="1" t="s">
        <v>1005</v>
      </c>
      <c r="E299" s="1" t="s">
        <v>25</v>
      </c>
      <c r="F299" s="1" t="s">
        <v>1011</v>
      </c>
      <c r="G299" s="9">
        <v>46045</v>
      </c>
      <c r="H299" s="27" t="s">
        <v>530</v>
      </c>
      <c r="I299" s="27" t="s">
        <v>5</v>
      </c>
      <c r="J299" s="28">
        <v>46045</v>
      </c>
      <c r="K299" s="28">
        <v>46049</v>
      </c>
      <c r="L299" s="27" t="s">
        <v>1097</v>
      </c>
      <c r="M299" s="29">
        <v>256779440414</v>
      </c>
      <c r="N299" s="27" t="s">
        <v>1007</v>
      </c>
      <c r="O299" s="27" t="s">
        <v>1008</v>
      </c>
      <c r="P299" s="27" t="s">
        <v>41</v>
      </c>
      <c r="Q299" s="27" t="s">
        <v>1025</v>
      </c>
      <c r="R299" s="27" t="s">
        <v>46</v>
      </c>
      <c r="S299" s="30">
        <v>82.3</v>
      </c>
      <c r="T299" s="27" t="s">
        <v>42</v>
      </c>
      <c r="U299" s="30">
        <v>7468.16</v>
      </c>
      <c r="V299" s="27" t="s">
        <v>1026</v>
      </c>
      <c r="W299" s="27" t="s">
        <v>1010</v>
      </c>
      <c r="X299" s="27" t="s">
        <v>41</v>
      </c>
      <c r="Y299" s="27" t="s">
        <v>1023</v>
      </c>
      <c r="Z299" s="27" t="s">
        <v>1011</v>
      </c>
      <c r="AA299" s="27"/>
      <c r="AB299" s="27"/>
      <c r="AC299" s="27"/>
      <c r="AD299" s="27" t="e">
        <f>_xlfn.XLOOKUP(M299,'Customer Data Vlookup'!$R:$R,'Customer Data Vlookup'!$S:$S,,0)</f>
        <v>#N/A</v>
      </c>
      <c r="AE299" s="27"/>
      <c r="AF299" s="27"/>
      <c r="AG299" s="27" t="s">
        <v>531</v>
      </c>
      <c r="AH299" s="27" t="s">
        <v>41</v>
      </c>
      <c r="AI299" s="27" t="s">
        <v>41</v>
      </c>
      <c r="AJ299" s="27" t="s">
        <v>41</v>
      </c>
      <c r="AK299" s="28">
        <v>46045</v>
      </c>
      <c r="AL299" s="28"/>
      <c r="AM299" s="27" t="s">
        <v>41</v>
      </c>
    </row>
    <row r="300" spans="1:39" outlineLevel="2" x14ac:dyDescent="0.35">
      <c r="A300" s="1" t="s">
        <v>1016</v>
      </c>
      <c r="B300" s="1" t="s">
        <v>1003</v>
      </c>
      <c r="C300" s="1" t="s">
        <v>1004</v>
      </c>
      <c r="D300" s="1" t="s">
        <v>1005</v>
      </c>
      <c r="E300" s="1" t="s">
        <v>25</v>
      </c>
      <c r="F300" s="1" t="s">
        <v>1011</v>
      </c>
      <c r="G300" s="9">
        <v>46045</v>
      </c>
      <c r="H300" s="27" t="s">
        <v>532</v>
      </c>
      <c r="I300" s="27" t="s">
        <v>5</v>
      </c>
      <c r="J300" s="28">
        <v>46045</v>
      </c>
      <c r="K300" s="28">
        <v>46049</v>
      </c>
      <c r="L300" s="27" t="s">
        <v>1098</v>
      </c>
      <c r="M300" s="29">
        <v>256779440430</v>
      </c>
      <c r="N300" s="27" t="s">
        <v>1007</v>
      </c>
      <c r="O300" s="27" t="s">
        <v>1008</v>
      </c>
      <c r="P300" s="27" t="s">
        <v>41</v>
      </c>
      <c r="Q300" s="27" t="s">
        <v>1025</v>
      </c>
      <c r="R300" s="27" t="s">
        <v>46</v>
      </c>
      <c r="S300" s="30">
        <v>23.82</v>
      </c>
      <c r="T300" s="27" t="s">
        <v>42</v>
      </c>
      <c r="U300" s="30">
        <v>2161.5</v>
      </c>
      <c r="V300" s="27" t="s">
        <v>1026</v>
      </c>
      <c r="W300" s="27" t="s">
        <v>1010</v>
      </c>
      <c r="X300" s="27" t="s">
        <v>41</v>
      </c>
      <c r="Y300" s="27" t="s">
        <v>1023</v>
      </c>
      <c r="Z300" s="27" t="s">
        <v>1011</v>
      </c>
      <c r="AA300" s="27"/>
      <c r="AB300" s="27"/>
      <c r="AC300" s="27"/>
      <c r="AD300" s="27" t="e">
        <f>_xlfn.XLOOKUP(M300,'Customer Data Vlookup'!$R:$R,'Customer Data Vlookup'!$S:$S,,0)</f>
        <v>#N/A</v>
      </c>
      <c r="AE300" s="27"/>
      <c r="AF300" s="27"/>
      <c r="AG300" s="27" t="s">
        <v>533</v>
      </c>
      <c r="AH300" s="27" t="s">
        <v>41</v>
      </c>
      <c r="AI300" s="27" t="s">
        <v>41</v>
      </c>
      <c r="AJ300" s="27" t="s">
        <v>41</v>
      </c>
      <c r="AK300" s="28">
        <v>46045</v>
      </c>
      <c r="AL300" s="28"/>
      <c r="AM300" s="27" t="s">
        <v>41</v>
      </c>
    </row>
    <row r="301" spans="1:39" outlineLevel="2" x14ac:dyDescent="0.35">
      <c r="A301" s="1" t="s">
        <v>1016</v>
      </c>
      <c r="B301" s="1" t="s">
        <v>1003</v>
      </c>
      <c r="C301" s="1" t="s">
        <v>1004</v>
      </c>
      <c r="D301" s="1" t="s">
        <v>1005</v>
      </c>
      <c r="E301" s="1" t="s">
        <v>25</v>
      </c>
      <c r="F301" s="1" t="s">
        <v>1011</v>
      </c>
      <c r="G301" s="9">
        <v>46049</v>
      </c>
      <c r="H301" s="27" t="s">
        <v>534</v>
      </c>
      <c r="I301" s="27" t="s">
        <v>5</v>
      </c>
      <c r="J301" s="28">
        <v>46049</v>
      </c>
      <c r="K301" s="28">
        <v>46049</v>
      </c>
      <c r="L301" s="27" t="s">
        <v>1099</v>
      </c>
      <c r="M301" s="29">
        <v>256779440446</v>
      </c>
      <c r="N301" s="27" t="s">
        <v>1007</v>
      </c>
      <c r="O301" s="27" t="s">
        <v>1008</v>
      </c>
      <c r="P301" s="27" t="s">
        <v>41</v>
      </c>
      <c r="Q301" s="27" t="s">
        <v>1025</v>
      </c>
      <c r="R301" s="27" t="s">
        <v>46</v>
      </c>
      <c r="S301" s="30">
        <v>96.71</v>
      </c>
      <c r="T301" s="27" t="s">
        <v>42</v>
      </c>
      <c r="U301" s="30">
        <v>8775.77</v>
      </c>
      <c r="V301" s="27" t="s">
        <v>1026</v>
      </c>
      <c r="W301" s="27" t="s">
        <v>1010</v>
      </c>
      <c r="X301" s="27" t="s">
        <v>41</v>
      </c>
      <c r="Y301" s="27" t="s">
        <v>1023</v>
      </c>
      <c r="Z301" s="27" t="s">
        <v>1011</v>
      </c>
      <c r="AA301" s="27"/>
      <c r="AB301" s="27"/>
      <c r="AC301" s="27"/>
      <c r="AD301" s="27" t="e">
        <f>_xlfn.XLOOKUP(M301,'Customer Data Vlookup'!$R:$R,'Customer Data Vlookup'!$S:$S,,0)</f>
        <v>#N/A</v>
      </c>
      <c r="AE301" s="27"/>
      <c r="AF301" s="27"/>
      <c r="AG301" s="27" t="s">
        <v>535</v>
      </c>
      <c r="AH301" s="27" t="s">
        <v>41</v>
      </c>
      <c r="AI301" s="27" t="s">
        <v>41</v>
      </c>
      <c r="AJ301" s="27" t="s">
        <v>41</v>
      </c>
      <c r="AK301" s="28">
        <v>46049</v>
      </c>
      <c r="AL301" s="28"/>
      <c r="AM301" s="27" t="s">
        <v>41</v>
      </c>
    </row>
    <row r="302" spans="1:39" outlineLevel="2" x14ac:dyDescent="0.35">
      <c r="A302" s="1" t="s">
        <v>1016</v>
      </c>
      <c r="B302" s="1" t="s">
        <v>1003</v>
      </c>
      <c r="C302" s="1" t="s">
        <v>1004</v>
      </c>
      <c r="D302" s="1" t="s">
        <v>1005</v>
      </c>
      <c r="E302" s="1" t="s">
        <v>25</v>
      </c>
      <c r="F302" s="1" t="s">
        <v>1013</v>
      </c>
      <c r="G302" s="9">
        <v>46055</v>
      </c>
      <c r="H302" s="27" t="s">
        <v>536</v>
      </c>
      <c r="I302" s="27" t="s">
        <v>4</v>
      </c>
      <c r="J302" s="28">
        <v>46055</v>
      </c>
      <c r="K302" s="28">
        <v>46055</v>
      </c>
      <c r="L302" s="27" t="s">
        <v>1100</v>
      </c>
      <c r="M302" s="29">
        <v>256779422238</v>
      </c>
      <c r="N302" s="27" t="s">
        <v>1007</v>
      </c>
      <c r="O302" s="27" t="s">
        <v>1008</v>
      </c>
      <c r="P302" s="27" t="s">
        <v>41</v>
      </c>
      <c r="Q302" s="27" t="s">
        <v>1022</v>
      </c>
      <c r="R302" s="27" t="s">
        <v>46</v>
      </c>
      <c r="S302" s="30">
        <v>-17.48</v>
      </c>
      <c r="T302" s="27" t="s">
        <v>42</v>
      </c>
      <c r="U302" s="30">
        <v>-1579.06</v>
      </c>
      <c r="V302" s="27" t="s">
        <v>1026</v>
      </c>
      <c r="W302" s="27" t="s">
        <v>1010</v>
      </c>
      <c r="X302" s="27" t="s">
        <v>41</v>
      </c>
      <c r="Y302" s="27" t="s">
        <v>1023</v>
      </c>
      <c r="Z302" s="27" t="s">
        <v>1011</v>
      </c>
      <c r="AA302" s="27"/>
      <c r="AB302" s="27"/>
      <c r="AC302" s="27"/>
      <c r="AD302" s="27" t="e">
        <f>_xlfn.XLOOKUP(M302,'Customer Data Vlookup'!$R:$R,'Customer Data Vlookup'!$S:$S,,0)</f>
        <v>#N/A</v>
      </c>
      <c r="AE302" s="27"/>
      <c r="AF302" s="27"/>
      <c r="AG302" s="27" t="s">
        <v>537</v>
      </c>
      <c r="AH302" s="27" t="s">
        <v>41</v>
      </c>
      <c r="AI302" s="27" t="s">
        <v>41</v>
      </c>
      <c r="AJ302" s="27" t="s">
        <v>41</v>
      </c>
      <c r="AK302" s="28">
        <v>46055</v>
      </c>
      <c r="AL302" s="28"/>
      <c r="AM302" s="27" t="s">
        <v>41</v>
      </c>
    </row>
    <row r="303" spans="1:39" outlineLevel="2" x14ac:dyDescent="0.35">
      <c r="A303" s="1" t="s">
        <v>1016</v>
      </c>
      <c r="B303" s="1" t="s">
        <v>1003</v>
      </c>
      <c r="C303" s="1" t="s">
        <v>1004</v>
      </c>
      <c r="D303" s="1" t="s">
        <v>1005</v>
      </c>
      <c r="E303" s="1" t="s">
        <v>25</v>
      </c>
      <c r="F303" s="1" t="s">
        <v>1013</v>
      </c>
      <c r="G303" s="9">
        <v>46055</v>
      </c>
      <c r="H303" s="27" t="s">
        <v>538</v>
      </c>
      <c r="I303" s="27" t="s">
        <v>4</v>
      </c>
      <c r="J303" s="28">
        <v>46055</v>
      </c>
      <c r="K303" s="28">
        <v>46055</v>
      </c>
      <c r="L303" s="27" t="s">
        <v>1100</v>
      </c>
      <c r="M303" s="29">
        <v>256779422239</v>
      </c>
      <c r="N303" s="27" t="s">
        <v>1007</v>
      </c>
      <c r="O303" s="27" t="s">
        <v>1008</v>
      </c>
      <c r="P303" s="27" t="s">
        <v>41</v>
      </c>
      <c r="Q303" s="27" t="s">
        <v>1022</v>
      </c>
      <c r="R303" s="27" t="s">
        <v>46</v>
      </c>
      <c r="S303" s="30">
        <v>-101.23</v>
      </c>
      <c r="T303" s="27" t="s">
        <v>42</v>
      </c>
      <c r="U303" s="30">
        <v>-9144.6299999999992</v>
      </c>
      <c r="V303" s="27" t="s">
        <v>1026</v>
      </c>
      <c r="W303" s="27" t="s">
        <v>1010</v>
      </c>
      <c r="X303" s="27" t="s">
        <v>41</v>
      </c>
      <c r="Y303" s="27" t="s">
        <v>1023</v>
      </c>
      <c r="Z303" s="27" t="s">
        <v>1011</v>
      </c>
      <c r="AA303" s="27"/>
      <c r="AB303" s="27"/>
      <c r="AC303" s="27"/>
      <c r="AD303" s="27" t="e">
        <f>_xlfn.XLOOKUP(M303,'Customer Data Vlookup'!$R:$R,'Customer Data Vlookup'!$S:$S,,0)</f>
        <v>#N/A</v>
      </c>
      <c r="AE303" s="27"/>
      <c r="AF303" s="27"/>
      <c r="AG303" s="27" t="s">
        <v>539</v>
      </c>
      <c r="AH303" s="27" t="s">
        <v>41</v>
      </c>
      <c r="AI303" s="27" t="s">
        <v>41</v>
      </c>
      <c r="AJ303" s="27" t="s">
        <v>41</v>
      </c>
      <c r="AK303" s="28">
        <v>46055</v>
      </c>
      <c r="AL303" s="28"/>
      <c r="AM303" s="27" t="s">
        <v>41</v>
      </c>
    </row>
    <row r="304" spans="1:39" outlineLevel="2" x14ac:dyDescent="0.35">
      <c r="A304" s="1" t="s">
        <v>1016</v>
      </c>
      <c r="B304" s="1" t="s">
        <v>1003</v>
      </c>
      <c r="C304" s="1" t="s">
        <v>1004</v>
      </c>
      <c r="D304" s="1" t="s">
        <v>1005</v>
      </c>
      <c r="E304" s="1" t="s">
        <v>25</v>
      </c>
      <c r="F304" s="1" t="s">
        <v>1013</v>
      </c>
      <c r="G304" s="9">
        <v>46055</v>
      </c>
      <c r="H304" s="27" t="s">
        <v>540</v>
      </c>
      <c r="I304" s="27" t="s">
        <v>4</v>
      </c>
      <c r="J304" s="28">
        <v>46055</v>
      </c>
      <c r="K304" s="28">
        <v>46055</v>
      </c>
      <c r="L304" s="27" t="s">
        <v>1100</v>
      </c>
      <c r="M304" s="29">
        <v>256779422240</v>
      </c>
      <c r="N304" s="27" t="s">
        <v>1007</v>
      </c>
      <c r="O304" s="27" t="s">
        <v>1008</v>
      </c>
      <c r="P304" s="27" t="s">
        <v>41</v>
      </c>
      <c r="Q304" s="27" t="s">
        <v>1022</v>
      </c>
      <c r="R304" s="27" t="s">
        <v>46</v>
      </c>
      <c r="S304" s="30">
        <v>-303.16000000000003</v>
      </c>
      <c r="T304" s="27" t="s">
        <v>42</v>
      </c>
      <c r="U304" s="30">
        <v>-27386.02</v>
      </c>
      <c r="V304" s="27" t="s">
        <v>1026</v>
      </c>
      <c r="W304" s="27" t="s">
        <v>1010</v>
      </c>
      <c r="X304" s="27" t="s">
        <v>41</v>
      </c>
      <c r="Y304" s="27" t="s">
        <v>1023</v>
      </c>
      <c r="Z304" s="27" t="s">
        <v>1011</v>
      </c>
      <c r="AA304" s="27"/>
      <c r="AB304" s="27"/>
      <c r="AC304" s="27"/>
      <c r="AD304" s="27" t="e">
        <f>_xlfn.XLOOKUP(M304,'Customer Data Vlookup'!$R:$R,'Customer Data Vlookup'!$S:$S,,0)</f>
        <v>#N/A</v>
      </c>
      <c r="AE304" s="27"/>
      <c r="AF304" s="27"/>
      <c r="AG304" s="27" t="s">
        <v>541</v>
      </c>
      <c r="AH304" s="27" t="s">
        <v>41</v>
      </c>
      <c r="AI304" s="27" t="s">
        <v>41</v>
      </c>
      <c r="AJ304" s="27" t="s">
        <v>41</v>
      </c>
      <c r="AK304" s="28">
        <v>46055</v>
      </c>
      <c r="AL304" s="28"/>
      <c r="AM304" s="27" t="s">
        <v>41</v>
      </c>
    </row>
    <row r="305" spans="1:39" outlineLevel="2" x14ac:dyDescent="0.35">
      <c r="A305" s="1" t="s">
        <v>1016</v>
      </c>
      <c r="B305" s="1" t="s">
        <v>1003</v>
      </c>
      <c r="C305" s="1" t="s">
        <v>1004</v>
      </c>
      <c r="D305" s="1" t="s">
        <v>1005</v>
      </c>
      <c r="E305" s="1" t="s">
        <v>25</v>
      </c>
      <c r="F305" s="1" t="s">
        <v>1013</v>
      </c>
      <c r="G305" s="9">
        <v>46055</v>
      </c>
      <c r="H305" s="27" t="s">
        <v>542</v>
      </c>
      <c r="I305" s="27" t="s">
        <v>4</v>
      </c>
      <c r="J305" s="28">
        <v>46055</v>
      </c>
      <c r="K305" s="28">
        <v>46055</v>
      </c>
      <c r="L305" s="27" t="s">
        <v>1100</v>
      </c>
      <c r="M305" s="29">
        <v>256779422241</v>
      </c>
      <c r="N305" s="27" t="s">
        <v>1007</v>
      </c>
      <c r="O305" s="27" t="s">
        <v>1008</v>
      </c>
      <c r="P305" s="27" t="s">
        <v>41</v>
      </c>
      <c r="Q305" s="27" t="s">
        <v>1022</v>
      </c>
      <c r="R305" s="27" t="s">
        <v>46</v>
      </c>
      <c r="S305" s="30">
        <v>-87.28</v>
      </c>
      <c r="T305" s="27" t="s">
        <v>42</v>
      </c>
      <c r="U305" s="30">
        <v>-7884.46</v>
      </c>
      <c r="V305" s="27" t="s">
        <v>1026</v>
      </c>
      <c r="W305" s="27" t="s">
        <v>1010</v>
      </c>
      <c r="X305" s="27" t="s">
        <v>41</v>
      </c>
      <c r="Y305" s="27" t="s">
        <v>1023</v>
      </c>
      <c r="Z305" s="27" t="s">
        <v>1011</v>
      </c>
      <c r="AA305" s="27"/>
      <c r="AB305" s="27"/>
      <c r="AC305" s="27"/>
      <c r="AD305" s="27" t="e">
        <f>_xlfn.XLOOKUP(M305,'Customer Data Vlookup'!$R:$R,'Customer Data Vlookup'!$S:$S,,0)</f>
        <v>#N/A</v>
      </c>
      <c r="AE305" s="27"/>
      <c r="AF305" s="27"/>
      <c r="AG305" s="27" t="s">
        <v>543</v>
      </c>
      <c r="AH305" s="27" t="s">
        <v>41</v>
      </c>
      <c r="AI305" s="27" t="s">
        <v>41</v>
      </c>
      <c r="AJ305" s="27" t="s">
        <v>41</v>
      </c>
      <c r="AK305" s="28">
        <v>46055</v>
      </c>
      <c r="AL305" s="28"/>
      <c r="AM305" s="27" t="s">
        <v>41</v>
      </c>
    </row>
    <row r="306" spans="1:39" outlineLevel="2" x14ac:dyDescent="0.35">
      <c r="A306" s="1" t="s">
        <v>1016</v>
      </c>
      <c r="B306" s="1" t="s">
        <v>1003</v>
      </c>
      <c r="C306" s="1" t="s">
        <v>1004</v>
      </c>
      <c r="D306" s="1" t="s">
        <v>1005</v>
      </c>
      <c r="E306" s="1" t="s">
        <v>25</v>
      </c>
      <c r="F306" s="1" t="s">
        <v>1013</v>
      </c>
      <c r="G306" s="9">
        <v>46055</v>
      </c>
      <c r="H306" s="27" t="s">
        <v>544</v>
      </c>
      <c r="I306" s="27" t="s">
        <v>5</v>
      </c>
      <c r="J306" s="28">
        <v>46055</v>
      </c>
      <c r="K306" s="28">
        <v>46055</v>
      </c>
      <c r="L306" s="27" t="s">
        <v>1101</v>
      </c>
      <c r="M306" s="29">
        <v>256779440457</v>
      </c>
      <c r="N306" s="27" t="s">
        <v>1007</v>
      </c>
      <c r="O306" s="27" t="s">
        <v>1008</v>
      </c>
      <c r="P306" s="27" t="s">
        <v>41</v>
      </c>
      <c r="Q306" s="27" t="s">
        <v>1025</v>
      </c>
      <c r="R306" s="27" t="s">
        <v>46</v>
      </c>
      <c r="S306" s="30">
        <v>938.8</v>
      </c>
      <c r="T306" s="27" t="s">
        <v>42</v>
      </c>
      <c r="U306" s="30">
        <v>84806.69</v>
      </c>
      <c r="V306" s="27" t="s">
        <v>1026</v>
      </c>
      <c r="W306" s="27" t="s">
        <v>1010</v>
      </c>
      <c r="X306" s="27" t="s">
        <v>41</v>
      </c>
      <c r="Y306" s="27" t="s">
        <v>1023</v>
      </c>
      <c r="Z306" s="27" t="s">
        <v>1011</v>
      </c>
      <c r="AA306" s="27"/>
      <c r="AB306" s="27"/>
      <c r="AC306" s="27"/>
      <c r="AD306" s="27" t="e">
        <f>_xlfn.XLOOKUP(M306,'Customer Data Vlookup'!$R:$R,'Customer Data Vlookup'!$S:$S,,0)</f>
        <v>#N/A</v>
      </c>
      <c r="AE306" s="27"/>
      <c r="AF306" s="27"/>
      <c r="AG306" s="27" t="s">
        <v>484</v>
      </c>
      <c r="AH306" s="27" t="s">
        <v>41</v>
      </c>
      <c r="AI306" s="27" t="s">
        <v>41</v>
      </c>
      <c r="AJ306" s="27" t="s">
        <v>41</v>
      </c>
      <c r="AK306" s="28">
        <v>46055</v>
      </c>
      <c r="AL306" s="28"/>
      <c r="AM306" s="27" t="s">
        <v>41</v>
      </c>
    </row>
    <row r="307" spans="1:39" outlineLevel="2" x14ac:dyDescent="0.35">
      <c r="A307" s="1" t="s">
        <v>1016</v>
      </c>
      <c r="B307" s="1" t="s">
        <v>1003</v>
      </c>
      <c r="C307" s="1" t="s">
        <v>1004</v>
      </c>
      <c r="D307" s="1" t="s">
        <v>1005</v>
      </c>
      <c r="E307" s="1" t="s">
        <v>25</v>
      </c>
      <c r="F307" s="1" t="s">
        <v>1013</v>
      </c>
      <c r="G307" s="9">
        <v>46057</v>
      </c>
      <c r="H307" s="27" t="s">
        <v>1102</v>
      </c>
      <c r="I307" s="27" t="s">
        <v>7</v>
      </c>
      <c r="J307" s="28">
        <v>46057</v>
      </c>
      <c r="K307" s="28">
        <v>46057</v>
      </c>
      <c r="L307" s="27" t="s">
        <v>1103</v>
      </c>
      <c r="M307" s="29" t="s">
        <v>41</v>
      </c>
      <c r="N307" s="27" t="s">
        <v>1007</v>
      </c>
      <c r="O307" s="27" t="s">
        <v>1008</v>
      </c>
      <c r="P307" s="27" t="s">
        <v>41</v>
      </c>
      <c r="Q307" s="27" t="s">
        <v>1012</v>
      </c>
      <c r="R307" s="27" t="s">
        <v>46</v>
      </c>
      <c r="S307" s="30">
        <v>-11976.3</v>
      </c>
      <c r="T307" s="27" t="s">
        <v>42</v>
      </c>
      <c r="U307" s="30">
        <v>-1081881.46</v>
      </c>
      <c r="V307" s="27" t="s">
        <v>41</v>
      </c>
      <c r="W307" s="27" t="s">
        <v>1018</v>
      </c>
      <c r="X307" s="27" t="s">
        <v>41</v>
      </c>
      <c r="Y307" s="27" t="s">
        <v>41</v>
      </c>
      <c r="Z307" s="27" t="s">
        <v>1013</v>
      </c>
      <c r="AA307" s="27"/>
      <c r="AB307" s="27"/>
      <c r="AC307" s="27"/>
      <c r="AD307" s="27" t="e">
        <f>_xlfn.XLOOKUP(M307,'Customer Data Vlookup'!$R:$R,'Customer Data Vlookup'!$S:$S,,0)</f>
        <v>#N/A</v>
      </c>
      <c r="AE307" s="27"/>
      <c r="AF307" s="27"/>
      <c r="AG307" s="27" t="s">
        <v>41</v>
      </c>
      <c r="AH307" s="27" t="s">
        <v>41</v>
      </c>
      <c r="AI307" s="27" t="s">
        <v>41</v>
      </c>
      <c r="AJ307" s="27" t="s">
        <v>41</v>
      </c>
      <c r="AK307" s="28">
        <v>46057</v>
      </c>
      <c r="AL307" s="28"/>
      <c r="AM307" s="27" t="s">
        <v>41</v>
      </c>
    </row>
    <row r="308" spans="1:39" outlineLevel="2" x14ac:dyDescent="0.35">
      <c r="A308" s="1" t="s">
        <v>1016</v>
      </c>
      <c r="B308" s="1" t="s">
        <v>1003</v>
      </c>
      <c r="C308" s="1" t="s">
        <v>1004</v>
      </c>
      <c r="D308" s="1" t="s">
        <v>1005</v>
      </c>
      <c r="E308" s="1" t="s">
        <v>25</v>
      </c>
      <c r="F308" s="1" t="s">
        <v>1013</v>
      </c>
      <c r="G308" s="9">
        <v>46064</v>
      </c>
      <c r="H308" s="27" t="s">
        <v>1104</v>
      </c>
      <c r="I308" s="27" t="s">
        <v>5</v>
      </c>
      <c r="J308" s="28">
        <v>46064</v>
      </c>
      <c r="K308" s="28">
        <v>46066</v>
      </c>
      <c r="L308" s="27" t="s">
        <v>1023</v>
      </c>
      <c r="M308" s="29">
        <v>256779440490</v>
      </c>
      <c r="N308" s="27" t="s">
        <v>1007</v>
      </c>
      <c r="O308" s="27" t="s">
        <v>1008</v>
      </c>
      <c r="P308" s="27" t="s">
        <v>41</v>
      </c>
      <c r="Q308" s="27" t="s">
        <v>1025</v>
      </c>
      <c r="R308" s="27" t="s">
        <v>42</v>
      </c>
      <c r="S308" s="30">
        <v>1149.4252873563219</v>
      </c>
      <c r="T308" s="27" t="s">
        <v>42</v>
      </c>
      <c r="U308" s="30">
        <v>100000</v>
      </c>
      <c r="V308" s="27" t="s">
        <v>1026</v>
      </c>
      <c r="W308" s="27" t="s">
        <v>1010</v>
      </c>
      <c r="X308" s="27" t="s">
        <v>41</v>
      </c>
      <c r="Y308" s="27" t="s">
        <v>1105</v>
      </c>
      <c r="Z308" s="27" t="s">
        <v>1011</v>
      </c>
      <c r="AA308" s="27"/>
      <c r="AB308" s="27"/>
      <c r="AC308" s="27"/>
      <c r="AD308" s="27" t="e">
        <f>_xlfn.XLOOKUP(M308,'Customer Data Vlookup'!$R:$R,'Customer Data Vlookup'!$S:$S,,0)</f>
        <v>#N/A</v>
      </c>
      <c r="AE308" s="27"/>
      <c r="AF308" s="27"/>
      <c r="AG308" s="27" t="s">
        <v>1106</v>
      </c>
      <c r="AH308" s="27" t="s">
        <v>41</v>
      </c>
      <c r="AI308" s="27" t="s">
        <v>41</v>
      </c>
      <c r="AJ308" s="27" t="s">
        <v>41</v>
      </c>
      <c r="AK308" s="28">
        <v>46064</v>
      </c>
      <c r="AL308" s="28"/>
      <c r="AM308" s="27" t="s">
        <v>41</v>
      </c>
    </row>
    <row r="309" spans="1:39" outlineLevel="2" x14ac:dyDescent="0.35">
      <c r="A309" s="1" t="s">
        <v>1016</v>
      </c>
      <c r="B309" s="1" t="s">
        <v>1003</v>
      </c>
      <c r="C309" s="1" t="s">
        <v>1004</v>
      </c>
      <c r="D309" s="1" t="s">
        <v>1005</v>
      </c>
      <c r="E309" s="1" t="s">
        <v>25</v>
      </c>
      <c r="F309" s="1" t="s">
        <v>1013</v>
      </c>
      <c r="G309" s="9">
        <v>46064</v>
      </c>
      <c r="H309" s="27" t="s">
        <v>1107</v>
      </c>
      <c r="I309" s="27" t="s">
        <v>5</v>
      </c>
      <c r="J309" s="28">
        <v>46064</v>
      </c>
      <c r="K309" s="28">
        <v>46066</v>
      </c>
      <c r="L309" s="27" t="s">
        <v>1023</v>
      </c>
      <c r="M309" s="29">
        <v>256779440491</v>
      </c>
      <c r="N309" s="27" t="s">
        <v>1007</v>
      </c>
      <c r="O309" s="27" t="s">
        <v>1008</v>
      </c>
      <c r="P309" s="27" t="s">
        <v>41</v>
      </c>
      <c r="Q309" s="27" t="s">
        <v>1025</v>
      </c>
      <c r="R309" s="27" t="s">
        <v>42</v>
      </c>
      <c r="S309" s="30">
        <v>402.29885057471262</v>
      </c>
      <c r="T309" s="27" t="s">
        <v>42</v>
      </c>
      <c r="U309" s="30">
        <v>35000</v>
      </c>
      <c r="V309" s="27" t="s">
        <v>1026</v>
      </c>
      <c r="W309" s="27" t="s">
        <v>1010</v>
      </c>
      <c r="X309" s="27" t="s">
        <v>41</v>
      </c>
      <c r="Y309" s="27" t="s">
        <v>1105</v>
      </c>
      <c r="Z309" s="27" t="s">
        <v>1011</v>
      </c>
      <c r="AA309" s="27"/>
      <c r="AB309" s="27"/>
      <c r="AC309" s="27"/>
      <c r="AD309" s="27" t="e">
        <f>_xlfn.XLOOKUP(M309,'Customer Data Vlookup'!$R:$R,'Customer Data Vlookup'!$S:$S,,0)</f>
        <v>#N/A</v>
      </c>
      <c r="AE309" s="27"/>
      <c r="AF309" s="27"/>
      <c r="AG309" s="27" t="s">
        <v>1108</v>
      </c>
      <c r="AH309" s="27" t="s">
        <v>41</v>
      </c>
      <c r="AI309" s="27" t="s">
        <v>41</v>
      </c>
      <c r="AJ309" s="27" t="s">
        <v>41</v>
      </c>
      <c r="AK309" s="28">
        <v>46064</v>
      </c>
      <c r="AL309" s="28"/>
      <c r="AM309" s="27" t="s">
        <v>41</v>
      </c>
    </row>
    <row r="310" spans="1:39" outlineLevel="2" x14ac:dyDescent="0.35">
      <c r="A310" s="1" t="s">
        <v>1016</v>
      </c>
      <c r="B310" s="1" t="s">
        <v>1003</v>
      </c>
      <c r="C310" s="1" t="s">
        <v>1004</v>
      </c>
      <c r="D310" s="1" t="s">
        <v>1005</v>
      </c>
      <c r="E310" s="1" t="s">
        <v>25</v>
      </c>
      <c r="F310" s="1" t="s">
        <v>1013</v>
      </c>
      <c r="G310" s="9">
        <v>46064</v>
      </c>
      <c r="H310" s="27" t="s">
        <v>1109</v>
      </c>
      <c r="I310" s="27" t="s">
        <v>5</v>
      </c>
      <c r="J310" s="28">
        <v>46064</v>
      </c>
      <c r="K310" s="28">
        <v>46069</v>
      </c>
      <c r="L310" s="27" t="s">
        <v>1110</v>
      </c>
      <c r="M310" s="29">
        <v>256779451359</v>
      </c>
      <c r="N310" s="27" t="s">
        <v>1007</v>
      </c>
      <c r="O310" s="27" t="s">
        <v>1008</v>
      </c>
      <c r="P310" s="27" t="s">
        <v>41</v>
      </c>
      <c r="Q310" s="27" t="s">
        <v>1025</v>
      </c>
      <c r="R310" s="27" t="s">
        <v>46</v>
      </c>
      <c r="S310" s="30">
        <v>903.23</v>
      </c>
      <c r="T310" s="27" t="s">
        <v>42</v>
      </c>
      <c r="U310" s="30">
        <v>81593.460000000006</v>
      </c>
      <c r="V310" s="27" t="s">
        <v>1026</v>
      </c>
      <c r="W310" s="27" t="s">
        <v>1010</v>
      </c>
      <c r="X310" s="27" t="s">
        <v>41</v>
      </c>
      <c r="Y310" s="27" t="s">
        <v>1023</v>
      </c>
      <c r="Z310" s="27" t="s">
        <v>1011</v>
      </c>
      <c r="AA310" s="27"/>
      <c r="AB310" s="27"/>
      <c r="AC310" s="27"/>
      <c r="AD310" s="27" t="e">
        <f>_xlfn.XLOOKUP(M310,'Customer Data Vlookup'!$R:$R,'Customer Data Vlookup'!$S:$S,,0)</f>
        <v>#N/A</v>
      </c>
      <c r="AE310" s="27"/>
      <c r="AF310" s="27"/>
      <c r="AG310" s="27" t="s">
        <v>1111</v>
      </c>
      <c r="AH310" s="27" t="s">
        <v>41</v>
      </c>
      <c r="AI310" s="27" t="s">
        <v>41</v>
      </c>
      <c r="AJ310" s="27" t="s">
        <v>41</v>
      </c>
      <c r="AK310" s="28">
        <v>46064</v>
      </c>
      <c r="AL310" s="28"/>
      <c r="AM310" s="27" t="s">
        <v>41</v>
      </c>
    </row>
    <row r="311" spans="1:39" outlineLevel="2" x14ac:dyDescent="0.35">
      <c r="A311" s="1" t="s">
        <v>1016</v>
      </c>
      <c r="B311" s="1" t="s">
        <v>1003</v>
      </c>
      <c r="C311" s="1" t="s">
        <v>1004</v>
      </c>
      <c r="D311" s="1" t="s">
        <v>1005</v>
      </c>
      <c r="E311" s="1" t="s">
        <v>25</v>
      </c>
      <c r="F311" s="1" t="s">
        <v>1013</v>
      </c>
      <c r="G311" s="9">
        <v>46064</v>
      </c>
      <c r="H311" s="27" t="s">
        <v>1112</v>
      </c>
      <c r="I311" s="27" t="s">
        <v>5</v>
      </c>
      <c r="J311" s="28">
        <v>46064</v>
      </c>
      <c r="K311" s="28">
        <v>46069</v>
      </c>
      <c r="L311" s="27" t="s">
        <v>1113</v>
      </c>
      <c r="M311" s="29">
        <v>256779451432</v>
      </c>
      <c r="N311" s="27" t="s">
        <v>1007</v>
      </c>
      <c r="O311" s="27" t="s">
        <v>1008</v>
      </c>
      <c r="P311" s="27" t="s">
        <v>41</v>
      </c>
      <c r="Q311" s="27" t="s">
        <v>1025</v>
      </c>
      <c r="R311" s="27" t="s">
        <v>46</v>
      </c>
      <c r="S311" s="30">
        <v>17.38</v>
      </c>
      <c r="T311" s="27" t="s">
        <v>42</v>
      </c>
      <c r="U311" s="30">
        <v>1570.03</v>
      </c>
      <c r="V311" s="27" t="s">
        <v>1026</v>
      </c>
      <c r="W311" s="27" t="s">
        <v>1114</v>
      </c>
      <c r="X311" s="27" t="s">
        <v>41</v>
      </c>
      <c r="Y311" s="27" t="s">
        <v>1023</v>
      </c>
      <c r="Z311" s="27" t="s">
        <v>1011</v>
      </c>
      <c r="AA311" s="27"/>
      <c r="AB311" s="27"/>
      <c r="AC311" s="27"/>
      <c r="AD311" s="27" t="e">
        <f>_xlfn.XLOOKUP(M311,'Customer Data Vlookup'!$R:$R,'Customer Data Vlookup'!$S:$S,,0)</f>
        <v>#N/A</v>
      </c>
      <c r="AE311" s="27"/>
      <c r="AF311" s="27"/>
      <c r="AG311" s="27" t="s">
        <v>1115</v>
      </c>
      <c r="AH311" s="27" t="s">
        <v>41</v>
      </c>
      <c r="AI311" s="27" t="s">
        <v>41</v>
      </c>
      <c r="AJ311" s="27" t="s">
        <v>41</v>
      </c>
      <c r="AK311" s="28">
        <v>46064</v>
      </c>
      <c r="AL311" s="28"/>
      <c r="AM311" s="27" t="s">
        <v>41</v>
      </c>
    </row>
    <row r="312" spans="1:39" outlineLevel="2" x14ac:dyDescent="0.35">
      <c r="A312" s="1" t="s">
        <v>1016</v>
      </c>
      <c r="B312" s="1" t="s">
        <v>1003</v>
      </c>
      <c r="C312" s="1" t="s">
        <v>1004</v>
      </c>
      <c r="D312" s="1" t="s">
        <v>1005</v>
      </c>
      <c r="E312" s="1" t="s">
        <v>25</v>
      </c>
      <c r="F312" s="1" t="s">
        <v>1013</v>
      </c>
      <c r="G312" s="9">
        <v>46064</v>
      </c>
      <c r="H312" s="27" t="s">
        <v>1116</v>
      </c>
      <c r="I312" s="27" t="s">
        <v>5</v>
      </c>
      <c r="J312" s="28">
        <v>46064</v>
      </c>
      <c r="K312" s="28">
        <v>46069</v>
      </c>
      <c r="L312" s="27" t="s">
        <v>1117</v>
      </c>
      <c r="M312" s="29">
        <v>256779451510</v>
      </c>
      <c r="N312" s="27" t="s">
        <v>1007</v>
      </c>
      <c r="O312" s="27" t="s">
        <v>1008</v>
      </c>
      <c r="P312" s="27" t="s">
        <v>41</v>
      </c>
      <c r="Q312" s="27" t="s">
        <v>1025</v>
      </c>
      <c r="R312" s="27" t="s">
        <v>46</v>
      </c>
      <c r="S312" s="30">
        <v>50.92</v>
      </c>
      <c r="T312" s="27" t="s">
        <v>42</v>
      </c>
      <c r="U312" s="30">
        <v>4599.87</v>
      </c>
      <c r="V312" s="27" t="s">
        <v>1026</v>
      </c>
      <c r="W312" s="27" t="s">
        <v>1114</v>
      </c>
      <c r="X312" s="27" t="s">
        <v>41</v>
      </c>
      <c r="Y312" s="27" t="s">
        <v>1023</v>
      </c>
      <c r="Z312" s="27" t="s">
        <v>1011</v>
      </c>
      <c r="AA312" s="27"/>
      <c r="AB312" s="27"/>
      <c r="AC312" s="27"/>
      <c r="AD312" s="27" t="e">
        <f>_xlfn.XLOOKUP(M312,'Customer Data Vlookup'!$R:$R,'Customer Data Vlookup'!$S:$S,,0)</f>
        <v>#N/A</v>
      </c>
      <c r="AE312" s="27"/>
      <c r="AF312" s="27"/>
      <c r="AG312" s="27" t="s">
        <v>1118</v>
      </c>
      <c r="AH312" s="27" t="s">
        <v>41</v>
      </c>
      <c r="AI312" s="27" t="s">
        <v>41</v>
      </c>
      <c r="AJ312" s="27" t="s">
        <v>41</v>
      </c>
      <c r="AK312" s="28">
        <v>46064</v>
      </c>
      <c r="AL312" s="28"/>
      <c r="AM312" s="27" t="s">
        <v>41</v>
      </c>
    </row>
    <row r="313" spans="1:39" outlineLevel="2" x14ac:dyDescent="0.35">
      <c r="A313" s="1" t="s">
        <v>1016</v>
      </c>
      <c r="B313" s="1" t="s">
        <v>1003</v>
      </c>
      <c r="C313" s="1" t="s">
        <v>1004</v>
      </c>
      <c r="D313" s="1" t="s">
        <v>1005</v>
      </c>
      <c r="E313" s="1" t="s">
        <v>25</v>
      </c>
      <c r="F313" s="1" t="s">
        <v>1013</v>
      </c>
      <c r="G313" s="9">
        <v>46064</v>
      </c>
      <c r="H313" s="27" t="s">
        <v>1119</v>
      </c>
      <c r="I313" s="27" t="s">
        <v>5</v>
      </c>
      <c r="J313" s="28">
        <v>46064</v>
      </c>
      <c r="K313" s="28">
        <v>46069</v>
      </c>
      <c r="L313" s="27" t="s">
        <v>1120</v>
      </c>
      <c r="M313" s="29">
        <v>256779451542</v>
      </c>
      <c r="N313" s="27" t="s">
        <v>1007</v>
      </c>
      <c r="O313" s="27" t="s">
        <v>1008</v>
      </c>
      <c r="P313" s="27" t="s">
        <v>41</v>
      </c>
      <c r="Q313" s="27" t="s">
        <v>1025</v>
      </c>
      <c r="R313" s="27" t="s">
        <v>46</v>
      </c>
      <c r="S313" s="30">
        <v>26.83</v>
      </c>
      <c r="T313" s="27" t="s">
        <v>42</v>
      </c>
      <c r="U313" s="30">
        <v>2423.69</v>
      </c>
      <c r="V313" s="27" t="s">
        <v>1026</v>
      </c>
      <c r="W313" s="27" t="s">
        <v>1114</v>
      </c>
      <c r="X313" s="27" t="s">
        <v>41</v>
      </c>
      <c r="Y313" s="27" t="s">
        <v>1023</v>
      </c>
      <c r="Z313" s="27" t="s">
        <v>1011</v>
      </c>
      <c r="AA313" s="27"/>
      <c r="AB313" s="27"/>
      <c r="AC313" s="27"/>
      <c r="AD313" s="27" t="e">
        <f>_xlfn.XLOOKUP(M313,'Customer Data Vlookup'!$R:$R,'Customer Data Vlookup'!$S:$S,,0)</f>
        <v>#N/A</v>
      </c>
      <c r="AE313" s="27"/>
      <c r="AF313" s="27"/>
      <c r="AG313" s="27" t="s">
        <v>1121</v>
      </c>
      <c r="AH313" s="27" t="s">
        <v>41</v>
      </c>
      <c r="AI313" s="27" t="s">
        <v>41</v>
      </c>
      <c r="AJ313" s="27" t="s">
        <v>41</v>
      </c>
      <c r="AK313" s="28">
        <v>46064</v>
      </c>
      <c r="AL313" s="28"/>
      <c r="AM313" s="27" t="s">
        <v>41</v>
      </c>
    </row>
    <row r="314" spans="1:39" outlineLevel="2" x14ac:dyDescent="0.35">
      <c r="A314" s="1" t="s">
        <v>1002</v>
      </c>
      <c r="B314" s="1" t="s">
        <v>1003</v>
      </c>
      <c r="C314" s="1" t="s">
        <v>1004</v>
      </c>
      <c r="D314" s="1" t="s">
        <v>1005</v>
      </c>
      <c r="E314" s="1" t="s">
        <v>25</v>
      </c>
      <c r="F314" s="1" t="s">
        <v>1013</v>
      </c>
      <c r="G314" s="9">
        <v>46073</v>
      </c>
      <c r="H314" s="27" t="s">
        <v>1122</v>
      </c>
      <c r="I314" s="27" t="s">
        <v>7</v>
      </c>
      <c r="J314" s="28">
        <v>45832</v>
      </c>
      <c r="K314" s="28">
        <v>46073</v>
      </c>
      <c r="L314" s="27" t="s">
        <v>936</v>
      </c>
      <c r="M314" s="29" t="s">
        <v>41</v>
      </c>
      <c r="N314" s="27" t="s">
        <v>1007</v>
      </c>
      <c r="O314" s="27" t="s">
        <v>1008</v>
      </c>
      <c r="P314" s="27" t="s">
        <v>41</v>
      </c>
      <c r="Q314" s="27" t="s">
        <v>1020</v>
      </c>
      <c r="R314" s="27" t="s">
        <v>46</v>
      </c>
      <c r="S314" s="30">
        <v>3508.06</v>
      </c>
      <c r="T314" s="27" t="s">
        <v>42</v>
      </c>
      <c r="U314" s="30">
        <v>3508.06</v>
      </c>
      <c r="V314" s="27" t="s">
        <v>41</v>
      </c>
      <c r="W314" s="27" t="s">
        <v>1018</v>
      </c>
      <c r="X314" s="27" t="s">
        <v>41</v>
      </c>
      <c r="Y314" s="27" t="s">
        <v>41</v>
      </c>
      <c r="Z314" s="27" t="s">
        <v>1013</v>
      </c>
      <c r="AA314" s="27"/>
      <c r="AB314" s="27"/>
      <c r="AC314" s="27"/>
      <c r="AD314" s="27" t="e">
        <f>_xlfn.XLOOKUP(M314,'Customer Data Vlookup'!$R:$R,'Customer Data Vlookup'!$S:$S,,0)</f>
        <v>#N/A</v>
      </c>
      <c r="AE314" s="27"/>
      <c r="AF314" s="27"/>
      <c r="AG314" s="27" t="s">
        <v>41</v>
      </c>
      <c r="AH314" s="27" t="s">
        <v>41</v>
      </c>
      <c r="AI314" s="27" t="s">
        <v>41</v>
      </c>
      <c r="AJ314" s="27" t="s">
        <v>41</v>
      </c>
      <c r="AK314" s="28">
        <v>45832</v>
      </c>
      <c r="AL314" s="28">
        <v>46073</v>
      </c>
      <c r="AM314" s="27" t="s">
        <v>1122</v>
      </c>
    </row>
    <row r="315" spans="1:39" outlineLevel="2" x14ac:dyDescent="0.35">
      <c r="A315" s="1" t="s">
        <v>1002</v>
      </c>
      <c r="B315" s="1" t="s">
        <v>1003</v>
      </c>
      <c r="C315" s="1" t="s">
        <v>1004</v>
      </c>
      <c r="D315" s="1" t="s">
        <v>1005</v>
      </c>
      <c r="E315" s="1" t="s">
        <v>9</v>
      </c>
      <c r="F315" s="1" t="s">
        <v>1019</v>
      </c>
      <c r="G315" s="9">
        <v>45839</v>
      </c>
      <c r="H315" s="27" t="s">
        <v>52</v>
      </c>
      <c r="I315" s="27" t="s">
        <v>7</v>
      </c>
      <c r="J315" s="28">
        <v>45832</v>
      </c>
      <c r="K315" s="28">
        <v>45832</v>
      </c>
      <c r="L315" s="27" t="s">
        <v>936</v>
      </c>
      <c r="M315" s="29" t="s">
        <v>41</v>
      </c>
      <c r="N315" s="27" t="s">
        <v>1007</v>
      </c>
      <c r="O315" s="27" t="s">
        <v>1008</v>
      </c>
      <c r="P315" s="27" t="s">
        <v>41</v>
      </c>
      <c r="Q315" s="27" t="s">
        <v>1012</v>
      </c>
      <c r="R315" s="27" t="s">
        <v>46</v>
      </c>
      <c r="S315" s="30">
        <v>-3508.06</v>
      </c>
      <c r="T315" s="27" t="s">
        <v>42</v>
      </c>
      <c r="U315" s="30">
        <v>-3508.06</v>
      </c>
      <c r="V315" s="27" t="s">
        <v>41</v>
      </c>
      <c r="W315" s="27" t="s">
        <v>1018</v>
      </c>
      <c r="X315" s="27" t="s">
        <v>41</v>
      </c>
      <c r="Y315" s="27" t="s">
        <v>41</v>
      </c>
      <c r="Z315" s="27" t="s">
        <v>1013</v>
      </c>
      <c r="AA315" s="27"/>
      <c r="AB315" s="27"/>
      <c r="AC315" s="27"/>
      <c r="AD315" s="27" t="e">
        <f>_xlfn.XLOOKUP(M315,'Customer Data Vlookup'!$R:$R,'Customer Data Vlookup'!$S:$S,,0)</f>
        <v>#N/A</v>
      </c>
      <c r="AE315" s="27"/>
      <c r="AF315" s="27"/>
      <c r="AG315" s="27" t="s">
        <v>41</v>
      </c>
      <c r="AH315" s="27" t="s">
        <v>41</v>
      </c>
      <c r="AI315" s="27" t="s">
        <v>41</v>
      </c>
      <c r="AJ315" s="27" t="s">
        <v>41</v>
      </c>
      <c r="AK315" s="28">
        <v>45832</v>
      </c>
      <c r="AL315" s="28">
        <v>46073</v>
      </c>
      <c r="AM315" s="27" t="s">
        <v>1122</v>
      </c>
    </row>
    <row r="316" spans="1:39" outlineLevel="2" x14ac:dyDescent="0.35">
      <c r="A316" s="1" t="s">
        <v>1016</v>
      </c>
      <c r="B316" s="1" t="s">
        <v>1003</v>
      </c>
      <c r="C316" s="1" t="s">
        <v>1004</v>
      </c>
      <c r="D316" s="1" t="s">
        <v>1005</v>
      </c>
      <c r="E316" s="1" t="s">
        <v>25</v>
      </c>
      <c r="F316" s="1" t="s">
        <v>1013</v>
      </c>
      <c r="G316" s="9">
        <v>46073</v>
      </c>
      <c r="H316" s="27" t="s">
        <v>1123</v>
      </c>
      <c r="I316" s="27" t="s">
        <v>7</v>
      </c>
      <c r="J316" s="28">
        <v>46073</v>
      </c>
      <c r="K316" s="28">
        <v>46073</v>
      </c>
      <c r="L316" s="27" t="s">
        <v>1124</v>
      </c>
      <c r="M316" s="29" t="s">
        <v>41</v>
      </c>
      <c r="N316" s="27" t="s">
        <v>1007</v>
      </c>
      <c r="O316" s="27" t="s">
        <v>1008</v>
      </c>
      <c r="P316" s="27" t="s">
        <v>41</v>
      </c>
      <c r="Q316" s="27" t="s">
        <v>1012</v>
      </c>
      <c r="R316" s="27" t="s">
        <v>46</v>
      </c>
      <c r="S316" s="30">
        <v>-3508.06</v>
      </c>
      <c r="T316" s="27" t="s">
        <v>42</v>
      </c>
      <c r="U316" s="30">
        <v>-299906.78999999998</v>
      </c>
      <c r="V316" s="27" t="s">
        <v>41</v>
      </c>
      <c r="W316" s="27" t="s">
        <v>1018</v>
      </c>
      <c r="X316" s="27" t="s">
        <v>41</v>
      </c>
      <c r="Y316" s="27" t="s">
        <v>41</v>
      </c>
      <c r="Z316" s="27" t="s">
        <v>1013</v>
      </c>
      <c r="AA316" s="27"/>
      <c r="AB316" s="27"/>
      <c r="AC316" s="27"/>
      <c r="AD316" s="27" t="e">
        <f>_xlfn.XLOOKUP(M316,'Customer Data Vlookup'!$R:$R,'Customer Data Vlookup'!$S:$S,,0)</f>
        <v>#N/A</v>
      </c>
      <c r="AE316" s="27"/>
      <c r="AF316" s="27"/>
      <c r="AG316" s="27" t="s">
        <v>41</v>
      </c>
      <c r="AH316" s="27" t="s">
        <v>41</v>
      </c>
      <c r="AI316" s="27" t="s">
        <v>41</v>
      </c>
      <c r="AJ316" s="27" t="s">
        <v>41</v>
      </c>
      <c r="AK316" s="28">
        <v>46073</v>
      </c>
      <c r="AL316" s="28"/>
      <c r="AM316" s="27" t="s">
        <v>41</v>
      </c>
    </row>
    <row r="317" spans="1:39" outlineLevel="2" x14ac:dyDescent="0.35">
      <c r="A317" s="1" t="s">
        <v>1016</v>
      </c>
      <c r="B317" s="1" t="s">
        <v>1003</v>
      </c>
      <c r="C317" s="1" t="s">
        <v>1004</v>
      </c>
      <c r="D317" s="1" t="s">
        <v>1005</v>
      </c>
      <c r="E317" s="1" t="s">
        <v>25</v>
      </c>
      <c r="F317" s="1" t="s">
        <v>1013</v>
      </c>
      <c r="G317" s="9">
        <v>46073</v>
      </c>
      <c r="H317" s="27" t="s">
        <v>1125</v>
      </c>
      <c r="I317" s="27" t="s">
        <v>5</v>
      </c>
      <c r="J317" s="28">
        <v>46073</v>
      </c>
      <c r="K317" s="28">
        <v>46077</v>
      </c>
      <c r="L317" s="27" t="s">
        <v>1126</v>
      </c>
      <c r="M317" s="29">
        <v>256779451657</v>
      </c>
      <c r="N317" s="27" t="s">
        <v>1007</v>
      </c>
      <c r="O317" s="27" t="s">
        <v>1008</v>
      </c>
      <c r="P317" s="27" t="s">
        <v>41</v>
      </c>
      <c r="Q317" s="27" t="s">
        <v>1025</v>
      </c>
      <c r="R317" s="27" t="s">
        <v>46</v>
      </c>
      <c r="S317" s="30">
        <v>857.14</v>
      </c>
      <c r="T317" s="27" t="s">
        <v>42</v>
      </c>
      <c r="U317" s="30">
        <v>77429.91</v>
      </c>
      <c r="V317" s="27" t="s">
        <v>1026</v>
      </c>
      <c r="W317" s="27" t="s">
        <v>1114</v>
      </c>
      <c r="X317" s="27" t="s">
        <v>41</v>
      </c>
      <c r="Y317" s="27" t="s">
        <v>1023</v>
      </c>
      <c r="Z317" s="27" t="s">
        <v>1011</v>
      </c>
      <c r="AA317" s="27"/>
      <c r="AB317" s="27"/>
      <c r="AC317" s="27"/>
      <c r="AD317" s="27" t="e">
        <f>_xlfn.XLOOKUP(M317,'Customer Data Vlookup'!$R:$R,'Customer Data Vlookup'!$S:$S,,0)</f>
        <v>#N/A</v>
      </c>
      <c r="AE317" s="27"/>
      <c r="AF317" s="27"/>
      <c r="AG317" s="27" t="s">
        <v>1127</v>
      </c>
      <c r="AH317" s="27" t="s">
        <v>41</v>
      </c>
      <c r="AI317" s="27" t="s">
        <v>41</v>
      </c>
      <c r="AJ317" s="27" t="s">
        <v>41</v>
      </c>
      <c r="AK317" s="28">
        <v>46073</v>
      </c>
      <c r="AL317" s="28"/>
      <c r="AM317" s="27" t="s">
        <v>41</v>
      </c>
    </row>
    <row r="318" spans="1:39" outlineLevel="2" x14ac:dyDescent="0.35">
      <c r="A318" s="1" t="s">
        <v>1016</v>
      </c>
      <c r="B318" s="1" t="s">
        <v>1003</v>
      </c>
      <c r="C318" s="1" t="s">
        <v>1004</v>
      </c>
      <c r="D318" s="1" t="s">
        <v>1005</v>
      </c>
      <c r="E318" s="1" t="s">
        <v>25</v>
      </c>
      <c r="F318" s="1" t="s">
        <v>1013</v>
      </c>
      <c r="G318" s="9">
        <v>46073</v>
      </c>
      <c r="H318" s="27" t="s">
        <v>1128</v>
      </c>
      <c r="I318" s="27" t="s">
        <v>5</v>
      </c>
      <c r="J318" s="28">
        <v>46073</v>
      </c>
      <c r="K318" s="28">
        <v>46077</v>
      </c>
      <c r="L318" s="27" t="s">
        <v>1129</v>
      </c>
      <c r="M318" s="29">
        <v>256779451660</v>
      </c>
      <c r="N318" s="27" t="s">
        <v>1007</v>
      </c>
      <c r="O318" s="27" t="s">
        <v>1008</v>
      </c>
      <c r="P318" s="27" t="s">
        <v>41</v>
      </c>
      <c r="Q318" s="27" t="s">
        <v>1025</v>
      </c>
      <c r="R318" s="27" t="s">
        <v>46</v>
      </c>
      <c r="S318" s="30">
        <v>270</v>
      </c>
      <c r="T318" s="27" t="s">
        <v>42</v>
      </c>
      <c r="U318" s="30">
        <v>24390.5</v>
      </c>
      <c r="V318" s="27" t="s">
        <v>1026</v>
      </c>
      <c r="W318" s="27" t="s">
        <v>1114</v>
      </c>
      <c r="X318" s="27" t="s">
        <v>41</v>
      </c>
      <c r="Y318" s="27" t="s">
        <v>1023</v>
      </c>
      <c r="Z318" s="27" t="s">
        <v>1011</v>
      </c>
      <c r="AA318" s="27"/>
      <c r="AB318" s="27"/>
      <c r="AC318" s="27"/>
      <c r="AD318" s="27" t="e">
        <f>_xlfn.XLOOKUP(M318,'Customer Data Vlookup'!$R:$R,'Customer Data Vlookup'!$S:$S,,0)</f>
        <v>#N/A</v>
      </c>
      <c r="AE318" s="27"/>
      <c r="AF318" s="27"/>
      <c r="AG318" s="27" t="s">
        <v>1130</v>
      </c>
      <c r="AH318" s="27" t="s">
        <v>41</v>
      </c>
      <c r="AI318" s="27" t="s">
        <v>41</v>
      </c>
      <c r="AJ318" s="27" t="s">
        <v>41</v>
      </c>
      <c r="AK318" s="28">
        <v>46073</v>
      </c>
      <c r="AL318" s="28"/>
      <c r="AM318" s="27" t="s">
        <v>41</v>
      </c>
    </row>
    <row r="319" spans="1:39" outlineLevel="2" x14ac:dyDescent="0.35">
      <c r="A319" s="1" t="s">
        <v>1016</v>
      </c>
      <c r="B319" s="1" t="s">
        <v>1003</v>
      </c>
      <c r="C319" s="1" t="s">
        <v>1004</v>
      </c>
      <c r="D319" s="1" t="s">
        <v>1005</v>
      </c>
      <c r="E319" s="1" t="s">
        <v>25</v>
      </c>
      <c r="F319" s="1" t="s">
        <v>1013</v>
      </c>
      <c r="G319" s="9">
        <v>46076</v>
      </c>
      <c r="H319" s="27" t="s">
        <v>1131</v>
      </c>
      <c r="I319" s="27" t="s">
        <v>5</v>
      </c>
      <c r="J319" s="28">
        <v>46076</v>
      </c>
      <c r="K319" s="28">
        <v>46077</v>
      </c>
      <c r="L319" s="27" t="s">
        <v>1132</v>
      </c>
      <c r="M319" s="29">
        <v>256779451666</v>
      </c>
      <c r="N319" s="27" t="s">
        <v>1007</v>
      </c>
      <c r="O319" s="27" t="s">
        <v>1008</v>
      </c>
      <c r="P319" s="27" t="s">
        <v>41</v>
      </c>
      <c r="Q319" s="27" t="s">
        <v>1025</v>
      </c>
      <c r="R319" s="27" t="s">
        <v>46</v>
      </c>
      <c r="S319" s="30">
        <v>35</v>
      </c>
      <c r="T319" s="27" t="s">
        <v>42</v>
      </c>
      <c r="U319" s="30">
        <v>3161.73</v>
      </c>
      <c r="V319" s="27" t="s">
        <v>1026</v>
      </c>
      <c r="W319" s="27" t="s">
        <v>1114</v>
      </c>
      <c r="X319" s="27" t="s">
        <v>41</v>
      </c>
      <c r="Y319" s="27" t="s">
        <v>1023</v>
      </c>
      <c r="Z319" s="27" t="s">
        <v>1011</v>
      </c>
      <c r="AA319" s="27"/>
      <c r="AB319" s="27"/>
      <c r="AC319" s="27"/>
      <c r="AD319" s="27" t="e">
        <f>_xlfn.XLOOKUP(M319,'Customer Data Vlookup'!$R:$R,'Customer Data Vlookup'!$S:$S,,0)</f>
        <v>#N/A</v>
      </c>
      <c r="AE319" s="27"/>
      <c r="AF319" s="27"/>
      <c r="AG319" s="27" t="s">
        <v>1133</v>
      </c>
      <c r="AH319" s="27" t="s">
        <v>41</v>
      </c>
      <c r="AI319" s="27" t="s">
        <v>41</v>
      </c>
      <c r="AJ319" s="27" t="s">
        <v>41</v>
      </c>
      <c r="AK319" s="28">
        <v>46076</v>
      </c>
      <c r="AL319" s="28"/>
      <c r="AM319" s="27" t="s">
        <v>41</v>
      </c>
    </row>
    <row r="320" spans="1:39" outlineLevel="2" x14ac:dyDescent="0.35">
      <c r="A320" s="1" t="s">
        <v>1016</v>
      </c>
      <c r="B320" s="1" t="s">
        <v>1003</v>
      </c>
      <c r="C320" s="1" t="s">
        <v>1004</v>
      </c>
      <c r="D320" s="1" t="s">
        <v>1005</v>
      </c>
      <c r="E320" s="1" t="s">
        <v>25</v>
      </c>
      <c r="F320" s="1" t="s">
        <v>1013</v>
      </c>
      <c r="G320" s="9">
        <v>46076</v>
      </c>
      <c r="H320" s="27" t="s">
        <v>1134</v>
      </c>
      <c r="I320" s="27" t="s">
        <v>5</v>
      </c>
      <c r="J320" s="28">
        <v>46076</v>
      </c>
      <c r="K320" s="28">
        <v>46077</v>
      </c>
      <c r="L320" s="27" t="s">
        <v>1023</v>
      </c>
      <c r="M320" s="29">
        <v>256779451814</v>
      </c>
      <c r="N320" s="27" t="s">
        <v>1007</v>
      </c>
      <c r="O320" s="27" t="s">
        <v>1008</v>
      </c>
      <c r="P320" s="27" t="s">
        <v>41</v>
      </c>
      <c r="Q320" s="27" t="s">
        <v>1025</v>
      </c>
      <c r="R320" s="27" t="s">
        <v>46</v>
      </c>
      <c r="S320" s="30">
        <v>100</v>
      </c>
      <c r="T320" s="27" t="s">
        <v>42</v>
      </c>
      <c r="U320" s="30">
        <v>9033.52</v>
      </c>
      <c r="V320" s="27" t="s">
        <v>1026</v>
      </c>
      <c r="W320" s="27" t="s">
        <v>1114</v>
      </c>
      <c r="X320" s="27" t="s">
        <v>41</v>
      </c>
      <c r="Y320" s="27" t="s">
        <v>1135</v>
      </c>
      <c r="Z320" s="27" t="s">
        <v>1011</v>
      </c>
      <c r="AA320" s="27"/>
      <c r="AB320" s="27"/>
      <c r="AC320" s="27"/>
      <c r="AD320" s="27" t="e">
        <f>_xlfn.XLOOKUP(M320,'Customer Data Vlookup'!$R:$R,'Customer Data Vlookup'!$S:$S,,0)</f>
        <v>#N/A</v>
      </c>
      <c r="AE320" s="27"/>
      <c r="AF320" s="27"/>
      <c r="AG320" s="27" t="s">
        <v>1136</v>
      </c>
      <c r="AH320" s="27" t="s">
        <v>41</v>
      </c>
      <c r="AI320" s="27" t="s">
        <v>41</v>
      </c>
      <c r="AJ320" s="27" t="s">
        <v>41</v>
      </c>
      <c r="AK320" s="28">
        <v>46076</v>
      </c>
      <c r="AL320" s="28"/>
      <c r="AM320" s="27" t="s">
        <v>41</v>
      </c>
    </row>
    <row r="321" spans="1:39" outlineLevel="2" x14ac:dyDescent="0.35">
      <c r="A321" s="1" t="s">
        <v>1016</v>
      </c>
      <c r="B321" s="1" t="s">
        <v>1003</v>
      </c>
      <c r="C321" s="1" t="s">
        <v>1004</v>
      </c>
      <c r="D321" s="1" t="s">
        <v>1005</v>
      </c>
      <c r="E321" s="1" t="s">
        <v>25</v>
      </c>
      <c r="F321" s="1" t="s">
        <v>1013</v>
      </c>
      <c r="G321" s="9">
        <v>46076</v>
      </c>
      <c r="H321" s="27" t="s">
        <v>1137</v>
      </c>
      <c r="I321" s="27" t="s">
        <v>5</v>
      </c>
      <c r="J321" s="28">
        <v>46076</v>
      </c>
      <c r="K321" s="28">
        <v>46077</v>
      </c>
      <c r="L321" s="27" t="s">
        <v>1023</v>
      </c>
      <c r="M321" s="29">
        <v>256779451846</v>
      </c>
      <c r="N321" s="27" t="s">
        <v>1007</v>
      </c>
      <c r="O321" s="27" t="s">
        <v>1008</v>
      </c>
      <c r="P321" s="27" t="s">
        <v>41</v>
      </c>
      <c r="Q321" s="27" t="s">
        <v>1025</v>
      </c>
      <c r="R321" s="27" t="s">
        <v>46</v>
      </c>
      <c r="S321" s="30">
        <v>177.21</v>
      </c>
      <c r="T321" s="27" t="s">
        <v>42</v>
      </c>
      <c r="U321" s="30">
        <v>16008.3</v>
      </c>
      <c r="V321" s="27" t="s">
        <v>1026</v>
      </c>
      <c r="W321" s="27" t="s">
        <v>1114</v>
      </c>
      <c r="X321" s="27" t="s">
        <v>41</v>
      </c>
      <c r="Y321" s="27" t="s">
        <v>1135</v>
      </c>
      <c r="Z321" s="27" t="s">
        <v>1011</v>
      </c>
      <c r="AA321" s="27"/>
      <c r="AB321" s="27"/>
      <c r="AC321" s="27"/>
      <c r="AD321" s="27" t="e">
        <f>_xlfn.XLOOKUP(M321,'Customer Data Vlookup'!$R:$R,'Customer Data Vlookup'!$S:$S,,0)</f>
        <v>#N/A</v>
      </c>
      <c r="AE321" s="27"/>
      <c r="AF321" s="27"/>
      <c r="AG321" s="27" t="s">
        <v>1138</v>
      </c>
      <c r="AH321" s="27" t="s">
        <v>41</v>
      </c>
      <c r="AI321" s="27" t="s">
        <v>41</v>
      </c>
      <c r="AJ321" s="27" t="s">
        <v>41</v>
      </c>
      <c r="AK321" s="28">
        <v>46076</v>
      </c>
      <c r="AL321" s="28"/>
      <c r="AM321" s="27" t="s">
        <v>41</v>
      </c>
    </row>
    <row r="322" spans="1:39" outlineLevel="2" x14ac:dyDescent="0.35">
      <c r="A322" s="1" t="s">
        <v>1016</v>
      </c>
      <c r="B322" s="1" t="s">
        <v>1003</v>
      </c>
      <c r="C322" s="1" t="s">
        <v>1004</v>
      </c>
      <c r="D322" s="1" t="s">
        <v>1005</v>
      </c>
      <c r="E322" s="1" t="s">
        <v>25</v>
      </c>
      <c r="F322" s="1" t="s">
        <v>1013</v>
      </c>
      <c r="G322" s="9">
        <v>46077</v>
      </c>
      <c r="H322" s="27" t="s">
        <v>1139</v>
      </c>
      <c r="I322" s="27" t="s">
        <v>5</v>
      </c>
      <c r="J322" s="28">
        <v>46077</v>
      </c>
      <c r="K322" s="28">
        <v>46077</v>
      </c>
      <c r="L322" s="27" t="s">
        <v>1140</v>
      </c>
      <c r="M322" s="29">
        <v>256779451892</v>
      </c>
      <c r="N322" s="27" t="s">
        <v>1007</v>
      </c>
      <c r="O322" s="27" t="s">
        <v>1008</v>
      </c>
      <c r="P322" s="27" t="s">
        <v>41</v>
      </c>
      <c r="Q322" s="27" t="s">
        <v>1025</v>
      </c>
      <c r="R322" s="27" t="s">
        <v>46</v>
      </c>
      <c r="S322" s="30">
        <v>482.81</v>
      </c>
      <c r="T322" s="27" t="s">
        <v>42</v>
      </c>
      <c r="U322" s="30">
        <v>43614.74</v>
      </c>
      <c r="V322" s="27" t="s">
        <v>1026</v>
      </c>
      <c r="W322" s="27" t="s">
        <v>1114</v>
      </c>
      <c r="X322" s="27" t="s">
        <v>41</v>
      </c>
      <c r="Y322" s="27" t="s">
        <v>1023</v>
      </c>
      <c r="Z322" s="27" t="s">
        <v>1011</v>
      </c>
      <c r="AA322" s="27"/>
      <c r="AB322" s="27"/>
      <c r="AC322" s="27"/>
      <c r="AD322" s="27" t="e">
        <f>_xlfn.XLOOKUP(M322,'Customer Data Vlookup'!$R:$R,'Customer Data Vlookup'!$S:$S,,0)</f>
        <v>#N/A</v>
      </c>
      <c r="AE322" s="27"/>
      <c r="AF322" s="27"/>
      <c r="AG322" s="27" t="s">
        <v>1141</v>
      </c>
      <c r="AH322" s="27" t="s">
        <v>41</v>
      </c>
      <c r="AI322" s="27" t="s">
        <v>41</v>
      </c>
      <c r="AJ322" s="27" t="s">
        <v>41</v>
      </c>
      <c r="AK322" s="28">
        <v>46077</v>
      </c>
      <c r="AL322" s="28"/>
      <c r="AM322" s="27" t="s">
        <v>41</v>
      </c>
    </row>
    <row r="323" spans="1:39" outlineLevel="2" x14ac:dyDescent="0.35">
      <c r="A323" s="1" t="s">
        <v>1016</v>
      </c>
      <c r="B323" s="1" t="s">
        <v>1003</v>
      </c>
      <c r="C323" s="1" t="s">
        <v>1004</v>
      </c>
      <c r="D323" s="1" t="s">
        <v>1005</v>
      </c>
      <c r="E323" s="1" t="s">
        <v>25</v>
      </c>
      <c r="F323" s="1" t="s">
        <v>1013</v>
      </c>
      <c r="G323" s="9">
        <v>46077</v>
      </c>
      <c r="H323" s="27" t="s">
        <v>1142</v>
      </c>
      <c r="I323" s="27" t="s">
        <v>5</v>
      </c>
      <c r="J323" s="28">
        <v>46077</v>
      </c>
      <c r="K323" s="28">
        <v>46077</v>
      </c>
      <c r="L323" s="27" t="s">
        <v>1143</v>
      </c>
      <c r="M323" s="29">
        <v>256779451940</v>
      </c>
      <c r="N323" s="27" t="s">
        <v>1007</v>
      </c>
      <c r="O323" s="27" t="s">
        <v>1008</v>
      </c>
      <c r="P323" s="27" t="s">
        <v>41</v>
      </c>
      <c r="Q323" s="27" t="s">
        <v>1025</v>
      </c>
      <c r="R323" s="27" t="s">
        <v>46</v>
      </c>
      <c r="S323" s="30">
        <v>36.79</v>
      </c>
      <c r="T323" s="27" t="s">
        <v>42</v>
      </c>
      <c r="U323" s="30">
        <v>3323.43</v>
      </c>
      <c r="V323" s="27" t="s">
        <v>1026</v>
      </c>
      <c r="W323" s="27" t="s">
        <v>1114</v>
      </c>
      <c r="X323" s="27" t="s">
        <v>41</v>
      </c>
      <c r="Y323" s="27" t="s">
        <v>1023</v>
      </c>
      <c r="Z323" s="27" t="s">
        <v>1011</v>
      </c>
      <c r="AA323" s="27"/>
      <c r="AB323" s="27"/>
      <c r="AC323" s="27"/>
      <c r="AD323" s="27" t="e">
        <f>_xlfn.XLOOKUP(M323,'Customer Data Vlookup'!$R:$R,'Customer Data Vlookup'!$S:$S,,0)</f>
        <v>#N/A</v>
      </c>
      <c r="AE323" s="27"/>
      <c r="AF323" s="27"/>
      <c r="AG323" s="27" t="s">
        <v>1144</v>
      </c>
      <c r="AH323" s="27" t="s">
        <v>41</v>
      </c>
      <c r="AI323" s="27" t="s">
        <v>41</v>
      </c>
      <c r="AJ323" s="27" t="s">
        <v>41</v>
      </c>
      <c r="AK323" s="28">
        <v>46077</v>
      </c>
      <c r="AL323" s="28"/>
      <c r="AM323" s="27" t="s">
        <v>41</v>
      </c>
    </row>
    <row r="324" spans="1:39" outlineLevel="2" x14ac:dyDescent="0.35">
      <c r="A324" s="1" t="s">
        <v>1002</v>
      </c>
      <c r="B324" s="1" t="s">
        <v>1003</v>
      </c>
      <c r="C324" s="1" t="s">
        <v>1004</v>
      </c>
      <c r="D324" s="1" t="s">
        <v>1005</v>
      </c>
      <c r="E324" s="1" t="s">
        <v>25</v>
      </c>
      <c r="F324" s="1" t="s">
        <v>1021</v>
      </c>
      <c r="G324" s="9">
        <v>46085</v>
      </c>
      <c r="H324" s="27" t="s">
        <v>1145</v>
      </c>
      <c r="I324" s="27" t="s">
        <v>7</v>
      </c>
      <c r="J324" s="28">
        <v>46085</v>
      </c>
      <c r="K324" s="28">
        <v>46085</v>
      </c>
      <c r="L324" s="27" t="s">
        <v>940</v>
      </c>
      <c r="M324" s="29">
        <v>2182217</v>
      </c>
      <c r="N324" s="27" t="s">
        <v>1007</v>
      </c>
      <c r="O324" s="27" t="s">
        <v>1008</v>
      </c>
      <c r="P324" s="27" t="s">
        <v>41</v>
      </c>
      <c r="Q324" s="27" t="s">
        <v>1009</v>
      </c>
      <c r="R324" s="27" t="s">
        <v>46</v>
      </c>
      <c r="S324" s="30">
        <v>3777.49</v>
      </c>
      <c r="T324" s="27" t="s">
        <v>42</v>
      </c>
      <c r="U324" s="30">
        <v>324866.67</v>
      </c>
      <c r="V324" s="27" t="s">
        <v>41</v>
      </c>
      <c r="W324" s="27" t="s">
        <v>1018</v>
      </c>
      <c r="X324" s="27" t="s">
        <v>41</v>
      </c>
      <c r="Y324" s="27" t="s">
        <v>41</v>
      </c>
      <c r="Z324" s="27" t="s">
        <v>1021</v>
      </c>
      <c r="AA324" s="27"/>
      <c r="AB324" s="27"/>
      <c r="AC324" s="27"/>
      <c r="AD324" s="27" t="e">
        <f>_xlfn.XLOOKUP(M324,'Customer Data Vlookup'!$R:$R,'Customer Data Vlookup'!$S:$S,,0)</f>
        <v>#N/A</v>
      </c>
      <c r="AE324" s="27"/>
      <c r="AF324" s="27"/>
      <c r="AG324" s="27" t="s">
        <v>41</v>
      </c>
      <c r="AH324" s="27" t="s">
        <v>41</v>
      </c>
      <c r="AI324" s="27" t="s">
        <v>41</v>
      </c>
      <c r="AJ324" s="27" t="s">
        <v>41</v>
      </c>
      <c r="AK324" s="28">
        <v>46085</v>
      </c>
      <c r="AL324" s="28">
        <v>46085</v>
      </c>
      <c r="AM324" s="27" t="s">
        <v>1145</v>
      </c>
    </row>
    <row r="325" spans="1:39" outlineLevel="2" x14ac:dyDescent="0.35">
      <c r="A325" s="1" t="s">
        <v>1002</v>
      </c>
      <c r="B325" s="1" t="s">
        <v>1003</v>
      </c>
      <c r="C325" s="1" t="s">
        <v>1004</v>
      </c>
      <c r="D325" s="1" t="s">
        <v>1005</v>
      </c>
      <c r="E325" s="1" t="s">
        <v>25</v>
      </c>
      <c r="F325" s="1" t="s">
        <v>1021</v>
      </c>
      <c r="G325" s="9">
        <v>46085</v>
      </c>
      <c r="H325" s="27" t="s">
        <v>1145</v>
      </c>
      <c r="I325" s="27" t="s">
        <v>7</v>
      </c>
      <c r="J325" s="28">
        <v>46085</v>
      </c>
      <c r="K325" s="28">
        <v>46085</v>
      </c>
      <c r="L325" s="27" t="s">
        <v>940</v>
      </c>
      <c r="M325" s="29">
        <v>2182217</v>
      </c>
      <c r="N325" s="27" t="s">
        <v>1007</v>
      </c>
      <c r="O325" s="27" t="s">
        <v>1008</v>
      </c>
      <c r="P325" s="27" t="s">
        <v>41</v>
      </c>
      <c r="Q325" s="27" t="s">
        <v>1012</v>
      </c>
      <c r="R325" s="27" t="s">
        <v>46</v>
      </c>
      <c r="S325" s="30">
        <v>-2530.2199999999998</v>
      </c>
      <c r="T325" s="27" t="s">
        <v>42</v>
      </c>
      <c r="U325" s="30">
        <v>-216593.26</v>
      </c>
      <c r="V325" s="27" t="s">
        <v>41</v>
      </c>
      <c r="W325" s="27" t="s">
        <v>1010</v>
      </c>
      <c r="X325" s="27" t="s">
        <v>41</v>
      </c>
      <c r="Y325" s="27" t="s">
        <v>41</v>
      </c>
      <c r="Z325" s="27" t="s">
        <v>1015</v>
      </c>
      <c r="AA325" s="27"/>
      <c r="AB325" s="27"/>
      <c r="AC325" s="27"/>
      <c r="AD325" s="27" t="e">
        <f>_xlfn.XLOOKUP(M325,'Customer Data Vlookup'!$R:$R,'Customer Data Vlookup'!$S:$S,,0)</f>
        <v>#N/A</v>
      </c>
      <c r="AE325" s="27"/>
      <c r="AF325" s="27"/>
      <c r="AG325" s="27" t="s">
        <v>41</v>
      </c>
      <c r="AH325" s="27" t="s">
        <v>41</v>
      </c>
      <c r="AI325" s="27" t="s">
        <v>41</v>
      </c>
      <c r="AJ325" s="27" t="s">
        <v>41</v>
      </c>
      <c r="AK325" s="28">
        <v>46085</v>
      </c>
      <c r="AL325" s="28">
        <v>46085</v>
      </c>
      <c r="AM325" s="27" t="s">
        <v>1145</v>
      </c>
    </row>
    <row r="326" spans="1:39" outlineLevel="2" x14ac:dyDescent="0.35">
      <c r="A326" s="1" t="s">
        <v>1002</v>
      </c>
      <c r="B326" s="1" t="s">
        <v>1003</v>
      </c>
      <c r="C326" s="1" t="s">
        <v>1004</v>
      </c>
      <c r="D326" s="1" t="s">
        <v>1005</v>
      </c>
      <c r="E326" s="1" t="s">
        <v>25</v>
      </c>
      <c r="F326" s="1" t="s">
        <v>1021</v>
      </c>
      <c r="G326" s="9">
        <v>46085</v>
      </c>
      <c r="H326" s="27" t="s">
        <v>1145</v>
      </c>
      <c r="I326" s="27" t="s">
        <v>7</v>
      </c>
      <c r="J326" s="28">
        <v>46085</v>
      </c>
      <c r="K326" s="28">
        <v>46085</v>
      </c>
      <c r="L326" s="27" t="s">
        <v>940</v>
      </c>
      <c r="M326" s="29">
        <v>2182217</v>
      </c>
      <c r="N326" s="27" t="s">
        <v>1007</v>
      </c>
      <c r="O326" s="27" t="s">
        <v>1008</v>
      </c>
      <c r="P326" s="27" t="s">
        <v>41</v>
      </c>
      <c r="Q326" s="27" t="s">
        <v>1012</v>
      </c>
      <c r="R326" s="27" t="s">
        <v>46</v>
      </c>
      <c r="S326" s="30">
        <v>-1569.75</v>
      </c>
      <c r="T326" s="27" t="s">
        <v>42</v>
      </c>
      <c r="U326" s="30">
        <v>-135000</v>
      </c>
      <c r="V326" s="27" t="s">
        <v>41</v>
      </c>
      <c r="W326" s="27" t="s">
        <v>1010</v>
      </c>
      <c r="X326" s="27" t="s">
        <v>41</v>
      </c>
      <c r="Y326" s="27" t="s">
        <v>41</v>
      </c>
      <c r="Z326" s="27" t="s">
        <v>1024</v>
      </c>
      <c r="AA326" s="27"/>
      <c r="AB326" s="27"/>
      <c r="AC326" s="27"/>
      <c r="AD326" s="27" t="e">
        <f>_xlfn.XLOOKUP(M326,'Customer Data Vlookup'!$R:$R,'Customer Data Vlookup'!$S:$S,,0)</f>
        <v>#N/A</v>
      </c>
      <c r="AE326" s="27"/>
      <c r="AF326" s="27"/>
      <c r="AG326" s="27" t="s">
        <v>41</v>
      </c>
      <c r="AH326" s="27" t="s">
        <v>41</v>
      </c>
      <c r="AI326" s="27" t="s">
        <v>41</v>
      </c>
      <c r="AJ326" s="27" t="s">
        <v>41</v>
      </c>
      <c r="AK326" s="28">
        <v>46085</v>
      </c>
      <c r="AL326" s="28">
        <v>46085</v>
      </c>
      <c r="AM326" s="27" t="s">
        <v>1145</v>
      </c>
    </row>
    <row r="327" spans="1:39" outlineLevel="2" x14ac:dyDescent="0.35">
      <c r="A327" s="1" t="s">
        <v>1002</v>
      </c>
      <c r="B327" s="1" t="s">
        <v>1003</v>
      </c>
      <c r="C327" s="1" t="s">
        <v>1004</v>
      </c>
      <c r="D327" s="1" t="s">
        <v>1005</v>
      </c>
      <c r="E327" s="1" t="s">
        <v>9</v>
      </c>
      <c r="F327" s="1" t="s">
        <v>1014</v>
      </c>
      <c r="G327" s="9">
        <v>45890</v>
      </c>
      <c r="H327" s="27" t="s">
        <v>49</v>
      </c>
      <c r="I327" s="27" t="s">
        <v>7</v>
      </c>
      <c r="J327" s="28">
        <v>45890</v>
      </c>
      <c r="K327" s="28">
        <v>45890</v>
      </c>
      <c r="L327" s="27" t="s">
        <v>940</v>
      </c>
      <c r="M327" s="29" t="s">
        <v>41</v>
      </c>
      <c r="N327" s="27" t="s">
        <v>1007</v>
      </c>
      <c r="O327" s="27" t="s">
        <v>1008</v>
      </c>
      <c r="P327" s="27" t="s">
        <v>41</v>
      </c>
      <c r="Q327" s="27" t="s">
        <v>1012</v>
      </c>
      <c r="R327" s="27" t="s">
        <v>46</v>
      </c>
      <c r="S327" s="30">
        <v>-3777.49</v>
      </c>
      <c r="T327" s="27" t="s">
        <v>42</v>
      </c>
      <c r="U327" s="30">
        <v>-324866.67</v>
      </c>
      <c r="V327" s="27" t="s">
        <v>41</v>
      </c>
      <c r="W327" s="27" t="s">
        <v>1018</v>
      </c>
      <c r="X327" s="27" t="s">
        <v>41</v>
      </c>
      <c r="Y327" s="27" t="s">
        <v>41</v>
      </c>
      <c r="Z327" s="27" t="s">
        <v>1013</v>
      </c>
      <c r="AA327" s="27"/>
      <c r="AB327" s="27"/>
      <c r="AC327" s="27"/>
      <c r="AD327" s="27" t="e">
        <f>_xlfn.XLOOKUP(M327,'Customer Data Vlookup'!$R:$R,'Customer Data Vlookup'!$S:$S,,0)</f>
        <v>#N/A</v>
      </c>
      <c r="AE327" s="27"/>
      <c r="AF327" s="27"/>
      <c r="AG327" s="27" t="s">
        <v>41</v>
      </c>
      <c r="AH327" s="27" t="s">
        <v>41</v>
      </c>
      <c r="AI327" s="27" t="s">
        <v>41</v>
      </c>
      <c r="AJ327" s="27" t="s">
        <v>41</v>
      </c>
      <c r="AK327" s="28">
        <v>45890</v>
      </c>
      <c r="AL327" s="28">
        <v>46085</v>
      </c>
      <c r="AM327" s="27" t="s">
        <v>1145</v>
      </c>
    </row>
    <row r="328" spans="1:39" outlineLevel="2" x14ac:dyDescent="0.35">
      <c r="A328" s="1" t="s">
        <v>1002</v>
      </c>
      <c r="B328" s="1" t="s">
        <v>1003</v>
      </c>
      <c r="C328" s="1" t="s">
        <v>1004</v>
      </c>
      <c r="D328" s="1" t="s">
        <v>1005</v>
      </c>
      <c r="E328" s="1" t="s">
        <v>9</v>
      </c>
      <c r="F328" s="1" t="s">
        <v>1024</v>
      </c>
      <c r="G328" s="9">
        <v>45793</v>
      </c>
      <c r="H328" s="27" t="s">
        <v>286</v>
      </c>
      <c r="I328" s="27" t="s">
        <v>5</v>
      </c>
      <c r="J328" s="28">
        <v>45793</v>
      </c>
      <c r="K328" s="28">
        <v>45800</v>
      </c>
      <c r="L328" s="27" t="s">
        <v>1023</v>
      </c>
      <c r="M328" s="29">
        <v>256779413256</v>
      </c>
      <c r="N328" s="27" t="s">
        <v>1007</v>
      </c>
      <c r="O328" s="27" t="s">
        <v>1008</v>
      </c>
      <c r="P328" s="27" t="s">
        <v>41</v>
      </c>
      <c r="Q328" s="27" t="s">
        <v>1025</v>
      </c>
      <c r="R328" s="27" t="s">
        <v>46</v>
      </c>
      <c r="S328" s="30">
        <v>270</v>
      </c>
      <c r="T328" s="27" t="s">
        <v>42</v>
      </c>
      <c r="U328" s="30">
        <v>23215.599999999999</v>
      </c>
      <c r="V328" s="27" t="s">
        <v>1026</v>
      </c>
      <c r="W328" s="27" t="s">
        <v>1010</v>
      </c>
      <c r="X328" s="27" t="s">
        <v>41</v>
      </c>
      <c r="Y328" s="27" t="s">
        <v>1023</v>
      </c>
      <c r="Z328" s="27" t="s">
        <v>1011</v>
      </c>
      <c r="AA328" s="27"/>
      <c r="AB328" s="27"/>
      <c r="AC328" s="27"/>
      <c r="AD328" s="27" t="e">
        <f>_xlfn.XLOOKUP(M328,'Customer Data Vlookup'!$R:$R,'Customer Data Vlookup'!$S:$S,,0)</f>
        <v>#N/A</v>
      </c>
      <c r="AE328" s="27"/>
      <c r="AF328" s="27"/>
      <c r="AG328" s="27" t="s">
        <v>287</v>
      </c>
      <c r="AH328" s="27" t="s">
        <v>41</v>
      </c>
      <c r="AI328" s="27" t="s">
        <v>41</v>
      </c>
      <c r="AJ328" s="27" t="s">
        <v>41</v>
      </c>
      <c r="AK328" s="28">
        <v>45793</v>
      </c>
      <c r="AL328" s="28">
        <v>46085</v>
      </c>
      <c r="AM328" s="27" t="s">
        <v>1145</v>
      </c>
    </row>
    <row r="329" spans="1:39" outlineLevel="2" x14ac:dyDescent="0.35">
      <c r="A329" s="1" t="s">
        <v>1002</v>
      </c>
      <c r="B329" s="1" t="s">
        <v>1003</v>
      </c>
      <c r="C329" s="1" t="s">
        <v>1004</v>
      </c>
      <c r="D329" s="1" t="s">
        <v>1005</v>
      </c>
      <c r="E329" s="1" t="s">
        <v>9</v>
      </c>
      <c r="F329" s="1" t="s">
        <v>1024</v>
      </c>
      <c r="G329" s="9">
        <v>45793</v>
      </c>
      <c r="H329" s="27" t="s">
        <v>288</v>
      </c>
      <c r="I329" s="27" t="s">
        <v>5</v>
      </c>
      <c r="J329" s="28">
        <v>45793</v>
      </c>
      <c r="K329" s="28">
        <v>45800</v>
      </c>
      <c r="L329" s="27" t="s">
        <v>1023</v>
      </c>
      <c r="M329" s="29">
        <v>256779413284</v>
      </c>
      <c r="N329" s="27" t="s">
        <v>1007</v>
      </c>
      <c r="O329" s="27" t="s">
        <v>1008</v>
      </c>
      <c r="P329" s="27" t="s">
        <v>41</v>
      </c>
      <c r="Q329" s="27" t="s">
        <v>1025</v>
      </c>
      <c r="R329" s="27" t="s">
        <v>46</v>
      </c>
      <c r="S329" s="30">
        <v>35</v>
      </c>
      <c r="T329" s="27" t="s">
        <v>42</v>
      </c>
      <c r="U329" s="30">
        <v>3009.43</v>
      </c>
      <c r="V329" s="27" t="s">
        <v>1026</v>
      </c>
      <c r="W329" s="27" t="s">
        <v>1010</v>
      </c>
      <c r="X329" s="27" t="s">
        <v>41</v>
      </c>
      <c r="Y329" s="27" t="s">
        <v>1023</v>
      </c>
      <c r="Z329" s="27" t="s">
        <v>1011</v>
      </c>
      <c r="AA329" s="27"/>
      <c r="AB329" s="27"/>
      <c r="AC329" s="27"/>
      <c r="AD329" s="27" t="e">
        <f>_xlfn.XLOOKUP(M329,'Customer Data Vlookup'!$R:$R,'Customer Data Vlookup'!$S:$S,,0)</f>
        <v>#N/A</v>
      </c>
      <c r="AE329" s="27"/>
      <c r="AF329" s="27"/>
      <c r="AG329" s="27" t="s">
        <v>289</v>
      </c>
      <c r="AH329" s="27" t="s">
        <v>41</v>
      </c>
      <c r="AI329" s="27" t="s">
        <v>41</v>
      </c>
      <c r="AJ329" s="27" t="s">
        <v>41</v>
      </c>
      <c r="AK329" s="28">
        <v>45793</v>
      </c>
      <c r="AL329" s="28">
        <v>46085</v>
      </c>
      <c r="AM329" s="27" t="s">
        <v>1145</v>
      </c>
    </row>
    <row r="330" spans="1:39" outlineLevel="2" x14ac:dyDescent="0.35">
      <c r="A330" s="1" t="s">
        <v>1002</v>
      </c>
      <c r="B330" s="1" t="s">
        <v>1003</v>
      </c>
      <c r="C330" s="1" t="s">
        <v>1004</v>
      </c>
      <c r="D330" s="1" t="s">
        <v>1005</v>
      </c>
      <c r="E330" s="1" t="s">
        <v>9</v>
      </c>
      <c r="F330" s="1" t="s">
        <v>1031</v>
      </c>
      <c r="G330" s="9">
        <v>45815</v>
      </c>
      <c r="H330" s="27" t="s">
        <v>481</v>
      </c>
      <c r="I330" s="27" t="s">
        <v>5</v>
      </c>
      <c r="J330" s="28">
        <v>45815</v>
      </c>
      <c r="K330" s="28">
        <v>45817</v>
      </c>
      <c r="L330" s="27" t="s">
        <v>1023</v>
      </c>
      <c r="M330" s="29">
        <v>256779414240</v>
      </c>
      <c r="N330" s="27" t="s">
        <v>1007</v>
      </c>
      <c r="O330" s="27" t="s">
        <v>1008</v>
      </c>
      <c r="P330" s="27" t="s">
        <v>41</v>
      </c>
      <c r="Q330" s="27" t="s">
        <v>1025</v>
      </c>
      <c r="R330" s="27" t="s">
        <v>46</v>
      </c>
      <c r="S330" s="30">
        <v>1339</v>
      </c>
      <c r="T330" s="27" t="s">
        <v>42</v>
      </c>
      <c r="U330" s="30">
        <v>114472.15</v>
      </c>
      <c r="V330" s="27" t="s">
        <v>1026</v>
      </c>
      <c r="W330" s="27" t="s">
        <v>1010</v>
      </c>
      <c r="X330" s="27" t="s">
        <v>41</v>
      </c>
      <c r="Y330" s="27" t="s">
        <v>1023</v>
      </c>
      <c r="Z330" s="27" t="s">
        <v>1011</v>
      </c>
      <c r="AA330" s="27"/>
      <c r="AB330" s="27"/>
      <c r="AC330" s="27"/>
      <c r="AD330" s="27" t="e">
        <f>_xlfn.XLOOKUP(M330,'Customer Data Vlookup'!$R:$R,'Customer Data Vlookup'!$S:$S,,0)</f>
        <v>#N/A</v>
      </c>
      <c r="AE330" s="27"/>
      <c r="AF330" s="27"/>
      <c r="AG330" s="27" t="s">
        <v>482</v>
      </c>
      <c r="AH330" s="27" t="s">
        <v>41</v>
      </c>
      <c r="AI330" s="27" t="s">
        <v>41</v>
      </c>
      <c r="AJ330" s="27" t="s">
        <v>41</v>
      </c>
      <c r="AK330" s="28">
        <v>45815</v>
      </c>
      <c r="AL330" s="28">
        <v>46085</v>
      </c>
      <c r="AM330" s="27" t="s">
        <v>1145</v>
      </c>
    </row>
    <row r="331" spans="1:39" outlineLevel="2" x14ac:dyDescent="0.35">
      <c r="A331" s="1" t="s">
        <v>1002</v>
      </c>
      <c r="B331" s="1" t="s">
        <v>1003</v>
      </c>
      <c r="C331" s="1" t="s">
        <v>1004</v>
      </c>
      <c r="D331" s="1" t="s">
        <v>1005</v>
      </c>
      <c r="E331" s="1" t="s">
        <v>9</v>
      </c>
      <c r="F331" s="1" t="s">
        <v>1031</v>
      </c>
      <c r="G331" s="9">
        <v>45812</v>
      </c>
      <c r="H331" s="27" t="s">
        <v>276</v>
      </c>
      <c r="I331" s="27" t="s">
        <v>5</v>
      </c>
      <c r="J331" s="28">
        <v>45812</v>
      </c>
      <c r="K331" s="28">
        <v>45817</v>
      </c>
      <c r="L331" s="27" t="s">
        <v>1023</v>
      </c>
      <c r="M331" s="29">
        <v>256779414275</v>
      </c>
      <c r="N331" s="27" t="s">
        <v>1007</v>
      </c>
      <c r="O331" s="27" t="s">
        <v>1008</v>
      </c>
      <c r="P331" s="27" t="s">
        <v>41</v>
      </c>
      <c r="Q331" s="27" t="s">
        <v>1025</v>
      </c>
      <c r="R331" s="27" t="s">
        <v>46</v>
      </c>
      <c r="S331" s="30">
        <v>136.08000000000001</v>
      </c>
      <c r="T331" s="27" t="s">
        <v>42</v>
      </c>
      <c r="U331" s="30">
        <v>11633.59</v>
      </c>
      <c r="V331" s="27" t="s">
        <v>1026</v>
      </c>
      <c r="W331" s="27" t="s">
        <v>1010</v>
      </c>
      <c r="X331" s="27" t="s">
        <v>41</v>
      </c>
      <c r="Y331" s="27" t="s">
        <v>1023</v>
      </c>
      <c r="Z331" s="27" t="s">
        <v>1011</v>
      </c>
      <c r="AA331" s="27"/>
      <c r="AB331" s="27"/>
      <c r="AC331" s="27"/>
      <c r="AD331" s="27" t="e">
        <f>_xlfn.XLOOKUP(M331,'Customer Data Vlookup'!$R:$R,'Customer Data Vlookup'!$S:$S,,0)</f>
        <v>#N/A</v>
      </c>
      <c r="AE331" s="27"/>
      <c r="AF331" s="27"/>
      <c r="AG331" s="27" t="s">
        <v>277</v>
      </c>
      <c r="AH331" s="27" t="s">
        <v>41</v>
      </c>
      <c r="AI331" s="27" t="s">
        <v>41</v>
      </c>
      <c r="AJ331" s="27" t="s">
        <v>41</v>
      </c>
      <c r="AK331" s="28">
        <v>45812</v>
      </c>
      <c r="AL331" s="28">
        <v>46085</v>
      </c>
      <c r="AM331" s="27" t="s">
        <v>1145</v>
      </c>
    </row>
    <row r="332" spans="1:39" outlineLevel="2" x14ac:dyDescent="0.35">
      <c r="A332" s="1" t="s">
        <v>1002</v>
      </c>
      <c r="B332" s="1" t="s">
        <v>1003</v>
      </c>
      <c r="C332" s="1" t="s">
        <v>1004</v>
      </c>
      <c r="D332" s="1" t="s">
        <v>1005</v>
      </c>
      <c r="E332" s="1" t="s">
        <v>9</v>
      </c>
      <c r="F332" s="1" t="s">
        <v>1031</v>
      </c>
      <c r="G332" s="9">
        <v>45812</v>
      </c>
      <c r="H332" s="27" t="s">
        <v>278</v>
      </c>
      <c r="I332" s="27" t="s">
        <v>5</v>
      </c>
      <c r="J332" s="28">
        <v>45812</v>
      </c>
      <c r="K332" s="28">
        <v>45817</v>
      </c>
      <c r="L332" s="27" t="s">
        <v>1023</v>
      </c>
      <c r="M332" s="29">
        <v>256779414317</v>
      </c>
      <c r="N332" s="27" t="s">
        <v>1007</v>
      </c>
      <c r="O332" s="27" t="s">
        <v>1008</v>
      </c>
      <c r="P332" s="27" t="s">
        <v>41</v>
      </c>
      <c r="Q332" s="27" t="s">
        <v>1025</v>
      </c>
      <c r="R332" s="27" t="s">
        <v>46</v>
      </c>
      <c r="S332" s="30">
        <v>697.43</v>
      </c>
      <c r="T332" s="27" t="s">
        <v>42</v>
      </c>
      <c r="U332" s="30">
        <v>59623.83</v>
      </c>
      <c r="V332" s="27" t="s">
        <v>1026</v>
      </c>
      <c r="W332" s="27" t="s">
        <v>1010</v>
      </c>
      <c r="X332" s="27" t="s">
        <v>41</v>
      </c>
      <c r="Y332" s="27" t="s">
        <v>1023</v>
      </c>
      <c r="Z332" s="27" t="s">
        <v>1011</v>
      </c>
      <c r="AA332" s="27"/>
      <c r="AB332" s="27"/>
      <c r="AC332" s="27"/>
      <c r="AD332" s="27" t="e">
        <f>_xlfn.XLOOKUP(M332,'Customer Data Vlookup'!$R:$R,'Customer Data Vlookup'!$S:$S,,0)</f>
        <v>#N/A</v>
      </c>
      <c r="AE332" s="27"/>
      <c r="AF332" s="27"/>
      <c r="AG332" s="27" t="s">
        <v>279</v>
      </c>
      <c r="AH332" s="27" t="s">
        <v>41</v>
      </c>
      <c r="AI332" s="27" t="s">
        <v>41</v>
      </c>
      <c r="AJ332" s="27" t="s">
        <v>41</v>
      </c>
      <c r="AK332" s="28">
        <v>45812</v>
      </c>
      <c r="AL332" s="28">
        <v>46085</v>
      </c>
      <c r="AM332" s="27" t="s">
        <v>1145</v>
      </c>
    </row>
    <row r="333" spans="1:39" outlineLevel="2" x14ac:dyDescent="0.35">
      <c r="A333" s="1" t="s">
        <v>1002</v>
      </c>
      <c r="B333" s="1" t="s">
        <v>1003</v>
      </c>
      <c r="C333" s="1" t="s">
        <v>1004</v>
      </c>
      <c r="D333" s="1" t="s">
        <v>1005</v>
      </c>
      <c r="E333" s="1" t="s">
        <v>9</v>
      </c>
      <c r="F333" s="1" t="s">
        <v>1031</v>
      </c>
      <c r="G333" s="9">
        <v>45818</v>
      </c>
      <c r="H333" s="27" t="s">
        <v>69</v>
      </c>
      <c r="I333" s="27" t="s">
        <v>5</v>
      </c>
      <c r="J333" s="28">
        <v>45818</v>
      </c>
      <c r="K333" s="28">
        <v>45825</v>
      </c>
      <c r="L333" s="27" t="s">
        <v>1023</v>
      </c>
      <c r="M333" s="29">
        <v>256779414356</v>
      </c>
      <c r="N333" s="27" t="s">
        <v>1007</v>
      </c>
      <c r="O333" s="27" t="s">
        <v>1008</v>
      </c>
      <c r="P333" s="27" t="s">
        <v>41</v>
      </c>
      <c r="Q333" s="27" t="s">
        <v>1025</v>
      </c>
      <c r="R333" s="27" t="s">
        <v>42</v>
      </c>
      <c r="S333" s="30">
        <v>100000</v>
      </c>
      <c r="T333" s="27" t="s">
        <v>42</v>
      </c>
      <c r="U333" s="30">
        <v>100000</v>
      </c>
      <c r="V333" s="27" t="s">
        <v>1026</v>
      </c>
      <c r="W333" s="27" t="s">
        <v>1010</v>
      </c>
      <c r="X333" s="27" t="s">
        <v>41</v>
      </c>
      <c r="Y333" s="27" t="s">
        <v>1023</v>
      </c>
      <c r="Z333" s="27" t="s">
        <v>1011</v>
      </c>
      <c r="AA333" s="27"/>
      <c r="AB333" s="27"/>
      <c r="AC333" s="27"/>
      <c r="AD333" s="27" t="e">
        <f>_xlfn.XLOOKUP(M333,'Customer Data Vlookup'!$R:$R,'Customer Data Vlookup'!$S:$S,,0)</f>
        <v>#N/A</v>
      </c>
      <c r="AE333" s="27"/>
      <c r="AF333" s="27"/>
      <c r="AG333" s="27" t="s">
        <v>70</v>
      </c>
      <c r="AH333" s="27" t="s">
        <v>41</v>
      </c>
      <c r="AI333" s="27" t="s">
        <v>41</v>
      </c>
      <c r="AJ333" s="27" t="s">
        <v>41</v>
      </c>
      <c r="AK333" s="28">
        <v>45818</v>
      </c>
      <c r="AL333" s="28">
        <v>46085</v>
      </c>
      <c r="AM333" s="27" t="s">
        <v>1145</v>
      </c>
    </row>
    <row r="334" spans="1:39" outlineLevel="2" x14ac:dyDescent="0.35">
      <c r="A334" s="1" t="s">
        <v>1002</v>
      </c>
      <c r="B334" s="1" t="s">
        <v>1003</v>
      </c>
      <c r="C334" s="1" t="s">
        <v>1004</v>
      </c>
      <c r="D334" s="1" t="s">
        <v>1005</v>
      </c>
      <c r="E334" s="1" t="s">
        <v>9</v>
      </c>
      <c r="F334" s="1" t="s">
        <v>1031</v>
      </c>
      <c r="G334" s="9">
        <v>45818</v>
      </c>
      <c r="H334" s="27" t="s">
        <v>82</v>
      </c>
      <c r="I334" s="27" t="s">
        <v>5</v>
      </c>
      <c r="J334" s="28">
        <v>45818</v>
      </c>
      <c r="K334" s="28">
        <v>45825</v>
      </c>
      <c r="L334" s="27" t="s">
        <v>1023</v>
      </c>
      <c r="M334" s="29">
        <v>256779414357</v>
      </c>
      <c r="N334" s="27" t="s">
        <v>1007</v>
      </c>
      <c r="O334" s="27" t="s">
        <v>1008</v>
      </c>
      <c r="P334" s="27" t="s">
        <v>41</v>
      </c>
      <c r="Q334" s="27" t="s">
        <v>1025</v>
      </c>
      <c r="R334" s="27" t="s">
        <v>42</v>
      </c>
      <c r="S334" s="30">
        <v>35000</v>
      </c>
      <c r="T334" s="27" t="s">
        <v>42</v>
      </c>
      <c r="U334" s="30">
        <v>35000</v>
      </c>
      <c r="V334" s="27" t="s">
        <v>1026</v>
      </c>
      <c r="W334" s="27" t="s">
        <v>1010</v>
      </c>
      <c r="X334" s="27" t="s">
        <v>41</v>
      </c>
      <c r="Y334" s="27" t="s">
        <v>1023</v>
      </c>
      <c r="Z334" s="27" t="s">
        <v>1011</v>
      </c>
      <c r="AA334" s="27"/>
      <c r="AB334" s="27"/>
      <c r="AC334" s="27"/>
      <c r="AD334" s="27" t="e">
        <f>_xlfn.XLOOKUP(M334,'Customer Data Vlookup'!$R:$R,'Customer Data Vlookup'!$S:$S,,0)</f>
        <v>#N/A</v>
      </c>
      <c r="AE334" s="27"/>
      <c r="AF334" s="27"/>
      <c r="AG334" s="27" t="s">
        <v>70</v>
      </c>
      <c r="AH334" s="27" t="s">
        <v>41</v>
      </c>
      <c r="AI334" s="27" t="s">
        <v>41</v>
      </c>
      <c r="AJ334" s="27" t="s">
        <v>41</v>
      </c>
      <c r="AK334" s="28">
        <v>45818</v>
      </c>
      <c r="AL334" s="28">
        <v>46085</v>
      </c>
      <c r="AM334" s="27" t="s">
        <v>1145</v>
      </c>
    </row>
    <row r="335" spans="1:39" outlineLevel="2" x14ac:dyDescent="0.35">
      <c r="A335" s="1" t="s">
        <v>1002</v>
      </c>
      <c r="B335" s="1" t="s">
        <v>1003</v>
      </c>
      <c r="C335" s="1" t="s">
        <v>1004</v>
      </c>
      <c r="D335" s="1" t="s">
        <v>1005</v>
      </c>
      <c r="E335" s="1" t="s">
        <v>9</v>
      </c>
      <c r="F335" s="1" t="s">
        <v>1022</v>
      </c>
      <c r="G335" s="9">
        <v>45964</v>
      </c>
      <c r="H335" s="27" t="s">
        <v>259</v>
      </c>
      <c r="I335" s="27" t="s">
        <v>5</v>
      </c>
      <c r="J335" s="28">
        <v>45964</v>
      </c>
      <c r="K335" s="28">
        <v>45967</v>
      </c>
      <c r="L335" s="27" t="s">
        <v>1023</v>
      </c>
      <c r="M335" s="29">
        <v>256779419130</v>
      </c>
      <c r="N335" s="27" t="s">
        <v>1007</v>
      </c>
      <c r="O335" s="27" t="s">
        <v>1008</v>
      </c>
      <c r="P335" s="27" t="s">
        <v>41</v>
      </c>
      <c r="Q335" s="27" t="s">
        <v>1025</v>
      </c>
      <c r="R335" s="27" t="s">
        <v>46</v>
      </c>
      <c r="S335" s="30">
        <v>52.71</v>
      </c>
      <c r="T335" s="27" t="s">
        <v>42</v>
      </c>
      <c r="U335" s="30">
        <v>4638.66</v>
      </c>
      <c r="V335" s="27" t="s">
        <v>1026</v>
      </c>
      <c r="W335" s="27" t="s">
        <v>1010</v>
      </c>
      <c r="X335" s="27" t="s">
        <v>41</v>
      </c>
      <c r="Y335" s="27" t="s">
        <v>1146</v>
      </c>
      <c r="Z335" s="27" t="s">
        <v>1011</v>
      </c>
      <c r="AA335" s="27"/>
      <c r="AB335" s="27"/>
      <c r="AC335" s="27"/>
      <c r="AD335" s="27" t="e">
        <f>_xlfn.XLOOKUP(M335,'Customer Data Vlookup'!$R:$R,'Customer Data Vlookup'!$S:$S,,0)</f>
        <v>#N/A</v>
      </c>
      <c r="AE335" s="27"/>
      <c r="AF335" s="27"/>
      <c r="AG335" s="27" t="s">
        <v>260</v>
      </c>
      <c r="AH335" s="27" t="s">
        <v>41</v>
      </c>
      <c r="AI335" s="27" t="s">
        <v>41</v>
      </c>
      <c r="AJ335" s="27" t="s">
        <v>41</v>
      </c>
      <c r="AK335" s="28">
        <v>45964</v>
      </c>
      <c r="AL335" s="28">
        <v>46085</v>
      </c>
      <c r="AM335" s="27" t="s">
        <v>1145</v>
      </c>
    </row>
    <row r="336" spans="1:39" outlineLevel="2" x14ac:dyDescent="0.35">
      <c r="A336" s="1" t="s">
        <v>1016</v>
      </c>
      <c r="B336" s="1" t="s">
        <v>1003</v>
      </c>
      <c r="C336" s="1" t="s">
        <v>1004</v>
      </c>
      <c r="D336" s="1" t="s">
        <v>1005</v>
      </c>
      <c r="E336" s="1" t="s">
        <v>25</v>
      </c>
      <c r="F336" s="1" t="s">
        <v>1021</v>
      </c>
      <c r="G336" s="9">
        <v>46086</v>
      </c>
      <c r="H336" s="27" t="s">
        <v>1147</v>
      </c>
      <c r="I336" s="27" t="s">
        <v>7</v>
      </c>
      <c r="J336" s="28">
        <v>46086</v>
      </c>
      <c r="K336" s="28">
        <v>46086</v>
      </c>
      <c r="L336" s="27" t="s">
        <v>1148</v>
      </c>
      <c r="M336" s="29">
        <v>2182690</v>
      </c>
      <c r="N336" s="27" t="s">
        <v>1007</v>
      </c>
      <c r="O336" s="27" t="s">
        <v>1008</v>
      </c>
      <c r="P336" s="27" t="s">
        <v>41</v>
      </c>
      <c r="Q336" s="27" t="s">
        <v>1012</v>
      </c>
      <c r="R336" s="27" t="s">
        <v>46</v>
      </c>
      <c r="S336" s="30">
        <v>-1121.49</v>
      </c>
      <c r="T336" s="27" t="s">
        <v>42</v>
      </c>
      <c r="U336" s="30">
        <v>-101603.45</v>
      </c>
      <c r="V336" s="27" t="s">
        <v>41</v>
      </c>
      <c r="W336" s="27" t="s">
        <v>1018</v>
      </c>
      <c r="X336" s="27" t="s">
        <v>41</v>
      </c>
      <c r="Y336" s="27" t="s">
        <v>41</v>
      </c>
      <c r="Z336" s="27" t="s">
        <v>1013</v>
      </c>
      <c r="AA336" s="27"/>
      <c r="AB336" s="27"/>
      <c r="AC336" s="27"/>
      <c r="AD336" s="27" t="e">
        <f>_xlfn.XLOOKUP(M336,'Customer Data Vlookup'!$R:$R,'Customer Data Vlookup'!$S:$S,,0)</f>
        <v>#N/A</v>
      </c>
      <c r="AE336" s="27"/>
      <c r="AF336" s="27"/>
      <c r="AG336" s="27" t="s">
        <v>41</v>
      </c>
      <c r="AH336" s="27" t="s">
        <v>41</v>
      </c>
      <c r="AI336" s="27" t="s">
        <v>41</v>
      </c>
      <c r="AJ336" s="27" t="s">
        <v>41</v>
      </c>
      <c r="AK336" s="28">
        <v>46086</v>
      </c>
      <c r="AL336" s="28"/>
      <c r="AM336" s="27" t="s">
        <v>41</v>
      </c>
    </row>
    <row r="337" spans="1:39" outlineLevel="2" x14ac:dyDescent="0.35">
      <c r="A337" s="1" t="s">
        <v>1016</v>
      </c>
      <c r="B337" s="1" t="s">
        <v>1003</v>
      </c>
      <c r="C337" s="1" t="s">
        <v>1004</v>
      </c>
      <c r="D337" s="1" t="s">
        <v>1005</v>
      </c>
      <c r="E337" s="1" t="s">
        <v>25</v>
      </c>
      <c r="F337" s="1" t="s">
        <v>1021</v>
      </c>
      <c r="G337" s="9">
        <v>46091</v>
      </c>
      <c r="H337" s="27" t="s">
        <v>1149</v>
      </c>
      <c r="I337" s="27" t="s">
        <v>5</v>
      </c>
      <c r="J337" s="28">
        <v>46091</v>
      </c>
      <c r="K337" s="28">
        <v>46092</v>
      </c>
      <c r="L337" s="27" t="s">
        <v>1150</v>
      </c>
      <c r="M337" s="29">
        <v>256779440503</v>
      </c>
      <c r="N337" s="27" t="s">
        <v>1007</v>
      </c>
      <c r="O337" s="27" t="s">
        <v>1008</v>
      </c>
      <c r="P337" s="27" t="s">
        <v>41</v>
      </c>
      <c r="Q337" s="27" t="s">
        <v>1025</v>
      </c>
      <c r="R337" s="27" t="s">
        <v>46</v>
      </c>
      <c r="S337" s="30">
        <v>1103.75</v>
      </c>
      <c r="T337" s="27" t="s">
        <v>42</v>
      </c>
      <c r="U337" s="30">
        <v>99996.26</v>
      </c>
      <c r="V337" s="27" t="s">
        <v>1026</v>
      </c>
      <c r="W337" s="27" t="s">
        <v>1010</v>
      </c>
      <c r="X337" s="27" t="s">
        <v>41</v>
      </c>
      <c r="Y337" s="27" t="s">
        <v>1023</v>
      </c>
      <c r="Z337" s="27" t="s">
        <v>1011</v>
      </c>
      <c r="AA337" s="27"/>
      <c r="AB337" s="27"/>
      <c r="AC337" s="27"/>
      <c r="AD337" s="27" t="e">
        <f>_xlfn.XLOOKUP(M337,'Customer Data Vlookup'!$R:$R,'Customer Data Vlookup'!$S:$S,,0)</f>
        <v>#N/A</v>
      </c>
      <c r="AE337" s="27"/>
      <c r="AF337" s="27"/>
      <c r="AG337" s="27" t="s">
        <v>1151</v>
      </c>
      <c r="AH337" s="27" t="s">
        <v>41</v>
      </c>
      <c r="AI337" s="27" t="s">
        <v>41</v>
      </c>
      <c r="AJ337" s="27" t="s">
        <v>41</v>
      </c>
      <c r="AK337" s="28">
        <v>46091</v>
      </c>
      <c r="AL337" s="28"/>
      <c r="AM337" s="27" t="s">
        <v>41</v>
      </c>
    </row>
    <row r="338" spans="1:39" outlineLevel="2" x14ac:dyDescent="0.35">
      <c r="A338" s="1" t="s">
        <v>1016</v>
      </c>
      <c r="B338" s="1" t="s">
        <v>1003</v>
      </c>
      <c r="C338" s="1" t="s">
        <v>1004</v>
      </c>
      <c r="D338" s="1" t="s">
        <v>1005</v>
      </c>
      <c r="E338" s="1" t="s">
        <v>25</v>
      </c>
      <c r="F338" s="1" t="s">
        <v>1021</v>
      </c>
      <c r="G338" s="9">
        <v>46091</v>
      </c>
      <c r="H338" s="27" t="s">
        <v>1152</v>
      </c>
      <c r="I338" s="27" t="s">
        <v>5</v>
      </c>
      <c r="J338" s="28">
        <v>46091</v>
      </c>
      <c r="K338" s="28">
        <v>46092</v>
      </c>
      <c r="L338" s="27" t="s">
        <v>1150</v>
      </c>
      <c r="M338" s="29">
        <v>256779440504</v>
      </c>
      <c r="N338" s="27" t="s">
        <v>1007</v>
      </c>
      <c r="O338" s="27" t="s">
        <v>1008</v>
      </c>
      <c r="P338" s="27" t="s">
        <v>41</v>
      </c>
      <c r="Q338" s="27" t="s">
        <v>1025</v>
      </c>
      <c r="R338" s="27" t="s">
        <v>46</v>
      </c>
      <c r="S338" s="30">
        <v>386.31</v>
      </c>
      <c r="T338" s="27" t="s">
        <v>42</v>
      </c>
      <c r="U338" s="30">
        <v>34998.47</v>
      </c>
      <c r="V338" s="27" t="s">
        <v>1026</v>
      </c>
      <c r="W338" s="27" t="s">
        <v>1010</v>
      </c>
      <c r="X338" s="27" t="s">
        <v>41</v>
      </c>
      <c r="Y338" s="27" t="s">
        <v>1023</v>
      </c>
      <c r="Z338" s="27" t="s">
        <v>1011</v>
      </c>
      <c r="AA338" s="27"/>
      <c r="AB338" s="27"/>
      <c r="AC338" s="27"/>
      <c r="AD338" s="27" t="e">
        <f>_xlfn.XLOOKUP(M338,'Customer Data Vlookup'!$R:$R,'Customer Data Vlookup'!$S:$S,,0)</f>
        <v>#N/A</v>
      </c>
      <c r="AE338" s="27"/>
      <c r="AF338" s="27"/>
      <c r="AG338" s="27" t="s">
        <v>1153</v>
      </c>
      <c r="AH338" s="27" t="s">
        <v>41</v>
      </c>
      <c r="AI338" s="27" t="s">
        <v>41</v>
      </c>
      <c r="AJ338" s="27" t="s">
        <v>41</v>
      </c>
      <c r="AK338" s="28">
        <v>46091</v>
      </c>
      <c r="AL338" s="28"/>
      <c r="AM338" s="27" t="s">
        <v>41</v>
      </c>
    </row>
    <row r="339" spans="1:39" outlineLevel="2" x14ac:dyDescent="0.35">
      <c r="A339" s="1" t="s">
        <v>1016</v>
      </c>
      <c r="B339" s="1" t="s">
        <v>1003</v>
      </c>
      <c r="C339" s="1" t="s">
        <v>1004</v>
      </c>
      <c r="D339" s="1" t="s">
        <v>1005</v>
      </c>
      <c r="E339" s="1" t="s">
        <v>25</v>
      </c>
      <c r="F339" s="1" t="s">
        <v>1021</v>
      </c>
      <c r="G339" s="9">
        <v>46092</v>
      </c>
      <c r="H339" s="27" t="s">
        <v>1154</v>
      </c>
      <c r="I339" s="27" t="s">
        <v>5</v>
      </c>
      <c r="J339" s="28">
        <v>46092</v>
      </c>
      <c r="K339" s="28">
        <v>46092</v>
      </c>
      <c r="L339" s="27" t="s">
        <v>1155</v>
      </c>
      <c r="M339" s="29">
        <v>256779452075</v>
      </c>
      <c r="N339" s="27" t="s">
        <v>1007</v>
      </c>
      <c r="O339" s="27" t="s">
        <v>1008</v>
      </c>
      <c r="P339" s="27" t="s">
        <v>41</v>
      </c>
      <c r="Q339" s="27" t="s">
        <v>1025</v>
      </c>
      <c r="R339" s="27" t="s">
        <v>46</v>
      </c>
      <c r="S339" s="30">
        <v>1827.73</v>
      </c>
      <c r="T339" s="27" t="s">
        <v>42</v>
      </c>
      <c r="U339" s="30">
        <v>165586.56</v>
      </c>
      <c r="V339" s="27" t="s">
        <v>1026</v>
      </c>
      <c r="W339" s="27" t="s">
        <v>1114</v>
      </c>
      <c r="X339" s="27" t="s">
        <v>41</v>
      </c>
      <c r="Y339" s="27" t="s">
        <v>1023</v>
      </c>
      <c r="Z339" s="27" t="s">
        <v>1011</v>
      </c>
      <c r="AA339" s="27"/>
      <c r="AB339" s="27"/>
      <c r="AC339" s="27"/>
      <c r="AD339" s="27" t="e">
        <f>_xlfn.XLOOKUP(M339,'Customer Data Vlookup'!$R:$R,'Customer Data Vlookup'!$S:$S,,0)</f>
        <v>#N/A</v>
      </c>
      <c r="AE339" s="27"/>
      <c r="AF339" s="27"/>
      <c r="AG339" s="27" t="s">
        <v>1156</v>
      </c>
      <c r="AH339" s="27" t="s">
        <v>41</v>
      </c>
      <c r="AI339" s="27" t="s">
        <v>41</v>
      </c>
      <c r="AJ339" s="27" t="s">
        <v>41</v>
      </c>
      <c r="AK339" s="28">
        <v>46092</v>
      </c>
      <c r="AL339" s="28"/>
      <c r="AM339" s="27" t="s">
        <v>41</v>
      </c>
    </row>
    <row r="340" spans="1:39" outlineLevel="2" x14ac:dyDescent="0.35">
      <c r="A340" s="1" t="s">
        <v>1016</v>
      </c>
      <c r="B340" s="1" t="s">
        <v>1003</v>
      </c>
      <c r="C340" s="1" t="s">
        <v>1004</v>
      </c>
      <c r="D340" s="1" t="s">
        <v>1005</v>
      </c>
      <c r="E340" s="1" t="s">
        <v>25</v>
      </c>
      <c r="F340" s="1" t="s">
        <v>1021</v>
      </c>
      <c r="G340" s="9">
        <v>46092</v>
      </c>
      <c r="H340" s="27" t="s">
        <v>1157</v>
      </c>
      <c r="I340" s="27" t="s">
        <v>5</v>
      </c>
      <c r="J340" s="28">
        <v>46092</v>
      </c>
      <c r="K340" s="28">
        <v>46094</v>
      </c>
      <c r="L340" s="27" t="s">
        <v>1158</v>
      </c>
      <c r="M340" s="29">
        <v>256779452131</v>
      </c>
      <c r="N340" s="27" t="s">
        <v>1007</v>
      </c>
      <c r="O340" s="27" t="s">
        <v>1008</v>
      </c>
      <c r="P340" s="27" t="s">
        <v>41</v>
      </c>
      <c r="Q340" s="27" t="s">
        <v>1025</v>
      </c>
      <c r="R340" s="27" t="s">
        <v>46</v>
      </c>
      <c r="S340" s="30">
        <v>286.16000000000003</v>
      </c>
      <c r="T340" s="27" t="s">
        <v>42</v>
      </c>
      <c r="U340" s="30">
        <v>25925.19</v>
      </c>
      <c r="V340" s="27" t="s">
        <v>1026</v>
      </c>
      <c r="W340" s="27" t="s">
        <v>1114</v>
      </c>
      <c r="X340" s="27" t="s">
        <v>41</v>
      </c>
      <c r="Y340" s="27" t="s">
        <v>1023</v>
      </c>
      <c r="Z340" s="27" t="s">
        <v>1011</v>
      </c>
      <c r="AA340" s="27"/>
      <c r="AB340" s="27"/>
      <c r="AC340" s="27"/>
      <c r="AD340" s="27" t="e">
        <f>_xlfn.XLOOKUP(M340,'Customer Data Vlookup'!$R:$R,'Customer Data Vlookup'!$S:$S,,0)</f>
        <v>#N/A</v>
      </c>
      <c r="AE340" s="27"/>
      <c r="AF340" s="27"/>
      <c r="AG340" s="27" t="s">
        <v>1159</v>
      </c>
      <c r="AH340" s="27" t="s">
        <v>41</v>
      </c>
      <c r="AI340" s="27" t="s">
        <v>41</v>
      </c>
      <c r="AJ340" s="27" t="s">
        <v>41</v>
      </c>
      <c r="AK340" s="28">
        <v>46092</v>
      </c>
      <c r="AL340" s="28"/>
      <c r="AM340" s="27" t="s">
        <v>41</v>
      </c>
    </row>
    <row r="341" spans="1:39" outlineLevel="2" x14ac:dyDescent="0.35">
      <c r="A341" s="1" t="s">
        <v>1016</v>
      </c>
      <c r="B341" s="1" t="s">
        <v>1003</v>
      </c>
      <c r="C341" s="1" t="s">
        <v>1004</v>
      </c>
      <c r="D341" s="1" t="s">
        <v>1005</v>
      </c>
      <c r="E341" s="1" t="s">
        <v>25</v>
      </c>
      <c r="F341" s="1" t="s">
        <v>1021</v>
      </c>
      <c r="G341" s="9">
        <v>46093</v>
      </c>
      <c r="H341" s="27" t="s">
        <v>1160</v>
      </c>
      <c r="I341" s="27" t="s">
        <v>5</v>
      </c>
      <c r="J341" s="28">
        <v>46093</v>
      </c>
      <c r="K341" s="28">
        <v>46094</v>
      </c>
      <c r="L341" s="27" t="s">
        <v>1161</v>
      </c>
      <c r="M341" s="29">
        <v>256779452345</v>
      </c>
      <c r="N341" s="27" t="s">
        <v>1007</v>
      </c>
      <c r="O341" s="27" t="s">
        <v>1008</v>
      </c>
      <c r="P341" s="27" t="s">
        <v>41</v>
      </c>
      <c r="Q341" s="27" t="s">
        <v>1025</v>
      </c>
      <c r="R341" s="27" t="s">
        <v>46</v>
      </c>
      <c r="S341" s="30">
        <v>742.86</v>
      </c>
      <c r="T341" s="27" t="s">
        <v>42</v>
      </c>
      <c r="U341" s="30">
        <v>67300.77</v>
      </c>
      <c r="V341" s="27" t="s">
        <v>1026</v>
      </c>
      <c r="W341" s="27" t="s">
        <v>1114</v>
      </c>
      <c r="X341" s="27" t="s">
        <v>41</v>
      </c>
      <c r="Y341" s="27" t="s">
        <v>1023</v>
      </c>
      <c r="Z341" s="27" t="s">
        <v>1011</v>
      </c>
      <c r="AA341" s="27"/>
      <c r="AB341" s="27"/>
      <c r="AC341" s="27"/>
      <c r="AD341" s="27" t="e">
        <f>_xlfn.XLOOKUP(M341,'Customer Data Vlookup'!$R:$R,'Customer Data Vlookup'!$S:$S,,0)</f>
        <v>#N/A</v>
      </c>
      <c r="AE341" s="27"/>
      <c r="AF341" s="27"/>
      <c r="AG341" s="27" t="s">
        <v>1162</v>
      </c>
      <c r="AH341" s="27" t="s">
        <v>41</v>
      </c>
      <c r="AI341" s="27" t="s">
        <v>41</v>
      </c>
      <c r="AJ341" s="27" t="s">
        <v>41</v>
      </c>
      <c r="AK341" s="28">
        <v>46093</v>
      </c>
      <c r="AL341" s="28"/>
      <c r="AM341" s="27" t="s">
        <v>41</v>
      </c>
    </row>
    <row r="342" spans="1:39" outlineLevel="2" x14ac:dyDescent="0.35">
      <c r="A342" s="1" t="s">
        <v>1016</v>
      </c>
      <c r="B342" s="1" t="s">
        <v>1003</v>
      </c>
      <c r="C342" s="1" t="s">
        <v>1004</v>
      </c>
      <c r="D342" s="1" t="s">
        <v>1005</v>
      </c>
      <c r="E342" s="1" t="s">
        <v>25</v>
      </c>
      <c r="F342" s="1" t="s">
        <v>1021</v>
      </c>
      <c r="G342" s="9">
        <v>46093</v>
      </c>
      <c r="H342" s="27" t="s">
        <v>1163</v>
      </c>
      <c r="I342" s="27" t="s">
        <v>5</v>
      </c>
      <c r="J342" s="28">
        <v>46093</v>
      </c>
      <c r="K342" s="28">
        <v>46094</v>
      </c>
      <c r="L342" s="27" t="s">
        <v>1164</v>
      </c>
      <c r="M342" s="29">
        <v>256779452352</v>
      </c>
      <c r="N342" s="27" t="s">
        <v>1007</v>
      </c>
      <c r="O342" s="27" t="s">
        <v>1008</v>
      </c>
      <c r="P342" s="27" t="s">
        <v>41</v>
      </c>
      <c r="Q342" s="27" t="s">
        <v>1025</v>
      </c>
      <c r="R342" s="27" t="s">
        <v>46</v>
      </c>
      <c r="S342" s="30">
        <v>180</v>
      </c>
      <c r="T342" s="27" t="s">
        <v>42</v>
      </c>
      <c r="U342" s="30">
        <v>16307.43</v>
      </c>
      <c r="V342" s="27" t="s">
        <v>1026</v>
      </c>
      <c r="W342" s="27" t="s">
        <v>1114</v>
      </c>
      <c r="X342" s="27" t="s">
        <v>41</v>
      </c>
      <c r="Y342" s="27" t="s">
        <v>1023</v>
      </c>
      <c r="Z342" s="27" t="s">
        <v>1011</v>
      </c>
      <c r="AA342" s="27"/>
      <c r="AB342" s="27"/>
      <c r="AC342" s="27"/>
      <c r="AD342" s="27" t="e">
        <f>_xlfn.XLOOKUP(M342,'Customer Data Vlookup'!$R:$R,'Customer Data Vlookup'!$S:$S,,0)</f>
        <v>#N/A</v>
      </c>
      <c r="AE342" s="27"/>
      <c r="AF342" s="27"/>
      <c r="AG342" s="27" t="s">
        <v>1165</v>
      </c>
      <c r="AH342" s="27" t="s">
        <v>41</v>
      </c>
      <c r="AI342" s="27" t="s">
        <v>41</v>
      </c>
      <c r="AJ342" s="27" t="s">
        <v>41</v>
      </c>
      <c r="AK342" s="28">
        <v>46093</v>
      </c>
      <c r="AL342" s="28"/>
      <c r="AM342" s="27" t="s">
        <v>41</v>
      </c>
    </row>
    <row r="343" spans="1:39" outlineLevel="2" x14ac:dyDescent="0.35">
      <c r="A343" s="1" t="s">
        <v>1016</v>
      </c>
      <c r="B343" s="1" t="s">
        <v>1003</v>
      </c>
      <c r="C343" s="1" t="s">
        <v>1004</v>
      </c>
      <c r="D343" s="1" t="s">
        <v>1005</v>
      </c>
      <c r="E343" s="1" t="s">
        <v>25</v>
      </c>
      <c r="F343" s="1" t="s">
        <v>1021</v>
      </c>
      <c r="G343" s="9">
        <v>46093</v>
      </c>
      <c r="H343" s="27" t="s">
        <v>1166</v>
      </c>
      <c r="I343" s="27" t="s">
        <v>5</v>
      </c>
      <c r="J343" s="28">
        <v>46093</v>
      </c>
      <c r="K343" s="28">
        <v>46094</v>
      </c>
      <c r="L343" s="27" t="s">
        <v>1167</v>
      </c>
      <c r="M343" s="29">
        <v>256779452380</v>
      </c>
      <c r="N343" s="27" t="s">
        <v>1007</v>
      </c>
      <c r="O343" s="27" t="s">
        <v>1008</v>
      </c>
      <c r="P343" s="27" t="s">
        <v>41</v>
      </c>
      <c r="Q343" s="27" t="s">
        <v>1025</v>
      </c>
      <c r="R343" s="27" t="s">
        <v>46</v>
      </c>
      <c r="S343" s="30">
        <v>258.10000000000002</v>
      </c>
      <c r="T343" s="27" t="s">
        <v>42</v>
      </c>
      <c r="U343" s="30">
        <v>23383.040000000001</v>
      </c>
      <c r="V343" s="27" t="s">
        <v>1026</v>
      </c>
      <c r="W343" s="27" t="s">
        <v>1114</v>
      </c>
      <c r="X343" s="27" t="s">
        <v>41</v>
      </c>
      <c r="Y343" s="27" t="s">
        <v>1023</v>
      </c>
      <c r="Z343" s="27" t="s">
        <v>1011</v>
      </c>
      <c r="AA343" s="27"/>
      <c r="AB343" s="27"/>
      <c r="AC343" s="27"/>
      <c r="AD343" s="27" t="e">
        <f>_xlfn.XLOOKUP(M343,'Customer Data Vlookup'!$R:$R,'Customer Data Vlookup'!$S:$S,,0)</f>
        <v>#N/A</v>
      </c>
      <c r="AE343" s="27"/>
      <c r="AF343" s="27"/>
      <c r="AG343" s="27" t="s">
        <v>1168</v>
      </c>
      <c r="AH343" s="27" t="s">
        <v>41</v>
      </c>
      <c r="AI343" s="27" t="s">
        <v>41</v>
      </c>
      <c r="AJ343" s="27" t="s">
        <v>41</v>
      </c>
      <c r="AK343" s="28">
        <v>46093</v>
      </c>
      <c r="AL343" s="28"/>
      <c r="AM343" s="27" t="s">
        <v>41</v>
      </c>
    </row>
    <row r="344" spans="1:39" outlineLevel="2" x14ac:dyDescent="0.35">
      <c r="A344" s="1" t="s">
        <v>1016</v>
      </c>
      <c r="B344" s="1" t="s">
        <v>1003</v>
      </c>
      <c r="C344" s="1" t="s">
        <v>1004</v>
      </c>
      <c r="D344" s="1" t="s">
        <v>1005</v>
      </c>
      <c r="E344" s="1" t="s">
        <v>25</v>
      </c>
      <c r="F344" s="1" t="s">
        <v>1021</v>
      </c>
      <c r="G344" s="9">
        <v>46093</v>
      </c>
      <c r="H344" s="27" t="s">
        <v>1169</v>
      </c>
      <c r="I344" s="27" t="s">
        <v>5</v>
      </c>
      <c r="J344" s="28">
        <v>46093</v>
      </c>
      <c r="K344" s="28">
        <v>46094</v>
      </c>
      <c r="L344" s="27" t="s">
        <v>1170</v>
      </c>
      <c r="M344" s="29">
        <v>256779452434</v>
      </c>
      <c r="N344" s="27" t="s">
        <v>1007</v>
      </c>
      <c r="O344" s="27" t="s">
        <v>1008</v>
      </c>
      <c r="P344" s="27" t="s">
        <v>41</v>
      </c>
      <c r="Q344" s="27" t="s">
        <v>1025</v>
      </c>
      <c r="R344" s="27" t="s">
        <v>46</v>
      </c>
      <c r="S344" s="30">
        <v>373.68</v>
      </c>
      <c r="T344" s="27" t="s">
        <v>42</v>
      </c>
      <c r="U344" s="30">
        <v>33854.230000000003</v>
      </c>
      <c r="V344" s="27" t="s">
        <v>1026</v>
      </c>
      <c r="W344" s="27" t="s">
        <v>1114</v>
      </c>
      <c r="X344" s="27" t="s">
        <v>41</v>
      </c>
      <c r="Y344" s="27" t="s">
        <v>1023</v>
      </c>
      <c r="Z344" s="27" t="s">
        <v>1011</v>
      </c>
      <c r="AA344" s="27"/>
      <c r="AB344" s="27"/>
      <c r="AC344" s="27"/>
      <c r="AD344" s="27" t="e">
        <f>_xlfn.XLOOKUP(M344,'Customer Data Vlookup'!$R:$R,'Customer Data Vlookup'!$S:$S,,0)</f>
        <v>#N/A</v>
      </c>
      <c r="AE344" s="27"/>
      <c r="AF344" s="27"/>
      <c r="AG344" s="27" t="s">
        <v>1171</v>
      </c>
      <c r="AH344" s="27" t="s">
        <v>41</v>
      </c>
      <c r="AI344" s="27" t="s">
        <v>41</v>
      </c>
      <c r="AJ344" s="27" t="s">
        <v>41</v>
      </c>
      <c r="AK344" s="28">
        <v>46093</v>
      </c>
      <c r="AL344" s="28"/>
      <c r="AM344" s="27" t="s">
        <v>41</v>
      </c>
    </row>
    <row r="345" spans="1:39" outlineLevel="2" x14ac:dyDescent="0.35">
      <c r="A345" s="1" t="s">
        <v>1016</v>
      </c>
      <c r="B345" s="1" t="s">
        <v>1003</v>
      </c>
      <c r="C345" s="1" t="s">
        <v>1004</v>
      </c>
      <c r="D345" s="1" t="s">
        <v>1005</v>
      </c>
      <c r="E345" s="1" t="s">
        <v>25</v>
      </c>
      <c r="F345" s="1" t="s">
        <v>1021</v>
      </c>
      <c r="G345" s="9">
        <v>46093</v>
      </c>
      <c r="H345" s="27" t="s">
        <v>1172</v>
      </c>
      <c r="I345" s="27" t="s">
        <v>5</v>
      </c>
      <c r="J345" s="28">
        <v>46093</v>
      </c>
      <c r="K345" s="28">
        <v>46094</v>
      </c>
      <c r="L345" s="27" t="s">
        <v>1173</v>
      </c>
      <c r="M345" s="29">
        <v>256779452463</v>
      </c>
      <c r="N345" s="27" t="s">
        <v>1007</v>
      </c>
      <c r="O345" s="27" t="s">
        <v>1008</v>
      </c>
      <c r="P345" s="27" t="s">
        <v>41</v>
      </c>
      <c r="Q345" s="27" t="s">
        <v>1025</v>
      </c>
      <c r="R345" s="27" t="s">
        <v>46</v>
      </c>
      <c r="S345" s="30">
        <v>180</v>
      </c>
      <c r="T345" s="27" t="s">
        <v>42</v>
      </c>
      <c r="U345" s="30">
        <v>16307.43</v>
      </c>
      <c r="V345" s="27" t="s">
        <v>1026</v>
      </c>
      <c r="W345" s="27" t="s">
        <v>1114</v>
      </c>
      <c r="X345" s="27" t="s">
        <v>41</v>
      </c>
      <c r="Y345" s="27" t="s">
        <v>1023</v>
      </c>
      <c r="Z345" s="27" t="s">
        <v>1011</v>
      </c>
      <c r="AA345" s="27"/>
      <c r="AB345" s="27"/>
      <c r="AC345" s="27"/>
      <c r="AD345" s="27" t="e">
        <f>_xlfn.XLOOKUP(M345,'Customer Data Vlookup'!$R:$R,'Customer Data Vlookup'!$S:$S,,0)</f>
        <v>#N/A</v>
      </c>
      <c r="AE345" s="27"/>
      <c r="AF345" s="27"/>
      <c r="AG345" s="27" t="s">
        <v>1165</v>
      </c>
      <c r="AH345" s="27" t="s">
        <v>41</v>
      </c>
      <c r="AI345" s="27" t="s">
        <v>41</v>
      </c>
      <c r="AJ345" s="27" t="s">
        <v>41</v>
      </c>
      <c r="AK345" s="28">
        <v>46093</v>
      </c>
      <c r="AL345" s="28"/>
      <c r="AM345" s="27" t="s">
        <v>41</v>
      </c>
    </row>
    <row r="346" spans="1:39" outlineLevel="2" x14ac:dyDescent="0.35">
      <c r="A346" s="1" t="s">
        <v>1016</v>
      </c>
      <c r="B346" s="1" t="s">
        <v>1003</v>
      </c>
      <c r="C346" s="1" t="s">
        <v>1004</v>
      </c>
      <c r="D346" s="1" t="s">
        <v>1005</v>
      </c>
      <c r="E346" s="1" t="s">
        <v>25</v>
      </c>
      <c r="F346" s="1" t="s">
        <v>1021</v>
      </c>
      <c r="G346" s="9">
        <v>46093</v>
      </c>
      <c r="H346" s="27" t="s">
        <v>1174</v>
      </c>
      <c r="I346" s="27" t="s">
        <v>5</v>
      </c>
      <c r="J346" s="28">
        <v>46093</v>
      </c>
      <c r="K346" s="28">
        <v>46094</v>
      </c>
      <c r="L346" s="27" t="s">
        <v>1175</v>
      </c>
      <c r="M346" s="29">
        <v>256779452498</v>
      </c>
      <c r="N346" s="27" t="s">
        <v>1007</v>
      </c>
      <c r="O346" s="27" t="s">
        <v>1008</v>
      </c>
      <c r="P346" s="27" t="s">
        <v>41</v>
      </c>
      <c r="Q346" s="27" t="s">
        <v>1025</v>
      </c>
      <c r="R346" s="27" t="s">
        <v>46</v>
      </c>
      <c r="S346" s="30">
        <v>169.56</v>
      </c>
      <c r="T346" s="27" t="s">
        <v>42</v>
      </c>
      <c r="U346" s="30">
        <v>15361.6</v>
      </c>
      <c r="V346" s="27" t="s">
        <v>1026</v>
      </c>
      <c r="W346" s="27" t="s">
        <v>1114</v>
      </c>
      <c r="X346" s="27" t="s">
        <v>41</v>
      </c>
      <c r="Y346" s="27" t="s">
        <v>1023</v>
      </c>
      <c r="Z346" s="27" t="s">
        <v>1011</v>
      </c>
      <c r="AA346" s="27"/>
      <c r="AB346" s="27"/>
      <c r="AC346" s="27"/>
      <c r="AD346" s="27" t="e">
        <f>_xlfn.XLOOKUP(M346,'Customer Data Vlookup'!$R:$R,'Customer Data Vlookup'!$S:$S,,0)</f>
        <v>#N/A</v>
      </c>
      <c r="AE346" s="27"/>
      <c r="AF346" s="27"/>
      <c r="AG346" s="27" t="s">
        <v>1176</v>
      </c>
      <c r="AH346" s="27" t="s">
        <v>41</v>
      </c>
      <c r="AI346" s="27" t="s">
        <v>41</v>
      </c>
      <c r="AJ346" s="27" t="s">
        <v>41</v>
      </c>
      <c r="AK346" s="28">
        <v>46093</v>
      </c>
      <c r="AL346" s="28"/>
      <c r="AM346" s="27" t="s">
        <v>41</v>
      </c>
    </row>
    <row r="347" spans="1:39" outlineLevel="2" x14ac:dyDescent="0.35">
      <c r="A347" s="1" t="s">
        <v>1016</v>
      </c>
      <c r="B347" s="1" t="s">
        <v>1003</v>
      </c>
      <c r="C347" s="1" t="s">
        <v>1004</v>
      </c>
      <c r="D347" s="1" t="s">
        <v>1005</v>
      </c>
      <c r="E347" s="1" t="s">
        <v>25</v>
      </c>
      <c r="F347" s="1" t="s">
        <v>1021</v>
      </c>
      <c r="G347" s="9">
        <v>46097</v>
      </c>
      <c r="H347" s="27" t="s">
        <v>1177</v>
      </c>
      <c r="I347" s="27" t="s">
        <v>4</v>
      </c>
      <c r="J347" s="28">
        <v>46097</v>
      </c>
      <c r="K347" s="28">
        <v>46097</v>
      </c>
      <c r="L347" s="27" t="s">
        <v>1178</v>
      </c>
      <c r="M347" s="29">
        <v>256779422416</v>
      </c>
      <c r="N347" s="27" t="s">
        <v>1007</v>
      </c>
      <c r="O347" s="27" t="s">
        <v>1008</v>
      </c>
      <c r="P347" s="27" t="s">
        <v>41</v>
      </c>
      <c r="Q347" s="27" t="s">
        <v>1022</v>
      </c>
      <c r="R347" s="27" t="s">
        <v>46</v>
      </c>
      <c r="S347" s="30">
        <v>-180</v>
      </c>
      <c r="T347" s="27" t="s">
        <v>42</v>
      </c>
      <c r="U347" s="30">
        <v>-16307.43</v>
      </c>
      <c r="V347" s="27" t="s">
        <v>1026</v>
      </c>
      <c r="W347" s="27" t="s">
        <v>1114</v>
      </c>
      <c r="X347" s="27" t="s">
        <v>41</v>
      </c>
      <c r="Y347" s="27" t="s">
        <v>1023</v>
      </c>
      <c r="Z347" s="27" t="s">
        <v>1011</v>
      </c>
      <c r="AA347" s="27"/>
      <c r="AB347" s="27"/>
      <c r="AC347" s="27"/>
      <c r="AD347" s="27" t="e">
        <f>_xlfn.XLOOKUP(M347,'Customer Data Vlookup'!$R:$R,'Customer Data Vlookup'!$S:$S,,0)</f>
        <v>#N/A</v>
      </c>
      <c r="AE347" s="27"/>
      <c r="AF347" s="27"/>
      <c r="AG347" s="27" t="s">
        <v>1179</v>
      </c>
      <c r="AH347" s="27" t="s">
        <v>41</v>
      </c>
      <c r="AI347" s="27" t="s">
        <v>41</v>
      </c>
      <c r="AJ347" s="27" t="s">
        <v>41</v>
      </c>
      <c r="AK347" s="28">
        <v>46097</v>
      </c>
      <c r="AL347" s="28"/>
      <c r="AM347" s="27" t="s">
        <v>41</v>
      </c>
    </row>
    <row r="348" spans="1:39" outlineLevel="2" x14ac:dyDescent="0.35">
      <c r="A348" s="1" t="s">
        <v>1016</v>
      </c>
      <c r="B348" s="1" t="s">
        <v>1003</v>
      </c>
      <c r="C348" s="1" t="s">
        <v>1004</v>
      </c>
      <c r="D348" s="1" t="s">
        <v>1005</v>
      </c>
      <c r="E348" s="1" t="s">
        <v>25</v>
      </c>
      <c r="F348" s="1" t="s">
        <v>1021</v>
      </c>
      <c r="G348" s="9">
        <v>46105</v>
      </c>
      <c r="H348" s="27" t="s">
        <v>1180</v>
      </c>
      <c r="I348" s="27" t="s">
        <v>5</v>
      </c>
      <c r="J348" s="28">
        <v>46105</v>
      </c>
      <c r="K348" s="28">
        <v>46105</v>
      </c>
      <c r="L348" s="27" t="s">
        <v>1181</v>
      </c>
      <c r="M348" s="29">
        <v>256779452591</v>
      </c>
      <c r="N348" s="27" t="s">
        <v>1007</v>
      </c>
      <c r="O348" s="27" t="s">
        <v>1008</v>
      </c>
      <c r="P348" s="27" t="s">
        <v>41</v>
      </c>
      <c r="Q348" s="27" t="s">
        <v>1025</v>
      </c>
      <c r="R348" s="27" t="s">
        <v>46</v>
      </c>
      <c r="S348" s="30">
        <v>135</v>
      </c>
      <c r="T348" s="27" t="s">
        <v>42</v>
      </c>
      <c r="U348" s="30">
        <v>12230.57</v>
      </c>
      <c r="V348" s="27" t="s">
        <v>1026</v>
      </c>
      <c r="W348" s="27" t="s">
        <v>1114</v>
      </c>
      <c r="X348" s="27" t="s">
        <v>41</v>
      </c>
      <c r="Y348" s="27" t="s">
        <v>1023</v>
      </c>
      <c r="Z348" s="27" t="s">
        <v>1011</v>
      </c>
      <c r="AA348" s="27"/>
      <c r="AB348" s="27"/>
      <c r="AC348" s="27"/>
      <c r="AD348" s="27" t="e">
        <f>_xlfn.XLOOKUP(M348,'Customer Data Vlookup'!$R:$R,'Customer Data Vlookup'!$S:$S,,0)</f>
        <v>#N/A</v>
      </c>
      <c r="AE348" s="27"/>
      <c r="AF348" s="27"/>
      <c r="AG348" s="27" t="s">
        <v>1182</v>
      </c>
      <c r="AH348" s="27" t="s">
        <v>41</v>
      </c>
      <c r="AI348" s="27" t="s">
        <v>41</v>
      </c>
      <c r="AJ348" s="27" t="s">
        <v>41</v>
      </c>
      <c r="AK348" s="28">
        <v>46105</v>
      </c>
      <c r="AL348" s="28"/>
      <c r="AM348" s="27" t="s">
        <v>41</v>
      </c>
    </row>
    <row r="349" spans="1:39" outlineLevel="2" x14ac:dyDescent="0.35">
      <c r="A349" s="1" t="s">
        <v>1016</v>
      </c>
      <c r="B349" s="1" t="s">
        <v>1003</v>
      </c>
      <c r="C349" s="1" t="s">
        <v>1004</v>
      </c>
      <c r="D349" s="1" t="s">
        <v>1005</v>
      </c>
      <c r="E349" s="1" t="s">
        <v>25</v>
      </c>
      <c r="F349" s="1" t="s">
        <v>1021</v>
      </c>
      <c r="G349" s="9">
        <v>46105</v>
      </c>
      <c r="H349" s="27" t="s">
        <v>1183</v>
      </c>
      <c r="I349" s="27" t="s">
        <v>5</v>
      </c>
      <c r="J349" s="28">
        <v>46105</v>
      </c>
      <c r="K349" s="28">
        <v>46105</v>
      </c>
      <c r="L349" s="27" t="s">
        <v>1184</v>
      </c>
      <c r="M349" s="29">
        <v>256779452758</v>
      </c>
      <c r="N349" s="27" t="s">
        <v>1007</v>
      </c>
      <c r="O349" s="27" t="s">
        <v>1008</v>
      </c>
      <c r="P349" s="27" t="s">
        <v>41</v>
      </c>
      <c r="Q349" s="27" t="s">
        <v>1025</v>
      </c>
      <c r="R349" s="27" t="s">
        <v>46</v>
      </c>
      <c r="S349" s="30">
        <v>732.03</v>
      </c>
      <c r="T349" s="27" t="s">
        <v>42</v>
      </c>
      <c r="U349" s="30">
        <v>66319.600000000006</v>
      </c>
      <c r="V349" s="27" t="s">
        <v>1026</v>
      </c>
      <c r="W349" s="27" t="s">
        <v>1114</v>
      </c>
      <c r="X349" s="27" t="s">
        <v>41</v>
      </c>
      <c r="Y349" s="27" t="s">
        <v>1184</v>
      </c>
      <c r="Z349" s="27" t="s">
        <v>1011</v>
      </c>
      <c r="AA349" s="27"/>
      <c r="AB349" s="27"/>
      <c r="AC349" s="27"/>
      <c r="AD349" s="27" t="e">
        <f>_xlfn.XLOOKUP(M349,'Customer Data Vlookup'!$R:$R,'Customer Data Vlookup'!$S:$S,,0)</f>
        <v>#N/A</v>
      </c>
      <c r="AE349" s="27"/>
      <c r="AF349" s="27"/>
      <c r="AG349" s="27" t="s">
        <v>1185</v>
      </c>
      <c r="AH349" s="27" t="s">
        <v>41</v>
      </c>
      <c r="AI349" s="27" t="s">
        <v>41</v>
      </c>
      <c r="AJ349" s="27" t="s">
        <v>41</v>
      </c>
      <c r="AK349" s="28">
        <v>46105</v>
      </c>
      <c r="AL349" s="28"/>
      <c r="AM349" s="27" t="s">
        <v>41</v>
      </c>
    </row>
    <row r="350" spans="1:39" outlineLevel="2" x14ac:dyDescent="0.35">
      <c r="A350" s="1" t="s">
        <v>1016</v>
      </c>
      <c r="B350" s="1" t="s">
        <v>1003</v>
      </c>
      <c r="C350" s="1" t="s">
        <v>1004</v>
      </c>
      <c r="D350" s="1" t="s">
        <v>1005</v>
      </c>
      <c r="E350" s="1" t="s">
        <v>25</v>
      </c>
      <c r="F350" s="1" t="s">
        <v>1021</v>
      </c>
      <c r="G350" s="9">
        <v>46106</v>
      </c>
      <c r="H350" s="27" t="s">
        <v>1186</v>
      </c>
      <c r="I350" s="27" t="s">
        <v>7</v>
      </c>
      <c r="J350" s="28">
        <v>46106</v>
      </c>
      <c r="K350" s="28">
        <v>46106</v>
      </c>
      <c r="L350" s="27" t="s">
        <v>1187</v>
      </c>
      <c r="M350" s="29">
        <v>2190932</v>
      </c>
      <c r="N350" s="27" t="s">
        <v>1007</v>
      </c>
      <c r="O350" s="27" t="s">
        <v>1008</v>
      </c>
      <c r="P350" s="27" t="s">
        <v>41</v>
      </c>
      <c r="Q350" s="27" t="s">
        <v>1012</v>
      </c>
      <c r="R350" s="27" t="s">
        <v>46</v>
      </c>
      <c r="S350" s="30">
        <v>-4245.3900000000003</v>
      </c>
      <c r="T350" s="27" t="s">
        <v>42</v>
      </c>
      <c r="U350" s="30">
        <v>-384618.92</v>
      </c>
      <c r="V350" s="27" t="s">
        <v>41</v>
      </c>
      <c r="W350" s="27" t="s">
        <v>1018</v>
      </c>
      <c r="X350" s="27" t="s">
        <v>41</v>
      </c>
      <c r="Y350" s="27" t="s">
        <v>41</v>
      </c>
      <c r="Z350" s="27" t="s">
        <v>1013</v>
      </c>
      <c r="AA350" s="27"/>
      <c r="AB350" s="27"/>
      <c r="AC350" s="27"/>
      <c r="AD350" s="27" t="e">
        <f>_xlfn.XLOOKUP(M350,'Customer Data Vlookup'!$R:$R,'Customer Data Vlookup'!$S:$S,,0)</f>
        <v>#N/A</v>
      </c>
      <c r="AE350" s="27"/>
      <c r="AF350" s="27"/>
      <c r="AG350" s="27" t="s">
        <v>41</v>
      </c>
      <c r="AH350" s="27" t="s">
        <v>41</v>
      </c>
      <c r="AI350" s="27" t="s">
        <v>41</v>
      </c>
      <c r="AJ350" s="27" t="s">
        <v>41</v>
      </c>
      <c r="AK350" s="28">
        <v>46106</v>
      </c>
      <c r="AL350" s="28"/>
      <c r="AM350" s="27" t="s">
        <v>41</v>
      </c>
    </row>
    <row r="351" spans="1:39" outlineLevel="2" x14ac:dyDescent="0.35">
      <c r="A351" s="1" t="s">
        <v>1016</v>
      </c>
      <c r="B351" s="1" t="s">
        <v>1003</v>
      </c>
      <c r="C351" s="1" t="s">
        <v>1004</v>
      </c>
      <c r="D351" s="1" t="s">
        <v>1005</v>
      </c>
      <c r="E351" s="1" t="s">
        <v>25</v>
      </c>
      <c r="F351" s="1" t="s">
        <v>1021</v>
      </c>
      <c r="G351" s="9">
        <v>46104</v>
      </c>
      <c r="H351" s="27" t="s">
        <v>1188</v>
      </c>
      <c r="I351" s="27" t="s">
        <v>5</v>
      </c>
      <c r="J351" s="28">
        <v>46104</v>
      </c>
      <c r="K351" s="28">
        <v>46106</v>
      </c>
      <c r="L351" s="27" t="s">
        <v>1023</v>
      </c>
      <c r="M351" s="29">
        <v>256779452783</v>
      </c>
      <c r="N351" s="27" t="s">
        <v>1007</v>
      </c>
      <c r="O351" s="27" t="s">
        <v>1008</v>
      </c>
      <c r="P351" s="27" t="s">
        <v>41</v>
      </c>
      <c r="Q351" s="27" t="s">
        <v>1025</v>
      </c>
      <c r="R351" s="27" t="s">
        <v>46</v>
      </c>
      <c r="S351" s="30">
        <v>1185.48</v>
      </c>
      <c r="T351" s="27" t="s">
        <v>42</v>
      </c>
      <c r="U351" s="30">
        <v>107400.74</v>
      </c>
      <c r="V351" s="27" t="s">
        <v>1026</v>
      </c>
      <c r="W351" s="27" t="s">
        <v>1114</v>
      </c>
      <c r="X351" s="27" t="s">
        <v>41</v>
      </c>
      <c r="Y351" s="27" t="s">
        <v>1023</v>
      </c>
      <c r="Z351" s="27" t="s">
        <v>1011</v>
      </c>
      <c r="AA351" s="27"/>
      <c r="AB351" s="27"/>
      <c r="AC351" s="27"/>
      <c r="AD351" s="27" t="e">
        <f>_xlfn.XLOOKUP(M351,'Customer Data Vlookup'!$R:$R,'Customer Data Vlookup'!$S:$S,,0)</f>
        <v>#N/A</v>
      </c>
      <c r="AE351" s="27"/>
      <c r="AF351" s="27"/>
      <c r="AG351" s="27" t="s">
        <v>1189</v>
      </c>
      <c r="AH351" s="27" t="s">
        <v>41</v>
      </c>
      <c r="AI351" s="27" t="s">
        <v>41</v>
      </c>
      <c r="AJ351" s="27" t="s">
        <v>41</v>
      </c>
      <c r="AK351" s="28">
        <v>46104</v>
      </c>
      <c r="AL351" s="28"/>
      <c r="AM351" s="27" t="s">
        <v>41</v>
      </c>
    </row>
    <row r="352" spans="1:39" outlineLevel="2" x14ac:dyDescent="0.35">
      <c r="A352" s="1" t="s">
        <v>1016</v>
      </c>
      <c r="B352" s="1" t="s">
        <v>1003</v>
      </c>
      <c r="C352" s="1" t="s">
        <v>1004</v>
      </c>
      <c r="D352" s="1" t="s">
        <v>1005</v>
      </c>
      <c r="E352" s="1" t="s">
        <v>25</v>
      </c>
      <c r="F352" s="1" t="s">
        <v>1021</v>
      </c>
      <c r="G352" s="9">
        <v>46104</v>
      </c>
      <c r="H352" s="27" t="s">
        <v>1190</v>
      </c>
      <c r="I352" s="27" t="s">
        <v>5</v>
      </c>
      <c r="J352" s="28">
        <v>46104</v>
      </c>
      <c r="K352" s="28">
        <v>46106</v>
      </c>
      <c r="L352" s="27" t="s">
        <v>1023</v>
      </c>
      <c r="M352" s="29">
        <v>256779452815</v>
      </c>
      <c r="N352" s="27" t="s">
        <v>1007</v>
      </c>
      <c r="O352" s="27" t="s">
        <v>1008</v>
      </c>
      <c r="P352" s="27" t="s">
        <v>41</v>
      </c>
      <c r="Q352" s="27" t="s">
        <v>1025</v>
      </c>
      <c r="R352" s="27" t="s">
        <v>46</v>
      </c>
      <c r="S352" s="30">
        <v>1481.39</v>
      </c>
      <c r="T352" s="27" t="s">
        <v>42</v>
      </c>
      <c r="U352" s="30">
        <v>134209.25</v>
      </c>
      <c r="V352" s="27" t="s">
        <v>1026</v>
      </c>
      <c r="W352" s="27" t="s">
        <v>1114</v>
      </c>
      <c r="X352" s="27" t="s">
        <v>41</v>
      </c>
      <c r="Y352" s="27" t="s">
        <v>1023</v>
      </c>
      <c r="Z352" s="27" t="s">
        <v>1011</v>
      </c>
      <c r="AA352" s="27"/>
      <c r="AB352" s="27"/>
      <c r="AC352" s="27"/>
      <c r="AD352" s="27" t="e">
        <f>_xlfn.XLOOKUP(M352,'Customer Data Vlookup'!$R:$R,'Customer Data Vlookup'!$S:$S,,0)</f>
        <v>#N/A</v>
      </c>
      <c r="AE352" s="27"/>
      <c r="AF352" s="27"/>
      <c r="AG352" s="27" t="s">
        <v>1191</v>
      </c>
      <c r="AH352" s="27" t="s">
        <v>41</v>
      </c>
      <c r="AI352" s="27" t="s">
        <v>41</v>
      </c>
      <c r="AJ352" s="27" t="s">
        <v>41</v>
      </c>
      <c r="AK352" s="28">
        <v>46104</v>
      </c>
      <c r="AL352" s="28"/>
      <c r="AM352" s="27" t="s">
        <v>41</v>
      </c>
    </row>
    <row r="353" spans="1:39" outlineLevel="2" x14ac:dyDescent="0.35">
      <c r="A353" s="1" t="s">
        <v>1016</v>
      </c>
      <c r="B353" s="1" t="s">
        <v>1003</v>
      </c>
      <c r="C353" s="1" t="s">
        <v>1004</v>
      </c>
      <c r="D353" s="1" t="s">
        <v>1005</v>
      </c>
      <c r="E353" s="1" t="s">
        <v>25</v>
      </c>
      <c r="F353" s="1" t="s">
        <v>1021</v>
      </c>
      <c r="G353" s="9">
        <v>46104</v>
      </c>
      <c r="H353" s="27" t="s">
        <v>1192</v>
      </c>
      <c r="I353" s="27" t="s">
        <v>5</v>
      </c>
      <c r="J353" s="28">
        <v>46104</v>
      </c>
      <c r="K353" s="28">
        <v>46106</v>
      </c>
      <c r="L353" s="27" t="s">
        <v>1023</v>
      </c>
      <c r="M353" s="29">
        <v>256779452821</v>
      </c>
      <c r="N353" s="27" t="s">
        <v>1007</v>
      </c>
      <c r="O353" s="27" t="s">
        <v>1008</v>
      </c>
      <c r="P353" s="27" t="s">
        <v>41</v>
      </c>
      <c r="Q353" s="27" t="s">
        <v>1025</v>
      </c>
      <c r="R353" s="27" t="s">
        <v>46</v>
      </c>
      <c r="S353" s="30">
        <v>1531.39</v>
      </c>
      <c r="T353" s="27" t="s">
        <v>42</v>
      </c>
      <c r="U353" s="30">
        <v>138739.09</v>
      </c>
      <c r="V353" s="27" t="s">
        <v>1026</v>
      </c>
      <c r="W353" s="27" t="s">
        <v>1114</v>
      </c>
      <c r="X353" s="27" t="s">
        <v>41</v>
      </c>
      <c r="Y353" s="27" t="s">
        <v>1023</v>
      </c>
      <c r="Z353" s="27" t="s">
        <v>1011</v>
      </c>
      <c r="AA353" s="27"/>
      <c r="AB353" s="27"/>
      <c r="AC353" s="27"/>
      <c r="AD353" s="27" t="e">
        <f>_xlfn.XLOOKUP(M353,'Customer Data Vlookup'!$R:$R,'Customer Data Vlookup'!$S:$S,,0)</f>
        <v>#N/A</v>
      </c>
      <c r="AE353" s="27"/>
      <c r="AF353" s="27"/>
      <c r="AG353" s="27" t="s">
        <v>1191</v>
      </c>
      <c r="AH353" s="27" t="s">
        <v>41</v>
      </c>
      <c r="AI353" s="27" t="s">
        <v>41</v>
      </c>
      <c r="AJ353" s="27" t="s">
        <v>41</v>
      </c>
      <c r="AK353" s="28">
        <v>46104</v>
      </c>
      <c r="AL353" s="28"/>
      <c r="AM353" s="27" t="s">
        <v>41</v>
      </c>
    </row>
    <row r="354" spans="1:39" outlineLevel="2" x14ac:dyDescent="0.35">
      <c r="A354" s="1" t="s">
        <v>1016</v>
      </c>
      <c r="B354" s="1" t="s">
        <v>1003</v>
      </c>
      <c r="C354" s="1" t="s">
        <v>1004</v>
      </c>
      <c r="D354" s="1" t="s">
        <v>1005</v>
      </c>
      <c r="E354" s="1" t="s">
        <v>25</v>
      </c>
      <c r="F354" s="1" t="s">
        <v>1021</v>
      </c>
      <c r="G354" s="9">
        <v>46104</v>
      </c>
      <c r="H354" s="27" t="s">
        <v>1193</v>
      </c>
      <c r="I354" s="27" t="s">
        <v>5</v>
      </c>
      <c r="J354" s="28">
        <v>46104</v>
      </c>
      <c r="K354" s="28">
        <v>46106</v>
      </c>
      <c r="L354" s="27" t="s">
        <v>1023</v>
      </c>
      <c r="M354" s="29">
        <v>256779452853</v>
      </c>
      <c r="N354" s="27" t="s">
        <v>1007</v>
      </c>
      <c r="O354" s="27" t="s">
        <v>1008</v>
      </c>
      <c r="P354" s="27" t="s">
        <v>41</v>
      </c>
      <c r="Q354" s="27" t="s">
        <v>1025</v>
      </c>
      <c r="R354" s="27" t="s">
        <v>46</v>
      </c>
      <c r="S354" s="30">
        <v>235.06</v>
      </c>
      <c r="T354" s="27" t="s">
        <v>42</v>
      </c>
      <c r="U354" s="30">
        <v>21295.69</v>
      </c>
      <c r="V354" s="27" t="s">
        <v>1026</v>
      </c>
      <c r="W354" s="27" t="s">
        <v>1114</v>
      </c>
      <c r="X354" s="27" t="s">
        <v>41</v>
      </c>
      <c r="Y354" s="27" t="s">
        <v>1023</v>
      </c>
      <c r="Z354" s="27" t="s">
        <v>1011</v>
      </c>
      <c r="AA354" s="27"/>
      <c r="AB354" s="27"/>
      <c r="AC354" s="27"/>
      <c r="AD354" s="27" t="e">
        <f>_xlfn.XLOOKUP(M354,'Customer Data Vlookup'!$R:$R,'Customer Data Vlookup'!$S:$S,,0)</f>
        <v>#N/A</v>
      </c>
      <c r="AE354" s="27"/>
      <c r="AF354" s="27"/>
      <c r="AG354" s="27" t="s">
        <v>1194</v>
      </c>
      <c r="AH354" s="27" t="s">
        <v>41</v>
      </c>
      <c r="AI354" s="27" t="s">
        <v>41</v>
      </c>
      <c r="AJ354" s="27" t="s">
        <v>41</v>
      </c>
      <c r="AK354" s="28">
        <v>46104</v>
      </c>
      <c r="AL354" s="28"/>
      <c r="AM354" s="27" t="s">
        <v>41</v>
      </c>
    </row>
    <row r="355" spans="1:39" outlineLevel="2" x14ac:dyDescent="0.35">
      <c r="A355" s="1" t="s">
        <v>1016</v>
      </c>
      <c r="B355" s="1" t="s">
        <v>1003</v>
      </c>
      <c r="C355" s="1" t="s">
        <v>1004</v>
      </c>
      <c r="D355" s="1" t="s">
        <v>1005</v>
      </c>
      <c r="E355" s="1" t="s">
        <v>25</v>
      </c>
      <c r="F355" s="1" t="s">
        <v>1021</v>
      </c>
      <c r="G355" s="9">
        <v>46107</v>
      </c>
      <c r="H355" s="27" t="s">
        <v>1195</v>
      </c>
      <c r="I355" s="27" t="s">
        <v>4</v>
      </c>
      <c r="J355" s="28">
        <v>46107</v>
      </c>
      <c r="K355" s="28">
        <v>46107</v>
      </c>
      <c r="L355" s="27" t="s">
        <v>1196</v>
      </c>
      <c r="M355" s="29">
        <v>256779422439</v>
      </c>
      <c r="N355" s="27" t="s">
        <v>1007</v>
      </c>
      <c r="O355" s="27" t="s">
        <v>1008</v>
      </c>
      <c r="P355" s="27" t="s">
        <v>41</v>
      </c>
      <c r="Q355" s="27" t="s">
        <v>1022</v>
      </c>
      <c r="R355" s="27" t="s">
        <v>46</v>
      </c>
      <c r="S355" s="30">
        <v>-1481.39</v>
      </c>
      <c r="T355" s="27" t="s">
        <v>42</v>
      </c>
      <c r="U355" s="30">
        <v>-134209.25</v>
      </c>
      <c r="V355" s="27" t="s">
        <v>1026</v>
      </c>
      <c r="W355" s="27" t="s">
        <v>1114</v>
      </c>
      <c r="X355" s="27" t="s">
        <v>41</v>
      </c>
      <c r="Y355" s="27" t="s">
        <v>1023</v>
      </c>
      <c r="Z355" s="27" t="s">
        <v>1011</v>
      </c>
      <c r="AA355" s="27"/>
      <c r="AB355" s="27"/>
      <c r="AC355" s="27"/>
      <c r="AD355" s="27" t="e">
        <f>_xlfn.XLOOKUP(M355,'Customer Data Vlookup'!$R:$R,'Customer Data Vlookup'!$S:$S,,0)</f>
        <v>#N/A</v>
      </c>
      <c r="AE355" s="27"/>
      <c r="AF355" s="27"/>
      <c r="AG355" s="27" t="s">
        <v>1197</v>
      </c>
      <c r="AH355" s="27" t="s">
        <v>41</v>
      </c>
      <c r="AI355" s="27" t="s">
        <v>41</v>
      </c>
      <c r="AJ355" s="27" t="s">
        <v>41</v>
      </c>
      <c r="AK355" s="28">
        <v>46107</v>
      </c>
      <c r="AL355" s="28"/>
      <c r="AM355" s="27" t="s">
        <v>41</v>
      </c>
    </row>
    <row r="356" spans="1:39" outlineLevel="2" x14ac:dyDescent="0.35">
      <c r="G356" s="9"/>
      <c r="J356" s="9"/>
      <c r="K356" s="9"/>
      <c r="S356" s="10"/>
      <c r="U356" s="10"/>
      <c r="AK356" s="9"/>
      <c r="AL356" s="9"/>
    </row>
    <row r="357" spans="1:39" outlineLevel="1" x14ac:dyDescent="0.35">
      <c r="A357" s="11" t="s">
        <v>41</v>
      </c>
      <c r="B357" s="11" t="s">
        <v>41</v>
      </c>
      <c r="C357" s="11" t="s">
        <v>41</v>
      </c>
      <c r="D357" s="11" t="s">
        <v>41</v>
      </c>
      <c r="E357" s="11" t="s">
        <v>41</v>
      </c>
      <c r="F357" s="11" t="s">
        <v>41</v>
      </c>
      <c r="G357" s="12"/>
      <c r="H357" s="11" t="s">
        <v>41</v>
      </c>
      <c r="I357" s="11" t="s">
        <v>41</v>
      </c>
      <c r="J357" s="12"/>
      <c r="K357" s="12"/>
      <c r="L357" s="11" t="s">
        <v>41</v>
      </c>
      <c r="M357" s="155" t="s">
        <v>41</v>
      </c>
      <c r="N357" s="11" t="s">
        <v>1007</v>
      </c>
      <c r="O357" s="11" t="s">
        <v>41</v>
      </c>
      <c r="P357" s="11" t="s">
        <v>41</v>
      </c>
      <c r="Q357" s="11" t="s">
        <v>41</v>
      </c>
      <c r="R357" s="11" t="s">
        <v>42</v>
      </c>
      <c r="S357" s="13">
        <v>1350000</v>
      </c>
      <c r="T357" s="11" t="s">
        <v>42</v>
      </c>
      <c r="U357" s="13">
        <v>3510918.14</v>
      </c>
      <c r="V357" s="11" t="s">
        <v>41</v>
      </c>
      <c r="W357" s="11" t="s">
        <v>41</v>
      </c>
      <c r="X357" s="11" t="s">
        <v>41</v>
      </c>
      <c r="Y357" s="11" t="s">
        <v>41</v>
      </c>
      <c r="Z357" s="11" t="s">
        <v>41</v>
      </c>
      <c r="AA357" s="11"/>
      <c r="AB357" s="11"/>
      <c r="AC357" s="11"/>
      <c r="AD357" s="11"/>
      <c r="AE357" s="11"/>
      <c r="AF357" s="11"/>
      <c r="AG357" s="11" t="s">
        <v>41</v>
      </c>
      <c r="AH357" s="11" t="s">
        <v>41</v>
      </c>
      <c r="AI357" s="11" t="s">
        <v>41</v>
      </c>
      <c r="AJ357" s="11" t="s">
        <v>41</v>
      </c>
      <c r="AK357" s="12"/>
      <c r="AL357" s="12"/>
      <c r="AM357" s="11" t="s">
        <v>41</v>
      </c>
    </row>
    <row r="358" spans="1:39" outlineLevel="1" x14ac:dyDescent="0.35">
      <c r="A358" s="11" t="s">
        <v>41</v>
      </c>
      <c r="B358" s="11" t="s">
        <v>41</v>
      </c>
      <c r="C358" s="11" t="s">
        <v>41</v>
      </c>
      <c r="D358" s="11" t="s">
        <v>41</v>
      </c>
      <c r="E358" s="11" t="s">
        <v>41</v>
      </c>
      <c r="F358" s="11" t="s">
        <v>41</v>
      </c>
      <c r="G358" s="12" t="s">
        <v>1198</v>
      </c>
      <c r="H358" s="11" t="s">
        <v>41</v>
      </c>
      <c r="I358" s="11" t="s">
        <v>41</v>
      </c>
      <c r="J358" s="12"/>
      <c r="K358" s="12"/>
      <c r="L358" s="11" t="s">
        <v>41</v>
      </c>
      <c r="M358" s="155" t="s">
        <v>41</v>
      </c>
      <c r="N358" s="11" t="s">
        <v>41</v>
      </c>
      <c r="O358" s="11" t="s">
        <v>41</v>
      </c>
      <c r="P358" s="11" t="s">
        <v>41</v>
      </c>
      <c r="Q358" s="11" t="s">
        <v>41</v>
      </c>
      <c r="R358" s="11" t="s">
        <v>46</v>
      </c>
      <c r="S358" s="13">
        <v>5520.89</v>
      </c>
      <c r="T358" s="11" t="s">
        <v>41</v>
      </c>
      <c r="U358" s="14"/>
      <c r="V358" s="11" t="s">
        <v>41</v>
      </c>
      <c r="W358" s="11" t="s">
        <v>41</v>
      </c>
      <c r="X358" s="11" t="s">
        <v>41</v>
      </c>
      <c r="Y358" s="11" t="s">
        <v>41</v>
      </c>
      <c r="Z358" s="11" t="s">
        <v>41</v>
      </c>
      <c r="AA358" s="11"/>
      <c r="AB358" s="11"/>
      <c r="AC358" s="11"/>
      <c r="AD358" s="11"/>
      <c r="AE358" s="11"/>
      <c r="AF358" s="11"/>
      <c r="AG358" s="11" t="s">
        <v>41</v>
      </c>
      <c r="AH358" s="11" t="s">
        <v>41</v>
      </c>
      <c r="AI358" s="11" t="s">
        <v>41</v>
      </c>
      <c r="AJ358" s="11" t="s">
        <v>41</v>
      </c>
      <c r="AK358" s="12"/>
      <c r="AL358" s="12"/>
      <c r="AM358" s="11" t="s">
        <v>41</v>
      </c>
    </row>
    <row r="359" spans="1:39" x14ac:dyDescent="0.35">
      <c r="A359" s="15" t="s">
        <v>41</v>
      </c>
      <c r="B359" s="15" t="s">
        <v>41</v>
      </c>
      <c r="C359" s="15" t="s">
        <v>41</v>
      </c>
      <c r="D359" s="15" t="s">
        <v>41</v>
      </c>
      <c r="E359" s="15" t="s">
        <v>41</v>
      </c>
      <c r="F359" s="15" t="s">
        <v>41</v>
      </c>
      <c r="G359" s="16"/>
      <c r="H359" s="15" t="s">
        <v>41</v>
      </c>
      <c r="I359" s="15" t="s">
        <v>41</v>
      </c>
      <c r="J359" s="16"/>
      <c r="K359" s="16"/>
      <c r="L359" s="15" t="s">
        <v>41</v>
      </c>
      <c r="M359" s="156" t="s">
        <v>41</v>
      </c>
      <c r="N359" s="15" t="s">
        <v>41</v>
      </c>
      <c r="O359" s="15" t="s">
        <v>41</v>
      </c>
      <c r="P359" s="15" t="s">
        <v>41</v>
      </c>
      <c r="Q359" s="15" t="s">
        <v>41</v>
      </c>
      <c r="R359" s="15" t="s">
        <v>42</v>
      </c>
      <c r="S359" s="17">
        <v>1350000</v>
      </c>
      <c r="T359" s="15" t="s">
        <v>42</v>
      </c>
      <c r="U359" s="17">
        <v>3510918.14</v>
      </c>
      <c r="V359" s="15" t="s">
        <v>41</v>
      </c>
      <c r="W359" s="15" t="s">
        <v>41</v>
      </c>
      <c r="X359" s="15" t="s">
        <v>41</v>
      </c>
      <c r="Y359" s="15" t="s">
        <v>41</v>
      </c>
      <c r="Z359" s="15" t="s">
        <v>41</v>
      </c>
      <c r="AA359" s="15"/>
      <c r="AB359" s="15"/>
      <c r="AC359" s="15"/>
      <c r="AD359" s="15"/>
      <c r="AE359" s="15"/>
      <c r="AF359" s="15"/>
      <c r="AG359" s="15" t="s">
        <v>41</v>
      </c>
      <c r="AH359" s="15" t="s">
        <v>41</v>
      </c>
      <c r="AI359" s="15" t="s">
        <v>41</v>
      </c>
      <c r="AJ359" s="15" t="s">
        <v>41</v>
      </c>
      <c r="AK359" s="16"/>
      <c r="AL359" s="16"/>
      <c r="AM359" s="15" t="s">
        <v>41</v>
      </c>
    </row>
    <row r="360" spans="1:39" x14ac:dyDescent="0.35">
      <c r="A360" s="15" t="s">
        <v>41</v>
      </c>
      <c r="B360" s="15" t="s">
        <v>41</v>
      </c>
      <c r="C360" s="15" t="s">
        <v>41</v>
      </c>
      <c r="D360" s="15" t="s">
        <v>41</v>
      </c>
      <c r="E360" s="15" t="s">
        <v>41</v>
      </c>
      <c r="F360" s="15" t="s">
        <v>41</v>
      </c>
      <c r="G360" s="16"/>
      <c r="H360" s="15" t="s">
        <v>41</v>
      </c>
      <c r="I360" s="15" t="s">
        <v>41</v>
      </c>
      <c r="J360" s="16"/>
      <c r="K360" s="16"/>
      <c r="L360" s="15" t="s">
        <v>41</v>
      </c>
      <c r="M360" s="156" t="s">
        <v>41</v>
      </c>
      <c r="N360" s="15" t="s">
        <v>41</v>
      </c>
      <c r="O360" s="15" t="s">
        <v>41</v>
      </c>
      <c r="P360" s="15" t="s">
        <v>41</v>
      </c>
      <c r="Q360" s="15" t="s">
        <v>41</v>
      </c>
      <c r="R360" s="15" t="s">
        <v>46</v>
      </c>
      <c r="S360" s="17">
        <v>5520.89</v>
      </c>
      <c r="T360" s="15" t="s">
        <v>41</v>
      </c>
      <c r="U360" s="18"/>
      <c r="V360" s="15" t="s">
        <v>41</v>
      </c>
      <c r="W360" s="15" t="s">
        <v>41</v>
      </c>
      <c r="X360" s="15" t="s">
        <v>41</v>
      </c>
      <c r="Y360" s="15" t="s">
        <v>41</v>
      </c>
      <c r="Z360" s="15" t="s">
        <v>41</v>
      </c>
      <c r="AA360" s="15"/>
      <c r="AB360" s="15"/>
      <c r="AC360" s="15"/>
      <c r="AD360" s="15"/>
      <c r="AE360" s="15"/>
      <c r="AF360" s="15"/>
      <c r="AG360" s="15" t="s">
        <v>41</v>
      </c>
      <c r="AH360" s="15" t="s">
        <v>41</v>
      </c>
      <c r="AI360" s="15" t="s">
        <v>41</v>
      </c>
      <c r="AJ360" s="15" t="s">
        <v>41</v>
      </c>
      <c r="AK360" s="16"/>
      <c r="AL360" s="16"/>
      <c r="AM360" s="15" t="s">
        <v>41</v>
      </c>
    </row>
    <row r="364" spans="1:39" x14ac:dyDescent="0.35">
      <c r="S364" s="10"/>
    </row>
    <row r="365" spans="1:39" x14ac:dyDescent="0.35">
      <c r="S365" s="10"/>
    </row>
    <row r="366" spans="1:39" x14ac:dyDescent="0.35">
      <c r="S366" s="10"/>
    </row>
    <row r="367" spans="1:39" x14ac:dyDescent="0.35">
      <c r="S367" s="10"/>
    </row>
    <row r="368" spans="1:39" x14ac:dyDescent="0.35">
      <c r="S368" s="10"/>
    </row>
    <row r="369" spans="19:19" x14ac:dyDescent="0.35">
      <c r="S369" s="10"/>
    </row>
    <row r="370" spans="19:19" x14ac:dyDescent="0.35">
      <c r="S370" s="10"/>
    </row>
    <row r="371" spans="19:19" x14ac:dyDescent="0.35">
      <c r="S371" s="10"/>
    </row>
    <row r="372" spans="19:19" x14ac:dyDescent="0.35">
      <c r="S372" s="10"/>
    </row>
    <row r="373" spans="19:19" x14ac:dyDescent="0.35">
      <c r="S373" s="10"/>
    </row>
    <row r="374" spans="19:19" x14ac:dyDescent="0.35">
      <c r="S374" s="10"/>
    </row>
    <row r="375" spans="19:19" x14ac:dyDescent="0.35">
      <c r="S375" s="10"/>
    </row>
    <row r="376" spans="19:19" x14ac:dyDescent="0.35">
      <c r="S376" s="10"/>
    </row>
    <row r="377" spans="19:19" x14ac:dyDescent="0.35">
      <c r="S377" s="10"/>
    </row>
    <row r="378" spans="19:19" x14ac:dyDescent="0.35">
      <c r="S378" s="10"/>
    </row>
    <row r="379" spans="19:19" x14ac:dyDescent="0.35">
      <c r="S379" s="10"/>
    </row>
    <row r="380" spans="19:19" x14ac:dyDescent="0.35">
      <c r="S380" s="10"/>
    </row>
    <row r="381" spans="19:19" x14ac:dyDescent="0.35">
      <c r="S381" s="10"/>
    </row>
    <row r="382" spans="19:19" x14ac:dyDescent="0.35">
      <c r="S382" s="10"/>
    </row>
    <row r="383" spans="19:19" x14ac:dyDescent="0.35">
      <c r="S383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D6CE-B1F5-4A1C-A022-50F28D437AD6}">
  <dimension ref="A1:R280"/>
  <sheetViews>
    <sheetView tabSelected="1" zoomScale="70" zoomScaleNormal="70" workbookViewId="0">
      <selection activeCell="L1" sqref="L1"/>
    </sheetView>
  </sheetViews>
  <sheetFormatPr defaultColWidth="20.90625" defaultRowHeight="14.5" x14ac:dyDescent="0.35"/>
  <cols>
    <col min="1" max="1" width="16.36328125" style="21" bestFit="1" customWidth="1"/>
    <col min="2" max="2" width="16.7265625" bestFit="1" customWidth="1"/>
    <col min="3" max="3" width="9.90625" hidden="1" customWidth="1"/>
    <col min="4" max="4" width="10.90625" hidden="1" customWidth="1"/>
    <col min="5" max="5" width="146" hidden="1" customWidth="1"/>
    <col min="6" max="6" width="37.26953125" hidden="1" customWidth="1"/>
    <col min="7" max="7" width="12.1796875" style="20" hidden="1" customWidth="1"/>
    <col min="8" max="8" width="12.54296875" style="20" hidden="1" customWidth="1"/>
    <col min="9" max="9" width="23.81640625" hidden="1" customWidth="1"/>
    <col min="10" max="10" width="12.1796875" bestFit="1" customWidth="1"/>
    <col min="11" max="11" width="12.7265625" bestFit="1" customWidth="1"/>
    <col min="12" max="12" width="24" bestFit="1" customWidth="1"/>
    <col min="13" max="13" width="17.7265625" hidden="1" customWidth="1"/>
    <col min="14" max="14" width="29.81640625" hidden="1" customWidth="1"/>
    <col min="15" max="15" width="10.90625" hidden="1" customWidth="1"/>
    <col min="16" max="16" width="7.08984375" hidden="1" customWidth="1"/>
    <col min="17" max="17" width="11" hidden="1" customWidth="1"/>
    <col min="18" max="18" width="10.36328125" bestFit="1" customWidth="1"/>
  </cols>
  <sheetData>
    <row r="1" spans="1:18" x14ac:dyDescent="0.35">
      <c r="A1" s="39" t="s">
        <v>546</v>
      </c>
      <c r="B1" s="39" t="s">
        <v>2</v>
      </c>
      <c r="C1" s="39" t="s">
        <v>547</v>
      </c>
      <c r="D1" s="39" t="s">
        <v>548</v>
      </c>
      <c r="E1" s="39" t="s">
        <v>549</v>
      </c>
      <c r="F1" s="39" t="s">
        <v>550</v>
      </c>
      <c r="G1" s="39" t="s">
        <v>551</v>
      </c>
      <c r="H1" s="39" t="s">
        <v>552</v>
      </c>
      <c r="I1" s="39" t="s">
        <v>553</v>
      </c>
      <c r="J1" s="39" t="s">
        <v>554</v>
      </c>
      <c r="K1" s="39" t="s">
        <v>555</v>
      </c>
      <c r="L1" s="39" t="s">
        <v>556</v>
      </c>
      <c r="M1" s="39" t="s">
        <v>557</v>
      </c>
      <c r="N1" s="39" t="s">
        <v>558</v>
      </c>
      <c r="O1" s="43" t="s">
        <v>545</v>
      </c>
      <c r="P1" s="43" t="s">
        <v>559</v>
      </c>
      <c r="Q1" s="43" t="s">
        <v>549</v>
      </c>
    </row>
    <row r="2" spans="1:18" x14ac:dyDescent="0.35">
      <c r="A2" s="40">
        <v>246779410009</v>
      </c>
      <c r="B2" s="41">
        <v>45707</v>
      </c>
      <c r="C2" s="23" t="s">
        <v>560</v>
      </c>
      <c r="D2" s="23" t="s">
        <v>609</v>
      </c>
      <c r="E2" s="23" t="s">
        <v>562</v>
      </c>
      <c r="F2" s="23" t="s">
        <v>563</v>
      </c>
      <c r="G2" s="44"/>
      <c r="H2" s="44">
        <v>91693.278399999996</v>
      </c>
      <c r="I2" s="44">
        <v>-1027809.8356</v>
      </c>
      <c r="J2" s="44"/>
      <c r="K2" s="44">
        <v>1071.432</v>
      </c>
      <c r="L2" s="44">
        <v>-12009.933199999999</v>
      </c>
      <c r="M2" s="44">
        <v>0</v>
      </c>
      <c r="N2" s="23" t="s">
        <v>564</v>
      </c>
      <c r="O2" s="44"/>
      <c r="P2" s="45"/>
      <c r="Q2" s="23"/>
      <c r="R2" s="5">
        <f>L2+K2</f>
        <v>-10938.501199999999</v>
      </c>
    </row>
    <row r="3" spans="1:18" s="77" customFormat="1" x14ac:dyDescent="0.35">
      <c r="A3" s="40">
        <v>246779410276</v>
      </c>
      <c r="B3" s="41">
        <v>45708</v>
      </c>
      <c r="C3" s="23" t="s">
        <v>560</v>
      </c>
      <c r="D3" s="23" t="s">
        <v>561</v>
      </c>
      <c r="E3" s="23" t="s">
        <v>562</v>
      </c>
      <c r="F3" s="23" t="s">
        <v>563</v>
      </c>
      <c r="G3" s="44"/>
      <c r="H3" s="44">
        <v>91693.278399999996</v>
      </c>
      <c r="I3" s="44">
        <v>-216491.6692</v>
      </c>
      <c r="J3" s="44"/>
      <c r="K3" s="44">
        <v>1071.432</v>
      </c>
      <c r="L3" s="44">
        <v>-2529.6995999999999</v>
      </c>
      <c r="M3" s="44">
        <v>0</v>
      </c>
      <c r="N3" s="23" t="s">
        <v>564</v>
      </c>
      <c r="O3" s="44"/>
      <c r="P3" s="45"/>
      <c r="Q3" s="23"/>
    </row>
    <row r="4" spans="1:18" x14ac:dyDescent="0.35">
      <c r="A4" s="73">
        <v>246779410209</v>
      </c>
      <c r="B4" s="42">
        <v>45708</v>
      </c>
      <c r="C4" s="74" t="s">
        <v>560</v>
      </c>
      <c r="D4" s="74" t="s">
        <v>565</v>
      </c>
      <c r="E4" s="74" t="s">
        <v>562</v>
      </c>
      <c r="F4" s="74" t="s">
        <v>563</v>
      </c>
      <c r="G4" s="75"/>
      <c r="H4" s="75">
        <v>89852.772200000007</v>
      </c>
      <c r="I4" s="75">
        <v>-306344.44140000001</v>
      </c>
      <c r="J4" s="75"/>
      <c r="K4" s="75">
        <v>1049.931</v>
      </c>
      <c r="L4" s="75">
        <v>-3579.6306</v>
      </c>
      <c r="M4" s="75">
        <v>0</v>
      </c>
      <c r="N4" s="74" t="s">
        <v>564</v>
      </c>
      <c r="O4" s="75"/>
      <c r="P4" s="76"/>
      <c r="Q4" s="74"/>
    </row>
    <row r="5" spans="1:18" s="77" customFormat="1" x14ac:dyDescent="0.35">
      <c r="A5" s="40">
        <v>246779414604</v>
      </c>
      <c r="B5" s="41">
        <v>45708</v>
      </c>
      <c r="C5" s="23" t="s">
        <v>560</v>
      </c>
      <c r="D5" s="23" t="s">
        <v>566</v>
      </c>
      <c r="E5" s="23" t="s">
        <v>562</v>
      </c>
      <c r="F5" s="23" t="s">
        <v>567</v>
      </c>
      <c r="G5" s="44"/>
      <c r="H5" s="44">
        <v>38416.774799999999</v>
      </c>
      <c r="I5" s="44">
        <v>-254908.44399999999</v>
      </c>
      <c r="J5" s="44"/>
      <c r="K5" s="44">
        <v>448.89879999999999</v>
      </c>
      <c r="L5" s="44">
        <v>-2978.5983999999999</v>
      </c>
      <c r="M5" s="44">
        <v>0</v>
      </c>
      <c r="N5" s="23" t="s">
        <v>564</v>
      </c>
      <c r="O5" s="44"/>
      <c r="P5" s="45"/>
      <c r="Q5" s="23"/>
    </row>
    <row r="6" spans="1:18" x14ac:dyDescent="0.35">
      <c r="A6" s="73">
        <v>246779410209</v>
      </c>
      <c r="B6" s="42">
        <v>45708</v>
      </c>
      <c r="C6" s="74" t="s">
        <v>560</v>
      </c>
      <c r="D6" s="74" t="s">
        <v>568</v>
      </c>
      <c r="E6" s="74" t="s">
        <v>562</v>
      </c>
      <c r="F6" s="74" t="s">
        <v>569</v>
      </c>
      <c r="G6" s="75"/>
      <c r="H6" s="75">
        <v>34244.169800000003</v>
      </c>
      <c r="I6" s="75">
        <v>-254206.9952</v>
      </c>
      <c r="J6" s="75"/>
      <c r="K6" s="75">
        <v>400.1438</v>
      </c>
      <c r="L6" s="75">
        <v>-2970.4056</v>
      </c>
      <c r="M6" s="75">
        <v>0</v>
      </c>
      <c r="N6" s="74" t="s">
        <v>564</v>
      </c>
      <c r="O6" s="75"/>
      <c r="P6" s="76"/>
      <c r="Q6" s="74"/>
    </row>
    <row r="7" spans="1:18" x14ac:dyDescent="0.35">
      <c r="A7" s="40">
        <v>246779410308</v>
      </c>
      <c r="B7" s="42">
        <v>45708</v>
      </c>
      <c r="C7" s="23" t="s">
        <v>560</v>
      </c>
      <c r="D7" s="23" t="s">
        <v>570</v>
      </c>
      <c r="E7" s="23" t="s">
        <v>562</v>
      </c>
      <c r="F7" s="23" t="s">
        <v>569</v>
      </c>
      <c r="G7" s="44"/>
      <c r="H7" s="44">
        <v>34945.618600000002</v>
      </c>
      <c r="I7" s="44">
        <v>-289152.61379999999</v>
      </c>
      <c r="J7" s="44"/>
      <c r="K7" s="44">
        <v>408.33659999999998</v>
      </c>
      <c r="L7" s="44">
        <v>-3378.7422000000001</v>
      </c>
      <c r="M7" s="44">
        <v>0</v>
      </c>
      <c r="N7" s="23" t="s">
        <v>564</v>
      </c>
      <c r="O7" s="44"/>
      <c r="P7" s="45"/>
      <c r="Q7" s="23"/>
    </row>
    <row r="8" spans="1:18" x14ac:dyDescent="0.35">
      <c r="A8" s="40">
        <v>246779410097</v>
      </c>
      <c r="B8" s="41">
        <v>45708</v>
      </c>
      <c r="C8" s="23" t="s">
        <v>560</v>
      </c>
      <c r="D8" s="23" t="s">
        <v>571</v>
      </c>
      <c r="E8" s="23" t="s">
        <v>562</v>
      </c>
      <c r="F8" s="23" t="s">
        <v>563</v>
      </c>
      <c r="G8" s="44"/>
      <c r="H8" s="44">
        <v>91693.278399999996</v>
      </c>
      <c r="I8" s="44">
        <v>-380845.8922</v>
      </c>
      <c r="J8" s="44"/>
      <c r="K8" s="44">
        <v>1071.432</v>
      </c>
      <c r="L8" s="44">
        <v>-4450.1742000000004</v>
      </c>
      <c r="M8" s="44">
        <v>0</v>
      </c>
      <c r="N8" s="23" t="s">
        <v>564</v>
      </c>
      <c r="O8" s="44"/>
      <c r="P8" s="45"/>
      <c r="Q8" s="23"/>
    </row>
    <row r="9" spans="1:18" x14ac:dyDescent="0.35">
      <c r="A9" s="40">
        <v>246779410123</v>
      </c>
      <c r="B9" s="41">
        <v>45708</v>
      </c>
      <c r="C9" s="23" t="s">
        <v>560</v>
      </c>
      <c r="D9" s="23" t="s">
        <v>574</v>
      </c>
      <c r="E9" s="23" t="s">
        <v>562</v>
      </c>
      <c r="F9" s="23" t="s">
        <v>569</v>
      </c>
      <c r="G9" s="44"/>
      <c r="H9" s="44">
        <v>34945.618600000002</v>
      </c>
      <c r="I9" s="44">
        <v>-422343.02039999998</v>
      </c>
      <c r="J9" s="44"/>
      <c r="K9" s="44">
        <v>408.33659999999998</v>
      </c>
      <c r="L9" s="44">
        <v>-4935.0684000000001</v>
      </c>
      <c r="M9" s="44">
        <v>0</v>
      </c>
      <c r="N9" s="23" t="s">
        <v>564</v>
      </c>
      <c r="O9" s="44"/>
      <c r="P9" s="45"/>
      <c r="Q9" s="23"/>
    </row>
    <row r="10" spans="1:18" x14ac:dyDescent="0.35">
      <c r="A10" s="40">
        <v>246779410252</v>
      </c>
      <c r="B10" s="41">
        <v>45708</v>
      </c>
      <c r="C10" s="23" t="s">
        <v>560</v>
      </c>
      <c r="D10" s="23" t="s">
        <v>602</v>
      </c>
      <c r="E10" s="23" t="s">
        <v>562</v>
      </c>
      <c r="F10" s="23" t="s">
        <v>569</v>
      </c>
      <c r="G10" s="44"/>
      <c r="H10" s="44">
        <v>33554.7022</v>
      </c>
      <c r="I10" s="44">
        <v>-670976.66680000001</v>
      </c>
      <c r="J10" s="44"/>
      <c r="K10" s="44">
        <v>392.08819999999997</v>
      </c>
      <c r="L10" s="44">
        <v>-7840.3468000000003</v>
      </c>
      <c r="M10" s="44">
        <v>0</v>
      </c>
      <c r="N10" s="23" t="s">
        <v>564</v>
      </c>
      <c r="O10" s="44"/>
      <c r="P10" s="45"/>
      <c r="Q10" s="23"/>
    </row>
    <row r="11" spans="1:18" x14ac:dyDescent="0.35">
      <c r="A11" s="40">
        <v>246779410166</v>
      </c>
      <c r="B11" s="41">
        <v>45708</v>
      </c>
      <c r="C11" s="23" t="s">
        <v>560</v>
      </c>
      <c r="D11" s="23" t="s">
        <v>603</v>
      </c>
      <c r="E11" s="23" t="s">
        <v>562</v>
      </c>
      <c r="F11" s="23" t="s">
        <v>569</v>
      </c>
      <c r="G11" s="44"/>
      <c r="H11" s="44">
        <v>34945.618600000002</v>
      </c>
      <c r="I11" s="44">
        <v>-705922.28540000005</v>
      </c>
      <c r="J11" s="44"/>
      <c r="K11" s="44">
        <v>408.33659999999998</v>
      </c>
      <c r="L11" s="44">
        <v>-8248.6833999999999</v>
      </c>
      <c r="M11" s="44">
        <v>0</v>
      </c>
      <c r="N11" s="23" t="s">
        <v>564</v>
      </c>
      <c r="O11" s="44"/>
      <c r="P11" s="45"/>
      <c r="Q11" s="23"/>
    </row>
    <row r="12" spans="1:18" x14ac:dyDescent="0.35">
      <c r="A12" s="40">
        <v>246779410140</v>
      </c>
      <c r="B12" s="41">
        <v>45708</v>
      </c>
      <c r="C12" s="23" t="s">
        <v>560</v>
      </c>
      <c r="D12" s="23" t="s">
        <v>604</v>
      </c>
      <c r="E12" s="23" t="s">
        <v>562</v>
      </c>
      <c r="F12" s="23" t="s">
        <v>563</v>
      </c>
      <c r="G12" s="44"/>
      <c r="H12" s="44">
        <v>91693.278399999996</v>
      </c>
      <c r="I12" s="44">
        <v>-797615.5638</v>
      </c>
      <c r="J12" s="44"/>
      <c r="K12" s="44">
        <v>1071.432</v>
      </c>
      <c r="L12" s="44">
        <v>-9320.1154000000006</v>
      </c>
      <c r="M12" s="44">
        <v>0</v>
      </c>
      <c r="N12" s="23" t="s">
        <v>564</v>
      </c>
      <c r="O12" s="44"/>
      <c r="P12" s="45"/>
      <c r="Q12" s="23"/>
    </row>
    <row r="13" spans="1:18" x14ac:dyDescent="0.35">
      <c r="A13" s="40">
        <v>246779410226</v>
      </c>
      <c r="B13" s="41">
        <v>45708</v>
      </c>
      <c r="C13" s="23" t="s">
        <v>560</v>
      </c>
      <c r="D13" s="23" t="s">
        <v>605</v>
      </c>
      <c r="E13" s="23" t="s">
        <v>562</v>
      </c>
      <c r="F13" s="23" t="s">
        <v>563</v>
      </c>
      <c r="G13" s="44"/>
      <c r="H13" s="44">
        <v>88045.209600000002</v>
      </c>
      <c r="I13" s="44">
        <v>-885660.77339999995</v>
      </c>
      <c r="J13" s="44"/>
      <c r="K13" s="44">
        <v>1028.808</v>
      </c>
      <c r="L13" s="44">
        <v>-10348.9234</v>
      </c>
      <c r="M13" s="44">
        <v>0</v>
      </c>
      <c r="N13" s="23" t="s">
        <v>564</v>
      </c>
      <c r="O13" s="44"/>
      <c r="P13" s="45"/>
      <c r="Q13" s="23"/>
    </row>
    <row r="14" spans="1:18" x14ac:dyDescent="0.35">
      <c r="A14" s="40">
        <v>246779410077</v>
      </c>
      <c r="B14" s="41">
        <v>45708</v>
      </c>
      <c r="C14" s="23" t="s">
        <v>560</v>
      </c>
      <c r="D14" s="23" t="s">
        <v>610</v>
      </c>
      <c r="E14" s="23" t="s">
        <v>562</v>
      </c>
      <c r="F14" s="23" t="s">
        <v>569</v>
      </c>
      <c r="G14" s="44"/>
      <c r="H14" s="44">
        <v>34945.618600000002</v>
      </c>
      <c r="I14" s="44">
        <v>-1062755.4542</v>
      </c>
      <c r="J14" s="44"/>
      <c r="K14" s="44">
        <v>408.33659999999998</v>
      </c>
      <c r="L14" s="44">
        <v>-12418.2698</v>
      </c>
      <c r="M14" s="44">
        <v>0</v>
      </c>
      <c r="N14" s="23" t="s">
        <v>564</v>
      </c>
      <c r="O14" s="44"/>
      <c r="P14" s="45"/>
      <c r="Q14" s="23"/>
    </row>
    <row r="15" spans="1:18" x14ac:dyDescent="0.35">
      <c r="A15" s="40">
        <v>246779410029</v>
      </c>
      <c r="B15" s="41">
        <v>45708</v>
      </c>
      <c r="C15" s="23" t="s">
        <v>560</v>
      </c>
      <c r="D15" s="23" t="s">
        <v>625</v>
      </c>
      <c r="E15" s="23" t="s">
        <v>562</v>
      </c>
      <c r="F15" s="23" t="s">
        <v>563</v>
      </c>
      <c r="G15" s="44"/>
      <c r="H15" s="44">
        <v>91693.278399999996</v>
      </c>
      <c r="I15" s="44">
        <v>-1575456.345</v>
      </c>
      <c r="J15" s="44"/>
      <c r="K15" s="44">
        <v>1071.432</v>
      </c>
      <c r="L15" s="44">
        <v>-18409.178199999998</v>
      </c>
      <c r="M15" s="44">
        <v>0</v>
      </c>
      <c r="N15" s="23" t="s">
        <v>564</v>
      </c>
      <c r="O15" s="44"/>
      <c r="P15" s="45"/>
      <c r="Q15" s="23"/>
    </row>
    <row r="16" spans="1:18" x14ac:dyDescent="0.35">
      <c r="A16" s="40">
        <v>24677910055</v>
      </c>
      <c r="B16" s="41">
        <v>45708</v>
      </c>
      <c r="C16" s="23" t="s">
        <v>560</v>
      </c>
      <c r="D16" s="23" t="s">
        <v>626</v>
      </c>
      <c r="E16" s="23" t="s">
        <v>562</v>
      </c>
      <c r="F16" s="23" t="s">
        <v>569</v>
      </c>
      <c r="G16" s="44"/>
      <c r="H16" s="44">
        <v>34945.618600000002</v>
      </c>
      <c r="I16" s="44">
        <v>-1610401.9635999999</v>
      </c>
      <c r="J16" s="44"/>
      <c r="K16" s="44">
        <v>408.33659999999998</v>
      </c>
      <c r="L16" s="44">
        <v>-18817.514800000001</v>
      </c>
      <c r="M16" s="44">
        <v>0</v>
      </c>
      <c r="N16" s="23" t="s">
        <v>564</v>
      </c>
      <c r="O16" s="44"/>
      <c r="P16" s="45"/>
      <c r="Q16" s="23"/>
    </row>
    <row r="17" spans="1:17" x14ac:dyDescent="0.35">
      <c r="A17" s="40">
        <v>246779410324</v>
      </c>
      <c r="B17" s="41">
        <v>45713</v>
      </c>
      <c r="C17" s="23" t="s">
        <v>560</v>
      </c>
      <c r="D17" s="23" t="s">
        <v>629</v>
      </c>
      <c r="E17" s="23" t="s">
        <v>562</v>
      </c>
      <c r="F17" s="23" t="s">
        <v>577</v>
      </c>
      <c r="G17" s="44"/>
      <c r="H17" s="44">
        <v>134788</v>
      </c>
      <c r="I17" s="44">
        <v>-1754755.3626000001</v>
      </c>
      <c r="J17" s="44"/>
      <c r="K17" s="44">
        <v>1575</v>
      </c>
      <c r="L17" s="44">
        <v>-20504.283800000001</v>
      </c>
      <c r="M17" s="44">
        <v>0</v>
      </c>
      <c r="N17" s="23" t="s">
        <v>564</v>
      </c>
      <c r="O17" s="44"/>
      <c r="P17" s="45"/>
      <c r="Q17" s="23"/>
    </row>
    <row r="18" spans="1:17" x14ac:dyDescent="0.35">
      <c r="A18" s="40">
        <v>246779410425</v>
      </c>
      <c r="B18" s="41">
        <v>45719</v>
      </c>
      <c r="C18" s="23" t="s">
        <v>560</v>
      </c>
      <c r="D18" s="23" t="s">
        <v>646</v>
      </c>
      <c r="E18" s="23" t="s">
        <v>562</v>
      </c>
      <c r="F18" s="23" t="s">
        <v>563</v>
      </c>
      <c r="G18" s="44"/>
      <c r="H18" s="44">
        <v>129952.43180000001</v>
      </c>
      <c r="I18" s="44">
        <v>-1982437.0866</v>
      </c>
      <c r="J18" s="44"/>
      <c r="K18" s="44">
        <v>1518.489</v>
      </c>
      <c r="L18" s="44">
        <v>-23164.7238</v>
      </c>
      <c r="M18" s="44">
        <v>0</v>
      </c>
      <c r="N18" s="23" t="s">
        <v>564</v>
      </c>
      <c r="O18" s="44"/>
      <c r="P18" s="45"/>
      <c r="Q18" s="23"/>
    </row>
    <row r="19" spans="1:17" x14ac:dyDescent="0.35">
      <c r="A19" s="40">
        <v>246779410401</v>
      </c>
      <c r="B19" s="41">
        <v>45719</v>
      </c>
      <c r="C19" s="23" t="s">
        <v>560</v>
      </c>
      <c r="D19" s="23" t="s">
        <v>647</v>
      </c>
      <c r="E19" s="23" t="s">
        <v>562</v>
      </c>
      <c r="F19" s="23" t="s">
        <v>563</v>
      </c>
      <c r="G19" s="44"/>
      <c r="H19" s="44">
        <v>100048.99679999999</v>
      </c>
      <c r="I19" s="44">
        <v>-2082486.0833999999</v>
      </c>
      <c r="J19" s="44"/>
      <c r="K19" s="44">
        <v>1169.0640000000001</v>
      </c>
      <c r="L19" s="44">
        <v>-24333.787799999998</v>
      </c>
      <c r="M19" s="44">
        <v>0</v>
      </c>
      <c r="N19" s="23" t="s">
        <v>564</v>
      </c>
      <c r="O19" s="44"/>
      <c r="P19" s="45"/>
      <c r="Q19" s="23"/>
    </row>
    <row r="20" spans="1:17" x14ac:dyDescent="0.35">
      <c r="A20" s="40">
        <v>246779410376</v>
      </c>
      <c r="B20" s="41">
        <v>45719</v>
      </c>
      <c r="C20" s="23" t="s">
        <v>560</v>
      </c>
      <c r="D20" s="23" t="s">
        <v>648</v>
      </c>
      <c r="E20" s="23" t="s">
        <v>562</v>
      </c>
      <c r="F20" s="23" t="s">
        <v>563</v>
      </c>
      <c r="G20" s="44"/>
      <c r="H20" s="44">
        <v>54789.332999999999</v>
      </c>
      <c r="I20" s="44">
        <v>-2137275.4164</v>
      </c>
      <c r="J20" s="44"/>
      <c r="K20" s="44">
        <v>640.21500000000003</v>
      </c>
      <c r="L20" s="44">
        <v>-24974.002799999998</v>
      </c>
      <c r="M20" s="44">
        <v>0</v>
      </c>
      <c r="N20" s="23" t="s">
        <v>564</v>
      </c>
      <c r="O20" s="44"/>
      <c r="P20" s="45"/>
      <c r="Q20" s="23"/>
    </row>
    <row r="21" spans="1:17" x14ac:dyDescent="0.35">
      <c r="A21" s="40">
        <v>246779410893</v>
      </c>
      <c r="B21" s="41">
        <v>45722</v>
      </c>
      <c r="C21" s="23" t="s">
        <v>560</v>
      </c>
      <c r="D21" s="23" t="s">
        <v>630</v>
      </c>
      <c r="E21" s="23" t="s">
        <v>562</v>
      </c>
      <c r="F21" s="23" t="s">
        <v>563</v>
      </c>
      <c r="G21" s="44"/>
      <c r="H21" s="44">
        <v>13647.064399999999</v>
      </c>
      <c r="I21" s="44">
        <v>-1775032.5260000001</v>
      </c>
      <c r="J21" s="44"/>
      <c r="K21" s="44">
        <v>159.46199999999999</v>
      </c>
      <c r="L21" s="44">
        <v>-20741.214800000002</v>
      </c>
      <c r="M21" s="44">
        <v>0</v>
      </c>
      <c r="N21" s="23" t="s">
        <v>564</v>
      </c>
      <c r="O21" s="44"/>
      <c r="P21" s="45"/>
      <c r="Q21" s="23"/>
    </row>
    <row r="22" spans="1:17" x14ac:dyDescent="0.35">
      <c r="A22" s="40">
        <v>246779410871</v>
      </c>
      <c r="B22" s="42">
        <v>45722</v>
      </c>
      <c r="C22" s="23" t="s">
        <v>560</v>
      </c>
      <c r="D22" s="23" t="s">
        <v>631</v>
      </c>
      <c r="E22" s="23" t="s">
        <v>562</v>
      </c>
      <c r="F22" s="23" t="s">
        <v>563</v>
      </c>
      <c r="G22" s="44"/>
      <c r="H22" s="44">
        <v>3274.0057999999999</v>
      </c>
      <c r="I22" s="44">
        <v>-1778306.5318</v>
      </c>
      <c r="J22" s="44"/>
      <c r="K22" s="44">
        <v>38.259</v>
      </c>
      <c r="L22" s="44">
        <v>-20779.4738</v>
      </c>
      <c r="M22" s="44">
        <v>0</v>
      </c>
      <c r="N22" s="23" t="s">
        <v>564</v>
      </c>
      <c r="O22" s="44"/>
      <c r="P22" s="45"/>
      <c r="Q22" s="23"/>
    </row>
    <row r="23" spans="1:17" x14ac:dyDescent="0.35">
      <c r="A23" s="40">
        <v>246779411301</v>
      </c>
      <c r="B23" s="41">
        <v>45729</v>
      </c>
      <c r="C23" s="23" t="s">
        <v>560</v>
      </c>
      <c r="D23" s="23" t="s">
        <v>616</v>
      </c>
      <c r="E23" s="23" t="s">
        <v>562</v>
      </c>
      <c r="F23" s="23" t="s">
        <v>573</v>
      </c>
      <c r="G23" s="44"/>
      <c r="H23" s="44">
        <v>7129.3</v>
      </c>
      <c r="I23" s="44">
        <v>-1329744.3936000001</v>
      </c>
      <c r="J23" s="44"/>
      <c r="K23" s="44">
        <v>83.3</v>
      </c>
      <c r="L23" s="44">
        <v>-15538.031199999999</v>
      </c>
      <c r="M23" s="44">
        <v>0</v>
      </c>
      <c r="N23" s="23" t="s">
        <v>564</v>
      </c>
      <c r="O23" s="44"/>
      <c r="P23" s="45"/>
      <c r="Q23" s="23"/>
    </row>
    <row r="24" spans="1:17" x14ac:dyDescent="0.35">
      <c r="A24" s="40">
        <v>246779411315</v>
      </c>
      <c r="B24" s="41">
        <v>45729</v>
      </c>
      <c r="C24" s="23" t="s">
        <v>560</v>
      </c>
      <c r="D24" s="23" t="s">
        <v>617</v>
      </c>
      <c r="E24" s="23" t="s">
        <v>562</v>
      </c>
      <c r="F24" s="23" t="s">
        <v>573</v>
      </c>
      <c r="G24" s="44"/>
      <c r="H24" s="44">
        <v>2935.3</v>
      </c>
      <c r="I24" s="44">
        <v>-1332679.6936000001</v>
      </c>
      <c r="J24" s="44"/>
      <c r="K24" s="44">
        <v>34.299999999999997</v>
      </c>
      <c r="L24" s="44">
        <v>-15572.331200000001</v>
      </c>
      <c r="M24" s="44">
        <v>0</v>
      </c>
      <c r="N24" s="23" t="s">
        <v>564</v>
      </c>
      <c r="O24" s="44"/>
      <c r="P24" s="45"/>
      <c r="Q24" s="23"/>
    </row>
    <row r="25" spans="1:17" x14ac:dyDescent="0.35">
      <c r="A25" s="40">
        <v>246779411279</v>
      </c>
      <c r="B25" s="41">
        <v>45729</v>
      </c>
      <c r="C25" s="23" t="s">
        <v>560</v>
      </c>
      <c r="D25" s="23" t="s">
        <v>627</v>
      </c>
      <c r="E25" s="23" t="s">
        <v>562</v>
      </c>
      <c r="F25" s="23" t="s">
        <v>573</v>
      </c>
      <c r="G25" s="44"/>
      <c r="H25" s="44">
        <v>2935.3</v>
      </c>
      <c r="I25" s="44">
        <v>-1613337.2635999999</v>
      </c>
      <c r="J25" s="44"/>
      <c r="K25" s="44">
        <v>34.299999999999997</v>
      </c>
      <c r="L25" s="44">
        <v>-18851.8148</v>
      </c>
      <c r="M25" s="44">
        <v>0</v>
      </c>
      <c r="N25" s="23" t="s">
        <v>564</v>
      </c>
      <c r="O25" s="44"/>
      <c r="P25" s="45"/>
      <c r="Q25" s="23"/>
    </row>
    <row r="26" spans="1:17" x14ac:dyDescent="0.35">
      <c r="A26" s="40">
        <v>246779411449</v>
      </c>
      <c r="B26" s="41">
        <v>45730</v>
      </c>
      <c r="C26" s="23" t="s">
        <v>560</v>
      </c>
      <c r="D26" s="23" t="s">
        <v>611</v>
      </c>
      <c r="E26" s="23" t="s">
        <v>562</v>
      </c>
      <c r="F26" s="23" t="s">
        <v>573</v>
      </c>
      <c r="G26" s="44"/>
      <c r="H26" s="44">
        <v>79318.285000000003</v>
      </c>
      <c r="I26" s="44">
        <v>-1142073.7392</v>
      </c>
      <c r="J26" s="44"/>
      <c r="K26" s="44">
        <v>926.83500000000004</v>
      </c>
      <c r="L26" s="44">
        <v>-13345.104799999999</v>
      </c>
      <c r="M26" s="44">
        <v>0</v>
      </c>
      <c r="N26" s="23" t="s">
        <v>564</v>
      </c>
      <c r="O26" s="44"/>
      <c r="P26" s="45"/>
      <c r="Q26" s="23"/>
    </row>
    <row r="27" spans="1:17" x14ac:dyDescent="0.35">
      <c r="A27" s="40">
        <v>246779412238</v>
      </c>
      <c r="B27" s="42">
        <v>45730</v>
      </c>
      <c r="C27" s="23" t="s">
        <v>560</v>
      </c>
      <c r="D27" s="23" t="s">
        <v>612</v>
      </c>
      <c r="E27" s="23" t="s">
        <v>562</v>
      </c>
      <c r="F27" s="23" t="s">
        <v>573</v>
      </c>
      <c r="G27" s="44"/>
      <c r="H27" s="44">
        <v>79318.285000000003</v>
      </c>
      <c r="I27" s="44">
        <v>-1221392.0242000001</v>
      </c>
      <c r="J27" s="44"/>
      <c r="K27" s="44">
        <v>926.83500000000004</v>
      </c>
      <c r="L27" s="44">
        <v>-14271.9398</v>
      </c>
      <c r="M27" s="44">
        <v>0</v>
      </c>
      <c r="N27" s="23" t="s">
        <v>564</v>
      </c>
      <c r="O27" s="44"/>
      <c r="P27" s="45"/>
      <c r="Q27" s="23"/>
    </row>
    <row r="28" spans="1:17" x14ac:dyDescent="0.35">
      <c r="A28" s="40">
        <v>246779411515</v>
      </c>
      <c r="B28" s="41">
        <v>45730</v>
      </c>
      <c r="C28" s="23" t="s">
        <v>560</v>
      </c>
      <c r="D28" s="23" t="s">
        <v>637</v>
      </c>
      <c r="E28" s="23" t="s">
        <v>562</v>
      </c>
      <c r="F28" s="23" t="s">
        <v>573</v>
      </c>
      <c r="G28" s="44"/>
      <c r="H28" s="44">
        <v>8387</v>
      </c>
      <c r="I28" s="44">
        <v>-1815791.5127999999</v>
      </c>
      <c r="J28" s="44"/>
      <c r="K28" s="44">
        <v>98</v>
      </c>
      <c r="L28" s="44">
        <v>-21217.484799999998</v>
      </c>
      <c r="M28" s="44">
        <v>0</v>
      </c>
      <c r="N28" s="23" t="s">
        <v>564</v>
      </c>
      <c r="O28" s="44"/>
      <c r="P28" s="45"/>
      <c r="Q28" s="23"/>
    </row>
    <row r="29" spans="1:17" x14ac:dyDescent="0.35">
      <c r="A29" s="40">
        <v>246779411940</v>
      </c>
      <c r="B29" s="41">
        <v>45733</v>
      </c>
      <c r="C29" s="23" t="s">
        <v>560</v>
      </c>
      <c r="D29" s="23" t="s">
        <v>575</v>
      </c>
      <c r="E29" s="23" t="s">
        <v>562</v>
      </c>
      <c r="F29" s="23" t="s">
        <v>573</v>
      </c>
      <c r="G29" s="44"/>
      <c r="H29" s="44">
        <v>4422.6333999999997</v>
      </c>
      <c r="I29" s="44">
        <v>-426765.65379999997</v>
      </c>
      <c r="J29" s="44"/>
      <c r="K29" s="44">
        <v>51.675400000000003</v>
      </c>
      <c r="L29" s="44">
        <v>-4986.7438000000002</v>
      </c>
      <c r="M29" s="44">
        <v>0</v>
      </c>
      <c r="N29" s="23" t="s">
        <v>564</v>
      </c>
      <c r="O29" s="44"/>
      <c r="P29" s="45"/>
      <c r="Q29" s="23"/>
    </row>
    <row r="30" spans="1:17" x14ac:dyDescent="0.35">
      <c r="A30" s="40">
        <v>246779411941</v>
      </c>
      <c r="B30" s="41">
        <v>45733</v>
      </c>
      <c r="C30" s="23" t="s">
        <v>560</v>
      </c>
      <c r="D30" s="23" t="s">
        <v>578</v>
      </c>
      <c r="E30" s="23" t="s">
        <v>562</v>
      </c>
      <c r="F30" s="23" t="s">
        <v>573</v>
      </c>
      <c r="G30" s="44"/>
      <c r="H30" s="44">
        <v>6375.7915999999996</v>
      </c>
      <c r="I30" s="44">
        <v>-580253.44539999997</v>
      </c>
      <c r="J30" s="44"/>
      <c r="K30" s="44">
        <v>74.499600000000001</v>
      </c>
      <c r="L30" s="44">
        <v>-6780.2434000000003</v>
      </c>
      <c r="M30" s="44">
        <v>0</v>
      </c>
      <c r="N30" s="23" t="s">
        <v>564</v>
      </c>
      <c r="O30" s="44"/>
      <c r="P30" s="45"/>
      <c r="Q30" s="23"/>
    </row>
    <row r="31" spans="1:17" x14ac:dyDescent="0.35">
      <c r="A31" s="40">
        <v>246779411938</v>
      </c>
      <c r="B31" s="41">
        <v>45733</v>
      </c>
      <c r="C31" s="23" t="s">
        <v>560</v>
      </c>
      <c r="D31" s="23" t="s">
        <v>584</v>
      </c>
      <c r="E31" s="23" t="s">
        <v>562</v>
      </c>
      <c r="F31" s="23" t="s">
        <v>573</v>
      </c>
      <c r="G31" s="44"/>
      <c r="H31" s="44">
        <v>4466.9907999999996</v>
      </c>
      <c r="I31" s="44">
        <v>-587201.83620000002</v>
      </c>
      <c r="J31" s="44"/>
      <c r="K31" s="44">
        <v>52.194800000000001</v>
      </c>
      <c r="L31" s="44">
        <v>-6861.4381999999996</v>
      </c>
      <c r="M31" s="44">
        <v>0</v>
      </c>
      <c r="N31" s="23" t="s">
        <v>564</v>
      </c>
      <c r="O31" s="44"/>
      <c r="P31" s="45"/>
      <c r="Q31" s="23"/>
    </row>
    <row r="32" spans="1:17" x14ac:dyDescent="0.35">
      <c r="A32" s="40">
        <v>246779411937</v>
      </c>
      <c r="B32" s="41">
        <v>45733</v>
      </c>
      <c r="C32" s="23" t="s">
        <v>560</v>
      </c>
      <c r="D32" s="23" t="s">
        <v>585</v>
      </c>
      <c r="E32" s="23" t="s">
        <v>562</v>
      </c>
      <c r="F32" s="23" t="s">
        <v>573</v>
      </c>
      <c r="G32" s="44"/>
      <c r="H32" s="44">
        <v>610.16660000000002</v>
      </c>
      <c r="I32" s="44">
        <v>-592005.00280000002</v>
      </c>
      <c r="J32" s="44"/>
      <c r="K32" s="44">
        <v>7.1246</v>
      </c>
      <c r="L32" s="44">
        <v>-6917.5627999999997</v>
      </c>
      <c r="M32" s="44">
        <v>0</v>
      </c>
      <c r="N32" s="23" t="s">
        <v>564</v>
      </c>
      <c r="O32" s="44"/>
      <c r="P32" s="45"/>
      <c r="Q32" s="23"/>
    </row>
    <row r="33" spans="1:17" x14ac:dyDescent="0.35">
      <c r="A33" s="40">
        <v>246779411939</v>
      </c>
      <c r="B33" s="41">
        <v>45733</v>
      </c>
      <c r="C33" s="23" t="s">
        <v>560</v>
      </c>
      <c r="D33" s="23" t="s">
        <v>586</v>
      </c>
      <c r="E33" s="23" t="s">
        <v>562</v>
      </c>
      <c r="F33" s="23" t="s">
        <v>573</v>
      </c>
      <c r="G33" s="44"/>
      <c r="H33" s="44">
        <v>1935.1864</v>
      </c>
      <c r="I33" s="44">
        <v>-593940.18920000002</v>
      </c>
      <c r="J33" s="44"/>
      <c r="K33" s="44">
        <v>22.618400000000001</v>
      </c>
      <c r="L33" s="44">
        <v>-6940.1812</v>
      </c>
      <c r="M33" s="44">
        <v>0</v>
      </c>
      <c r="N33" s="23" t="s">
        <v>564</v>
      </c>
      <c r="O33" s="44"/>
      <c r="P33" s="45"/>
      <c r="Q33" s="23"/>
    </row>
    <row r="34" spans="1:17" x14ac:dyDescent="0.35">
      <c r="A34" s="40">
        <v>246779412066</v>
      </c>
      <c r="B34" s="41">
        <v>45733</v>
      </c>
      <c r="C34" s="23" t="s">
        <v>560</v>
      </c>
      <c r="D34" s="23" t="s">
        <v>597</v>
      </c>
      <c r="E34" s="23" t="s">
        <v>562</v>
      </c>
      <c r="F34" s="23" t="s">
        <v>573</v>
      </c>
      <c r="G34" s="44"/>
      <c r="H34" s="44">
        <v>5577.07</v>
      </c>
      <c r="I34" s="44">
        <v>-630162.33539999998</v>
      </c>
      <c r="J34" s="44"/>
      <c r="K34" s="44">
        <v>65.17</v>
      </c>
      <c r="L34" s="44">
        <v>-7363.4333999999999</v>
      </c>
      <c r="M34" s="44">
        <v>0</v>
      </c>
      <c r="N34" s="23" t="s">
        <v>564</v>
      </c>
      <c r="O34" s="44"/>
      <c r="P34" s="45"/>
      <c r="Q34" s="23"/>
    </row>
    <row r="35" spans="1:17" x14ac:dyDescent="0.35">
      <c r="A35" s="40">
        <v>246779411760</v>
      </c>
      <c r="B35" s="41">
        <v>45733</v>
      </c>
      <c r="C35" s="23" t="s">
        <v>560</v>
      </c>
      <c r="D35" s="23" t="s">
        <v>606</v>
      </c>
      <c r="E35" s="23" t="s">
        <v>562</v>
      </c>
      <c r="F35" s="23" t="s">
        <v>573</v>
      </c>
      <c r="G35" s="44"/>
      <c r="H35" s="44">
        <v>43626.1486</v>
      </c>
      <c r="I35" s="44">
        <v>-929286.92200000002</v>
      </c>
      <c r="J35" s="44"/>
      <c r="K35" s="44">
        <v>509.76659999999998</v>
      </c>
      <c r="L35" s="44">
        <v>-10858.69</v>
      </c>
      <c r="M35" s="44">
        <v>0</v>
      </c>
      <c r="N35" s="23" t="s">
        <v>564</v>
      </c>
      <c r="O35" s="44"/>
      <c r="P35" s="45"/>
      <c r="Q35" s="23"/>
    </row>
    <row r="36" spans="1:17" x14ac:dyDescent="0.35">
      <c r="A36" s="40">
        <v>246779411621</v>
      </c>
      <c r="B36" s="41">
        <v>45733</v>
      </c>
      <c r="C36" s="23" t="s">
        <v>560</v>
      </c>
      <c r="D36" s="23" t="s">
        <v>615</v>
      </c>
      <c r="E36" s="23" t="s">
        <v>562</v>
      </c>
      <c r="F36" s="23" t="s">
        <v>573</v>
      </c>
      <c r="G36" s="44"/>
      <c r="H36" s="44">
        <v>37240.943200000002</v>
      </c>
      <c r="I36" s="44">
        <v>-1322615.0936</v>
      </c>
      <c r="J36" s="44"/>
      <c r="K36" s="44">
        <v>435.1592</v>
      </c>
      <c r="L36" s="44">
        <v>-15454.7312</v>
      </c>
      <c r="M36" s="44">
        <v>0</v>
      </c>
      <c r="N36" s="23" t="s">
        <v>564</v>
      </c>
      <c r="O36" s="44"/>
      <c r="P36" s="45"/>
      <c r="Q36" s="23"/>
    </row>
    <row r="37" spans="1:17" x14ac:dyDescent="0.35">
      <c r="A37" s="40">
        <v>246779412119</v>
      </c>
      <c r="B37" s="41">
        <v>45733</v>
      </c>
      <c r="C37" s="23" t="s">
        <v>560</v>
      </c>
      <c r="D37" s="23" t="s">
        <v>632</v>
      </c>
      <c r="E37" s="23" t="s">
        <v>562</v>
      </c>
      <c r="F37" s="23" t="s">
        <v>573</v>
      </c>
      <c r="G37" s="44"/>
      <c r="H37" s="44">
        <v>8387</v>
      </c>
      <c r="I37" s="44">
        <v>-1780063.4328000001</v>
      </c>
      <c r="J37" s="44"/>
      <c r="K37" s="44">
        <v>98</v>
      </c>
      <c r="L37" s="44">
        <v>-20800.004799999999</v>
      </c>
      <c r="M37" s="44">
        <v>0</v>
      </c>
      <c r="N37" s="23" t="s">
        <v>564</v>
      </c>
      <c r="O37" s="44"/>
      <c r="P37" s="45"/>
      <c r="Q37" s="23"/>
    </row>
    <row r="38" spans="1:17" x14ac:dyDescent="0.35">
      <c r="A38" s="40">
        <v>246779412121</v>
      </c>
      <c r="B38" s="41">
        <v>45733</v>
      </c>
      <c r="C38" s="23" t="s">
        <v>560</v>
      </c>
      <c r="D38" s="23" t="s">
        <v>635</v>
      </c>
      <c r="E38" s="23" t="s">
        <v>562</v>
      </c>
      <c r="F38" s="23" t="s">
        <v>573</v>
      </c>
      <c r="G38" s="44"/>
      <c r="H38" s="44">
        <v>8387</v>
      </c>
      <c r="I38" s="44">
        <v>-1799017.5127999999</v>
      </c>
      <c r="J38" s="44"/>
      <c r="K38" s="44">
        <v>98</v>
      </c>
      <c r="L38" s="44">
        <v>-21021.484799999998</v>
      </c>
      <c r="M38" s="44">
        <v>0</v>
      </c>
      <c r="N38" s="23" t="s">
        <v>564</v>
      </c>
      <c r="O38" s="44"/>
      <c r="P38" s="45"/>
      <c r="Q38" s="23"/>
    </row>
    <row r="39" spans="1:17" x14ac:dyDescent="0.35">
      <c r="A39" s="40">
        <v>246779412116</v>
      </c>
      <c r="B39" s="41">
        <v>45733</v>
      </c>
      <c r="C39" s="23" t="s">
        <v>560</v>
      </c>
      <c r="D39" s="23" t="s">
        <v>636</v>
      </c>
      <c r="E39" s="23" t="s">
        <v>562</v>
      </c>
      <c r="F39" s="23" t="s">
        <v>573</v>
      </c>
      <c r="G39" s="44"/>
      <c r="H39" s="44">
        <v>8387</v>
      </c>
      <c r="I39" s="44">
        <v>-1807404.5127999999</v>
      </c>
      <c r="J39" s="44"/>
      <c r="K39" s="44">
        <v>98</v>
      </c>
      <c r="L39" s="44">
        <v>-21119.484799999998</v>
      </c>
      <c r="M39" s="44">
        <v>0</v>
      </c>
      <c r="N39" s="23" t="s">
        <v>564</v>
      </c>
      <c r="O39" s="44"/>
      <c r="P39" s="45"/>
      <c r="Q39" s="23"/>
    </row>
    <row r="40" spans="1:17" x14ac:dyDescent="0.35">
      <c r="A40" s="40">
        <v>246779413214</v>
      </c>
      <c r="B40" s="41">
        <v>45735</v>
      </c>
      <c r="C40" s="23" t="s">
        <v>560</v>
      </c>
      <c r="D40" s="23" t="s">
        <v>572</v>
      </c>
      <c r="E40" s="23" t="s">
        <v>562</v>
      </c>
      <c r="F40" s="23" t="s">
        <v>573</v>
      </c>
      <c r="G40" s="44"/>
      <c r="H40" s="44">
        <v>6551.5096000000003</v>
      </c>
      <c r="I40" s="44">
        <v>-387397.40179999999</v>
      </c>
      <c r="J40" s="44"/>
      <c r="K40" s="44">
        <v>76.557599999999994</v>
      </c>
      <c r="L40" s="44">
        <v>-4526.7317999999996</v>
      </c>
      <c r="M40" s="44">
        <v>0</v>
      </c>
      <c r="N40" s="23" t="s">
        <v>564</v>
      </c>
      <c r="O40" s="44"/>
      <c r="P40" s="45"/>
      <c r="Q40" s="23"/>
    </row>
    <row r="41" spans="1:17" x14ac:dyDescent="0.35">
      <c r="A41" s="40">
        <v>246779413089</v>
      </c>
      <c r="B41" s="42">
        <v>45735</v>
      </c>
      <c r="C41" s="23" t="s">
        <v>560</v>
      </c>
      <c r="D41" s="23" t="s">
        <v>628</v>
      </c>
      <c r="E41" s="23" t="s">
        <v>562</v>
      </c>
      <c r="F41" s="23" t="s">
        <v>573</v>
      </c>
      <c r="G41" s="44"/>
      <c r="H41" s="44">
        <v>6630.0990000000002</v>
      </c>
      <c r="I41" s="44">
        <v>-1619967.3626000001</v>
      </c>
      <c r="J41" s="44"/>
      <c r="K41" s="44">
        <v>77.468999999999994</v>
      </c>
      <c r="L41" s="44">
        <v>-18929.283800000001</v>
      </c>
      <c r="M41" s="44">
        <v>0</v>
      </c>
      <c r="N41" s="23" t="s">
        <v>564</v>
      </c>
      <c r="O41" s="44"/>
      <c r="P41" s="45"/>
      <c r="Q41" s="23"/>
    </row>
    <row r="42" spans="1:17" x14ac:dyDescent="0.35">
      <c r="A42" s="40">
        <v>246779413016</v>
      </c>
      <c r="B42" s="41">
        <v>45735</v>
      </c>
      <c r="C42" s="23" t="s">
        <v>560</v>
      </c>
      <c r="D42" s="23" t="s">
        <v>638</v>
      </c>
      <c r="E42" s="23" t="s">
        <v>562</v>
      </c>
      <c r="F42" s="23" t="s">
        <v>563</v>
      </c>
      <c r="G42" s="44"/>
      <c r="H42" s="44">
        <v>30964.871599999999</v>
      </c>
      <c r="I42" s="44">
        <v>-1935071.9798000001</v>
      </c>
      <c r="J42" s="44"/>
      <c r="K42" s="44">
        <v>361.81799999999998</v>
      </c>
      <c r="L42" s="44">
        <v>-22611.269799999998</v>
      </c>
      <c r="M42" s="44">
        <v>0</v>
      </c>
      <c r="N42" s="23" t="s">
        <v>564</v>
      </c>
      <c r="O42" s="44"/>
      <c r="P42" s="45"/>
      <c r="Q42" s="23"/>
    </row>
    <row r="43" spans="1:17" x14ac:dyDescent="0.35">
      <c r="A43" s="40">
        <v>246779412981</v>
      </c>
      <c r="B43" s="42">
        <v>45735</v>
      </c>
      <c r="C43" s="23" t="s">
        <v>560</v>
      </c>
      <c r="D43" s="23" t="s">
        <v>642</v>
      </c>
      <c r="E43" s="23" t="s">
        <v>562</v>
      </c>
      <c r="F43" s="23" t="s">
        <v>563</v>
      </c>
      <c r="G43" s="44"/>
      <c r="H43" s="44">
        <v>88469.755399999995</v>
      </c>
      <c r="I43" s="44">
        <v>-1944223.4502000001</v>
      </c>
      <c r="J43" s="44"/>
      <c r="K43" s="44">
        <v>1033.7670000000001</v>
      </c>
      <c r="L43" s="44">
        <v>-22718.201799999999</v>
      </c>
      <c r="M43" s="44">
        <v>0</v>
      </c>
      <c r="N43" s="23" t="s">
        <v>564</v>
      </c>
      <c r="O43" s="44"/>
      <c r="P43" s="45"/>
      <c r="Q43" s="23"/>
    </row>
    <row r="44" spans="1:17" x14ac:dyDescent="0.35">
      <c r="A44" s="40">
        <v>246779413797</v>
      </c>
      <c r="B44" s="41">
        <v>45736</v>
      </c>
      <c r="C44" s="23" t="s">
        <v>560</v>
      </c>
      <c r="D44" s="23" t="s">
        <v>576</v>
      </c>
      <c r="E44" s="23" t="s">
        <v>562</v>
      </c>
      <c r="F44" s="23" t="s">
        <v>577</v>
      </c>
      <c r="G44" s="44"/>
      <c r="H44" s="44">
        <v>147112</v>
      </c>
      <c r="I44" s="44">
        <v>-573877.65379999997</v>
      </c>
      <c r="J44" s="44"/>
      <c r="K44" s="44">
        <v>1719</v>
      </c>
      <c r="L44" s="44">
        <v>-6705.7438000000002</v>
      </c>
      <c r="M44" s="44">
        <v>0</v>
      </c>
      <c r="N44" s="23" t="s">
        <v>564</v>
      </c>
      <c r="O44" s="44"/>
      <c r="P44" s="45"/>
      <c r="Q44" s="23"/>
    </row>
    <row r="45" spans="1:17" x14ac:dyDescent="0.35">
      <c r="A45" s="40"/>
      <c r="B45" s="41">
        <v>45736</v>
      </c>
      <c r="C45" s="23" t="s">
        <v>579</v>
      </c>
      <c r="D45" s="23" t="s">
        <v>580</v>
      </c>
      <c r="E45" s="23" t="s">
        <v>581</v>
      </c>
      <c r="F45" s="23" t="s">
        <v>582</v>
      </c>
      <c r="G45" s="44">
        <v>1711.6</v>
      </c>
      <c r="H45" s="44"/>
      <c r="I45" s="44">
        <v>-578541.84539999999</v>
      </c>
      <c r="J45" s="44">
        <v>20</v>
      </c>
      <c r="K45" s="44"/>
      <c r="L45" s="44">
        <v>-6760.2434000000003</v>
      </c>
      <c r="M45" s="44">
        <v>0</v>
      </c>
      <c r="N45" s="23" t="s">
        <v>564</v>
      </c>
      <c r="O45" s="44"/>
      <c r="P45" s="45"/>
      <c r="Q45" s="23"/>
    </row>
    <row r="46" spans="1:17" x14ac:dyDescent="0.35">
      <c r="A46" s="40">
        <v>246779413828</v>
      </c>
      <c r="B46" s="42">
        <v>45736</v>
      </c>
      <c r="C46" s="23" t="s">
        <v>560</v>
      </c>
      <c r="D46" s="23" t="s">
        <v>583</v>
      </c>
      <c r="E46" s="23" t="s">
        <v>562</v>
      </c>
      <c r="F46" s="23" t="s">
        <v>573</v>
      </c>
      <c r="G46" s="44"/>
      <c r="H46" s="44">
        <v>4193</v>
      </c>
      <c r="I46" s="44">
        <v>-582734.84539999999</v>
      </c>
      <c r="J46" s="44"/>
      <c r="K46" s="44">
        <v>49</v>
      </c>
      <c r="L46" s="44">
        <v>-6809.2434000000003</v>
      </c>
      <c r="M46" s="44">
        <v>0</v>
      </c>
      <c r="N46" s="23" t="s">
        <v>564</v>
      </c>
      <c r="O46" s="44"/>
      <c r="P46" s="45"/>
      <c r="Q46" s="23"/>
    </row>
    <row r="47" spans="1:17" x14ac:dyDescent="0.35">
      <c r="A47" s="40">
        <v>246779414468</v>
      </c>
      <c r="B47" s="41">
        <v>45736</v>
      </c>
      <c r="C47" s="23" t="s">
        <v>560</v>
      </c>
      <c r="D47" s="23" t="s">
        <v>587</v>
      </c>
      <c r="E47" s="23" t="s">
        <v>562</v>
      </c>
      <c r="F47" s="23" t="s">
        <v>567</v>
      </c>
      <c r="G47" s="44"/>
      <c r="H47" s="44">
        <v>7734.1876000000002</v>
      </c>
      <c r="I47" s="44">
        <v>-597481.37679999997</v>
      </c>
      <c r="J47" s="44"/>
      <c r="K47" s="44">
        <v>90.375600000000006</v>
      </c>
      <c r="L47" s="44">
        <v>-6981.5568000000003</v>
      </c>
      <c r="M47" s="44">
        <v>0</v>
      </c>
      <c r="N47" s="23" t="s">
        <v>564</v>
      </c>
      <c r="O47" s="44"/>
      <c r="P47" s="45"/>
      <c r="Q47" s="23"/>
    </row>
    <row r="48" spans="1:17" x14ac:dyDescent="0.35">
      <c r="A48" s="40">
        <v>246779414682</v>
      </c>
      <c r="B48" s="41">
        <v>45736</v>
      </c>
      <c r="C48" s="23" t="s">
        <v>560</v>
      </c>
      <c r="D48" s="23" t="s">
        <v>588</v>
      </c>
      <c r="E48" s="23" t="s">
        <v>562</v>
      </c>
      <c r="F48" s="23" t="s">
        <v>567</v>
      </c>
      <c r="G48" s="44"/>
      <c r="H48" s="44">
        <v>7619.7987999999996</v>
      </c>
      <c r="I48" s="44">
        <v>-605101.17559999996</v>
      </c>
      <c r="J48" s="44"/>
      <c r="K48" s="44">
        <v>89.0428</v>
      </c>
      <c r="L48" s="44">
        <v>-7070.5995999999996</v>
      </c>
      <c r="M48" s="44">
        <v>0</v>
      </c>
      <c r="N48" s="23" t="s">
        <v>564</v>
      </c>
      <c r="O48" s="44"/>
      <c r="P48" s="45"/>
      <c r="Q48" s="23"/>
    </row>
    <row r="49" spans="1:17" x14ac:dyDescent="0.35">
      <c r="A49" s="40">
        <v>246779414735</v>
      </c>
      <c r="B49" s="41">
        <v>45736</v>
      </c>
      <c r="C49" s="23" t="s">
        <v>560</v>
      </c>
      <c r="D49" s="23" t="s">
        <v>589</v>
      </c>
      <c r="E49" s="23" t="s">
        <v>562</v>
      </c>
      <c r="F49" s="23" t="s">
        <v>567</v>
      </c>
      <c r="G49" s="44"/>
      <c r="H49" s="44">
        <v>8168.4920000000002</v>
      </c>
      <c r="I49" s="44">
        <v>-613269.66760000004</v>
      </c>
      <c r="J49" s="44"/>
      <c r="K49" s="44">
        <v>95.451999999999998</v>
      </c>
      <c r="L49" s="44">
        <v>-7166.0515999999998</v>
      </c>
      <c r="M49" s="44">
        <v>0</v>
      </c>
      <c r="N49" s="23" t="s">
        <v>564</v>
      </c>
      <c r="O49" s="44"/>
      <c r="P49" s="45"/>
      <c r="Q49" s="23"/>
    </row>
    <row r="50" spans="1:17" x14ac:dyDescent="0.35">
      <c r="A50" s="40">
        <v>246779414886</v>
      </c>
      <c r="B50" s="41">
        <v>45736</v>
      </c>
      <c r="C50" s="23" t="s">
        <v>560</v>
      </c>
      <c r="D50" s="23" t="s">
        <v>590</v>
      </c>
      <c r="E50" s="23" t="s">
        <v>562</v>
      </c>
      <c r="F50" s="23" t="s">
        <v>567</v>
      </c>
      <c r="G50" s="44"/>
      <c r="H50" s="44">
        <v>2582.864</v>
      </c>
      <c r="I50" s="44">
        <v>-615852.53159999999</v>
      </c>
      <c r="J50" s="44"/>
      <c r="K50" s="44">
        <v>30.184000000000001</v>
      </c>
      <c r="L50" s="44">
        <v>-7196.2356</v>
      </c>
      <c r="M50" s="44">
        <v>0</v>
      </c>
      <c r="N50" s="23" t="s">
        <v>564</v>
      </c>
      <c r="O50" s="44"/>
      <c r="P50" s="45"/>
      <c r="Q50" s="23"/>
    </row>
    <row r="51" spans="1:17" x14ac:dyDescent="0.35">
      <c r="A51" s="40">
        <v>246779414397</v>
      </c>
      <c r="B51" s="41">
        <v>45736</v>
      </c>
      <c r="C51" s="23" t="s">
        <v>560</v>
      </c>
      <c r="D51" s="23" t="s">
        <v>591</v>
      </c>
      <c r="E51" s="23" t="s">
        <v>562</v>
      </c>
      <c r="F51" s="23" t="s">
        <v>567</v>
      </c>
      <c r="G51" s="44"/>
      <c r="H51" s="44">
        <v>589.62739999999997</v>
      </c>
      <c r="I51" s="44">
        <v>-616442.15899999999</v>
      </c>
      <c r="J51" s="44"/>
      <c r="K51" s="44">
        <v>6.8894000000000002</v>
      </c>
      <c r="L51" s="44">
        <v>-7203.125</v>
      </c>
      <c r="M51" s="44">
        <v>0</v>
      </c>
      <c r="N51" s="23" t="s">
        <v>564</v>
      </c>
      <c r="O51" s="44"/>
      <c r="P51" s="45"/>
      <c r="Q51" s="23"/>
    </row>
    <row r="52" spans="1:17" x14ac:dyDescent="0.35">
      <c r="A52" s="40">
        <v>246779414887</v>
      </c>
      <c r="B52" s="41">
        <v>45736</v>
      </c>
      <c r="C52" s="23" t="s">
        <v>560</v>
      </c>
      <c r="D52" s="23" t="s">
        <v>592</v>
      </c>
      <c r="E52" s="23" t="s">
        <v>562</v>
      </c>
      <c r="F52" s="23" t="s">
        <v>567</v>
      </c>
      <c r="G52" s="44"/>
      <c r="H52" s="44">
        <v>610.16660000000002</v>
      </c>
      <c r="I52" s="44">
        <v>-617052.32559999998</v>
      </c>
      <c r="J52" s="44"/>
      <c r="K52" s="44">
        <v>7.1246</v>
      </c>
      <c r="L52" s="44">
        <v>-7210.2496000000001</v>
      </c>
      <c r="M52" s="44">
        <v>0</v>
      </c>
      <c r="N52" s="23" t="s">
        <v>564</v>
      </c>
      <c r="O52" s="44"/>
      <c r="P52" s="45"/>
      <c r="Q52" s="23"/>
    </row>
    <row r="53" spans="1:17" x14ac:dyDescent="0.35">
      <c r="A53" s="40">
        <v>256779414888</v>
      </c>
      <c r="B53" s="41">
        <v>45736</v>
      </c>
      <c r="C53" s="23" t="s">
        <v>560</v>
      </c>
      <c r="D53" s="23" t="s">
        <v>593</v>
      </c>
      <c r="E53" s="23" t="s">
        <v>562</v>
      </c>
      <c r="F53" s="23" t="s">
        <v>567</v>
      </c>
      <c r="G53" s="44"/>
      <c r="H53" s="44">
        <v>914.67780000000005</v>
      </c>
      <c r="I53" s="44">
        <v>-617967.00340000005</v>
      </c>
      <c r="J53" s="44"/>
      <c r="K53" s="44">
        <v>10.691800000000001</v>
      </c>
      <c r="L53" s="44">
        <v>-7220.9413999999997</v>
      </c>
      <c r="M53" s="44">
        <v>0</v>
      </c>
      <c r="N53" s="23" t="s">
        <v>564</v>
      </c>
      <c r="O53" s="44"/>
      <c r="P53" s="45"/>
      <c r="Q53" s="23"/>
    </row>
    <row r="54" spans="1:17" x14ac:dyDescent="0.35">
      <c r="A54" s="40">
        <v>246779414889</v>
      </c>
      <c r="B54" s="41">
        <v>45736</v>
      </c>
      <c r="C54" s="23" t="s">
        <v>560</v>
      </c>
      <c r="D54" s="23" t="s">
        <v>594</v>
      </c>
      <c r="E54" s="23" t="s">
        <v>562</v>
      </c>
      <c r="F54" s="23" t="s">
        <v>567</v>
      </c>
      <c r="G54" s="44"/>
      <c r="H54" s="44">
        <v>211.66159999999999</v>
      </c>
      <c r="I54" s="44">
        <v>-618178.66500000004</v>
      </c>
      <c r="J54" s="44"/>
      <c r="K54" s="44">
        <v>2.4695999999999998</v>
      </c>
      <c r="L54" s="44">
        <v>-7223.4110000000001</v>
      </c>
      <c r="M54" s="44">
        <v>0</v>
      </c>
      <c r="N54" s="23" t="s">
        <v>564</v>
      </c>
      <c r="O54" s="44"/>
      <c r="P54" s="45"/>
      <c r="Q54" s="23"/>
    </row>
    <row r="55" spans="1:17" x14ac:dyDescent="0.35">
      <c r="A55" s="40">
        <v>246779414398</v>
      </c>
      <c r="B55" s="41">
        <v>45736</v>
      </c>
      <c r="C55" s="23" t="s">
        <v>560</v>
      </c>
      <c r="D55" s="23" t="s">
        <v>595</v>
      </c>
      <c r="E55" s="23" t="s">
        <v>562</v>
      </c>
      <c r="F55" s="23" t="s">
        <v>567</v>
      </c>
      <c r="G55" s="44"/>
      <c r="H55" s="44">
        <v>2716.0803999999998</v>
      </c>
      <c r="I55" s="44">
        <v>-620894.74540000001</v>
      </c>
      <c r="J55" s="44"/>
      <c r="K55" s="44">
        <v>31.732399999999998</v>
      </c>
      <c r="L55" s="44">
        <v>-7255.1433999999999</v>
      </c>
      <c r="M55" s="44">
        <v>0</v>
      </c>
      <c r="N55" s="23" t="s">
        <v>564</v>
      </c>
      <c r="O55" s="44"/>
      <c r="P55" s="45"/>
      <c r="Q55" s="23"/>
    </row>
    <row r="56" spans="1:17" x14ac:dyDescent="0.35">
      <c r="A56" s="40">
        <v>246779414890</v>
      </c>
      <c r="B56" s="41">
        <v>45736</v>
      </c>
      <c r="C56" s="23" t="s">
        <v>560</v>
      </c>
      <c r="D56" s="23" t="s">
        <v>596</v>
      </c>
      <c r="E56" s="23" t="s">
        <v>562</v>
      </c>
      <c r="F56" s="23" t="s">
        <v>567</v>
      </c>
      <c r="G56" s="44"/>
      <c r="H56" s="44">
        <v>3690.52</v>
      </c>
      <c r="I56" s="44">
        <v>-624585.26540000003</v>
      </c>
      <c r="J56" s="44"/>
      <c r="K56" s="44">
        <v>43.12</v>
      </c>
      <c r="L56" s="44">
        <v>-7298.2633999999998</v>
      </c>
      <c r="M56" s="44">
        <v>0</v>
      </c>
      <c r="N56" s="23" t="s">
        <v>564</v>
      </c>
      <c r="O56" s="44"/>
      <c r="P56" s="45"/>
      <c r="Q56" s="23"/>
    </row>
    <row r="57" spans="1:17" x14ac:dyDescent="0.35">
      <c r="A57" s="40"/>
      <c r="B57" s="41">
        <v>45736</v>
      </c>
      <c r="C57" s="23" t="s">
        <v>579</v>
      </c>
      <c r="D57" s="23" t="s">
        <v>599</v>
      </c>
      <c r="E57" s="23" t="s">
        <v>581</v>
      </c>
      <c r="F57" s="23" t="s">
        <v>582</v>
      </c>
      <c r="G57" s="44"/>
      <c r="H57" s="44">
        <v>1711.6</v>
      </c>
      <c r="I57" s="44">
        <v>-635710.36459999997</v>
      </c>
      <c r="J57" s="44"/>
      <c r="K57" s="44">
        <v>20</v>
      </c>
      <c r="L57" s="44">
        <v>-7428.2586000000001</v>
      </c>
      <c r="M57" s="44">
        <v>0</v>
      </c>
      <c r="N57" s="23" t="s">
        <v>564</v>
      </c>
      <c r="O57" s="44"/>
      <c r="P57" s="45"/>
      <c r="Q57" s="23"/>
    </row>
    <row r="58" spans="1:17" x14ac:dyDescent="0.35">
      <c r="A58" s="40"/>
      <c r="B58" s="41">
        <v>45736</v>
      </c>
      <c r="C58" s="23" t="s">
        <v>579</v>
      </c>
      <c r="D58" s="23" t="s">
        <v>600</v>
      </c>
      <c r="E58" s="23" t="s">
        <v>601</v>
      </c>
      <c r="F58" s="23" t="s">
        <v>582</v>
      </c>
      <c r="G58" s="44">
        <v>-1711.6</v>
      </c>
      <c r="H58" s="44"/>
      <c r="I58" s="44">
        <v>-637421.96459999995</v>
      </c>
      <c r="J58" s="44">
        <v>-20</v>
      </c>
      <c r="K58" s="44"/>
      <c r="L58" s="44">
        <v>-7448.2586000000001</v>
      </c>
      <c r="M58" s="44">
        <v>0</v>
      </c>
      <c r="N58" s="23" t="s">
        <v>564</v>
      </c>
      <c r="O58" s="44"/>
      <c r="P58" s="45"/>
      <c r="Q58" s="23"/>
    </row>
    <row r="59" spans="1:17" x14ac:dyDescent="0.35">
      <c r="A59" s="40">
        <v>246779413905</v>
      </c>
      <c r="B59" s="41">
        <v>45736</v>
      </c>
      <c r="C59" s="23" t="s">
        <v>560</v>
      </c>
      <c r="D59" s="23" t="s">
        <v>607</v>
      </c>
      <c r="E59" s="23" t="s">
        <v>562</v>
      </c>
      <c r="F59" s="23" t="s">
        <v>567</v>
      </c>
      <c r="G59" s="44"/>
      <c r="H59" s="44">
        <v>368.55200000000002</v>
      </c>
      <c r="I59" s="44">
        <v>-929655.47400000005</v>
      </c>
      <c r="J59" s="44"/>
      <c r="K59" s="44">
        <v>4.3120000000000003</v>
      </c>
      <c r="L59" s="44">
        <v>-10863.002</v>
      </c>
      <c r="M59" s="44">
        <v>0</v>
      </c>
      <c r="N59" s="23" t="s">
        <v>564</v>
      </c>
      <c r="O59" s="44"/>
      <c r="P59" s="45"/>
      <c r="Q59" s="23"/>
    </row>
    <row r="60" spans="1:17" x14ac:dyDescent="0.35">
      <c r="A60" s="40">
        <v>246779414399</v>
      </c>
      <c r="B60" s="41">
        <v>45736</v>
      </c>
      <c r="C60" s="23" t="s">
        <v>560</v>
      </c>
      <c r="D60" s="23" t="s">
        <v>608</v>
      </c>
      <c r="E60" s="23" t="s">
        <v>562</v>
      </c>
      <c r="F60" s="23" t="s">
        <v>567</v>
      </c>
      <c r="G60" s="44"/>
      <c r="H60" s="44">
        <v>6461.0832</v>
      </c>
      <c r="I60" s="44">
        <v>-936116.55720000004</v>
      </c>
      <c r="J60" s="44"/>
      <c r="K60" s="44">
        <v>75.499200000000002</v>
      </c>
      <c r="L60" s="44">
        <v>-10938.501200000001</v>
      </c>
      <c r="M60" s="44">
        <v>0</v>
      </c>
      <c r="N60" s="23" t="s">
        <v>564</v>
      </c>
      <c r="O60" s="44"/>
      <c r="P60" s="45"/>
      <c r="Q60" s="23"/>
    </row>
    <row r="61" spans="1:17" x14ac:dyDescent="0.35">
      <c r="A61" s="40">
        <v>246779414222</v>
      </c>
      <c r="B61" s="41">
        <v>45736</v>
      </c>
      <c r="C61" s="23" t="s">
        <v>560</v>
      </c>
      <c r="D61" s="23" t="s">
        <v>613</v>
      </c>
      <c r="E61" s="23" t="s">
        <v>562</v>
      </c>
      <c r="F61" s="23" t="s">
        <v>567</v>
      </c>
      <c r="G61" s="44"/>
      <c r="H61" s="44">
        <v>16503.432400000002</v>
      </c>
      <c r="I61" s="44">
        <v>-1237895.4565999999</v>
      </c>
      <c r="J61" s="44"/>
      <c r="K61" s="44">
        <v>192.84440000000001</v>
      </c>
      <c r="L61" s="44">
        <v>-14464.7842</v>
      </c>
      <c r="M61" s="44">
        <v>0</v>
      </c>
      <c r="N61" s="23" t="s">
        <v>564</v>
      </c>
      <c r="O61" s="44"/>
      <c r="P61" s="45"/>
      <c r="Q61" s="23"/>
    </row>
    <row r="62" spans="1:17" x14ac:dyDescent="0.35">
      <c r="A62" s="40">
        <v>246779414143</v>
      </c>
      <c r="B62" s="41">
        <v>45736</v>
      </c>
      <c r="C62" s="23" t="s">
        <v>560</v>
      </c>
      <c r="D62" s="23" t="s">
        <v>614</v>
      </c>
      <c r="E62" s="23" t="s">
        <v>562</v>
      </c>
      <c r="F62" s="23" t="s">
        <v>567</v>
      </c>
      <c r="G62" s="44"/>
      <c r="H62" s="44">
        <v>47478.693800000001</v>
      </c>
      <c r="I62" s="44">
        <v>-1285374.1503999999</v>
      </c>
      <c r="J62" s="44"/>
      <c r="K62" s="44">
        <v>554.78779999999995</v>
      </c>
      <c r="L62" s="44">
        <v>-15019.572</v>
      </c>
      <c r="M62" s="44">
        <v>0</v>
      </c>
      <c r="N62" s="23" t="s">
        <v>564</v>
      </c>
      <c r="O62" s="44"/>
      <c r="P62" s="45"/>
      <c r="Q62" s="23"/>
    </row>
    <row r="63" spans="1:17" x14ac:dyDescent="0.35">
      <c r="A63" s="40">
        <v>246779413817</v>
      </c>
      <c r="B63" s="41">
        <v>45736</v>
      </c>
      <c r="C63" s="23" t="s">
        <v>560</v>
      </c>
      <c r="D63" s="23" t="s">
        <v>618</v>
      </c>
      <c r="E63" s="23" t="s">
        <v>562</v>
      </c>
      <c r="F63" s="23" t="s">
        <v>573</v>
      </c>
      <c r="G63" s="44"/>
      <c r="H63" s="44">
        <v>4193</v>
      </c>
      <c r="I63" s="44">
        <v>-1336872.6936000001</v>
      </c>
      <c r="J63" s="44"/>
      <c r="K63" s="44">
        <v>49</v>
      </c>
      <c r="L63" s="44">
        <v>-15621.331200000001</v>
      </c>
      <c r="M63" s="44">
        <v>0</v>
      </c>
      <c r="N63" s="23" t="s">
        <v>564</v>
      </c>
      <c r="O63" s="44"/>
      <c r="P63" s="45"/>
      <c r="Q63" s="23"/>
    </row>
    <row r="64" spans="1:17" x14ac:dyDescent="0.35">
      <c r="A64" s="40">
        <v>246779414146</v>
      </c>
      <c r="B64" s="41">
        <v>45736</v>
      </c>
      <c r="C64" s="23" t="s">
        <v>560</v>
      </c>
      <c r="D64" s="23" t="s">
        <v>619</v>
      </c>
      <c r="E64" s="23" t="s">
        <v>562</v>
      </c>
      <c r="F64" s="23" t="s">
        <v>577</v>
      </c>
      <c r="G64" s="44"/>
      <c r="H64" s="44">
        <v>1489.973</v>
      </c>
      <c r="I64" s="44">
        <v>-1338362.6666000001</v>
      </c>
      <c r="J64" s="44"/>
      <c r="K64" s="44">
        <v>17.414999999999999</v>
      </c>
      <c r="L64" s="44">
        <v>-15638.7462</v>
      </c>
      <c r="M64" s="44">
        <v>0</v>
      </c>
      <c r="N64" s="23" t="s">
        <v>564</v>
      </c>
      <c r="O64" s="44"/>
      <c r="P64" s="45"/>
      <c r="Q64" s="23"/>
    </row>
    <row r="65" spans="1:17" x14ac:dyDescent="0.35">
      <c r="A65" s="40">
        <v>246779413808</v>
      </c>
      <c r="B65" s="41">
        <v>45736</v>
      </c>
      <c r="C65" s="23" t="s">
        <v>560</v>
      </c>
      <c r="D65" s="23" t="s">
        <v>620</v>
      </c>
      <c r="E65" s="23" t="s">
        <v>562</v>
      </c>
      <c r="F65" s="23" t="s">
        <v>577</v>
      </c>
      <c r="G65" s="44"/>
      <c r="H65" s="44">
        <v>134532</v>
      </c>
      <c r="I65" s="44">
        <v>-1472894.6666000001</v>
      </c>
      <c r="J65" s="44"/>
      <c r="K65" s="44">
        <v>1572</v>
      </c>
      <c r="L65" s="44">
        <v>-17210.746200000001</v>
      </c>
      <c r="M65" s="44">
        <v>0</v>
      </c>
      <c r="N65" s="23" t="s">
        <v>564</v>
      </c>
      <c r="O65" s="44"/>
      <c r="P65" s="45"/>
      <c r="Q65" s="23"/>
    </row>
    <row r="66" spans="1:17" x14ac:dyDescent="0.35">
      <c r="A66" s="40"/>
      <c r="B66" s="41">
        <v>45736</v>
      </c>
      <c r="C66" s="23" t="s">
        <v>579</v>
      </c>
      <c r="D66" s="23" t="s">
        <v>621</v>
      </c>
      <c r="E66" s="23" t="s">
        <v>622</v>
      </c>
      <c r="F66" s="23" t="s">
        <v>582</v>
      </c>
      <c r="G66" s="44">
        <v>1711.6</v>
      </c>
      <c r="H66" s="44"/>
      <c r="I66" s="44">
        <v>-1471183.0666</v>
      </c>
      <c r="J66" s="44">
        <v>20</v>
      </c>
      <c r="K66" s="44"/>
      <c r="L66" s="44">
        <v>-17190.746200000001</v>
      </c>
      <c r="M66" s="44">
        <v>0</v>
      </c>
      <c r="N66" s="23" t="s">
        <v>564</v>
      </c>
      <c r="O66" s="44"/>
      <c r="P66" s="45"/>
      <c r="Q66" s="23"/>
    </row>
    <row r="67" spans="1:17" x14ac:dyDescent="0.35">
      <c r="A67" s="40">
        <v>246779414145</v>
      </c>
      <c r="B67" s="41">
        <v>45736</v>
      </c>
      <c r="C67" s="23" t="s">
        <v>560</v>
      </c>
      <c r="D67" s="23" t="s">
        <v>623</v>
      </c>
      <c r="E67" s="23" t="s">
        <v>562</v>
      </c>
      <c r="F67" s="23" t="s">
        <v>624</v>
      </c>
      <c r="G67" s="44"/>
      <c r="H67" s="44">
        <v>12580</v>
      </c>
      <c r="I67" s="44">
        <v>-1483763.0666</v>
      </c>
      <c r="J67" s="44"/>
      <c r="K67" s="44">
        <v>147</v>
      </c>
      <c r="L67" s="44">
        <v>-17337.746200000001</v>
      </c>
      <c r="M67" s="44">
        <v>0</v>
      </c>
      <c r="N67" s="23" t="s">
        <v>564</v>
      </c>
      <c r="O67" s="44"/>
      <c r="P67" s="45"/>
      <c r="Q67" s="23"/>
    </row>
    <row r="68" spans="1:17" x14ac:dyDescent="0.35">
      <c r="A68" s="40">
        <v>246779414144</v>
      </c>
      <c r="B68" s="41">
        <v>45736</v>
      </c>
      <c r="C68" s="23" t="s">
        <v>560</v>
      </c>
      <c r="D68" s="23" t="s">
        <v>633</v>
      </c>
      <c r="E68" s="23" t="s">
        <v>562</v>
      </c>
      <c r="F68" s="23" t="s">
        <v>634</v>
      </c>
      <c r="G68" s="44"/>
      <c r="H68" s="44">
        <v>10567.08</v>
      </c>
      <c r="I68" s="44">
        <v>-1790630.5127999999</v>
      </c>
      <c r="J68" s="44"/>
      <c r="K68" s="44">
        <v>123.48</v>
      </c>
      <c r="L68" s="44">
        <v>-20923.484799999998</v>
      </c>
      <c r="M68" s="44">
        <v>0</v>
      </c>
      <c r="N68" s="23" t="s">
        <v>564</v>
      </c>
      <c r="O68" s="44"/>
      <c r="P68" s="45"/>
      <c r="Q68" s="23"/>
    </row>
    <row r="69" spans="1:17" x14ac:dyDescent="0.35">
      <c r="A69" s="40"/>
      <c r="B69" s="41">
        <v>45736</v>
      </c>
      <c r="C69" s="23" t="s">
        <v>579</v>
      </c>
      <c r="D69" s="23" t="s">
        <v>643</v>
      </c>
      <c r="E69" s="23" t="s">
        <v>581</v>
      </c>
      <c r="F69" s="23" t="s">
        <v>582</v>
      </c>
      <c r="G69" s="44">
        <v>1711.6</v>
      </c>
      <c r="H69" s="44"/>
      <c r="I69" s="44">
        <v>-1854196.2548</v>
      </c>
      <c r="J69" s="44">
        <v>20</v>
      </c>
      <c r="K69" s="44"/>
      <c r="L69" s="44">
        <v>-21666.234799999998</v>
      </c>
      <c r="M69" s="44">
        <v>0</v>
      </c>
      <c r="N69" s="23" t="s">
        <v>564</v>
      </c>
      <c r="O69" s="44"/>
      <c r="P69" s="45"/>
      <c r="Q69" s="23"/>
    </row>
    <row r="70" spans="1:17" x14ac:dyDescent="0.35">
      <c r="A70" s="40"/>
      <c r="B70" s="41">
        <v>45736</v>
      </c>
      <c r="C70" s="23" t="s">
        <v>579</v>
      </c>
      <c r="D70" s="23" t="s">
        <v>644</v>
      </c>
      <c r="E70" s="23" t="s">
        <v>645</v>
      </c>
      <c r="F70" s="23" t="s">
        <v>582</v>
      </c>
      <c r="G70" s="44"/>
      <c r="H70" s="44">
        <v>-1711.6</v>
      </c>
      <c r="I70" s="44">
        <v>-1852484.6547999999</v>
      </c>
      <c r="J70" s="44"/>
      <c r="K70" s="44">
        <v>-20</v>
      </c>
      <c r="L70" s="44">
        <v>-21646.234799999998</v>
      </c>
      <c r="M70" s="44">
        <v>0</v>
      </c>
      <c r="N70" s="23" t="s">
        <v>564</v>
      </c>
      <c r="O70" s="44"/>
      <c r="P70" s="45"/>
      <c r="Q70" s="23"/>
    </row>
    <row r="71" spans="1:17" x14ac:dyDescent="0.35">
      <c r="A71" s="40">
        <v>246779414318</v>
      </c>
      <c r="B71" s="41">
        <v>45737</v>
      </c>
      <c r="C71" s="23" t="s">
        <v>560</v>
      </c>
      <c r="D71" s="23" t="s">
        <v>598</v>
      </c>
      <c r="E71" s="23" t="s">
        <v>562</v>
      </c>
      <c r="F71" s="23" t="s">
        <v>567</v>
      </c>
      <c r="G71" s="44"/>
      <c r="H71" s="44">
        <v>3836.4292</v>
      </c>
      <c r="I71" s="44">
        <v>-633998.76459999999</v>
      </c>
      <c r="J71" s="44"/>
      <c r="K71" s="44">
        <v>44.825200000000002</v>
      </c>
      <c r="L71" s="44">
        <v>-7408.2586000000001</v>
      </c>
      <c r="M71" s="44">
        <v>0</v>
      </c>
      <c r="N71" s="23" t="s">
        <v>564</v>
      </c>
      <c r="O71" s="44"/>
      <c r="P71" s="45"/>
      <c r="Q71" s="23"/>
    </row>
    <row r="72" spans="1:17" x14ac:dyDescent="0.35">
      <c r="A72" s="46">
        <v>246779412238</v>
      </c>
      <c r="B72" s="42">
        <v>45747</v>
      </c>
      <c r="C72" s="23" t="s">
        <v>639</v>
      </c>
      <c r="D72" s="23" t="s">
        <v>640</v>
      </c>
      <c r="E72" s="23" t="s">
        <v>641</v>
      </c>
      <c r="F72" s="23" t="s">
        <v>573</v>
      </c>
      <c r="G72" s="44"/>
      <c r="H72" s="44">
        <v>-79318.285000000003</v>
      </c>
      <c r="I72" s="44">
        <v>-1855753.6947999999</v>
      </c>
      <c r="J72" s="44"/>
      <c r="K72" s="44">
        <v>-926.83500000000004</v>
      </c>
      <c r="L72" s="44">
        <v>-21684.434799999999</v>
      </c>
      <c r="M72" s="44">
        <v>0</v>
      </c>
      <c r="N72" s="23" t="s">
        <v>564</v>
      </c>
      <c r="O72" s="44"/>
      <c r="P72" s="45"/>
      <c r="Q72" s="23"/>
    </row>
    <row r="73" spans="1:17" x14ac:dyDescent="0.35">
      <c r="A73" s="40">
        <v>256779410224</v>
      </c>
      <c r="B73" s="42">
        <v>45750</v>
      </c>
      <c r="C73" s="23" t="s">
        <v>649</v>
      </c>
      <c r="D73" s="23" t="s">
        <v>651</v>
      </c>
      <c r="E73" s="23" t="s">
        <v>562</v>
      </c>
      <c r="F73" s="23" t="s">
        <v>577</v>
      </c>
      <c r="G73" s="44"/>
      <c r="H73" s="44">
        <v>146940</v>
      </c>
      <c r="I73" s="44">
        <v>-2290181.3020000001</v>
      </c>
      <c r="J73" s="44"/>
      <c r="K73" s="44">
        <v>1719</v>
      </c>
      <c r="L73" s="44">
        <v>-26762.7984</v>
      </c>
      <c r="M73" s="44">
        <v>0</v>
      </c>
      <c r="N73" s="23" t="s">
        <v>564</v>
      </c>
      <c r="O73" s="44"/>
      <c r="P73" s="45"/>
      <c r="Q73" s="23"/>
    </row>
    <row r="74" spans="1:17" x14ac:dyDescent="0.35">
      <c r="A74" s="40">
        <v>256779410224</v>
      </c>
      <c r="B74" s="42">
        <v>45750</v>
      </c>
      <c r="C74" s="23" t="s">
        <v>652</v>
      </c>
      <c r="D74" s="23" t="s">
        <v>653</v>
      </c>
      <c r="E74" s="23" t="s">
        <v>654</v>
      </c>
      <c r="F74" s="23" t="s">
        <v>582</v>
      </c>
      <c r="G74" s="44">
        <v>1709.6</v>
      </c>
      <c r="H74" s="44"/>
      <c r="I74" s="44">
        <v>-2288471.702</v>
      </c>
      <c r="J74" s="44">
        <v>20</v>
      </c>
      <c r="K74" s="44"/>
      <c r="L74" s="44">
        <v>-26742.7984</v>
      </c>
      <c r="M74" s="44">
        <v>0</v>
      </c>
      <c r="N74" s="23" t="s">
        <v>564</v>
      </c>
      <c r="O74" s="44"/>
      <c r="P74" s="45"/>
      <c r="Q74" s="23"/>
    </row>
    <row r="75" spans="1:17" x14ac:dyDescent="0.35">
      <c r="A75" s="40">
        <v>256779410006</v>
      </c>
      <c r="B75" s="42">
        <v>45750</v>
      </c>
      <c r="C75" s="23" t="s">
        <v>649</v>
      </c>
      <c r="D75" s="23" t="s">
        <v>680</v>
      </c>
      <c r="E75" s="23" t="s">
        <v>562</v>
      </c>
      <c r="F75" s="23" t="s">
        <v>563</v>
      </c>
      <c r="G75" s="44"/>
      <c r="H75" s="44">
        <v>143269</v>
      </c>
      <c r="I75" s="44">
        <v>-1819439.91</v>
      </c>
      <c r="J75" s="44"/>
      <c r="K75" s="44">
        <v>1670</v>
      </c>
      <c r="L75" s="44">
        <v>-21248.6662</v>
      </c>
      <c r="M75" s="44">
        <v>0</v>
      </c>
      <c r="N75" s="23" t="s">
        <v>564</v>
      </c>
      <c r="O75" s="44"/>
      <c r="P75" s="45"/>
      <c r="Q75" s="23"/>
    </row>
    <row r="76" spans="1:17" x14ac:dyDescent="0.35">
      <c r="A76" s="40">
        <v>256779410006</v>
      </c>
      <c r="B76" s="42">
        <v>45750</v>
      </c>
      <c r="C76" s="23" t="s">
        <v>652</v>
      </c>
      <c r="D76" s="23" t="s">
        <v>681</v>
      </c>
      <c r="E76" s="23" t="s">
        <v>682</v>
      </c>
      <c r="F76" s="23" t="s">
        <v>582</v>
      </c>
      <c r="G76" s="44">
        <v>1715.8</v>
      </c>
      <c r="H76" s="44"/>
      <c r="I76" s="44">
        <v>-1817724.11</v>
      </c>
      <c r="J76" s="44">
        <v>20</v>
      </c>
      <c r="K76" s="44"/>
      <c r="L76" s="44">
        <v>-21228.6662</v>
      </c>
      <c r="M76" s="44">
        <v>0</v>
      </c>
      <c r="N76" s="23" t="s">
        <v>564</v>
      </c>
      <c r="O76" s="44"/>
      <c r="P76" s="45"/>
      <c r="Q76" s="23"/>
    </row>
    <row r="77" spans="1:17" x14ac:dyDescent="0.35">
      <c r="A77" s="40">
        <v>256779410012</v>
      </c>
      <c r="B77" s="42">
        <v>45750</v>
      </c>
      <c r="C77" s="23" t="s">
        <v>649</v>
      </c>
      <c r="D77" s="23" t="s">
        <v>683</v>
      </c>
      <c r="E77" s="23" t="s">
        <v>562</v>
      </c>
      <c r="F77" s="23" t="s">
        <v>563</v>
      </c>
      <c r="G77" s="44"/>
      <c r="H77" s="44">
        <v>147473.5</v>
      </c>
      <c r="I77" s="44">
        <v>-1965197.61</v>
      </c>
      <c r="J77" s="44"/>
      <c r="K77" s="44">
        <v>1719</v>
      </c>
      <c r="L77" s="44">
        <v>-22947.6662</v>
      </c>
      <c r="M77" s="44">
        <v>0</v>
      </c>
      <c r="N77" s="23" t="s">
        <v>564</v>
      </c>
      <c r="O77" s="44"/>
      <c r="P77" s="45"/>
      <c r="Q77" s="23"/>
    </row>
    <row r="78" spans="1:17" x14ac:dyDescent="0.35">
      <c r="A78" s="40">
        <v>256779410015</v>
      </c>
      <c r="B78" s="42">
        <v>45750</v>
      </c>
      <c r="C78" s="23" t="s">
        <v>649</v>
      </c>
      <c r="D78" s="23" t="s">
        <v>684</v>
      </c>
      <c r="E78" s="23" t="s">
        <v>562</v>
      </c>
      <c r="F78" s="23" t="s">
        <v>563</v>
      </c>
      <c r="G78" s="44"/>
      <c r="H78" s="44">
        <v>143269</v>
      </c>
      <c r="I78" s="44">
        <v>-2108466.61</v>
      </c>
      <c r="J78" s="44"/>
      <c r="K78" s="44">
        <v>1670</v>
      </c>
      <c r="L78" s="44">
        <v>-24617.6662</v>
      </c>
      <c r="M78" s="44">
        <v>0</v>
      </c>
      <c r="N78" s="23" t="s">
        <v>564</v>
      </c>
      <c r="O78" s="44"/>
      <c r="P78" s="45"/>
      <c r="Q78" s="23"/>
    </row>
    <row r="79" spans="1:17" x14ac:dyDescent="0.35">
      <c r="A79" s="40">
        <v>256779410015</v>
      </c>
      <c r="B79" s="42">
        <v>45750</v>
      </c>
      <c r="C79" s="23" t="s">
        <v>652</v>
      </c>
      <c r="D79" s="23" t="s">
        <v>685</v>
      </c>
      <c r="E79" s="23" t="s">
        <v>686</v>
      </c>
      <c r="F79" s="23" t="s">
        <v>582</v>
      </c>
      <c r="G79" s="44">
        <v>1715.8</v>
      </c>
      <c r="H79" s="44"/>
      <c r="I79" s="44">
        <v>-2106750.81</v>
      </c>
      <c r="J79" s="44">
        <v>20</v>
      </c>
      <c r="K79" s="44"/>
      <c r="L79" s="44">
        <v>-24597.6662</v>
      </c>
      <c r="M79" s="44">
        <v>0</v>
      </c>
      <c r="N79" s="23" t="s">
        <v>564</v>
      </c>
      <c r="O79" s="44"/>
      <c r="P79" s="45"/>
      <c r="Q79" s="23"/>
    </row>
    <row r="80" spans="1:17" x14ac:dyDescent="0.35">
      <c r="A80" s="40">
        <v>256779410012</v>
      </c>
      <c r="B80" s="42">
        <v>45750</v>
      </c>
      <c r="C80" s="23" t="s">
        <v>652</v>
      </c>
      <c r="D80" s="23" t="s">
        <v>687</v>
      </c>
      <c r="E80" s="23" t="s">
        <v>688</v>
      </c>
      <c r="F80" s="23" t="s">
        <v>582</v>
      </c>
      <c r="G80" s="44">
        <v>1715.8</v>
      </c>
      <c r="H80" s="44"/>
      <c r="I80" s="44">
        <v>-2105035.0099999998</v>
      </c>
      <c r="J80" s="44">
        <v>20</v>
      </c>
      <c r="K80" s="44"/>
      <c r="L80" s="44">
        <v>-24577.6662</v>
      </c>
      <c r="M80" s="44">
        <v>0</v>
      </c>
      <c r="N80" s="23" t="s">
        <v>564</v>
      </c>
      <c r="O80" s="44"/>
      <c r="P80" s="45"/>
      <c r="Q80" s="23"/>
    </row>
    <row r="81" spans="1:17" x14ac:dyDescent="0.35">
      <c r="A81" s="40">
        <v>256779410136</v>
      </c>
      <c r="B81" s="41">
        <v>45750</v>
      </c>
      <c r="C81" s="23" t="s">
        <v>649</v>
      </c>
      <c r="D81" s="23" t="s">
        <v>757</v>
      </c>
      <c r="E81" s="23" t="s">
        <v>562</v>
      </c>
      <c r="F81" s="23" t="s">
        <v>724</v>
      </c>
      <c r="G81" s="44"/>
      <c r="H81" s="44">
        <v>838.37400000000002</v>
      </c>
      <c r="I81" s="44">
        <v>-896611.70990000002</v>
      </c>
      <c r="J81" s="44"/>
      <c r="K81" s="44">
        <v>9.6530000000000005</v>
      </c>
      <c r="L81" s="44">
        <v>-10447.435600000001</v>
      </c>
      <c r="M81" s="44">
        <v>0</v>
      </c>
      <c r="N81" s="23" t="s">
        <v>564</v>
      </c>
      <c r="O81" s="44"/>
      <c r="P81" s="45"/>
      <c r="Q81" s="23"/>
    </row>
    <row r="82" spans="1:17" x14ac:dyDescent="0.35">
      <c r="A82" s="40">
        <v>256779411152</v>
      </c>
      <c r="B82" s="41">
        <v>45762</v>
      </c>
      <c r="C82" s="23" t="s">
        <v>649</v>
      </c>
      <c r="D82" s="23" t="s">
        <v>719</v>
      </c>
      <c r="E82" s="23" t="s">
        <v>562</v>
      </c>
      <c r="F82" s="23" t="s">
        <v>720</v>
      </c>
      <c r="G82" s="44"/>
      <c r="H82" s="44">
        <v>13942.089</v>
      </c>
      <c r="I82" s="44">
        <v>-736955.29980000004</v>
      </c>
      <c r="J82" s="44"/>
      <c r="K82" s="44">
        <v>161.09</v>
      </c>
      <c r="L82" s="44">
        <v>-8607.1787999999997</v>
      </c>
      <c r="M82" s="44">
        <v>0</v>
      </c>
      <c r="N82" s="23" t="s">
        <v>564</v>
      </c>
      <c r="O82" s="44"/>
      <c r="P82" s="45"/>
      <c r="Q82" s="23"/>
    </row>
    <row r="83" spans="1:17" x14ac:dyDescent="0.35">
      <c r="A83" s="40">
        <v>256779411153</v>
      </c>
      <c r="B83" s="41">
        <v>45762</v>
      </c>
      <c r="C83" s="23" t="s">
        <v>649</v>
      </c>
      <c r="D83" s="23" t="s">
        <v>721</v>
      </c>
      <c r="E83" s="23" t="s">
        <v>562</v>
      </c>
      <c r="F83" s="23" t="s">
        <v>634</v>
      </c>
      <c r="G83" s="44"/>
      <c r="H83" s="44">
        <v>2251.0369999999998</v>
      </c>
      <c r="I83" s="44">
        <v>-739206.33680000005</v>
      </c>
      <c r="J83" s="44"/>
      <c r="K83" s="44">
        <v>26.01</v>
      </c>
      <c r="L83" s="44">
        <v>-8633.1887999999999</v>
      </c>
      <c r="M83" s="44">
        <v>0</v>
      </c>
      <c r="N83" s="23" t="s">
        <v>564</v>
      </c>
      <c r="O83" s="44"/>
      <c r="P83" s="45"/>
      <c r="Q83" s="23"/>
    </row>
    <row r="84" spans="1:17" x14ac:dyDescent="0.35">
      <c r="A84" s="40">
        <v>256779411154</v>
      </c>
      <c r="B84" s="41">
        <v>45762</v>
      </c>
      <c r="C84" s="23" t="s">
        <v>649</v>
      </c>
      <c r="D84" s="23" t="s">
        <v>722</v>
      </c>
      <c r="E84" s="23" t="s">
        <v>562</v>
      </c>
      <c r="F84" s="23" t="s">
        <v>634</v>
      </c>
      <c r="G84" s="44"/>
      <c r="H84" s="44">
        <v>7146.7030000000004</v>
      </c>
      <c r="I84" s="44">
        <v>-746353.03980000003</v>
      </c>
      <c r="J84" s="44"/>
      <c r="K84" s="44">
        <v>82.57</v>
      </c>
      <c r="L84" s="44">
        <v>-8715.7587999999996</v>
      </c>
      <c r="M84" s="44">
        <v>0</v>
      </c>
      <c r="N84" s="23" t="s">
        <v>564</v>
      </c>
      <c r="O84" s="44"/>
      <c r="P84" s="45"/>
      <c r="Q84" s="23"/>
    </row>
    <row r="85" spans="1:17" x14ac:dyDescent="0.35">
      <c r="A85" s="40">
        <v>256779411155</v>
      </c>
      <c r="B85" s="41">
        <v>45762</v>
      </c>
      <c r="C85" s="23" t="s">
        <v>649</v>
      </c>
      <c r="D85" s="23" t="s">
        <v>723</v>
      </c>
      <c r="E85" s="23" t="s">
        <v>562</v>
      </c>
      <c r="F85" s="23" t="s">
        <v>724</v>
      </c>
      <c r="G85" s="44"/>
      <c r="H85" s="44">
        <v>3129.6950000000002</v>
      </c>
      <c r="I85" s="44">
        <v>-749482.73479999998</v>
      </c>
      <c r="J85" s="44"/>
      <c r="K85" s="44">
        <v>36.159999999999997</v>
      </c>
      <c r="L85" s="44">
        <v>-8751.9187999999995</v>
      </c>
      <c r="M85" s="44">
        <v>0</v>
      </c>
      <c r="N85" s="23" t="s">
        <v>564</v>
      </c>
      <c r="O85" s="44"/>
      <c r="P85" s="45"/>
      <c r="Q85" s="23"/>
    </row>
    <row r="86" spans="1:17" x14ac:dyDescent="0.35">
      <c r="A86" s="40">
        <v>256779411156</v>
      </c>
      <c r="B86" s="41">
        <v>45762</v>
      </c>
      <c r="C86" s="23" t="s">
        <v>649</v>
      </c>
      <c r="D86" s="23" t="s">
        <v>725</v>
      </c>
      <c r="E86" s="23" t="s">
        <v>562</v>
      </c>
      <c r="F86" s="23" t="s">
        <v>724</v>
      </c>
      <c r="G86" s="44"/>
      <c r="H86" s="44">
        <v>1715.9065000000001</v>
      </c>
      <c r="I86" s="44">
        <v>-751198.64130000002</v>
      </c>
      <c r="J86" s="44"/>
      <c r="K86" s="44">
        <v>19.829999999999998</v>
      </c>
      <c r="L86" s="44">
        <v>-8771.7487999999994</v>
      </c>
      <c r="M86" s="44">
        <v>0</v>
      </c>
      <c r="N86" s="23" t="s">
        <v>564</v>
      </c>
      <c r="O86" s="44"/>
      <c r="P86" s="45"/>
      <c r="Q86" s="23"/>
    </row>
    <row r="87" spans="1:17" x14ac:dyDescent="0.35">
      <c r="A87" s="40">
        <v>256779411157</v>
      </c>
      <c r="B87" s="41">
        <v>45762</v>
      </c>
      <c r="C87" s="23" t="s">
        <v>649</v>
      </c>
      <c r="D87" s="23" t="s">
        <v>726</v>
      </c>
      <c r="E87" s="23" t="s">
        <v>562</v>
      </c>
      <c r="F87" s="23" t="s">
        <v>724</v>
      </c>
      <c r="G87" s="44"/>
      <c r="H87" s="44">
        <v>9866.4959999999992</v>
      </c>
      <c r="I87" s="44">
        <v>-761065.13729999994</v>
      </c>
      <c r="J87" s="44"/>
      <c r="K87" s="44">
        <v>113.99</v>
      </c>
      <c r="L87" s="44">
        <v>-8885.7387999999992</v>
      </c>
      <c r="M87" s="44">
        <v>0</v>
      </c>
      <c r="N87" s="23" t="s">
        <v>564</v>
      </c>
      <c r="O87" s="44"/>
      <c r="P87" s="45"/>
      <c r="Q87" s="23"/>
    </row>
    <row r="88" spans="1:17" x14ac:dyDescent="0.35">
      <c r="A88" s="40">
        <v>256779411565</v>
      </c>
      <c r="B88" s="41">
        <v>45762</v>
      </c>
      <c r="C88" s="23" t="s">
        <v>649</v>
      </c>
      <c r="D88" s="23" t="s">
        <v>727</v>
      </c>
      <c r="E88" s="23" t="s">
        <v>562</v>
      </c>
      <c r="F88" s="23" t="s">
        <v>724</v>
      </c>
      <c r="G88" s="44"/>
      <c r="H88" s="44">
        <v>1866.1</v>
      </c>
      <c r="I88" s="44">
        <v>-762931.23730000004</v>
      </c>
      <c r="J88" s="44"/>
      <c r="K88" s="44">
        <v>21.56</v>
      </c>
      <c r="L88" s="44">
        <v>-8907.2988000000005</v>
      </c>
      <c r="M88" s="44">
        <v>0</v>
      </c>
      <c r="N88" s="23" t="s">
        <v>564</v>
      </c>
      <c r="O88" s="44"/>
      <c r="P88" s="45"/>
      <c r="Q88" s="23"/>
    </row>
    <row r="89" spans="1:17" x14ac:dyDescent="0.35">
      <c r="A89" s="40">
        <v>256779411566</v>
      </c>
      <c r="B89" s="41">
        <v>45762</v>
      </c>
      <c r="C89" s="23" t="s">
        <v>649</v>
      </c>
      <c r="D89" s="23" t="s">
        <v>728</v>
      </c>
      <c r="E89" s="23" t="s">
        <v>562</v>
      </c>
      <c r="F89" s="23" t="s">
        <v>724</v>
      </c>
      <c r="G89" s="44"/>
      <c r="H89" s="44">
        <v>372.82</v>
      </c>
      <c r="I89" s="44">
        <v>-763304.05729999999</v>
      </c>
      <c r="J89" s="44"/>
      <c r="K89" s="44">
        <v>4.3099999999999996</v>
      </c>
      <c r="L89" s="44">
        <v>-8911.6088</v>
      </c>
      <c r="M89" s="44">
        <v>0</v>
      </c>
      <c r="N89" s="23" t="s">
        <v>564</v>
      </c>
      <c r="O89" s="44"/>
      <c r="P89" s="45"/>
      <c r="Q89" s="23"/>
    </row>
    <row r="90" spans="1:17" x14ac:dyDescent="0.35">
      <c r="A90" s="40">
        <v>256779411567</v>
      </c>
      <c r="B90" s="41">
        <v>45762</v>
      </c>
      <c r="C90" s="23" t="s">
        <v>649</v>
      </c>
      <c r="D90" s="23" t="s">
        <v>729</v>
      </c>
      <c r="E90" s="23" t="s">
        <v>562</v>
      </c>
      <c r="F90" s="23" t="s">
        <v>724</v>
      </c>
      <c r="G90" s="44"/>
      <c r="H90" s="44">
        <v>495.452</v>
      </c>
      <c r="I90" s="44">
        <v>-763799.50930000003</v>
      </c>
      <c r="J90" s="44"/>
      <c r="K90" s="44">
        <v>5.72</v>
      </c>
      <c r="L90" s="44">
        <v>-8917.3287999999993</v>
      </c>
      <c r="M90" s="44">
        <v>0</v>
      </c>
      <c r="N90" s="23" t="s">
        <v>564</v>
      </c>
      <c r="O90" s="44"/>
      <c r="P90" s="45"/>
      <c r="Q90" s="23"/>
    </row>
    <row r="91" spans="1:17" x14ac:dyDescent="0.35">
      <c r="A91" s="40">
        <v>256779411568</v>
      </c>
      <c r="B91" s="41">
        <v>45762</v>
      </c>
      <c r="C91" s="23" t="s">
        <v>649</v>
      </c>
      <c r="D91" s="23" t="s">
        <v>730</v>
      </c>
      <c r="E91" s="23" t="s">
        <v>562</v>
      </c>
      <c r="F91" s="23" t="s">
        <v>724</v>
      </c>
      <c r="G91" s="44"/>
      <c r="H91" s="44">
        <v>68.239999999999995</v>
      </c>
      <c r="I91" s="44">
        <v>-763867.74930000002</v>
      </c>
      <c r="J91" s="44"/>
      <c r="K91" s="44">
        <v>0.78</v>
      </c>
      <c r="L91" s="44">
        <v>-8918.1088</v>
      </c>
      <c r="M91" s="44">
        <v>0</v>
      </c>
      <c r="N91" s="23" t="s">
        <v>564</v>
      </c>
      <c r="O91" s="44"/>
      <c r="P91" s="45"/>
      <c r="Q91" s="23"/>
    </row>
    <row r="92" spans="1:17" x14ac:dyDescent="0.35">
      <c r="A92" s="40">
        <v>256779411569</v>
      </c>
      <c r="B92" s="41">
        <v>45762</v>
      </c>
      <c r="C92" s="23" t="s">
        <v>649</v>
      </c>
      <c r="D92" s="23" t="s">
        <v>731</v>
      </c>
      <c r="E92" s="23" t="s">
        <v>562</v>
      </c>
      <c r="F92" s="23" t="s">
        <v>724</v>
      </c>
      <c r="G92" s="44"/>
      <c r="H92" s="44">
        <v>1174.7175</v>
      </c>
      <c r="I92" s="44">
        <v>-765042.46680000005</v>
      </c>
      <c r="J92" s="44"/>
      <c r="K92" s="44">
        <v>13.57</v>
      </c>
      <c r="L92" s="44">
        <v>-8931.6787999999997</v>
      </c>
      <c r="M92" s="44">
        <v>0</v>
      </c>
      <c r="N92" s="23" t="s">
        <v>564</v>
      </c>
      <c r="O92" s="44"/>
      <c r="P92" s="45"/>
      <c r="Q92" s="23"/>
    </row>
    <row r="93" spans="1:17" x14ac:dyDescent="0.35">
      <c r="A93" s="40">
        <v>256779411570</v>
      </c>
      <c r="B93" s="41">
        <v>45762</v>
      </c>
      <c r="C93" s="23" t="s">
        <v>649</v>
      </c>
      <c r="D93" s="23" t="s">
        <v>732</v>
      </c>
      <c r="E93" s="23" t="s">
        <v>562</v>
      </c>
      <c r="F93" s="23" t="s">
        <v>724</v>
      </c>
      <c r="G93" s="44"/>
      <c r="H93" s="44">
        <v>1539.8824999999999</v>
      </c>
      <c r="I93" s="44">
        <v>-766582.3493</v>
      </c>
      <c r="J93" s="44"/>
      <c r="K93" s="44">
        <v>17.79</v>
      </c>
      <c r="L93" s="44">
        <v>-8949.4688000000006</v>
      </c>
      <c r="M93" s="44">
        <v>0</v>
      </c>
      <c r="N93" s="23" t="s">
        <v>564</v>
      </c>
      <c r="O93" s="44"/>
      <c r="P93" s="45"/>
      <c r="Q93" s="23"/>
    </row>
    <row r="94" spans="1:17" x14ac:dyDescent="0.35">
      <c r="A94" s="40">
        <v>256779411571</v>
      </c>
      <c r="B94" s="41">
        <v>45762</v>
      </c>
      <c r="C94" s="23" t="s">
        <v>649</v>
      </c>
      <c r="D94" s="23" t="s">
        <v>733</v>
      </c>
      <c r="E94" s="23" t="s">
        <v>562</v>
      </c>
      <c r="F94" s="23" t="s">
        <v>724</v>
      </c>
      <c r="G94" s="44"/>
      <c r="H94" s="44">
        <v>1811.7080000000001</v>
      </c>
      <c r="I94" s="44">
        <v>-768394.05729999999</v>
      </c>
      <c r="J94" s="44"/>
      <c r="K94" s="44">
        <v>20.93</v>
      </c>
      <c r="L94" s="44">
        <v>-8970.3988000000008</v>
      </c>
      <c r="M94" s="44">
        <v>0</v>
      </c>
      <c r="N94" s="23" t="s">
        <v>564</v>
      </c>
      <c r="O94" s="44"/>
      <c r="P94" s="45"/>
      <c r="Q94" s="23"/>
    </row>
    <row r="95" spans="1:17" x14ac:dyDescent="0.35">
      <c r="A95" s="40">
        <v>256779411572</v>
      </c>
      <c r="B95" s="41">
        <v>45762</v>
      </c>
      <c r="C95" s="23" t="s">
        <v>649</v>
      </c>
      <c r="D95" s="23" t="s">
        <v>734</v>
      </c>
      <c r="E95" s="23" t="s">
        <v>562</v>
      </c>
      <c r="F95" s="23" t="s">
        <v>724</v>
      </c>
      <c r="G95" s="44"/>
      <c r="H95" s="44">
        <v>167.5035</v>
      </c>
      <c r="I95" s="44">
        <v>-768561.56079999998</v>
      </c>
      <c r="J95" s="44"/>
      <c r="K95" s="44">
        <v>1.93</v>
      </c>
      <c r="L95" s="44">
        <v>-8972.3287999999993</v>
      </c>
      <c r="M95" s="44">
        <v>0</v>
      </c>
      <c r="N95" s="23" t="s">
        <v>564</v>
      </c>
      <c r="O95" s="44"/>
      <c r="P95" s="45"/>
      <c r="Q95" s="23"/>
    </row>
    <row r="96" spans="1:17" x14ac:dyDescent="0.35">
      <c r="A96" s="40">
        <v>256779411574</v>
      </c>
      <c r="B96" s="41">
        <v>45762</v>
      </c>
      <c r="C96" s="23" t="s">
        <v>649</v>
      </c>
      <c r="D96" s="23" t="s">
        <v>736</v>
      </c>
      <c r="E96" s="23" t="s">
        <v>562</v>
      </c>
      <c r="F96" s="23" t="s">
        <v>724</v>
      </c>
      <c r="G96" s="44"/>
      <c r="H96" s="44">
        <v>1247.2850000000001</v>
      </c>
      <c r="I96" s="44">
        <v>-771862.22129999998</v>
      </c>
      <c r="J96" s="44"/>
      <c r="K96" s="44">
        <v>14.41</v>
      </c>
      <c r="L96" s="44">
        <v>-9010.4688000000006</v>
      </c>
      <c r="M96" s="44">
        <v>0</v>
      </c>
      <c r="N96" s="23" t="s">
        <v>564</v>
      </c>
      <c r="O96" s="44"/>
      <c r="P96" s="45"/>
      <c r="Q96" s="23"/>
    </row>
    <row r="97" spans="1:17" x14ac:dyDescent="0.35">
      <c r="A97" s="40">
        <v>256779411575</v>
      </c>
      <c r="B97" s="41">
        <v>45762</v>
      </c>
      <c r="C97" s="23" t="s">
        <v>649</v>
      </c>
      <c r="D97" s="23" t="s">
        <v>737</v>
      </c>
      <c r="E97" s="23" t="s">
        <v>562</v>
      </c>
      <c r="F97" s="23" t="s">
        <v>724</v>
      </c>
      <c r="G97" s="44"/>
      <c r="H97" s="44">
        <v>1895.3924999999999</v>
      </c>
      <c r="I97" s="44">
        <v>-773757.61380000005</v>
      </c>
      <c r="J97" s="44"/>
      <c r="K97" s="44">
        <v>21.902999999999999</v>
      </c>
      <c r="L97" s="44">
        <v>-9032.3718000000008</v>
      </c>
      <c r="M97" s="44">
        <v>0</v>
      </c>
      <c r="N97" s="23" t="s">
        <v>564</v>
      </c>
      <c r="O97" s="44"/>
      <c r="P97" s="45"/>
      <c r="Q97" s="23"/>
    </row>
    <row r="98" spans="1:17" x14ac:dyDescent="0.35">
      <c r="A98" s="40">
        <v>256779411576</v>
      </c>
      <c r="B98" s="41">
        <v>45762</v>
      </c>
      <c r="C98" s="23" t="s">
        <v>649</v>
      </c>
      <c r="D98" s="23" t="s">
        <v>738</v>
      </c>
      <c r="E98" s="23" t="s">
        <v>562</v>
      </c>
      <c r="F98" s="23" t="s">
        <v>724</v>
      </c>
      <c r="G98" s="44"/>
      <c r="H98" s="44">
        <v>1825.556</v>
      </c>
      <c r="I98" s="44">
        <v>-775583.16980000003</v>
      </c>
      <c r="J98" s="44"/>
      <c r="K98" s="44">
        <v>21.09</v>
      </c>
      <c r="L98" s="44">
        <v>-9053.4617999999991</v>
      </c>
      <c r="M98" s="44">
        <v>0</v>
      </c>
      <c r="N98" s="23" t="s">
        <v>564</v>
      </c>
      <c r="O98" s="44"/>
      <c r="P98" s="45"/>
      <c r="Q98" s="23"/>
    </row>
    <row r="99" spans="1:17" x14ac:dyDescent="0.35">
      <c r="A99" s="40">
        <v>256779411577</v>
      </c>
      <c r="B99" s="41">
        <v>45762</v>
      </c>
      <c r="C99" s="23" t="s">
        <v>649</v>
      </c>
      <c r="D99" s="23" t="s">
        <v>739</v>
      </c>
      <c r="E99" s="23" t="s">
        <v>562</v>
      </c>
      <c r="F99" s="23" t="s">
        <v>724</v>
      </c>
      <c r="G99" s="44"/>
      <c r="H99" s="44">
        <v>130.28700000000001</v>
      </c>
      <c r="I99" s="44">
        <v>-775713.45680000004</v>
      </c>
      <c r="J99" s="44"/>
      <c r="K99" s="44">
        <v>1.51</v>
      </c>
      <c r="L99" s="44">
        <v>-9054.9717999999993</v>
      </c>
      <c r="M99" s="44">
        <v>0</v>
      </c>
      <c r="N99" s="23" t="s">
        <v>564</v>
      </c>
      <c r="O99" s="44"/>
      <c r="P99" s="45"/>
      <c r="Q99" s="23"/>
    </row>
    <row r="100" spans="1:17" x14ac:dyDescent="0.35">
      <c r="A100" s="40">
        <v>256779411578</v>
      </c>
      <c r="B100" s="41">
        <v>45762</v>
      </c>
      <c r="C100" s="23" t="s">
        <v>649</v>
      </c>
      <c r="D100" s="23" t="s">
        <v>740</v>
      </c>
      <c r="E100" s="23" t="s">
        <v>562</v>
      </c>
      <c r="F100" s="23" t="s">
        <v>724</v>
      </c>
      <c r="G100" s="44"/>
      <c r="H100" s="44">
        <v>610.29449999999997</v>
      </c>
      <c r="I100" s="44">
        <v>-776323.7513</v>
      </c>
      <c r="J100" s="44"/>
      <c r="K100" s="44">
        <v>7.05</v>
      </c>
      <c r="L100" s="44">
        <v>-9062.0218000000004</v>
      </c>
      <c r="M100" s="44">
        <v>0</v>
      </c>
      <c r="N100" s="23" t="s">
        <v>564</v>
      </c>
      <c r="O100" s="44"/>
      <c r="P100" s="45"/>
      <c r="Q100" s="23"/>
    </row>
    <row r="101" spans="1:17" x14ac:dyDescent="0.35">
      <c r="A101" s="40">
        <v>256779411579</v>
      </c>
      <c r="B101" s="41">
        <v>45762</v>
      </c>
      <c r="C101" s="23" t="s">
        <v>649</v>
      </c>
      <c r="D101" s="23" t="s">
        <v>741</v>
      </c>
      <c r="E101" s="23" t="s">
        <v>562</v>
      </c>
      <c r="F101" s="23" t="s">
        <v>724</v>
      </c>
      <c r="G101" s="44"/>
      <c r="H101" s="44">
        <v>411.76749999999998</v>
      </c>
      <c r="I101" s="44">
        <v>-776735.51879999996</v>
      </c>
      <c r="J101" s="44"/>
      <c r="K101" s="44">
        <v>4.75</v>
      </c>
      <c r="L101" s="44">
        <v>-9066.7718000000004</v>
      </c>
      <c r="M101" s="44">
        <v>0</v>
      </c>
      <c r="N101" s="23" t="s">
        <v>564</v>
      </c>
      <c r="O101" s="44"/>
      <c r="P101" s="45"/>
      <c r="Q101" s="23"/>
    </row>
    <row r="102" spans="1:17" x14ac:dyDescent="0.35">
      <c r="A102" s="40">
        <v>256779411580</v>
      </c>
      <c r="B102" s="41">
        <v>45762</v>
      </c>
      <c r="C102" s="23" t="s">
        <v>649</v>
      </c>
      <c r="D102" s="23" t="s">
        <v>742</v>
      </c>
      <c r="E102" s="23" t="s">
        <v>562</v>
      </c>
      <c r="F102" s="23" t="s">
        <v>724</v>
      </c>
      <c r="G102" s="44"/>
      <c r="H102" s="44">
        <v>1845.328</v>
      </c>
      <c r="I102" s="44">
        <v>-778580.84680000006</v>
      </c>
      <c r="J102" s="44"/>
      <c r="K102" s="44">
        <v>21.32</v>
      </c>
      <c r="L102" s="44">
        <v>-9088.0918000000001</v>
      </c>
      <c r="M102" s="44">
        <v>0</v>
      </c>
      <c r="N102" s="23" t="s">
        <v>564</v>
      </c>
      <c r="O102" s="44"/>
      <c r="P102" s="45"/>
      <c r="Q102" s="23"/>
    </row>
    <row r="103" spans="1:17" x14ac:dyDescent="0.35">
      <c r="A103" s="40">
        <v>256779411581</v>
      </c>
      <c r="B103" s="41">
        <v>45762</v>
      </c>
      <c r="C103" s="23" t="s">
        <v>649</v>
      </c>
      <c r="D103" s="23" t="s">
        <v>743</v>
      </c>
      <c r="E103" s="23" t="s">
        <v>562</v>
      </c>
      <c r="F103" s="23" t="s">
        <v>724</v>
      </c>
      <c r="G103" s="44"/>
      <c r="H103" s="44">
        <v>186.41</v>
      </c>
      <c r="I103" s="44">
        <v>-778767.25679999997</v>
      </c>
      <c r="J103" s="44"/>
      <c r="K103" s="44">
        <v>2.16</v>
      </c>
      <c r="L103" s="44">
        <v>-9090.2518</v>
      </c>
      <c r="M103" s="44">
        <v>0</v>
      </c>
      <c r="N103" s="23" t="s">
        <v>564</v>
      </c>
      <c r="O103" s="44"/>
      <c r="P103" s="45"/>
      <c r="Q103" s="23"/>
    </row>
    <row r="104" spans="1:17" x14ac:dyDescent="0.35">
      <c r="A104" s="40">
        <v>256779411582</v>
      </c>
      <c r="B104" s="41">
        <v>45762</v>
      </c>
      <c r="C104" s="23" t="s">
        <v>649</v>
      </c>
      <c r="D104" s="23" t="s">
        <v>744</v>
      </c>
      <c r="E104" s="23" t="s">
        <v>562</v>
      </c>
      <c r="F104" s="23" t="s">
        <v>724</v>
      </c>
      <c r="G104" s="44"/>
      <c r="H104" s="44">
        <v>94.070499999999996</v>
      </c>
      <c r="I104" s="44">
        <v>-778861.3273</v>
      </c>
      <c r="J104" s="44"/>
      <c r="K104" s="44">
        <v>1.0900000000000001</v>
      </c>
      <c r="L104" s="44">
        <v>-9091.3418000000001</v>
      </c>
      <c r="M104" s="44">
        <v>0</v>
      </c>
      <c r="N104" s="23" t="s">
        <v>564</v>
      </c>
      <c r="O104" s="44"/>
      <c r="P104" s="45"/>
      <c r="Q104" s="23"/>
    </row>
    <row r="105" spans="1:17" x14ac:dyDescent="0.35">
      <c r="A105" s="40">
        <v>256779411583</v>
      </c>
      <c r="B105" s="41">
        <v>45762</v>
      </c>
      <c r="C105" s="23" t="s">
        <v>649</v>
      </c>
      <c r="D105" s="23" t="s">
        <v>745</v>
      </c>
      <c r="E105" s="23" t="s">
        <v>562</v>
      </c>
      <c r="F105" s="23" t="s">
        <v>724</v>
      </c>
      <c r="G105" s="44"/>
      <c r="H105" s="44">
        <v>933.05</v>
      </c>
      <c r="I105" s="44">
        <v>-779794.37730000005</v>
      </c>
      <c r="J105" s="44"/>
      <c r="K105" s="44">
        <v>10.78</v>
      </c>
      <c r="L105" s="44">
        <v>-9102.1218000000008</v>
      </c>
      <c r="M105" s="44">
        <v>0</v>
      </c>
      <c r="N105" s="23" t="s">
        <v>564</v>
      </c>
      <c r="O105" s="44"/>
      <c r="P105" s="45"/>
      <c r="Q105" s="23"/>
    </row>
    <row r="106" spans="1:17" x14ac:dyDescent="0.35">
      <c r="A106" s="40">
        <v>256779411584</v>
      </c>
      <c r="B106" s="41">
        <v>45762</v>
      </c>
      <c r="C106" s="23" t="s">
        <v>649</v>
      </c>
      <c r="D106" s="23" t="s">
        <v>746</v>
      </c>
      <c r="E106" s="23" t="s">
        <v>562</v>
      </c>
      <c r="F106" s="23" t="s">
        <v>724</v>
      </c>
      <c r="G106" s="44"/>
      <c r="H106" s="44">
        <v>1968.8254999999999</v>
      </c>
      <c r="I106" s="44">
        <v>-781763.20279999997</v>
      </c>
      <c r="J106" s="44"/>
      <c r="K106" s="44">
        <v>22.75</v>
      </c>
      <c r="L106" s="44">
        <v>-9124.8718000000008</v>
      </c>
      <c r="M106" s="44">
        <v>0</v>
      </c>
      <c r="N106" s="23" t="s">
        <v>564</v>
      </c>
      <c r="O106" s="44"/>
      <c r="P106" s="45"/>
      <c r="Q106" s="23"/>
    </row>
    <row r="107" spans="1:17" x14ac:dyDescent="0.35">
      <c r="A107" s="40">
        <v>256779411585</v>
      </c>
      <c r="B107" s="41">
        <v>45762</v>
      </c>
      <c r="C107" s="23" t="s">
        <v>649</v>
      </c>
      <c r="D107" s="23" t="s">
        <v>747</v>
      </c>
      <c r="E107" s="23" t="s">
        <v>562</v>
      </c>
      <c r="F107" s="23" t="s">
        <v>724</v>
      </c>
      <c r="G107" s="44"/>
      <c r="H107" s="44">
        <v>661.95550000000003</v>
      </c>
      <c r="I107" s="44">
        <v>-782425.15830000001</v>
      </c>
      <c r="J107" s="44"/>
      <c r="K107" s="44">
        <v>7.65</v>
      </c>
      <c r="L107" s="44">
        <v>-9132.5218000000004</v>
      </c>
      <c r="M107" s="44">
        <v>0</v>
      </c>
      <c r="N107" s="23" t="s">
        <v>564</v>
      </c>
      <c r="O107" s="44"/>
      <c r="P107" s="45"/>
      <c r="Q107" s="23"/>
    </row>
    <row r="108" spans="1:17" x14ac:dyDescent="0.35">
      <c r="A108" s="40">
        <v>256779411887</v>
      </c>
      <c r="B108" s="41">
        <v>45763</v>
      </c>
      <c r="C108" s="23" t="s">
        <v>649</v>
      </c>
      <c r="D108" s="23" t="s">
        <v>650</v>
      </c>
      <c r="E108" s="23" t="s">
        <v>562</v>
      </c>
      <c r="F108" s="23" t="s">
        <v>567</v>
      </c>
      <c r="G108" s="44"/>
      <c r="H108" s="44">
        <v>5965.8855999999996</v>
      </c>
      <c r="I108" s="44">
        <v>-2143241.3020000001</v>
      </c>
      <c r="J108" s="44"/>
      <c r="K108" s="44">
        <v>69.795599999999993</v>
      </c>
      <c r="L108" s="44">
        <v>-25043.7984</v>
      </c>
      <c r="M108" s="44">
        <v>0</v>
      </c>
      <c r="N108" s="23" t="s">
        <v>564</v>
      </c>
      <c r="O108" s="44"/>
      <c r="P108" s="45"/>
      <c r="Q108" s="23"/>
    </row>
    <row r="109" spans="1:17" x14ac:dyDescent="0.35">
      <c r="A109" s="40">
        <v>256779412020</v>
      </c>
      <c r="B109" s="41">
        <v>45763</v>
      </c>
      <c r="C109" s="23" t="s">
        <v>649</v>
      </c>
      <c r="D109" s="23" t="s">
        <v>655</v>
      </c>
      <c r="E109" s="23" t="s">
        <v>562</v>
      </c>
      <c r="F109" s="23" t="s">
        <v>573</v>
      </c>
      <c r="G109" s="44"/>
      <c r="H109" s="44">
        <v>7137.7507999999998</v>
      </c>
      <c r="I109" s="44">
        <v>-2295609.4528000001</v>
      </c>
      <c r="J109" s="44"/>
      <c r="K109" s="44">
        <v>83.505799999999994</v>
      </c>
      <c r="L109" s="44">
        <v>-26826.304199999999</v>
      </c>
      <c r="M109" s="44">
        <v>0</v>
      </c>
      <c r="N109" s="23" t="s">
        <v>564</v>
      </c>
      <c r="O109" s="44"/>
      <c r="P109" s="45"/>
      <c r="Q109" s="23"/>
    </row>
    <row r="110" spans="1:17" x14ac:dyDescent="0.35">
      <c r="A110" s="40">
        <v>256779412126</v>
      </c>
      <c r="B110" s="41">
        <v>45763</v>
      </c>
      <c r="C110" s="23" t="s">
        <v>649</v>
      </c>
      <c r="D110" s="23" t="s">
        <v>666</v>
      </c>
      <c r="E110" s="23" t="s">
        <v>562</v>
      </c>
      <c r="F110" s="23" t="s">
        <v>563</v>
      </c>
      <c r="G110" s="44"/>
      <c r="H110" s="44">
        <v>38650.758199999997</v>
      </c>
      <c r="I110" s="44">
        <v>-1458025.4436000001</v>
      </c>
      <c r="J110" s="44"/>
      <c r="K110" s="44">
        <v>450.52199999999999</v>
      </c>
      <c r="L110" s="44">
        <v>-17035.859</v>
      </c>
      <c r="M110" s="44">
        <v>0</v>
      </c>
      <c r="N110" s="23" t="s">
        <v>564</v>
      </c>
      <c r="O110" s="44"/>
      <c r="P110" s="45"/>
      <c r="Q110" s="23"/>
    </row>
    <row r="111" spans="1:17" x14ac:dyDescent="0.35">
      <c r="A111" s="40">
        <v>256779411984</v>
      </c>
      <c r="B111" s="41">
        <v>45763</v>
      </c>
      <c r="C111" s="23" t="s">
        <v>649</v>
      </c>
      <c r="D111" s="23" t="s">
        <v>677</v>
      </c>
      <c r="E111" s="23" t="s">
        <v>562</v>
      </c>
      <c r="F111" s="23" t="s">
        <v>573</v>
      </c>
      <c r="G111" s="44"/>
      <c r="H111" s="44">
        <v>3324.1365999999998</v>
      </c>
      <c r="I111" s="44">
        <v>-1668425.0773</v>
      </c>
      <c r="J111" s="44"/>
      <c r="K111" s="44">
        <v>38.749200000000002</v>
      </c>
      <c r="L111" s="44">
        <v>-19488.378799999999</v>
      </c>
      <c r="M111" s="44">
        <v>0</v>
      </c>
      <c r="N111" s="23" t="s">
        <v>564</v>
      </c>
      <c r="O111" s="44"/>
      <c r="P111" s="45"/>
      <c r="Q111" s="23"/>
    </row>
    <row r="112" spans="1:17" x14ac:dyDescent="0.35">
      <c r="A112" s="40">
        <v>256779412177</v>
      </c>
      <c r="B112" s="42">
        <v>45768</v>
      </c>
      <c r="C112" s="23" t="s">
        <v>649</v>
      </c>
      <c r="D112" s="23" t="s">
        <v>674</v>
      </c>
      <c r="E112" s="23" t="s">
        <v>562</v>
      </c>
      <c r="F112" s="23" t="s">
        <v>569</v>
      </c>
      <c r="G112" s="44"/>
      <c r="H112" s="44">
        <v>34292.025199999996</v>
      </c>
      <c r="I112" s="44">
        <v>-1566812.8484</v>
      </c>
      <c r="J112" s="44"/>
      <c r="K112" s="44">
        <v>399.72239999999999</v>
      </c>
      <c r="L112" s="44">
        <v>-18302.796600000001</v>
      </c>
      <c r="M112" s="44">
        <v>0</v>
      </c>
      <c r="N112" s="23" t="s">
        <v>564</v>
      </c>
      <c r="O112" s="44"/>
      <c r="P112" s="45"/>
      <c r="Q112" s="23"/>
    </row>
    <row r="113" spans="1:17" x14ac:dyDescent="0.35">
      <c r="A113" s="40">
        <v>256779412142</v>
      </c>
      <c r="B113" s="42">
        <v>45768</v>
      </c>
      <c r="C113" s="23" t="s">
        <v>649</v>
      </c>
      <c r="D113" s="23" t="s">
        <v>675</v>
      </c>
      <c r="E113" s="23" t="s">
        <v>562</v>
      </c>
      <c r="F113" s="23" t="s">
        <v>563</v>
      </c>
      <c r="G113" s="44"/>
      <c r="H113" s="44">
        <v>89979.092300000004</v>
      </c>
      <c r="I113" s="44">
        <v>-1656791.9406999999</v>
      </c>
      <c r="J113" s="44"/>
      <c r="K113" s="44">
        <v>1048.8330000000001</v>
      </c>
      <c r="L113" s="44">
        <v>-19351.6296</v>
      </c>
      <c r="M113" s="44">
        <v>0</v>
      </c>
      <c r="N113" s="23" t="s">
        <v>564</v>
      </c>
      <c r="O113" s="44"/>
      <c r="P113" s="45"/>
      <c r="Q113" s="23"/>
    </row>
    <row r="114" spans="1:17" x14ac:dyDescent="0.35">
      <c r="A114" s="40">
        <v>256779412550</v>
      </c>
      <c r="B114" s="41">
        <v>45769</v>
      </c>
      <c r="C114" s="23" t="s">
        <v>649</v>
      </c>
      <c r="D114" s="23" t="s">
        <v>656</v>
      </c>
      <c r="E114" s="23" t="s">
        <v>562</v>
      </c>
      <c r="F114" s="23" t="s">
        <v>567</v>
      </c>
      <c r="G114" s="44"/>
      <c r="H114" s="44">
        <v>7304.8559999999998</v>
      </c>
      <c r="I114" s="44">
        <v>-2302914.3088000002</v>
      </c>
      <c r="J114" s="44"/>
      <c r="K114" s="44">
        <v>85.456000000000003</v>
      </c>
      <c r="L114" s="44">
        <v>-26911.760200000001</v>
      </c>
      <c r="M114" s="44">
        <v>0</v>
      </c>
      <c r="N114" s="23" t="s">
        <v>564</v>
      </c>
      <c r="O114" s="44"/>
      <c r="P114" s="45"/>
      <c r="Q114" s="23"/>
    </row>
    <row r="115" spans="1:17" x14ac:dyDescent="0.35">
      <c r="A115" s="40">
        <v>256779412582</v>
      </c>
      <c r="B115" s="41">
        <v>45769</v>
      </c>
      <c r="C115" s="23" t="s">
        <v>649</v>
      </c>
      <c r="D115" s="23" t="s">
        <v>657</v>
      </c>
      <c r="E115" s="23" t="s">
        <v>562</v>
      </c>
      <c r="F115" s="23" t="s">
        <v>567</v>
      </c>
      <c r="G115" s="44"/>
      <c r="H115" s="44">
        <v>4771.0860000000002</v>
      </c>
      <c r="I115" s="44">
        <v>-2307685.3947999999</v>
      </c>
      <c r="J115" s="44"/>
      <c r="K115" s="44">
        <v>55.811</v>
      </c>
      <c r="L115" s="44">
        <v>-26967.571199999998</v>
      </c>
      <c r="M115" s="44">
        <v>0</v>
      </c>
      <c r="N115" s="23" t="s">
        <v>564</v>
      </c>
      <c r="O115" s="44"/>
      <c r="P115" s="45"/>
      <c r="Q115" s="23"/>
    </row>
    <row r="116" spans="1:17" x14ac:dyDescent="0.35">
      <c r="A116" s="40">
        <v>256779412657</v>
      </c>
      <c r="B116" s="41">
        <v>45769</v>
      </c>
      <c r="C116" s="23" t="s">
        <v>649</v>
      </c>
      <c r="D116" s="23" t="s">
        <v>678</v>
      </c>
      <c r="E116" s="23" t="s">
        <v>562</v>
      </c>
      <c r="F116" s="23" t="s">
        <v>567</v>
      </c>
      <c r="G116" s="44"/>
      <c r="H116" s="44">
        <v>414.94470000000001</v>
      </c>
      <c r="I116" s="44">
        <v>-1668840.0220000001</v>
      </c>
      <c r="J116" s="44"/>
      <c r="K116" s="44">
        <v>4.8314000000000004</v>
      </c>
      <c r="L116" s="44">
        <v>-19493.210200000001</v>
      </c>
      <c r="M116" s="44">
        <v>0</v>
      </c>
      <c r="N116" s="23" t="s">
        <v>564</v>
      </c>
      <c r="O116" s="44"/>
      <c r="P116" s="45"/>
      <c r="Q116" s="23"/>
    </row>
    <row r="117" spans="1:17" x14ac:dyDescent="0.35">
      <c r="A117" s="40">
        <v>256779412615</v>
      </c>
      <c r="B117" s="41">
        <v>45769</v>
      </c>
      <c r="C117" s="23" t="s">
        <v>649</v>
      </c>
      <c r="D117" s="23" t="s">
        <v>679</v>
      </c>
      <c r="E117" s="23" t="s">
        <v>562</v>
      </c>
      <c r="F117" s="23" t="s">
        <v>567</v>
      </c>
      <c r="G117" s="44"/>
      <c r="H117" s="44">
        <v>7330.8879999999999</v>
      </c>
      <c r="I117" s="44">
        <v>-1676170.91</v>
      </c>
      <c r="J117" s="44"/>
      <c r="K117" s="44">
        <v>85.456000000000003</v>
      </c>
      <c r="L117" s="44">
        <v>-19578.6662</v>
      </c>
      <c r="M117" s="44">
        <v>0</v>
      </c>
      <c r="N117" s="23" t="s">
        <v>564</v>
      </c>
      <c r="O117" s="44"/>
      <c r="P117" s="45"/>
      <c r="Q117" s="23"/>
    </row>
    <row r="118" spans="1:17" x14ac:dyDescent="0.35">
      <c r="A118" s="40">
        <v>256779412928</v>
      </c>
      <c r="B118" s="41">
        <v>45770</v>
      </c>
      <c r="C118" s="23" t="s">
        <v>649</v>
      </c>
      <c r="D118" s="23" t="s">
        <v>758</v>
      </c>
      <c r="E118" s="23" t="s">
        <v>562</v>
      </c>
      <c r="F118" s="23" t="s">
        <v>724</v>
      </c>
      <c r="G118" s="44"/>
      <c r="H118" s="44">
        <v>1031.5008</v>
      </c>
      <c r="I118" s="44">
        <v>-897643.21070000005</v>
      </c>
      <c r="J118" s="44"/>
      <c r="K118" s="44">
        <v>11.877599999999999</v>
      </c>
      <c r="L118" s="44">
        <v>-10459.313200000001</v>
      </c>
      <c r="M118" s="44">
        <v>0</v>
      </c>
      <c r="N118" s="23" t="s">
        <v>564</v>
      </c>
      <c r="O118" s="44"/>
      <c r="P118" s="45"/>
      <c r="Q118" s="23"/>
    </row>
    <row r="119" spans="1:17" x14ac:dyDescent="0.35">
      <c r="A119" s="40">
        <v>256779413244</v>
      </c>
      <c r="B119" s="41">
        <v>45787</v>
      </c>
      <c r="C119" s="23" t="s">
        <v>649</v>
      </c>
      <c r="D119" s="23" t="s">
        <v>672</v>
      </c>
      <c r="E119" s="23" t="s">
        <v>562</v>
      </c>
      <c r="F119" s="23" t="s">
        <v>573</v>
      </c>
      <c r="G119" s="44"/>
      <c r="H119" s="44">
        <v>33734.3796</v>
      </c>
      <c r="I119" s="44">
        <v>-1524113.8232</v>
      </c>
      <c r="J119" s="44"/>
      <c r="K119" s="44">
        <v>393.21519999999998</v>
      </c>
      <c r="L119" s="44">
        <v>-17805.074199999999</v>
      </c>
      <c r="M119" s="44">
        <v>0</v>
      </c>
      <c r="N119" s="23" t="s">
        <v>564</v>
      </c>
      <c r="O119" s="44"/>
      <c r="P119" s="45"/>
      <c r="Q119" s="23"/>
    </row>
    <row r="120" spans="1:17" x14ac:dyDescent="0.35">
      <c r="A120" s="40">
        <v>256779413231</v>
      </c>
      <c r="B120" s="41">
        <v>45787</v>
      </c>
      <c r="C120" s="23" t="s">
        <v>649</v>
      </c>
      <c r="D120" s="23" t="s">
        <v>673</v>
      </c>
      <c r="E120" s="23" t="s">
        <v>562</v>
      </c>
      <c r="F120" s="23" t="s">
        <v>573</v>
      </c>
      <c r="G120" s="44"/>
      <c r="H120" s="44">
        <v>8407</v>
      </c>
      <c r="I120" s="44">
        <v>-1532520.8232</v>
      </c>
      <c r="J120" s="44"/>
      <c r="K120" s="44">
        <v>98</v>
      </c>
      <c r="L120" s="44">
        <v>-17903.074199999999</v>
      </c>
      <c r="M120" s="44">
        <v>0</v>
      </c>
      <c r="N120" s="23" t="s">
        <v>564</v>
      </c>
      <c r="O120" s="44"/>
      <c r="P120" s="45"/>
      <c r="Q120" s="23"/>
    </row>
    <row r="121" spans="1:17" x14ac:dyDescent="0.35">
      <c r="A121" s="40">
        <v>256779413144</v>
      </c>
      <c r="B121" s="41">
        <v>45787</v>
      </c>
      <c r="C121" s="23" t="s">
        <v>649</v>
      </c>
      <c r="D121" s="23" t="s">
        <v>773</v>
      </c>
      <c r="E121" s="23" t="s">
        <v>562</v>
      </c>
      <c r="F121" s="23" t="s">
        <v>563</v>
      </c>
      <c r="G121" s="44"/>
      <c r="H121" s="44">
        <v>89577.395799999998</v>
      </c>
      <c r="I121" s="44">
        <v>-950718.10649999999</v>
      </c>
      <c r="J121" s="44"/>
      <c r="K121" s="44">
        <v>1046.71</v>
      </c>
      <c r="L121" s="44">
        <v>-11019.473400000001</v>
      </c>
      <c r="M121" s="44">
        <v>0</v>
      </c>
      <c r="N121" s="23" t="s">
        <v>564</v>
      </c>
      <c r="O121" s="44"/>
      <c r="P121" s="45"/>
      <c r="Q121" s="23"/>
    </row>
    <row r="122" spans="1:17" x14ac:dyDescent="0.35">
      <c r="A122" s="40">
        <v>256779413145</v>
      </c>
      <c r="B122" s="41">
        <v>45787</v>
      </c>
      <c r="C122" s="23" t="s">
        <v>649</v>
      </c>
      <c r="D122" s="23" t="s">
        <v>795</v>
      </c>
      <c r="E122" s="23" t="s">
        <v>562</v>
      </c>
      <c r="F122" s="23" t="s">
        <v>563</v>
      </c>
      <c r="G122" s="44"/>
      <c r="H122" s="44">
        <v>32484.123500000002</v>
      </c>
      <c r="I122" s="44">
        <v>-160515.8682</v>
      </c>
      <c r="J122" s="44"/>
      <c r="K122" s="44">
        <v>366.34500000000003</v>
      </c>
      <c r="L122" s="44">
        <v>-1810.1396</v>
      </c>
      <c r="M122" s="44">
        <v>0</v>
      </c>
      <c r="N122" s="23" t="s">
        <v>564</v>
      </c>
      <c r="O122" s="44"/>
      <c r="P122" s="45"/>
      <c r="Q122" s="23"/>
    </row>
    <row r="123" spans="1:17" x14ac:dyDescent="0.35">
      <c r="A123" s="40">
        <v>256779413256</v>
      </c>
      <c r="B123" s="41">
        <v>45793</v>
      </c>
      <c r="C123" s="23" t="s">
        <v>649</v>
      </c>
      <c r="D123" s="23" t="s">
        <v>703</v>
      </c>
      <c r="E123" s="23" t="s">
        <v>562</v>
      </c>
      <c r="F123" s="23" t="s">
        <v>704</v>
      </c>
      <c r="G123" s="44"/>
      <c r="H123" s="44">
        <v>22625.7</v>
      </c>
      <c r="I123" s="44">
        <v>-914733.35199999996</v>
      </c>
      <c r="J123" s="44"/>
      <c r="K123" s="44">
        <v>264.60000000000002</v>
      </c>
      <c r="L123" s="44">
        <v>-10690.996800000001</v>
      </c>
      <c r="M123" s="44">
        <v>0</v>
      </c>
      <c r="N123" s="23" t="s">
        <v>564</v>
      </c>
      <c r="O123" s="44"/>
      <c r="P123" s="45"/>
      <c r="Q123" s="23"/>
    </row>
    <row r="124" spans="1:17" x14ac:dyDescent="0.35">
      <c r="A124" s="40">
        <v>256779413284</v>
      </c>
      <c r="B124" s="41">
        <v>45793</v>
      </c>
      <c r="C124" s="23" t="s">
        <v>649</v>
      </c>
      <c r="D124" s="23" t="s">
        <v>705</v>
      </c>
      <c r="E124" s="23" t="s">
        <v>562</v>
      </c>
      <c r="F124" s="23" t="s">
        <v>573</v>
      </c>
      <c r="G124" s="44"/>
      <c r="H124" s="44">
        <v>2932.85</v>
      </c>
      <c r="I124" s="44">
        <v>-917666.20200000005</v>
      </c>
      <c r="J124" s="44"/>
      <c r="K124" s="44">
        <v>34.299999999999997</v>
      </c>
      <c r="L124" s="44">
        <v>-10725.2968</v>
      </c>
      <c r="M124" s="44">
        <v>0</v>
      </c>
      <c r="N124" s="23" t="s">
        <v>564</v>
      </c>
      <c r="O124" s="44"/>
      <c r="P124" s="45"/>
      <c r="Q124" s="23"/>
    </row>
    <row r="125" spans="1:17" x14ac:dyDescent="0.35">
      <c r="A125" s="40">
        <v>256779412101</v>
      </c>
      <c r="B125" s="41">
        <v>45793</v>
      </c>
      <c r="C125" s="23" t="s">
        <v>649</v>
      </c>
      <c r="D125" s="23" t="s">
        <v>765</v>
      </c>
      <c r="E125" s="23" t="s">
        <v>562</v>
      </c>
      <c r="F125" s="23" t="s">
        <v>573</v>
      </c>
      <c r="G125" s="44"/>
      <c r="H125" s="44">
        <v>14655.223900000001</v>
      </c>
      <c r="I125" s="44">
        <v>-555708.94629999995</v>
      </c>
      <c r="J125" s="44"/>
      <c r="K125" s="44">
        <v>168.28</v>
      </c>
      <c r="L125" s="44">
        <v>-6446.9834000000001</v>
      </c>
      <c r="M125" s="44">
        <v>0</v>
      </c>
      <c r="N125" s="23" t="s">
        <v>564</v>
      </c>
      <c r="O125" s="44"/>
      <c r="P125" s="45"/>
      <c r="Q125" s="23"/>
    </row>
    <row r="126" spans="1:17" x14ac:dyDescent="0.35">
      <c r="A126" s="40">
        <v>256779413358</v>
      </c>
      <c r="B126" s="41">
        <v>45793</v>
      </c>
      <c r="C126" s="23" t="s">
        <v>649</v>
      </c>
      <c r="D126" s="23" t="s">
        <v>788</v>
      </c>
      <c r="E126" s="23" t="s">
        <v>562</v>
      </c>
      <c r="F126" s="23" t="s">
        <v>724</v>
      </c>
      <c r="G126" s="44"/>
      <c r="H126" s="44">
        <v>1747.1537000000001</v>
      </c>
      <c r="I126" s="44">
        <v>-1456.2492999999999</v>
      </c>
      <c r="J126" s="44"/>
      <c r="K126" s="44">
        <v>19.707799999999999</v>
      </c>
      <c r="L126" s="44">
        <v>-16.306999999999999</v>
      </c>
      <c r="M126" s="44">
        <v>0</v>
      </c>
      <c r="N126" s="23" t="s">
        <v>564</v>
      </c>
      <c r="O126" s="44"/>
      <c r="P126" s="45"/>
      <c r="Q126" s="23"/>
    </row>
    <row r="127" spans="1:17" x14ac:dyDescent="0.35">
      <c r="A127" s="40">
        <v>256779413313</v>
      </c>
      <c r="B127" s="41">
        <v>45793</v>
      </c>
      <c r="C127" s="23" t="s">
        <v>649</v>
      </c>
      <c r="D127" s="23" t="s">
        <v>792</v>
      </c>
      <c r="E127" s="23" t="s">
        <v>562</v>
      </c>
      <c r="F127" s="23" t="s">
        <v>724</v>
      </c>
      <c r="G127" s="44"/>
      <c r="H127" s="44">
        <v>7472.62</v>
      </c>
      <c r="I127" s="44">
        <v>-67542.557700000005</v>
      </c>
      <c r="J127" s="44"/>
      <c r="K127" s="44">
        <v>84.28</v>
      </c>
      <c r="L127" s="44">
        <v>-761.61659999999995</v>
      </c>
      <c r="M127" s="44">
        <v>0</v>
      </c>
      <c r="N127" s="23" t="s">
        <v>564</v>
      </c>
      <c r="O127" s="44"/>
      <c r="P127" s="45"/>
      <c r="Q127" s="23"/>
    </row>
    <row r="128" spans="1:17" x14ac:dyDescent="0.35">
      <c r="A128" s="40">
        <v>256779413847</v>
      </c>
      <c r="B128" s="42">
        <v>45797</v>
      </c>
      <c r="C128" s="23" t="s">
        <v>668</v>
      </c>
      <c r="D128" s="23" t="s">
        <v>669</v>
      </c>
      <c r="E128" s="23" t="s">
        <v>562</v>
      </c>
      <c r="F128" s="23" t="s">
        <v>573</v>
      </c>
      <c r="G128" s="44"/>
      <c r="H128" s="44">
        <v>8407</v>
      </c>
      <c r="I128" s="44">
        <v>-1481874.4436000001</v>
      </c>
      <c r="J128" s="44"/>
      <c r="K128" s="44">
        <v>98</v>
      </c>
      <c r="L128" s="44">
        <v>-17313.859</v>
      </c>
      <c r="M128" s="44">
        <v>0</v>
      </c>
      <c r="N128" s="23" t="s">
        <v>670</v>
      </c>
      <c r="O128" s="44"/>
      <c r="P128" s="45"/>
      <c r="Q128" s="23"/>
    </row>
    <row r="129" spans="1:17" x14ac:dyDescent="0.35">
      <c r="A129" s="40">
        <v>256779413841</v>
      </c>
      <c r="B129" s="41">
        <v>45797</v>
      </c>
      <c r="C129" s="23" t="s">
        <v>649</v>
      </c>
      <c r="D129" s="23" t="s">
        <v>671</v>
      </c>
      <c r="E129" s="23" t="s">
        <v>562</v>
      </c>
      <c r="F129" s="23" t="s">
        <v>573</v>
      </c>
      <c r="G129" s="44"/>
      <c r="H129" s="44">
        <v>8407</v>
      </c>
      <c r="I129" s="44">
        <v>-1490281.4436000001</v>
      </c>
      <c r="J129" s="44"/>
      <c r="K129" s="44">
        <v>98</v>
      </c>
      <c r="L129" s="44">
        <v>-17411.859</v>
      </c>
      <c r="M129" s="44">
        <v>0</v>
      </c>
      <c r="N129" s="23" t="s">
        <v>564</v>
      </c>
      <c r="O129" s="44"/>
      <c r="P129" s="45"/>
      <c r="Q129" s="23"/>
    </row>
    <row r="130" spans="1:17" x14ac:dyDescent="0.35">
      <c r="A130" s="40">
        <v>256779413848</v>
      </c>
      <c r="B130" s="42">
        <v>45797</v>
      </c>
      <c r="C130" s="23" t="s">
        <v>649</v>
      </c>
      <c r="D130" s="23" t="s">
        <v>676</v>
      </c>
      <c r="E130" s="23" t="s">
        <v>562</v>
      </c>
      <c r="F130" s="23" t="s">
        <v>573</v>
      </c>
      <c r="G130" s="44"/>
      <c r="H130" s="44">
        <v>8407</v>
      </c>
      <c r="I130" s="44">
        <v>-1665100.9406999999</v>
      </c>
      <c r="J130" s="44"/>
      <c r="K130" s="44">
        <v>98</v>
      </c>
      <c r="L130" s="44">
        <v>-19449.6296</v>
      </c>
      <c r="M130" s="44">
        <v>0</v>
      </c>
      <c r="N130" s="23" t="s">
        <v>564</v>
      </c>
      <c r="O130" s="44"/>
      <c r="P130" s="45"/>
      <c r="Q130" s="23"/>
    </row>
    <row r="131" spans="1:17" x14ac:dyDescent="0.35">
      <c r="A131" s="40">
        <v>256779413487</v>
      </c>
      <c r="B131" s="41">
        <v>45797</v>
      </c>
      <c r="C131" s="23" t="s">
        <v>649</v>
      </c>
      <c r="D131" s="23" t="s">
        <v>789</v>
      </c>
      <c r="E131" s="23" t="s">
        <v>562</v>
      </c>
      <c r="F131" s="23" t="s">
        <v>724</v>
      </c>
      <c r="G131" s="44"/>
      <c r="H131" s="44">
        <v>8506.7929999999997</v>
      </c>
      <c r="I131" s="44">
        <v>-9963.0422999999992</v>
      </c>
      <c r="J131" s="44"/>
      <c r="K131" s="44">
        <v>95.941999999999993</v>
      </c>
      <c r="L131" s="44">
        <v>-112.249</v>
      </c>
      <c r="M131" s="44">
        <v>0</v>
      </c>
      <c r="N131" s="23" t="s">
        <v>564</v>
      </c>
      <c r="O131" s="44"/>
      <c r="P131" s="45"/>
      <c r="Q131" s="23"/>
    </row>
    <row r="132" spans="1:17" x14ac:dyDescent="0.35">
      <c r="A132" s="40">
        <v>256779413897</v>
      </c>
      <c r="B132" s="41">
        <v>45805</v>
      </c>
      <c r="C132" s="23" t="s">
        <v>649</v>
      </c>
      <c r="D132" s="23" t="s">
        <v>877</v>
      </c>
      <c r="E132" s="23" t="s">
        <v>562</v>
      </c>
      <c r="F132" s="23" t="s">
        <v>563</v>
      </c>
      <c r="G132" s="44"/>
      <c r="H132" s="44">
        <v>42810.575199999999</v>
      </c>
      <c r="I132" s="44">
        <v>-993565.54749999999</v>
      </c>
      <c r="J132" s="44"/>
      <c r="K132" s="44">
        <v>497.916</v>
      </c>
      <c r="L132" s="44">
        <v>-11274.032999999999</v>
      </c>
      <c r="M132" s="44">
        <v>-497.916</v>
      </c>
      <c r="N132" s="23" t="s">
        <v>564</v>
      </c>
      <c r="O132" s="44"/>
      <c r="P132" s="45"/>
      <c r="Q132" s="23"/>
    </row>
    <row r="133" spans="1:17" x14ac:dyDescent="0.35">
      <c r="A133" s="40">
        <v>256779414275</v>
      </c>
      <c r="B133" s="41">
        <v>45812</v>
      </c>
      <c r="C133" s="23" t="s">
        <v>649</v>
      </c>
      <c r="D133" s="23" t="s">
        <v>706</v>
      </c>
      <c r="E133" s="23" t="s">
        <v>562</v>
      </c>
      <c r="F133" s="23" t="s">
        <v>573</v>
      </c>
      <c r="G133" s="44"/>
      <c r="H133" s="44">
        <v>11403.200800000001</v>
      </c>
      <c r="I133" s="44">
        <v>-929069.40280000004</v>
      </c>
      <c r="J133" s="44"/>
      <c r="K133" s="44">
        <v>133.35839999999999</v>
      </c>
      <c r="L133" s="44">
        <v>-10858.655199999999</v>
      </c>
      <c r="M133" s="44">
        <v>0</v>
      </c>
      <c r="N133" s="23" t="s">
        <v>564</v>
      </c>
      <c r="O133" s="44"/>
      <c r="P133" s="45"/>
      <c r="Q133" s="23"/>
    </row>
    <row r="134" spans="1:17" x14ac:dyDescent="0.35">
      <c r="A134" s="40">
        <v>256779414217</v>
      </c>
      <c r="B134" s="41">
        <v>45812</v>
      </c>
      <c r="C134" s="23" t="s">
        <v>649</v>
      </c>
      <c r="D134" s="23" t="s">
        <v>756</v>
      </c>
      <c r="E134" s="23" t="s">
        <v>562</v>
      </c>
      <c r="F134" s="23" t="s">
        <v>724</v>
      </c>
      <c r="G134" s="44"/>
      <c r="H134" s="44">
        <v>6106.6383999999998</v>
      </c>
      <c r="I134" s="44">
        <v>-895773.33589999995</v>
      </c>
      <c r="J134" s="44"/>
      <c r="K134" s="44">
        <v>70.324799999999996</v>
      </c>
      <c r="L134" s="44">
        <v>-10437.7826</v>
      </c>
      <c r="M134" s="44">
        <v>0</v>
      </c>
      <c r="N134" s="23" t="s">
        <v>564</v>
      </c>
      <c r="O134" s="44"/>
      <c r="P134" s="45"/>
      <c r="Q134" s="23"/>
    </row>
    <row r="135" spans="1:17" x14ac:dyDescent="0.35">
      <c r="A135" s="40"/>
      <c r="B135" s="41">
        <v>45813</v>
      </c>
      <c r="C135" s="23" t="s">
        <v>658</v>
      </c>
      <c r="D135" s="23" t="s">
        <v>659</v>
      </c>
      <c r="E135" s="23" t="s">
        <v>660</v>
      </c>
      <c r="F135" s="23" t="s">
        <v>661</v>
      </c>
      <c r="G135" s="44">
        <v>302049.55200000003</v>
      </c>
      <c r="H135" s="44"/>
      <c r="I135" s="44">
        <v>-2005635.8428</v>
      </c>
      <c r="J135" s="44">
        <v>3529.5558000000001</v>
      </c>
      <c r="K135" s="44"/>
      <c r="L135" s="44">
        <v>-23438.0154</v>
      </c>
      <c r="M135" s="44">
        <v>0</v>
      </c>
      <c r="N135" s="23" t="s">
        <v>564</v>
      </c>
      <c r="O135" s="44"/>
      <c r="P135" s="45"/>
      <c r="Q135" s="23"/>
    </row>
    <row r="136" spans="1:17" x14ac:dyDescent="0.35">
      <c r="A136" s="40"/>
      <c r="B136" s="41">
        <v>45813</v>
      </c>
      <c r="C136" s="23" t="s">
        <v>658</v>
      </c>
      <c r="D136" s="23" t="s">
        <v>662</v>
      </c>
      <c r="E136" s="23" t="s">
        <v>663</v>
      </c>
      <c r="F136" s="23" t="s">
        <v>661</v>
      </c>
      <c r="G136" s="44">
        <v>271057.80579999997</v>
      </c>
      <c r="H136" s="44"/>
      <c r="I136" s="44">
        <v>-1734578.037</v>
      </c>
      <c r="J136" s="44">
        <v>3167.4751999999999</v>
      </c>
      <c r="K136" s="44"/>
      <c r="L136" s="44">
        <v>-20270.540199999999</v>
      </c>
      <c r="M136" s="44">
        <v>0</v>
      </c>
      <c r="N136" s="23" t="s">
        <v>564</v>
      </c>
      <c r="O136" s="44"/>
      <c r="P136" s="45"/>
      <c r="Q136" s="23"/>
    </row>
    <row r="137" spans="1:17" x14ac:dyDescent="0.35">
      <c r="A137" s="40"/>
      <c r="B137" s="41">
        <v>45813</v>
      </c>
      <c r="C137" s="23" t="s">
        <v>658</v>
      </c>
      <c r="D137" s="23" t="s">
        <v>664</v>
      </c>
      <c r="E137" s="23" t="s">
        <v>665</v>
      </c>
      <c r="F137" s="23" t="s">
        <v>661</v>
      </c>
      <c r="G137" s="44">
        <v>315203.35159999999</v>
      </c>
      <c r="H137" s="44"/>
      <c r="I137" s="44">
        <v>-1419374.6854000001</v>
      </c>
      <c r="J137" s="44">
        <v>3685.2031999999999</v>
      </c>
      <c r="K137" s="44"/>
      <c r="L137" s="44">
        <v>-16585.337</v>
      </c>
      <c r="M137" s="44">
        <v>0</v>
      </c>
      <c r="N137" s="23" t="s">
        <v>564</v>
      </c>
      <c r="O137" s="44"/>
      <c r="P137" s="45"/>
      <c r="Q137" s="23"/>
    </row>
    <row r="138" spans="1:17" x14ac:dyDescent="0.35">
      <c r="A138" s="40">
        <v>256779413185</v>
      </c>
      <c r="B138" s="42">
        <v>45815</v>
      </c>
      <c r="C138" s="23" t="s">
        <v>649</v>
      </c>
      <c r="D138" s="23" t="s">
        <v>667</v>
      </c>
      <c r="E138" s="23" t="s">
        <v>562</v>
      </c>
      <c r="F138" s="23" t="s">
        <v>577</v>
      </c>
      <c r="G138" s="44"/>
      <c r="H138" s="44">
        <v>15442</v>
      </c>
      <c r="I138" s="44">
        <v>-1473467.4436000001</v>
      </c>
      <c r="J138" s="44"/>
      <c r="K138" s="44">
        <v>180</v>
      </c>
      <c r="L138" s="44">
        <v>-17215.859</v>
      </c>
      <c r="M138" s="44">
        <v>0</v>
      </c>
      <c r="N138" s="23" t="s">
        <v>564</v>
      </c>
      <c r="O138" s="44"/>
      <c r="P138" s="45"/>
      <c r="Q138" s="23"/>
    </row>
    <row r="139" spans="1:17" x14ac:dyDescent="0.35">
      <c r="A139" s="40">
        <v>256779414240</v>
      </c>
      <c r="B139" s="41">
        <v>45815</v>
      </c>
      <c r="C139" s="23" t="s">
        <v>649</v>
      </c>
      <c r="D139" s="23" t="s">
        <v>700</v>
      </c>
      <c r="E139" s="23" t="s">
        <v>562</v>
      </c>
      <c r="F139" s="23" t="s">
        <v>563</v>
      </c>
      <c r="G139" s="44"/>
      <c r="H139" s="44">
        <v>103047.89</v>
      </c>
      <c r="I139" s="44">
        <v>-770580.10080000001</v>
      </c>
      <c r="J139" s="44"/>
      <c r="K139" s="44">
        <v>1205.0999999999999</v>
      </c>
      <c r="L139" s="44">
        <v>-9005.1887999999999</v>
      </c>
      <c r="M139" s="44">
        <v>0</v>
      </c>
      <c r="N139" s="23" t="s">
        <v>564</v>
      </c>
      <c r="O139" s="44"/>
      <c r="P139" s="45"/>
      <c r="Q139" s="23"/>
    </row>
    <row r="140" spans="1:17" x14ac:dyDescent="0.35">
      <c r="A140" s="40">
        <v>256779414357</v>
      </c>
      <c r="B140" s="41">
        <v>45818</v>
      </c>
      <c r="C140" s="23" t="s">
        <v>649</v>
      </c>
      <c r="D140" s="23" t="s">
        <v>701</v>
      </c>
      <c r="E140" s="23" t="s">
        <v>562</v>
      </c>
      <c r="F140" s="23" t="s">
        <v>563</v>
      </c>
      <c r="G140" s="44"/>
      <c r="H140" s="44">
        <v>31506.794000000002</v>
      </c>
      <c r="I140" s="44">
        <v>-802086.89480000001</v>
      </c>
      <c r="J140" s="44"/>
      <c r="K140" s="44">
        <v>368.46</v>
      </c>
      <c r="L140" s="44">
        <v>-9373.6488000000008</v>
      </c>
      <c r="M140" s="44">
        <v>0</v>
      </c>
      <c r="N140" s="23" t="s">
        <v>564</v>
      </c>
      <c r="O140" s="44"/>
      <c r="P140" s="45"/>
      <c r="Q140" s="23"/>
    </row>
    <row r="141" spans="1:17" x14ac:dyDescent="0.35">
      <c r="A141" s="40">
        <v>256779414356</v>
      </c>
      <c r="B141" s="41">
        <v>45818</v>
      </c>
      <c r="C141" s="23" t="s">
        <v>649</v>
      </c>
      <c r="D141" s="23" t="s">
        <v>702</v>
      </c>
      <c r="E141" s="23" t="s">
        <v>562</v>
      </c>
      <c r="F141" s="23" t="s">
        <v>563</v>
      </c>
      <c r="G141" s="44"/>
      <c r="H141" s="44">
        <v>90020.757199999993</v>
      </c>
      <c r="I141" s="44">
        <v>-892107.652</v>
      </c>
      <c r="J141" s="44"/>
      <c r="K141" s="44">
        <v>1052.748</v>
      </c>
      <c r="L141" s="44">
        <v>-10426.3968</v>
      </c>
      <c r="M141" s="44">
        <v>0</v>
      </c>
      <c r="N141" s="23" t="s">
        <v>564</v>
      </c>
      <c r="O141" s="44"/>
      <c r="P141" s="45"/>
      <c r="Q141" s="23"/>
    </row>
    <row r="142" spans="1:17" x14ac:dyDescent="0.35">
      <c r="A142" s="40"/>
      <c r="B142" s="41">
        <v>45821</v>
      </c>
      <c r="C142" s="23" t="s">
        <v>658</v>
      </c>
      <c r="D142" s="23" t="s">
        <v>689</v>
      </c>
      <c r="E142" s="23" t="s">
        <v>690</v>
      </c>
      <c r="F142" s="23" t="s">
        <v>691</v>
      </c>
      <c r="G142" s="44">
        <v>1075024.8446</v>
      </c>
      <c r="H142" s="44"/>
      <c r="I142" s="44">
        <v>-1030010.1654000001</v>
      </c>
      <c r="J142" s="44">
        <v>12549.359399999999</v>
      </c>
      <c r="K142" s="44"/>
      <c r="L142" s="44">
        <v>-12028.3068</v>
      </c>
      <c r="M142" s="44">
        <v>0</v>
      </c>
      <c r="N142" s="23" t="s">
        <v>564</v>
      </c>
      <c r="O142" s="44"/>
      <c r="P142" s="45"/>
      <c r="Q142" s="23"/>
    </row>
    <row r="143" spans="1:17" x14ac:dyDescent="0.35">
      <c r="A143" s="40"/>
      <c r="B143" s="41">
        <v>45821</v>
      </c>
      <c r="C143" s="23" t="s">
        <v>658</v>
      </c>
      <c r="D143" s="23" t="s">
        <v>692</v>
      </c>
      <c r="E143" s="23" t="s">
        <v>693</v>
      </c>
      <c r="F143" s="23" t="s">
        <v>691</v>
      </c>
      <c r="G143" s="44">
        <v>353878.0502</v>
      </c>
      <c r="H143" s="44"/>
      <c r="I143" s="44">
        <v>-676132.1152</v>
      </c>
      <c r="J143" s="44"/>
      <c r="K143" s="44"/>
      <c r="L143" s="44">
        <v>-12028.3068</v>
      </c>
      <c r="M143" s="44"/>
      <c r="N143" s="23" t="s">
        <v>564</v>
      </c>
      <c r="O143" s="44"/>
      <c r="P143" s="45"/>
      <c r="Q143" s="23"/>
    </row>
    <row r="144" spans="1:17" x14ac:dyDescent="0.35">
      <c r="A144" s="40"/>
      <c r="B144" s="41">
        <v>45821</v>
      </c>
      <c r="C144" s="23" t="s">
        <v>658</v>
      </c>
      <c r="D144" s="23" t="s">
        <v>692</v>
      </c>
      <c r="E144" s="23" t="s">
        <v>694</v>
      </c>
      <c r="F144" s="23" t="s">
        <v>691</v>
      </c>
      <c r="G144" s="44">
        <v>-353878.0502</v>
      </c>
      <c r="H144" s="44"/>
      <c r="I144" s="44">
        <v>-1030010.1654000001</v>
      </c>
      <c r="J144" s="44"/>
      <c r="K144" s="44"/>
      <c r="L144" s="44">
        <v>-12028.3068</v>
      </c>
      <c r="M144" s="44"/>
      <c r="N144" s="23" t="s">
        <v>564</v>
      </c>
      <c r="O144" s="44"/>
      <c r="P144" s="45"/>
      <c r="Q144" s="23"/>
    </row>
    <row r="145" spans="1:17" x14ac:dyDescent="0.35">
      <c r="A145" s="40"/>
      <c r="B145" s="41">
        <v>45821</v>
      </c>
      <c r="C145" s="23" t="s">
        <v>658</v>
      </c>
      <c r="D145" s="23" t="s">
        <v>695</v>
      </c>
      <c r="E145" s="23" t="s">
        <v>693</v>
      </c>
      <c r="F145" s="23" t="s">
        <v>691</v>
      </c>
      <c r="G145" s="44">
        <v>353878.0502</v>
      </c>
      <c r="H145" s="44"/>
      <c r="I145" s="44">
        <v>-676132.1152</v>
      </c>
      <c r="J145" s="44">
        <v>4127.9549999999999</v>
      </c>
      <c r="K145" s="44"/>
      <c r="L145" s="44">
        <v>-7900.3518000000004</v>
      </c>
      <c r="M145" s="44">
        <v>0</v>
      </c>
      <c r="N145" s="23" t="s">
        <v>564</v>
      </c>
      <c r="O145" s="44"/>
      <c r="P145" s="45"/>
      <c r="Q145" s="23"/>
    </row>
    <row r="146" spans="1:17" x14ac:dyDescent="0.35">
      <c r="A146" s="40">
        <v>246779410871</v>
      </c>
      <c r="B146" s="42">
        <v>45821</v>
      </c>
      <c r="C146" s="23" t="s">
        <v>652</v>
      </c>
      <c r="D146" s="23" t="s">
        <v>696</v>
      </c>
      <c r="E146" s="23" t="s">
        <v>697</v>
      </c>
      <c r="F146" s="23" t="s">
        <v>691</v>
      </c>
      <c r="G146" s="44">
        <v>290.90440000000001</v>
      </c>
      <c r="H146" s="44"/>
      <c r="I146" s="44">
        <v>-675841.2108</v>
      </c>
      <c r="J146" s="44">
        <v>3.4007999999999998</v>
      </c>
      <c r="K146" s="44"/>
      <c r="L146" s="44">
        <v>-7896.951</v>
      </c>
      <c r="M146" s="44">
        <v>3.4007999999999998</v>
      </c>
      <c r="N146" s="23" t="s">
        <v>564</v>
      </c>
      <c r="O146" s="44"/>
      <c r="P146" s="45"/>
      <c r="Q146" s="23"/>
    </row>
    <row r="147" spans="1:17" x14ac:dyDescent="0.35">
      <c r="A147" s="40"/>
      <c r="B147" s="41">
        <v>45821</v>
      </c>
      <c r="C147" s="23" t="s">
        <v>658</v>
      </c>
      <c r="D147" s="23" t="s">
        <v>695</v>
      </c>
      <c r="E147" s="23" t="s">
        <v>698</v>
      </c>
      <c r="F147" s="23" t="s">
        <v>691</v>
      </c>
      <c r="G147" s="44">
        <v>-353878.0502</v>
      </c>
      <c r="H147" s="44"/>
      <c r="I147" s="44">
        <v>-1029719.2610000001</v>
      </c>
      <c r="J147" s="44">
        <v>-4127.9549999999999</v>
      </c>
      <c r="K147" s="44"/>
      <c r="L147" s="44">
        <v>-12024.906000000001</v>
      </c>
      <c r="M147" s="44">
        <v>0</v>
      </c>
      <c r="N147" s="23" t="s">
        <v>564</v>
      </c>
      <c r="O147" s="44"/>
      <c r="P147" s="45"/>
      <c r="Q147" s="23"/>
    </row>
    <row r="148" spans="1:17" x14ac:dyDescent="0.35">
      <c r="A148" s="40"/>
      <c r="B148" s="41">
        <v>45821</v>
      </c>
      <c r="C148" s="23" t="s">
        <v>658</v>
      </c>
      <c r="D148" s="23" t="s">
        <v>699</v>
      </c>
      <c r="E148" s="23" t="s">
        <v>693</v>
      </c>
      <c r="F148" s="23" t="s">
        <v>691</v>
      </c>
      <c r="G148" s="44">
        <v>362187.0502</v>
      </c>
      <c r="H148" s="44"/>
      <c r="I148" s="44">
        <v>-667532.2108</v>
      </c>
      <c r="J148" s="44">
        <v>4224.8172000000004</v>
      </c>
      <c r="K148" s="44"/>
      <c r="L148" s="44">
        <v>-7800.0888000000004</v>
      </c>
      <c r="M148" s="44">
        <v>0</v>
      </c>
      <c r="N148" s="23" t="s">
        <v>564</v>
      </c>
      <c r="O148" s="44"/>
      <c r="P148" s="45"/>
      <c r="Q148" s="23"/>
    </row>
    <row r="149" spans="1:17" x14ac:dyDescent="0.35">
      <c r="A149" s="40">
        <v>256779414341</v>
      </c>
      <c r="B149" s="41">
        <v>45821</v>
      </c>
      <c r="C149" s="23" t="s">
        <v>649</v>
      </c>
      <c r="D149" s="23" t="s">
        <v>712</v>
      </c>
      <c r="E149" s="23" t="s">
        <v>562</v>
      </c>
      <c r="F149" s="23" t="s">
        <v>573</v>
      </c>
      <c r="G149" s="44"/>
      <c r="H149" s="44">
        <v>16823</v>
      </c>
      <c r="I149" s="44">
        <v>-1035236.6421000001</v>
      </c>
      <c r="J149" s="44"/>
      <c r="K149" s="44">
        <v>196</v>
      </c>
      <c r="L149" s="44">
        <v>-12098.1366</v>
      </c>
      <c r="M149" s="44">
        <v>0</v>
      </c>
      <c r="N149" s="23" t="s">
        <v>564</v>
      </c>
      <c r="O149" s="44"/>
      <c r="P149" s="45"/>
      <c r="Q149" s="23"/>
    </row>
    <row r="150" spans="1:17" x14ac:dyDescent="0.35">
      <c r="A150" s="40">
        <v>256779414317</v>
      </c>
      <c r="B150" s="41">
        <v>45827</v>
      </c>
      <c r="C150" s="23" t="s">
        <v>649</v>
      </c>
      <c r="D150" s="23" t="s">
        <v>707</v>
      </c>
      <c r="E150" s="23" t="s">
        <v>562</v>
      </c>
      <c r="F150" s="23" t="s">
        <v>573</v>
      </c>
      <c r="G150" s="44"/>
      <c r="H150" s="44">
        <v>58444.239300000001</v>
      </c>
      <c r="I150" s="44">
        <v>-987513.64210000006</v>
      </c>
      <c r="J150" s="44"/>
      <c r="K150" s="44">
        <v>683.48140000000001</v>
      </c>
      <c r="L150" s="44">
        <v>-11542.1366</v>
      </c>
      <c r="M150" s="44">
        <v>0</v>
      </c>
      <c r="N150" s="23" t="s">
        <v>564</v>
      </c>
      <c r="O150" s="44"/>
      <c r="P150" s="45"/>
      <c r="Q150" s="23"/>
    </row>
    <row r="151" spans="1:17" x14ac:dyDescent="0.35">
      <c r="A151" s="40">
        <v>246779414733</v>
      </c>
      <c r="B151" s="42">
        <v>45827</v>
      </c>
      <c r="C151" s="23" t="s">
        <v>649</v>
      </c>
      <c r="D151" s="23" t="s">
        <v>708</v>
      </c>
      <c r="E151" s="23" t="s">
        <v>562</v>
      </c>
      <c r="F151" s="23" t="s">
        <v>563</v>
      </c>
      <c r="G151" s="44"/>
      <c r="H151" s="44">
        <v>7725</v>
      </c>
      <c r="I151" s="44">
        <v>-1002963.6421000001</v>
      </c>
      <c r="J151" s="44"/>
      <c r="K151" s="44">
        <v>90</v>
      </c>
      <c r="L151" s="44">
        <v>-11722.1366</v>
      </c>
      <c r="M151" s="44">
        <v>0</v>
      </c>
      <c r="N151" s="23" t="s">
        <v>564</v>
      </c>
      <c r="O151" s="44"/>
      <c r="P151" s="45"/>
      <c r="Q151" s="23"/>
    </row>
    <row r="152" spans="1:17" x14ac:dyDescent="0.35">
      <c r="A152" s="40">
        <v>246779414732</v>
      </c>
      <c r="B152" s="42">
        <v>45827</v>
      </c>
      <c r="C152" s="23" t="s">
        <v>649</v>
      </c>
      <c r="D152" s="23" t="s">
        <v>709</v>
      </c>
      <c r="E152" s="23" t="s">
        <v>562</v>
      </c>
      <c r="F152" s="23" t="s">
        <v>563</v>
      </c>
      <c r="G152" s="44"/>
      <c r="H152" s="44">
        <v>7725</v>
      </c>
      <c r="I152" s="44">
        <v>-1010688.6421000001</v>
      </c>
      <c r="J152" s="44"/>
      <c r="K152" s="44">
        <v>90</v>
      </c>
      <c r="L152" s="44">
        <v>-11812.1366</v>
      </c>
      <c r="M152" s="44">
        <v>0</v>
      </c>
      <c r="N152" s="23" t="s">
        <v>564</v>
      </c>
      <c r="O152" s="44"/>
      <c r="P152" s="45"/>
      <c r="Q152" s="23"/>
    </row>
    <row r="153" spans="1:17" x14ac:dyDescent="0.35">
      <c r="A153" s="40">
        <v>246779414731</v>
      </c>
      <c r="B153" s="42">
        <v>45827</v>
      </c>
      <c r="C153" s="23" t="s">
        <v>649</v>
      </c>
      <c r="D153" s="23" t="s">
        <v>710</v>
      </c>
      <c r="E153" s="23" t="s">
        <v>562</v>
      </c>
      <c r="F153" s="23" t="s">
        <v>563</v>
      </c>
      <c r="G153" s="44"/>
      <c r="H153" s="44">
        <v>7725</v>
      </c>
      <c r="I153" s="44">
        <v>-1018413.6421000001</v>
      </c>
      <c r="J153" s="44"/>
      <c r="K153" s="44">
        <v>90</v>
      </c>
      <c r="L153" s="44">
        <v>-11902.1366</v>
      </c>
      <c r="M153" s="44">
        <v>0</v>
      </c>
      <c r="N153" s="23" t="s">
        <v>564</v>
      </c>
      <c r="O153" s="44"/>
      <c r="P153" s="45"/>
      <c r="Q153" s="23"/>
    </row>
    <row r="154" spans="1:17" x14ac:dyDescent="0.35">
      <c r="A154" s="40">
        <v>246779414734</v>
      </c>
      <c r="B154" s="42">
        <v>45827</v>
      </c>
      <c r="C154" s="23" t="s">
        <v>649</v>
      </c>
      <c r="D154" s="23" t="s">
        <v>711</v>
      </c>
      <c r="E154" s="23" t="s">
        <v>562</v>
      </c>
      <c r="F154" s="23" t="s">
        <v>563</v>
      </c>
      <c r="G154" s="44"/>
      <c r="H154" s="44">
        <v>7725</v>
      </c>
      <c r="I154" s="44">
        <v>-995238.64210000006</v>
      </c>
      <c r="J154" s="44"/>
      <c r="K154" s="44">
        <v>90</v>
      </c>
      <c r="L154" s="44">
        <v>-11632.1366</v>
      </c>
      <c r="M154" s="44">
        <v>0</v>
      </c>
      <c r="N154" s="23" t="s">
        <v>564</v>
      </c>
      <c r="O154" s="44"/>
      <c r="P154" s="45"/>
      <c r="Q154" s="23"/>
    </row>
    <row r="155" spans="1:17" x14ac:dyDescent="0.35">
      <c r="A155" s="40">
        <v>256779414735</v>
      </c>
      <c r="B155" s="41">
        <v>45827</v>
      </c>
      <c r="C155" s="23" t="s">
        <v>649</v>
      </c>
      <c r="D155" s="23" t="s">
        <v>718</v>
      </c>
      <c r="E155" s="23" t="s">
        <v>562</v>
      </c>
      <c r="F155" s="23" t="s">
        <v>563</v>
      </c>
      <c r="G155" s="44"/>
      <c r="H155" s="44">
        <v>7758</v>
      </c>
      <c r="I155" s="44">
        <v>-723013.2108</v>
      </c>
      <c r="J155" s="44"/>
      <c r="K155" s="44">
        <v>90</v>
      </c>
      <c r="L155" s="44">
        <v>-8446.0887999999995</v>
      </c>
      <c r="M155" s="44">
        <v>0</v>
      </c>
      <c r="N155" s="23" t="s">
        <v>564</v>
      </c>
      <c r="O155" s="44"/>
      <c r="P155" s="45"/>
      <c r="Q155" s="23"/>
    </row>
    <row r="156" spans="1:17" x14ac:dyDescent="0.35">
      <c r="A156" s="40">
        <v>256779414772</v>
      </c>
      <c r="B156" s="41">
        <v>45842</v>
      </c>
      <c r="C156" s="23" t="s">
        <v>649</v>
      </c>
      <c r="D156" s="23" t="s">
        <v>748</v>
      </c>
      <c r="E156" s="23" t="s">
        <v>562</v>
      </c>
      <c r="F156" s="23" t="s">
        <v>704</v>
      </c>
      <c r="G156" s="44"/>
      <c r="H156" s="44">
        <v>18722.8</v>
      </c>
      <c r="I156" s="44">
        <v>-801147.95830000006</v>
      </c>
      <c r="J156" s="44"/>
      <c r="K156" s="44">
        <v>215.6</v>
      </c>
      <c r="L156" s="44">
        <v>-9348.1218000000008</v>
      </c>
      <c r="M156" s="44">
        <v>0</v>
      </c>
      <c r="N156" s="23" t="s">
        <v>564</v>
      </c>
      <c r="O156" s="44"/>
      <c r="P156" s="45"/>
      <c r="Q156" s="23"/>
    </row>
    <row r="157" spans="1:17" x14ac:dyDescent="0.35">
      <c r="A157" s="40">
        <v>256779414956</v>
      </c>
      <c r="B157" s="41">
        <v>45842</v>
      </c>
      <c r="C157" s="23" t="s">
        <v>649</v>
      </c>
      <c r="D157" s="23" t="s">
        <v>749</v>
      </c>
      <c r="E157" s="23" t="s">
        <v>562</v>
      </c>
      <c r="F157" s="23" t="s">
        <v>720</v>
      </c>
      <c r="G157" s="44"/>
      <c r="H157" s="44">
        <v>4255</v>
      </c>
      <c r="I157" s="44">
        <v>-805402.95830000006</v>
      </c>
      <c r="J157" s="44"/>
      <c r="K157" s="44">
        <v>49</v>
      </c>
      <c r="L157" s="44">
        <v>-9397.1218000000008</v>
      </c>
      <c r="M157" s="44">
        <v>0</v>
      </c>
      <c r="N157" s="23" t="s">
        <v>564</v>
      </c>
      <c r="O157" s="44"/>
      <c r="P157" s="45"/>
      <c r="Q157" s="23"/>
    </row>
    <row r="158" spans="1:17" x14ac:dyDescent="0.35">
      <c r="A158" s="40">
        <v>256779414957</v>
      </c>
      <c r="B158" s="41">
        <v>45842</v>
      </c>
      <c r="C158" s="23" t="s">
        <v>649</v>
      </c>
      <c r="D158" s="23" t="s">
        <v>750</v>
      </c>
      <c r="E158" s="23" t="s">
        <v>562</v>
      </c>
      <c r="F158" s="23" t="s">
        <v>720</v>
      </c>
      <c r="G158" s="44"/>
      <c r="H158" s="44">
        <v>4255</v>
      </c>
      <c r="I158" s="44">
        <v>-809657.95830000006</v>
      </c>
      <c r="J158" s="44"/>
      <c r="K158" s="44">
        <v>49</v>
      </c>
      <c r="L158" s="44">
        <v>-9446.1218000000008</v>
      </c>
      <c r="M158" s="44">
        <v>0</v>
      </c>
      <c r="N158" s="23" t="s">
        <v>564</v>
      </c>
      <c r="O158" s="44"/>
      <c r="P158" s="45"/>
      <c r="Q158" s="23"/>
    </row>
    <row r="159" spans="1:17" x14ac:dyDescent="0.35">
      <c r="A159" s="40">
        <v>256779414830</v>
      </c>
      <c r="B159" s="41">
        <v>45842</v>
      </c>
      <c r="C159" s="23" t="s">
        <v>649</v>
      </c>
      <c r="D159" s="23" t="s">
        <v>751</v>
      </c>
      <c r="E159" s="23" t="s">
        <v>562</v>
      </c>
      <c r="F159" s="23" t="s">
        <v>724</v>
      </c>
      <c r="G159" s="44"/>
      <c r="H159" s="44">
        <v>12112.068799999999</v>
      </c>
      <c r="I159" s="44">
        <v>-821770.02709999995</v>
      </c>
      <c r="J159" s="44"/>
      <c r="K159" s="44">
        <v>139.4736</v>
      </c>
      <c r="L159" s="44">
        <v>-9585.5954000000002</v>
      </c>
      <c r="M159" s="44">
        <v>0</v>
      </c>
      <c r="N159" s="23" t="s">
        <v>564</v>
      </c>
      <c r="O159" s="44"/>
      <c r="P159" s="45"/>
      <c r="Q159" s="23"/>
    </row>
    <row r="160" spans="1:17" x14ac:dyDescent="0.35">
      <c r="A160" s="40">
        <v>256779415017</v>
      </c>
      <c r="B160" s="41">
        <v>45842</v>
      </c>
      <c r="C160" s="23" t="s">
        <v>649</v>
      </c>
      <c r="D160" s="23" t="s">
        <v>752</v>
      </c>
      <c r="E160" s="23" t="s">
        <v>562</v>
      </c>
      <c r="F160" s="23" t="s">
        <v>724</v>
      </c>
      <c r="G160" s="44"/>
      <c r="H160" s="44">
        <v>29722.738399999998</v>
      </c>
      <c r="I160" s="44">
        <v>-851492.76549999998</v>
      </c>
      <c r="J160" s="44"/>
      <c r="K160" s="44">
        <v>342.27480000000003</v>
      </c>
      <c r="L160" s="44">
        <v>-9927.8701999999994</v>
      </c>
      <c r="M160" s="44">
        <v>0</v>
      </c>
      <c r="N160" s="23" t="s">
        <v>564</v>
      </c>
      <c r="O160" s="44"/>
      <c r="P160" s="45"/>
      <c r="Q160" s="23"/>
    </row>
    <row r="161" spans="1:17" x14ac:dyDescent="0.35">
      <c r="A161" s="40">
        <v>256779414891</v>
      </c>
      <c r="B161" s="41">
        <v>45842</v>
      </c>
      <c r="C161" s="23" t="s">
        <v>649</v>
      </c>
      <c r="D161" s="23" t="s">
        <v>753</v>
      </c>
      <c r="E161" s="23" t="s">
        <v>562</v>
      </c>
      <c r="F161" s="23" t="s">
        <v>577</v>
      </c>
      <c r="G161" s="44"/>
      <c r="H161" s="44">
        <v>32304.5772</v>
      </c>
      <c r="I161" s="44">
        <v>-883797.34270000004</v>
      </c>
      <c r="J161" s="44"/>
      <c r="K161" s="44">
        <v>371.99700000000001</v>
      </c>
      <c r="L161" s="44">
        <v>-10299.867200000001</v>
      </c>
      <c r="M161" s="44">
        <v>0</v>
      </c>
      <c r="N161" s="23" t="s">
        <v>564</v>
      </c>
      <c r="O161" s="44"/>
      <c r="P161" s="45"/>
      <c r="Q161" s="23"/>
    </row>
    <row r="162" spans="1:17" x14ac:dyDescent="0.35">
      <c r="A162" s="40">
        <v>256779414904</v>
      </c>
      <c r="B162" s="41">
        <v>45842</v>
      </c>
      <c r="C162" s="23" t="s">
        <v>649</v>
      </c>
      <c r="D162" s="23" t="s">
        <v>754</v>
      </c>
      <c r="E162" s="23" t="s">
        <v>562</v>
      </c>
      <c r="F162" s="23" t="s">
        <v>755</v>
      </c>
      <c r="G162" s="44"/>
      <c r="H162" s="44">
        <v>5869.3548000000001</v>
      </c>
      <c r="I162" s="44">
        <v>-889666.69750000001</v>
      </c>
      <c r="J162" s="44"/>
      <c r="K162" s="44">
        <v>67.590599999999995</v>
      </c>
      <c r="L162" s="44">
        <v>-10367.4578</v>
      </c>
      <c r="M162" s="44">
        <v>0</v>
      </c>
      <c r="N162" s="23" t="s">
        <v>564</v>
      </c>
      <c r="O162" s="44"/>
      <c r="P162" s="45"/>
      <c r="Q162" s="23"/>
    </row>
    <row r="163" spans="1:17" x14ac:dyDescent="0.35">
      <c r="A163" s="40">
        <v>256779414879</v>
      </c>
      <c r="B163" s="42">
        <v>45842</v>
      </c>
      <c r="C163" s="23" t="s">
        <v>649</v>
      </c>
      <c r="D163" s="23" t="s">
        <v>759</v>
      </c>
      <c r="E163" s="23" t="s">
        <v>562</v>
      </c>
      <c r="F163" s="23" t="s">
        <v>704</v>
      </c>
      <c r="G163" s="44"/>
      <c r="H163" s="44">
        <v>138310.23639999999</v>
      </c>
      <c r="I163" s="44">
        <v>-1035953.4471</v>
      </c>
      <c r="J163" s="44"/>
      <c r="K163" s="44">
        <v>1592.7058</v>
      </c>
      <c r="L163" s="44">
        <v>-12052.019</v>
      </c>
      <c r="M163" s="44">
        <v>0</v>
      </c>
      <c r="N163" s="23" t="s">
        <v>564</v>
      </c>
      <c r="O163" s="44"/>
      <c r="P163" s="45"/>
      <c r="Q163" s="45"/>
    </row>
    <row r="164" spans="1:17" x14ac:dyDescent="0.35">
      <c r="A164" s="40">
        <v>256779414879</v>
      </c>
      <c r="B164" s="42">
        <v>45842</v>
      </c>
      <c r="C164" s="23" t="s">
        <v>649</v>
      </c>
      <c r="D164" s="23" t="s">
        <v>760</v>
      </c>
      <c r="E164" s="23" t="s">
        <v>562</v>
      </c>
      <c r="F164" s="23" t="s">
        <v>577</v>
      </c>
      <c r="G164" s="44"/>
      <c r="H164" s="44">
        <v>3025.5763999999999</v>
      </c>
      <c r="I164" s="44">
        <v>-1038979.0235</v>
      </c>
      <c r="J164" s="44"/>
      <c r="K164" s="44">
        <v>34.838999999999999</v>
      </c>
      <c r="L164" s="44">
        <v>-12086.858</v>
      </c>
      <c r="M164" s="44">
        <v>0</v>
      </c>
      <c r="N164" s="23" t="s">
        <v>564</v>
      </c>
      <c r="O164" s="44"/>
      <c r="P164" s="45"/>
      <c r="Q164" s="45"/>
    </row>
    <row r="165" spans="1:17" x14ac:dyDescent="0.35">
      <c r="A165" s="40">
        <v>256779415264</v>
      </c>
      <c r="B165" s="41">
        <v>45842</v>
      </c>
      <c r="C165" s="23" t="s">
        <v>649</v>
      </c>
      <c r="D165" s="23" t="s">
        <v>766</v>
      </c>
      <c r="E165" s="23" t="s">
        <v>562</v>
      </c>
      <c r="F165" s="23" t="s">
        <v>573</v>
      </c>
      <c r="G165" s="44"/>
      <c r="H165" s="44">
        <v>79041.919899999994</v>
      </c>
      <c r="I165" s="44">
        <v>-634750.86620000005</v>
      </c>
      <c r="J165" s="44"/>
      <c r="K165" s="44">
        <v>907.59</v>
      </c>
      <c r="L165" s="44">
        <v>-7354.5734000000002</v>
      </c>
      <c r="M165" s="44">
        <v>0</v>
      </c>
      <c r="N165" s="23" t="s">
        <v>564</v>
      </c>
      <c r="O165" s="44"/>
      <c r="P165" s="45"/>
      <c r="Q165" s="23"/>
    </row>
    <row r="166" spans="1:17" x14ac:dyDescent="0.35">
      <c r="A166" s="40">
        <v>256779415196</v>
      </c>
      <c r="B166" s="41">
        <v>45842</v>
      </c>
      <c r="C166" s="23" t="s">
        <v>649</v>
      </c>
      <c r="D166" s="23" t="s">
        <v>879</v>
      </c>
      <c r="E166" s="23" t="s">
        <v>562</v>
      </c>
      <c r="F166" s="23" t="s">
        <v>563</v>
      </c>
      <c r="G166" s="44"/>
      <c r="H166" s="44">
        <v>1353.28</v>
      </c>
      <c r="I166" s="44">
        <v>-1109311.2701000001</v>
      </c>
      <c r="J166" s="44"/>
      <c r="K166" s="44">
        <v>15.731999999999999</v>
      </c>
      <c r="L166" s="44">
        <v>-12619.442999999999</v>
      </c>
      <c r="M166" s="44">
        <v>-15.731999999999999</v>
      </c>
      <c r="N166" s="23" t="s">
        <v>564</v>
      </c>
      <c r="O166" s="44"/>
      <c r="P166" s="45"/>
      <c r="Q166" s="23"/>
    </row>
    <row r="167" spans="1:17" x14ac:dyDescent="0.35">
      <c r="A167" s="40">
        <v>256779414914</v>
      </c>
      <c r="B167" s="41">
        <v>45852</v>
      </c>
      <c r="C167" s="23" t="s">
        <v>649</v>
      </c>
      <c r="D167" s="23" t="s">
        <v>798</v>
      </c>
      <c r="E167" s="23" t="s">
        <v>562</v>
      </c>
      <c r="F167" s="23" t="s">
        <v>563</v>
      </c>
      <c r="G167" s="44"/>
      <c r="H167" s="44">
        <v>89999.859100000001</v>
      </c>
      <c r="I167" s="44">
        <v>-333735.24359999999</v>
      </c>
      <c r="J167" s="44"/>
      <c r="K167" s="44">
        <v>1046.502</v>
      </c>
      <c r="L167" s="44">
        <v>-3805.2325999999998</v>
      </c>
      <c r="M167" s="44">
        <v>0</v>
      </c>
      <c r="N167" s="23" t="s">
        <v>564</v>
      </c>
      <c r="O167" s="44"/>
      <c r="P167" s="45"/>
      <c r="Q167" s="23"/>
    </row>
    <row r="168" spans="1:17" x14ac:dyDescent="0.35">
      <c r="A168" s="40">
        <v>256779414915</v>
      </c>
      <c r="B168" s="41">
        <v>45852</v>
      </c>
      <c r="C168" s="23" t="s">
        <v>649</v>
      </c>
      <c r="D168" s="23" t="s">
        <v>799</v>
      </c>
      <c r="E168" s="23" t="s">
        <v>562</v>
      </c>
      <c r="F168" s="23" t="s">
        <v>573</v>
      </c>
      <c r="G168" s="44"/>
      <c r="H168" s="44">
        <v>34299.6927</v>
      </c>
      <c r="I168" s="44">
        <v>-368034.9363</v>
      </c>
      <c r="J168" s="44"/>
      <c r="K168" s="44">
        <v>398.8306</v>
      </c>
      <c r="L168" s="44">
        <v>-4204.0631999999996</v>
      </c>
      <c r="M168" s="44">
        <v>0</v>
      </c>
      <c r="N168" s="23" t="s">
        <v>564</v>
      </c>
      <c r="O168" s="44"/>
      <c r="P168" s="45"/>
      <c r="Q168" s="23"/>
    </row>
    <row r="169" spans="1:17" x14ac:dyDescent="0.35">
      <c r="A169" s="40"/>
      <c r="B169" s="41">
        <v>45856</v>
      </c>
      <c r="C169" s="23" t="s">
        <v>658</v>
      </c>
      <c r="D169" s="23" t="s">
        <v>713</v>
      </c>
      <c r="E169" s="23" t="s">
        <v>714</v>
      </c>
      <c r="F169" s="23" t="s">
        <v>715</v>
      </c>
      <c r="G169" s="44">
        <v>319981.4313</v>
      </c>
      <c r="H169" s="44"/>
      <c r="I169" s="44">
        <v>-715255.2108</v>
      </c>
      <c r="J169" s="44">
        <v>3742.0477999999998</v>
      </c>
      <c r="K169" s="44"/>
      <c r="L169" s="44">
        <v>-8356.0887999999995</v>
      </c>
      <c r="M169" s="44">
        <v>0</v>
      </c>
      <c r="N169" s="23" t="s">
        <v>564</v>
      </c>
      <c r="O169" s="44"/>
      <c r="P169" s="45"/>
      <c r="Q169" s="23"/>
    </row>
    <row r="170" spans="1:17" x14ac:dyDescent="0.35">
      <c r="A170" s="40"/>
      <c r="B170" s="41">
        <v>45856</v>
      </c>
      <c r="C170" s="23" t="s">
        <v>658</v>
      </c>
      <c r="D170" s="23" t="s">
        <v>713</v>
      </c>
      <c r="E170" s="23" t="s">
        <v>716</v>
      </c>
      <c r="F170" s="23" t="s">
        <v>715</v>
      </c>
      <c r="G170" s="44">
        <v>-319981.4313</v>
      </c>
      <c r="H170" s="44"/>
      <c r="I170" s="44">
        <v>-1035236.6421000001</v>
      </c>
      <c r="J170" s="44">
        <v>-3742.0477999999998</v>
      </c>
      <c r="K170" s="44"/>
      <c r="L170" s="44">
        <v>-12098.1366</v>
      </c>
      <c r="M170" s="44">
        <v>0</v>
      </c>
      <c r="N170" s="23" t="s">
        <v>564</v>
      </c>
      <c r="O170" s="44"/>
      <c r="P170" s="45"/>
      <c r="Q170" s="23"/>
    </row>
    <row r="171" spans="1:17" x14ac:dyDescent="0.35">
      <c r="A171" s="40"/>
      <c r="B171" s="41">
        <v>45856</v>
      </c>
      <c r="C171" s="23" t="s">
        <v>658</v>
      </c>
      <c r="D171" s="23" t="s">
        <v>717</v>
      </c>
      <c r="E171" s="23" t="s">
        <v>714</v>
      </c>
      <c r="F171" s="23" t="s">
        <v>715</v>
      </c>
      <c r="G171" s="44">
        <v>319981.4313</v>
      </c>
      <c r="H171" s="44"/>
      <c r="I171" s="44">
        <v>-715255.2108</v>
      </c>
      <c r="J171" s="44">
        <v>3742.0477999999998</v>
      </c>
      <c r="K171" s="44"/>
      <c r="L171" s="44">
        <v>-8356.0887999999995</v>
      </c>
      <c r="M171" s="44">
        <v>0</v>
      </c>
      <c r="N171" s="23" t="s">
        <v>564</v>
      </c>
      <c r="O171" s="44"/>
      <c r="P171" s="45"/>
      <c r="Q171" s="23"/>
    </row>
    <row r="172" spans="1:17" x14ac:dyDescent="0.35">
      <c r="A172" s="40">
        <v>256779415482</v>
      </c>
      <c r="B172" s="42">
        <v>45856</v>
      </c>
      <c r="C172" s="23" t="s">
        <v>649</v>
      </c>
      <c r="D172" s="23" t="s">
        <v>768</v>
      </c>
      <c r="E172" s="23" t="s">
        <v>562</v>
      </c>
      <c r="F172" s="23" t="s">
        <v>704</v>
      </c>
      <c r="G172" s="44"/>
      <c r="H172" s="44">
        <v>71830.685800000007</v>
      </c>
      <c r="I172" s="44">
        <v>-769876.53040000005</v>
      </c>
      <c r="J172" s="44"/>
      <c r="K172" s="44">
        <v>824.79</v>
      </c>
      <c r="L172" s="44">
        <v>-8919.8333999999995</v>
      </c>
      <c r="M172" s="44">
        <v>0</v>
      </c>
      <c r="N172" s="23" t="s">
        <v>564</v>
      </c>
      <c r="O172" s="44"/>
      <c r="P172" s="45"/>
      <c r="Q172" s="45"/>
    </row>
    <row r="173" spans="1:17" x14ac:dyDescent="0.35">
      <c r="A173" s="40">
        <v>256779415482</v>
      </c>
      <c r="B173" s="42">
        <v>45856</v>
      </c>
      <c r="C173" s="23" t="s">
        <v>649</v>
      </c>
      <c r="D173" s="23" t="s">
        <v>769</v>
      </c>
      <c r="E173" s="23" t="s">
        <v>562</v>
      </c>
      <c r="F173" s="23" t="s">
        <v>577</v>
      </c>
      <c r="G173" s="44"/>
      <c r="H173" s="44">
        <v>1516.1914999999999</v>
      </c>
      <c r="I173" s="44">
        <v>-771392.7219</v>
      </c>
      <c r="J173" s="44"/>
      <c r="K173" s="44">
        <v>17.420000000000002</v>
      </c>
      <c r="L173" s="44">
        <v>-8937.2533999999996</v>
      </c>
      <c r="M173" s="44">
        <v>0</v>
      </c>
      <c r="N173" s="23" t="s">
        <v>564</v>
      </c>
      <c r="O173" s="44"/>
      <c r="P173" s="45"/>
      <c r="Q173" s="45"/>
    </row>
    <row r="174" spans="1:17" x14ac:dyDescent="0.35">
      <c r="A174" s="40">
        <v>256779415701</v>
      </c>
      <c r="B174" s="41">
        <v>45856</v>
      </c>
      <c r="C174" s="23" t="s">
        <v>649</v>
      </c>
      <c r="D174" s="23" t="s">
        <v>770</v>
      </c>
      <c r="E174" s="23" t="s">
        <v>562</v>
      </c>
      <c r="F174" s="23" t="s">
        <v>704</v>
      </c>
      <c r="G174" s="44"/>
      <c r="H174" s="44">
        <v>56058.2</v>
      </c>
      <c r="I174" s="44">
        <v>-827450.92189999996</v>
      </c>
      <c r="J174" s="44"/>
      <c r="K174" s="44">
        <v>646.79999999999995</v>
      </c>
      <c r="L174" s="44">
        <v>-9584.0534000000007</v>
      </c>
      <c r="M174" s="44">
        <v>0</v>
      </c>
      <c r="N174" s="23" t="s">
        <v>564</v>
      </c>
      <c r="O174" s="44"/>
      <c r="P174" s="45"/>
      <c r="Q174" s="23"/>
    </row>
    <row r="175" spans="1:17" x14ac:dyDescent="0.35">
      <c r="A175" s="40">
        <v>256779415432</v>
      </c>
      <c r="B175" s="41">
        <v>45856</v>
      </c>
      <c r="C175" s="23" t="s">
        <v>649</v>
      </c>
      <c r="D175" s="23" t="s">
        <v>772</v>
      </c>
      <c r="E175" s="23" t="s">
        <v>562</v>
      </c>
      <c r="F175" s="23" t="s">
        <v>573</v>
      </c>
      <c r="G175" s="44"/>
      <c r="H175" s="44">
        <v>25195.788799999998</v>
      </c>
      <c r="I175" s="44">
        <v>-861140.71070000005</v>
      </c>
      <c r="J175" s="44"/>
      <c r="K175" s="44">
        <v>290.70999999999998</v>
      </c>
      <c r="L175" s="44">
        <v>-9972.7633999999998</v>
      </c>
      <c r="M175" s="44">
        <v>0</v>
      </c>
      <c r="N175" s="23" t="s">
        <v>564</v>
      </c>
      <c r="O175" s="44"/>
      <c r="P175" s="45"/>
      <c r="Q175" s="23"/>
    </row>
    <row r="176" spans="1:17" x14ac:dyDescent="0.35">
      <c r="A176" s="40">
        <v>256779415524</v>
      </c>
      <c r="B176" s="41">
        <v>45856</v>
      </c>
      <c r="C176" s="23" t="s">
        <v>649</v>
      </c>
      <c r="D176" s="23" t="s">
        <v>801</v>
      </c>
      <c r="E176" s="23" t="s">
        <v>562</v>
      </c>
      <c r="F176" s="23" t="s">
        <v>724</v>
      </c>
      <c r="G176" s="44"/>
      <c r="H176" s="44">
        <v>6162.3689999999997</v>
      </c>
      <c r="I176" s="44">
        <v>-382588.70730000001</v>
      </c>
      <c r="J176" s="44"/>
      <c r="K176" s="44">
        <v>71.657600000000002</v>
      </c>
      <c r="L176" s="44">
        <v>-4371.6040000000003</v>
      </c>
      <c r="M176" s="44">
        <v>0</v>
      </c>
      <c r="N176" s="23" t="s">
        <v>564</v>
      </c>
      <c r="O176" s="44"/>
      <c r="P176" s="45"/>
      <c r="Q176" s="23"/>
    </row>
    <row r="177" spans="1:17" x14ac:dyDescent="0.35">
      <c r="A177" s="40">
        <v>256779415996</v>
      </c>
      <c r="B177" s="41">
        <v>45863</v>
      </c>
      <c r="C177" s="23" t="s">
        <v>649</v>
      </c>
      <c r="D177" s="23" t="s">
        <v>767</v>
      </c>
      <c r="E177" s="23" t="s">
        <v>562</v>
      </c>
      <c r="F177" s="23" t="s">
        <v>573</v>
      </c>
      <c r="G177" s="44"/>
      <c r="H177" s="44">
        <v>63294.9784</v>
      </c>
      <c r="I177" s="44">
        <v>-698045.84459999995</v>
      </c>
      <c r="J177" s="44"/>
      <c r="K177" s="44">
        <v>740.47</v>
      </c>
      <c r="L177" s="44">
        <v>-8095.0433999999996</v>
      </c>
      <c r="M177" s="44">
        <v>0</v>
      </c>
      <c r="N177" s="23" t="s">
        <v>564</v>
      </c>
      <c r="O177" s="44"/>
      <c r="P177" s="45"/>
      <c r="Q177" s="23"/>
    </row>
    <row r="178" spans="1:17" x14ac:dyDescent="0.35">
      <c r="A178" s="40">
        <v>256779416012</v>
      </c>
      <c r="B178" s="41">
        <v>45863</v>
      </c>
      <c r="C178" s="23" t="s">
        <v>649</v>
      </c>
      <c r="D178" s="23" t="s">
        <v>771</v>
      </c>
      <c r="E178" s="23" t="s">
        <v>562</v>
      </c>
      <c r="F178" s="23" t="s">
        <v>573</v>
      </c>
      <c r="G178" s="44"/>
      <c r="H178" s="44">
        <v>8494</v>
      </c>
      <c r="I178" s="44">
        <v>-835944.92189999996</v>
      </c>
      <c r="J178" s="44"/>
      <c r="K178" s="44">
        <v>98</v>
      </c>
      <c r="L178" s="44">
        <v>-9682.0534000000007</v>
      </c>
      <c r="M178" s="44">
        <v>0</v>
      </c>
      <c r="N178" s="23" t="s">
        <v>564</v>
      </c>
      <c r="O178" s="44"/>
      <c r="P178" s="45"/>
      <c r="Q178" s="23"/>
    </row>
    <row r="179" spans="1:17" x14ac:dyDescent="0.35">
      <c r="A179" s="40">
        <v>256779411573</v>
      </c>
      <c r="B179" s="42">
        <v>45867</v>
      </c>
      <c r="C179" s="23" t="s">
        <v>649</v>
      </c>
      <c r="D179" s="23" t="s">
        <v>735</v>
      </c>
      <c r="E179" s="23" t="s">
        <v>562</v>
      </c>
      <c r="F179" s="23" t="s">
        <v>724</v>
      </c>
      <c r="G179" s="44"/>
      <c r="H179" s="44">
        <v>2053.3755000000001</v>
      </c>
      <c r="I179" s="44">
        <v>-770614.93629999994</v>
      </c>
      <c r="J179" s="44"/>
      <c r="K179" s="44">
        <v>23.73</v>
      </c>
      <c r="L179" s="44">
        <v>-8996.0588000000007</v>
      </c>
      <c r="M179" s="44">
        <v>0</v>
      </c>
      <c r="N179" s="23" t="s">
        <v>564</v>
      </c>
      <c r="O179" s="44"/>
      <c r="P179" s="45"/>
      <c r="Q179" s="23"/>
    </row>
    <row r="180" spans="1:17" x14ac:dyDescent="0.35">
      <c r="A180" s="40">
        <v>256779416027</v>
      </c>
      <c r="B180" s="41">
        <v>45870</v>
      </c>
      <c r="C180" s="23" t="s">
        <v>649</v>
      </c>
      <c r="D180" s="23" t="s">
        <v>774</v>
      </c>
      <c r="E180" s="23" t="s">
        <v>562</v>
      </c>
      <c r="F180" s="23" t="s">
        <v>569</v>
      </c>
      <c r="G180" s="44"/>
      <c r="H180" s="44">
        <v>35025.015500000001</v>
      </c>
      <c r="I180" s="44">
        <v>-985743.12199999997</v>
      </c>
      <c r="J180" s="44"/>
      <c r="K180" s="44">
        <v>398.69</v>
      </c>
      <c r="L180" s="44">
        <v>-11418.163399999999</v>
      </c>
      <c r="M180" s="44">
        <v>0</v>
      </c>
      <c r="N180" s="23" t="s">
        <v>564</v>
      </c>
      <c r="O180" s="44"/>
      <c r="P180" s="45"/>
      <c r="Q180" s="23"/>
    </row>
    <row r="181" spans="1:17" x14ac:dyDescent="0.35">
      <c r="A181" s="40">
        <v>256779416026</v>
      </c>
      <c r="B181" s="41">
        <v>45870</v>
      </c>
      <c r="C181" s="23" t="s">
        <v>649</v>
      </c>
      <c r="D181" s="23" t="s">
        <v>775</v>
      </c>
      <c r="E181" s="23" t="s">
        <v>562</v>
      </c>
      <c r="F181" s="23" t="s">
        <v>563</v>
      </c>
      <c r="G181" s="44"/>
      <c r="H181" s="44">
        <v>91903.082999999999</v>
      </c>
      <c r="I181" s="44">
        <v>-1077646.2050000001</v>
      </c>
      <c r="J181" s="44"/>
      <c r="K181" s="44">
        <v>1046.1400000000001</v>
      </c>
      <c r="L181" s="44">
        <v>-12464.303400000001</v>
      </c>
      <c r="M181" s="44">
        <v>0</v>
      </c>
      <c r="N181" s="23" t="s">
        <v>564</v>
      </c>
      <c r="O181" s="44"/>
      <c r="P181" s="45"/>
      <c r="Q181" s="23"/>
    </row>
    <row r="182" spans="1:17" x14ac:dyDescent="0.35">
      <c r="A182" s="40"/>
      <c r="B182" s="41">
        <v>45876</v>
      </c>
      <c r="C182" s="23" t="s">
        <v>658</v>
      </c>
      <c r="D182" s="23" t="s">
        <v>761</v>
      </c>
      <c r="E182" s="23" t="s">
        <v>762</v>
      </c>
      <c r="F182" s="23" t="s">
        <v>715</v>
      </c>
      <c r="G182" s="44">
        <v>86445.871599999999</v>
      </c>
      <c r="H182" s="44"/>
      <c r="I182" s="44">
        <v>-952533.15190000006</v>
      </c>
      <c r="J182" s="44">
        <v>1007.818</v>
      </c>
      <c r="K182" s="44"/>
      <c r="L182" s="44">
        <v>-11079.04</v>
      </c>
      <c r="M182" s="44">
        <v>0</v>
      </c>
      <c r="N182" s="23" t="s">
        <v>564</v>
      </c>
      <c r="O182" s="44"/>
      <c r="P182" s="45"/>
      <c r="Q182" s="23"/>
    </row>
    <row r="183" spans="1:17" x14ac:dyDescent="0.35">
      <c r="A183" s="40"/>
      <c r="B183" s="41">
        <v>45877</v>
      </c>
      <c r="C183" s="23" t="s">
        <v>658</v>
      </c>
      <c r="D183" s="23" t="s">
        <v>763</v>
      </c>
      <c r="E183" s="23" t="s">
        <v>764</v>
      </c>
      <c r="F183" s="23" t="s">
        <v>715</v>
      </c>
      <c r="G183" s="44">
        <v>411479.42950000003</v>
      </c>
      <c r="H183" s="44"/>
      <c r="I183" s="44">
        <v>-541053.72239999997</v>
      </c>
      <c r="J183" s="44">
        <v>4800.3365999999996</v>
      </c>
      <c r="K183" s="44"/>
      <c r="L183" s="44">
        <v>-6278.7034000000003</v>
      </c>
      <c r="M183" s="44">
        <v>0</v>
      </c>
      <c r="N183" s="23" t="s">
        <v>564</v>
      </c>
      <c r="O183" s="44"/>
      <c r="P183" s="45"/>
      <c r="Q183" s="23"/>
    </row>
    <row r="184" spans="1:17" x14ac:dyDescent="0.35">
      <c r="A184" s="40">
        <v>256779416224</v>
      </c>
      <c r="B184" s="41">
        <v>45877</v>
      </c>
      <c r="C184" s="23" t="s">
        <v>649</v>
      </c>
      <c r="D184" s="23" t="s">
        <v>776</v>
      </c>
      <c r="E184" s="23" t="s">
        <v>562</v>
      </c>
      <c r="F184" s="23" t="s">
        <v>724</v>
      </c>
      <c r="G184" s="44"/>
      <c r="H184" s="44">
        <v>26217.960500000001</v>
      </c>
      <c r="I184" s="44">
        <v>-1103864.1654999999</v>
      </c>
      <c r="J184" s="44"/>
      <c r="K184" s="44">
        <v>298.44</v>
      </c>
      <c r="L184" s="44">
        <v>-12762.743399999999</v>
      </c>
      <c r="M184" s="44">
        <v>0</v>
      </c>
      <c r="N184" s="23" t="s">
        <v>564</v>
      </c>
      <c r="O184" s="44"/>
      <c r="P184" s="45"/>
      <c r="Q184" s="23"/>
    </row>
    <row r="185" spans="1:17" x14ac:dyDescent="0.35">
      <c r="A185" s="40">
        <v>256779416445</v>
      </c>
      <c r="B185" s="41">
        <v>45877</v>
      </c>
      <c r="C185" s="23" t="s">
        <v>649</v>
      </c>
      <c r="D185" s="23" t="s">
        <v>777</v>
      </c>
      <c r="E185" s="23" t="s">
        <v>562</v>
      </c>
      <c r="F185" s="23" t="s">
        <v>573</v>
      </c>
      <c r="G185" s="44"/>
      <c r="H185" s="44">
        <v>50518.501499999998</v>
      </c>
      <c r="I185" s="44">
        <v>-1154382.6669999999</v>
      </c>
      <c r="J185" s="44"/>
      <c r="K185" s="44">
        <v>575.04999999999995</v>
      </c>
      <c r="L185" s="44">
        <v>-13337.7934</v>
      </c>
      <c r="M185" s="44">
        <v>0</v>
      </c>
      <c r="N185" s="23" t="s">
        <v>564</v>
      </c>
      <c r="O185" s="44"/>
      <c r="P185" s="45"/>
      <c r="Q185" s="23"/>
    </row>
    <row r="186" spans="1:17" x14ac:dyDescent="0.35">
      <c r="A186" s="40">
        <v>256779416179</v>
      </c>
      <c r="B186" s="42">
        <v>45877</v>
      </c>
      <c r="C186" s="23" t="s">
        <v>649</v>
      </c>
      <c r="D186" s="23" t="s">
        <v>778</v>
      </c>
      <c r="E186" s="23" t="s">
        <v>562</v>
      </c>
      <c r="F186" s="23" t="s">
        <v>704</v>
      </c>
      <c r="G186" s="44"/>
      <c r="H186" s="44">
        <v>231074.27849999999</v>
      </c>
      <c r="I186" s="44">
        <v>-1385456.9454999999</v>
      </c>
      <c r="J186" s="44"/>
      <c r="K186" s="44">
        <v>2630.33</v>
      </c>
      <c r="L186" s="44">
        <v>-15968.1234</v>
      </c>
      <c r="M186" s="44">
        <v>0</v>
      </c>
      <c r="N186" s="23" t="s">
        <v>564</v>
      </c>
      <c r="O186" s="44"/>
      <c r="P186" s="45"/>
      <c r="Q186" s="45"/>
    </row>
    <row r="187" spans="1:17" x14ac:dyDescent="0.35">
      <c r="A187" s="40">
        <v>256779416179</v>
      </c>
      <c r="B187" s="42">
        <v>45877</v>
      </c>
      <c r="C187" s="23" t="s">
        <v>649</v>
      </c>
      <c r="D187" s="23" t="s">
        <v>779</v>
      </c>
      <c r="E187" s="23" t="s">
        <v>562</v>
      </c>
      <c r="F187" s="23" t="s">
        <v>577</v>
      </c>
      <c r="G187" s="44"/>
      <c r="H187" s="44">
        <v>8161.7555000000002</v>
      </c>
      <c r="I187" s="44">
        <v>-1393618.7009999999</v>
      </c>
      <c r="J187" s="44"/>
      <c r="K187" s="44">
        <v>92.91</v>
      </c>
      <c r="L187" s="44">
        <v>-16061.0334</v>
      </c>
      <c r="M187" s="44">
        <v>0</v>
      </c>
      <c r="N187" s="23" t="s">
        <v>564</v>
      </c>
      <c r="O187" s="44"/>
      <c r="P187" s="45"/>
      <c r="Q187" s="45"/>
    </row>
    <row r="188" spans="1:17" x14ac:dyDescent="0.35">
      <c r="A188" s="40">
        <v>256779416515</v>
      </c>
      <c r="B188" s="41">
        <v>45877</v>
      </c>
      <c r="C188" s="23" t="s">
        <v>649</v>
      </c>
      <c r="D188" s="23" t="s">
        <v>793</v>
      </c>
      <c r="E188" s="23" t="s">
        <v>562</v>
      </c>
      <c r="F188" s="23" t="s">
        <v>573</v>
      </c>
      <c r="G188" s="44"/>
      <c r="H188" s="44">
        <v>34496.2166</v>
      </c>
      <c r="I188" s="44">
        <v>-102038.7743</v>
      </c>
      <c r="J188" s="44"/>
      <c r="K188" s="44">
        <v>389.04039999999998</v>
      </c>
      <c r="L188" s="44">
        <v>-1150.6569999999999</v>
      </c>
      <c r="M188" s="44">
        <v>0</v>
      </c>
      <c r="N188" s="23" t="s">
        <v>564</v>
      </c>
      <c r="O188" s="44"/>
      <c r="P188" s="45"/>
      <c r="Q188" s="23"/>
    </row>
    <row r="189" spans="1:17" x14ac:dyDescent="0.35">
      <c r="A189" s="40">
        <v>256779416141</v>
      </c>
      <c r="B189" s="41">
        <v>45877</v>
      </c>
      <c r="C189" s="23" t="s">
        <v>649</v>
      </c>
      <c r="D189" s="23" t="s">
        <v>794</v>
      </c>
      <c r="E189" s="23" t="s">
        <v>562</v>
      </c>
      <c r="F189" s="23" t="s">
        <v>755</v>
      </c>
      <c r="G189" s="44"/>
      <c r="H189" s="44">
        <v>25992.970399999998</v>
      </c>
      <c r="I189" s="44">
        <v>-128031.7447</v>
      </c>
      <c r="J189" s="44"/>
      <c r="K189" s="44">
        <v>293.13760000000002</v>
      </c>
      <c r="L189" s="44">
        <v>-1443.7945999999999</v>
      </c>
      <c r="M189" s="44">
        <v>0</v>
      </c>
      <c r="N189" s="23" t="s">
        <v>564</v>
      </c>
      <c r="O189" s="44"/>
      <c r="P189" s="45"/>
      <c r="Q189" s="23"/>
    </row>
    <row r="190" spans="1:17" x14ac:dyDescent="0.35">
      <c r="A190" s="40">
        <v>256779416078</v>
      </c>
      <c r="B190" s="41">
        <v>45877</v>
      </c>
      <c r="C190" s="23" t="s">
        <v>649</v>
      </c>
      <c r="D190" s="23" t="s">
        <v>878</v>
      </c>
      <c r="E190" s="23" t="s">
        <v>562</v>
      </c>
      <c r="F190" s="23" t="s">
        <v>563</v>
      </c>
      <c r="G190" s="44"/>
      <c r="H190" s="44">
        <v>114392.44259999999</v>
      </c>
      <c r="I190" s="44">
        <v>-1107957.9901000001</v>
      </c>
      <c r="J190" s="44"/>
      <c r="K190" s="44">
        <v>1329.6780000000001</v>
      </c>
      <c r="L190" s="44">
        <v>-12603.710999999999</v>
      </c>
      <c r="M190" s="44">
        <v>-1329.6780000000001</v>
      </c>
      <c r="N190" s="23" t="s">
        <v>564</v>
      </c>
      <c r="O190" s="44"/>
      <c r="P190" s="45"/>
      <c r="Q190" s="23"/>
    </row>
    <row r="191" spans="1:17" x14ac:dyDescent="0.35">
      <c r="A191" s="40">
        <v>256779416086</v>
      </c>
      <c r="B191" s="41">
        <v>45877</v>
      </c>
      <c r="C191" s="23" t="s">
        <v>649</v>
      </c>
      <c r="D191" s="23" t="s">
        <v>880</v>
      </c>
      <c r="E191" s="23" t="s">
        <v>562</v>
      </c>
      <c r="F191" s="23" t="s">
        <v>563</v>
      </c>
      <c r="G191" s="44"/>
      <c r="H191" s="44">
        <v>112251.02680000001</v>
      </c>
      <c r="I191" s="44">
        <v>-1221562.2969</v>
      </c>
      <c r="J191" s="44"/>
      <c r="K191" s="44">
        <v>1304.7840000000001</v>
      </c>
      <c r="L191" s="44">
        <v>-13924.227000000001</v>
      </c>
      <c r="M191" s="44">
        <v>-1304.7840000000001</v>
      </c>
      <c r="N191" s="23" t="s">
        <v>564</v>
      </c>
      <c r="O191" s="44"/>
      <c r="P191" s="45"/>
      <c r="Q191" s="23"/>
    </row>
    <row r="192" spans="1:17" x14ac:dyDescent="0.35">
      <c r="A192" s="40">
        <v>256779421715</v>
      </c>
      <c r="B192" s="41">
        <v>45883</v>
      </c>
      <c r="C192" s="23" t="s">
        <v>652</v>
      </c>
      <c r="D192" s="23" t="s">
        <v>887</v>
      </c>
      <c r="E192" s="23" t="s">
        <v>888</v>
      </c>
      <c r="F192" s="23" t="s">
        <v>563</v>
      </c>
      <c r="G192" s="44">
        <v>179999.96679999999</v>
      </c>
      <c r="H192" s="44"/>
      <c r="I192" s="44">
        <v>-1096682.8263999999</v>
      </c>
      <c r="J192" s="44">
        <v>2092.2930000000001</v>
      </c>
      <c r="K192" s="44"/>
      <c r="L192" s="44">
        <v>-12469.839</v>
      </c>
      <c r="M192" s="44">
        <v>2092.2930000000001</v>
      </c>
      <c r="N192" s="23" t="s">
        <v>564</v>
      </c>
      <c r="O192" s="44"/>
      <c r="P192" s="45"/>
      <c r="Q192" s="23"/>
    </row>
    <row r="193" spans="1:17" x14ac:dyDescent="0.35">
      <c r="A193" s="40">
        <v>256779416879</v>
      </c>
      <c r="B193" s="41">
        <v>45889</v>
      </c>
      <c r="C193" s="23" t="s">
        <v>649</v>
      </c>
      <c r="D193" s="23" t="s">
        <v>790</v>
      </c>
      <c r="E193" s="23" t="s">
        <v>562</v>
      </c>
      <c r="F193" s="23" t="s">
        <v>724</v>
      </c>
      <c r="G193" s="44"/>
      <c r="H193" s="44">
        <v>7311.6938</v>
      </c>
      <c r="I193" s="44">
        <v>-17274.736099999998</v>
      </c>
      <c r="J193" s="44"/>
      <c r="K193" s="44">
        <v>82.4572</v>
      </c>
      <c r="L193" s="44">
        <v>-194.7062</v>
      </c>
      <c r="M193" s="44">
        <v>0</v>
      </c>
      <c r="N193" s="23" t="s">
        <v>564</v>
      </c>
      <c r="O193" s="44"/>
      <c r="P193" s="45"/>
      <c r="Q193" s="23"/>
    </row>
    <row r="194" spans="1:17" x14ac:dyDescent="0.35">
      <c r="A194" s="40">
        <v>256779416845</v>
      </c>
      <c r="B194" s="41">
        <v>45889</v>
      </c>
      <c r="C194" s="23" t="s">
        <v>649</v>
      </c>
      <c r="D194" s="23" t="s">
        <v>791</v>
      </c>
      <c r="E194" s="23" t="s">
        <v>562</v>
      </c>
      <c r="F194" s="23" t="s">
        <v>704</v>
      </c>
      <c r="G194" s="44"/>
      <c r="H194" s="44">
        <v>42795.2016</v>
      </c>
      <c r="I194" s="44">
        <v>-60069.937700000002</v>
      </c>
      <c r="J194" s="44"/>
      <c r="K194" s="44">
        <v>482.63040000000001</v>
      </c>
      <c r="L194" s="44">
        <v>-677.33659999999998</v>
      </c>
      <c r="M194" s="44">
        <v>0</v>
      </c>
      <c r="N194" s="23" t="s">
        <v>564</v>
      </c>
      <c r="O194" s="44"/>
      <c r="P194" s="45"/>
      <c r="Q194" s="23"/>
    </row>
    <row r="195" spans="1:17" x14ac:dyDescent="0.35">
      <c r="A195" s="40">
        <v>256779416817</v>
      </c>
      <c r="B195" s="41">
        <v>45889</v>
      </c>
      <c r="C195" s="23" t="s">
        <v>649</v>
      </c>
      <c r="D195" s="23" t="s">
        <v>796</v>
      </c>
      <c r="E195" s="23" t="s">
        <v>562</v>
      </c>
      <c r="F195" s="23" t="s">
        <v>704</v>
      </c>
      <c r="G195" s="44"/>
      <c r="H195" s="44">
        <v>15641.6</v>
      </c>
      <c r="I195" s="44">
        <v>-176157.4682</v>
      </c>
      <c r="J195" s="44"/>
      <c r="K195" s="44">
        <v>176.4</v>
      </c>
      <c r="L195" s="44">
        <v>-1986.5396000000001</v>
      </c>
      <c r="M195" s="44">
        <v>0</v>
      </c>
      <c r="N195" s="23" t="s">
        <v>564</v>
      </c>
      <c r="O195" s="44"/>
      <c r="P195" s="45"/>
      <c r="Q195" s="23"/>
    </row>
    <row r="196" spans="1:17" x14ac:dyDescent="0.35">
      <c r="A196" s="40">
        <v>256779417161</v>
      </c>
      <c r="B196" s="41">
        <v>45904</v>
      </c>
      <c r="C196" s="23" t="s">
        <v>649</v>
      </c>
      <c r="D196" s="23" t="s">
        <v>797</v>
      </c>
      <c r="E196" s="23" t="s">
        <v>562</v>
      </c>
      <c r="F196" s="23" t="s">
        <v>573</v>
      </c>
      <c r="G196" s="44"/>
      <c r="H196" s="44">
        <v>67577.916299999997</v>
      </c>
      <c r="I196" s="44">
        <v>-243735.38449999999</v>
      </c>
      <c r="J196" s="44"/>
      <c r="K196" s="44">
        <v>772.19100000000003</v>
      </c>
      <c r="L196" s="44">
        <v>-2758.7305999999999</v>
      </c>
      <c r="M196" s="44">
        <v>0</v>
      </c>
      <c r="N196" s="23" t="s">
        <v>564</v>
      </c>
      <c r="O196" s="44"/>
      <c r="P196" s="45"/>
      <c r="Q196" s="23"/>
    </row>
    <row r="197" spans="1:17" x14ac:dyDescent="0.35">
      <c r="A197" s="40">
        <v>256779417325</v>
      </c>
      <c r="B197" s="41">
        <v>45904</v>
      </c>
      <c r="C197" s="23" t="s">
        <v>649</v>
      </c>
      <c r="D197" s="23" t="s">
        <v>800</v>
      </c>
      <c r="E197" s="23" t="s">
        <v>562</v>
      </c>
      <c r="F197" s="23" t="s">
        <v>724</v>
      </c>
      <c r="G197" s="44"/>
      <c r="H197" s="44">
        <v>8391.402</v>
      </c>
      <c r="I197" s="44">
        <v>-376426.3383</v>
      </c>
      <c r="J197" s="44"/>
      <c r="K197" s="44">
        <v>95.883200000000002</v>
      </c>
      <c r="L197" s="44">
        <v>-4299.9463999999998</v>
      </c>
      <c r="M197" s="44">
        <v>0</v>
      </c>
      <c r="N197" s="23" t="s">
        <v>564</v>
      </c>
      <c r="O197" s="44"/>
      <c r="P197" s="45"/>
      <c r="Q197" s="23"/>
    </row>
    <row r="198" spans="1:17" x14ac:dyDescent="0.35">
      <c r="A198" s="40">
        <v>256779417287</v>
      </c>
      <c r="B198" s="41">
        <v>45904</v>
      </c>
      <c r="C198" s="23" t="s">
        <v>649</v>
      </c>
      <c r="D198" s="23" t="s">
        <v>802</v>
      </c>
      <c r="E198" s="23" t="s">
        <v>562</v>
      </c>
      <c r="F198" s="23" t="s">
        <v>704</v>
      </c>
      <c r="G198" s="44"/>
      <c r="H198" s="44">
        <v>35212.633600000001</v>
      </c>
      <c r="I198" s="44">
        <v>-417801.34090000001</v>
      </c>
      <c r="J198" s="44"/>
      <c r="K198" s="44">
        <v>402.36840000000001</v>
      </c>
      <c r="L198" s="44">
        <v>-4773.9723999999997</v>
      </c>
      <c r="M198" s="44">
        <v>0</v>
      </c>
      <c r="N198" s="23" t="s">
        <v>564</v>
      </c>
      <c r="O198" s="44"/>
      <c r="P198" s="45"/>
      <c r="Q198" s="23"/>
    </row>
    <row r="199" spans="1:17" x14ac:dyDescent="0.35">
      <c r="A199" s="40">
        <v>256779417179</v>
      </c>
      <c r="B199" s="41">
        <v>45904</v>
      </c>
      <c r="C199" s="23" t="s">
        <v>649</v>
      </c>
      <c r="D199" s="23" t="s">
        <v>803</v>
      </c>
      <c r="E199" s="23" t="s">
        <v>562</v>
      </c>
      <c r="F199" s="23" t="s">
        <v>624</v>
      </c>
      <c r="G199" s="44"/>
      <c r="H199" s="44">
        <v>133792.3548</v>
      </c>
      <c r="I199" s="44">
        <v>-551593.69570000004</v>
      </c>
      <c r="J199" s="44"/>
      <c r="K199" s="44">
        <v>1528.8</v>
      </c>
      <c r="L199" s="44">
        <v>-6302.7723999999998</v>
      </c>
      <c r="M199" s="44">
        <v>0</v>
      </c>
      <c r="N199" s="23" t="s">
        <v>564</v>
      </c>
      <c r="O199" s="44"/>
      <c r="P199" s="45"/>
      <c r="Q199" s="23"/>
    </row>
    <row r="200" spans="1:17" x14ac:dyDescent="0.35">
      <c r="A200" s="40">
        <v>256779417178</v>
      </c>
      <c r="B200" s="41">
        <v>45904</v>
      </c>
      <c r="C200" s="23" t="s">
        <v>649</v>
      </c>
      <c r="D200" s="23" t="s">
        <v>804</v>
      </c>
      <c r="E200" s="23" t="s">
        <v>562</v>
      </c>
      <c r="F200" s="23" t="s">
        <v>624</v>
      </c>
      <c r="G200" s="44"/>
      <c r="H200" s="44">
        <v>133792.3548</v>
      </c>
      <c r="I200" s="44">
        <v>-685386.05050000001</v>
      </c>
      <c r="J200" s="44"/>
      <c r="K200" s="44">
        <v>1528.8</v>
      </c>
      <c r="L200" s="44">
        <v>-7831.5724</v>
      </c>
      <c r="M200" s="44">
        <v>0</v>
      </c>
      <c r="N200" s="23" t="s">
        <v>564</v>
      </c>
      <c r="O200" s="44"/>
      <c r="P200" s="45"/>
      <c r="Q200" s="23"/>
    </row>
    <row r="201" spans="1:17" x14ac:dyDescent="0.35">
      <c r="A201" s="40">
        <v>256779417180</v>
      </c>
      <c r="B201" s="42">
        <v>45904</v>
      </c>
      <c r="C201" s="23" t="s">
        <v>649</v>
      </c>
      <c r="D201" s="23" t="s">
        <v>805</v>
      </c>
      <c r="E201" s="23" t="s">
        <v>562</v>
      </c>
      <c r="F201" s="23" t="s">
        <v>624</v>
      </c>
      <c r="G201" s="44"/>
      <c r="H201" s="44">
        <v>138252.1</v>
      </c>
      <c r="I201" s="44">
        <v>-823638.15049999999</v>
      </c>
      <c r="J201" s="44"/>
      <c r="K201" s="44">
        <v>1579.76</v>
      </c>
      <c r="L201" s="44">
        <v>-9411.3323999999993</v>
      </c>
      <c r="M201" s="44">
        <v>0</v>
      </c>
      <c r="N201" s="23" t="s">
        <v>564</v>
      </c>
      <c r="O201" s="44"/>
      <c r="P201" s="45"/>
      <c r="Q201" s="45"/>
    </row>
    <row r="202" spans="1:17" x14ac:dyDescent="0.35">
      <c r="A202" s="40">
        <v>256779417180</v>
      </c>
      <c r="B202" s="42">
        <v>45904</v>
      </c>
      <c r="C202" s="23" t="s">
        <v>649</v>
      </c>
      <c r="D202" s="23" t="s">
        <v>806</v>
      </c>
      <c r="E202" s="23" t="s">
        <v>562</v>
      </c>
      <c r="F202" s="23" t="s">
        <v>577</v>
      </c>
      <c r="G202" s="44"/>
      <c r="H202" s="44">
        <v>14736.9311</v>
      </c>
      <c r="I202" s="44">
        <v>-838375.08160000003</v>
      </c>
      <c r="J202" s="44"/>
      <c r="K202" s="44">
        <v>168.39</v>
      </c>
      <c r="L202" s="44">
        <v>-9579.7224000000006</v>
      </c>
      <c r="M202" s="44">
        <v>0</v>
      </c>
      <c r="N202" s="23" t="s">
        <v>564</v>
      </c>
      <c r="O202" s="44"/>
      <c r="P202" s="45"/>
      <c r="Q202" s="45"/>
    </row>
    <row r="203" spans="1:17" x14ac:dyDescent="0.35">
      <c r="A203" s="40">
        <v>256779417181</v>
      </c>
      <c r="B203" s="42">
        <v>45904</v>
      </c>
      <c r="C203" s="23" t="s">
        <v>649</v>
      </c>
      <c r="D203" s="23" t="s">
        <v>807</v>
      </c>
      <c r="E203" s="23" t="s">
        <v>562</v>
      </c>
      <c r="F203" s="23" t="s">
        <v>577</v>
      </c>
      <c r="G203" s="44"/>
      <c r="H203" s="44">
        <v>15752.866</v>
      </c>
      <c r="I203" s="44">
        <v>-854127.94759999996</v>
      </c>
      <c r="J203" s="44"/>
      <c r="K203" s="44">
        <v>180</v>
      </c>
      <c r="L203" s="44">
        <v>-9759.7224000000006</v>
      </c>
      <c r="M203" s="44">
        <v>0</v>
      </c>
      <c r="N203" s="23" t="s">
        <v>564</v>
      </c>
      <c r="O203" s="44"/>
      <c r="P203" s="45"/>
      <c r="Q203" s="45"/>
    </row>
    <row r="204" spans="1:17" x14ac:dyDescent="0.35">
      <c r="A204" s="40">
        <v>256779417181</v>
      </c>
      <c r="B204" s="42">
        <v>45904</v>
      </c>
      <c r="C204" s="23" t="s">
        <v>649</v>
      </c>
      <c r="D204" s="23" t="s">
        <v>808</v>
      </c>
      <c r="E204" s="23" t="s">
        <v>562</v>
      </c>
      <c r="F204" s="23" t="s">
        <v>624</v>
      </c>
      <c r="G204" s="44"/>
      <c r="H204" s="44">
        <v>138252.1</v>
      </c>
      <c r="I204" s="44">
        <v>-992380.04760000005</v>
      </c>
      <c r="J204" s="44"/>
      <c r="K204" s="44">
        <v>1579.76</v>
      </c>
      <c r="L204" s="44">
        <v>-11339.482400000001</v>
      </c>
      <c r="M204" s="44">
        <v>0</v>
      </c>
      <c r="N204" s="23" t="s">
        <v>564</v>
      </c>
      <c r="O204" s="44"/>
      <c r="P204" s="45"/>
      <c r="Q204" s="45"/>
    </row>
    <row r="205" spans="1:17" x14ac:dyDescent="0.35">
      <c r="A205" s="40">
        <v>256779417347</v>
      </c>
      <c r="B205" s="41">
        <v>45904</v>
      </c>
      <c r="C205" s="23" t="s">
        <v>649</v>
      </c>
      <c r="D205" s="23" t="s">
        <v>809</v>
      </c>
      <c r="E205" s="23" t="s">
        <v>562</v>
      </c>
      <c r="F205" s="23" t="s">
        <v>563</v>
      </c>
      <c r="G205" s="44"/>
      <c r="H205" s="44">
        <v>31499.606</v>
      </c>
      <c r="I205" s="44">
        <v>-1023879.6536</v>
      </c>
      <c r="J205" s="44"/>
      <c r="K205" s="44">
        <v>359.93700000000001</v>
      </c>
      <c r="L205" s="44">
        <v>-11699.419400000001</v>
      </c>
      <c r="M205" s="44">
        <v>0</v>
      </c>
      <c r="N205" s="23" t="s">
        <v>564</v>
      </c>
      <c r="O205" s="44"/>
      <c r="P205" s="45"/>
      <c r="Q205" s="23"/>
    </row>
    <row r="206" spans="1:17" x14ac:dyDescent="0.35">
      <c r="A206" s="40">
        <v>256779417346</v>
      </c>
      <c r="B206" s="41">
        <v>45904</v>
      </c>
      <c r="C206" s="23" t="s">
        <v>649</v>
      </c>
      <c r="D206" s="23" t="s">
        <v>810</v>
      </c>
      <c r="E206" s="23" t="s">
        <v>562</v>
      </c>
      <c r="F206" s="23" t="s">
        <v>563</v>
      </c>
      <c r="G206" s="44"/>
      <c r="H206" s="44">
        <v>89999.999500000005</v>
      </c>
      <c r="I206" s="44">
        <v>-1113879.6531</v>
      </c>
      <c r="J206" s="44"/>
      <c r="K206" s="44">
        <v>1028.403</v>
      </c>
      <c r="L206" s="44">
        <v>-12727.822399999999</v>
      </c>
      <c r="M206" s="44">
        <v>0</v>
      </c>
      <c r="N206" s="23" t="s">
        <v>564</v>
      </c>
      <c r="O206" s="44"/>
      <c r="P206" s="45"/>
      <c r="Q206" s="23"/>
    </row>
    <row r="207" spans="1:17" x14ac:dyDescent="0.35">
      <c r="A207" s="40">
        <v>7360258</v>
      </c>
      <c r="B207" s="42">
        <v>45904</v>
      </c>
      <c r="C207" s="23" t="s">
        <v>811</v>
      </c>
      <c r="D207" s="23" t="s">
        <v>812</v>
      </c>
      <c r="E207" s="23" t="s">
        <v>813</v>
      </c>
      <c r="F207" s="23" t="s">
        <v>624</v>
      </c>
      <c r="G207" s="44"/>
      <c r="H207" s="44">
        <v>-2520.8598000000002</v>
      </c>
      <c r="I207" s="44">
        <v>-1111358.7933</v>
      </c>
      <c r="J207" s="44"/>
      <c r="K207" s="44">
        <v>-28.8</v>
      </c>
      <c r="L207" s="44">
        <v>-12699.0224</v>
      </c>
      <c r="M207" s="44">
        <v>0</v>
      </c>
      <c r="N207" s="23" t="s">
        <v>564</v>
      </c>
      <c r="O207" s="44"/>
      <c r="P207" s="45"/>
      <c r="Q207" s="23"/>
    </row>
    <row r="208" spans="1:17" x14ac:dyDescent="0.35">
      <c r="A208" s="40">
        <v>7360257</v>
      </c>
      <c r="B208" s="42">
        <v>45904</v>
      </c>
      <c r="C208" s="23" t="s">
        <v>811</v>
      </c>
      <c r="D208" s="23" t="s">
        <v>814</v>
      </c>
      <c r="E208" s="23" t="s">
        <v>813</v>
      </c>
      <c r="F208" s="23" t="s">
        <v>624</v>
      </c>
      <c r="G208" s="44"/>
      <c r="H208" s="44">
        <v>-2520.8598000000002</v>
      </c>
      <c r="I208" s="44">
        <v>-1108837.9335</v>
      </c>
      <c r="J208" s="44"/>
      <c r="K208" s="44">
        <v>-28.8</v>
      </c>
      <c r="L208" s="44">
        <v>-12670.222400000001</v>
      </c>
      <c r="M208" s="44">
        <v>0</v>
      </c>
      <c r="N208" s="23" t="s">
        <v>564</v>
      </c>
      <c r="O208" s="44"/>
      <c r="P208" s="45"/>
      <c r="Q208" s="23"/>
    </row>
    <row r="209" spans="1:17" x14ac:dyDescent="0.35">
      <c r="A209" s="40">
        <v>7360259</v>
      </c>
      <c r="B209" s="42">
        <v>45904</v>
      </c>
      <c r="C209" s="23" t="s">
        <v>811</v>
      </c>
      <c r="D209" s="23" t="s">
        <v>815</v>
      </c>
      <c r="E209" s="23" t="s">
        <v>813</v>
      </c>
      <c r="F209" s="23" t="s">
        <v>624</v>
      </c>
      <c r="G209" s="44"/>
      <c r="H209" s="44">
        <v>-2604.8885</v>
      </c>
      <c r="I209" s="44">
        <v>-1106233.0449999999</v>
      </c>
      <c r="J209" s="44"/>
      <c r="K209" s="44">
        <v>-29.76</v>
      </c>
      <c r="L209" s="44">
        <v>-12640.4624</v>
      </c>
      <c r="M209" s="44">
        <v>0</v>
      </c>
      <c r="N209" s="23" t="s">
        <v>564</v>
      </c>
      <c r="O209" s="44"/>
      <c r="P209" s="45"/>
      <c r="Q209" s="23"/>
    </row>
    <row r="210" spans="1:17" x14ac:dyDescent="0.35">
      <c r="A210" s="40">
        <v>7360262</v>
      </c>
      <c r="B210" s="42">
        <v>45904</v>
      </c>
      <c r="C210" s="23" t="s">
        <v>811</v>
      </c>
      <c r="D210" s="23" t="s">
        <v>816</v>
      </c>
      <c r="E210" s="23" t="s">
        <v>813</v>
      </c>
      <c r="F210" s="23" t="s">
        <v>624</v>
      </c>
      <c r="G210" s="44"/>
      <c r="H210" s="44">
        <v>-138252.1</v>
      </c>
      <c r="I210" s="44">
        <v>-967980.94499999995</v>
      </c>
      <c r="J210" s="44"/>
      <c r="K210" s="44">
        <v>-1579.76</v>
      </c>
      <c r="L210" s="44">
        <v>-11060.7024</v>
      </c>
      <c r="M210" s="44">
        <v>0</v>
      </c>
      <c r="N210" s="23" t="s">
        <v>564</v>
      </c>
      <c r="O210" s="44"/>
      <c r="P210" s="45"/>
      <c r="Q210" s="23"/>
    </row>
    <row r="211" spans="1:17" x14ac:dyDescent="0.35">
      <c r="A211" s="40">
        <v>256779417245</v>
      </c>
      <c r="B211" s="41">
        <v>45904</v>
      </c>
      <c r="C211" s="23" t="s">
        <v>649</v>
      </c>
      <c r="D211" s="23" t="s">
        <v>829</v>
      </c>
      <c r="E211" s="23" t="s">
        <v>562</v>
      </c>
      <c r="F211" s="23" t="s">
        <v>573</v>
      </c>
      <c r="G211" s="44"/>
      <c r="H211" s="44">
        <v>7194.5771000000004</v>
      </c>
      <c r="I211" s="44">
        <v>-1252365.5711999999</v>
      </c>
      <c r="J211" s="44"/>
      <c r="K211" s="44">
        <v>82.212199999999996</v>
      </c>
      <c r="L211" s="44">
        <v>-14313.929599999999</v>
      </c>
      <c r="M211" s="44">
        <v>0</v>
      </c>
      <c r="N211" s="23" t="s">
        <v>564</v>
      </c>
      <c r="O211" s="44"/>
      <c r="P211" s="45"/>
      <c r="Q211" s="23"/>
    </row>
    <row r="212" spans="1:17" x14ac:dyDescent="0.35">
      <c r="A212" s="40">
        <v>256779417206</v>
      </c>
      <c r="B212" s="41">
        <v>45904</v>
      </c>
      <c r="C212" s="23" t="s">
        <v>649</v>
      </c>
      <c r="D212" s="23" t="s">
        <v>830</v>
      </c>
      <c r="E212" s="23" t="s">
        <v>562</v>
      </c>
      <c r="F212" s="23" t="s">
        <v>755</v>
      </c>
      <c r="G212" s="44"/>
      <c r="H212" s="44">
        <v>13059.682199999999</v>
      </c>
      <c r="I212" s="44">
        <v>-1265425.2534</v>
      </c>
      <c r="J212" s="44"/>
      <c r="K212" s="44">
        <v>149.23439999999999</v>
      </c>
      <c r="L212" s="44">
        <v>-14463.164000000001</v>
      </c>
      <c r="M212" s="44">
        <v>0</v>
      </c>
      <c r="N212" s="23" t="s">
        <v>564</v>
      </c>
      <c r="O212" s="44"/>
      <c r="P212" s="45"/>
      <c r="Q212" s="23"/>
    </row>
    <row r="213" spans="1:17" x14ac:dyDescent="0.35">
      <c r="A213" s="40">
        <v>7360262</v>
      </c>
      <c r="B213" s="42">
        <v>45904</v>
      </c>
      <c r="C213" s="23" t="s">
        <v>811</v>
      </c>
      <c r="D213" s="23" t="s">
        <v>833</v>
      </c>
      <c r="E213" s="23" t="s">
        <v>813</v>
      </c>
      <c r="F213" s="23" t="s">
        <v>624</v>
      </c>
      <c r="G213" s="44"/>
      <c r="H213" s="44">
        <v>-5316.8885</v>
      </c>
      <c r="I213" s="44">
        <v>-1261566.8609</v>
      </c>
      <c r="J213" s="44"/>
      <c r="K213" s="44">
        <v>-60.76</v>
      </c>
      <c r="L213" s="44">
        <v>-14419.828</v>
      </c>
      <c r="M213" s="44">
        <v>0</v>
      </c>
      <c r="N213" s="23" t="s">
        <v>564</v>
      </c>
      <c r="O213" s="44"/>
      <c r="P213" s="45"/>
      <c r="Q213" s="23"/>
    </row>
    <row r="214" spans="1:17" x14ac:dyDescent="0.35">
      <c r="A214" s="40">
        <v>7360258</v>
      </c>
      <c r="B214" s="42">
        <v>45904</v>
      </c>
      <c r="C214" s="23" t="s">
        <v>811</v>
      </c>
      <c r="D214" s="23" t="s">
        <v>834</v>
      </c>
      <c r="E214" s="23" t="s">
        <v>813</v>
      </c>
      <c r="F214" s="23" t="s">
        <v>624</v>
      </c>
      <c r="G214" s="44"/>
      <c r="H214" s="44">
        <v>-5250.8598000000002</v>
      </c>
      <c r="I214" s="44">
        <v>-1256316.0011</v>
      </c>
      <c r="J214" s="44"/>
      <c r="K214" s="44">
        <v>-60</v>
      </c>
      <c r="L214" s="44">
        <v>-14359.828</v>
      </c>
      <c r="M214" s="44">
        <v>0</v>
      </c>
      <c r="N214" s="23" t="s">
        <v>564</v>
      </c>
      <c r="O214" s="44"/>
      <c r="P214" s="45"/>
      <c r="Q214" s="23"/>
    </row>
    <row r="215" spans="1:17" x14ac:dyDescent="0.35">
      <c r="A215" s="40">
        <v>7360258</v>
      </c>
      <c r="B215" s="42">
        <v>45904</v>
      </c>
      <c r="C215" s="23" t="s">
        <v>811</v>
      </c>
      <c r="D215" s="23" t="s">
        <v>836</v>
      </c>
      <c r="E215" s="23" t="s">
        <v>813</v>
      </c>
      <c r="F215" s="23" t="s">
        <v>624</v>
      </c>
      <c r="G215" s="44"/>
      <c r="H215" s="44">
        <v>-5145.8598000000002</v>
      </c>
      <c r="I215" s="44">
        <v>-1256421.0011</v>
      </c>
      <c r="J215" s="44"/>
      <c r="K215" s="44">
        <v>-58.8</v>
      </c>
      <c r="L215" s="44">
        <v>-14361.028</v>
      </c>
      <c r="M215" s="44">
        <v>0</v>
      </c>
      <c r="N215" s="23" t="s">
        <v>564</v>
      </c>
      <c r="O215" s="44"/>
      <c r="P215" s="45"/>
      <c r="Q215" s="23"/>
    </row>
    <row r="216" spans="1:17" x14ac:dyDescent="0.35">
      <c r="A216" s="40">
        <v>7360257</v>
      </c>
      <c r="B216" s="42">
        <v>45904</v>
      </c>
      <c r="C216" s="23" t="s">
        <v>811</v>
      </c>
      <c r="D216" s="23" t="s">
        <v>837</v>
      </c>
      <c r="E216" s="23" t="s">
        <v>813</v>
      </c>
      <c r="F216" s="23" t="s">
        <v>624</v>
      </c>
      <c r="G216" s="44"/>
      <c r="H216" s="44">
        <v>-5145.8598000000002</v>
      </c>
      <c r="I216" s="44">
        <v>-1251275.1413</v>
      </c>
      <c r="J216" s="44"/>
      <c r="K216" s="44">
        <v>-58.8</v>
      </c>
      <c r="L216" s="44">
        <v>-14302.227999999999</v>
      </c>
      <c r="M216" s="44">
        <v>0</v>
      </c>
      <c r="N216" s="23" t="s">
        <v>564</v>
      </c>
      <c r="O216" s="44"/>
      <c r="P216" s="45"/>
      <c r="Q216" s="23"/>
    </row>
    <row r="217" spans="1:17" x14ac:dyDescent="0.35">
      <c r="A217" s="40">
        <v>7360259</v>
      </c>
      <c r="B217" s="42">
        <v>45904</v>
      </c>
      <c r="C217" s="23" t="s">
        <v>811</v>
      </c>
      <c r="D217" s="23" t="s">
        <v>838</v>
      </c>
      <c r="E217" s="23" t="s">
        <v>813</v>
      </c>
      <c r="F217" s="23" t="s">
        <v>624</v>
      </c>
      <c r="G217" s="44"/>
      <c r="H217" s="44">
        <v>-5316.8885</v>
      </c>
      <c r="I217" s="44">
        <v>-1245958.2527999999</v>
      </c>
      <c r="J217" s="44"/>
      <c r="K217" s="44">
        <v>-60.76</v>
      </c>
      <c r="L217" s="44">
        <v>-14241.468000000001</v>
      </c>
      <c r="M217" s="44">
        <v>0</v>
      </c>
      <c r="N217" s="23" t="s">
        <v>564</v>
      </c>
      <c r="O217" s="44"/>
      <c r="P217" s="45"/>
      <c r="Q217" s="23"/>
    </row>
    <row r="218" spans="1:17" x14ac:dyDescent="0.35">
      <c r="A218" s="40">
        <v>256779417082</v>
      </c>
      <c r="B218" s="41">
        <v>45906</v>
      </c>
      <c r="C218" s="23" t="s">
        <v>649</v>
      </c>
      <c r="D218" s="23" t="s">
        <v>881</v>
      </c>
      <c r="E218" s="23" t="s">
        <v>562</v>
      </c>
      <c r="F218" s="23" t="s">
        <v>563</v>
      </c>
      <c r="G218" s="44"/>
      <c r="H218" s="44">
        <v>131062.7203</v>
      </c>
      <c r="I218" s="44">
        <v>-1352625.0171999999</v>
      </c>
      <c r="J218" s="44"/>
      <c r="K218" s="44">
        <v>1497.6089999999999</v>
      </c>
      <c r="L218" s="44">
        <v>-15421.835999999999</v>
      </c>
      <c r="M218" s="44">
        <v>-1497.6089999999999</v>
      </c>
      <c r="N218" s="23" t="s">
        <v>564</v>
      </c>
      <c r="O218" s="44"/>
      <c r="P218" s="45"/>
      <c r="Q218" s="23"/>
    </row>
    <row r="219" spans="1:17" x14ac:dyDescent="0.35">
      <c r="A219" s="40"/>
      <c r="B219" s="41">
        <v>45910</v>
      </c>
      <c r="C219" s="23" t="s">
        <v>658</v>
      </c>
      <c r="D219" s="23" t="s">
        <v>780</v>
      </c>
      <c r="E219" s="23" t="s">
        <v>781</v>
      </c>
      <c r="F219" s="23" t="s">
        <v>715</v>
      </c>
      <c r="G219" s="44">
        <v>256553.8652</v>
      </c>
      <c r="H219" s="44"/>
      <c r="I219" s="44">
        <v>-1137064.8358</v>
      </c>
      <c r="J219" s="44">
        <v>2954.3362000000002</v>
      </c>
      <c r="K219" s="44"/>
      <c r="L219" s="44">
        <v>-13106.697200000001</v>
      </c>
      <c r="M219" s="44">
        <v>0</v>
      </c>
      <c r="N219" s="23" t="s">
        <v>564</v>
      </c>
      <c r="O219" s="44"/>
      <c r="P219" s="45"/>
      <c r="Q219" s="23"/>
    </row>
    <row r="220" spans="1:17" x14ac:dyDescent="0.35">
      <c r="A220" s="40"/>
      <c r="B220" s="41">
        <v>45910</v>
      </c>
      <c r="C220" s="23" t="s">
        <v>658</v>
      </c>
      <c r="D220" s="23" t="s">
        <v>782</v>
      </c>
      <c r="E220" s="23" t="s">
        <v>783</v>
      </c>
      <c r="F220" s="23" t="s">
        <v>715</v>
      </c>
      <c r="G220" s="44">
        <v>409664.38410000002</v>
      </c>
      <c r="H220" s="44"/>
      <c r="I220" s="44">
        <v>-727400.45169999998</v>
      </c>
      <c r="J220" s="44">
        <v>4740.7700000000004</v>
      </c>
      <c r="K220" s="44"/>
      <c r="L220" s="44">
        <v>-8365.9272000000001</v>
      </c>
      <c r="M220" s="44">
        <v>0</v>
      </c>
      <c r="N220" s="23" t="s">
        <v>564</v>
      </c>
      <c r="O220" s="44"/>
      <c r="P220" s="45"/>
      <c r="Q220" s="23"/>
    </row>
    <row r="221" spans="1:17" x14ac:dyDescent="0.35">
      <c r="A221" s="40"/>
      <c r="B221" s="41">
        <v>45916</v>
      </c>
      <c r="C221" s="23" t="s">
        <v>658</v>
      </c>
      <c r="D221" s="23" t="s">
        <v>784</v>
      </c>
      <c r="E221" s="23" t="s">
        <v>785</v>
      </c>
      <c r="F221" s="23" t="s">
        <v>715</v>
      </c>
      <c r="G221" s="44">
        <v>442900.59450000001</v>
      </c>
      <c r="H221" s="44"/>
      <c r="I221" s="44">
        <v>-284499.85720000003</v>
      </c>
      <c r="J221" s="44">
        <v>5041.5600000000004</v>
      </c>
      <c r="K221" s="44"/>
      <c r="L221" s="44">
        <v>-3324.3672000000001</v>
      </c>
      <c r="M221" s="44">
        <v>0</v>
      </c>
      <c r="N221" s="23" t="s">
        <v>564</v>
      </c>
      <c r="O221" s="44"/>
      <c r="P221" s="45"/>
      <c r="Q221" s="23"/>
    </row>
    <row r="222" spans="1:17" x14ac:dyDescent="0.35">
      <c r="A222" s="40"/>
      <c r="B222" s="41">
        <v>45916</v>
      </c>
      <c r="C222" s="23" t="s">
        <v>658</v>
      </c>
      <c r="D222" s="23" t="s">
        <v>786</v>
      </c>
      <c r="E222" s="23" t="s">
        <v>787</v>
      </c>
      <c r="F222" s="23" t="s">
        <v>715</v>
      </c>
      <c r="G222" s="44">
        <v>284790.76160000003</v>
      </c>
      <c r="H222" s="44"/>
      <c r="I222" s="44">
        <v>290.90440000000001</v>
      </c>
      <c r="J222" s="44">
        <v>3327.768</v>
      </c>
      <c r="K222" s="44"/>
      <c r="L222" s="44">
        <v>3.4007999999999998</v>
      </c>
      <c r="M222" s="44">
        <v>0</v>
      </c>
      <c r="N222" s="23" t="s">
        <v>564</v>
      </c>
      <c r="O222" s="44"/>
      <c r="P222" s="45"/>
      <c r="Q222" s="23"/>
    </row>
    <row r="223" spans="1:17" x14ac:dyDescent="0.35">
      <c r="A223" s="40">
        <v>256779417434</v>
      </c>
      <c r="B223" s="41">
        <v>45917</v>
      </c>
      <c r="C223" s="23" t="s">
        <v>649</v>
      </c>
      <c r="D223" s="23" t="s">
        <v>825</v>
      </c>
      <c r="E223" s="23" t="s">
        <v>562</v>
      </c>
      <c r="F223" s="23" t="s">
        <v>826</v>
      </c>
      <c r="G223" s="44"/>
      <c r="H223" s="44">
        <v>8576.4330000000009</v>
      </c>
      <c r="I223" s="44">
        <v>-1169929.6636000001</v>
      </c>
      <c r="J223" s="44"/>
      <c r="K223" s="44">
        <v>98</v>
      </c>
      <c r="L223" s="44">
        <v>-13372.4174</v>
      </c>
      <c r="M223" s="44">
        <v>0</v>
      </c>
      <c r="N223" s="23" t="s">
        <v>564</v>
      </c>
      <c r="O223" s="44"/>
      <c r="P223" s="45"/>
      <c r="Q223" s="23"/>
    </row>
    <row r="224" spans="1:17" x14ac:dyDescent="0.35">
      <c r="A224" s="40">
        <v>256779417526</v>
      </c>
      <c r="B224" s="41">
        <v>45918</v>
      </c>
      <c r="C224" s="23" t="s">
        <v>649</v>
      </c>
      <c r="D224" s="23" t="s">
        <v>818</v>
      </c>
      <c r="E224" s="23" t="s">
        <v>562</v>
      </c>
      <c r="F224" s="23" t="s">
        <v>724</v>
      </c>
      <c r="G224" s="44"/>
      <c r="H224" s="44">
        <v>1923.9464</v>
      </c>
      <c r="I224" s="44">
        <v>-999485.95050000004</v>
      </c>
      <c r="J224" s="44"/>
      <c r="K224" s="44">
        <v>21.981400000000001</v>
      </c>
      <c r="L224" s="44">
        <v>-11426.709199999999</v>
      </c>
      <c r="M224" s="44">
        <v>0</v>
      </c>
      <c r="N224" s="23" t="s">
        <v>564</v>
      </c>
      <c r="O224" s="44"/>
      <c r="P224" s="45"/>
      <c r="Q224" s="23"/>
    </row>
    <row r="225" spans="1:17" x14ac:dyDescent="0.35">
      <c r="A225" s="40">
        <v>256779417568</v>
      </c>
      <c r="B225" s="41">
        <v>45918</v>
      </c>
      <c r="C225" s="23" t="s">
        <v>649</v>
      </c>
      <c r="D225" s="23" t="s">
        <v>819</v>
      </c>
      <c r="E225" s="23" t="s">
        <v>562</v>
      </c>
      <c r="F225" s="23" t="s">
        <v>704</v>
      </c>
      <c r="G225" s="44"/>
      <c r="H225" s="44">
        <v>25205.5864</v>
      </c>
      <c r="I225" s="44">
        <v>-1024691.5368999999</v>
      </c>
      <c r="J225" s="44"/>
      <c r="K225" s="44">
        <v>288.01220000000001</v>
      </c>
      <c r="L225" s="44">
        <v>-11714.7214</v>
      </c>
      <c r="M225" s="44">
        <v>0</v>
      </c>
      <c r="N225" s="23" t="s">
        <v>564</v>
      </c>
      <c r="O225" s="44"/>
      <c r="P225" s="45"/>
      <c r="Q225" s="23"/>
    </row>
    <row r="226" spans="1:17" x14ac:dyDescent="0.35">
      <c r="A226" s="40">
        <v>256779417490</v>
      </c>
      <c r="B226" s="42">
        <v>45918</v>
      </c>
      <c r="C226" s="23" t="s">
        <v>649</v>
      </c>
      <c r="D226" s="23" t="s">
        <v>827</v>
      </c>
      <c r="E226" s="23" t="s">
        <v>562</v>
      </c>
      <c r="F226" s="23" t="s">
        <v>577</v>
      </c>
      <c r="G226" s="44"/>
      <c r="H226" s="44">
        <v>7876.433</v>
      </c>
      <c r="I226" s="44">
        <v>-1177806.0966</v>
      </c>
      <c r="J226" s="44"/>
      <c r="K226" s="44">
        <v>90</v>
      </c>
      <c r="L226" s="44">
        <v>-13462.4174</v>
      </c>
      <c r="M226" s="44">
        <v>0</v>
      </c>
      <c r="N226" s="23" t="s">
        <v>564</v>
      </c>
      <c r="O226" s="44"/>
      <c r="P226" s="45"/>
      <c r="Q226" s="45"/>
    </row>
    <row r="227" spans="1:17" x14ac:dyDescent="0.35">
      <c r="A227" s="40">
        <v>256779417490</v>
      </c>
      <c r="B227" s="42">
        <v>45918</v>
      </c>
      <c r="C227" s="23" t="s">
        <v>649</v>
      </c>
      <c r="D227" s="23" t="s">
        <v>828</v>
      </c>
      <c r="E227" s="23" t="s">
        <v>562</v>
      </c>
      <c r="F227" s="23" t="s">
        <v>624</v>
      </c>
      <c r="G227" s="44"/>
      <c r="H227" s="44">
        <v>64322.747499999998</v>
      </c>
      <c r="I227" s="44">
        <v>-1242128.8441000001</v>
      </c>
      <c r="J227" s="44"/>
      <c r="K227" s="44">
        <v>735</v>
      </c>
      <c r="L227" s="44">
        <v>-14197.4174</v>
      </c>
      <c r="M227" s="44">
        <v>0</v>
      </c>
      <c r="N227" s="23" t="s">
        <v>564</v>
      </c>
      <c r="O227" s="44"/>
      <c r="P227" s="45"/>
      <c r="Q227" s="45"/>
    </row>
    <row r="228" spans="1:17" x14ac:dyDescent="0.35">
      <c r="A228" s="40">
        <v>256779417420</v>
      </c>
      <c r="B228" s="42">
        <v>45918</v>
      </c>
      <c r="C228" s="23" t="s">
        <v>649</v>
      </c>
      <c r="D228" s="23" t="s">
        <v>831</v>
      </c>
      <c r="E228" s="23" t="s">
        <v>562</v>
      </c>
      <c r="F228" s="23" t="s">
        <v>573</v>
      </c>
      <c r="G228" s="44"/>
      <c r="H228" s="44">
        <v>3002.0016000000001</v>
      </c>
      <c r="I228" s="44">
        <v>-1268427.2549999999</v>
      </c>
      <c r="J228" s="44"/>
      <c r="K228" s="44">
        <v>34.299999999999997</v>
      </c>
      <c r="L228" s="44">
        <v>-14497.464</v>
      </c>
      <c r="M228" s="44">
        <v>0</v>
      </c>
      <c r="N228" s="23" t="s">
        <v>564</v>
      </c>
      <c r="O228" s="44"/>
      <c r="P228" s="45"/>
      <c r="Q228" s="23"/>
    </row>
    <row r="229" spans="1:17" x14ac:dyDescent="0.35">
      <c r="A229" s="40">
        <v>256779417818</v>
      </c>
      <c r="B229" s="42">
        <v>45924</v>
      </c>
      <c r="C229" s="23" t="s">
        <v>649</v>
      </c>
      <c r="D229" s="23" t="s">
        <v>817</v>
      </c>
      <c r="E229" s="23" t="s">
        <v>562</v>
      </c>
      <c r="F229" s="23" t="s">
        <v>634</v>
      </c>
      <c r="G229" s="44"/>
      <c r="H229" s="44">
        <v>20344.044699999999</v>
      </c>
      <c r="I229" s="44">
        <v>-988324.98970000003</v>
      </c>
      <c r="J229" s="44"/>
      <c r="K229" s="44">
        <v>236.60140000000001</v>
      </c>
      <c r="L229" s="44">
        <v>-11297.3038</v>
      </c>
      <c r="M229" s="44">
        <v>0</v>
      </c>
      <c r="N229" s="23" t="s">
        <v>564</v>
      </c>
      <c r="O229" s="44"/>
      <c r="P229" s="45"/>
      <c r="Q229" s="45"/>
    </row>
    <row r="230" spans="1:17" x14ac:dyDescent="0.35">
      <c r="A230" s="40">
        <v>256779417818</v>
      </c>
      <c r="B230" s="42">
        <v>45924</v>
      </c>
      <c r="C230" s="23" t="s">
        <v>649</v>
      </c>
      <c r="D230" s="23" t="s">
        <v>832</v>
      </c>
      <c r="E230" s="23" t="s">
        <v>562</v>
      </c>
      <c r="F230" s="23" t="s">
        <v>577</v>
      </c>
      <c r="G230" s="44"/>
      <c r="H230" s="44">
        <v>1498.6443999999999</v>
      </c>
      <c r="I230" s="44">
        <v>-1266883.7494000001</v>
      </c>
      <c r="J230" s="44"/>
      <c r="K230" s="44">
        <v>17.423999999999999</v>
      </c>
      <c r="L230" s="44">
        <v>-14480.588</v>
      </c>
      <c r="M230" s="44">
        <v>0</v>
      </c>
      <c r="N230" s="23" t="s">
        <v>564</v>
      </c>
      <c r="O230" s="44"/>
      <c r="P230" s="45"/>
      <c r="Q230" s="45"/>
    </row>
    <row r="231" spans="1:17" x14ac:dyDescent="0.35">
      <c r="A231" s="40">
        <v>256779417873</v>
      </c>
      <c r="B231" s="41">
        <v>45935</v>
      </c>
      <c r="C231" s="23" t="s">
        <v>649</v>
      </c>
      <c r="D231" s="23" t="s">
        <v>841</v>
      </c>
      <c r="E231" s="23" t="s">
        <v>562</v>
      </c>
      <c r="F231" s="23" t="s">
        <v>563</v>
      </c>
      <c r="G231" s="44"/>
      <c r="H231" s="44">
        <v>89999.522899999996</v>
      </c>
      <c r="I231" s="44">
        <v>-1182953.6794</v>
      </c>
      <c r="J231" s="44"/>
      <c r="K231" s="44">
        <v>1020.52</v>
      </c>
      <c r="L231" s="44">
        <v>-13509.222400000001</v>
      </c>
      <c r="M231" s="44">
        <v>0</v>
      </c>
      <c r="N231" s="23" t="s">
        <v>564</v>
      </c>
      <c r="O231" s="44"/>
      <c r="P231" s="45"/>
      <c r="Q231" s="23"/>
    </row>
    <row r="232" spans="1:17" x14ac:dyDescent="0.35">
      <c r="A232" s="40">
        <v>256779417874</v>
      </c>
      <c r="B232" s="41">
        <v>45935</v>
      </c>
      <c r="C232" s="23" t="s">
        <v>649</v>
      </c>
      <c r="D232" s="23" t="s">
        <v>842</v>
      </c>
      <c r="E232" s="23" t="s">
        <v>562</v>
      </c>
      <c r="F232" s="23" t="s">
        <v>569</v>
      </c>
      <c r="G232" s="44"/>
      <c r="H232" s="44">
        <v>34299.965300000003</v>
      </c>
      <c r="I232" s="44">
        <v>-1217253.6447000001</v>
      </c>
      <c r="J232" s="44"/>
      <c r="K232" s="44">
        <v>388.93259999999998</v>
      </c>
      <c r="L232" s="44">
        <v>-13898.155000000001</v>
      </c>
      <c r="M232" s="44">
        <v>0</v>
      </c>
      <c r="N232" s="23" t="s">
        <v>564</v>
      </c>
      <c r="O232" s="44"/>
      <c r="P232" s="45"/>
      <c r="Q232" s="23"/>
    </row>
    <row r="233" spans="1:17" x14ac:dyDescent="0.35">
      <c r="A233" s="40">
        <v>256779418095</v>
      </c>
      <c r="B233" s="42">
        <v>45935</v>
      </c>
      <c r="C233" s="23" t="s">
        <v>649</v>
      </c>
      <c r="D233" s="23" t="s">
        <v>843</v>
      </c>
      <c r="E233" s="23" t="s">
        <v>562</v>
      </c>
      <c r="F233" s="23" t="s">
        <v>577</v>
      </c>
      <c r="G233" s="44"/>
      <c r="H233" s="44">
        <v>7937</v>
      </c>
      <c r="I233" s="44">
        <v>-1225190.6447000001</v>
      </c>
      <c r="J233" s="44"/>
      <c r="K233" s="44">
        <v>90</v>
      </c>
      <c r="L233" s="44">
        <v>-13988.155000000001</v>
      </c>
      <c r="M233" s="44">
        <v>0</v>
      </c>
      <c r="N233" s="23" t="s">
        <v>564</v>
      </c>
      <c r="O233" s="44"/>
      <c r="P233" s="45"/>
      <c r="Q233" s="45"/>
    </row>
    <row r="234" spans="1:17" x14ac:dyDescent="0.35">
      <c r="A234" s="40">
        <v>256779418095</v>
      </c>
      <c r="B234" s="42">
        <v>45935</v>
      </c>
      <c r="C234" s="23" t="s">
        <v>649</v>
      </c>
      <c r="D234" s="23" t="s">
        <v>844</v>
      </c>
      <c r="E234" s="23" t="s">
        <v>562</v>
      </c>
      <c r="F234" s="23" t="s">
        <v>624</v>
      </c>
      <c r="G234" s="44"/>
      <c r="H234" s="44">
        <v>64819.5</v>
      </c>
      <c r="I234" s="44">
        <v>-1290010.1447000001</v>
      </c>
      <c r="J234" s="44"/>
      <c r="K234" s="44">
        <v>735</v>
      </c>
      <c r="L234" s="44">
        <v>-14723.155000000001</v>
      </c>
      <c r="M234" s="44">
        <v>0</v>
      </c>
      <c r="N234" s="23" t="s">
        <v>564</v>
      </c>
      <c r="O234" s="44"/>
      <c r="P234" s="45"/>
      <c r="Q234" s="45"/>
    </row>
    <row r="235" spans="1:17" x14ac:dyDescent="0.35">
      <c r="A235" s="40">
        <v>256779417979</v>
      </c>
      <c r="B235" s="41">
        <v>45935</v>
      </c>
      <c r="C235" s="23" t="s">
        <v>649</v>
      </c>
      <c r="D235" s="23" t="s">
        <v>845</v>
      </c>
      <c r="E235" s="23" t="s">
        <v>562</v>
      </c>
      <c r="F235" s="23" t="s">
        <v>724</v>
      </c>
      <c r="G235" s="44"/>
      <c r="H235" s="44">
        <v>11795.171200000001</v>
      </c>
      <c r="I235" s="44">
        <v>-1301805.3159</v>
      </c>
      <c r="J235" s="44"/>
      <c r="K235" s="44">
        <v>133.75040000000001</v>
      </c>
      <c r="L235" s="44">
        <v>-14856.9054</v>
      </c>
      <c r="M235" s="44">
        <v>0</v>
      </c>
      <c r="N235" s="23" t="s">
        <v>564</v>
      </c>
      <c r="O235" s="44"/>
      <c r="P235" s="45"/>
      <c r="Q235" s="23"/>
    </row>
    <row r="236" spans="1:17" x14ac:dyDescent="0.35">
      <c r="A236" s="40">
        <v>256779417902</v>
      </c>
      <c r="B236" s="41">
        <v>45935</v>
      </c>
      <c r="C236" s="23" t="s">
        <v>649</v>
      </c>
      <c r="D236" s="23" t="s">
        <v>850</v>
      </c>
      <c r="E236" s="23" t="s">
        <v>562</v>
      </c>
      <c r="F236" s="23" t="s">
        <v>755</v>
      </c>
      <c r="G236" s="44"/>
      <c r="H236" s="44">
        <v>2432.5484999999999</v>
      </c>
      <c r="I236" s="44">
        <v>-210992.80350000001</v>
      </c>
      <c r="J236" s="44"/>
      <c r="K236" s="44">
        <v>27.587</v>
      </c>
      <c r="L236" s="44">
        <v>-2392.3892000000001</v>
      </c>
      <c r="M236" s="44">
        <v>-27.587</v>
      </c>
      <c r="N236" s="23" t="s">
        <v>564</v>
      </c>
      <c r="O236" s="44"/>
      <c r="P236" s="45"/>
      <c r="Q236" s="23"/>
    </row>
    <row r="237" spans="1:17" x14ac:dyDescent="0.35">
      <c r="A237" s="40">
        <v>256779417940</v>
      </c>
      <c r="B237" s="41">
        <v>45935</v>
      </c>
      <c r="C237" s="23" t="s">
        <v>649</v>
      </c>
      <c r="D237" s="23" t="s">
        <v>851</v>
      </c>
      <c r="E237" s="23" t="s">
        <v>562</v>
      </c>
      <c r="F237" s="23" t="s">
        <v>704</v>
      </c>
      <c r="G237" s="44"/>
      <c r="H237" s="44">
        <v>28649.985000000001</v>
      </c>
      <c r="I237" s="44">
        <v>-239642.7885</v>
      </c>
      <c r="J237" s="44"/>
      <c r="K237" s="44">
        <v>324.87</v>
      </c>
      <c r="L237" s="44">
        <v>-2717.2592</v>
      </c>
      <c r="M237" s="44">
        <v>-324.87</v>
      </c>
      <c r="N237" s="23" t="s">
        <v>564</v>
      </c>
      <c r="O237" s="44"/>
      <c r="P237" s="45"/>
      <c r="Q237" s="23"/>
    </row>
    <row r="238" spans="1:17" x14ac:dyDescent="0.35">
      <c r="A238" s="40">
        <v>256779418400</v>
      </c>
      <c r="B238" s="41">
        <v>45935</v>
      </c>
      <c r="C238" s="23" t="s">
        <v>649</v>
      </c>
      <c r="D238" s="23" t="s">
        <v>852</v>
      </c>
      <c r="E238" s="23" t="s">
        <v>562</v>
      </c>
      <c r="F238" s="23" t="s">
        <v>573</v>
      </c>
      <c r="G238" s="44"/>
      <c r="H238" s="44">
        <v>25349.127</v>
      </c>
      <c r="I238" s="44">
        <v>-264991.9155</v>
      </c>
      <c r="J238" s="44"/>
      <c r="K238" s="44">
        <v>287.43400000000003</v>
      </c>
      <c r="L238" s="44">
        <v>-3004.6932000000002</v>
      </c>
      <c r="M238" s="44">
        <v>-287.43400000000003</v>
      </c>
      <c r="N238" s="23" t="s">
        <v>564</v>
      </c>
      <c r="O238" s="44"/>
      <c r="P238" s="45"/>
      <c r="Q238" s="23"/>
    </row>
    <row r="239" spans="1:17" x14ac:dyDescent="0.35">
      <c r="A239" s="40">
        <v>256779418011</v>
      </c>
      <c r="B239" s="41">
        <v>45936</v>
      </c>
      <c r="C239" s="23" t="s">
        <v>649</v>
      </c>
      <c r="D239" s="23" t="s">
        <v>882</v>
      </c>
      <c r="E239" s="23" t="s">
        <v>562</v>
      </c>
      <c r="F239" s="23" t="s">
        <v>563</v>
      </c>
      <c r="G239" s="44"/>
      <c r="H239" s="44">
        <v>73826.046600000001</v>
      </c>
      <c r="I239" s="44">
        <v>-1426451.0637999999</v>
      </c>
      <c r="J239" s="44"/>
      <c r="K239" s="44">
        <v>837.12599999999998</v>
      </c>
      <c r="L239" s="44">
        <v>-16258.962</v>
      </c>
      <c r="M239" s="44">
        <v>-837.12599999999998</v>
      </c>
      <c r="N239" s="23" t="s">
        <v>564</v>
      </c>
      <c r="O239" s="44"/>
      <c r="P239" s="45"/>
      <c r="Q239" s="23"/>
    </row>
    <row r="240" spans="1:17" x14ac:dyDescent="0.35">
      <c r="A240" s="40">
        <v>256779418180</v>
      </c>
      <c r="B240" s="41">
        <v>45937</v>
      </c>
      <c r="C240" s="23" t="s">
        <v>649</v>
      </c>
      <c r="D240" s="23" t="s">
        <v>857</v>
      </c>
      <c r="E240" s="23" t="s">
        <v>562</v>
      </c>
      <c r="F240" s="23" t="s">
        <v>573</v>
      </c>
      <c r="G240" s="44"/>
      <c r="H240" s="44">
        <v>14970.2718</v>
      </c>
      <c r="I240" s="44">
        <v>-381143.4964</v>
      </c>
      <c r="J240" s="44"/>
      <c r="K240" s="44">
        <v>169.75559999999999</v>
      </c>
      <c r="L240" s="44">
        <v>-4321.7610000000004</v>
      </c>
      <c r="M240" s="44">
        <v>-169.75559999999999</v>
      </c>
      <c r="N240" s="23" t="s">
        <v>564</v>
      </c>
      <c r="O240" s="44"/>
      <c r="P240" s="45"/>
      <c r="Q240" s="23"/>
    </row>
    <row r="241" spans="1:17" x14ac:dyDescent="0.35">
      <c r="A241" s="40">
        <v>256779418170</v>
      </c>
      <c r="B241" s="41">
        <v>45937</v>
      </c>
      <c r="C241" s="23" t="s">
        <v>649</v>
      </c>
      <c r="D241" s="23" t="s">
        <v>858</v>
      </c>
      <c r="E241" s="23" t="s">
        <v>562</v>
      </c>
      <c r="F241" s="23" t="s">
        <v>826</v>
      </c>
      <c r="G241" s="44"/>
      <c r="H241" s="44">
        <v>8643</v>
      </c>
      <c r="I241" s="44">
        <v>-389786.4964</v>
      </c>
      <c r="J241" s="44"/>
      <c r="K241" s="44">
        <v>98</v>
      </c>
      <c r="L241" s="44">
        <v>-4419.7610000000004</v>
      </c>
      <c r="M241" s="44">
        <v>-98</v>
      </c>
      <c r="N241" s="23" t="s">
        <v>564</v>
      </c>
      <c r="O241" s="44"/>
      <c r="P241" s="45"/>
      <c r="Q241" s="23"/>
    </row>
    <row r="242" spans="1:17" x14ac:dyDescent="0.35">
      <c r="A242" s="40">
        <v>1005</v>
      </c>
      <c r="B242" s="41">
        <v>45940</v>
      </c>
      <c r="C242" s="23" t="s">
        <v>811</v>
      </c>
      <c r="D242" s="23" t="s">
        <v>820</v>
      </c>
      <c r="E242" s="23" t="s">
        <v>821</v>
      </c>
      <c r="F242" s="23" t="s">
        <v>624</v>
      </c>
      <c r="G242" s="44"/>
      <c r="H242" s="44">
        <v>138252.1</v>
      </c>
      <c r="I242" s="44">
        <v>-1153706.6225000001</v>
      </c>
      <c r="J242" s="44"/>
      <c r="K242" s="44">
        <v>1579.76</v>
      </c>
      <c r="L242" s="44">
        <v>-13187.0574</v>
      </c>
      <c r="M242" s="44">
        <v>0</v>
      </c>
      <c r="N242" s="23" t="s">
        <v>564</v>
      </c>
      <c r="O242" s="44"/>
      <c r="P242" s="45"/>
      <c r="Q242" s="23"/>
    </row>
    <row r="243" spans="1:17" x14ac:dyDescent="0.35">
      <c r="A243" s="40">
        <v>1002</v>
      </c>
      <c r="B243" s="41">
        <v>45940</v>
      </c>
      <c r="C243" s="23" t="s">
        <v>811</v>
      </c>
      <c r="D243" s="23" t="s">
        <v>822</v>
      </c>
      <c r="E243" s="23" t="s">
        <v>821</v>
      </c>
      <c r="F243" s="23" t="s">
        <v>624</v>
      </c>
      <c r="G243" s="44"/>
      <c r="H243" s="44">
        <v>2520.8598000000002</v>
      </c>
      <c r="I243" s="44">
        <v>-1156227.4823</v>
      </c>
      <c r="J243" s="44"/>
      <c r="K243" s="44">
        <v>28.8</v>
      </c>
      <c r="L243" s="44">
        <v>-13215.857400000001</v>
      </c>
      <c r="M243" s="44">
        <v>0</v>
      </c>
      <c r="N243" s="23" t="s">
        <v>564</v>
      </c>
      <c r="O243" s="44"/>
      <c r="P243" s="45"/>
      <c r="Q243" s="23"/>
    </row>
    <row r="244" spans="1:17" x14ac:dyDescent="0.35">
      <c r="A244" s="40">
        <v>1003</v>
      </c>
      <c r="B244" s="41">
        <v>45940</v>
      </c>
      <c r="C244" s="23" t="s">
        <v>811</v>
      </c>
      <c r="D244" s="23" t="s">
        <v>823</v>
      </c>
      <c r="E244" s="23" t="s">
        <v>821</v>
      </c>
      <c r="F244" s="23" t="s">
        <v>624</v>
      </c>
      <c r="G244" s="44"/>
      <c r="H244" s="44">
        <v>2520.8598000000002</v>
      </c>
      <c r="I244" s="44">
        <v>-1158748.3421</v>
      </c>
      <c r="J244" s="44"/>
      <c r="K244" s="44">
        <v>28.8</v>
      </c>
      <c r="L244" s="44">
        <v>-13244.6574</v>
      </c>
      <c r="M244" s="44">
        <v>0</v>
      </c>
      <c r="N244" s="23" t="s">
        <v>564</v>
      </c>
      <c r="O244" s="44"/>
      <c r="P244" s="45"/>
      <c r="Q244" s="23"/>
    </row>
    <row r="245" spans="1:17" x14ac:dyDescent="0.35">
      <c r="A245" s="40">
        <v>1004</v>
      </c>
      <c r="B245" s="41">
        <v>45940</v>
      </c>
      <c r="C245" s="23" t="s">
        <v>811</v>
      </c>
      <c r="D245" s="23" t="s">
        <v>824</v>
      </c>
      <c r="E245" s="23" t="s">
        <v>821</v>
      </c>
      <c r="F245" s="23" t="s">
        <v>624</v>
      </c>
      <c r="G245" s="44"/>
      <c r="H245" s="44">
        <v>2604.8885</v>
      </c>
      <c r="I245" s="44">
        <v>-1161353.2305999999</v>
      </c>
      <c r="J245" s="44"/>
      <c r="K245" s="44">
        <v>29.76</v>
      </c>
      <c r="L245" s="44">
        <v>-13274.4174</v>
      </c>
      <c r="M245" s="44">
        <v>0</v>
      </c>
      <c r="N245" s="23" t="s">
        <v>564</v>
      </c>
      <c r="O245" s="44"/>
      <c r="P245" s="45"/>
      <c r="Q245" s="23"/>
    </row>
    <row r="246" spans="1:17" x14ac:dyDescent="0.35">
      <c r="A246" s="40">
        <v>1008</v>
      </c>
      <c r="B246" s="41">
        <v>45941</v>
      </c>
      <c r="C246" s="23" t="s">
        <v>811</v>
      </c>
      <c r="D246" s="23" t="s">
        <v>835</v>
      </c>
      <c r="E246" s="23" t="s">
        <v>821</v>
      </c>
      <c r="F246" s="23" t="s">
        <v>624</v>
      </c>
      <c r="G246" s="44"/>
      <c r="H246" s="44">
        <v>5250.8598000000002</v>
      </c>
      <c r="I246" s="44">
        <v>-1261566.8609</v>
      </c>
      <c r="J246" s="44"/>
      <c r="K246" s="44">
        <v>60</v>
      </c>
      <c r="L246" s="44">
        <v>-14419.828</v>
      </c>
      <c r="M246" s="44">
        <v>0</v>
      </c>
      <c r="N246" s="23" t="s">
        <v>564</v>
      </c>
      <c r="O246" s="44"/>
      <c r="P246" s="45"/>
      <c r="Q246" s="23"/>
    </row>
    <row r="247" spans="1:17" x14ac:dyDescent="0.35">
      <c r="A247" s="40">
        <v>256779418621</v>
      </c>
      <c r="B247" s="42">
        <v>45950</v>
      </c>
      <c r="C247" s="23" t="s">
        <v>649</v>
      </c>
      <c r="D247" s="23" t="s">
        <v>853</v>
      </c>
      <c r="E247" s="23" t="s">
        <v>562</v>
      </c>
      <c r="F247" s="23" t="s">
        <v>624</v>
      </c>
      <c r="G247" s="44"/>
      <c r="H247" s="44">
        <v>64819.5</v>
      </c>
      <c r="I247" s="44">
        <v>-329811.4155</v>
      </c>
      <c r="J247" s="44"/>
      <c r="K247" s="44">
        <v>735</v>
      </c>
      <c r="L247" s="44">
        <v>-3739.6932000000002</v>
      </c>
      <c r="M247" s="44">
        <v>-735</v>
      </c>
      <c r="N247" s="23" t="s">
        <v>564</v>
      </c>
      <c r="O247" s="44"/>
      <c r="P247" s="45"/>
      <c r="Q247" s="45"/>
    </row>
    <row r="248" spans="1:17" x14ac:dyDescent="0.35">
      <c r="A248" s="40">
        <v>256779418621</v>
      </c>
      <c r="B248" s="42">
        <v>45950</v>
      </c>
      <c r="C248" s="23" t="s">
        <v>649</v>
      </c>
      <c r="D248" s="23" t="s">
        <v>854</v>
      </c>
      <c r="E248" s="23" t="s">
        <v>562</v>
      </c>
      <c r="F248" s="23" t="s">
        <v>577</v>
      </c>
      <c r="G248" s="44"/>
      <c r="H248" s="44">
        <v>7937</v>
      </c>
      <c r="I248" s="44">
        <v>-337748.4155</v>
      </c>
      <c r="J248" s="44"/>
      <c r="K248" s="44">
        <v>90</v>
      </c>
      <c r="L248" s="44">
        <v>-3829.6932000000002</v>
      </c>
      <c r="M248" s="44">
        <v>-90</v>
      </c>
      <c r="N248" s="23" t="s">
        <v>564</v>
      </c>
      <c r="O248" s="44"/>
      <c r="P248" s="45"/>
      <c r="Q248" s="45"/>
    </row>
    <row r="249" spans="1:17" x14ac:dyDescent="0.35">
      <c r="A249" s="40">
        <v>256779418633</v>
      </c>
      <c r="B249" s="41">
        <v>45950</v>
      </c>
      <c r="C249" s="23" t="s">
        <v>649</v>
      </c>
      <c r="D249" s="23" t="s">
        <v>855</v>
      </c>
      <c r="E249" s="23" t="s">
        <v>562</v>
      </c>
      <c r="F249" s="23" t="s">
        <v>573</v>
      </c>
      <c r="G249" s="44"/>
      <c r="H249" s="44">
        <v>3024.65</v>
      </c>
      <c r="I249" s="44">
        <v>-340773.06550000003</v>
      </c>
      <c r="J249" s="44"/>
      <c r="K249" s="44">
        <v>34.299999999999997</v>
      </c>
      <c r="L249" s="44">
        <v>-3863.9931999999999</v>
      </c>
      <c r="M249" s="44">
        <v>-34.299999999999997</v>
      </c>
      <c r="N249" s="23" t="s">
        <v>564</v>
      </c>
      <c r="O249" s="44"/>
      <c r="P249" s="45"/>
      <c r="Q249" s="23"/>
    </row>
    <row r="250" spans="1:17" x14ac:dyDescent="0.35">
      <c r="A250" s="40">
        <v>256779418663</v>
      </c>
      <c r="B250" s="41">
        <v>45950</v>
      </c>
      <c r="C250" s="23" t="s">
        <v>649</v>
      </c>
      <c r="D250" s="23" t="s">
        <v>856</v>
      </c>
      <c r="E250" s="23" t="s">
        <v>562</v>
      </c>
      <c r="F250" s="23" t="s">
        <v>704</v>
      </c>
      <c r="G250" s="44"/>
      <c r="H250" s="44">
        <v>25400.159100000001</v>
      </c>
      <c r="I250" s="44">
        <v>-366173.22460000002</v>
      </c>
      <c r="J250" s="44"/>
      <c r="K250" s="44">
        <v>288.01220000000001</v>
      </c>
      <c r="L250" s="44">
        <v>-4152.0054</v>
      </c>
      <c r="M250" s="44">
        <v>-288.01220000000001</v>
      </c>
      <c r="N250" s="23" t="s">
        <v>564</v>
      </c>
      <c r="O250" s="44"/>
      <c r="P250" s="45"/>
      <c r="Q250" s="23"/>
    </row>
    <row r="251" spans="1:17" x14ac:dyDescent="0.35">
      <c r="A251" s="40">
        <v>256779418703</v>
      </c>
      <c r="B251" s="41">
        <v>45950</v>
      </c>
      <c r="C251" s="23" t="s">
        <v>649</v>
      </c>
      <c r="D251" s="23" t="s">
        <v>860</v>
      </c>
      <c r="E251" s="23" t="s">
        <v>562</v>
      </c>
      <c r="F251" s="23" t="s">
        <v>724</v>
      </c>
      <c r="G251" s="44"/>
      <c r="H251" s="44">
        <v>849.90769999999998</v>
      </c>
      <c r="I251" s="44">
        <v>-420917.84409999999</v>
      </c>
      <c r="J251" s="44"/>
      <c r="K251" s="44">
        <v>9.6334</v>
      </c>
      <c r="L251" s="44">
        <v>-4773.5018</v>
      </c>
      <c r="M251" s="44">
        <v>-9.6334</v>
      </c>
      <c r="N251" s="23" t="s">
        <v>564</v>
      </c>
      <c r="O251" s="44"/>
      <c r="P251" s="45"/>
      <c r="Q251" s="23"/>
    </row>
    <row r="252" spans="1:17" x14ac:dyDescent="0.35">
      <c r="A252" s="40">
        <v>7360566</v>
      </c>
      <c r="B252" s="41">
        <v>45959</v>
      </c>
      <c r="C252" s="23" t="s">
        <v>658</v>
      </c>
      <c r="D252" s="23" t="s">
        <v>839</v>
      </c>
      <c r="E252" s="23" t="s">
        <v>840</v>
      </c>
      <c r="F252" s="23" t="s">
        <v>715</v>
      </c>
      <c r="G252" s="44">
        <v>153004.0963</v>
      </c>
      <c r="H252" s="44"/>
      <c r="I252" s="44">
        <v>-1092954.1565</v>
      </c>
      <c r="J252" s="44">
        <v>1752.7655999999999</v>
      </c>
      <c r="K252" s="44"/>
      <c r="L252" s="44">
        <v>-12488.7024</v>
      </c>
      <c r="M252" s="44">
        <v>0</v>
      </c>
      <c r="N252" s="23" t="s">
        <v>564</v>
      </c>
      <c r="O252" s="44"/>
      <c r="P252" s="45"/>
      <c r="Q252" s="23"/>
    </row>
    <row r="253" spans="1:17" x14ac:dyDescent="0.35">
      <c r="A253" s="40"/>
      <c r="B253" s="41">
        <v>45961</v>
      </c>
      <c r="C253" s="23" t="s">
        <v>658</v>
      </c>
      <c r="D253" s="23" t="s">
        <v>846</v>
      </c>
      <c r="E253" s="23" t="s">
        <v>847</v>
      </c>
      <c r="F253" s="23" t="s">
        <v>715</v>
      </c>
      <c r="G253" s="44">
        <v>176448.3726</v>
      </c>
      <c r="H253" s="44"/>
      <c r="I253" s="44">
        <v>-1125356.9432999999</v>
      </c>
      <c r="J253" s="44">
        <v>1989.9404</v>
      </c>
      <c r="K253" s="44"/>
      <c r="L253" s="44">
        <v>-12866.965</v>
      </c>
      <c r="M253" s="44">
        <v>0</v>
      </c>
      <c r="N253" s="23" t="s">
        <v>564</v>
      </c>
      <c r="O253" s="44"/>
      <c r="P253" s="45"/>
      <c r="Q253" s="23"/>
    </row>
    <row r="254" spans="1:17" x14ac:dyDescent="0.35">
      <c r="A254" s="40"/>
      <c r="B254" s="41">
        <v>45961</v>
      </c>
      <c r="C254" s="23" t="s">
        <v>658</v>
      </c>
      <c r="D254" s="23" t="s">
        <v>848</v>
      </c>
      <c r="E254" s="23" t="s">
        <v>849</v>
      </c>
      <c r="F254" s="23" t="s">
        <v>715</v>
      </c>
      <c r="G254" s="44">
        <v>916796.68830000004</v>
      </c>
      <c r="H254" s="44"/>
      <c r="I254" s="44">
        <v>-208560.255</v>
      </c>
      <c r="J254" s="44">
        <v>10502.1628</v>
      </c>
      <c r="K254" s="44"/>
      <c r="L254" s="44">
        <v>-2364.8022000000001</v>
      </c>
      <c r="M254" s="44">
        <v>0</v>
      </c>
      <c r="N254" s="23" t="s">
        <v>564</v>
      </c>
      <c r="O254" s="44"/>
      <c r="P254" s="45"/>
      <c r="Q254" s="23"/>
    </row>
    <row r="255" spans="1:17" x14ac:dyDescent="0.35">
      <c r="A255" s="40">
        <v>256779419130</v>
      </c>
      <c r="B255" s="41">
        <v>45964</v>
      </c>
      <c r="C255" s="23" t="s">
        <v>649</v>
      </c>
      <c r="D255" s="23" t="s">
        <v>862</v>
      </c>
      <c r="E255" s="23" t="s">
        <v>562</v>
      </c>
      <c r="F255" s="23" t="s">
        <v>634</v>
      </c>
      <c r="G255" s="44"/>
      <c r="H255" s="44">
        <v>4545.4799999999996</v>
      </c>
      <c r="I255" s="44">
        <v>-426171.83189999999</v>
      </c>
      <c r="J255" s="44"/>
      <c r="K255" s="44">
        <v>51.655799999999999</v>
      </c>
      <c r="L255" s="44">
        <v>-4833.2034000000003</v>
      </c>
      <c r="M255" s="44">
        <v>-51.655799999999999</v>
      </c>
      <c r="N255" s="23" t="s">
        <v>564</v>
      </c>
      <c r="O255" s="44"/>
      <c r="P255" s="45"/>
      <c r="Q255" s="23"/>
    </row>
    <row r="256" spans="1:17" x14ac:dyDescent="0.35">
      <c r="A256" s="40">
        <v>256779418820</v>
      </c>
      <c r="B256" s="41">
        <v>45966</v>
      </c>
      <c r="C256" s="23" t="s">
        <v>649</v>
      </c>
      <c r="D256" s="23" t="s">
        <v>859</v>
      </c>
      <c r="E256" s="23" t="s">
        <v>562</v>
      </c>
      <c r="F256" s="23" t="s">
        <v>573</v>
      </c>
      <c r="G256" s="44"/>
      <c r="H256" s="44">
        <v>30281.439999999999</v>
      </c>
      <c r="I256" s="44">
        <v>-420067.93640000001</v>
      </c>
      <c r="J256" s="44"/>
      <c r="K256" s="44">
        <v>344.10739999999998</v>
      </c>
      <c r="L256" s="44">
        <v>-4763.8684000000003</v>
      </c>
      <c r="M256" s="44">
        <v>-344.10739999999998</v>
      </c>
      <c r="N256" s="23" t="s">
        <v>564</v>
      </c>
      <c r="O256" s="44"/>
      <c r="P256" s="45"/>
      <c r="Q256" s="23"/>
    </row>
    <row r="257" spans="1:17" x14ac:dyDescent="0.35">
      <c r="A257" s="40">
        <v>256779419174</v>
      </c>
      <c r="B257" s="41">
        <v>45966</v>
      </c>
      <c r="C257" s="23" t="s">
        <v>649</v>
      </c>
      <c r="D257" s="23" t="s">
        <v>861</v>
      </c>
      <c r="E257" s="23" t="s">
        <v>562</v>
      </c>
      <c r="F257" s="23" t="s">
        <v>724</v>
      </c>
      <c r="G257" s="44"/>
      <c r="H257" s="44">
        <v>708.50779999999997</v>
      </c>
      <c r="I257" s="44">
        <v>-421626.35190000001</v>
      </c>
      <c r="J257" s="44"/>
      <c r="K257" s="44">
        <v>8.0457999999999998</v>
      </c>
      <c r="L257" s="44">
        <v>-4781.5475999999999</v>
      </c>
      <c r="M257" s="44">
        <v>-8.0457999999999998</v>
      </c>
      <c r="N257" s="23" t="s">
        <v>564</v>
      </c>
      <c r="O257" s="44"/>
      <c r="P257" s="45"/>
      <c r="Q257" s="23"/>
    </row>
    <row r="258" spans="1:17" x14ac:dyDescent="0.35">
      <c r="A258" s="40">
        <v>256779419077</v>
      </c>
      <c r="B258" s="42">
        <v>45966</v>
      </c>
      <c r="C258" s="23" t="s">
        <v>649</v>
      </c>
      <c r="D258" s="23" t="s">
        <v>863</v>
      </c>
      <c r="E258" s="23" t="s">
        <v>562</v>
      </c>
      <c r="F258" s="23" t="s">
        <v>577</v>
      </c>
      <c r="G258" s="44"/>
      <c r="H258" s="44">
        <v>7920</v>
      </c>
      <c r="I258" s="44">
        <v>-434091.83189999999</v>
      </c>
      <c r="J258" s="44"/>
      <c r="K258" s="44">
        <v>90</v>
      </c>
      <c r="L258" s="44">
        <v>-4923.2034000000003</v>
      </c>
      <c r="M258" s="44">
        <v>-90</v>
      </c>
      <c r="N258" s="23" t="s">
        <v>564</v>
      </c>
      <c r="O258" s="44"/>
      <c r="P258" s="45"/>
      <c r="Q258" s="45"/>
    </row>
    <row r="259" spans="1:17" x14ac:dyDescent="0.35">
      <c r="A259" s="40">
        <v>256779419077</v>
      </c>
      <c r="B259" s="42">
        <v>45966</v>
      </c>
      <c r="C259" s="23" t="s">
        <v>649</v>
      </c>
      <c r="D259" s="23" t="s">
        <v>864</v>
      </c>
      <c r="E259" s="23" t="s">
        <v>562</v>
      </c>
      <c r="F259" s="23" t="s">
        <v>624</v>
      </c>
      <c r="G259" s="44"/>
      <c r="H259" s="44">
        <v>68992</v>
      </c>
      <c r="I259" s="44">
        <v>-503083.83189999999</v>
      </c>
      <c r="J259" s="44"/>
      <c r="K259" s="44">
        <v>784</v>
      </c>
      <c r="L259" s="44">
        <v>-5707.2034000000003</v>
      </c>
      <c r="M259" s="44">
        <v>-784</v>
      </c>
      <c r="N259" s="23" t="s">
        <v>564</v>
      </c>
      <c r="O259" s="44"/>
      <c r="P259" s="45"/>
      <c r="Q259" s="45"/>
    </row>
    <row r="260" spans="1:17" x14ac:dyDescent="0.35">
      <c r="A260" s="40">
        <v>256779418775</v>
      </c>
      <c r="B260" s="41">
        <v>45966</v>
      </c>
      <c r="C260" s="23" t="s">
        <v>649</v>
      </c>
      <c r="D260" s="23" t="s">
        <v>865</v>
      </c>
      <c r="E260" s="23" t="s">
        <v>562</v>
      </c>
      <c r="F260" s="23" t="s">
        <v>563</v>
      </c>
      <c r="G260" s="44"/>
      <c r="H260" s="44">
        <v>89996.160000000003</v>
      </c>
      <c r="I260" s="44">
        <v>-593079.99190000002</v>
      </c>
      <c r="J260" s="44"/>
      <c r="K260" s="44">
        <v>1022.688</v>
      </c>
      <c r="L260" s="44">
        <v>-6729.8914000000004</v>
      </c>
      <c r="M260" s="44">
        <v>-1022.688</v>
      </c>
      <c r="N260" s="23" t="s">
        <v>564</v>
      </c>
      <c r="O260" s="44"/>
      <c r="P260" s="45"/>
      <c r="Q260" s="23"/>
    </row>
    <row r="261" spans="1:17" x14ac:dyDescent="0.35">
      <c r="A261" s="40">
        <v>256779418776</v>
      </c>
      <c r="B261" s="42">
        <v>45966</v>
      </c>
      <c r="C261" s="23" t="s">
        <v>649</v>
      </c>
      <c r="D261" s="23" t="s">
        <v>866</v>
      </c>
      <c r="E261" s="23" t="s">
        <v>562</v>
      </c>
      <c r="F261" s="23" t="s">
        <v>569</v>
      </c>
      <c r="G261" s="44"/>
      <c r="H261" s="44">
        <v>34299.828200000004</v>
      </c>
      <c r="I261" s="44">
        <v>-627379.82010000001</v>
      </c>
      <c r="J261" s="44"/>
      <c r="K261" s="44">
        <v>389.75580000000002</v>
      </c>
      <c r="L261" s="44">
        <v>-7119.6472000000003</v>
      </c>
      <c r="M261" s="44">
        <v>-389.75580000000002</v>
      </c>
      <c r="N261" s="23" t="s">
        <v>564</v>
      </c>
      <c r="O261" s="44"/>
      <c r="P261" s="45"/>
      <c r="Q261" s="23"/>
    </row>
    <row r="262" spans="1:17" x14ac:dyDescent="0.35">
      <c r="A262" s="40">
        <v>256779418876</v>
      </c>
      <c r="B262" s="41">
        <v>45966</v>
      </c>
      <c r="C262" s="23" t="s">
        <v>649</v>
      </c>
      <c r="D262" s="23" t="s">
        <v>883</v>
      </c>
      <c r="E262" s="23" t="s">
        <v>562</v>
      </c>
      <c r="F262" s="23" t="s">
        <v>563</v>
      </c>
      <c r="G262" s="44"/>
      <c r="H262" s="44">
        <v>59082.888800000001</v>
      </c>
      <c r="I262" s="44">
        <v>-1485533.9526</v>
      </c>
      <c r="J262" s="44"/>
      <c r="K262" s="44">
        <v>671.37300000000005</v>
      </c>
      <c r="L262" s="44">
        <v>-16930.334999999999</v>
      </c>
      <c r="M262" s="44">
        <v>-671.37300000000005</v>
      </c>
      <c r="N262" s="23" t="s">
        <v>564</v>
      </c>
      <c r="O262" s="44"/>
      <c r="P262" s="45"/>
      <c r="Q262" s="23"/>
    </row>
    <row r="263" spans="1:17" x14ac:dyDescent="0.35">
      <c r="A263" s="40">
        <v>256779419232</v>
      </c>
      <c r="B263" s="41">
        <v>45966</v>
      </c>
      <c r="C263" s="23" t="s">
        <v>649</v>
      </c>
      <c r="D263" s="23" t="s">
        <v>892</v>
      </c>
      <c r="E263" s="23" t="s">
        <v>562</v>
      </c>
      <c r="F263" s="23" t="s">
        <v>573</v>
      </c>
      <c r="G263" s="44"/>
      <c r="H263" s="44">
        <v>2233.4737</v>
      </c>
      <c r="I263" s="44">
        <v>-1173820.2629</v>
      </c>
      <c r="J263" s="44"/>
      <c r="K263" s="44">
        <v>25.176200000000001</v>
      </c>
      <c r="L263" s="44">
        <v>-13320.4892</v>
      </c>
      <c r="M263" s="44">
        <v>-25.176200000000001</v>
      </c>
      <c r="N263" s="23" t="s">
        <v>564</v>
      </c>
      <c r="O263" s="44"/>
      <c r="P263" s="45"/>
      <c r="Q263" s="23"/>
    </row>
    <row r="264" spans="1:17" x14ac:dyDescent="0.35">
      <c r="A264" s="40">
        <v>256779419200</v>
      </c>
      <c r="B264" s="41">
        <v>45966</v>
      </c>
      <c r="C264" s="23" t="s">
        <v>649</v>
      </c>
      <c r="D264" s="23" t="s">
        <v>893</v>
      </c>
      <c r="E264" s="23" t="s">
        <v>562</v>
      </c>
      <c r="F264" s="23" t="s">
        <v>573</v>
      </c>
      <c r="G264" s="44"/>
      <c r="H264" s="44">
        <v>13131.454</v>
      </c>
      <c r="I264" s="44">
        <v>-1186951.7169000001</v>
      </c>
      <c r="J264" s="44"/>
      <c r="K264" s="44">
        <v>149.2148</v>
      </c>
      <c r="L264" s="44">
        <v>-13469.704</v>
      </c>
      <c r="M264" s="44">
        <v>-149.2148</v>
      </c>
      <c r="N264" s="23" t="s">
        <v>564</v>
      </c>
      <c r="O264" s="44"/>
      <c r="P264" s="45"/>
      <c r="Q264" s="23"/>
    </row>
    <row r="265" spans="1:17" x14ac:dyDescent="0.35">
      <c r="A265" s="40">
        <v>256779419630</v>
      </c>
      <c r="B265" s="41">
        <v>45981</v>
      </c>
      <c r="C265" s="23" t="s">
        <v>649</v>
      </c>
      <c r="D265" s="23" t="s">
        <v>867</v>
      </c>
      <c r="E265" s="23" t="s">
        <v>562</v>
      </c>
      <c r="F265" s="23" t="s">
        <v>724</v>
      </c>
      <c r="G265" s="44"/>
      <c r="H265" s="44">
        <v>9709.4215999999997</v>
      </c>
      <c r="I265" s="44">
        <v>-637089.24170000001</v>
      </c>
      <c r="J265" s="44"/>
      <c r="K265" s="44">
        <v>110.3284</v>
      </c>
      <c r="L265" s="44">
        <v>-7229.9755999999998</v>
      </c>
      <c r="M265" s="44">
        <v>-110.3284</v>
      </c>
      <c r="N265" s="23" t="s">
        <v>564</v>
      </c>
      <c r="O265" s="44"/>
      <c r="P265" s="45"/>
      <c r="Q265" s="23"/>
    </row>
    <row r="266" spans="1:17" x14ac:dyDescent="0.35">
      <c r="A266" s="40">
        <v>256779419590</v>
      </c>
      <c r="B266" s="41">
        <v>45981</v>
      </c>
      <c r="C266" s="23" t="s">
        <v>649</v>
      </c>
      <c r="D266" s="23" t="s">
        <v>871</v>
      </c>
      <c r="E266" s="23" t="s">
        <v>562</v>
      </c>
      <c r="F266" s="23" t="s">
        <v>724</v>
      </c>
      <c r="G266" s="44"/>
      <c r="H266" s="44">
        <v>28590.123800000001</v>
      </c>
      <c r="I266" s="44">
        <v>-748463.94310000003</v>
      </c>
      <c r="J266" s="44"/>
      <c r="K266" s="44">
        <v>324.87</v>
      </c>
      <c r="L266" s="44">
        <v>-8489.0175999999992</v>
      </c>
      <c r="M266" s="44">
        <v>-324.87</v>
      </c>
      <c r="N266" s="23" t="s">
        <v>564</v>
      </c>
      <c r="O266" s="44"/>
      <c r="P266" s="45"/>
      <c r="Q266" s="23"/>
    </row>
    <row r="267" spans="1:17" x14ac:dyDescent="0.35">
      <c r="A267" s="40">
        <v>256779419558</v>
      </c>
      <c r="B267" s="42">
        <v>45981</v>
      </c>
      <c r="C267" s="23" t="s">
        <v>649</v>
      </c>
      <c r="D267" s="23" t="s">
        <v>875</v>
      </c>
      <c r="E267" s="23" t="s">
        <v>562</v>
      </c>
      <c r="F267" s="23" t="s">
        <v>577</v>
      </c>
      <c r="G267" s="44"/>
      <c r="H267" s="44">
        <v>7920.3389999999999</v>
      </c>
      <c r="I267" s="44">
        <v>-886072.42980000004</v>
      </c>
      <c r="J267" s="44"/>
      <c r="K267" s="44">
        <v>90</v>
      </c>
      <c r="L267" s="44">
        <v>-10041.117</v>
      </c>
      <c r="M267" s="44">
        <v>-90</v>
      </c>
      <c r="N267" s="23" t="s">
        <v>564</v>
      </c>
      <c r="O267" s="44"/>
      <c r="P267" s="45"/>
      <c r="Q267" s="45"/>
    </row>
    <row r="268" spans="1:17" x14ac:dyDescent="0.35">
      <c r="A268" s="40">
        <v>256779419558</v>
      </c>
      <c r="B268" s="42">
        <v>45981</v>
      </c>
      <c r="C268" s="23" t="s">
        <v>649</v>
      </c>
      <c r="D268" s="23" t="s">
        <v>876</v>
      </c>
      <c r="E268" s="23" t="s">
        <v>562</v>
      </c>
      <c r="F268" s="23" t="s">
        <v>624</v>
      </c>
      <c r="G268" s="44"/>
      <c r="H268" s="44">
        <v>64682.542500000003</v>
      </c>
      <c r="I268" s="44">
        <v>-950754.97230000002</v>
      </c>
      <c r="J268" s="44"/>
      <c r="K268" s="44">
        <v>735</v>
      </c>
      <c r="L268" s="44">
        <v>-10776.117</v>
      </c>
      <c r="M268" s="44">
        <v>-735</v>
      </c>
      <c r="N268" s="23" t="s">
        <v>564</v>
      </c>
      <c r="O268" s="44"/>
      <c r="P268" s="45"/>
      <c r="Q268" s="45"/>
    </row>
    <row r="269" spans="1:17" x14ac:dyDescent="0.35">
      <c r="A269" s="40">
        <v>256779419968</v>
      </c>
      <c r="B269" s="41">
        <v>45995</v>
      </c>
      <c r="C269" s="23" t="s">
        <v>649</v>
      </c>
      <c r="D269" s="23" t="s">
        <v>873</v>
      </c>
      <c r="E269" s="23" t="s">
        <v>562</v>
      </c>
      <c r="F269" s="23" t="s">
        <v>563</v>
      </c>
      <c r="G269" s="44"/>
      <c r="H269" s="44">
        <v>89999.493000000002</v>
      </c>
      <c r="I269" s="44">
        <v>-843851.95779999997</v>
      </c>
      <c r="J269" s="44"/>
      <c r="K269" s="44">
        <v>1014.651</v>
      </c>
      <c r="L269" s="44">
        <v>-9564.4187999999995</v>
      </c>
      <c r="M269" s="44">
        <v>-1014.651</v>
      </c>
      <c r="N269" s="23" t="s">
        <v>564</v>
      </c>
      <c r="O269" s="44"/>
      <c r="P269" s="45"/>
      <c r="Q269" s="23"/>
    </row>
    <row r="270" spans="1:17" x14ac:dyDescent="0.35">
      <c r="A270" s="40">
        <v>256779419969</v>
      </c>
      <c r="B270" s="42">
        <v>45995</v>
      </c>
      <c r="C270" s="23" t="s">
        <v>649</v>
      </c>
      <c r="D270" s="23" t="s">
        <v>874</v>
      </c>
      <c r="E270" s="23" t="s">
        <v>562</v>
      </c>
      <c r="F270" s="23" t="s">
        <v>569</v>
      </c>
      <c r="G270" s="44"/>
      <c r="H270" s="44">
        <v>34300.133000000002</v>
      </c>
      <c r="I270" s="44">
        <v>-878152.09080000001</v>
      </c>
      <c r="J270" s="44"/>
      <c r="K270" s="44">
        <v>386.69819999999999</v>
      </c>
      <c r="L270" s="44">
        <v>-9951.1170000000002</v>
      </c>
      <c r="M270" s="44">
        <v>-386.69819999999999</v>
      </c>
      <c r="N270" s="23" t="s">
        <v>564</v>
      </c>
      <c r="O270" s="44"/>
      <c r="P270" s="45"/>
      <c r="Q270" s="23"/>
    </row>
    <row r="271" spans="1:17" x14ac:dyDescent="0.35">
      <c r="A271" s="40">
        <v>256779419918</v>
      </c>
      <c r="B271" s="41">
        <v>45996</v>
      </c>
      <c r="C271" s="23" t="s">
        <v>649</v>
      </c>
      <c r="D271" s="23" t="s">
        <v>868</v>
      </c>
      <c r="E271" s="23" t="s">
        <v>562</v>
      </c>
      <c r="F271" s="23" t="s">
        <v>724</v>
      </c>
      <c r="G271" s="44"/>
      <c r="H271" s="44">
        <v>9607.5776000000005</v>
      </c>
      <c r="I271" s="44">
        <v>-646696.81929999997</v>
      </c>
      <c r="J271" s="44"/>
      <c r="K271" s="44">
        <v>109.172</v>
      </c>
      <c r="L271" s="44">
        <v>-7339.1476000000002</v>
      </c>
      <c r="M271" s="44">
        <v>-109.172</v>
      </c>
      <c r="N271" s="23" t="s">
        <v>564</v>
      </c>
      <c r="O271" s="44"/>
      <c r="P271" s="45"/>
      <c r="Q271" s="23"/>
    </row>
    <row r="272" spans="1:17" x14ac:dyDescent="0.35">
      <c r="A272" s="40">
        <v>256779419796</v>
      </c>
      <c r="B272" s="42">
        <v>45996</v>
      </c>
      <c r="C272" s="23" t="s">
        <v>649</v>
      </c>
      <c r="D272" s="23" t="s">
        <v>869</v>
      </c>
      <c r="E272" s="23" t="s">
        <v>562</v>
      </c>
      <c r="F272" s="23" t="s">
        <v>577</v>
      </c>
      <c r="G272" s="44"/>
      <c r="H272" s="44">
        <v>7983</v>
      </c>
      <c r="I272" s="44">
        <v>-654679.81929999997</v>
      </c>
      <c r="J272" s="44"/>
      <c r="K272" s="44">
        <v>90</v>
      </c>
      <c r="L272" s="44">
        <v>-7429.1476000000002</v>
      </c>
      <c r="M272" s="44">
        <v>-90</v>
      </c>
      <c r="N272" s="23" t="s">
        <v>564</v>
      </c>
      <c r="O272" s="44"/>
      <c r="P272" s="45"/>
      <c r="Q272" s="45"/>
    </row>
    <row r="273" spans="1:17" x14ac:dyDescent="0.35">
      <c r="A273" s="40">
        <v>256779419796</v>
      </c>
      <c r="B273" s="42">
        <v>45996</v>
      </c>
      <c r="C273" s="23" t="s">
        <v>649</v>
      </c>
      <c r="D273" s="23" t="s">
        <v>870</v>
      </c>
      <c r="E273" s="23" t="s">
        <v>562</v>
      </c>
      <c r="F273" s="23" t="s">
        <v>624</v>
      </c>
      <c r="G273" s="44"/>
      <c r="H273" s="44">
        <v>65194</v>
      </c>
      <c r="I273" s="44">
        <v>-719873.81929999997</v>
      </c>
      <c r="J273" s="44"/>
      <c r="K273" s="44">
        <v>735</v>
      </c>
      <c r="L273" s="44">
        <v>-8164.1476000000002</v>
      </c>
      <c r="M273" s="44">
        <v>-735</v>
      </c>
      <c r="N273" s="23" t="s">
        <v>564</v>
      </c>
      <c r="O273" s="44"/>
      <c r="P273" s="45"/>
      <c r="Q273" s="45"/>
    </row>
    <row r="274" spans="1:17" x14ac:dyDescent="0.35">
      <c r="A274" s="40">
        <v>256779419955</v>
      </c>
      <c r="B274" s="41">
        <v>45997</v>
      </c>
      <c r="C274" s="23" t="s">
        <v>649</v>
      </c>
      <c r="D274" s="23" t="s">
        <v>872</v>
      </c>
      <c r="E274" s="23" t="s">
        <v>562</v>
      </c>
      <c r="F274" s="23" t="s">
        <v>755</v>
      </c>
      <c r="G274" s="44"/>
      <c r="H274" s="44">
        <v>5388.5217000000002</v>
      </c>
      <c r="I274" s="44">
        <v>-753852.46479999996</v>
      </c>
      <c r="J274" s="44"/>
      <c r="K274" s="44">
        <v>60.7502</v>
      </c>
      <c r="L274" s="44">
        <v>-8549.7677999999996</v>
      </c>
      <c r="M274" s="44">
        <v>-60.7502</v>
      </c>
      <c r="N274" s="23" t="s">
        <v>564</v>
      </c>
      <c r="O274" s="44"/>
      <c r="P274" s="45"/>
      <c r="Q274" s="23"/>
    </row>
    <row r="275" spans="1:17" x14ac:dyDescent="0.35">
      <c r="A275" s="40">
        <v>256779419992</v>
      </c>
      <c r="B275" s="41">
        <v>45997</v>
      </c>
      <c r="C275" s="23" t="s">
        <v>649</v>
      </c>
      <c r="D275" s="23" t="s">
        <v>894</v>
      </c>
      <c r="E275" s="23" t="s">
        <v>562</v>
      </c>
      <c r="F275" s="23" t="s">
        <v>573</v>
      </c>
      <c r="G275" s="44"/>
      <c r="H275" s="44">
        <v>10788.5744</v>
      </c>
      <c r="I275" s="44">
        <v>-1197740.2912999999</v>
      </c>
      <c r="J275" s="44"/>
      <c r="K275" s="44">
        <v>121.62779999999999</v>
      </c>
      <c r="L275" s="44">
        <v>-13591.3318</v>
      </c>
      <c r="M275" s="44">
        <v>-121.62779999999999</v>
      </c>
      <c r="N275" s="23" t="s">
        <v>564</v>
      </c>
      <c r="O275" s="44"/>
      <c r="P275" s="45"/>
      <c r="Q275" s="23"/>
    </row>
    <row r="276" spans="1:17" x14ac:dyDescent="0.35">
      <c r="A276" s="40"/>
      <c r="B276" s="41">
        <v>46022</v>
      </c>
      <c r="C276" s="23" t="s">
        <v>658</v>
      </c>
      <c r="D276" s="23" t="s">
        <v>884</v>
      </c>
      <c r="E276" s="23" t="s">
        <v>885</v>
      </c>
      <c r="F276" s="23" t="s">
        <v>886</v>
      </c>
      <c r="G276" s="44">
        <v>208851.1594</v>
      </c>
      <c r="H276" s="44"/>
      <c r="I276" s="44">
        <v>-1276682.7932</v>
      </c>
      <c r="J276" s="44">
        <v>2368.203</v>
      </c>
      <c r="K276" s="44"/>
      <c r="L276" s="44">
        <v>-14562.132</v>
      </c>
      <c r="M276" s="44">
        <v>0</v>
      </c>
      <c r="N276" s="23" t="s">
        <v>564</v>
      </c>
      <c r="O276" s="44"/>
      <c r="P276" s="45"/>
      <c r="Q276" s="23"/>
    </row>
    <row r="277" spans="1:17" x14ac:dyDescent="0.35">
      <c r="A277" s="40">
        <v>256779440052</v>
      </c>
      <c r="B277" s="42">
        <v>46027</v>
      </c>
      <c r="C277" s="23" t="s">
        <v>649</v>
      </c>
      <c r="D277" s="23" t="s">
        <v>889</v>
      </c>
      <c r="E277" s="23" t="s">
        <v>562</v>
      </c>
      <c r="F277" s="23" t="s">
        <v>577</v>
      </c>
      <c r="G277" s="44"/>
      <c r="H277" s="44">
        <v>7902.9098000000004</v>
      </c>
      <c r="I277" s="44">
        <v>-1104585.7361999999</v>
      </c>
      <c r="J277" s="44"/>
      <c r="K277" s="44">
        <v>87.093000000000004</v>
      </c>
      <c r="L277" s="44">
        <v>-12556.932000000001</v>
      </c>
      <c r="M277" s="44">
        <v>-87.093000000000004</v>
      </c>
      <c r="N277" s="23" t="s">
        <v>564</v>
      </c>
      <c r="O277" s="44"/>
      <c r="P277" s="45"/>
      <c r="Q277" s="45"/>
    </row>
    <row r="278" spans="1:17" x14ac:dyDescent="0.35">
      <c r="A278" s="40">
        <v>256779440052</v>
      </c>
      <c r="B278" s="42">
        <v>46027</v>
      </c>
      <c r="C278" s="23" t="s">
        <v>649</v>
      </c>
      <c r="D278" s="23" t="s">
        <v>890</v>
      </c>
      <c r="E278" s="23" t="s">
        <v>562</v>
      </c>
      <c r="F278" s="23" t="s">
        <v>624</v>
      </c>
      <c r="G278" s="44"/>
      <c r="H278" s="44">
        <v>66694</v>
      </c>
      <c r="I278" s="44">
        <v>-1171279.7361999999</v>
      </c>
      <c r="J278" s="44"/>
      <c r="K278" s="44">
        <v>735</v>
      </c>
      <c r="L278" s="44">
        <v>-13291.932000000001</v>
      </c>
      <c r="M278" s="44">
        <v>-735</v>
      </c>
      <c r="N278" s="23" t="s">
        <v>564</v>
      </c>
      <c r="O278" s="44"/>
      <c r="P278" s="45"/>
      <c r="Q278" s="45"/>
    </row>
    <row r="279" spans="1:17" x14ac:dyDescent="0.35">
      <c r="A279" s="40">
        <v>256779440081</v>
      </c>
      <c r="B279" s="41">
        <v>46027</v>
      </c>
      <c r="C279" s="23" t="s">
        <v>649</v>
      </c>
      <c r="D279" s="23" t="s">
        <v>891</v>
      </c>
      <c r="E279" s="23" t="s">
        <v>562</v>
      </c>
      <c r="F279" s="23" t="s">
        <v>724</v>
      </c>
      <c r="G279" s="44"/>
      <c r="H279" s="44">
        <v>307.053</v>
      </c>
      <c r="I279" s="44">
        <v>-1171586.7892</v>
      </c>
      <c r="J279" s="44"/>
      <c r="K279" s="44">
        <v>3.3809999999999998</v>
      </c>
      <c r="L279" s="44">
        <v>-13295.313</v>
      </c>
      <c r="M279" s="44">
        <v>-3.3809999999999998</v>
      </c>
      <c r="N279" s="23" t="s">
        <v>564</v>
      </c>
      <c r="O279" s="44"/>
      <c r="P279" s="45"/>
      <c r="Q279" s="23"/>
    </row>
    <row r="280" spans="1:17" x14ac:dyDescent="0.35">
      <c r="G280" s="20">
        <f>SUM(G2:G279)</f>
        <v>6183010.3298000013</v>
      </c>
      <c r="I280" s="3"/>
      <c r="J280" s="3">
        <f>SUBTOTAL(9,J2:J279)</f>
        <v>71599.81299999998</v>
      </c>
      <c r="K280" s="3">
        <f>SUBTOTAL(9,K2:K279)</f>
        <v>85191.144800000009</v>
      </c>
      <c r="L280" s="3">
        <f>K280-J280</f>
        <v>13591.331800000029</v>
      </c>
      <c r="M280" s="3"/>
    </row>
  </sheetData>
  <autoFilter ref="A1:Q279" xr:uid="{902DD6CE-B1F5-4A1C-A022-50F28D437AD6}">
    <sortState xmlns:xlrd2="http://schemas.microsoft.com/office/spreadsheetml/2017/richdata2" ref="A2:Q279">
      <sortCondition ref="B1:B279"/>
    </sortState>
  </autoFilter>
  <conditionalFormatting sqref="A1:A279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CB4C-00D0-4FAC-B4AD-D41D93BFE5EA}">
  <dimension ref="A1:L301"/>
  <sheetViews>
    <sheetView topLeftCell="A285" workbookViewId="0">
      <selection activeCell="A301" sqref="A30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6.08984375" bestFit="1" customWidth="1"/>
    <col min="5" max="5" width="8.26953125" bestFit="1" customWidth="1"/>
    <col min="6" max="6" width="10.90625" bestFit="1" customWidth="1"/>
    <col min="8" max="8" width="10.90625" bestFit="1" customWidth="1"/>
    <col min="9" max="9" width="46.08984375" bestFit="1" customWidth="1"/>
    <col min="10" max="10" width="8.6328125" bestFit="1" customWidth="1"/>
    <col min="11" max="11" width="11.81640625" bestFit="1" customWidth="1"/>
    <col min="12" max="12" width="5.90625" bestFit="1" customWidth="1"/>
  </cols>
  <sheetData>
    <row r="1" spans="1:10" x14ac:dyDescent="0.35">
      <c r="H1" s="20">
        <f>SUBTOTAL(9,H3:H301)</f>
        <v>3504414.1900000018</v>
      </c>
      <c r="J1" s="20" t="e">
        <f>SUBTOTAL(9,J3:J301)</f>
        <v>#REF!</v>
      </c>
    </row>
    <row r="2" spans="1:10" ht="72.5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37</v>
      </c>
      <c r="H2" s="25" t="s">
        <v>38</v>
      </c>
      <c r="I2" s="7" t="s">
        <v>39</v>
      </c>
      <c r="J2" s="38" t="s">
        <v>545</v>
      </c>
    </row>
    <row r="3" spans="1:10" x14ac:dyDescent="0.35">
      <c r="A3" s="1" t="s">
        <v>40</v>
      </c>
      <c r="B3" s="1" t="s">
        <v>3</v>
      </c>
      <c r="C3" s="9">
        <v>45758</v>
      </c>
      <c r="D3" s="1" t="s">
        <v>41</v>
      </c>
      <c r="E3" s="1" t="s">
        <v>42</v>
      </c>
      <c r="F3" s="10">
        <v>1</v>
      </c>
      <c r="G3" s="1" t="s">
        <v>42</v>
      </c>
      <c r="H3" s="10">
        <v>1</v>
      </c>
      <c r="I3" s="1" t="s">
        <v>43</v>
      </c>
      <c r="J3" t="e">
        <f>VLOOKUP(D3,#REF!,8,0)</f>
        <v>#REF!</v>
      </c>
    </row>
    <row r="4" spans="1:10" x14ac:dyDescent="0.35">
      <c r="A4" s="1" t="s">
        <v>40</v>
      </c>
      <c r="B4" s="1" t="s">
        <v>3</v>
      </c>
      <c r="C4" s="9">
        <v>45758</v>
      </c>
      <c r="D4" s="1" t="s">
        <v>41</v>
      </c>
      <c r="E4" s="1" t="s">
        <v>42</v>
      </c>
      <c r="F4" s="10">
        <v>-1</v>
      </c>
      <c r="G4" s="1" t="s">
        <v>42</v>
      </c>
      <c r="H4" s="10">
        <v>-1</v>
      </c>
      <c r="I4" s="1" t="s">
        <v>43</v>
      </c>
      <c r="J4" t="e">
        <f>VLOOKUP(D4,#REF!,8,0)</f>
        <v>#REF!</v>
      </c>
    </row>
    <row r="5" spans="1:10" x14ac:dyDescent="0.35">
      <c r="A5" s="1" t="s">
        <v>44</v>
      </c>
      <c r="B5" s="1" t="s">
        <v>6</v>
      </c>
      <c r="C5" s="9">
        <v>45902</v>
      </c>
      <c r="D5" s="1" t="s">
        <v>41</v>
      </c>
      <c r="E5" s="1" t="s">
        <v>42</v>
      </c>
      <c r="F5" s="10">
        <v>603848.88</v>
      </c>
      <c r="G5" s="1" t="s">
        <v>42</v>
      </c>
      <c r="H5" s="10">
        <v>595243.31000000006</v>
      </c>
      <c r="I5" s="1" t="s">
        <v>41</v>
      </c>
      <c r="J5" t="e">
        <f>VLOOKUP(D5,#REF!,8,0)</f>
        <v>#REF!</v>
      </c>
    </row>
    <row r="6" spans="1:10" x14ac:dyDescent="0.35">
      <c r="A6" s="1" t="s">
        <v>44</v>
      </c>
      <c r="B6" s="1" t="s">
        <v>6</v>
      </c>
      <c r="C6" s="9">
        <v>45902</v>
      </c>
      <c r="D6" s="1" t="s">
        <v>41</v>
      </c>
      <c r="E6" s="1" t="s">
        <v>42</v>
      </c>
      <c r="F6" s="10">
        <v>-603848.88</v>
      </c>
      <c r="G6" s="1" t="s">
        <v>42</v>
      </c>
      <c r="H6" s="10">
        <v>-599760.56000000006</v>
      </c>
      <c r="I6" s="1" t="s">
        <v>41</v>
      </c>
      <c r="J6" t="e">
        <f>VLOOKUP(D6,#REF!,8,0)</f>
        <v>#REF!</v>
      </c>
    </row>
    <row r="7" spans="1:10" x14ac:dyDescent="0.35">
      <c r="A7" s="1" t="s">
        <v>45</v>
      </c>
      <c r="B7" s="1" t="s">
        <v>7</v>
      </c>
      <c r="C7" s="9">
        <v>45887</v>
      </c>
      <c r="D7" s="1" t="s">
        <v>41</v>
      </c>
      <c r="E7" s="1" t="s">
        <v>46</v>
      </c>
      <c r="F7" s="10">
        <v>-700.45</v>
      </c>
      <c r="G7" s="1" t="s">
        <v>42</v>
      </c>
      <c r="H7" s="10">
        <v>-60884.42</v>
      </c>
      <c r="I7" s="1" t="s">
        <v>41</v>
      </c>
      <c r="J7" t="e">
        <f>VLOOKUP(D7,#REF!,8,0)</f>
        <v>#REF!</v>
      </c>
    </row>
    <row r="8" spans="1:10" x14ac:dyDescent="0.35">
      <c r="A8" s="1" t="s">
        <v>47</v>
      </c>
      <c r="B8" s="1" t="s">
        <v>7</v>
      </c>
      <c r="C8" s="9">
        <v>45931</v>
      </c>
      <c r="D8" s="1" t="s">
        <v>41</v>
      </c>
      <c r="E8" s="1" t="s">
        <v>46</v>
      </c>
      <c r="F8" s="10">
        <v>-4719.25</v>
      </c>
      <c r="G8" s="1" t="s">
        <v>42</v>
      </c>
      <c r="H8" s="10">
        <v>-413002</v>
      </c>
      <c r="I8" s="1" t="s">
        <v>41</v>
      </c>
      <c r="J8" t="e">
        <f>VLOOKUP(D8,#REF!,8,0)</f>
        <v>#REF!</v>
      </c>
    </row>
    <row r="9" spans="1:10" x14ac:dyDescent="0.35">
      <c r="A9" s="1" t="s">
        <v>48</v>
      </c>
      <c r="B9" s="1" t="s">
        <v>7</v>
      </c>
      <c r="C9" s="9">
        <v>45890</v>
      </c>
      <c r="D9" s="1" t="s">
        <v>41</v>
      </c>
      <c r="E9" s="1" t="s">
        <v>46</v>
      </c>
      <c r="F9" s="10">
        <v>-3663.7</v>
      </c>
      <c r="G9" s="1" t="s">
        <v>42</v>
      </c>
      <c r="H9" s="10">
        <v>-313212.57</v>
      </c>
      <c r="I9" s="1" t="s">
        <v>41</v>
      </c>
      <c r="J9" t="e">
        <f>VLOOKUP(D9,#REF!,8,0)</f>
        <v>#REF!</v>
      </c>
    </row>
    <row r="10" spans="1:10" x14ac:dyDescent="0.35">
      <c r="A10" s="1" t="s">
        <v>49</v>
      </c>
      <c r="B10" s="1" t="s">
        <v>7</v>
      </c>
      <c r="C10" s="9">
        <v>45890</v>
      </c>
      <c r="D10" s="1" t="s">
        <v>41</v>
      </c>
      <c r="E10" s="1" t="s">
        <v>46</v>
      </c>
      <c r="F10" s="10">
        <v>-3777.49</v>
      </c>
      <c r="G10" s="1" t="s">
        <v>42</v>
      </c>
      <c r="H10" s="10">
        <v>-324866.67</v>
      </c>
      <c r="I10" s="1" t="s">
        <v>41</v>
      </c>
      <c r="J10" t="e">
        <f>VLOOKUP(D10,#REF!,8,0)</f>
        <v>#REF!</v>
      </c>
    </row>
    <row r="11" spans="1:10" x14ac:dyDescent="0.35">
      <c r="A11" s="1" t="s">
        <v>50</v>
      </c>
      <c r="B11" s="1" t="s">
        <v>7</v>
      </c>
      <c r="C11" s="9">
        <v>45832</v>
      </c>
      <c r="D11" s="1" t="s">
        <v>41</v>
      </c>
      <c r="E11" s="1" t="s">
        <v>46</v>
      </c>
      <c r="F11" s="10">
        <v>-3663.7</v>
      </c>
      <c r="G11" s="1" t="s">
        <v>42</v>
      </c>
      <c r="H11" s="10">
        <v>-3663.7</v>
      </c>
      <c r="I11" s="1" t="s">
        <v>41</v>
      </c>
      <c r="J11" t="e">
        <f>VLOOKUP(D11,#REF!,8,0)</f>
        <v>#REF!</v>
      </c>
    </row>
    <row r="12" spans="1:10" x14ac:dyDescent="0.35">
      <c r="A12" s="1" t="s">
        <v>52</v>
      </c>
      <c r="B12" s="1" t="s">
        <v>7</v>
      </c>
      <c r="C12" s="9">
        <v>45832</v>
      </c>
      <c r="D12" s="1" t="s">
        <v>41</v>
      </c>
      <c r="E12" s="1" t="s">
        <v>46</v>
      </c>
      <c r="F12" s="10">
        <v>-3508.06</v>
      </c>
      <c r="G12" s="1" t="s">
        <v>42</v>
      </c>
      <c r="H12" s="10">
        <v>-3508.06</v>
      </c>
      <c r="I12" s="1" t="s">
        <v>41</v>
      </c>
      <c r="J12" t="e">
        <f>VLOOKUP(D12,#REF!,8,0)</f>
        <v>#REF!</v>
      </c>
    </row>
    <row r="13" spans="1:10" x14ac:dyDescent="0.35">
      <c r="A13" s="1" t="s">
        <v>53</v>
      </c>
      <c r="B13" s="1" t="s">
        <v>7</v>
      </c>
      <c r="C13" s="9">
        <v>45832</v>
      </c>
      <c r="D13" s="1" t="s">
        <v>41</v>
      </c>
      <c r="E13" s="1" t="s">
        <v>46</v>
      </c>
      <c r="F13" s="10">
        <v>-3145.98</v>
      </c>
      <c r="G13" s="1" t="s">
        <v>42</v>
      </c>
      <c r="H13" s="10">
        <v>-3145.98</v>
      </c>
      <c r="I13" s="1" t="s">
        <v>41</v>
      </c>
      <c r="J13" t="e">
        <f>VLOOKUP(D13,#REF!,8,0)</f>
        <v>#REF!</v>
      </c>
    </row>
    <row r="14" spans="1:10" x14ac:dyDescent="0.35">
      <c r="A14" s="1" t="s">
        <v>54</v>
      </c>
      <c r="B14" s="1" t="s">
        <v>7</v>
      </c>
      <c r="C14" s="9">
        <v>45832</v>
      </c>
      <c r="D14" s="1" t="s">
        <v>41</v>
      </c>
      <c r="E14" s="1" t="s">
        <v>46</v>
      </c>
      <c r="F14" s="10">
        <v>-12549.36</v>
      </c>
      <c r="G14" s="1" t="s">
        <v>42</v>
      </c>
      <c r="H14" s="10">
        <v>-12549.36</v>
      </c>
      <c r="I14" s="1" t="s">
        <v>41</v>
      </c>
      <c r="J14" t="e">
        <f>VLOOKUP(D14,#REF!,8,0)</f>
        <v>#REF!</v>
      </c>
    </row>
    <row r="15" spans="1:10" x14ac:dyDescent="0.35">
      <c r="A15" s="1" t="s">
        <v>55</v>
      </c>
      <c r="B15" s="1" t="s">
        <v>7</v>
      </c>
      <c r="C15" s="9">
        <v>45832</v>
      </c>
      <c r="D15" s="1" t="s">
        <v>41</v>
      </c>
      <c r="E15" s="1" t="s">
        <v>46</v>
      </c>
      <c r="F15" s="10">
        <v>-4228.22</v>
      </c>
      <c r="G15" s="1" t="s">
        <v>42</v>
      </c>
      <c r="H15" s="10">
        <v>-4228.22</v>
      </c>
      <c r="I15" s="1" t="s">
        <v>41</v>
      </c>
      <c r="J15" t="e">
        <f>VLOOKUP(D15,#REF!,8,0)</f>
        <v>#REF!</v>
      </c>
    </row>
    <row r="16" spans="1:10" x14ac:dyDescent="0.35">
      <c r="A16" s="1" t="s">
        <v>51</v>
      </c>
      <c r="B16" s="1" t="s">
        <v>7</v>
      </c>
      <c r="C16" s="9">
        <v>45832</v>
      </c>
      <c r="D16" s="1" t="s">
        <v>41</v>
      </c>
      <c r="E16" s="1" t="s">
        <v>46</v>
      </c>
      <c r="F16" s="10">
        <v>3663.7</v>
      </c>
      <c r="G16" s="1" t="s">
        <v>42</v>
      </c>
      <c r="H16" s="10">
        <v>3663.7</v>
      </c>
      <c r="I16" s="1" t="s">
        <v>41</v>
      </c>
      <c r="J16" t="e">
        <f>VLOOKUP(D16,#REF!,8,0)</f>
        <v>#REF!</v>
      </c>
    </row>
    <row r="17" spans="1:12" x14ac:dyDescent="0.35">
      <c r="A17" s="1" t="s">
        <v>45</v>
      </c>
      <c r="B17" s="1" t="s">
        <v>7</v>
      </c>
      <c r="C17" s="9">
        <v>45887</v>
      </c>
      <c r="D17" s="1" t="s">
        <v>41</v>
      </c>
      <c r="E17" s="1" t="s">
        <v>46</v>
      </c>
      <c r="F17" s="10">
        <v>-4437.8999999999996</v>
      </c>
      <c r="G17" s="1" t="s">
        <v>42</v>
      </c>
      <c r="H17" s="10">
        <v>-383425.92</v>
      </c>
      <c r="I17" s="1" t="s">
        <v>41</v>
      </c>
      <c r="J17" t="e">
        <f>VLOOKUP(D17,#REF!,8,0)</f>
        <v>#REF!</v>
      </c>
    </row>
    <row r="18" spans="1:12" x14ac:dyDescent="0.35">
      <c r="A18" s="1" t="s">
        <v>56</v>
      </c>
      <c r="B18" s="1" t="s">
        <v>7</v>
      </c>
      <c r="C18" s="9">
        <v>45888</v>
      </c>
      <c r="D18" s="1" t="s">
        <v>41</v>
      </c>
      <c r="E18" s="1" t="s">
        <v>46</v>
      </c>
      <c r="F18" s="10">
        <v>-1102.02</v>
      </c>
      <c r="G18" s="1" t="s">
        <v>42</v>
      </c>
      <c r="H18" s="10">
        <v>-94695.18</v>
      </c>
      <c r="I18" s="1" t="s">
        <v>57</v>
      </c>
      <c r="J18" t="e">
        <f>VLOOKUP(D18,#REF!,8,0)</f>
        <v>#REF!</v>
      </c>
    </row>
    <row r="19" spans="1:12" x14ac:dyDescent="0.35">
      <c r="A19" s="1" t="s">
        <v>58</v>
      </c>
      <c r="B19" s="1" t="s">
        <v>7</v>
      </c>
      <c r="C19" s="9">
        <v>45924</v>
      </c>
      <c r="D19" s="1" t="s">
        <v>41</v>
      </c>
      <c r="E19" s="1" t="s">
        <v>46</v>
      </c>
      <c r="F19" s="10">
        <v>-2932.84</v>
      </c>
      <c r="G19" s="1" t="s">
        <v>42</v>
      </c>
      <c r="H19" s="10">
        <v>-256665.53</v>
      </c>
      <c r="I19" s="1" t="s">
        <v>41</v>
      </c>
      <c r="J19" t="e">
        <f>VLOOKUP(D19,#REF!,8,0)</f>
        <v>#REF!</v>
      </c>
    </row>
    <row r="20" spans="1:12" x14ac:dyDescent="0.35">
      <c r="A20" s="1" t="s">
        <v>59</v>
      </c>
      <c r="B20" s="1" t="s">
        <v>7</v>
      </c>
      <c r="C20" s="9">
        <v>45964</v>
      </c>
      <c r="D20" s="1" t="s">
        <v>41</v>
      </c>
      <c r="E20" s="1" t="s">
        <v>46</v>
      </c>
      <c r="F20" s="10">
        <v>-1731.27</v>
      </c>
      <c r="G20" s="1" t="s">
        <v>42</v>
      </c>
      <c r="H20" s="10">
        <v>-152682.03</v>
      </c>
      <c r="I20" s="1" t="s">
        <v>41</v>
      </c>
      <c r="J20" t="e">
        <f>VLOOKUP(D20,#REF!,8,0)</f>
        <v>#REF!</v>
      </c>
    </row>
    <row r="21" spans="1:12" x14ac:dyDescent="0.35">
      <c r="A21" s="1" t="s">
        <v>60</v>
      </c>
      <c r="B21" s="1" t="s">
        <v>7</v>
      </c>
      <c r="C21" s="9">
        <v>45972</v>
      </c>
      <c r="D21" s="1" t="s">
        <v>41</v>
      </c>
      <c r="E21" s="1" t="s">
        <v>46</v>
      </c>
      <c r="F21" s="10">
        <v>-1968.44</v>
      </c>
      <c r="G21" s="1" t="s">
        <v>42</v>
      </c>
      <c r="H21" s="10">
        <v>-173229.39</v>
      </c>
      <c r="I21" s="1" t="s">
        <v>41</v>
      </c>
      <c r="J21" t="e">
        <f>VLOOKUP(D21,#REF!,8,0)</f>
        <v>#REF!</v>
      </c>
    </row>
    <row r="22" spans="1:12" x14ac:dyDescent="0.35">
      <c r="A22" s="1" t="s">
        <v>61</v>
      </c>
      <c r="B22" s="1" t="s">
        <v>7</v>
      </c>
      <c r="C22" s="9">
        <v>45972</v>
      </c>
      <c r="D22" s="1" t="s">
        <v>41</v>
      </c>
      <c r="E22" s="1" t="s">
        <v>46</v>
      </c>
      <c r="F22" s="10">
        <v>-8339.84</v>
      </c>
      <c r="G22" s="1" t="s">
        <v>42</v>
      </c>
      <c r="H22" s="10">
        <v>-729855.51</v>
      </c>
      <c r="I22" s="1" t="s">
        <v>41</v>
      </c>
      <c r="J22" t="e">
        <f>VLOOKUP(D22,#REF!,8,0)</f>
        <v>#REF!</v>
      </c>
    </row>
    <row r="23" spans="1:12" x14ac:dyDescent="0.35">
      <c r="A23" s="1" t="s">
        <v>62</v>
      </c>
      <c r="B23" s="1" t="s">
        <v>7</v>
      </c>
      <c r="C23" s="9">
        <v>45972</v>
      </c>
      <c r="D23" s="1" t="s">
        <v>41</v>
      </c>
      <c r="E23" s="1" t="s">
        <v>46</v>
      </c>
      <c r="F23" s="10">
        <v>-10455.66</v>
      </c>
      <c r="G23" s="1" t="s">
        <v>42</v>
      </c>
      <c r="H23" s="10">
        <v>-920133.52</v>
      </c>
      <c r="I23" s="1" t="s">
        <v>41</v>
      </c>
      <c r="J23" t="e">
        <f>VLOOKUP(D23,#REF!,8,0)</f>
        <v>#REF!</v>
      </c>
    </row>
    <row r="24" spans="1:12" x14ac:dyDescent="0.35">
      <c r="A24" s="1" t="s">
        <v>63</v>
      </c>
      <c r="B24" s="1" t="s">
        <v>6</v>
      </c>
      <c r="C24" s="9">
        <v>45842</v>
      </c>
      <c r="D24" s="1" t="s">
        <v>64</v>
      </c>
      <c r="E24" s="1" t="s">
        <v>46</v>
      </c>
      <c r="F24" s="10">
        <v>0</v>
      </c>
      <c r="G24" s="1" t="s">
        <v>42</v>
      </c>
      <c r="H24" s="10">
        <v>0</v>
      </c>
      <c r="I24" s="1" t="s">
        <v>41</v>
      </c>
      <c r="J24" t="e">
        <f>VLOOKUP(D24,#REF!,8,0)</f>
        <v>#REF!</v>
      </c>
    </row>
    <row r="25" spans="1:12" x14ac:dyDescent="0.35">
      <c r="A25" s="1" t="s">
        <v>65</v>
      </c>
      <c r="B25" s="1" t="s">
        <v>6</v>
      </c>
      <c r="C25" s="9">
        <v>45842</v>
      </c>
      <c r="D25" s="1" t="s">
        <v>64</v>
      </c>
      <c r="E25" s="1" t="s">
        <v>46</v>
      </c>
      <c r="F25" s="10">
        <v>1166.5899999999999</v>
      </c>
      <c r="G25" s="1" t="s">
        <v>42</v>
      </c>
      <c r="H25" s="10">
        <v>101402.13</v>
      </c>
      <c r="I25" s="1" t="s">
        <v>41</v>
      </c>
      <c r="J25" t="e">
        <f>VLOOKUP(D25,#REF!,8,0)</f>
        <v>#REF!</v>
      </c>
    </row>
    <row r="26" spans="1:12" x14ac:dyDescent="0.35">
      <c r="A26" s="1" t="s">
        <v>65</v>
      </c>
      <c r="B26" s="1" t="s">
        <v>6</v>
      </c>
      <c r="C26" s="9">
        <v>45842</v>
      </c>
      <c r="D26" s="1" t="s">
        <v>64</v>
      </c>
      <c r="E26" s="1" t="s">
        <v>46</v>
      </c>
      <c r="F26" s="10">
        <v>-1166.5899999999999</v>
      </c>
      <c r="G26" s="1" t="s">
        <v>42</v>
      </c>
      <c r="H26" s="10">
        <v>-101402.13</v>
      </c>
      <c r="I26" s="1" t="s">
        <v>41</v>
      </c>
      <c r="J26" t="e">
        <f>VLOOKUP(D26,#REF!,8,0)</f>
        <v>#REF!</v>
      </c>
    </row>
    <row r="27" spans="1:12" x14ac:dyDescent="0.35">
      <c r="A27" s="1" t="s">
        <v>66</v>
      </c>
      <c r="B27" s="1" t="s">
        <v>6</v>
      </c>
      <c r="C27" s="9">
        <v>45842</v>
      </c>
      <c r="D27" s="1" t="s">
        <v>64</v>
      </c>
      <c r="E27" s="1" t="s">
        <v>46</v>
      </c>
      <c r="F27" s="10">
        <v>1143.1199999999999</v>
      </c>
      <c r="G27" s="1" t="s">
        <v>42</v>
      </c>
      <c r="H27" s="10">
        <v>99362.07</v>
      </c>
      <c r="I27" s="1" t="s">
        <v>41</v>
      </c>
      <c r="J27" t="e">
        <f>VLOOKUP(D27,#REF!,8,0)</f>
        <v>#REF!</v>
      </c>
    </row>
    <row r="28" spans="1:12" x14ac:dyDescent="0.35">
      <c r="A28" s="1" t="s">
        <v>66</v>
      </c>
      <c r="B28" s="1" t="s">
        <v>6</v>
      </c>
      <c r="C28" s="9">
        <v>45842</v>
      </c>
      <c r="D28" s="1" t="s">
        <v>64</v>
      </c>
      <c r="E28" s="1" t="s">
        <v>46</v>
      </c>
      <c r="F28" s="10">
        <v>-1143.1199999999999</v>
      </c>
      <c r="G28" s="1" t="s">
        <v>42</v>
      </c>
      <c r="H28" s="10">
        <v>-99362.07</v>
      </c>
      <c r="I28" s="1" t="s">
        <v>41</v>
      </c>
      <c r="J28" t="e">
        <f>VLOOKUP(D28,#REF!,8,0)</f>
        <v>#REF!</v>
      </c>
    </row>
    <row r="29" spans="1:12" x14ac:dyDescent="0.35">
      <c r="A29" s="1" t="s">
        <v>67</v>
      </c>
      <c r="B29" s="1" t="s">
        <v>5</v>
      </c>
      <c r="C29" s="9">
        <v>45787</v>
      </c>
      <c r="D29" s="22">
        <v>256779413144</v>
      </c>
      <c r="E29" s="1" t="s">
        <v>42</v>
      </c>
      <c r="F29" s="10">
        <v>100000</v>
      </c>
      <c r="G29" s="1" t="s">
        <v>42</v>
      </c>
      <c r="H29" s="10">
        <v>100000</v>
      </c>
      <c r="I29" s="1" t="s">
        <v>68</v>
      </c>
      <c r="J29" s="20" t="e">
        <f>VLOOKUP(D29,#REF!,8,0)</f>
        <v>#REF!</v>
      </c>
      <c r="K29" s="5" t="e">
        <f>H29-J29</f>
        <v>#REF!</v>
      </c>
      <c r="L29" s="31" t="e">
        <f>K29/H29</f>
        <v>#REF!</v>
      </c>
    </row>
    <row r="30" spans="1:12" x14ac:dyDescent="0.35">
      <c r="A30" s="1" t="s">
        <v>69</v>
      </c>
      <c r="B30" s="1" t="s">
        <v>5</v>
      </c>
      <c r="C30" s="9">
        <v>45818</v>
      </c>
      <c r="D30" s="22">
        <v>256779414356</v>
      </c>
      <c r="E30" s="1" t="s">
        <v>42</v>
      </c>
      <c r="F30" s="10">
        <v>100000</v>
      </c>
      <c r="G30" s="1" t="s">
        <v>42</v>
      </c>
      <c r="H30" s="10">
        <v>100000</v>
      </c>
      <c r="I30" s="1" t="s">
        <v>70</v>
      </c>
      <c r="J30" s="20" t="e">
        <f>VLOOKUP(D30,#REF!,8,0)</f>
        <v>#REF!</v>
      </c>
      <c r="K30" s="5" t="e">
        <f t="shared" ref="K30:K42" si="0">H30-J30</f>
        <v>#REF!</v>
      </c>
      <c r="L30" s="31" t="e">
        <f t="shared" ref="L30:L42" si="1">K30/H30</f>
        <v>#REF!</v>
      </c>
    </row>
    <row r="31" spans="1:12" x14ac:dyDescent="0.35">
      <c r="A31" s="1" t="s">
        <v>71</v>
      </c>
      <c r="B31" s="1" t="s">
        <v>5</v>
      </c>
      <c r="C31" s="9">
        <v>45842</v>
      </c>
      <c r="D31" s="22">
        <v>256779414914</v>
      </c>
      <c r="E31" s="1" t="s">
        <v>42</v>
      </c>
      <c r="F31" s="10">
        <v>100000</v>
      </c>
      <c r="G31" s="1" t="s">
        <v>42</v>
      </c>
      <c r="H31" s="10">
        <v>100000</v>
      </c>
      <c r="I31" s="1" t="s">
        <v>72</v>
      </c>
      <c r="J31" s="20" t="e">
        <f>VLOOKUP(D31,#REF!,8,0)</f>
        <v>#REF!</v>
      </c>
      <c r="K31" s="5" t="e">
        <f t="shared" si="0"/>
        <v>#REF!</v>
      </c>
      <c r="L31" s="31" t="e">
        <f t="shared" si="1"/>
        <v>#REF!</v>
      </c>
    </row>
    <row r="32" spans="1:12" x14ac:dyDescent="0.35">
      <c r="A32" s="1" t="s">
        <v>73</v>
      </c>
      <c r="B32" s="1" t="s">
        <v>5</v>
      </c>
      <c r="C32" s="9">
        <v>45870</v>
      </c>
      <c r="D32" s="22">
        <v>256779416026</v>
      </c>
      <c r="E32" s="1" t="s">
        <v>42</v>
      </c>
      <c r="F32" s="10">
        <v>100000</v>
      </c>
      <c r="G32" s="1" t="s">
        <v>42</v>
      </c>
      <c r="H32" s="10">
        <v>100000</v>
      </c>
      <c r="I32" s="1" t="s">
        <v>74</v>
      </c>
      <c r="J32" s="20" t="e">
        <f>VLOOKUP(D32,#REF!,8,0)</f>
        <v>#REF!</v>
      </c>
      <c r="K32" s="5" t="e">
        <f t="shared" si="0"/>
        <v>#REF!</v>
      </c>
      <c r="L32" s="31" t="e">
        <f t="shared" si="1"/>
        <v>#REF!</v>
      </c>
    </row>
    <row r="33" spans="1:12" x14ac:dyDescent="0.35">
      <c r="A33" s="1" t="s">
        <v>75</v>
      </c>
      <c r="B33" s="1" t="s">
        <v>5</v>
      </c>
      <c r="C33" s="9">
        <v>45904</v>
      </c>
      <c r="D33" s="22">
        <v>256779417346</v>
      </c>
      <c r="E33" s="1" t="s">
        <v>42</v>
      </c>
      <c r="F33" s="10">
        <v>100000</v>
      </c>
      <c r="G33" s="1" t="s">
        <v>42</v>
      </c>
      <c r="H33" s="10">
        <v>100000</v>
      </c>
      <c r="I33" s="1" t="s">
        <v>76</v>
      </c>
      <c r="J33" s="20" t="e">
        <f>VLOOKUP(D33,#REF!,8,0)</f>
        <v>#REF!</v>
      </c>
      <c r="K33" s="5" t="e">
        <f t="shared" si="0"/>
        <v>#REF!</v>
      </c>
      <c r="L33" s="31" t="e">
        <f t="shared" si="1"/>
        <v>#REF!</v>
      </c>
    </row>
    <row r="34" spans="1:12" x14ac:dyDescent="0.35">
      <c r="A34" s="1" t="s">
        <v>77</v>
      </c>
      <c r="B34" s="1" t="s">
        <v>5</v>
      </c>
      <c r="C34" s="9">
        <v>45966</v>
      </c>
      <c r="D34" s="22">
        <v>256779418775</v>
      </c>
      <c r="E34" s="1" t="s">
        <v>42</v>
      </c>
      <c r="F34" s="10">
        <v>100000</v>
      </c>
      <c r="G34" s="1" t="s">
        <v>42</v>
      </c>
      <c r="H34" s="10">
        <v>100000</v>
      </c>
      <c r="I34" s="1" t="s">
        <v>78</v>
      </c>
      <c r="J34" s="20" t="e">
        <f>VLOOKUP(D34,#REF!,8,0)</f>
        <v>#REF!</v>
      </c>
      <c r="K34" s="5" t="e">
        <f t="shared" si="0"/>
        <v>#REF!</v>
      </c>
      <c r="L34" s="31" t="e">
        <f t="shared" si="1"/>
        <v>#REF!</v>
      </c>
    </row>
    <row r="35" spans="1:12" x14ac:dyDescent="0.35">
      <c r="A35" s="1" t="s">
        <v>79</v>
      </c>
      <c r="B35" s="1" t="s">
        <v>5</v>
      </c>
      <c r="C35" s="9">
        <v>45995</v>
      </c>
      <c r="D35" s="22">
        <v>256779419968</v>
      </c>
      <c r="E35" s="1" t="s">
        <v>42</v>
      </c>
      <c r="F35" s="10">
        <v>100000</v>
      </c>
      <c r="G35" s="1" t="s">
        <v>42</v>
      </c>
      <c r="H35" s="10">
        <v>100000</v>
      </c>
      <c r="I35" s="1" t="s">
        <v>80</v>
      </c>
      <c r="J35" s="20" t="e">
        <f>VLOOKUP(D35,#REF!,8,0)</f>
        <v>#REF!</v>
      </c>
      <c r="K35" s="5" t="e">
        <f t="shared" si="0"/>
        <v>#REF!</v>
      </c>
      <c r="L35" s="31" t="e">
        <f t="shared" si="1"/>
        <v>#REF!</v>
      </c>
    </row>
    <row r="36" spans="1:12" x14ac:dyDescent="0.35">
      <c r="A36" s="1" t="s">
        <v>81</v>
      </c>
      <c r="B36" s="1" t="s">
        <v>5</v>
      </c>
      <c r="C36" s="9">
        <v>45787</v>
      </c>
      <c r="D36" s="22">
        <v>256779413145</v>
      </c>
      <c r="E36" s="1" t="s">
        <v>42</v>
      </c>
      <c r="F36" s="10">
        <v>35000</v>
      </c>
      <c r="G36" s="1" t="s">
        <v>42</v>
      </c>
      <c r="H36" s="10">
        <v>35000</v>
      </c>
      <c r="I36" s="1" t="s">
        <v>68</v>
      </c>
      <c r="J36" s="20" t="e">
        <f>VLOOKUP(D36,#REF!,8,0)</f>
        <v>#REF!</v>
      </c>
      <c r="K36" s="5" t="e">
        <f t="shared" si="0"/>
        <v>#REF!</v>
      </c>
      <c r="L36" s="31" t="e">
        <f t="shared" si="1"/>
        <v>#REF!</v>
      </c>
    </row>
    <row r="37" spans="1:12" x14ac:dyDescent="0.35">
      <c r="A37" s="1" t="s">
        <v>82</v>
      </c>
      <c r="B37" s="1" t="s">
        <v>5</v>
      </c>
      <c r="C37" s="9">
        <v>45818</v>
      </c>
      <c r="D37" s="22">
        <v>256779414357</v>
      </c>
      <c r="E37" s="1" t="s">
        <v>42</v>
      </c>
      <c r="F37" s="10">
        <v>35000</v>
      </c>
      <c r="G37" s="1" t="s">
        <v>42</v>
      </c>
      <c r="H37" s="10">
        <v>35000</v>
      </c>
      <c r="I37" s="1" t="s">
        <v>70</v>
      </c>
      <c r="J37" s="20" t="e">
        <f>VLOOKUP(D37,#REF!,8,0)</f>
        <v>#REF!</v>
      </c>
      <c r="K37" s="5" t="e">
        <f t="shared" si="0"/>
        <v>#REF!</v>
      </c>
      <c r="L37" s="31" t="e">
        <f t="shared" si="1"/>
        <v>#REF!</v>
      </c>
    </row>
    <row r="38" spans="1:12" x14ac:dyDescent="0.35">
      <c r="A38" s="1" t="s">
        <v>83</v>
      </c>
      <c r="B38" s="1" t="s">
        <v>5</v>
      </c>
      <c r="C38" s="9">
        <v>45842</v>
      </c>
      <c r="D38" s="22">
        <v>256779414915</v>
      </c>
      <c r="E38" s="1" t="s">
        <v>42</v>
      </c>
      <c r="F38" s="10">
        <v>35000</v>
      </c>
      <c r="G38" s="1" t="s">
        <v>42</v>
      </c>
      <c r="H38" s="10">
        <v>35000</v>
      </c>
      <c r="I38" s="1" t="s">
        <v>72</v>
      </c>
      <c r="J38" s="20" t="e">
        <f>VLOOKUP(D38,#REF!,8,0)</f>
        <v>#REF!</v>
      </c>
      <c r="K38" s="5" t="e">
        <f t="shared" si="0"/>
        <v>#REF!</v>
      </c>
      <c r="L38" s="31" t="e">
        <f t="shared" si="1"/>
        <v>#REF!</v>
      </c>
    </row>
    <row r="39" spans="1:12" x14ac:dyDescent="0.35">
      <c r="A39" s="1" t="s">
        <v>84</v>
      </c>
      <c r="B39" s="1" t="s">
        <v>5</v>
      </c>
      <c r="C39" s="9">
        <v>45870</v>
      </c>
      <c r="D39" s="22">
        <v>256779416027</v>
      </c>
      <c r="E39" s="1" t="s">
        <v>42</v>
      </c>
      <c r="F39" s="10">
        <v>35000</v>
      </c>
      <c r="G39" s="1" t="s">
        <v>42</v>
      </c>
      <c r="H39" s="10">
        <v>35000</v>
      </c>
      <c r="I39" s="1" t="s">
        <v>74</v>
      </c>
      <c r="J39" s="20" t="e">
        <f>VLOOKUP(D39,#REF!,8,0)</f>
        <v>#REF!</v>
      </c>
      <c r="K39" s="5" t="e">
        <f t="shared" si="0"/>
        <v>#REF!</v>
      </c>
      <c r="L39" s="31" t="e">
        <f t="shared" si="1"/>
        <v>#REF!</v>
      </c>
    </row>
    <row r="40" spans="1:12" x14ac:dyDescent="0.35">
      <c r="A40" s="1" t="s">
        <v>85</v>
      </c>
      <c r="B40" s="1" t="s">
        <v>5</v>
      </c>
      <c r="C40" s="9">
        <v>45904</v>
      </c>
      <c r="D40" s="22">
        <v>256779417347</v>
      </c>
      <c r="E40" s="1" t="s">
        <v>42</v>
      </c>
      <c r="F40" s="10">
        <v>35000</v>
      </c>
      <c r="G40" s="1" t="s">
        <v>42</v>
      </c>
      <c r="H40" s="10">
        <v>35000</v>
      </c>
      <c r="I40" s="1" t="s">
        <v>76</v>
      </c>
      <c r="J40" s="20" t="e">
        <f>VLOOKUP(D40,#REF!,8,0)</f>
        <v>#REF!</v>
      </c>
      <c r="K40" s="5" t="e">
        <f t="shared" si="0"/>
        <v>#REF!</v>
      </c>
      <c r="L40" s="31" t="e">
        <f t="shared" si="1"/>
        <v>#REF!</v>
      </c>
    </row>
    <row r="41" spans="1:12" x14ac:dyDescent="0.35">
      <c r="A41" s="1" t="s">
        <v>86</v>
      </c>
      <c r="B41" s="1" t="s">
        <v>5</v>
      </c>
      <c r="C41" s="9">
        <v>45966</v>
      </c>
      <c r="D41" s="22">
        <v>256779418776</v>
      </c>
      <c r="E41" s="1" t="s">
        <v>42</v>
      </c>
      <c r="F41" s="10">
        <v>35000</v>
      </c>
      <c r="G41" s="1" t="s">
        <v>42</v>
      </c>
      <c r="H41" s="10">
        <v>35000</v>
      </c>
      <c r="I41" s="1" t="s">
        <v>78</v>
      </c>
      <c r="J41" s="20" t="e">
        <f>VLOOKUP(D41,#REF!,8,0)</f>
        <v>#REF!</v>
      </c>
      <c r="K41" s="5" t="e">
        <f t="shared" si="0"/>
        <v>#REF!</v>
      </c>
      <c r="L41" s="31" t="e">
        <f t="shared" si="1"/>
        <v>#REF!</v>
      </c>
    </row>
    <row r="42" spans="1:12" x14ac:dyDescent="0.35">
      <c r="A42" s="1" t="s">
        <v>87</v>
      </c>
      <c r="B42" s="1" t="s">
        <v>5</v>
      </c>
      <c r="C42" s="9">
        <v>45995</v>
      </c>
      <c r="D42" s="22">
        <v>256779419969</v>
      </c>
      <c r="E42" s="1" t="s">
        <v>42</v>
      </c>
      <c r="F42" s="10">
        <v>35000</v>
      </c>
      <c r="G42" s="1" t="s">
        <v>42</v>
      </c>
      <c r="H42" s="10">
        <v>35000</v>
      </c>
      <c r="I42" s="1" t="s">
        <v>88</v>
      </c>
      <c r="J42" s="20" t="e">
        <f>VLOOKUP(D42,#REF!,8,0)</f>
        <v>#REF!</v>
      </c>
      <c r="K42" s="5" t="e">
        <f t="shared" si="0"/>
        <v>#REF!</v>
      </c>
      <c r="L42" s="31" t="e">
        <f t="shared" si="1"/>
        <v>#REF!</v>
      </c>
    </row>
    <row r="43" spans="1:12" x14ac:dyDescent="0.35">
      <c r="A43" s="1" t="s">
        <v>89</v>
      </c>
      <c r="B43" s="1" t="s">
        <v>4</v>
      </c>
      <c r="C43" s="9">
        <v>45890</v>
      </c>
      <c r="D43" s="22">
        <v>256779421709</v>
      </c>
      <c r="E43" s="1" t="s">
        <v>42</v>
      </c>
      <c r="F43" s="10">
        <v>-200000</v>
      </c>
      <c r="G43" s="1" t="s">
        <v>42</v>
      </c>
      <c r="H43" s="10">
        <v>-200000</v>
      </c>
      <c r="I43" s="1" t="s">
        <v>90</v>
      </c>
      <c r="J43" t="e">
        <f>VLOOKUP(D43,#REF!,8,0)</f>
        <v>#REF!</v>
      </c>
    </row>
    <row r="44" spans="1:12" x14ac:dyDescent="0.35">
      <c r="A44" s="1" t="s">
        <v>91</v>
      </c>
      <c r="B44" s="1" t="s">
        <v>5</v>
      </c>
      <c r="C44" s="9">
        <v>45883</v>
      </c>
      <c r="D44" s="22">
        <v>256779416887</v>
      </c>
      <c r="E44" s="1" t="s">
        <v>42</v>
      </c>
      <c r="F44" s="10">
        <v>200000</v>
      </c>
      <c r="G44" s="1" t="s">
        <v>42</v>
      </c>
      <c r="H44" s="26">
        <v>200000</v>
      </c>
      <c r="I44" s="1" t="s">
        <v>92</v>
      </c>
      <c r="J44" t="e">
        <f>VLOOKUP(D44,#REF!,8,0)</f>
        <v>#REF!</v>
      </c>
    </row>
    <row r="45" spans="1:12" x14ac:dyDescent="0.35">
      <c r="A45" s="1" t="s">
        <v>93</v>
      </c>
      <c r="B45" s="1" t="s">
        <v>5</v>
      </c>
      <c r="C45" s="9">
        <v>45733</v>
      </c>
      <c r="D45" s="22">
        <v>246779412116</v>
      </c>
      <c r="E45" s="1" t="s">
        <v>46</v>
      </c>
      <c r="F45" s="10">
        <v>100</v>
      </c>
      <c r="G45" s="1" t="s">
        <v>42</v>
      </c>
      <c r="H45" s="10">
        <v>8669.1299999999992</v>
      </c>
      <c r="I45" s="1" t="s">
        <v>94</v>
      </c>
      <c r="J45" s="20" t="e">
        <f>VLOOKUP(D45,#REF!,8,0)</f>
        <v>#REF!</v>
      </c>
      <c r="K45" s="5" t="e">
        <f t="shared" ref="K45:K53" si="2">H45-J45</f>
        <v>#REF!</v>
      </c>
      <c r="L45" s="31" t="e">
        <f t="shared" ref="L45:L53" si="3">K45/H45</f>
        <v>#REF!</v>
      </c>
    </row>
    <row r="46" spans="1:12" x14ac:dyDescent="0.35">
      <c r="A46" s="1" t="s">
        <v>95</v>
      </c>
      <c r="B46" s="1" t="s">
        <v>5</v>
      </c>
      <c r="C46" s="9">
        <v>45733</v>
      </c>
      <c r="D46" s="22">
        <v>246779412119</v>
      </c>
      <c r="E46" s="1" t="s">
        <v>46</v>
      </c>
      <c r="F46" s="10">
        <v>100</v>
      </c>
      <c r="G46" s="1" t="s">
        <v>42</v>
      </c>
      <c r="H46" s="10">
        <v>8669.1299999999992</v>
      </c>
      <c r="I46" s="1" t="s">
        <v>94</v>
      </c>
      <c r="J46" s="20" t="e">
        <f>VLOOKUP(D46,#REF!,8,0)</f>
        <v>#REF!</v>
      </c>
      <c r="K46" s="5" t="e">
        <f t="shared" si="2"/>
        <v>#REF!</v>
      </c>
      <c r="L46" s="31" t="e">
        <f t="shared" si="3"/>
        <v>#REF!</v>
      </c>
    </row>
    <row r="47" spans="1:12" x14ac:dyDescent="0.35">
      <c r="A47" s="1" t="s">
        <v>96</v>
      </c>
      <c r="B47" s="1" t="s">
        <v>5</v>
      </c>
      <c r="C47" s="9">
        <v>45733</v>
      </c>
      <c r="D47" s="22">
        <v>246779412121</v>
      </c>
      <c r="E47" s="1" t="s">
        <v>46</v>
      </c>
      <c r="F47" s="10">
        <v>100</v>
      </c>
      <c r="G47" s="1" t="s">
        <v>42</v>
      </c>
      <c r="H47" s="10">
        <v>8669.1299999999992</v>
      </c>
      <c r="I47" s="1" t="s">
        <v>94</v>
      </c>
      <c r="J47" s="20" t="e">
        <f>VLOOKUP(D47,#REF!,8,0)</f>
        <v>#REF!</v>
      </c>
      <c r="K47" s="5" t="e">
        <f t="shared" si="2"/>
        <v>#REF!</v>
      </c>
      <c r="L47" s="31" t="e">
        <f t="shared" si="3"/>
        <v>#REF!</v>
      </c>
    </row>
    <row r="48" spans="1:12" x14ac:dyDescent="0.35">
      <c r="A48" s="1" t="s">
        <v>97</v>
      </c>
      <c r="B48" s="1" t="s">
        <v>5</v>
      </c>
      <c r="C48" s="9">
        <v>45787</v>
      </c>
      <c r="D48" s="22">
        <v>256779413231</v>
      </c>
      <c r="E48" s="1" t="s">
        <v>46</v>
      </c>
      <c r="F48" s="10">
        <v>100</v>
      </c>
      <c r="G48" s="1" t="s">
        <v>42</v>
      </c>
      <c r="H48" s="10">
        <v>8598.3700000000008</v>
      </c>
      <c r="I48" s="1" t="s">
        <v>98</v>
      </c>
      <c r="J48" s="20" t="e">
        <f>VLOOKUP(D48,#REF!,8,0)</f>
        <v>#REF!</v>
      </c>
      <c r="K48" s="5" t="e">
        <f t="shared" si="2"/>
        <v>#REF!</v>
      </c>
      <c r="L48" s="31" t="e">
        <f t="shared" si="3"/>
        <v>#REF!</v>
      </c>
    </row>
    <row r="49" spans="1:12" x14ac:dyDescent="0.35">
      <c r="A49" s="1" t="s">
        <v>99</v>
      </c>
      <c r="B49" s="1" t="s">
        <v>5</v>
      </c>
      <c r="C49" s="9">
        <v>45797</v>
      </c>
      <c r="D49" s="22">
        <v>256779413841</v>
      </c>
      <c r="E49" s="1" t="s">
        <v>46</v>
      </c>
      <c r="F49" s="10">
        <v>100</v>
      </c>
      <c r="G49" s="1" t="s">
        <v>42</v>
      </c>
      <c r="H49" s="10">
        <v>8598.3700000000008</v>
      </c>
      <c r="I49" s="1" t="s">
        <v>100</v>
      </c>
      <c r="J49" s="20" t="e">
        <f>VLOOKUP(D49,#REF!,8,0)</f>
        <v>#REF!</v>
      </c>
      <c r="K49" s="5" t="e">
        <f t="shared" si="2"/>
        <v>#REF!</v>
      </c>
      <c r="L49" s="31" t="e">
        <f t="shared" si="3"/>
        <v>#REF!</v>
      </c>
    </row>
    <row r="50" spans="1:12" x14ac:dyDescent="0.35">
      <c r="A50" s="1" t="s">
        <v>101</v>
      </c>
      <c r="B50" s="1" t="s">
        <v>5</v>
      </c>
      <c r="C50" s="9">
        <v>45797</v>
      </c>
      <c r="D50" s="22">
        <v>256779413847</v>
      </c>
      <c r="E50" s="1" t="s">
        <v>46</v>
      </c>
      <c r="F50" s="10">
        <v>100</v>
      </c>
      <c r="G50" s="1" t="s">
        <v>42</v>
      </c>
      <c r="H50" s="10">
        <v>8598.3700000000008</v>
      </c>
      <c r="I50" s="1" t="s">
        <v>100</v>
      </c>
      <c r="J50" s="20" t="e">
        <f>VLOOKUP(D50,#REF!,8,0)</f>
        <v>#REF!</v>
      </c>
      <c r="K50" s="5" t="e">
        <f t="shared" si="2"/>
        <v>#REF!</v>
      </c>
      <c r="L50" s="31" t="e">
        <f t="shared" si="3"/>
        <v>#REF!</v>
      </c>
    </row>
    <row r="51" spans="1:12" x14ac:dyDescent="0.35">
      <c r="A51" s="1" t="s">
        <v>102</v>
      </c>
      <c r="B51" s="1" t="s">
        <v>5</v>
      </c>
      <c r="C51" s="9">
        <v>45797</v>
      </c>
      <c r="D51" s="22">
        <v>256779413848</v>
      </c>
      <c r="E51" s="1" t="s">
        <v>46</v>
      </c>
      <c r="F51" s="10">
        <v>100</v>
      </c>
      <c r="G51" s="1" t="s">
        <v>42</v>
      </c>
      <c r="H51" s="10">
        <v>8598.3700000000008</v>
      </c>
      <c r="I51" s="1" t="s">
        <v>100</v>
      </c>
      <c r="J51" s="20" t="e">
        <f>VLOOKUP(D51,#REF!,8,0)</f>
        <v>#REF!</v>
      </c>
      <c r="K51" s="5" t="e">
        <f t="shared" si="2"/>
        <v>#REF!</v>
      </c>
      <c r="L51" s="31" t="e">
        <f t="shared" si="3"/>
        <v>#REF!</v>
      </c>
    </row>
    <row r="52" spans="1:12" x14ac:dyDescent="0.35">
      <c r="A52" s="1" t="s">
        <v>103</v>
      </c>
      <c r="B52" s="1" t="s">
        <v>5</v>
      </c>
      <c r="C52" s="9">
        <v>45863</v>
      </c>
      <c r="D52" s="22">
        <v>256779416012</v>
      </c>
      <c r="E52" s="1" t="s">
        <v>46</v>
      </c>
      <c r="F52" s="10">
        <v>100</v>
      </c>
      <c r="G52" s="1" t="s">
        <v>42</v>
      </c>
      <c r="H52" s="10">
        <v>8600.07</v>
      </c>
      <c r="I52" s="1" t="s">
        <v>104</v>
      </c>
      <c r="J52" s="20" t="e">
        <f>VLOOKUP(D52,#REF!,8,0)</f>
        <v>#REF!</v>
      </c>
      <c r="K52" s="5" t="e">
        <f t="shared" si="2"/>
        <v>#REF!</v>
      </c>
      <c r="L52" s="31" t="e">
        <f t="shared" si="3"/>
        <v>#REF!</v>
      </c>
    </row>
    <row r="53" spans="1:12" x14ac:dyDescent="0.35">
      <c r="A53" s="1" t="s">
        <v>105</v>
      </c>
      <c r="B53" s="1" t="s">
        <v>5</v>
      </c>
      <c r="C53" s="9">
        <v>45730</v>
      </c>
      <c r="D53" s="22">
        <v>246779411515</v>
      </c>
      <c r="E53" s="1" t="s">
        <v>46</v>
      </c>
      <c r="F53" s="10">
        <v>100</v>
      </c>
      <c r="G53" s="1" t="s">
        <v>42</v>
      </c>
      <c r="H53" s="10">
        <v>8669.1299999999992</v>
      </c>
      <c r="I53" s="1" t="s">
        <v>106</v>
      </c>
      <c r="J53" s="20" t="e">
        <f>VLOOKUP(D53,#REF!,8,0)</f>
        <v>#REF!</v>
      </c>
      <c r="K53" s="5" t="e">
        <f t="shared" si="2"/>
        <v>#REF!</v>
      </c>
      <c r="L53" s="31" t="e">
        <f t="shared" si="3"/>
        <v>#REF!</v>
      </c>
    </row>
    <row r="54" spans="1:12" x14ac:dyDescent="0.35">
      <c r="A54" s="1" t="s">
        <v>107</v>
      </c>
      <c r="B54" s="1" t="s">
        <v>5</v>
      </c>
      <c r="C54" s="9">
        <v>45827</v>
      </c>
      <c r="D54" s="22">
        <v>256779414731</v>
      </c>
      <c r="E54" s="1" t="s">
        <v>46</v>
      </c>
      <c r="F54" s="10">
        <v>100</v>
      </c>
      <c r="G54" s="1" t="s">
        <v>42</v>
      </c>
      <c r="H54" s="26">
        <v>8549.08</v>
      </c>
      <c r="I54" s="1" t="s">
        <v>108</v>
      </c>
      <c r="J54" t="e">
        <f>VLOOKUP(D54,#REF!,8,0)</f>
        <v>#REF!</v>
      </c>
    </row>
    <row r="55" spans="1:12" x14ac:dyDescent="0.35">
      <c r="A55" s="1" t="s">
        <v>109</v>
      </c>
      <c r="B55" s="1" t="s">
        <v>5</v>
      </c>
      <c r="C55" s="9">
        <v>45827</v>
      </c>
      <c r="D55" s="22">
        <v>256779414732</v>
      </c>
      <c r="E55" s="1" t="s">
        <v>46</v>
      </c>
      <c r="F55" s="10">
        <v>100</v>
      </c>
      <c r="G55" s="1" t="s">
        <v>42</v>
      </c>
      <c r="H55" s="26">
        <v>8549.08</v>
      </c>
      <c r="I55" s="1" t="s">
        <v>108</v>
      </c>
      <c r="J55" t="e">
        <f>VLOOKUP(D55,#REF!,8,0)</f>
        <v>#REF!</v>
      </c>
    </row>
    <row r="56" spans="1:12" x14ac:dyDescent="0.35">
      <c r="A56" s="1" t="s">
        <v>110</v>
      </c>
      <c r="B56" s="1" t="s">
        <v>5</v>
      </c>
      <c r="C56" s="9">
        <v>45827</v>
      </c>
      <c r="D56" s="22">
        <v>256779414733</v>
      </c>
      <c r="E56" s="1" t="s">
        <v>46</v>
      </c>
      <c r="F56" s="10">
        <v>100</v>
      </c>
      <c r="G56" s="1" t="s">
        <v>42</v>
      </c>
      <c r="H56" s="26">
        <v>8549.08</v>
      </c>
      <c r="I56" s="1" t="s">
        <v>108</v>
      </c>
      <c r="J56" t="e">
        <f>VLOOKUP(D56,#REF!,8,0)</f>
        <v>#REF!</v>
      </c>
    </row>
    <row r="57" spans="1:12" x14ac:dyDescent="0.35">
      <c r="A57" s="1" t="s">
        <v>111</v>
      </c>
      <c r="B57" s="1" t="s">
        <v>5</v>
      </c>
      <c r="C57" s="9">
        <v>45827</v>
      </c>
      <c r="D57" s="22">
        <v>256779414734</v>
      </c>
      <c r="E57" s="1" t="s">
        <v>46</v>
      </c>
      <c r="F57" s="10">
        <v>100</v>
      </c>
      <c r="G57" s="1" t="s">
        <v>42</v>
      </c>
      <c r="H57" s="26">
        <v>8549.08</v>
      </c>
      <c r="I57" s="1" t="s">
        <v>108</v>
      </c>
      <c r="J57" t="e">
        <f>VLOOKUP(D57,#REF!,8,0)</f>
        <v>#REF!</v>
      </c>
    </row>
    <row r="58" spans="1:12" x14ac:dyDescent="0.35">
      <c r="A58" s="1" t="s">
        <v>112</v>
      </c>
      <c r="B58" s="1" t="s">
        <v>5</v>
      </c>
      <c r="C58" s="9">
        <v>45827</v>
      </c>
      <c r="D58" s="22">
        <v>256779414735</v>
      </c>
      <c r="E58" s="1" t="s">
        <v>46</v>
      </c>
      <c r="F58" s="10">
        <v>100</v>
      </c>
      <c r="G58" s="1" t="s">
        <v>42</v>
      </c>
      <c r="H58" s="10">
        <v>8549.08</v>
      </c>
      <c r="I58" s="1" t="s">
        <v>108</v>
      </c>
      <c r="J58" s="20" t="e">
        <f>VLOOKUP(D58,#REF!,8,0)</f>
        <v>#REF!</v>
      </c>
      <c r="K58" s="5" t="e">
        <f t="shared" ref="K58:K59" si="4">H58-J58</f>
        <v>#REF!</v>
      </c>
      <c r="L58" s="31" t="e">
        <f t="shared" ref="L58:L59" si="5">K58/H58</f>
        <v>#REF!</v>
      </c>
    </row>
    <row r="59" spans="1:12" x14ac:dyDescent="0.35">
      <c r="A59" s="1" t="s">
        <v>113</v>
      </c>
      <c r="B59" s="1" t="s">
        <v>5</v>
      </c>
      <c r="C59" s="9">
        <v>45917</v>
      </c>
      <c r="D59" s="22">
        <v>256779417434</v>
      </c>
      <c r="E59" s="1" t="s">
        <v>46</v>
      </c>
      <c r="F59" s="10">
        <v>100</v>
      </c>
      <c r="G59" s="1" t="s">
        <v>42</v>
      </c>
      <c r="H59" s="10">
        <v>8751.43</v>
      </c>
      <c r="I59" s="1" t="s">
        <v>114</v>
      </c>
      <c r="J59" s="20" t="e">
        <f>VLOOKUP(D59,#REF!,8,0)</f>
        <v>#REF!</v>
      </c>
      <c r="K59" s="5" t="e">
        <f t="shared" si="4"/>
        <v>#REF!</v>
      </c>
      <c r="L59" s="31" t="e">
        <f t="shared" si="5"/>
        <v>#REF!</v>
      </c>
    </row>
    <row r="60" spans="1:12" x14ac:dyDescent="0.35">
      <c r="A60" s="1" t="s">
        <v>115</v>
      </c>
      <c r="B60" s="1" t="s">
        <v>5</v>
      </c>
      <c r="C60" s="9">
        <v>45937</v>
      </c>
      <c r="D60" s="22">
        <v>256779418169</v>
      </c>
      <c r="E60" s="1" t="s">
        <v>46</v>
      </c>
      <c r="F60" s="10">
        <v>100</v>
      </c>
      <c r="G60" s="1" t="s">
        <v>42</v>
      </c>
      <c r="H60" s="26">
        <v>8819.08</v>
      </c>
      <c r="I60" s="1" t="s">
        <v>116</v>
      </c>
      <c r="J60" t="e">
        <f>VLOOKUP(D60,#REF!,8,0)</f>
        <v>#REF!</v>
      </c>
    </row>
    <row r="61" spans="1:12" x14ac:dyDescent="0.35">
      <c r="A61" s="1" t="s">
        <v>117</v>
      </c>
      <c r="B61" s="1" t="s">
        <v>5</v>
      </c>
      <c r="C61" s="9">
        <v>45937</v>
      </c>
      <c r="D61" s="22">
        <v>256779418170</v>
      </c>
      <c r="E61" s="1" t="s">
        <v>46</v>
      </c>
      <c r="F61" s="10">
        <v>100</v>
      </c>
      <c r="G61" s="1" t="s">
        <v>42</v>
      </c>
      <c r="H61" s="10">
        <v>8819.08</v>
      </c>
      <c r="I61" s="1" t="s">
        <v>116</v>
      </c>
      <c r="J61" s="20" t="e">
        <f>VLOOKUP(D61,#REF!,8,0)</f>
        <v>#REF!</v>
      </c>
      <c r="K61" s="5" t="e">
        <f>H61-J61</f>
        <v>#REF!</v>
      </c>
      <c r="L61" s="31" t="e">
        <f>K61/H61</f>
        <v>#REF!</v>
      </c>
    </row>
    <row r="62" spans="1:12" x14ac:dyDescent="0.35">
      <c r="A62" s="1" t="s">
        <v>118</v>
      </c>
      <c r="B62" s="1" t="s">
        <v>5</v>
      </c>
      <c r="C62" s="9">
        <v>45716</v>
      </c>
      <c r="D62" s="22">
        <v>246779410343</v>
      </c>
      <c r="E62" s="1" t="s">
        <v>46</v>
      </c>
      <c r="F62" s="10">
        <v>1700</v>
      </c>
      <c r="G62" s="1" t="s">
        <v>42</v>
      </c>
      <c r="H62" s="26">
        <v>146716.22</v>
      </c>
      <c r="I62" s="1" t="s">
        <v>119</v>
      </c>
      <c r="J62" t="e">
        <f>VLOOKUP(D62,#REF!,8,0)</f>
        <v>#REF!</v>
      </c>
    </row>
    <row r="63" spans="1:12" x14ac:dyDescent="0.35">
      <c r="A63" s="1" t="s">
        <v>120</v>
      </c>
      <c r="B63" s="1" t="s">
        <v>5</v>
      </c>
      <c r="C63" s="9">
        <v>45716</v>
      </c>
      <c r="D63" s="22">
        <v>246779410350</v>
      </c>
      <c r="E63" s="1" t="s">
        <v>46</v>
      </c>
      <c r="F63" s="10">
        <v>1750</v>
      </c>
      <c r="G63" s="1" t="s">
        <v>42</v>
      </c>
      <c r="H63" s="26">
        <v>151031.41</v>
      </c>
      <c r="I63" s="1" t="s">
        <v>119</v>
      </c>
      <c r="J63" t="e">
        <f>VLOOKUP(D63,#REF!,8,0)</f>
        <v>#REF!</v>
      </c>
    </row>
    <row r="64" spans="1:12" x14ac:dyDescent="0.35">
      <c r="A64" s="1" t="s">
        <v>121</v>
      </c>
      <c r="B64" s="1" t="s">
        <v>5</v>
      </c>
      <c r="C64" s="9">
        <v>45716</v>
      </c>
      <c r="D64" s="22">
        <v>246779410356</v>
      </c>
      <c r="E64" s="1" t="s">
        <v>46</v>
      </c>
      <c r="F64" s="10">
        <v>1750</v>
      </c>
      <c r="G64" s="1" t="s">
        <v>42</v>
      </c>
      <c r="H64" s="26">
        <v>151031.41</v>
      </c>
      <c r="I64" s="1" t="s">
        <v>119</v>
      </c>
      <c r="J64" t="e">
        <f>VLOOKUP(D64,#REF!,8,0)</f>
        <v>#REF!</v>
      </c>
    </row>
    <row r="65" spans="1:12" x14ac:dyDescent="0.35">
      <c r="A65" s="1" t="s">
        <v>122</v>
      </c>
      <c r="B65" s="1" t="s">
        <v>5</v>
      </c>
      <c r="C65" s="9">
        <v>45716</v>
      </c>
      <c r="D65" s="22">
        <v>246779410362</v>
      </c>
      <c r="E65" s="1" t="s">
        <v>46</v>
      </c>
      <c r="F65" s="10">
        <v>1700</v>
      </c>
      <c r="G65" s="1" t="s">
        <v>42</v>
      </c>
      <c r="H65" s="26">
        <v>146716.22</v>
      </c>
      <c r="I65" s="1" t="s">
        <v>119</v>
      </c>
      <c r="J65" t="e">
        <f>VLOOKUP(D65,#REF!,8,0)</f>
        <v>#REF!</v>
      </c>
    </row>
    <row r="66" spans="1:12" x14ac:dyDescent="0.35">
      <c r="A66" s="1" t="s">
        <v>123</v>
      </c>
      <c r="B66" s="1" t="s">
        <v>5</v>
      </c>
      <c r="C66" s="9">
        <v>45722</v>
      </c>
      <c r="D66" s="22">
        <v>246779410871</v>
      </c>
      <c r="E66" s="1" t="s">
        <v>46</v>
      </c>
      <c r="F66" s="10">
        <v>42.51</v>
      </c>
      <c r="G66" s="1" t="s">
        <v>42</v>
      </c>
      <c r="H66" s="10">
        <v>3685.25</v>
      </c>
      <c r="I66" s="1" t="s">
        <v>124</v>
      </c>
      <c r="J66" s="20" t="e">
        <f>VLOOKUP(D66,#REF!,8,0)</f>
        <v>#REF!</v>
      </c>
      <c r="K66" s="5" t="e">
        <f t="shared" ref="K66:K67" si="6">H66-J66</f>
        <v>#REF!</v>
      </c>
      <c r="L66" s="31" t="e">
        <f t="shared" ref="L66:L67" si="7">K66/H66</f>
        <v>#REF!</v>
      </c>
    </row>
    <row r="67" spans="1:12" x14ac:dyDescent="0.35">
      <c r="A67" s="1" t="s">
        <v>125</v>
      </c>
      <c r="B67" s="1" t="s">
        <v>5</v>
      </c>
      <c r="C67" s="9">
        <v>45722</v>
      </c>
      <c r="D67" s="22">
        <v>246779410893</v>
      </c>
      <c r="E67" s="1" t="s">
        <v>46</v>
      </c>
      <c r="F67" s="10">
        <v>177.18</v>
      </c>
      <c r="G67" s="1" t="s">
        <v>42</v>
      </c>
      <c r="H67" s="10">
        <v>15359.96</v>
      </c>
      <c r="I67" s="1" t="s">
        <v>126</v>
      </c>
      <c r="J67" s="20" t="e">
        <f>VLOOKUP(D67,#REF!,8,0)</f>
        <v>#REF!</v>
      </c>
      <c r="K67" s="5" t="e">
        <f t="shared" si="6"/>
        <v>#REF!</v>
      </c>
      <c r="L67" s="31" t="e">
        <f t="shared" si="7"/>
        <v>#REF!</v>
      </c>
    </row>
    <row r="68" spans="1:12" x14ac:dyDescent="0.35">
      <c r="A68" s="1" t="s">
        <v>127</v>
      </c>
      <c r="B68" s="1" t="s">
        <v>4</v>
      </c>
      <c r="C68" s="9">
        <v>45943</v>
      </c>
      <c r="D68" s="22">
        <v>256779421983</v>
      </c>
      <c r="E68" s="1" t="s">
        <v>46</v>
      </c>
      <c r="F68" s="10">
        <v>-930.14</v>
      </c>
      <c r="G68" s="1" t="s">
        <v>42</v>
      </c>
      <c r="H68" s="10">
        <v>-82029.759999999995</v>
      </c>
      <c r="I68" s="1" t="s">
        <v>128</v>
      </c>
      <c r="J68" t="e">
        <f>VLOOKUP(D68,#REF!,8,0)</f>
        <v>#REF!</v>
      </c>
    </row>
    <row r="69" spans="1:12" x14ac:dyDescent="0.35">
      <c r="A69" s="1" t="s">
        <v>129</v>
      </c>
      <c r="B69" s="1" t="s">
        <v>5</v>
      </c>
      <c r="C69" s="9">
        <v>45719</v>
      </c>
      <c r="D69" s="22">
        <v>246779410376</v>
      </c>
      <c r="E69" s="1" t="s">
        <v>46</v>
      </c>
      <c r="F69" s="10">
        <v>711.35</v>
      </c>
      <c r="G69" s="1" t="s">
        <v>42</v>
      </c>
      <c r="H69" s="10">
        <v>61667.83</v>
      </c>
      <c r="I69" s="1" t="s">
        <v>130</v>
      </c>
      <c r="J69" s="20" t="e">
        <f>VLOOKUP(D69,#REF!,8,0)</f>
        <v>#REF!</v>
      </c>
      <c r="K69" s="5" t="e">
        <f t="shared" ref="K69:K106" si="8">H69-J69</f>
        <v>#REF!</v>
      </c>
      <c r="L69" s="31" t="e">
        <f t="shared" ref="L69:L106" si="9">K69/H69</f>
        <v>#REF!</v>
      </c>
    </row>
    <row r="70" spans="1:12" x14ac:dyDescent="0.35">
      <c r="A70" s="1" t="s">
        <v>131</v>
      </c>
      <c r="B70" s="1" t="s">
        <v>5</v>
      </c>
      <c r="C70" s="9">
        <v>45719</v>
      </c>
      <c r="D70" s="22">
        <v>246779410401</v>
      </c>
      <c r="E70" s="1" t="s">
        <v>46</v>
      </c>
      <c r="F70" s="10">
        <v>1298.96</v>
      </c>
      <c r="G70" s="1" t="s">
        <v>42</v>
      </c>
      <c r="H70" s="10">
        <v>112608.48</v>
      </c>
      <c r="I70" s="1" t="s">
        <v>132</v>
      </c>
      <c r="J70" s="20" t="e">
        <f>VLOOKUP(D70,#REF!,8,0)</f>
        <v>#REF!</v>
      </c>
      <c r="K70" s="5" t="e">
        <f t="shared" si="8"/>
        <v>#REF!</v>
      </c>
      <c r="L70" s="31" t="e">
        <f t="shared" si="9"/>
        <v>#REF!</v>
      </c>
    </row>
    <row r="71" spans="1:12" x14ac:dyDescent="0.35">
      <c r="A71" s="1" t="s">
        <v>133</v>
      </c>
      <c r="B71" s="1" t="s">
        <v>5</v>
      </c>
      <c r="C71" s="9">
        <v>45719</v>
      </c>
      <c r="D71" s="22">
        <v>246779410425</v>
      </c>
      <c r="E71" s="1" t="s">
        <v>46</v>
      </c>
      <c r="F71" s="10">
        <v>1687.21</v>
      </c>
      <c r="G71" s="1" t="s">
        <v>42</v>
      </c>
      <c r="H71" s="10">
        <v>146266.35999999999</v>
      </c>
      <c r="I71" s="1" t="s">
        <v>134</v>
      </c>
      <c r="J71" s="20" t="e">
        <f>VLOOKUP(D71,#REF!,8,0)</f>
        <v>#REF!</v>
      </c>
      <c r="K71" s="5" t="e">
        <f t="shared" si="8"/>
        <v>#REF!</v>
      </c>
      <c r="L71" s="31" t="e">
        <f t="shared" si="9"/>
        <v>#REF!</v>
      </c>
    </row>
    <row r="72" spans="1:12" x14ac:dyDescent="0.35">
      <c r="A72" s="1" t="s">
        <v>135</v>
      </c>
      <c r="B72" s="1" t="s">
        <v>5</v>
      </c>
      <c r="C72" s="9">
        <v>45733</v>
      </c>
      <c r="D72" s="22">
        <v>246779411621</v>
      </c>
      <c r="E72" s="1" t="s">
        <v>46</v>
      </c>
      <c r="F72" s="10">
        <v>444.04</v>
      </c>
      <c r="G72" s="1" t="s">
        <v>42</v>
      </c>
      <c r="H72" s="10">
        <v>38494.39</v>
      </c>
      <c r="I72" s="1" t="s">
        <v>136</v>
      </c>
      <c r="J72" s="20" t="e">
        <f>VLOOKUP(D72,#REF!,8,0)</f>
        <v>#REF!</v>
      </c>
      <c r="K72" s="5" t="e">
        <f t="shared" si="8"/>
        <v>#REF!</v>
      </c>
      <c r="L72" s="31" t="e">
        <f t="shared" si="9"/>
        <v>#REF!</v>
      </c>
    </row>
    <row r="73" spans="1:12" x14ac:dyDescent="0.35">
      <c r="A73" s="1" t="s">
        <v>137</v>
      </c>
      <c r="B73" s="1" t="s">
        <v>5</v>
      </c>
      <c r="C73" s="9">
        <v>45733</v>
      </c>
      <c r="D73" s="22">
        <v>246779411760</v>
      </c>
      <c r="E73" s="1" t="s">
        <v>46</v>
      </c>
      <c r="F73" s="10">
        <v>520.16999999999996</v>
      </c>
      <c r="G73" s="1" t="s">
        <v>42</v>
      </c>
      <c r="H73" s="10">
        <v>45094.19</v>
      </c>
      <c r="I73" s="1" t="s">
        <v>138</v>
      </c>
      <c r="J73" s="20" t="e">
        <f>VLOOKUP(D73,#REF!,8,0)</f>
        <v>#REF!</v>
      </c>
      <c r="K73" s="5" t="e">
        <f t="shared" si="8"/>
        <v>#REF!</v>
      </c>
      <c r="L73" s="31" t="e">
        <f t="shared" si="9"/>
        <v>#REF!</v>
      </c>
    </row>
    <row r="74" spans="1:12" x14ac:dyDescent="0.35">
      <c r="A74" s="1" t="s">
        <v>139</v>
      </c>
      <c r="B74" s="1" t="s">
        <v>5</v>
      </c>
      <c r="C74" s="9">
        <v>45733</v>
      </c>
      <c r="D74" s="22">
        <v>246779412066</v>
      </c>
      <c r="E74" s="1" t="s">
        <v>46</v>
      </c>
      <c r="F74" s="10">
        <v>66.5</v>
      </c>
      <c r="G74" s="1" t="s">
        <v>42</v>
      </c>
      <c r="H74" s="10">
        <v>5764.97</v>
      </c>
      <c r="I74" s="1" t="s">
        <v>140</v>
      </c>
      <c r="J74" s="20" t="e">
        <f>VLOOKUP(D74,#REF!,8,0)</f>
        <v>#REF!</v>
      </c>
      <c r="K74" s="5" t="e">
        <f t="shared" si="8"/>
        <v>#REF!</v>
      </c>
      <c r="L74" s="31" t="e">
        <f t="shared" si="9"/>
        <v>#REF!</v>
      </c>
    </row>
    <row r="75" spans="1:12" x14ac:dyDescent="0.35">
      <c r="A75" s="1" t="s">
        <v>141</v>
      </c>
      <c r="B75" s="1" t="s">
        <v>5</v>
      </c>
      <c r="C75" s="9">
        <v>45733</v>
      </c>
      <c r="D75" s="22">
        <v>246779411937</v>
      </c>
      <c r="E75" s="1" t="s">
        <v>46</v>
      </c>
      <c r="F75" s="10">
        <v>7.27</v>
      </c>
      <c r="G75" s="1" t="s">
        <v>42</v>
      </c>
      <c r="H75" s="10">
        <v>630.25</v>
      </c>
      <c r="I75" s="1" t="s">
        <v>142</v>
      </c>
      <c r="J75" s="20" t="e">
        <f>VLOOKUP(D75,#REF!,8,0)</f>
        <v>#REF!</v>
      </c>
      <c r="K75" s="5" t="e">
        <f t="shared" si="8"/>
        <v>#REF!</v>
      </c>
      <c r="L75" s="31" t="e">
        <f t="shared" si="9"/>
        <v>#REF!</v>
      </c>
    </row>
    <row r="76" spans="1:12" x14ac:dyDescent="0.35">
      <c r="A76" s="1" t="s">
        <v>143</v>
      </c>
      <c r="B76" s="1" t="s">
        <v>5</v>
      </c>
      <c r="C76" s="9">
        <v>45733</v>
      </c>
      <c r="D76" s="22">
        <v>246779411938</v>
      </c>
      <c r="E76" s="1" t="s">
        <v>46</v>
      </c>
      <c r="F76" s="10">
        <v>53.26</v>
      </c>
      <c r="G76" s="1" t="s">
        <v>42</v>
      </c>
      <c r="H76" s="10">
        <v>4617.18</v>
      </c>
      <c r="I76" s="1" t="s">
        <v>142</v>
      </c>
      <c r="J76" s="20" t="e">
        <f>VLOOKUP(D76,#REF!,8,0)</f>
        <v>#REF!</v>
      </c>
      <c r="K76" s="5" t="e">
        <f t="shared" si="8"/>
        <v>#REF!</v>
      </c>
      <c r="L76" s="31" t="e">
        <f t="shared" si="9"/>
        <v>#REF!</v>
      </c>
    </row>
    <row r="77" spans="1:12" x14ac:dyDescent="0.35">
      <c r="A77" s="1" t="s">
        <v>144</v>
      </c>
      <c r="B77" s="1" t="s">
        <v>5</v>
      </c>
      <c r="C77" s="9">
        <v>45733</v>
      </c>
      <c r="D77" s="22">
        <v>246779411939</v>
      </c>
      <c r="E77" s="1" t="s">
        <v>46</v>
      </c>
      <c r="F77" s="10">
        <v>23.08</v>
      </c>
      <c r="G77" s="1" t="s">
        <v>42</v>
      </c>
      <c r="H77" s="10">
        <v>2000.83</v>
      </c>
      <c r="I77" s="1" t="s">
        <v>142</v>
      </c>
      <c r="J77" s="20" t="e">
        <f>VLOOKUP(D77,#REF!,8,0)</f>
        <v>#REF!</v>
      </c>
      <c r="K77" s="5" t="e">
        <f t="shared" si="8"/>
        <v>#REF!</v>
      </c>
      <c r="L77" s="31" t="e">
        <f t="shared" si="9"/>
        <v>#REF!</v>
      </c>
    </row>
    <row r="78" spans="1:12" x14ac:dyDescent="0.35">
      <c r="A78" s="1" t="s">
        <v>145</v>
      </c>
      <c r="B78" s="1" t="s">
        <v>5</v>
      </c>
      <c r="C78" s="9">
        <v>45733</v>
      </c>
      <c r="D78" s="22">
        <v>246779411940</v>
      </c>
      <c r="E78" s="1" t="s">
        <v>46</v>
      </c>
      <c r="F78" s="10">
        <v>52.73</v>
      </c>
      <c r="G78" s="1" t="s">
        <v>42</v>
      </c>
      <c r="H78" s="10">
        <v>4571.2299999999996</v>
      </c>
      <c r="I78" s="1" t="s">
        <v>142</v>
      </c>
      <c r="J78" s="20" t="e">
        <f>VLOOKUP(D78,#REF!,8,0)</f>
        <v>#REF!</v>
      </c>
      <c r="K78" s="5" t="e">
        <f t="shared" si="8"/>
        <v>#REF!</v>
      </c>
      <c r="L78" s="31" t="e">
        <f t="shared" si="9"/>
        <v>#REF!</v>
      </c>
    </row>
    <row r="79" spans="1:12" x14ac:dyDescent="0.35">
      <c r="A79" s="1" t="s">
        <v>146</v>
      </c>
      <c r="B79" s="1" t="s">
        <v>5</v>
      </c>
      <c r="C79" s="9">
        <v>45733</v>
      </c>
      <c r="D79" s="22">
        <v>246779411941</v>
      </c>
      <c r="E79" s="1" t="s">
        <v>46</v>
      </c>
      <c r="F79" s="10">
        <v>76.02</v>
      </c>
      <c r="G79" s="1" t="s">
        <v>42</v>
      </c>
      <c r="H79" s="10">
        <v>6590.27</v>
      </c>
      <c r="I79" s="1" t="s">
        <v>142</v>
      </c>
      <c r="J79" s="20" t="e">
        <f>VLOOKUP(D79,#REF!,8,0)</f>
        <v>#REF!</v>
      </c>
      <c r="K79" s="5" t="e">
        <f t="shared" si="8"/>
        <v>#REF!</v>
      </c>
      <c r="L79" s="31" t="e">
        <f t="shared" si="9"/>
        <v>#REF!</v>
      </c>
    </row>
    <row r="80" spans="1:12" x14ac:dyDescent="0.35">
      <c r="A80" s="1" t="s">
        <v>147</v>
      </c>
      <c r="B80" s="1" t="s">
        <v>5</v>
      </c>
      <c r="C80" s="9">
        <v>45762</v>
      </c>
      <c r="D80" s="22">
        <v>256779411152</v>
      </c>
      <c r="E80" s="1" t="s">
        <v>46</v>
      </c>
      <c r="F80" s="10">
        <v>164.38</v>
      </c>
      <c r="G80" s="1" t="s">
        <v>42</v>
      </c>
      <c r="H80" s="10">
        <v>14288.21</v>
      </c>
      <c r="I80" s="1" t="s">
        <v>148</v>
      </c>
      <c r="J80" s="20" t="e">
        <f>VLOOKUP(D80,#REF!,8,0)</f>
        <v>#REF!</v>
      </c>
      <c r="K80" s="5" t="e">
        <f t="shared" si="8"/>
        <v>#REF!</v>
      </c>
      <c r="L80" s="31" t="e">
        <f t="shared" si="9"/>
        <v>#REF!</v>
      </c>
    </row>
    <row r="81" spans="1:12" x14ac:dyDescent="0.35">
      <c r="A81" s="1" t="s">
        <v>149</v>
      </c>
      <c r="B81" s="1" t="s">
        <v>5</v>
      </c>
      <c r="C81" s="9">
        <v>45762</v>
      </c>
      <c r="D81" s="22">
        <v>256779411153</v>
      </c>
      <c r="E81" s="1" t="s">
        <v>46</v>
      </c>
      <c r="F81" s="10">
        <v>26.54</v>
      </c>
      <c r="G81" s="1" t="s">
        <v>42</v>
      </c>
      <c r="H81" s="10">
        <v>2306.91</v>
      </c>
      <c r="I81" s="1" t="s">
        <v>150</v>
      </c>
      <c r="J81" s="20" t="e">
        <f>VLOOKUP(D81,#REF!,8,0)</f>
        <v>#REF!</v>
      </c>
      <c r="K81" s="5" t="e">
        <f t="shared" si="8"/>
        <v>#REF!</v>
      </c>
      <c r="L81" s="31" t="e">
        <f t="shared" si="9"/>
        <v>#REF!</v>
      </c>
    </row>
    <row r="82" spans="1:12" x14ac:dyDescent="0.35">
      <c r="A82" s="1" t="s">
        <v>151</v>
      </c>
      <c r="B82" s="1" t="s">
        <v>5</v>
      </c>
      <c r="C82" s="9">
        <v>45762</v>
      </c>
      <c r="D82" s="22">
        <v>256779411154</v>
      </c>
      <c r="E82" s="1" t="s">
        <v>46</v>
      </c>
      <c r="F82" s="10">
        <v>84.26</v>
      </c>
      <c r="G82" s="1" t="s">
        <v>42</v>
      </c>
      <c r="H82" s="10">
        <v>7324.03</v>
      </c>
      <c r="I82" s="1" t="s">
        <v>150</v>
      </c>
      <c r="J82" s="20" t="e">
        <f>VLOOKUP(D82,#REF!,8,0)</f>
        <v>#REF!</v>
      </c>
      <c r="K82" s="5" t="e">
        <f t="shared" si="8"/>
        <v>#REF!</v>
      </c>
      <c r="L82" s="31" t="e">
        <f t="shared" si="9"/>
        <v>#REF!</v>
      </c>
    </row>
    <row r="83" spans="1:12" x14ac:dyDescent="0.35">
      <c r="A83" s="1" t="s">
        <v>152</v>
      </c>
      <c r="B83" s="1" t="s">
        <v>5</v>
      </c>
      <c r="C83" s="9">
        <v>45762</v>
      </c>
      <c r="D83" s="22">
        <v>256779411155</v>
      </c>
      <c r="E83" s="1" t="s">
        <v>46</v>
      </c>
      <c r="F83" s="10">
        <v>36.9</v>
      </c>
      <c r="G83" s="1" t="s">
        <v>42</v>
      </c>
      <c r="H83" s="10">
        <v>3207.42</v>
      </c>
      <c r="I83" s="1" t="s">
        <v>153</v>
      </c>
      <c r="J83" s="20" t="e">
        <f>VLOOKUP(D83,#REF!,8,0)</f>
        <v>#REF!</v>
      </c>
      <c r="K83" s="5" t="e">
        <f t="shared" si="8"/>
        <v>#REF!</v>
      </c>
      <c r="L83" s="31" t="e">
        <f t="shared" si="9"/>
        <v>#REF!</v>
      </c>
    </row>
    <row r="84" spans="1:12" x14ac:dyDescent="0.35">
      <c r="A84" s="1" t="s">
        <v>154</v>
      </c>
      <c r="B84" s="1" t="s">
        <v>5</v>
      </c>
      <c r="C84" s="9">
        <v>45762</v>
      </c>
      <c r="D84" s="22">
        <v>256779411156</v>
      </c>
      <c r="E84" s="1" t="s">
        <v>46</v>
      </c>
      <c r="F84" s="10">
        <v>20.23</v>
      </c>
      <c r="G84" s="1" t="s">
        <v>42</v>
      </c>
      <c r="H84" s="10">
        <v>1758.43</v>
      </c>
      <c r="I84" s="1" t="s">
        <v>153</v>
      </c>
      <c r="J84" s="20" t="e">
        <f>VLOOKUP(D84,#REF!,8,0)</f>
        <v>#REF!</v>
      </c>
      <c r="K84" s="5" t="e">
        <f t="shared" si="8"/>
        <v>#REF!</v>
      </c>
      <c r="L84" s="31" t="e">
        <f t="shared" si="9"/>
        <v>#REF!</v>
      </c>
    </row>
    <row r="85" spans="1:12" x14ac:dyDescent="0.35">
      <c r="A85" s="1" t="s">
        <v>155</v>
      </c>
      <c r="B85" s="1" t="s">
        <v>5</v>
      </c>
      <c r="C85" s="9">
        <v>45762</v>
      </c>
      <c r="D85" s="22">
        <v>256779411157</v>
      </c>
      <c r="E85" s="1" t="s">
        <v>46</v>
      </c>
      <c r="F85" s="10">
        <v>116.32</v>
      </c>
      <c r="G85" s="1" t="s">
        <v>42</v>
      </c>
      <c r="H85" s="10">
        <v>10110.75</v>
      </c>
      <c r="I85" s="1" t="s">
        <v>153</v>
      </c>
      <c r="J85" s="20" t="e">
        <f>VLOOKUP(D85,#REF!,8,0)</f>
        <v>#REF!</v>
      </c>
      <c r="K85" s="5" t="e">
        <f t="shared" si="8"/>
        <v>#REF!</v>
      </c>
      <c r="L85" s="31" t="e">
        <f t="shared" si="9"/>
        <v>#REF!</v>
      </c>
    </row>
    <row r="86" spans="1:12" x14ac:dyDescent="0.35">
      <c r="A86" s="1" t="s">
        <v>156</v>
      </c>
      <c r="B86" s="1" t="s">
        <v>5</v>
      </c>
      <c r="C86" s="9">
        <v>45762</v>
      </c>
      <c r="D86" s="22">
        <v>256779411565</v>
      </c>
      <c r="E86" s="1" t="s">
        <v>46</v>
      </c>
      <c r="F86" s="10">
        <v>22</v>
      </c>
      <c r="G86" s="1" t="s">
        <v>42</v>
      </c>
      <c r="H86" s="10">
        <v>1912.28</v>
      </c>
      <c r="I86" s="1" t="s">
        <v>157</v>
      </c>
      <c r="J86" s="20" t="e">
        <f>VLOOKUP(D86,#REF!,8,0)</f>
        <v>#REF!</v>
      </c>
      <c r="K86" s="5" t="e">
        <f t="shared" si="8"/>
        <v>#REF!</v>
      </c>
      <c r="L86" s="31" t="e">
        <f t="shared" si="9"/>
        <v>#REF!</v>
      </c>
    </row>
    <row r="87" spans="1:12" x14ac:dyDescent="0.35">
      <c r="A87" s="1" t="s">
        <v>158</v>
      </c>
      <c r="B87" s="1" t="s">
        <v>5</v>
      </c>
      <c r="C87" s="9">
        <v>45762</v>
      </c>
      <c r="D87" s="22">
        <v>256779411566</v>
      </c>
      <c r="E87" s="1" t="s">
        <v>46</v>
      </c>
      <c r="F87" s="10">
        <v>4.4000000000000004</v>
      </c>
      <c r="G87" s="1" t="s">
        <v>42</v>
      </c>
      <c r="H87" s="10">
        <v>382.46</v>
      </c>
      <c r="I87" s="1" t="s">
        <v>157</v>
      </c>
      <c r="J87" s="20" t="e">
        <f>VLOOKUP(D87,#REF!,8,0)</f>
        <v>#REF!</v>
      </c>
      <c r="K87" s="5" t="e">
        <f t="shared" si="8"/>
        <v>#REF!</v>
      </c>
      <c r="L87" s="31" t="e">
        <f t="shared" si="9"/>
        <v>#REF!</v>
      </c>
    </row>
    <row r="88" spans="1:12" x14ac:dyDescent="0.35">
      <c r="A88" s="1" t="s">
        <v>159</v>
      </c>
      <c r="B88" s="1" t="s">
        <v>5</v>
      </c>
      <c r="C88" s="9">
        <v>45762</v>
      </c>
      <c r="D88" s="22">
        <v>256779411567</v>
      </c>
      <c r="E88" s="1" t="s">
        <v>46</v>
      </c>
      <c r="F88" s="10">
        <v>5.84</v>
      </c>
      <c r="G88" s="1" t="s">
        <v>42</v>
      </c>
      <c r="H88" s="10">
        <v>507.62</v>
      </c>
      <c r="I88" s="1" t="s">
        <v>157</v>
      </c>
      <c r="J88" s="20" t="e">
        <f>VLOOKUP(D88,#REF!,8,0)</f>
        <v>#REF!</v>
      </c>
      <c r="K88" s="5" t="e">
        <f t="shared" si="8"/>
        <v>#REF!</v>
      </c>
      <c r="L88" s="31" t="e">
        <f t="shared" si="9"/>
        <v>#REF!</v>
      </c>
    </row>
    <row r="89" spans="1:12" x14ac:dyDescent="0.35">
      <c r="A89" s="1" t="s">
        <v>160</v>
      </c>
      <c r="B89" s="1" t="s">
        <v>5</v>
      </c>
      <c r="C89" s="9">
        <v>45762</v>
      </c>
      <c r="D89" s="22">
        <v>256779411568</v>
      </c>
      <c r="E89" s="1" t="s">
        <v>46</v>
      </c>
      <c r="F89" s="10">
        <v>0.8</v>
      </c>
      <c r="G89" s="1" t="s">
        <v>42</v>
      </c>
      <c r="H89" s="10">
        <v>69.540000000000006</v>
      </c>
      <c r="I89" s="1" t="s">
        <v>157</v>
      </c>
      <c r="J89" s="20" t="e">
        <f>VLOOKUP(D89,#REF!,8,0)</f>
        <v>#REF!</v>
      </c>
      <c r="K89" s="5" t="e">
        <f t="shared" si="8"/>
        <v>#REF!</v>
      </c>
      <c r="L89" s="31" t="e">
        <f t="shared" si="9"/>
        <v>#REF!</v>
      </c>
    </row>
    <row r="90" spans="1:12" x14ac:dyDescent="0.35">
      <c r="A90" s="1" t="s">
        <v>161</v>
      </c>
      <c r="B90" s="1" t="s">
        <v>5</v>
      </c>
      <c r="C90" s="9">
        <v>45762</v>
      </c>
      <c r="D90" s="22">
        <v>256779411569</v>
      </c>
      <c r="E90" s="1" t="s">
        <v>46</v>
      </c>
      <c r="F90" s="10">
        <v>13.85</v>
      </c>
      <c r="G90" s="1" t="s">
        <v>42</v>
      </c>
      <c r="H90" s="10">
        <v>1203.8699999999999</v>
      </c>
      <c r="I90" s="1" t="s">
        <v>157</v>
      </c>
      <c r="J90" s="20" t="e">
        <f>VLOOKUP(D90,#REF!,8,0)</f>
        <v>#REF!</v>
      </c>
      <c r="K90" s="5" t="e">
        <f t="shared" si="8"/>
        <v>#REF!</v>
      </c>
      <c r="L90" s="31" t="e">
        <f t="shared" si="9"/>
        <v>#REF!</v>
      </c>
    </row>
    <row r="91" spans="1:12" x14ac:dyDescent="0.35">
      <c r="A91" s="1" t="s">
        <v>162</v>
      </c>
      <c r="B91" s="1" t="s">
        <v>5</v>
      </c>
      <c r="C91" s="9">
        <v>45762</v>
      </c>
      <c r="D91" s="22">
        <v>256779411570</v>
      </c>
      <c r="E91" s="1" t="s">
        <v>46</v>
      </c>
      <c r="F91" s="10">
        <v>18.149999999999999</v>
      </c>
      <c r="G91" s="1" t="s">
        <v>42</v>
      </c>
      <c r="H91" s="10">
        <v>1577.63</v>
      </c>
      <c r="I91" s="1" t="s">
        <v>157</v>
      </c>
      <c r="J91" s="20" t="e">
        <f>VLOOKUP(D91,#REF!,8,0)</f>
        <v>#REF!</v>
      </c>
      <c r="K91" s="5" t="e">
        <f t="shared" si="8"/>
        <v>#REF!</v>
      </c>
      <c r="L91" s="31" t="e">
        <f t="shared" si="9"/>
        <v>#REF!</v>
      </c>
    </row>
    <row r="92" spans="1:12" x14ac:dyDescent="0.35">
      <c r="A92" s="1" t="s">
        <v>163</v>
      </c>
      <c r="B92" s="1" t="s">
        <v>5</v>
      </c>
      <c r="C92" s="9">
        <v>45762</v>
      </c>
      <c r="D92" s="22">
        <v>256779411571</v>
      </c>
      <c r="E92" s="1" t="s">
        <v>46</v>
      </c>
      <c r="F92" s="10">
        <v>21.36</v>
      </c>
      <c r="G92" s="1" t="s">
        <v>42</v>
      </c>
      <c r="H92" s="10">
        <v>1856.65</v>
      </c>
      <c r="I92" s="1" t="s">
        <v>157</v>
      </c>
      <c r="J92" s="20" t="e">
        <f>VLOOKUP(D92,#REF!,8,0)</f>
        <v>#REF!</v>
      </c>
      <c r="K92" s="5" t="e">
        <f t="shared" si="8"/>
        <v>#REF!</v>
      </c>
      <c r="L92" s="31" t="e">
        <f t="shared" si="9"/>
        <v>#REF!</v>
      </c>
    </row>
    <row r="93" spans="1:12" x14ac:dyDescent="0.35">
      <c r="A93" s="1" t="s">
        <v>164</v>
      </c>
      <c r="B93" s="1" t="s">
        <v>5</v>
      </c>
      <c r="C93" s="9">
        <v>45762</v>
      </c>
      <c r="D93" s="22">
        <v>256779411572</v>
      </c>
      <c r="E93" s="1" t="s">
        <v>46</v>
      </c>
      <c r="F93" s="10">
        <v>1.97</v>
      </c>
      <c r="G93" s="1" t="s">
        <v>42</v>
      </c>
      <c r="H93" s="10">
        <v>171.24</v>
      </c>
      <c r="I93" s="1" t="s">
        <v>157</v>
      </c>
      <c r="J93" s="20" t="e">
        <f>VLOOKUP(D93,#REF!,8,0)</f>
        <v>#REF!</v>
      </c>
      <c r="K93" s="5" t="e">
        <f t="shared" si="8"/>
        <v>#REF!</v>
      </c>
      <c r="L93" s="31" t="e">
        <f t="shared" si="9"/>
        <v>#REF!</v>
      </c>
    </row>
    <row r="94" spans="1:12" x14ac:dyDescent="0.35">
      <c r="A94" s="1" t="s">
        <v>165</v>
      </c>
      <c r="B94" s="1" t="s">
        <v>5</v>
      </c>
      <c r="C94" s="9">
        <v>45762</v>
      </c>
      <c r="D94" s="22">
        <v>256779411573</v>
      </c>
      <c r="E94" s="1" t="s">
        <v>46</v>
      </c>
      <c r="F94" s="10">
        <v>24.21</v>
      </c>
      <c r="G94" s="1" t="s">
        <v>42</v>
      </c>
      <c r="H94" s="10">
        <v>2104.38</v>
      </c>
      <c r="I94" s="1" t="s">
        <v>157</v>
      </c>
      <c r="J94" s="20" t="e">
        <f>VLOOKUP(D94,#REF!,8,0)</f>
        <v>#REF!</v>
      </c>
      <c r="K94" s="5" t="e">
        <f t="shared" si="8"/>
        <v>#REF!</v>
      </c>
      <c r="L94" s="31" t="e">
        <f t="shared" si="9"/>
        <v>#REF!</v>
      </c>
    </row>
    <row r="95" spans="1:12" x14ac:dyDescent="0.35">
      <c r="A95" s="1" t="s">
        <v>166</v>
      </c>
      <c r="B95" s="1" t="s">
        <v>5</v>
      </c>
      <c r="C95" s="9">
        <v>45762</v>
      </c>
      <c r="D95" s="22">
        <v>256779411574</v>
      </c>
      <c r="E95" s="1" t="s">
        <v>46</v>
      </c>
      <c r="F95" s="10">
        <v>14.7</v>
      </c>
      <c r="G95" s="1" t="s">
        <v>42</v>
      </c>
      <c r="H95" s="10">
        <v>1277.75</v>
      </c>
      <c r="I95" s="1" t="s">
        <v>157</v>
      </c>
      <c r="J95" s="20" t="e">
        <f>VLOOKUP(D95,#REF!,8,0)</f>
        <v>#REF!</v>
      </c>
      <c r="K95" s="5" t="e">
        <f t="shared" si="8"/>
        <v>#REF!</v>
      </c>
      <c r="L95" s="31" t="e">
        <f t="shared" si="9"/>
        <v>#REF!</v>
      </c>
    </row>
    <row r="96" spans="1:12" x14ac:dyDescent="0.35">
      <c r="A96" s="1" t="s">
        <v>167</v>
      </c>
      <c r="B96" s="1" t="s">
        <v>5</v>
      </c>
      <c r="C96" s="9">
        <v>45762</v>
      </c>
      <c r="D96" s="22">
        <v>256779411575</v>
      </c>
      <c r="E96" s="1" t="s">
        <v>46</v>
      </c>
      <c r="F96" s="10">
        <v>22.35</v>
      </c>
      <c r="G96" s="1" t="s">
        <v>42</v>
      </c>
      <c r="H96" s="10">
        <v>1942.7</v>
      </c>
      <c r="I96" s="1" t="s">
        <v>157</v>
      </c>
      <c r="J96" s="20" t="e">
        <f>VLOOKUP(D96,#REF!,8,0)</f>
        <v>#REF!</v>
      </c>
      <c r="K96" s="5" t="e">
        <f t="shared" si="8"/>
        <v>#REF!</v>
      </c>
      <c r="L96" s="31" t="e">
        <f t="shared" si="9"/>
        <v>#REF!</v>
      </c>
    </row>
    <row r="97" spans="1:12" x14ac:dyDescent="0.35">
      <c r="A97" s="1" t="s">
        <v>168</v>
      </c>
      <c r="B97" s="1" t="s">
        <v>5</v>
      </c>
      <c r="C97" s="9">
        <v>45762</v>
      </c>
      <c r="D97" s="22">
        <v>256779411576</v>
      </c>
      <c r="E97" s="1" t="s">
        <v>46</v>
      </c>
      <c r="F97" s="10">
        <v>21.52</v>
      </c>
      <c r="G97" s="1" t="s">
        <v>42</v>
      </c>
      <c r="H97" s="10">
        <v>1870.56</v>
      </c>
      <c r="I97" s="1" t="s">
        <v>157</v>
      </c>
      <c r="J97" s="20" t="e">
        <f>VLOOKUP(D97,#REF!,8,0)</f>
        <v>#REF!</v>
      </c>
      <c r="K97" s="5" t="e">
        <f t="shared" si="8"/>
        <v>#REF!</v>
      </c>
      <c r="L97" s="31" t="e">
        <f t="shared" si="9"/>
        <v>#REF!</v>
      </c>
    </row>
    <row r="98" spans="1:12" x14ac:dyDescent="0.35">
      <c r="A98" s="1" t="s">
        <v>169</v>
      </c>
      <c r="B98" s="1" t="s">
        <v>5</v>
      </c>
      <c r="C98" s="9">
        <v>45762</v>
      </c>
      <c r="D98" s="22">
        <v>256779411577</v>
      </c>
      <c r="E98" s="1" t="s">
        <v>46</v>
      </c>
      <c r="F98" s="10">
        <v>1.54</v>
      </c>
      <c r="G98" s="1" t="s">
        <v>42</v>
      </c>
      <c r="H98" s="10">
        <v>133.86000000000001</v>
      </c>
      <c r="I98" s="1" t="s">
        <v>157</v>
      </c>
      <c r="J98" s="20" t="e">
        <f>VLOOKUP(D98,#REF!,8,0)</f>
        <v>#REF!</v>
      </c>
      <c r="K98" s="5" t="e">
        <f t="shared" si="8"/>
        <v>#REF!</v>
      </c>
      <c r="L98" s="31" t="e">
        <f t="shared" si="9"/>
        <v>#REF!</v>
      </c>
    </row>
    <row r="99" spans="1:12" x14ac:dyDescent="0.35">
      <c r="A99" s="1" t="s">
        <v>170</v>
      </c>
      <c r="B99" s="1" t="s">
        <v>5</v>
      </c>
      <c r="C99" s="9">
        <v>45762</v>
      </c>
      <c r="D99" s="22">
        <v>256779411578</v>
      </c>
      <c r="E99" s="1" t="s">
        <v>46</v>
      </c>
      <c r="F99" s="10">
        <v>7.19</v>
      </c>
      <c r="G99" s="1" t="s">
        <v>42</v>
      </c>
      <c r="H99" s="10">
        <v>624.97</v>
      </c>
      <c r="I99" s="1" t="s">
        <v>157</v>
      </c>
      <c r="J99" s="20" t="e">
        <f>VLOOKUP(D99,#REF!,8,0)</f>
        <v>#REF!</v>
      </c>
      <c r="K99" s="5" t="e">
        <f t="shared" si="8"/>
        <v>#REF!</v>
      </c>
      <c r="L99" s="31" t="e">
        <f t="shared" si="9"/>
        <v>#REF!</v>
      </c>
    </row>
    <row r="100" spans="1:12" x14ac:dyDescent="0.35">
      <c r="A100" s="1" t="s">
        <v>171</v>
      </c>
      <c r="B100" s="1" t="s">
        <v>5</v>
      </c>
      <c r="C100" s="9">
        <v>45762</v>
      </c>
      <c r="D100" s="22">
        <v>256779411579</v>
      </c>
      <c r="E100" s="1" t="s">
        <v>46</v>
      </c>
      <c r="F100" s="10">
        <v>4.8499999999999996</v>
      </c>
      <c r="G100" s="1" t="s">
        <v>42</v>
      </c>
      <c r="H100" s="10">
        <v>421.57</v>
      </c>
      <c r="I100" s="1" t="s">
        <v>157</v>
      </c>
      <c r="J100" s="20" t="e">
        <f>VLOOKUP(D100,#REF!,8,0)</f>
        <v>#REF!</v>
      </c>
      <c r="K100" s="5" t="e">
        <f t="shared" si="8"/>
        <v>#REF!</v>
      </c>
      <c r="L100" s="31" t="e">
        <f t="shared" si="9"/>
        <v>#REF!</v>
      </c>
    </row>
    <row r="101" spans="1:12" x14ac:dyDescent="0.35">
      <c r="A101" s="1" t="s">
        <v>172</v>
      </c>
      <c r="B101" s="1" t="s">
        <v>5</v>
      </c>
      <c r="C101" s="9">
        <v>45762</v>
      </c>
      <c r="D101" s="22">
        <v>256779411580</v>
      </c>
      <c r="E101" s="1" t="s">
        <v>46</v>
      </c>
      <c r="F101" s="10">
        <v>21.76</v>
      </c>
      <c r="G101" s="1" t="s">
        <v>42</v>
      </c>
      <c r="H101" s="10">
        <v>1891.42</v>
      </c>
      <c r="I101" s="1" t="s">
        <v>157</v>
      </c>
      <c r="J101" s="20" t="e">
        <f>VLOOKUP(D101,#REF!,8,0)</f>
        <v>#REF!</v>
      </c>
      <c r="K101" s="5" t="e">
        <f t="shared" si="8"/>
        <v>#REF!</v>
      </c>
      <c r="L101" s="31" t="e">
        <f t="shared" si="9"/>
        <v>#REF!</v>
      </c>
    </row>
    <row r="102" spans="1:12" x14ac:dyDescent="0.35">
      <c r="A102" s="1" t="s">
        <v>173</v>
      </c>
      <c r="B102" s="1" t="s">
        <v>5</v>
      </c>
      <c r="C102" s="9">
        <v>45762</v>
      </c>
      <c r="D102" s="22">
        <v>256779411581</v>
      </c>
      <c r="E102" s="1" t="s">
        <v>46</v>
      </c>
      <c r="F102" s="10">
        <v>2.2000000000000002</v>
      </c>
      <c r="G102" s="1" t="s">
        <v>42</v>
      </c>
      <c r="H102" s="10">
        <v>191.23</v>
      </c>
      <c r="I102" s="1" t="s">
        <v>157</v>
      </c>
      <c r="J102" s="20" t="e">
        <f>VLOOKUP(D102,#REF!,8,0)</f>
        <v>#REF!</v>
      </c>
      <c r="K102" s="5" t="e">
        <f t="shared" si="8"/>
        <v>#REF!</v>
      </c>
      <c r="L102" s="31" t="e">
        <f t="shared" si="9"/>
        <v>#REF!</v>
      </c>
    </row>
    <row r="103" spans="1:12" x14ac:dyDescent="0.35">
      <c r="A103" s="1" t="s">
        <v>174</v>
      </c>
      <c r="B103" s="1" t="s">
        <v>5</v>
      </c>
      <c r="C103" s="9">
        <v>45762</v>
      </c>
      <c r="D103" s="22">
        <v>256779411582</v>
      </c>
      <c r="E103" s="1" t="s">
        <v>46</v>
      </c>
      <c r="F103" s="10">
        <v>1.1100000000000001</v>
      </c>
      <c r="G103" s="1" t="s">
        <v>42</v>
      </c>
      <c r="H103" s="10">
        <v>96.48</v>
      </c>
      <c r="I103" s="1" t="s">
        <v>157</v>
      </c>
      <c r="J103" s="20" t="e">
        <f>VLOOKUP(D103,#REF!,8,0)</f>
        <v>#REF!</v>
      </c>
      <c r="K103" s="5" t="e">
        <f t="shared" si="8"/>
        <v>#REF!</v>
      </c>
      <c r="L103" s="31" t="e">
        <f t="shared" si="9"/>
        <v>#REF!</v>
      </c>
    </row>
    <row r="104" spans="1:12" x14ac:dyDescent="0.35">
      <c r="A104" s="1" t="s">
        <v>175</v>
      </c>
      <c r="B104" s="1" t="s">
        <v>5</v>
      </c>
      <c r="C104" s="9">
        <v>45762</v>
      </c>
      <c r="D104" s="22">
        <v>256779411583</v>
      </c>
      <c r="E104" s="1" t="s">
        <v>46</v>
      </c>
      <c r="F104" s="10">
        <v>11</v>
      </c>
      <c r="G104" s="1" t="s">
        <v>42</v>
      </c>
      <c r="H104" s="10">
        <v>956.14</v>
      </c>
      <c r="I104" s="1" t="s">
        <v>157</v>
      </c>
      <c r="J104" s="20" t="e">
        <f>VLOOKUP(D104,#REF!,8,0)</f>
        <v>#REF!</v>
      </c>
      <c r="K104" s="5" t="e">
        <f t="shared" si="8"/>
        <v>#REF!</v>
      </c>
      <c r="L104" s="31" t="e">
        <f t="shared" si="9"/>
        <v>#REF!</v>
      </c>
    </row>
    <row r="105" spans="1:12" x14ac:dyDescent="0.35">
      <c r="A105" s="1" t="s">
        <v>176</v>
      </c>
      <c r="B105" s="1" t="s">
        <v>5</v>
      </c>
      <c r="C105" s="9">
        <v>45762</v>
      </c>
      <c r="D105" s="22">
        <v>256779411584</v>
      </c>
      <c r="E105" s="1" t="s">
        <v>46</v>
      </c>
      <c r="F105" s="10">
        <v>23.21</v>
      </c>
      <c r="G105" s="1" t="s">
        <v>42</v>
      </c>
      <c r="H105" s="10">
        <v>2017.46</v>
      </c>
      <c r="I105" s="1" t="s">
        <v>157</v>
      </c>
      <c r="J105" s="20" t="e">
        <f>VLOOKUP(D105,#REF!,8,0)</f>
        <v>#REF!</v>
      </c>
      <c r="K105" s="5" t="e">
        <f t="shared" si="8"/>
        <v>#REF!</v>
      </c>
      <c r="L105" s="31" t="e">
        <f t="shared" si="9"/>
        <v>#REF!</v>
      </c>
    </row>
    <row r="106" spans="1:12" x14ac:dyDescent="0.35">
      <c r="A106" s="1" t="s">
        <v>177</v>
      </c>
      <c r="B106" s="1" t="s">
        <v>5</v>
      </c>
      <c r="C106" s="9">
        <v>45762</v>
      </c>
      <c r="D106" s="22">
        <v>256779411585</v>
      </c>
      <c r="E106" s="1" t="s">
        <v>46</v>
      </c>
      <c r="F106" s="10">
        <v>7.81</v>
      </c>
      <c r="G106" s="1" t="s">
        <v>42</v>
      </c>
      <c r="H106" s="10">
        <v>678.86</v>
      </c>
      <c r="I106" s="1" t="s">
        <v>157</v>
      </c>
      <c r="J106" s="20" t="e">
        <f>VLOOKUP(D106,#REF!,8,0)</f>
        <v>#REF!</v>
      </c>
      <c r="K106" s="5" t="e">
        <f t="shared" si="8"/>
        <v>#REF!</v>
      </c>
      <c r="L106" s="31" t="e">
        <f t="shared" si="9"/>
        <v>#REF!</v>
      </c>
    </row>
    <row r="107" spans="1:12" x14ac:dyDescent="0.35">
      <c r="A107" s="1" t="s">
        <v>178</v>
      </c>
      <c r="B107" s="1" t="s">
        <v>4</v>
      </c>
      <c r="C107" s="9">
        <v>45947</v>
      </c>
      <c r="D107" s="22">
        <v>256779422014</v>
      </c>
      <c r="E107" s="1" t="s">
        <v>46</v>
      </c>
      <c r="F107" s="10">
        <v>-136.47999999999999</v>
      </c>
      <c r="G107" s="1" t="s">
        <v>42</v>
      </c>
      <c r="H107" s="10">
        <v>-12036.28</v>
      </c>
      <c r="I107" s="1" t="s">
        <v>179</v>
      </c>
      <c r="J107" t="e">
        <f>VLOOKUP(D107,#REF!,8,0)</f>
        <v>#REF!</v>
      </c>
    </row>
    <row r="108" spans="1:12" x14ac:dyDescent="0.35">
      <c r="A108" s="1" t="s">
        <v>180</v>
      </c>
      <c r="B108" s="1" t="s">
        <v>5</v>
      </c>
      <c r="C108" s="9">
        <v>45763</v>
      </c>
      <c r="D108" s="22">
        <v>256779411887</v>
      </c>
      <c r="E108" s="1" t="s">
        <v>46</v>
      </c>
      <c r="F108" s="10">
        <v>71.22</v>
      </c>
      <c r="G108" s="1" t="s">
        <v>42</v>
      </c>
      <c r="H108" s="10">
        <v>6190.57</v>
      </c>
      <c r="I108" s="1" t="s">
        <v>181</v>
      </c>
      <c r="J108" s="20" t="e">
        <f>VLOOKUP(D108,#REF!,8,0)</f>
        <v>#REF!</v>
      </c>
      <c r="K108" s="5" t="e">
        <f t="shared" ref="K108:K123" si="10">H108-J108</f>
        <v>#REF!</v>
      </c>
      <c r="L108" s="31" t="e">
        <f t="shared" ref="L108:L123" si="11">K108/H108</f>
        <v>#REF!</v>
      </c>
    </row>
    <row r="109" spans="1:12" x14ac:dyDescent="0.35">
      <c r="A109" s="1" t="s">
        <v>182</v>
      </c>
      <c r="B109" s="1" t="s">
        <v>5</v>
      </c>
      <c r="C109" s="9">
        <v>45763</v>
      </c>
      <c r="D109" s="22">
        <v>256779411984</v>
      </c>
      <c r="E109" s="1" t="s">
        <v>46</v>
      </c>
      <c r="F109" s="10">
        <v>39.54</v>
      </c>
      <c r="G109" s="1" t="s">
        <v>42</v>
      </c>
      <c r="H109" s="10">
        <v>3436.89</v>
      </c>
      <c r="I109" s="1" t="s">
        <v>183</v>
      </c>
      <c r="J109" s="20" t="e">
        <f>VLOOKUP(D109,#REF!,8,0)</f>
        <v>#REF!</v>
      </c>
      <c r="K109" s="5" t="e">
        <f t="shared" si="10"/>
        <v>#REF!</v>
      </c>
      <c r="L109" s="31" t="e">
        <f t="shared" si="11"/>
        <v>#REF!</v>
      </c>
    </row>
    <row r="110" spans="1:12" x14ac:dyDescent="0.35">
      <c r="A110" s="1" t="s">
        <v>184</v>
      </c>
      <c r="B110" s="1" t="s">
        <v>5</v>
      </c>
      <c r="C110" s="9">
        <v>45763</v>
      </c>
      <c r="D110" s="22">
        <v>256779412020</v>
      </c>
      <c r="E110" s="1" t="s">
        <v>46</v>
      </c>
      <c r="F110" s="10">
        <v>85.21</v>
      </c>
      <c r="G110" s="1" t="s">
        <v>42</v>
      </c>
      <c r="H110" s="10">
        <v>7406.61</v>
      </c>
      <c r="I110" s="1" t="s">
        <v>185</v>
      </c>
      <c r="J110" s="20" t="e">
        <f>VLOOKUP(D110,#REF!,8,0)</f>
        <v>#REF!</v>
      </c>
      <c r="K110" s="5" t="e">
        <f t="shared" si="10"/>
        <v>#REF!</v>
      </c>
      <c r="L110" s="31" t="e">
        <f t="shared" si="11"/>
        <v>#REF!</v>
      </c>
    </row>
    <row r="111" spans="1:12" x14ac:dyDescent="0.35">
      <c r="A111" s="1" t="s">
        <v>186</v>
      </c>
      <c r="B111" s="1" t="s">
        <v>5</v>
      </c>
      <c r="C111" s="9">
        <v>45763</v>
      </c>
      <c r="D111" s="22">
        <v>256779412101</v>
      </c>
      <c r="E111" s="1" t="s">
        <v>46</v>
      </c>
      <c r="F111" s="10">
        <v>171.71</v>
      </c>
      <c r="G111" s="1" t="s">
        <v>42</v>
      </c>
      <c r="H111" s="10">
        <v>14925.35</v>
      </c>
      <c r="I111" s="1" t="s">
        <v>187</v>
      </c>
      <c r="J111" s="20" t="e">
        <f>VLOOKUP(D111,#REF!,8,0)</f>
        <v>#REF!</v>
      </c>
      <c r="K111" s="5" t="e">
        <f t="shared" si="10"/>
        <v>#REF!</v>
      </c>
      <c r="L111" s="31" t="e">
        <f t="shared" si="11"/>
        <v>#REF!</v>
      </c>
    </row>
    <row r="112" spans="1:12" x14ac:dyDescent="0.35">
      <c r="A112" s="1" t="s">
        <v>188</v>
      </c>
      <c r="B112" s="1" t="s">
        <v>5</v>
      </c>
      <c r="C112" s="9">
        <v>45763</v>
      </c>
      <c r="D112" s="22">
        <v>256779412126</v>
      </c>
      <c r="E112" s="1" t="s">
        <v>46</v>
      </c>
      <c r="F112" s="10">
        <v>500.58</v>
      </c>
      <c r="G112" s="1" t="s">
        <v>42</v>
      </c>
      <c r="H112" s="10">
        <v>43511.32</v>
      </c>
      <c r="I112" s="1" t="s">
        <v>189</v>
      </c>
      <c r="J112" s="20" t="e">
        <f>VLOOKUP(D112,#REF!,8,0)</f>
        <v>#REF!</v>
      </c>
      <c r="K112" s="5" t="e">
        <f t="shared" si="10"/>
        <v>#REF!</v>
      </c>
      <c r="L112" s="31" t="e">
        <f t="shared" si="11"/>
        <v>#REF!</v>
      </c>
    </row>
    <row r="113" spans="1:12" x14ac:dyDescent="0.35">
      <c r="A113" s="1" t="s">
        <v>190</v>
      </c>
      <c r="B113" s="1" t="s">
        <v>5</v>
      </c>
      <c r="C113" s="9">
        <v>45863</v>
      </c>
      <c r="D113" s="22">
        <v>256779415996</v>
      </c>
      <c r="E113" s="1" t="s">
        <v>46</v>
      </c>
      <c r="F113" s="10">
        <v>755.58</v>
      </c>
      <c r="G113" s="1" t="s">
        <v>42</v>
      </c>
      <c r="H113" s="10">
        <v>64980.39</v>
      </c>
      <c r="I113" s="1" t="s">
        <v>191</v>
      </c>
      <c r="J113" s="20" t="e">
        <f>VLOOKUP(D113,#REF!,8,0)</f>
        <v>#REF!</v>
      </c>
      <c r="K113" s="5" t="e">
        <f t="shared" si="10"/>
        <v>#REF!</v>
      </c>
      <c r="L113" s="31" t="e">
        <f t="shared" si="11"/>
        <v>#REF!</v>
      </c>
    </row>
    <row r="114" spans="1:12" x14ac:dyDescent="0.35">
      <c r="A114" s="1" t="s">
        <v>192</v>
      </c>
      <c r="B114" s="1" t="s">
        <v>5</v>
      </c>
      <c r="C114" s="9">
        <v>45730</v>
      </c>
      <c r="D114" s="22">
        <v>246779412238</v>
      </c>
      <c r="E114" s="1" t="s">
        <v>46</v>
      </c>
      <c r="F114" s="10">
        <v>945.75</v>
      </c>
      <c r="G114" s="1" t="s">
        <v>42</v>
      </c>
      <c r="H114" s="10">
        <v>81988.259999999995</v>
      </c>
      <c r="I114" s="1" t="s">
        <v>193</v>
      </c>
      <c r="J114" s="20" t="e">
        <f>VLOOKUP(D114,#REF!,8,0)</f>
        <v>#REF!</v>
      </c>
      <c r="K114" s="5" t="e">
        <f t="shared" si="10"/>
        <v>#REF!</v>
      </c>
      <c r="L114" s="31" t="e">
        <f t="shared" si="11"/>
        <v>#REF!</v>
      </c>
    </row>
    <row r="115" spans="1:12" x14ac:dyDescent="0.35">
      <c r="A115" s="1" t="s">
        <v>194</v>
      </c>
      <c r="B115" s="1" t="s">
        <v>5</v>
      </c>
      <c r="C115" s="9">
        <v>45730</v>
      </c>
      <c r="D115" s="22">
        <v>246779411449</v>
      </c>
      <c r="E115" s="1" t="s">
        <v>46</v>
      </c>
      <c r="F115" s="10">
        <v>945.75</v>
      </c>
      <c r="G115" s="1" t="s">
        <v>42</v>
      </c>
      <c r="H115" s="10">
        <v>81988.259999999995</v>
      </c>
      <c r="I115" s="1" t="s">
        <v>193</v>
      </c>
      <c r="J115" s="20" t="e">
        <f>VLOOKUP(D115,#REF!,8,0)</f>
        <v>#REF!</v>
      </c>
      <c r="K115" s="5" t="e">
        <f t="shared" si="10"/>
        <v>#REF!</v>
      </c>
      <c r="L115" s="31" t="e">
        <f t="shared" si="11"/>
        <v>#REF!</v>
      </c>
    </row>
    <row r="116" spans="1:12" x14ac:dyDescent="0.35">
      <c r="A116" s="1" t="s">
        <v>195</v>
      </c>
      <c r="B116" s="1" t="s">
        <v>5</v>
      </c>
      <c r="C116" s="9">
        <v>45904</v>
      </c>
      <c r="D116" s="22">
        <v>256779417161</v>
      </c>
      <c r="E116" s="1" t="s">
        <v>46</v>
      </c>
      <c r="F116" s="10">
        <v>787.95</v>
      </c>
      <c r="G116" s="1" t="s">
        <v>42</v>
      </c>
      <c r="H116" s="10">
        <v>68956.92</v>
      </c>
      <c r="I116" s="1" t="s">
        <v>196</v>
      </c>
      <c r="J116" s="20" t="e">
        <f>VLOOKUP(D116,#REF!,8,0)</f>
        <v>#REF!</v>
      </c>
      <c r="K116" s="5" t="e">
        <f t="shared" si="10"/>
        <v>#REF!</v>
      </c>
      <c r="L116" s="31" t="e">
        <f t="shared" si="11"/>
        <v>#REF!</v>
      </c>
    </row>
    <row r="117" spans="1:12" x14ac:dyDescent="0.35">
      <c r="A117" s="1" t="s">
        <v>197</v>
      </c>
      <c r="B117" s="1" t="s">
        <v>5</v>
      </c>
      <c r="C117" s="9">
        <v>45904</v>
      </c>
      <c r="D117" s="22">
        <v>256779417178</v>
      </c>
      <c r="E117" s="1" t="s">
        <v>46</v>
      </c>
      <c r="F117" s="10">
        <v>1560</v>
      </c>
      <c r="G117" s="1" t="s">
        <v>42</v>
      </c>
      <c r="H117" s="10">
        <v>136522.35</v>
      </c>
      <c r="I117" s="1" t="s">
        <v>198</v>
      </c>
      <c r="J117" s="20" t="e">
        <f>VLOOKUP(D117,#REF!,8,0)</f>
        <v>#REF!</v>
      </c>
      <c r="K117" s="5" t="e">
        <f t="shared" si="10"/>
        <v>#REF!</v>
      </c>
      <c r="L117" s="31" t="e">
        <f t="shared" si="11"/>
        <v>#REF!</v>
      </c>
    </row>
    <row r="118" spans="1:12" x14ac:dyDescent="0.35">
      <c r="A118" s="1" t="s">
        <v>199</v>
      </c>
      <c r="B118" s="1" t="s">
        <v>5</v>
      </c>
      <c r="C118" s="9">
        <v>45904</v>
      </c>
      <c r="D118" s="22">
        <v>256779417179</v>
      </c>
      <c r="E118" s="1" t="s">
        <v>46</v>
      </c>
      <c r="F118" s="10">
        <v>1560</v>
      </c>
      <c r="G118" s="1" t="s">
        <v>42</v>
      </c>
      <c r="H118" s="10">
        <v>136522.35</v>
      </c>
      <c r="I118" s="1" t="s">
        <v>200</v>
      </c>
      <c r="J118" s="20" t="e">
        <f>VLOOKUP(D118,#REF!,8,0)</f>
        <v>#REF!</v>
      </c>
      <c r="K118" s="5" t="e">
        <f t="shared" si="10"/>
        <v>#REF!</v>
      </c>
      <c r="L118" s="31" t="e">
        <f t="shared" si="11"/>
        <v>#REF!</v>
      </c>
    </row>
    <row r="119" spans="1:12" x14ac:dyDescent="0.35">
      <c r="A119" s="1" t="s">
        <v>201</v>
      </c>
      <c r="B119" s="1" t="s">
        <v>5</v>
      </c>
      <c r="C119" s="9">
        <v>45904</v>
      </c>
      <c r="D119" s="22">
        <v>256779417180</v>
      </c>
      <c r="E119" s="1" t="s">
        <v>46</v>
      </c>
      <c r="F119" s="10">
        <v>1799.1</v>
      </c>
      <c r="G119" s="1" t="s">
        <v>42</v>
      </c>
      <c r="H119" s="10">
        <v>157447.03</v>
      </c>
      <c r="I119" s="1" t="s">
        <v>202</v>
      </c>
      <c r="J119" s="20" t="e">
        <f>VLOOKUP(D119,#REF!,8,0)</f>
        <v>#REF!</v>
      </c>
      <c r="K119" s="5" t="e">
        <f t="shared" si="10"/>
        <v>#REF!</v>
      </c>
      <c r="L119" s="31" t="e">
        <f t="shared" si="11"/>
        <v>#REF!</v>
      </c>
    </row>
    <row r="120" spans="1:12" x14ac:dyDescent="0.35">
      <c r="A120" s="1" t="s">
        <v>204</v>
      </c>
      <c r="B120" s="1" t="s">
        <v>5</v>
      </c>
      <c r="C120" s="9">
        <v>45904</v>
      </c>
      <c r="D120" s="22">
        <v>256779417206</v>
      </c>
      <c r="E120" s="1" t="s">
        <v>46</v>
      </c>
      <c r="F120" s="10">
        <v>152.28</v>
      </c>
      <c r="G120" s="1" t="s">
        <v>42</v>
      </c>
      <c r="H120" s="10">
        <v>13326.68</v>
      </c>
      <c r="I120" s="1" t="s">
        <v>205</v>
      </c>
      <c r="J120" s="20" t="e">
        <f>VLOOKUP(D120,#REF!,8,0)</f>
        <v>#REF!</v>
      </c>
      <c r="K120" s="5" t="e">
        <f t="shared" si="10"/>
        <v>#REF!</v>
      </c>
      <c r="L120" s="31" t="e">
        <f t="shared" si="11"/>
        <v>#REF!</v>
      </c>
    </row>
    <row r="121" spans="1:12" x14ac:dyDescent="0.35">
      <c r="A121" s="1" t="s">
        <v>206</v>
      </c>
      <c r="B121" s="1" t="s">
        <v>5</v>
      </c>
      <c r="C121" s="9">
        <v>45904</v>
      </c>
      <c r="D121" s="22">
        <v>256779417245</v>
      </c>
      <c r="E121" s="1" t="s">
        <v>46</v>
      </c>
      <c r="F121" s="10">
        <v>83.89</v>
      </c>
      <c r="G121" s="1" t="s">
        <v>42</v>
      </c>
      <c r="H121" s="10">
        <v>7341.58</v>
      </c>
      <c r="I121" s="1" t="s">
        <v>207</v>
      </c>
      <c r="J121" s="20" t="e">
        <f>VLOOKUP(D121,#REF!,8,0)</f>
        <v>#REF!</v>
      </c>
      <c r="K121" s="5" t="e">
        <f t="shared" si="10"/>
        <v>#REF!</v>
      </c>
      <c r="L121" s="31" t="e">
        <f t="shared" si="11"/>
        <v>#REF!</v>
      </c>
    </row>
    <row r="122" spans="1:12" x14ac:dyDescent="0.35">
      <c r="A122" s="1" t="s">
        <v>208</v>
      </c>
      <c r="B122" s="1" t="s">
        <v>5</v>
      </c>
      <c r="C122" s="9">
        <v>45904</v>
      </c>
      <c r="D122" s="22">
        <v>256779417287</v>
      </c>
      <c r="E122" s="1" t="s">
        <v>46</v>
      </c>
      <c r="F122" s="10">
        <v>410.58</v>
      </c>
      <c r="G122" s="1" t="s">
        <v>42</v>
      </c>
      <c r="H122" s="10">
        <v>35931.629999999997</v>
      </c>
      <c r="I122" s="1" t="s">
        <v>209</v>
      </c>
      <c r="J122" s="20" t="e">
        <f>VLOOKUP(D122,#REF!,8,0)</f>
        <v>#REF!</v>
      </c>
      <c r="K122" s="5" t="e">
        <f t="shared" si="10"/>
        <v>#REF!</v>
      </c>
      <c r="L122" s="31" t="e">
        <f t="shared" si="11"/>
        <v>#REF!</v>
      </c>
    </row>
    <row r="123" spans="1:12" x14ac:dyDescent="0.35">
      <c r="A123" s="1" t="s">
        <v>210</v>
      </c>
      <c r="B123" s="1" t="s">
        <v>5</v>
      </c>
      <c r="C123" s="9">
        <v>45904</v>
      </c>
      <c r="D123" s="22">
        <v>256779417325</v>
      </c>
      <c r="E123" s="1" t="s">
        <v>46</v>
      </c>
      <c r="F123" s="10">
        <v>97.84</v>
      </c>
      <c r="G123" s="1" t="s">
        <v>42</v>
      </c>
      <c r="H123" s="10">
        <v>8562.4</v>
      </c>
      <c r="I123" s="1" t="s">
        <v>211</v>
      </c>
      <c r="J123" s="20" t="e">
        <f>VLOOKUP(D123,#REF!,8,0)</f>
        <v>#REF!</v>
      </c>
      <c r="K123" s="5" t="e">
        <f t="shared" si="10"/>
        <v>#REF!</v>
      </c>
      <c r="L123" s="31" t="e">
        <f t="shared" si="11"/>
        <v>#REF!</v>
      </c>
    </row>
    <row r="124" spans="1:12" x14ac:dyDescent="0.35">
      <c r="A124" s="1" t="s">
        <v>212</v>
      </c>
      <c r="B124" s="1" t="s">
        <v>4</v>
      </c>
      <c r="C124" s="9">
        <v>45904</v>
      </c>
      <c r="D124" s="22">
        <v>256779421767</v>
      </c>
      <c r="E124" s="1" t="s">
        <v>46</v>
      </c>
      <c r="F124" s="10">
        <v>-60</v>
      </c>
      <c r="G124" s="1" t="s">
        <v>42</v>
      </c>
      <c r="H124" s="10">
        <v>-5250.86</v>
      </c>
      <c r="I124" s="1" t="s">
        <v>213</v>
      </c>
      <c r="J124" t="e">
        <f>VLOOKUP(D124,#REF!,8,0)</f>
        <v>#REF!</v>
      </c>
    </row>
    <row r="125" spans="1:12" x14ac:dyDescent="0.35">
      <c r="A125" s="1" t="s">
        <v>214</v>
      </c>
      <c r="B125" s="1" t="s">
        <v>4</v>
      </c>
      <c r="C125" s="9">
        <v>45904</v>
      </c>
      <c r="D125" s="22">
        <v>256779421768</v>
      </c>
      <c r="E125" s="1" t="s">
        <v>46</v>
      </c>
      <c r="F125" s="10">
        <v>-60</v>
      </c>
      <c r="G125" s="1" t="s">
        <v>42</v>
      </c>
      <c r="H125" s="10">
        <v>-5250.86</v>
      </c>
      <c r="I125" s="1" t="s">
        <v>215</v>
      </c>
      <c r="J125" t="e">
        <f>VLOOKUP(D125,#REF!,8,0)</f>
        <v>#REF!</v>
      </c>
    </row>
    <row r="126" spans="1:12" x14ac:dyDescent="0.35">
      <c r="A126" s="1" t="s">
        <v>216</v>
      </c>
      <c r="B126" s="1" t="s">
        <v>4</v>
      </c>
      <c r="C126" s="9">
        <v>45904</v>
      </c>
      <c r="D126" s="22">
        <v>256779421769</v>
      </c>
      <c r="E126" s="1" t="s">
        <v>46</v>
      </c>
      <c r="F126" s="10">
        <v>-62</v>
      </c>
      <c r="G126" s="1" t="s">
        <v>42</v>
      </c>
      <c r="H126" s="10">
        <v>-5425.89</v>
      </c>
      <c r="I126" s="1" t="s">
        <v>217</v>
      </c>
      <c r="J126" t="e">
        <f>VLOOKUP(D126,#REF!,8,0)</f>
        <v>#REF!</v>
      </c>
    </row>
    <row r="127" spans="1:12" x14ac:dyDescent="0.35">
      <c r="A127" s="1" t="s">
        <v>218</v>
      </c>
      <c r="B127" s="1" t="s">
        <v>4</v>
      </c>
      <c r="C127" s="9">
        <v>45904</v>
      </c>
      <c r="D127" s="22">
        <v>256779421770</v>
      </c>
      <c r="E127" s="1" t="s">
        <v>46</v>
      </c>
      <c r="F127" s="10">
        <v>-62</v>
      </c>
      <c r="G127" s="1" t="s">
        <v>42</v>
      </c>
      <c r="H127" s="10">
        <v>-5425.89</v>
      </c>
      <c r="I127" s="1" t="s">
        <v>219</v>
      </c>
      <c r="J127" t="e">
        <f>VLOOKUP(D127,#REF!,8,0)</f>
        <v>#REF!</v>
      </c>
    </row>
    <row r="128" spans="1:12" x14ac:dyDescent="0.35">
      <c r="A128" s="1" t="s">
        <v>220</v>
      </c>
      <c r="B128" s="1" t="s">
        <v>5</v>
      </c>
      <c r="C128" s="9">
        <v>45842</v>
      </c>
      <c r="D128" s="22">
        <v>256779414772</v>
      </c>
      <c r="E128" s="1" t="s">
        <v>46</v>
      </c>
      <c r="F128" s="10">
        <v>220</v>
      </c>
      <c r="G128" s="1" t="s">
        <v>42</v>
      </c>
      <c r="H128" s="10">
        <v>18920.150000000001</v>
      </c>
      <c r="I128" s="1" t="s">
        <v>221</v>
      </c>
      <c r="J128" s="20" t="e">
        <f>VLOOKUP(D128,#REF!,8,0)</f>
        <v>#REF!</v>
      </c>
      <c r="K128" s="5" t="e">
        <f t="shared" ref="K128:K137" si="12">H128-J128</f>
        <v>#REF!</v>
      </c>
      <c r="L128" s="31" t="e">
        <f t="shared" ref="L128:L137" si="13">K128/H128</f>
        <v>#REF!</v>
      </c>
    </row>
    <row r="129" spans="1:12" x14ac:dyDescent="0.35">
      <c r="A129" s="1" t="s">
        <v>222</v>
      </c>
      <c r="B129" s="1" t="s">
        <v>5</v>
      </c>
      <c r="C129" s="9">
        <v>45842</v>
      </c>
      <c r="D129" s="22">
        <v>256779414830</v>
      </c>
      <c r="E129" s="1" t="s">
        <v>46</v>
      </c>
      <c r="F129" s="10">
        <v>142.32</v>
      </c>
      <c r="G129" s="1" t="s">
        <v>42</v>
      </c>
      <c r="H129" s="10">
        <v>12239.62</v>
      </c>
      <c r="I129" s="1" t="s">
        <v>223</v>
      </c>
      <c r="J129" s="20" t="e">
        <f>VLOOKUP(D129,#REF!,8,0)</f>
        <v>#REF!</v>
      </c>
      <c r="K129" s="5" t="e">
        <f t="shared" si="12"/>
        <v>#REF!</v>
      </c>
      <c r="L129" s="31" t="e">
        <f t="shared" si="13"/>
        <v>#REF!</v>
      </c>
    </row>
    <row r="130" spans="1:12" x14ac:dyDescent="0.35">
      <c r="A130" s="1" t="s">
        <v>224</v>
      </c>
      <c r="B130" s="1" t="s">
        <v>5</v>
      </c>
      <c r="C130" s="9">
        <v>45842</v>
      </c>
      <c r="D130" s="22">
        <v>256779414879</v>
      </c>
      <c r="E130" s="1" t="s">
        <v>46</v>
      </c>
      <c r="F130" s="10">
        <v>1663.92</v>
      </c>
      <c r="G130" s="1" t="s">
        <v>42</v>
      </c>
      <c r="H130" s="10">
        <v>143098.23000000001</v>
      </c>
      <c r="I130" s="1" t="s">
        <v>225</v>
      </c>
      <c r="J130" s="20" t="e">
        <f>VLOOKUP(D130,#REF!,8,0)</f>
        <v>#REF!</v>
      </c>
      <c r="K130" s="5" t="e">
        <f t="shared" si="12"/>
        <v>#REF!</v>
      </c>
      <c r="L130" s="31" t="e">
        <f t="shared" si="13"/>
        <v>#REF!</v>
      </c>
    </row>
    <row r="131" spans="1:12" x14ac:dyDescent="0.35">
      <c r="A131" s="1" t="s">
        <v>226</v>
      </c>
      <c r="B131" s="1" t="s">
        <v>5</v>
      </c>
      <c r="C131" s="9">
        <v>45842</v>
      </c>
      <c r="D131" s="22">
        <v>256779414891</v>
      </c>
      <c r="E131" s="1" t="s">
        <v>46</v>
      </c>
      <c r="F131" s="10">
        <v>413.33</v>
      </c>
      <c r="G131" s="1" t="s">
        <v>42</v>
      </c>
      <c r="H131" s="10">
        <v>35546.660000000003</v>
      </c>
      <c r="I131" s="1" t="s">
        <v>227</v>
      </c>
      <c r="J131" s="20" t="e">
        <f>VLOOKUP(D131,#REF!,8,0)</f>
        <v>#REF!</v>
      </c>
      <c r="K131" s="5" t="e">
        <f t="shared" si="12"/>
        <v>#REF!</v>
      </c>
      <c r="L131" s="31" t="e">
        <f t="shared" si="13"/>
        <v>#REF!</v>
      </c>
    </row>
    <row r="132" spans="1:12" x14ac:dyDescent="0.35">
      <c r="A132" s="1" t="s">
        <v>228</v>
      </c>
      <c r="B132" s="1" t="s">
        <v>5</v>
      </c>
      <c r="C132" s="9">
        <v>45842</v>
      </c>
      <c r="D132" s="22">
        <v>256779414904</v>
      </c>
      <c r="E132" s="1" t="s">
        <v>46</v>
      </c>
      <c r="F132" s="10">
        <v>68.97</v>
      </c>
      <c r="G132" s="1" t="s">
        <v>42</v>
      </c>
      <c r="H132" s="10">
        <v>5931.47</v>
      </c>
      <c r="I132" s="1" t="s">
        <v>229</v>
      </c>
      <c r="J132" s="20" t="e">
        <f>VLOOKUP(D132,#REF!,8,0)</f>
        <v>#REF!</v>
      </c>
      <c r="K132" s="5" t="e">
        <f t="shared" si="12"/>
        <v>#REF!</v>
      </c>
      <c r="L132" s="31" t="e">
        <f t="shared" si="13"/>
        <v>#REF!</v>
      </c>
    </row>
    <row r="133" spans="1:12" x14ac:dyDescent="0.35">
      <c r="A133" s="1" t="s">
        <v>230</v>
      </c>
      <c r="B133" s="1" t="s">
        <v>5</v>
      </c>
      <c r="C133" s="9">
        <v>45842</v>
      </c>
      <c r="D133" s="22">
        <v>256779414956</v>
      </c>
      <c r="E133" s="1" t="s">
        <v>46</v>
      </c>
      <c r="F133" s="10">
        <v>50</v>
      </c>
      <c r="G133" s="1" t="s">
        <v>42</v>
      </c>
      <c r="H133" s="10">
        <v>4300.03</v>
      </c>
      <c r="I133" s="1" t="s">
        <v>231</v>
      </c>
      <c r="J133" s="20" t="e">
        <f>VLOOKUP(D133,#REF!,8,0)</f>
        <v>#REF!</v>
      </c>
      <c r="K133" s="5" t="e">
        <f t="shared" si="12"/>
        <v>#REF!</v>
      </c>
      <c r="L133" s="31" t="e">
        <f t="shared" si="13"/>
        <v>#REF!</v>
      </c>
    </row>
    <row r="134" spans="1:12" x14ac:dyDescent="0.35">
      <c r="A134" s="1" t="s">
        <v>232</v>
      </c>
      <c r="B134" s="1" t="s">
        <v>5</v>
      </c>
      <c r="C134" s="9">
        <v>45842</v>
      </c>
      <c r="D134" s="22">
        <v>256779414957</v>
      </c>
      <c r="E134" s="1" t="s">
        <v>46</v>
      </c>
      <c r="F134" s="10">
        <v>50</v>
      </c>
      <c r="G134" s="1" t="s">
        <v>42</v>
      </c>
      <c r="H134" s="10">
        <v>4300.03</v>
      </c>
      <c r="I134" s="1" t="s">
        <v>231</v>
      </c>
      <c r="J134" s="20" t="e">
        <f>VLOOKUP(D134,#REF!,8,0)</f>
        <v>#REF!</v>
      </c>
      <c r="K134" s="5" t="e">
        <f t="shared" si="12"/>
        <v>#REF!</v>
      </c>
      <c r="L134" s="31" t="e">
        <f t="shared" si="13"/>
        <v>#REF!</v>
      </c>
    </row>
    <row r="135" spans="1:12" x14ac:dyDescent="0.35">
      <c r="A135" s="1" t="s">
        <v>233</v>
      </c>
      <c r="B135" s="1" t="s">
        <v>5</v>
      </c>
      <c r="C135" s="9">
        <v>45842</v>
      </c>
      <c r="D135" s="22">
        <v>256779415017</v>
      </c>
      <c r="E135" s="1" t="s">
        <v>46</v>
      </c>
      <c r="F135" s="10">
        <v>349.26</v>
      </c>
      <c r="G135" s="1" t="s">
        <v>42</v>
      </c>
      <c r="H135" s="10">
        <v>30036.59</v>
      </c>
      <c r="I135" s="1" t="s">
        <v>234</v>
      </c>
      <c r="J135" s="20" t="e">
        <f>VLOOKUP(D135,#REF!,8,0)</f>
        <v>#REF!</v>
      </c>
      <c r="K135" s="5" t="e">
        <f t="shared" si="12"/>
        <v>#REF!</v>
      </c>
      <c r="L135" s="31" t="e">
        <f t="shared" si="13"/>
        <v>#REF!</v>
      </c>
    </row>
    <row r="136" spans="1:12" x14ac:dyDescent="0.35">
      <c r="A136" s="1" t="s">
        <v>235</v>
      </c>
      <c r="B136" s="1" t="s">
        <v>5</v>
      </c>
      <c r="C136" s="9">
        <v>45842</v>
      </c>
      <c r="D136" s="22">
        <v>256779415196</v>
      </c>
      <c r="E136" s="1" t="s">
        <v>46</v>
      </c>
      <c r="F136" s="10">
        <v>17.48</v>
      </c>
      <c r="G136" s="1" t="s">
        <v>42</v>
      </c>
      <c r="H136" s="10">
        <v>1503.29</v>
      </c>
      <c r="I136" s="1" t="s">
        <v>236</v>
      </c>
      <c r="J136" s="20" t="e">
        <f>VLOOKUP(D136,#REF!,8,0)</f>
        <v>#REF!</v>
      </c>
      <c r="K136" s="5" t="e">
        <f t="shared" si="12"/>
        <v>#REF!</v>
      </c>
      <c r="L136" s="31" t="e">
        <f t="shared" si="13"/>
        <v>#REF!</v>
      </c>
    </row>
    <row r="137" spans="1:12" x14ac:dyDescent="0.35">
      <c r="A137" s="1" t="s">
        <v>237</v>
      </c>
      <c r="B137" s="1" t="s">
        <v>5</v>
      </c>
      <c r="C137" s="9">
        <v>45842</v>
      </c>
      <c r="D137" s="22">
        <v>256779415264</v>
      </c>
      <c r="E137" s="1" t="s">
        <v>46</v>
      </c>
      <c r="F137" s="10">
        <v>926.11</v>
      </c>
      <c r="G137" s="1" t="s">
        <v>42</v>
      </c>
      <c r="H137" s="10">
        <v>79646.080000000002</v>
      </c>
      <c r="I137" s="1" t="s">
        <v>238</v>
      </c>
      <c r="J137" s="20" t="e">
        <f>VLOOKUP(D137,#REF!,8,0)</f>
        <v>#REF!</v>
      </c>
      <c r="K137" s="5" t="e">
        <f t="shared" si="12"/>
        <v>#REF!</v>
      </c>
      <c r="L137" s="31" t="e">
        <f t="shared" si="13"/>
        <v>#REF!</v>
      </c>
    </row>
    <row r="138" spans="1:12" x14ac:dyDescent="0.35">
      <c r="A138" s="1" t="s">
        <v>239</v>
      </c>
      <c r="B138" s="1" t="s">
        <v>4</v>
      </c>
      <c r="C138" s="9">
        <v>45842</v>
      </c>
      <c r="D138" s="22">
        <v>256779421172</v>
      </c>
      <c r="E138" s="1" t="s">
        <v>46</v>
      </c>
      <c r="F138" s="10">
        <v>-1700</v>
      </c>
      <c r="G138" s="1" t="s">
        <v>42</v>
      </c>
      <c r="H138" s="10">
        <v>-146201.14000000001</v>
      </c>
      <c r="I138" s="1" t="s">
        <v>240</v>
      </c>
      <c r="J138" t="e">
        <f>VLOOKUP(D138,#REF!,8,0)</f>
        <v>#REF!</v>
      </c>
    </row>
    <row r="139" spans="1:12" x14ac:dyDescent="0.35">
      <c r="A139" s="1" t="s">
        <v>241</v>
      </c>
      <c r="B139" s="1" t="s">
        <v>4</v>
      </c>
      <c r="C139" s="9">
        <v>45842</v>
      </c>
      <c r="D139" s="22">
        <v>256779421173</v>
      </c>
      <c r="E139" s="1" t="s">
        <v>46</v>
      </c>
      <c r="F139" s="10">
        <v>-1750</v>
      </c>
      <c r="G139" s="1" t="s">
        <v>42</v>
      </c>
      <c r="H139" s="10">
        <v>-150501.17000000001</v>
      </c>
      <c r="I139" s="1" t="s">
        <v>242</v>
      </c>
      <c r="J139" t="e">
        <f>VLOOKUP(D139,#REF!,8,0)</f>
        <v>#REF!</v>
      </c>
    </row>
    <row r="140" spans="1:12" x14ac:dyDescent="0.35">
      <c r="A140" s="1" t="s">
        <v>243</v>
      </c>
      <c r="B140" s="1" t="s">
        <v>4</v>
      </c>
      <c r="C140" s="9">
        <v>45842</v>
      </c>
      <c r="D140" s="22">
        <v>256779421174</v>
      </c>
      <c r="E140" s="1" t="s">
        <v>46</v>
      </c>
      <c r="F140" s="10">
        <v>-1700</v>
      </c>
      <c r="G140" s="1" t="s">
        <v>42</v>
      </c>
      <c r="H140" s="10">
        <v>-146201.14000000001</v>
      </c>
      <c r="I140" s="1" t="s">
        <v>244</v>
      </c>
      <c r="J140" t="e">
        <f>VLOOKUP(D140,#REF!,8,0)</f>
        <v>#REF!</v>
      </c>
    </row>
    <row r="141" spans="1:12" x14ac:dyDescent="0.35">
      <c r="A141" s="1" t="s">
        <v>245</v>
      </c>
      <c r="B141" s="1" t="s">
        <v>4</v>
      </c>
      <c r="C141" s="9">
        <v>45842</v>
      </c>
      <c r="D141" s="22">
        <v>256779421175</v>
      </c>
      <c r="E141" s="1" t="s">
        <v>46</v>
      </c>
      <c r="F141" s="10">
        <v>-1750</v>
      </c>
      <c r="G141" s="1" t="s">
        <v>42</v>
      </c>
      <c r="H141" s="10">
        <v>-150501.17000000001</v>
      </c>
      <c r="I141" s="1" t="s">
        <v>246</v>
      </c>
      <c r="J141" t="e">
        <f>VLOOKUP(D141,#REF!,8,0)</f>
        <v>#REF!</v>
      </c>
    </row>
    <row r="142" spans="1:12" x14ac:dyDescent="0.35">
      <c r="A142" s="1" t="s">
        <v>247</v>
      </c>
      <c r="B142" s="1" t="s">
        <v>5</v>
      </c>
      <c r="C142" s="9">
        <v>45966</v>
      </c>
      <c r="D142" s="22">
        <v>256779418820</v>
      </c>
      <c r="E142" s="1" t="s">
        <v>46</v>
      </c>
      <c r="F142" s="10">
        <v>351.13</v>
      </c>
      <c r="G142" s="1" t="s">
        <v>42</v>
      </c>
      <c r="H142" s="10">
        <v>30900.63</v>
      </c>
      <c r="I142" s="1" t="s">
        <v>248</v>
      </c>
      <c r="J142" s="20" t="e">
        <f>VLOOKUP(D142,#REF!,8,0)</f>
        <v>#REF!</v>
      </c>
      <c r="K142" s="5" t="e">
        <f t="shared" ref="K142:K150" si="14">H142-J142</f>
        <v>#REF!</v>
      </c>
      <c r="L142" s="31" t="e">
        <f t="shared" ref="L142:L150" si="15">K142/H142</f>
        <v>#REF!</v>
      </c>
    </row>
    <row r="143" spans="1:12" x14ac:dyDescent="0.35">
      <c r="A143" s="1" t="s">
        <v>249</v>
      </c>
      <c r="B143" s="1" t="s">
        <v>5</v>
      </c>
      <c r="C143" s="9">
        <v>45966</v>
      </c>
      <c r="D143" s="22">
        <v>256779418876</v>
      </c>
      <c r="E143" s="1" t="s">
        <v>46</v>
      </c>
      <c r="F143" s="10">
        <v>745.97</v>
      </c>
      <c r="G143" s="1" t="s">
        <v>42</v>
      </c>
      <c r="H143" s="10">
        <v>65647.89</v>
      </c>
      <c r="I143" s="1" t="s">
        <v>250</v>
      </c>
      <c r="J143" s="20" t="e">
        <f>VLOOKUP(D143,#REF!,8,0)</f>
        <v>#REF!</v>
      </c>
      <c r="K143" s="5" t="e">
        <f t="shared" si="14"/>
        <v>#REF!</v>
      </c>
      <c r="L143" s="31" t="e">
        <f t="shared" si="15"/>
        <v>#REF!</v>
      </c>
    </row>
    <row r="144" spans="1:12" x14ac:dyDescent="0.35">
      <c r="A144" s="1" t="s">
        <v>252</v>
      </c>
      <c r="B144" s="1" t="s">
        <v>5</v>
      </c>
      <c r="C144" s="9">
        <v>45966</v>
      </c>
      <c r="D144" s="22">
        <v>256779419174</v>
      </c>
      <c r="E144" s="1" t="s">
        <v>46</v>
      </c>
      <c r="F144" s="10">
        <v>8.2100000000000009</v>
      </c>
      <c r="G144" s="1" t="s">
        <v>42</v>
      </c>
      <c r="H144" s="10">
        <v>722.51</v>
      </c>
      <c r="I144" s="1" t="s">
        <v>253</v>
      </c>
      <c r="J144" s="20" t="e">
        <f>VLOOKUP(D144,#REF!,8,0)</f>
        <v>#REF!</v>
      </c>
      <c r="K144" s="5" t="e">
        <f t="shared" si="14"/>
        <v>#REF!</v>
      </c>
      <c r="L144" s="31" t="e">
        <f t="shared" si="15"/>
        <v>#REF!</v>
      </c>
    </row>
    <row r="145" spans="1:12" x14ac:dyDescent="0.35">
      <c r="A145" s="1" t="s">
        <v>254</v>
      </c>
      <c r="B145" s="1" t="s">
        <v>5</v>
      </c>
      <c r="C145" s="9">
        <v>45966</v>
      </c>
      <c r="D145" s="22">
        <v>256779419200</v>
      </c>
      <c r="E145" s="1" t="s">
        <v>46</v>
      </c>
      <c r="F145" s="10">
        <v>152.26</v>
      </c>
      <c r="G145" s="1" t="s">
        <v>42</v>
      </c>
      <c r="H145" s="10">
        <v>13399.4</v>
      </c>
      <c r="I145" s="1" t="s">
        <v>255</v>
      </c>
      <c r="J145" s="20" t="e">
        <f>VLOOKUP(D145,#REF!,8,0)</f>
        <v>#REF!</v>
      </c>
      <c r="K145" s="5" t="e">
        <f t="shared" si="14"/>
        <v>#REF!</v>
      </c>
      <c r="L145" s="31" t="e">
        <f t="shared" si="15"/>
        <v>#REF!</v>
      </c>
    </row>
    <row r="146" spans="1:12" x14ac:dyDescent="0.35">
      <c r="A146" s="1" t="s">
        <v>256</v>
      </c>
      <c r="B146" s="1" t="s">
        <v>5</v>
      </c>
      <c r="C146" s="9">
        <v>45966</v>
      </c>
      <c r="D146" s="22">
        <v>256779419232</v>
      </c>
      <c r="E146" s="1" t="s">
        <v>46</v>
      </c>
      <c r="F146" s="10">
        <v>25.69</v>
      </c>
      <c r="G146" s="1" t="s">
        <v>42</v>
      </c>
      <c r="H146" s="10">
        <v>2260.81</v>
      </c>
      <c r="I146" s="1" t="s">
        <v>257</v>
      </c>
      <c r="J146" s="20" t="e">
        <f>VLOOKUP(D146,#REF!,8,0)</f>
        <v>#REF!</v>
      </c>
      <c r="K146" s="5" t="e">
        <f t="shared" si="14"/>
        <v>#REF!</v>
      </c>
      <c r="L146" s="31" t="e">
        <f t="shared" si="15"/>
        <v>#REF!</v>
      </c>
    </row>
    <row r="147" spans="1:12" x14ac:dyDescent="0.35">
      <c r="A147" s="1" t="s">
        <v>258</v>
      </c>
      <c r="B147" s="1" t="s">
        <v>5</v>
      </c>
      <c r="C147" s="9">
        <v>45713</v>
      </c>
      <c r="D147" s="22">
        <v>246779410324</v>
      </c>
      <c r="E147" s="1" t="s">
        <v>46</v>
      </c>
      <c r="F147" s="10">
        <v>1750</v>
      </c>
      <c r="G147" s="1" t="s">
        <v>42</v>
      </c>
      <c r="H147" s="10">
        <v>151031.41</v>
      </c>
      <c r="I147" s="1" t="s">
        <v>119</v>
      </c>
      <c r="J147" s="20" t="e">
        <f>VLOOKUP(D147,#REF!,8,0)</f>
        <v>#REF!</v>
      </c>
      <c r="K147" s="5" t="e">
        <f t="shared" si="14"/>
        <v>#REF!</v>
      </c>
      <c r="L147" s="31" t="e">
        <f t="shared" si="15"/>
        <v>#REF!</v>
      </c>
    </row>
    <row r="148" spans="1:12" x14ac:dyDescent="0.35">
      <c r="A148" s="1" t="s">
        <v>259</v>
      </c>
      <c r="B148" s="1" t="s">
        <v>5</v>
      </c>
      <c r="C148" s="9">
        <v>45964</v>
      </c>
      <c r="D148" s="22">
        <v>256779419130</v>
      </c>
      <c r="E148" s="1" t="s">
        <v>46</v>
      </c>
      <c r="F148" s="10">
        <v>52.71</v>
      </c>
      <c r="G148" s="1" t="s">
        <v>42</v>
      </c>
      <c r="H148" s="10">
        <v>4638.66</v>
      </c>
      <c r="I148" s="1" t="s">
        <v>260</v>
      </c>
      <c r="J148" s="20" t="e">
        <f>VLOOKUP(D148,#REF!,8,0)</f>
        <v>#REF!</v>
      </c>
      <c r="K148" s="5" t="e">
        <f t="shared" si="14"/>
        <v>#REF!</v>
      </c>
      <c r="L148" s="31" t="e">
        <f t="shared" si="15"/>
        <v>#REF!</v>
      </c>
    </row>
    <row r="149" spans="1:12" x14ac:dyDescent="0.35">
      <c r="A149" s="1" t="s">
        <v>261</v>
      </c>
      <c r="B149" s="1" t="s">
        <v>5</v>
      </c>
      <c r="C149" s="9">
        <v>45877</v>
      </c>
      <c r="D149" s="22">
        <v>256779416078</v>
      </c>
      <c r="E149" s="1" t="s">
        <v>46</v>
      </c>
      <c r="F149" s="10">
        <v>1477.42</v>
      </c>
      <c r="G149" s="1" t="s">
        <v>42</v>
      </c>
      <c r="H149" s="10">
        <v>127102.62</v>
      </c>
      <c r="I149" s="1" t="s">
        <v>236</v>
      </c>
      <c r="J149" s="20" t="e">
        <f>VLOOKUP(D149,#REF!,8,0)</f>
        <v>#REF!</v>
      </c>
      <c r="K149" s="5" t="e">
        <f t="shared" si="14"/>
        <v>#REF!</v>
      </c>
      <c r="L149" s="31" t="e">
        <f t="shared" si="15"/>
        <v>#REF!</v>
      </c>
    </row>
    <row r="150" spans="1:12" x14ac:dyDescent="0.35">
      <c r="A150" s="1" t="s">
        <v>262</v>
      </c>
      <c r="B150" s="1" t="s">
        <v>5</v>
      </c>
      <c r="C150" s="9">
        <v>45877</v>
      </c>
      <c r="D150" s="22">
        <v>256779416086</v>
      </c>
      <c r="E150" s="1" t="s">
        <v>46</v>
      </c>
      <c r="F150" s="10">
        <v>1449.76</v>
      </c>
      <c r="G150" s="1" t="s">
        <v>42</v>
      </c>
      <c r="H150" s="10">
        <v>124723.03</v>
      </c>
      <c r="I150" s="1" t="s">
        <v>263</v>
      </c>
      <c r="J150" s="20" t="e">
        <f>VLOOKUP(D150,#REF!,8,0)</f>
        <v>#REF!</v>
      </c>
      <c r="K150" s="5" t="e">
        <f t="shared" si="14"/>
        <v>#REF!</v>
      </c>
      <c r="L150" s="31" t="e">
        <f t="shared" si="15"/>
        <v>#REF!</v>
      </c>
    </row>
    <row r="151" spans="1:12" x14ac:dyDescent="0.35">
      <c r="A151" s="1" t="s">
        <v>264</v>
      </c>
      <c r="B151" s="1" t="s">
        <v>5</v>
      </c>
      <c r="C151" s="9">
        <v>45877</v>
      </c>
      <c r="D151" s="22">
        <v>256779416103</v>
      </c>
      <c r="E151" s="1" t="s">
        <v>46</v>
      </c>
      <c r="F151" s="10">
        <v>50</v>
      </c>
      <c r="G151" s="1" t="s">
        <v>42</v>
      </c>
      <c r="H151" s="26">
        <v>4301.51</v>
      </c>
      <c r="I151" s="1" t="s">
        <v>265</v>
      </c>
      <c r="J151" t="e">
        <f>VLOOKUP(D151,#REF!,8,0)</f>
        <v>#REF!</v>
      </c>
    </row>
    <row r="152" spans="1:12" x14ac:dyDescent="0.35">
      <c r="A152" s="1" t="s">
        <v>267</v>
      </c>
      <c r="B152" s="1" t="s">
        <v>5</v>
      </c>
      <c r="C152" s="9">
        <v>45877</v>
      </c>
      <c r="D152" s="22">
        <v>256779416179</v>
      </c>
      <c r="E152" s="1" t="s">
        <v>46</v>
      </c>
      <c r="F152" s="10">
        <v>2787.24</v>
      </c>
      <c r="G152" s="1" t="s">
        <v>42</v>
      </c>
      <c r="H152" s="10">
        <v>239786.59</v>
      </c>
      <c r="I152" s="1" t="s">
        <v>268</v>
      </c>
      <c r="J152" s="20" t="e">
        <f>VLOOKUP(D152,#REF!,8,0)</f>
        <v>#REF!</v>
      </c>
      <c r="K152" s="5" t="e">
        <f t="shared" ref="K152:K157" si="16">H152-J152</f>
        <v>#REF!</v>
      </c>
      <c r="L152" s="31" t="e">
        <f t="shared" ref="L152:L157" si="17">K152/H152</f>
        <v>#REF!</v>
      </c>
    </row>
    <row r="153" spans="1:12" x14ac:dyDescent="0.35">
      <c r="A153" s="1" t="s">
        <v>269</v>
      </c>
      <c r="B153" s="1" t="s">
        <v>5</v>
      </c>
      <c r="C153" s="9">
        <v>45877</v>
      </c>
      <c r="D153" s="22">
        <v>256779416224</v>
      </c>
      <c r="E153" s="1" t="s">
        <v>46</v>
      </c>
      <c r="F153" s="10">
        <v>304.52999999999997</v>
      </c>
      <c r="G153" s="1" t="s">
        <v>42</v>
      </c>
      <c r="H153" s="10">
        <v>26198.75</v>
      </c>
      <c r="I153" s="1" t="s">
        <v>270</v>
      </c>
      <c r="J153" s="20" t="e">
        <f>VLOOKUP(D153,#REF!,8,0)</f>
        <v>#REF!</v>
      </c>
      <c r="K153" s="5" t="e">
        <f t="shared" si="16"/>
        <v>#REF!</v>
      </c>
      <c r="L153" s="31" t="e">
        <f t="shared" si="17"/>
        <v>#REF!</v>
      </c>
    </row>
    <row r="154" spans="1:12" x14ac:dyDescent="0.35">
      <c r="A154" s="1" t="s">
        <v>271</v>
      </c>
      <c r="B154" s="1" t="s">
        <v>5</v>
      </c>
      <c r="C154" s="9">
        <v>45877</v>
      </c>
      <c r="D154" s="22">
        <v>256779416445</v>
      </c>
      <c r="E154" s="1" t="s">
        <v>46</v>
      </c>
      <c r="F154" s="10">
        <v>586.79</v>
      </c>
      <c r="G154" s="1" t="s">
        <v>42</v>
      </c>
      <c r="H154" s="10">
        <v>50481.61</v>
      </c>
      <c r="I154" s="1" t="s">
        <v>272</v>
      </c>
      <c r="J154" s="20" t="e">
        <f>VLOOKUP(D154,#REF!,8,0)</f>
        <v>#REF!</v>
      </c>
      <c r="K154" s="5" t="e">
        <f t="shared" si="16"/>
        <v>#REF!</v>
      </c>
      <c r="L154" s="31" t="e">
        <f t="shared" si="17"/>
        <v>#REF!</v>
      </c>
    </row>
    <row r="155" spans="1:12" x14ac:dyDescent="0.35">
      <c r="A155" s="1" t="s">
        <v>274</v>
      </c>
      <c r="B155" s="1" t="s">
        <v>5</v>
      </c>
      <c r="C155" s="9">
        <v>45812</v>
      </c>
      <c r="D155" s="22">
        <v>256779414217</v>
      </c>
      <c r="E155" s="1" t="s">
        <v>46</v>
      </c>
      <c r="F155" s="10">
        <v>71.760000000000005</v>
      </c>
      <c r="G155" s="1" t="s">
        <v>42</v>
      </c>
      <c r="H155" s="10">
        <v>6134.82</v>
      </c>
      <c r="I155" s="1" t="s">
        <v>275</v>
      </c>
      <c r="J155" s="20" t="e">
        <f>VLOOKUP(D155,#REF!,8,0)</f>
        <v>#REF!</v>
      </c>
      <c r="K155" s="5" t="e">
        <f t="shared" si="16"/>
        <v>#REF!</v>
      </c>
      <c r="L155" s="31" t="e">
        <f t="shared" si="17"/>
        <v>#REF!</v>
      </c>
    </row>
    <row r="156" spans="1:12" x14ac:dyDescent="0.35">
      <c r="A156" s="1" t="s">
        <v>276</v>
      </c>
      <c r="B156" s="1" t="s">
        <v>5</v>
      </c>
      <c r="C156" s="9">
        <v>45812</v>
      </c>
      <c r="D156" s="22">
        <v>256779414275</v>
      </c>
      <c r="E156" s="1" t="s">
        <v>46</v>
      </c>
      <c r="F156" s="10">
        <v>136.08000000000001</v>
      </c>
      <c r="G156" s="1" t="s">
        <v>42</v>
      </c>
      <c r="H156" s="10">
        <v>11633.59</v>
      </c>
      <c r="I156" s="1" t="s">
        <v>277</v>
      </c>
      <c r="J156" s="20" t="e">
        <f>VLOOKUP(D156,#REF!,8,0)</f>
        <v>#REF!</v>
      </c>
      <c r="K156" s="5" t="e">
        <f t="shared" si="16"/>
        <v>#REF!</v>
      </c>
      <c r="L156" s="31" t="e">
        <f t="shared" si="17"/>
        <v>#REF!</v>
      </c>
    </row>
    <row r="157" spans="1:12" x14ac:dyDescent="0.35">
      <c r="A157" s="1" t="s">
        <v>278</v>
      </c>
      <c r="B157" s="1" t="s">
        <v>5</v>
      </c>
      <c r="C157" s="9">
        <v>45812</v>
      </c>
      <c r="D157" s="22">
        <v>256779414317</v>
      </c>
      <c r="E157" s="1" t="s">
        <v>46</v>
      </c>
      <c r="F157" s="10">
        <v>697.43</v>
      </c>
      <c r="G157" s="1" t="s">
        <v>42</v>
      </c>
      <c r="H157" s="10">
        <v>59623.83</v>
      </c>
      <c r="I157" s="1" t="s">
        <v>279</v>
      </c>
      <c r="J157" s="20" t="e">
        <f>VLOOKUP(D157,#REF!,8,0)</f>
        <v>#REF!</v>
      </c>
      <c r="K157" s="5" t="e">
        <f t="shared" si="16"/>
        <v>#REF!</v>
      </c>
      <c r="L157" s="31" t="e">
        <f t="shared" si="17"/>
        <v>#REF!</v>
      </c>
    </row>
    <row r="158" spans="1:12" x14ac:dyDescent="0.35">
      <c r="A158" s="1" t="s">
        <v>280</v>
      </c>
      <c r="B158" s="1" t="s">
        <v>4</v>
      </c>
      <c r="C158" s="9">
        <v>45791</v>
      </c>
      <c r="D158" s="22">
        <v>256779420305</v>
      </c>
      <c r="E158" s="1" t="s">
        <v>46</v>
      </c>
      <c r="F158" s="10">
        <v>-945.75</v>
      </c>
      <c r="G158" s="1" t="s">
        <v>42</v>
      </c>
      <c r="H158" s="10">
        <v>-81988.259999999995</v>
      </c>
      <c r="I158" s="1" t="s">
        <v>281</v>
      </c>
      <c r="J158" t="e">
        <f>VLOOKUP(D158,#REF!,8,0)</f>
        <v>#REF!</v>
      </c>
    </row>
    <row r="159" spans="1:12" x14ac:dyDescent="0.35">
      <c r="A159" s="1" t="s">
        <v>282</v>
      </c>
      <c r="B159" s="1" t="s">
        <v>4</v>
      </c>
      <c r="C159" s="9">
        <v>45791</v>
      </c>
      <c r="D159" s="22">
        <v>256779420491</v>
      </c>
      <c r="E159" s="1" t="s">
        <v>46</v>
      </c>
      <c r="F159" s="10">
        <v>-1166.5899999999999</v>
      </c>
      <c r="G159" s="1" t="s">
        <v>42</v>
      </c>
      <c r="H159" s="10">
        <v>-101402.13</v>
      </c>
      <c r="I159" s="1" t="s">
        <v>283</v>
      </c>
      <c r="J159" t="e">
        <f>VLOOKUP(D159,#REF!,8,0)</f>
        <v>#REF!</v>
      </c>
    </row>
    <row r="160" spans="1:12" x14ac:dyDescent="0.35">
      <c r="A160" s="1" t="s">
        <v>284</v>
      </c>
      <c r="B160" s="1" t="s">
        <v>4</v>
      </c>
      <c r="C160" s="9">
        <v>45791</v>
      </c>
      <c r="D160" s="22">
        <v>256779420525</v>
      </c>
      <c r="E160" s="1" t="s">
        <v>46</v>
      </c>
      <c r="F160" s="10">
        <v>-1143.1199999999999</v>
      </c>
      <c r="G160" s="1" t="s">
        <v>42</v>
      </c>
      <c r="H160" s="10">
        <v>-99362.07</v>
      </c>
      <c r="I160" s="1" t="s">
        <v>285</v>
      </c>
      <c r="J160" t="e">
        <f>VLOOKUP(D160,#REF!,8,0)</f>
        <v>#REF!</v>
      </c>
    </row>
    <row r="161" spans="1:12" x14ac:dyDescent="0.35">
      <c r="A161" s="1" t="s">
        <v>286</v>
      </c>
      <c r="B161" s="1" t="s">
        <v>5</v>
      </c>
      <c r="C161" s="9">
        <v>45793</v>
      </c>
      <c r="D161" s="22">
        <v>256779413256</v>
      </c>
      <c r="E161" s="1" t="s">
        <v>46</v>
      </c>
      <c r="F161" s="10">
        <v>270</v>
      </c>
      <c r="G161" s="1" t="s">
        <v>42</v>
      </c>
      <c r="H161" s="10">
        <v>23215.599999999999</v>
      </c>
      <c r="I161" s="1" t="s">
        <v>287</v>
      </c>
      <c r="J161" s="20" t="e">
        <f>VLOOKUP(D161,#REF!,8,0)</f>
        <v>#REF!</v>
      </c>
      <c r="K161" s="5" t="e">
        <f t="shared" ref="K161:K167" si="18">H161-J161</f>
        <v>#REF!</v>
      </c>
      <c r="L161" s="31" t="e">
        <f t="shared" ref="L161:L167" si="19">K161/H161</f>
        <v>#REF!</v>
      </c>
    </row>
    <row r="162" spans="1:12" x14ac:dyDescent="0.35">
      <c r="A162" s="1" t="s">
        <v>288</v>
      </c>
      <c r="B162" s="1" t="s">
        <v>5</v>
      </c>
      <c r="C162" s="9">
        <v>45793</v>
      </c>
      <c r="D162" s="22">
        <v>256779413284</v>
      </c>
      <c r="E162" s="1" t="s">
        <v>46</v>
      </c>
      <c r="F162" s="10">
        <v>35</v>
      </c>
      <c r="G162" s="1" t="s">
        <v>42</v>
      </c>
      <c r="H162" s="10">
        <v>3009.43</v>
      </c>
      <c r="I162" s="1" t="s">
        <v>289</v>
      </c>
      <c r="J162" s="20" t="e">
        <f>VLOOKUP(D162,#REF!,8,0)</f>
        <v>#REF!</v>
      </c>
      <c r="K162" s="5" t="e">
        <f t="shared" si="18"/>
        <v>#REF!</v>
      </c>
      <c r="L162" s="31" t="e">
        <f t="shared" si="19"/>
        <v>#REF!</v>
      </c>
    </row>
    <row r="163" spans="1:12" x14ac:dyDescent="0.35">
      <c r="A163" s="1" t="s">
        <v>292</v>
      </c>
      <c r="B163" s="1" t="s">
        <v>5</v>
      </c>
      <c r="C163" s="9">
        <v>45805</v>
      </c>
      <c r="D163" s="22">
        <v>256779413897</v>
      </c>
      <c r="E163" s="1" t="s">
        <v>46</v>
      </c>
      <c r="F163" s="10">
        <v>553.24</v>
      </c>
      <c r="G163" s="1" t="s">
        <v>42</v>
      </c>
      <c r="H163" s="10">
        <v>47569.62</v>
      </c>
      <c r="I163" s="1" t="s">
        <v>293</v>
      </c>
      <c r="J163" s="20" t="e">
        <f>VLOOKUP(D163,#REF!,8,0)</f>
        <v>#REF!</v>
      </c>
      <c r="K163" s="5" t="e">
        <f t="shared" si="18"/>
        <v>#REF!</v>
      </c>
      <c r="L163" s="31" t="e">
        <f t="shared" si="19"/>
        <v>#REF!</v>
      </c>
    </row>
    <row r="164" spans="1:12" x14ac:dyDescent="0.35">
      <c r="A164" s="1" t="s">
        <v>294</v>
      </c>
      <c r="B164" s="1" t="s">
        <v>5</v>
      </c>
      <c r="C164" s="9">
        <v>45856</v>
      </c>
      <c r="D164" s="22">
        <v>256779415432</v>
      </c>
      <c r="E164" s="1" t="s">
        <v>46</v>
      </c>
      <c r="F164" s="10">
        <v>296.64</v>
      </c>
      <c r="G164" s="1" t="s">
        <v>42</v>
      </c>
      <c r="H164" s="10">
        <v>25511.24</v>
      </c>
      <c r="I164" s="1" t="s">
        <v>295</v>
      </c>
      <c r="J164" s="20" t="e">
        <f>VLOOKUP(D164,#REF!,8,0)</f>
        <v>#REF!</v>
      </c>
      <c r="K164" s="5" t="e">
        <f t="shared" si="18"/>
        <v>#REF!</v>
      </c>
      <c r="L164" s="31" t="e">
        <f t="shared" si="19"/>
        <v>#REF!</v>
      </c>
    </row>
    <row r="165" spans="1:12" x14ac:dyDescent="0.35">
      <c r="A165" s="1" t="s">
        <v>296</v>
      </c>
      <c r="B165" s="1" t="s">
        <v>5</v>
      </c>
      <c r="C165" s="9">
        <v>45856</v>
      </c>
      <c r="D165" s="22">
        <v>256779415482</v>
      </c>
      <c r="E165" s="1" t="s">
        <v>46</v>
      </c>
      <c r="F165" s="10">
        <v>860.97</v>
      </c>
      <c r="G165" s="1" t="s">
        <v>42</v>
      </c>
      <c r="H165" s="10">
        <v>74044</v>
      </c>
      <c r="I165" s="1" t="s">
        <v>297</v>
      </c>
      <c r="J165" s="20" t="e">
        <f>VLOOKUP(D165,#REF!,8,0)</f>
        <v>#REF!</v>
      </c>
      <c r="K165" s="5" t="e">
        <f t="shared" si="18"/>
        <v>#REF!</v>
      </c>
      <c r="L165" s="31" t="e">
        <f t="shared" si="19"/>
        <v>#REF!</v>
      </c>
    </row>
    <row r="166" spans="1:12" x14ac:dyDescent="0.35">
      <c r="A166" s="1" t="s">
        <v>298</v>
      </c>
      <c r="B166" s="1" t="s">
        <v>5</v>
      </c>
      <c r="C166" s="9">
        <v>45856</v>
      </c>
      <c r="D166" s="22">
        <v>256779415524</v>
      </c>
      <c r="E166" s="1" t="s">
        <v>46</v>
      </c>
      <c r="F166" s="10">
        <v>73.12</v>
      </c>
      <c r="G166" s="1" t="s">
        <v>42</v>
      </c>
      <c r="H166" s="10">
        <v>6288.37</v>
      </c>
      <c r="I166" s="1" t="s">
        <v>299</v>
      </c>
      <c r="J166" s="20" t="e">
        <f>VLOOKUP(D166,#REF!,8,0)</f>
        <v>#REF!</v>
      </c>
      <c r="K166" s="5" t="e">
        <f t="shared" si="18"/>
        <v>#REF!</v>
      </c>
      <c r="L166" s="31" t="e">
        <f t="shared" si="19"/>
        <v>#REF!</v>
      </c>
    </row>
    <row r="167" spans="1:12" x14ac:dyDescent="0.35">
      <c r="A167" s="1" t="s">
        <v>300</v>
      </c>
      <c r="B167" s="1" t="s">
        <v>5</v>
      </c>
      <c r="C167" s="9">
        <v>45856</v>
      </c>
      <c r="D167" s="22">
        <v>256779415701</v>
      </c>
      <c r="E167" s="1" t="s">
        <v>46</v>
      </c>
      <c r="F167" s="10">
        <v>660</v>
      </c>
      <c r="G167" s="1" t="s">
        <v>42</v>
      </c>
      <c r="H167" s="10">
        <v>56760.44</v>
      </c>
      <c r="I167" s="1" t="s">
        <v>301</v>
      </c>
      <c r="J167" s="20" t="e">
        <f>VLOOKUP(D167,#REF!,8,0)</f>
        <v>#REF!</v>
      </c>
      <c r="K167" s="5" t="e">
        <f t="shared" si="18"/>
        <v>#REF!</v>
      </c>
      <c r="L167" s="31" t="e">
        <f t="shared" si="19"/>
        <v>#REF!</v>
      </c>
    </row>
    <row r="168" spans="1:12" x14ac:dyDescent="0.35">
      <c r="A168" s="1" t="s">
        <v>302</v>
      </c>
      <c r="B168" s="1" t="s">
        <v>5</v>
      </c>
      <c r="C168" s="9">
        <v>45856</v>
      </c>
      <c r="D168" s="22">
        <v>256779415802</v>
      </c>
      <c r="E168" s="1" t="s">
        <v>46</v>
      </c>
      <c r="F168" s="10">
        <v>860.97</v>
      </c>
      <c r="G168" s="1" t="s">
        <v>42</v>
      </c>
      <c r="H168" s="26">
        <v>74044</v>
      </c>
      <c r="I168" s="1" t="s">
        <v>297</v>
      </c>
      <c r="J168" t="e">
        <f>VLOOKUP(D168,#REF!,8,0)</f>
        <v>#REF!</v>
      </c>
    </row>
    <row r="169" spans="1:12" x14ac:dyDescent="0.35">
      <c r="A169" s="1" t="s">
        <v>303</v>
      </c>
      <c r="B169" s="1" t="s">
        <v>5</v>
      </c>
      <c r="C169" s="9">
        <v>45729</v>
      </c>
      <c r="D169" s="22">
        <v>246779411301</v>
      </c>
      <c r="E169" s="1" t="s">
        <v>46</v>
      </c>
      <c r="F169" s="10">
        <v>85</v>
      </c>
      <c r="G169" s="1" t="s">
        <v>42</v>
      </c>
      <c r="H169" s="10">
        <v>7368.76</v>
      </c>
      <c r="I169" s="1" t="s">
        <v>304</v>
      </c>
      <c r="J169" s="20" t="e">
        <f>VLOOKUP(D169,#REF!,8,0)</f>
        <v>#REF!</v>
      </c>
      <c r="K169" s="5" t="e">
        <f t="shared" ref="K169:K187" si="20">H169-J169</f>
        <v>#REF!</v>
      </c>
      <c r="L169" s="31" t="e">
        <f t="shared" ref="L169:L187" si="21">K169/H169</f>
        <v>#REF!</v>
      </c>
    </row>
    <row r="170" spans="1:12" x14ac:dyDescent="0.35">
      <c r="A170" s="1" t="s">
        <v>305</v>
      </c>
      <c r="B170" s="1" t="s">
        <v>5</v>
      </c>
      <c r="C170" s="9">
        <v>45729</v>
      </c>
      <c r="D170" s="22">
        <v>246779411315</v>
      </c>
      <c r="E170" s="1" t="s">
        <v>46</v>
      </c>
      <c r="F170" s="10">
        <v>35</v>
      </c>
      <c r="G170" s="1" t="s">
        <v>42</v>
      </c>
      <c r="H170" s="10">
        <v>3034.19</v>
      </c>
      <c r="I170" s="1" t="s">
        <v>306</v>
      </c>
      <c r="J170" s="20" t="e">
        <f>VLOOKUP(D170,#REF!,8,0)</f>
        <v>#REF!</v>
      </c>
      <c r="K170" s="5" t="e">
        <f t="shared" si="20"/>
        <v>#REF!</v>
      </c>
      <c r="L170" s="31" t="e">
        <f t="shared" si="21"/>
        <v>#REF!</v>
      </c>
    </row>
    <row r="171" spans="1:12" x14ac:dyDescent="0.35">
      <c r="A171" s="1" t="s">
        <v>307</v>
      </c>
      <c r="B171" s="1" t="s">
        <v>5</v>
      </c>
      <c r="C171" s="9">
        <v>45729</v>
      </c>
      <c r="D171" s="22">
        <v>246779411279</v>
      </c>
      <c r="E171" s="1" t="s">
        <v>46</v>
      </c>
      <c r="F171" s="10">
        <v>35</v>
      </c>
      <c r="G171" s="1" t="s">
        <v>42</v>
      </c>
      <c r="H171" s="10">
        <v>3034.19</v>
      </c>
      <c r="I171" s="1" t="s">
        <v>308</v>
      </c>
      <c r="J171" s="20" t="e">
        <f>VLOOKUP(D171,#REF!,8,0)</f>
        <v>#REF!</v>
      </c>
      <c r="K171" s="5" t="e">
        <f t="shared" si="20"/>
        <v>#REF!</v>
      </c>
      <c r="L171" s="31" t="e">
        <f t="shared" si="21"/>
        <v>#REF!</v>
      </c>
    </row>
    <row r="172" spans="1:12" x14ac:dyDescent="0.35">
      <c r="A172" s="1" t="s">
        <v>309</v>
      </c>
      <c r="B172" s="1" t="s">
        <v>5</v>
      </c>
      <c r="C172" s="9">
        <v>45736</v>
      </c>
      <c r="D172" s="22">
        <v>246779413797</v>
      </c>
      <c r="E172" s="1" t="s">
        <v>46</v>
      </c>
      <c r="F172" s="10">
        <v>1750</v>
      </c>
      <c r="G172" s="1" t="s">
        <v>42</v>
      </c>
      <c r="H172" s="10">
        <v>151709.71</v>
      </c>
      <c r="I172" s="1" t="s">
        <v>310</v>
      </c>
      <c r="J172" s="20" t="e">
        <f>VLOOKUP(D172,#REF!,8,0)</f>
        <v>#REF!</v>
      </c>
      <c r="K172" s="5" t="e">
        <f t="shared" si="20"/>
        <v>#REF!</v>
      </c>
      <c r="L172" s="31" t="e">
        <f t="shared" si="21"/>
        <v>#REF!</v>
      </c>
    </row>
    <row r="173" spans="1:12" x14ac:dyDescent="0.35">
      <c r="A173" s="1" t="s">
        <v>311</v>
      </c>
      <c r="B173" s="1" t="s">
        <v>5</v>
      </c>
      <c r="C173" s="9">
        <v>45736</v>
      </c>
      <c r="D173" s="22">
        <v>246779413808</v>
      </c>
      <c r="E173" s="1" t="s">
        <v>46</v>
      </c>
      <c r="F173" s="10">
        <v>1600</v>
      </c>
      <c r="G173" s="1" t="s">
        <v>42</v>
      </c>
      <c r="H173" s="10">
        <v>138706.01999999999</v>
      </c>
      <c r="I173" s="1" t="s">
        <v>312</v>
      </c>
      <c r="J173" s="20" t="e">
        <f>VLOOKUP(D173,#REF!,8,0)</f>
        <v>#REF!</v>
      </c>
      <c r="K173" s="5" t="e">
        <f t="shared" si="20"/>
        <v>#REF!</v>
      </c>
      <c r="L173" s="31" t="e">
        <f t="shared" si="21"/>
        <v>#REF!</v>
      </c>
    </row>
    <row r="174" spans="1:12" x14ac:dyDescent="0.35">
      <c r="A174" s="1" t="s">
        <v>313</v>
      </c>
      <c r="B174" s="1" t="s">
        <v>5</v>
      </c>
      <c r="C174" s="9">
        <v>45736</v>
      </c>
      <c r="D174" s="22">
        <v>246779413817</v>
      </c>
      <c r="E174" s="1" t="s">
        <v>46</v>
      </c>
      <c r="F174" s="10">
        <v>50</v>
      </c>
      <c r="G174" s="1" t="s">
        <v>42</v>
      </c>
      <c r="H174" s="10">
        <v>4334.5600000000004</v>
      </c>
      <c r="I174" s="1" t="s">
        <v>314</v>
      </c>
      <c r="J174" s="20" t="e">
        <f>VLOOKUP(D174,#REF!,8,0)</f>
        <v>#REF!</v>
      </c>
      <c r="K174" s="5" t="e">
        <f t="shared" si="20"/>
        <v>#REF!</v>
      </c>
      <c r="L174" s="31" t="e">
        <f t="shared" si="21"/>
        <v>#REF!</v>
      </c>
    </row>
    <row r="175" spans="1:12" x14ac:dyDescent="0.35">
      <c r="A175" s="1" t="s">
        <v>315</v>
      </c>
      <c r="B175" s="1" t="s">
        <v>5</v>
      </c>
      <c r="C175" s="9">
        <v>45736</v>
      </c>
      <c r="D175" s="22">
        <v>246779413828</v>
      </c>
      <c r="E175" s="1" t="s">
        <v>46</v>
      </c>
      <c r="F175" s="10">
        <v>50</v>
      </c>
      <c r="G175" s="1" t="s">
        <v>42</v>
      </c>
      <c r="H175" s="10">
        <v>4334.5600000000004</v>
      </c>
      <c r="I175" s="1" t="s">
        <v>316</v>
      </c>
      <c r="J175" s="20" t="e">
        <f>VLOOKUP(D175,#REF!,8,0)</f>
        <v>#REF!</v>
      </c>
      <c r="K175" s="5" t="e">
        <f t="shared" si="20"/>
        <v>#REF!</v>
      </c>
      <c r="L175" s="31" t="e">
        <f t="shared" si="21"/>
        <v>#REF!</v>
      </c>
    </row>
    <row r="176" spans="1:12" x14ac:dyDescent="0.35">
      <c r="A176" s="1" t="s">
        <v>317</v>
      </c>
      <c r="B176" s="1" t="s">
        <v>5</v>
      </c>
      <c r="C176" s="9">
        <v>45736</v>
      </c>
      <c r="D176" s="22">
        <v>246779413905</v>
      </c>
      <c r="E176" s="1" t="s">
        <v>46</v>
      </c>
      <c r="F176" s="10">
        <v>4.4000000000000004</v>
      </c>
      <c r="G176" s="1" t="s">
        <v>42</v>
      </c>
      <c r="H176" s="10">
        <v>381.44</v>
      </c>
      <c r="I176" s="1" t="s">
        <v>318</v>
      </c>
      <c r="J176" s="20" t="e">
        <f>VLOOKUP(D176,#REF!,8,0)</f>
        <v>#REF!</v>
      </c>
      <c r="K176" s="5" t="e">
        <f t="shared" si="20"/>
        <v>#REF!</v>
      </c>
      <c r="L176" s="31" t="e">
        <f t="shared" si="21"/>
        <v>#REF!</v>
      </c>
    </row>
    <row r="177" spans="1:12" x14ac:dyDescent="0.35">
      <c r="A177" s="1" t="s">
        <v>319</v>
      </c>
      <c r="B177" s="1" t="s">
        <v>5</v>
      </c>
      <c r="C177" s="9">
        <v>45736</v>
      </c>
      <c r="D177" s="22">
        <v>246779414143</v>
      </c>
      <c r="E177" s="1" t="s">
        <v>46</v>
      </c>
      <c r="F177" s="10">
        <v>566.11</v>
      </c>
      <c r="G177" s="1" t="s">
        <v>42</v>
      </c>
      <c r="H177" s="10">
        <v>49076.79</v>
      </c>
      <c r="I177" s="1" t="s">
        <v>320</v>
      </c>
      <c r="J177" s="20" t="e">
        <f>VLOOKUP(D177,#REF!,8,0)</f>
        <v>#REF!</v>
      </c>
      <c r="K177" s="5" t="e">
        <f t="shared" si="20"/>
        <v>#REF!</v>
      </c>
      <c r="L177" s="31" t="e">
        <f t="shared" si="21"/>
        <v>#REF!</v>
      </c>
    </row>
    <row r="178" spans="1:12" x14ac:dyDescent="0.35">
      <c r="A178" s="1" t="s">
        <v>321</v>
      </c>
      <c r="B178" s="1" t="s">
        <v>5</v>
      </c>
      <c r="C178" s="9">
        <v>45736</v>
      </c>
      <c r="D178" s="22">
        <v>246779414144</v>
      </c>
      <c r="E178" s="1" t="s">
        <v>46</v>
      </c>
      <c r="F178" s="10">
        <v>126</v>
      </c>
      <c r="G178" s="1" t="s">
        <v>42</v>
      </c>
      <c r="H178" s="10">
        <v>10923.1</v>
      </c>
      <c r="I178" s="1" t="s">
        <v>322</v>
      </c>
      <c r="J178" s="20" t="e">
        <f>VLOOKUP(D178,#REF!,8,0)</f>
        <v>#REF!</v>
      </c>
      <c r="K178" s="5" t="e">
        <f t="shared" si="20"/>
        <v>#REF!</v>
      </c>
      <c r="L178" s="31" t="e">
        <f t="shared" si="21"/>
        <v>#REF!</v>
      </c>
    </row>
    <row r="179" spans="1:12" x14ac:dyDescent="0.35">
      <c r="A179" s="1" t="s">
        <v>323</v>
      </c>
      <c r="B179" s="1" t="s">
        <v>5</v>
      </c>
      <c r="C179" s="9">
        <v>45736</v>
      </c>
      <c r="D179" s="22">
        <v>246779414145</v>
      </c>
      <c r="E179" s="1" t="s">
        <v>46</v>
      </c>
      <c r="F179" s="10">
        <v>150</v>
      </c>
      <c r="G179" s="1" t="s">
        <v>42</v>
      </c>
      <c r="H179" s="10">
        <v>13003.69</v>
      </c>
      <c r="I179" s="1" t="s">
        <v>324</v>
      </c>
      <c r="J179" s="20" t="e">
        <f>VLOOKUP(D179,#REF!,8,0)</f>
        <v>#REF!</v>
      </c>
      <c r="K179" s="5" t="e">
        <f t="shared" si="20"/>
        <v>#REF!</v>
      </c>
      <c r="L179" s="31" t="e">
        <f t="shared" si="21"/>
        <v>#REF!</v>
      </c>
    </row>
    <row r="180" spans="1:12" x14ac:dyDescent="0.35">
      <c r="A180" s="1" t="s">
        <v>325</v>
      </c>
      <c r="B180" s="1" t="s">
        <v>5</v>
      </c>
      <c r="C180" s="9">
        <v>45736</v>
      </c>
      <c r="D180" s="22">
        <v>246779414146</v>
      </c>
      <c r="E180" s="1" t="s">
        <v>46</v>
      </c>
      <c r="F180" s="10">
        <v>19.350000000000001</v>
      </c>
      <c r="G180" s="1" t="s">
        <v>42</v>
      </c>
      <c r="H180" s="10">
        <v>1677.48</v>
      </c>
      <c r="I180" s="1" t="s">
        <v>326</v>
      </c>
      <c r="J180" s="20" t="e">
        <f>VLOOKUP(D180,#REF!,8,0)</f>
        <v>#REF!</v>
      </c>
      <c r="K180" s="5" t="e">
        <f t="shared" si="20"/>
        <v>#REF!</v>
      </c>
      <c r="L180" s="31" t="e">
        <f t="shared" si="21"/>
        <v>#REF!</v>
      </c>
    </row>
    <row r="181" spans="1:12" x14ac:dyDescent="0.35">
      <c r="A181" s="1" t="s">
        <v>327</v>
      </c>
      <c r="B181" s="1" t="s">
        <v>5</v>
      </c>
      <c r="C181" s="9">
        <v>45736</v>
      </c>
      <c r="D181" s="22">
        <v>246779414222</v>
      </c>
      <c r="E181" s="1" t="s">
        <v>46</v>
      </c>
      <c r="F181" s="10">
        <v>196.78</v>
      </c>
      <c r="G181" s="1" t="s">
        <v>42</v>
      </c>
      <c r="H181" s="10">
        <v>17059.11</v>
      </c>
      <c r="I181" s="1" t="s">
        <v>328</v>
      </c>
      <c r="J181" s="20" t="e">
        <f>VLOOKUP(D181,#REF!,8,0)</f>
        <v>#REF!</v>
      </c>
      <c r="K181" s="5" t="e">
        <f t="shared" si="20"/>
        <v>#REF!</v>
      </c>
      <c r="L181" s="31" t="e">
        <f t="shared" si="21"/>
        <v>#REF!</v>
      </c>
    </row>
    <row r="182" spans="1:12" x14ac:dyDescent="0.35">
      <c r="A182" s="1" t="s">
        <v>329</v>
      </c>
      <c r="B182" s="1" t="s">
        <v>5</v>
      </c>
      <c r="C182" s="9">
        <v>45736</v>
      </c>
      <c r="D182" s="22">
        <v>246779414397</v>
      </c>
      <c r="E182" s="1" t="s">
        <v>46</v>
      </c>
      <c r="F182" s="10">
        <v>7.03</v>
      </c>
      <c r="G182" s="1" t="s">
        <v>42</v>
      </c>
      <c r="H182" s="10">
        <v>609.44000000000005</v>
      </c>
      <c r="I182" s="1" t="s">
        <v>330</v>
      </c>
      <c r="J182" s="20" t="e">
        <f>VLOOKUP(D182,#REF!,8,0)</f>
        <v>#REF!</v>
      </c>
      <c r="K182" s="5" t="e">
        <f t="shared" si="20"/>
        <v>#REF!</v>
      </c>
      <c r="L182" s="31" t="e">
        <f t="shared" si="21"/>
        <v>#REF!</v>
      </c>
    </row>
    <row r="183" spans="1:12" x14ac:dyDescent="0.35">
      <c r="A183" s="1" t="s">
        <v>331</v>
      </c>
      <c r="B183" s="1" t="s">
        <v>5</v>
      </c>
      <c r="C183" s="9">
        <v>45736</v>
      </c>
      <c r="D183" s="22">
        <v>246779414398</v>
      </c>
      <c r="E183" s="1" t="s">
        <v>46</v>
      </c>
      <c r="F183" s="10">
        <v>32.380000000000003</v>
      </c>
      <c r="G183" s="1" t="s">
        <v>42</v>
      </c>
      <c r="H183" s="10">
        <v>2807.06</v>
      </c>
      <c r="I183" s="1" t="s">
        <v>332</v>
      </c>
      <c r="J183" s="20" t="e">
        <f>VLOOKUP(D183,#REF!,8,0)</f>
        <v>#REF!</v>
      </c>
      <c r="K183" s="5" t="e">
        <f t="shared" si="20"/>
        <v>#REF!</v>
      </c>
      <c r="L183" s="31" t="e">
        <f t="shared" si="21"/>
        <v>#REF!</v>
      </c>
    </row>
    <row r="184" spans="1:12" x14ac:dyDescent="0.35">
      <c r="A184" s="1" t="s">
        <v>333</v>
      </c>
      <c r="B184" s="1" t="s">
        <v>5</v>
      </c>
      <c r="C184" s="9">
        <v>45736</v>
      </c>
      <c r="D184" s="22">
        <v>246779414399</v>
      </c>
      <c r="E184" s="1" t="s">
        <v>46</v>
      </c>
      <c r="F184" s="10">
        <v>77.040000000000006</v>
      </c>
      <c r="G184" s="1" t="s">
        <v>42</v>
      </c>
      <c r="H184" s="10">
        <v>6678.69</v>
      </c>
      <c r="I184" s="1" t="s">
        <v>334</v>
      </c>
      <c r="J184" s="20" t="e">
        <f>VLOOKUP(D184,#REF!,8,0)</f>
        <v>#REF!</v>
      </c>
      <c r="K184" s="5" t="e">
        <f t="shared" si="20"/>
        <v>#REF!</v>
      </c>
      <c r="L184" s="31" t="e">
        <f t="shared" si="21"/>
        <v>#REF!</v>
      </c>
    </row>
    <row r="185" spans="1:12" x14ac:dyDescent="0.35">
      <c r="A185" s="1" t="s">
        <v>335</v>
      </c>
      <c r="B185" s="1" t="s">
        <v>5</v>
      </c>
      <c r="C185" s="9">
        <v>45736</v>
      </c>
      <c r="D185" s="22">
        <v>246779414735</v>
      </c>
      <c r="E185" s="1" t="s">
        <v>46</v>
      </c>
      <c r="F185" s="10">
        <v>97.4</v>
      </c>
      <c r="G185" s="1" t="s">
        <v>42</v>
      </c>
      <c r="H185" s="10">
        <v>8443.73</v>
      </c>
      <c r="I185" s="1" t="s">
        <v>336</v>
      </c>
      <c r="J185" s="20" t="e">
        <f>VLOOKUP(D185,#REF!,8,0)</f>
        <v>#REF!</v>
      </c>
      <c r="K185" s="5" t="e">
        <f t="shared" si="20"/>
        <v>#REF!</v>
      </c>
      <c r="L185" s="31" t="e">
        <f t="shared" si="21"/>
        <v>#REF!</v>
      </c>
    </row>
    <row r="186" spans="1:12" x14ac:dyDescent="0.35">
      <c r="A186" s="1" t="s">
        <v>337</v>
      </c>
      <c r="B186" s="1" t="s">
        <v>5</v>
      </c>
      <c r="C186" s="9">
        <v>45736</v>
      </c>
      <c r="D186" s="22">
        <v>246779414886</v>
      </c>
      <c r="E186" s="1" t="s">
        <v>46</v>
      </c>
      <c r="F186" s="10">
        <v>30.8</v>
      </c>
      <c r="G186" s="1" t="s">
        <v>42</v>
      </c>
      <c r="H186" s="10">
        <v>2670.09</v>
      </c>
      <c r="I186" s="1" t="s">
        <v>336</v>
      </c>
      <c r="J186" s="20" t="e">
        <f>VLOOKUP(D186,#REF!,8,0)</f>
        <v>#REF!</v>
      </c>
      <c r="K186" s="5" t="e">
        <f t="shared" si="20"/>
        <v>#REF!</v>
      </c>
      <c r="L186" s="31" t="e">
        <f t="shared" si="21"/>
        <v>#REF!</v>
      </c>
    </row>
    <row r="187" spans="1:12" x14ac:dyDescent="0.35">
      <c r="A187" s="1" t="s">
        <v>338</v>
      </c>
      <c r="B187" s="1" t="s">
        <v>5</v>
      </c>
      <c r="C187" s="9">
        <v>45736</v>
      </c>
      <c r="D187" s="22">
        <v>246779414887</v>
      </c>
      <c r="E187" s="1" t="s">
        <v>46</v>
      </c>
      <c r="F187" s="10">
        <v>7.27</v>
      </c>
      <c r="G187" s="1" t="s">
        <v>42</v>
      </c>
      <c r="H187" s="10">
        <v>630.25</v>
      </c>
      <c r="I187" s="1" t="s">
        <v>336</v>
      </c>
      <c r="J187" s="20" t="e">
        <f>VLOOKUP(D187,#REF!,8,0)</f>
        <v>#REF!</v>
      </c>
      <c r="K187" s="5" t="e">
        <f t="shared" si="20"/>
        <v>#REF!</v>
      </c>
      <c r="L187" s="31" t="e">
        <f t="shared" si="21"/>
        <v>#REF!</v>
      </c>
    </row>
    <row r="188" spans="1:12" x14ac:dyDescent="0.35">
      <c r="A188" s="1" t="s">
        <v>339</v>
      </c>
      <c r="B188" s="1" t="s">
        <v>5</v>
      </c>
      <c r="C188" s="9">
        <v>45736</v>
      </c>
      <c r="D188" s="22">
        <v>246779414888</v>
      </c>
      <c r="E188" s="1" t="s">
        <v>46</v>
      </c>
      <c r="F188" s="10">
        <v>10.91</v>
      </c>
      <c r="G188" s="1" t="s">
        <v>42</v>
      </c>
      <c r="H188" s="26">
        <v>945.8</v>
      </c>
      <c r="I188" s="1" t="s">
        <v>336</v>
      </c>
      <c r="J188" t="e">
        <f>VLOOKUP(D188,#REF!,8,0)</f>
        <v>#REF!</v>
      </c>
    </row>
    <row r="189" spans="1:12" x14ac:dyDescent="0.35">
      <c r="A189" s="1" t="s">
        <v>340</v>
      </c>
      <c r="B189" s="1" t="s">
        <v>5</v>
      </c>
      <c r="C189" s="9">
        <v>45736</v>
      </c>
      <c r="D189" s="22">
        <v>246779414889</v>
      </c>
      <c r="E189" s="1" t="s">
        <v>46</v>
      </c>
      <c r="F189" s="10">
        <v>2.52</v>
      </c>
      <c r="G189" s="1" t="s">
        <v>42</v>
      </c>
      <c r="H189" s="10">
        <v>218.46</v>
      </c>
      <c r="I189" s="1" t="s">
        <v>336</v>
      </c>
      <c r="J189" s="20" t="e">
        <f>VLOOKUP(D189,#REF!,8,0)</f>
        <v>#REF!</v>
      </c>
      <c r="K189" s="5" t="e">
        <f t="shared" ref="K189:K194" si="22">H189-J189</f>
        <v>#REF!</v>
      </c>
      <c r="L189" s="31" t="e">
        <f t="shared" ref="L189:L194" si="23">K189/H189</f>
        <v>#REF!</v>
      </c>
    </row>
    <row r="190" spans="1:12" x14ac:dyDescent="0.35">
      <c r="A190" s="1" t="s">
        <v>341</v>
      </c>
      <c r="B190" s="1" t="s">
        <v>5</v>
      </c>
      <c r="C190" s="9">
        <v>45736</v>
      </c>
      <c r="D190" s="22">
        <v>246779414890</v>
      </c>
      <c r="E190" s="1" t="s">
        <v>46</v>
      </c>
      <c r="F190" s="10">
        <v>44</v>
      </c>
      <c r="G190" s="1" t="s">
        <v>42</v>
      </c>
      <c r="H190" s="10">
        <v>3814.42</v>
      </c>
      <c r="I190" s="1" t="s">
        <v>336</v>
      </c>
      <c r="J190" s="20" t="e">
        <f>VLOOKUP(D190,#REF!,8,0)</f>
        <v>#REF!</v>
      </c>
      <c r="K190" s="5" t="e">
        <f t="shared" si="22"/>
        <v>#REF!</v>
      </c>
      <c r="L190" s="31" t="e">
        <f t="shared" si="23"/>
        <v>#REF!</v>
      </c>
    </row>
    <row r="191" spans="1:12" x14ac:dyDescent="0.35">
      <c r="A191" s="1" t="s">
        <v>342</v>
      </c>
      <c r="B191" s="1" t="s">
        <v>5</v>
      </c>
      <c r="C191" s="9">
        <v>45736</v>
      </c>
      <c r="D191" s="22">
        <v>246779414468</v>
      </c>
      <c r="E191" s="1" t="s">
        <v>46</v>
      </c>
      <c r="F191" s="10">
        <v>92.22</v>
      </c>
      <c r="G191" s="1" t="s">
        <v>42</v>
      </c>
      <c r="H191" s="10">
        <v>7994.67</v>
      </c>
      <c r="I191" s="1" t="s">
        <v>343</v>
      </c>
      <c r="J191" s="20" t="e">
        <f>VLOOKUP(D191,#REF!,8,0)</f>
        <v>#REF!</v>
      </c>
      <c r="K191" s="5" t="e">
        <f t="shared" si="22"/>
        <v>#REF!</v>
      </c>
      <c r="L191" s="31" t="e">
        <f t="shared" si="23"/>
        <v>#REF!</v>
      </c>
    </row>
    <row r="192" spans="1:12" x14ac:dyDescent="0.35">
      <c r="A192" s="1" t="s">
        <v>344</v>
      </c>
      <c r="B192" s="1" t="s">
        <v>5</v>
      </c>
      <c r="C192" s="9">
        <v>45736</v>
      </c>
      <c r="D192" s="22">
        <v>246779414604</v>
      </c>
      <c r="E192" s="1" t="s">
        <v>46</v>
      </c>
      <c r="F192" s="10">
        <v>458.06</v>
      </c>
      <c r="G192" s="1" t="s">
        <v>42</v>
      </c>
      <c r="H192" s="10">
        <v>39709.800000000003</v>
      </c>
      <c r="I192" s="1" t="s">
        <v>345</v>
      </c>
      <c r="J192" s="20" t="e">
        <f>VLOOKUP(D192,#REF!,8,0)</f>
        <v>#REF!</v>
      </c>
      <c r="K192" s="5" t="e">
        <f t="shared" si="22"/>
        <v>#REF!</v>
      </c>
      <c r="L192" s="31" t="e">
        <f t="shared" si="23"/>
        <v>#REF!</v>
      </c>
    </row>
    <row r="193" spans="1:12" x14ac:dyDescent="0.35">
      <c r="A193" s="1" t="s">
        <v>346</v>
      </c>
      <c r="B193" s="1" t="s">
        <v>5</v>
      </c>
      <c r="C193" s="9">
        <v>45736</v>
      </c>
      <c r="D193" s="22">
        <v>246779414682</v>
      </c>
      <c r="E193" s="1" t="s">
        <v>46</v>
      </c>
      <c r="F193" s="10">
        <v>90.86</v>
      </c>
      <c r="G193" s="1" t="s">
        <v>42</v>
      </c>
      <c r="H193" s="10">
        <v>7876.77</v>
      </c>
      <c r="I193" s="1" t="s">
        <v>347</v>
      </c>
      <c r="J193" s="20" t="e">
        <f>VLOOKUP(D193,#REF!,8,0)</f>
        <v>#REF!</v>
      </c>
      <c r="K193" s="5" t="e">
        <f t="shared" si="22"/>
        <v>#REF!</v>
      </c>
      <c r="L193" s="31" t="e">
        <f t="shared" si="23"/>
        <v>#REF!</v>
      </c>
    </row>
    <row r="194" spans="1:12" x14ac:dyDescent="0.35">
      <c r="A194" s="1" t="s">
        <v>348</v>
      </c>
      <c r="B194" s="1" t="s">
        <v>5</v>
      </c>
      <c r="C194" s="9">
        <v>45708</v>
      </c>
      <c r="D194" s="22">
        <v>246779410029</v>
      </c>
      <c r="E194" s="1" t="s">
        <v>46</v>
      </c>
      <c r="F194" s="10">
        <v>1190.48</v>
      </c>
      <c r="G194" s="1" t="s">
        <v>42</v>
      </c>
      <c r="H194" s="10">
        <v>102742.78</v>
      </c>
      <c r="I194" s="1" t="s">
        <v>349</v>
      </c>
      <c r="J194" s="20" t="e">
        <f>VLOOKUP(D194,#REF!,8,0)</f>
        <v>#REF!</v>
      </c>
      <c r="K194" s="5" t="e">
        <f t="shared" si="22"/>
        <v>#REF!</v>
      </c>
      <c r="L194" s="31" t="e">
        <f t="shared" si="23"/>
        <v>#REF!</v>
      </c>
    </row>
    <row r="195" spans="1:12" x14ac:dyDescent="0.35">
      <c r="A195" s="1" t="s">
        <v>350</v>
      </c>
      <c r="B195" s="1" t="s">
        <v>5</v>
      </c>
      <c r="C195" s="9">
        <v>45708</v>
      </c>
      <c r="D195" s="22">
        <v>246779410055</v>
      </c>
      <c r="E195" s="1" t="s">
        <v>46</v>
      </c>
      <c r="F195" s="10">
        <v>416.67</v>
      </c>
      <c r="G195" s="1" t="s">
        <v>42</v>
      </c>
      <c r="H195" s="26">
        <v>35960.15</v>
      </c>
      <c r="I195" s="1" t="s">
        <v>351</v>
      </c>
      <c r="J195" t="e">
        <f>VLOOKUP(D195,#REF!,8,0)</f>
        <v>#REF!</v>
      </c>
    </row>
    <row r="196" spans="1:12" x14ac:dyDescent="0.35">
      <c r="A196" s="1" t="s">
        <v>352</v>
      </c>
      <c r="B196" s="1" t="s">
        <v>5</v>
      </c>
      <c r="C196" s="9">
        <v>45708</v>
      </c>
      <c r="D196" s="22">
        <v>246779410097</v>
      </c>
      <c r="E196" s="1" t="s">
        <v>46</v>
      </c>
      <c r="F196" s="10">
        <v>1190.48</v>
      </c>
      <c r="G196" s="1" t="s">
        <v>42</v>
      </c>
      <c r="H196" s="10">
        <v>102742.78</v>
      </c>
      <c r="I196" s="1" t="s">
        <v>353</v>
      </c>
      <c r="J196" s="20" t="e">
        <f>VLOOKUP(D196,#REF!,8,0)</f>
        <v>#REF!</v>
      </c>
      <c r="K196" s="5" t="e">
        <f t="shared" ref="K196:K199" si="24">H196-J196</f>
        <v>#REF!</v>
      </c>
      <c r="L196" s="31" t="e">
        <f t="shared" ref="L196:L199" si="25">K196/H196</f>
        <v>#REF!</v>
      </c>
    </row>
    <row r="197" spans="1:12" x14ac:dyDescent="0.35">
      <c r="A197" s="1" t="s">
        <v>354</v>
      </c>
      <c r="B197" s="1" t="s">
        <v>5</v>
      </c>
      <c r="C197" s="9">
        <v>45708</v>
      </c>
      <c r="D197" s="22">
        <v>246779410123</v>
      </c>
      <c r="E197" s="1" t="s">
        <v>46</v>
      </c>
      <c r="F197" s="10">
        <v>416.67</v>
      </c>
      <c r="G197" s="1" t="s">
        <v>42</v>
      </c>
      <c r="H197" s="10">
        <v>35960.15</v>
      </c>
      <c r="I197" s="1" t="s">
        <v>355</v>
      </c>
      <c r="J197" s="20" t="e">
        <f>VLOOKUP(D197,#REF!,8,0)</f>
        <v>#REF!</v>
      </c>
      <c r="K197" s="5" t="e">
        <f t="shared" si="24"/>
        <v>#REF!</v>
      </c>
      <c r="L197" s="31" t="e">
        <f t="shared" si="25"/>
        <v>#REF!</v>
      </c>
    </row>
    <row r="198" spans="1:12" x14ac:dyDescent="0.35">
      <c r="A198" s="1" t="s">
        <v>356</v>
      </c>
      <c r="B198" s="1" t="s">
        <v>5</v>
      </c>
      <c r="C198" s="9">
        <v>45708</v>
      </c>
      <c r="D198" s="22">
        <v>246779410140</v>
      </c>
      <c r="E198" s="1" t="s">
        <v>46</v>
      </c>
      <c r="F198" s="10">
        <v>1190.48</v>
      </c>
      <c r="G198" s="1" t="s">
        <v>42</v>
      </c>
      <c r="H198" s="10">
        <v>102742.78</v>
      </c>
      <c r="I198" s="1" t="s">
        <v>357</v>
      </c>
      <c r="J198" s="20" t="e">
        <f>VLOOKUP(D198,#REF!,8,0)</f>
        <v>#REF!</v>
      </c>
      <c r="K198" s="5" t="e">
        <f t="shared" si="24"/>
        <v>#REF!</v>
      </c>
      <c r="L198" s="31" t="e">
        <f t="shared" si="25"/>
        <v>#REF!</v>
      </c>
    </row>
    <row r="199" spans="1:12" x14ac:dyDescent="0.35">
      <c r="A199" s="1" t="s">
        <v>358</v>
      </c>
      <c r="B199" s="1" t="s">
        <v>5</v>
      </c>
      <c r="C199" s="9">
        <v>45708</v>
      </c>
      <c r="D199" s="22">
        <v>246779410166</v>
      </c>
      <c r="E199" s="1" t="s">
        <v>46</v>
      </c>
      <c r="F199" s="10">
        <v>416.67</v>
      </c>
      <c r="G199" s="1" t="s">
        <v>42</v>
      </c>
      <c r="H199" s="10">
        <v>35960.15</v>
      </c>
      <c r="I199" s="1" t="s">
        <v>359</v>
      </c>
      <c r="J199" s="20" t="e">
        <f>VLOOKUP(D199,#REF!,8,0)</f>
        <v>#REF!</v>
      </c>
      <c r="K199" s="5" t="e">
        <f t="shared" si="24"/>
        <v>#REF!</v>
      </c>
      <c r="L199" s="31" t="e">
        <f t="shared" si="25"/>
        <v>#REF!</v>
      </c>
    </row>
    <row r="200" spans="1:12" x14ac:dyDescent="0.35">
      <c r="A200" s="1" t="s">
        <v>360</v>
      </c>
      <c r="B200" s="1" t="s">
        <v>5</v>
      </c>
      <c r="C200" s="9">
        <v>45708</v>
      </c>
      <c r="D200" s="22">
        <v>246779410183</v>
      </c>
      <c r="E200" s="1" t="s">
        <v>46</v>
      </c>
      <c r="F200" s="10">
        <v>1166.5899999999999</v>
      </c>
      <c r="G200" s="1" t="s">
        <v>42</v>
      </c>
      <c r="H200" s="26">
        <v>100680.99</v>
      </c>
      <c r="I200" s="1" t="s">
        <v>361</v>
      </c>
      <c r="J200" t="e">
        <f>VLOOKUP(D200,#REF!,8,0)</f>
        <v>#REF!</v>
      </c>
    </row>
    <row r="201" spans="1:12" x14ac:dyDescent="0.35">
      <c r="A201" s="1" t="s">
        <v>363</v>
      </c>
      <c r="B201" s="1" t="s">
        <v>5</v>
      </c>
      <c r="C201" s="9">
        <v>45708</v>
      </c>
      <c r="D201" s="22">
        <v>246779410226</v>
      </c>
      <c r="E201" s="1" t="s">
        <v>46</v>
      </c>
      <c r="F201" s="10">
        <v>1143.1199999999999</v>
      </c>
      <c r="G201" s="1" t="s">
        <v>42</v>
      </c>
      <c r="H201" s="10">
        <v>98655.44</v>
      </c>
      <c r="I201" s="1" t="s">
        <v>364</v>
      </c>
      <c r="J201" s="20" t="e">
        <f>VLOOKUP(D201,#REF!,8,0)</f>
        <v>#REF!</v>
      </c>
      <c r="K201" s="5" t="e">
        <f t="shared" ref="K201:K206" si="26">H201-J201</f>
        <v>#REF!</v>
      </c>
      <c r="L201" s="31" t="e">
        <f t="shared" ref="L201:L206" si="27">K201/H201</f>
        <v>#REF!</v>
      </c>
    </row>
    <row r="202" spans="1:12" x14ac:dyDescent="0.35">
      <c r="A202" s="1" t="s">
        <v>365</v>
      </c>
      <c r="B202" s="1" t="s">
        <v>5</v>
      </c>
      <c r="C202" s="9">
        <v>45708</v>
      </c>
      <c r="D202" s="22">
        <v>246779410252</v>
      </c>
      <c r="E202" s="1" t="s">
        <v>46</v>
      </c>
      <c r="F202" s="10">
        <v>400.09</v>
      </c>
      <c r="G202" s="1" t="s">
        <v>42</v>
      </c>
      <c r="H202" s="10">
        <v>34529.230000000003</v>
      </c>
      <c r="I202" s="1" t="s">
        <v>366</v>
      </c>
      <c r="J202" s="20" t="e">
        <f>VLOOKUP(D202,#REF!,8,0)</f>
        <v>#REF!</v>
      </c>
      <c r="K202" s="5" t="e">
        <f t="shared" si="26"/>
        <v>#REF!</v>
      </c>
      <c r="L202" s="31" t="e">
        <f t="shared" si="27"/>
        <v>#REF!</v>
      </c>
    </row>
    <row r="203" spans="1:12" x14ac:dyDescent="0.35">
      <c r="A203" s="1" t="s">
        <v>367</v>
      </c>
      <c r="B203" s="1" t="s">
        <v>5</v>
      </c>
      <c r="C203" s="9">
        <v>45708</v>
      </c>
      <c r="D203" s="22">
        <v>246779410276</v>
      </c>
      <c r="E203" s="1" t="s">
        <v>46</v>
      </c>
      <c r="F203" s="10">
        <v>1190.48</v>
      </c>
      <c r="G203" s="1" t="s">
        <v>42</v>
      </c>
      <c r="H203" s="10">
        <v>102742.78</v>
      </c>
      <c r="I203" s="1" t="s">
        <v>368</v>
      </c>
      <c r="J203" s="20" t="e">
        <f>VLOOKUP(D203,#REF!,8,0)</f>
        <v>#REF!</v>
      </c>
      <c r="K203" s="5" t="e">
        <f t="shared" si="26"/>
        <v>#REF!</v>
      </c>
      <c r="L203" s="31" t="e">
        <f t="shared" si="27"/>
        <v>#REF!</v>
      </c>
    </row>
    <row r="204" spans="1:12" x14ac:dyDescent="0.35">
      <c r="A204" s="1" t="s">
        <v>369</v>
      </c>
      <c r="B204" s="1" t="s">
        <v>5</v>
      </c>
      <c r="C204" s="9">
        <v>45708</v>
      </c>
      <c r="D204" s="22">
        <v>246779410308</v>
      </c>
      <c r="E204" s="1" t="s">
        <v>46</v>
      </c>
      <c r="F204" s="10">
        <v>416.67</v>
      </c>
      <c r="G204" s="1" t="s">
        <v>42</v>
      </c>
      <c r="H204" s="10">
        <v>35960.15</v>
      </c>
      <c r="I204" s="1" t="s">
        <v>370</v>
      </c>
      <c r="J204" s="20" t="e">
        <f>VLOOKUP(D204,#REF!,8,0)</f>
        <v>#REF!</v>
      </c>
      <c r="K204" s="5" t="e">
        <f t="shared" si="26"/>
        <v>#REF!</v>
      </c>
      <c r="L204" s="31" t="e">
        <f t="shared" si="27"/>
        <v>#REF!</v>
      </c>
    </row>
    <row r="205" spans="1:12" x14ac:dyDescent="0.35">
      <c r="A205" s="1" t="s">
        <v>371</v>
      </c>
      <c r="B205" s="1" t="s">
        <v>5</v>
      </c>
      <c r="C205" s="9">
        <v>45708</v>
      </c>
      <c r="D205" s="22">
        <v>246779410077</v>
      </c>
      <c r="E205" s="1" t="s">
        <v>46</v>
      </c>
      <c r="F205" s="10">
        <v>416.67</v>
      </c>
      <c r="G205" s="1" t="s">
        <v>42</v>
      </c>
      <c r="H205" s="10">
        <v>35960.15</v>
      </c>
      <c r="I205" s="1" t="s">
        <v>372</v>
      </c>
      <c r="J205" s="20" t="e">
        <f>VLOOKUP(D205,#REF!,8,0)</f>
        <v>#REF!</v>
      </c>
      <c r="K205" s="5" t="e">
        <f t="shared" si="26"/>
        <v>#REF!</v>
      </c>
      <c r="L205" s="31" t="e">
        <f t="shared" si="27"/>
        <v>#REF!</v>
      </c>
    </row>
    <row r="206" spans="1:12" x14ac:dyDescent="0.35">
      <c r="A206" s="1" t="s">
        <v>376</v>
      </c>
      <c r="B206" s="1" t="s">
        <v>5</v>
      </c>
      <c r="C206" s="9">
        <v>45707</v>
      </c>
      <c r="D206" s="22">
        <v>246779410009</v>
      </c>
      <c r="E206" s="1" t="s">
        <v>46</v>
      </c>
      <c r="F206" s="10">
        <v>1190.48</v>
      </c>
      <c r="G206" s="1" t="s">
        <v>42</v>
      </c>
      <c r="H206" s="10">
        <v>102742.78</v>
      </c>
      <c r="I206" s="1" t="s">
        <v>377</v>
      </c>
      <c r="J206" s="20" t="e">
        <f>VLOOKUP(D206,#REF!,8,0)</f>
        <v>#REF!</v>
      </c>
      <c r="K206" s="5" t="e">
        <f t="shared" si="26"/>
        <v>#REF!</v>
      </c>
      <c r="L206" s="31" t="e">
        <f t="shared" si="27"/>
        <v>#REF!</v>
      </c>
    </row>
    <row r="207" spans="1:12" x14ac:dyDescent="0.35">
      <c r="A207" s="1" t="s">
        <v>378</v>
      </c>
      <c r="B207" s="1" t="s">
        <v>4</v>
      </c>
      <c r="C207" s="9">
        <v>45923</v>
      </c>
      <c r="D207" s="22">
        <v>256779421873</v>
      </c>
      <c r="E207" s="1" t="s">
        <v>46</v>
      </c>
      <c r="F207" s="10">
        <v>-260.79000000000002</v>
      </c>
      <c r="G207" s="1" t="s">
        <v>42</v>
      </c>
      <c r="H207" s="10">
        <v>-22423.69</v>
      </c>
      <c r="I207" s="1" t="s">
        <v>379</v>
      </c>
      <c r="J207" t="e">
        <f>VLOOKUP(D207,#REF!,8,0)</f>
        <v>#REF!</v>
      </c>
    </row>
    <row r="208" spans="1:12" x14ac:dyDescent="0.35">
      <c r="A208" s="1" t="s">
        <v>380</v>
      </c>
      <c r="B208" s="1" t="s">
        <v>5</v>
      </c>
      <c r="C208" s="9">
        <v>45821</v>
      </c>
      <c r="D208" s="22">
        <v>256779414341</v>
      </c>
      <c r="E208" s="1" t="s">
        <v>46</v>
      </c>
      <c r="F208" s="10">
        <v>200</v>
      </c>
      <c r="G208" s="1" t="s">
        <v>42</v>
      </c>
      <c r="H208" s="10">
        <v>17098.16</v>
      </c>
      <c r="I208" s="1" t="s">
        <v>381</v>
      </c>
      <c r="J208" s="20" t="e">
        <f>VLOOKUP(D208,#REF!,8,0)</f>
        <v>#REF!</v>
      </c>
      <c r="K208" s="5" t="e">
        <f t="shared" ref="K208" si="28">H208-J208</f>
        <v>#REF!</v>
      </c>
      <c r="L208" s="31" t="e">
        <f t="shared" ref="L208" si="29">K208/H208</f>
        <v>#REF!</v>
      </c>
    </row>
    <row r="209" spans="1:12" x14ac:dyDescent="0.35">
      <c r="A209" s="1" t="s">
        <v>383</v>
      </c>
      <c r="B209" s="1" t="s">
        <v>5</v>
      </c>
      <c r="C209" s="9">
        <v>45797</v>
      </c>
      <c r="D209" s="22">
        <v>256779413886</v>
      </c>
      <c r="E209" s="1" t="s">
        <v>46</v>
      </c>
      <c r="F209" s="10">
        <v>260.79000000000002</v>
      </c>
      <c r="G209" s="1" t="s">
        <v>42</v>
      </c>
      <c r="H209" s="26">
        <v>22423.69</v>
      </c>
      <c r="I209" s="1" t="s">
        <v>384</v>
      </c>
      <c r="J209" t="e">
        <f>VLOOKUP(D209,#REF!,8,0)</f>
        <v>#REF!</v>
      </c>
    </row>
    <row r="210" spans="1:12" x14ac:dyDescent="0.35">
      <c r="A210" s="1" t="s">
        <v>385</v>
      </c>
      <c r="B210" s="1" t="s">
        <v>5</v>
      </c>
      <c r="C210" s="9">
        <v>45873</v>
      </c>
      <c r="D210" s="22">
        <v>256779416064</v>
      </c>
      <c r="E210" s="1" t="s">
        <v>46</v>
      </c>
      <c r="F210" s="10">
        <v>2006</v>
      </c>
      <c r="G210" s="1" t="s">
        <v>42</v>
      </c>
      <c r="H210" s="26">
        <v>172517.34</v>
      </c>
      <c r="I210" s="1" t="s">
        <v>386</v>
      </c>
      <c r="J210" t="e">
        <f>VLOOKUP(D210,#REF!,8,0)</f>
        <v>#REF!</v>
      </c>
    </row>
    <row r="211" spans="1:12" x14ac:dyDescent="0.35">
      <c r="A211" s="1" t="s">
        <v>387</v>
      </c>
      <c r="B211" s="1" t="s">
        <v>5</v>
      </c>
      <c r="C211" s="9">
        <v>45873</v>
      </c>
      <c r="D211" s="22">
        <v>256779416065</v>
      </c>
      <c r="E211" s="1" t="s">
        <v>46</v>
      </c>
      <c r="F211" s="10">
        <v>2065</v>
      </c>
      <c r="G211" s="1" t="s">
        <v>42</v>
      </c>
      <c r="H211" s="26">
        <v>177591.38</v>
      </c>
      <c r="I211" s="1" t="s">
        <v>388</v>
      </c>
      <c r="J211" t="e">
        <f>VLOOKUP(D211,#REF!,8,0)</f>
        <v>#REF!</v>
      </c>
    </row>
    <row r="212" spans="1:12" x14ac:dyDescent="0.35">
      <c r="A212" s="1" t="s">
        <v>389</v>
      </c>
      <c r="B212" s="1" t="s">
        <v>5</v>
      </c>
      <c r="C212" s="9">
        <v>45873</v>
      </c>
      <c r="D212" s="22">
        <v>256779416066</v>
      </c>
      <c r="E212" s="1" t="s">
        <v>46</v>
      </c>
      <c r="F212" s="10">
        <v>2006</v>
      </c>
      <c r="G212" s="1" t="s">
        <v>42</v>
      </c>
      <c r="H212" s="26">
        <v>172517.34</v>
      </c>
      <c r="I212" s="1" t="s">
        <v>390</v>
      </c>
      <c r="J212" t="e">
        <f>VLOOKUP(D212,#REF!,8,0)</f>
        <v>#REF!</v>
      </c>
    </row>
    <row r="213" spans="1:12" x14ac:dyDescent="0.35">
      <c r="A213" s="1" t="s">
        <v>391</v>
      </c>
      <c r="B213" s="1" t="s">
        <v>5</v>
      </c>
      <c r="C213" s="9">
        <v>45873</v>
      </c>
      <c r="D213" s="22">
        <v>256779416067</v>
      </c>
      <c r="E213" s="1" t="s">
        <v>46</v>
      </c>
      <c r="F213" s="10">
        <v>2065</v>
      </c>
      <c r="G213" s="1" t="s">
        <v>42</v>
      </c>
      <c r="H213" s="26">
        <v>177591.38</v>
      </c>
      <c r="I213" s="1" t="s">
        <v>392</v>
      </c>
      <c r="J213" t="e">
        <f>VLOOKUP(D213,#REF!,8,0)</f>
        <v>#REF!</v>
      </c>
    </row>
    <row r="214" spans="1:12" x14ac:dyDescent="0.35">
      <c r="A214" s="1" t="s">
        <v>393</v>
      </c>
      <c r="B214" s="1" t="s">
        <v>5</v>
      </c>
      <c r="C214" s="9">
        <v>45750</v>
      </c>
      <c r="D214" s="22">
        <v>256779410136</v>
      </c>
      <c r="E214" s="1" t="s">
        <v>46</v>
      </c>
      <c r="F214" s="10">
        <v>9.85</v>
      </c>
      <c r="G214" s="1" t="s">
        <v>42</v>
      </c>
      <c r="H214" s="10">
        <v>856.18</v>
      </c>
      <c r="I214" s="1" t="s">
        <v>394</v>
      </c>
      <c r="J214" s="20" t="e">
        <f>VLOOKUP(D214,#REF!,8,0)</f>
        <v>#REF!</v>
      </c>
      <c r="K214" s="5" t="e">
        <f>H214-J214</f>
        <v>#REF!</v>
      </c>
      <c r="L214" s="31" t="e">
        <f>K214/H214</f>
        <v>#REF!</v>
      </c>
    </row>
    <row r="215" spans="1:12" x14ac:dyDescent="0.35">
      <c r="A215" s="1" t="s">
        <v>395</v>
      </c>
      <c r="B215" s="1" t="s">
        <v>5</v>
      </c>
      <c r="C215" s="9">
        <v>45750</v>
      </c>
      <c r="D215" s="22">
        <v>256779410256</v>
      </c>
      <c r="E215" s="1" t="s">
        <v>46</v>
      </c>
      <c r="F215" s="10">
        <v>408.31</v>
      </c>
      <c r="G215" s="1" t="s">
        <v>42</v>
      </c>
      <c r="H215" s="26">
        <v>35491.050000000003</v>
      </c>
      <c r="I215" s="1" t="s">
        <v>362</v>
      </c>
      <c r="J215" t="e">
        <f>VLOOKUP(D215,#REF!,8,0)</f>
        <v>#REF!</v>
      </c>
    </row>
    <row r="216" spans="1:12" x14ac:dyDescent="0.35">
      <c r="A216" s="1" t="s">
        <v>396</v>
      </c>
      <c r="B216" s="1" t="s">
        <v>5</v>
      </c>
      <c r="C216" s="9">
        <v>45750</v>
      </c>
      <c r="D216" s="22">
        <v>256779410297</v>
      </c>
      <c r="E216" s="1" t="s">
        <v>46</v>
      </c>
      <c r="F216" s="10">
        <v>400.09</v>
      </c>
      <c r="G216" s="1" t="s">
        <v>42</v>
      </c>
      <c r="H216" s="26">
        <v>34776.550000000003</v>
      </c>
      <c r="I216" s="1" t="s">
        <v>366</v>
      </c>
      <c r="J216" t="e">
        <f>VLOOKUP(D216,#REF!,8,0)</f>
        <v>#REF!</v>
      </c>
    </row>
    <row r="217" spans="1:12" x14ac:dyDescent="0.35">
      <c r="A217" s="1" t="s">
        <v>397</v>
      </c>
      <c r="B217" s="1" t="s">
        <v>5</v>
      </c>
      <c r="C217" s="9">
        <v>45750</v>
      </c>
      <c r="D217" s="22">
        <v>256779410230</v>
      </c>
      <c r="E217" s="1" t="s">
        <v>46</v>
      </c>
      <c r="F217" s="10">
        <v>1166.5899999999999</v>
      </c>
      <c r="G217" s="1" t="s">
        <v>42</v>
      </c>
      <c r="H217" s="26">
        <v>101402.13</v>
      </c>
      <c r="I217" s="1" t="s">
        <v>361</v>
      </c>
      <c r="J217" t="e">
        <f>VLOOKUP(D217,#REF!,8,0)</f>
        <v>#REF!</v>
      </c>
    </row>
    <row r="218" spans="1:12" x14ac:dyDescent="0.35">
      <c r="A218" s="1" t="s">
        <v>398</v>
      </c>
      <c r="B218" s="1" t="s">
        <v>5</v>
      </c>
      <c r="C218" s="9">
        <v>45750</v>
      </c>
      <c r="D218" s="22">
        <v>256779410271</v>
      </c>
      <c r="E218" s="1" t="s">
        <v>46</v>
      </c>
      <c r="F218" s="10">
        <v>1143.1199999999999</v>
      </c>
      <c r="G218" s="1" t="s">
        <v>42</v>
      </c>
      <c r="H218" s="26">
        <v>99362.07</v>
      </c>
      <c r="I218" s="1" t="s">
        <v>364</v>
      </c>
      <c r="J218" t="e">
        <f>VLOOKUP(D218,#REF!,8,0)</f>
        <v>#REF!</v>
      </c>
    </row>
    <row r="219" spans="1:12" x14ac:dyDescent="0.35">
      <c r="A219" s="1" t="s">
        <v>399</v>
      </c>
      <c r="B219" s="1" t="s">
        <v>5</v>
      </c>
      <c r="C219" s="9">
        <v>45750</v>
      </c>
      <c r="D219" s="22">
        <v>256779410006</v>
      </c>
      <c r="E219" s="1" t="s">
        <v>46</v>
      </c>
      <c r="F219" s="10">
        <v>1700</v>
      </c>
      <c r="G219" s="1" t="s">
        <v>42</v>
      </c>
      <c r="H219" s="10">
        <v>147767.09</v>
      </c>
      <c r="I219" s="1" t="s">
        <v>119</v>
      </c>
      <c r="J219" s="20" t="e">
        <f>VLOOKUP(D219,#REF!,8,0)</f>
        <v>#REF!</v>
      </c>
      <c r="K219" s="5" t="e">
        <f t="shared" ref="K219:K227" si="30">H219-J219</f>
        <v>#REF!</v>
      </c>
      <c r="L219" s="31" t="e">
        <f t="shared" ref="L219:L227" si="31">K219/H219</f>
        <v>#REF!</v>
      </c>
    </row>
    <row r="220" spans="1:12" x14ac:dyDescent="0.35">
      <c r="A220" s="1" t="s">
        <v>400</v>
      </c>
      <c r="B220" s="1" t="s">
        <v>5</v>
      </c>
      <c r="C220" s="9">
        <v>45750</v>
      </c>
      <c r="D220" s="22">
        <v>256779410012</v>
      </c>
      <c r="E220" s="1" t="s">
        <v>46</v>
      </c>
      <c r="F220" s="10">
        <v>1750</v>
      </c>
      <c r="G220" s="1" t="s">
        <v>42</v>
      </c>
      <c r="H220" s="10">
        <v>152113.19</v>
      </c>
      <c r="I220" s="1" t="s">
        <v>119</v>
      </c>
      <c r="J220" s="20" t="e">
        <f>VLOOKUP(D220,#REF!,8,0)</f>
        <v>#REF!</v>
      </c>
      <c r="K220" s="5" t="e">
        <f t="shared" si="30"/>
        <v>#REF!</v>
      </c>
      <c r="L220" s="31" t="e">
        <f t="shared" si="31"/>
        <v>#REF!</v>
      </c>
    </row>
    <row r="221" spans="1:12" x14ac:dyDescent="0.35">
      <c r="A221" s="1" t="s">
        <v>401</v>
      </c>
      <c r="B221" s="1" t="s">
        <v>5</v>
      </c>
      <c r="C221" s="9">
        <v>45750</v>
      </c>
      <c r="D221" s="22">
        <v>256779410015</v>
      </c>
      <c r="E221" s="1" t="s">
        <v>46</v>
      </c>
      <c r="F221" s="10">
        <v>1700</v>
      </c>
      <c r="G221" s="1" t="s">
        <v>42</v>
      </c>
      <c r="H221" s="10">
        <v>147767.09</v>
      </c>
      <c r="I221" s="1" t="s">
        <v>119</v>
      </c>
      <c r="J221" s="20" t="e">
        <f>VLOOKUP(D221,#REF!,8,0)</f>
        <v>#REF!</v>
      </c>
      <c r="K221" s="5" t="e">
        <f t="shared" si="30"/>
        <v>#REF!</v>
      </c>
      <c r="L221" s="31" t="e">
        <f t="shared" si="31"/>
        <v>#REF!</v>
      </c>
    </row>
    <row r="222" spans="1:12" x14ac:dyDescent="0.35">
      <c r="A222" s="1" t="s">
        <v>402</v>
      </c>
      <c r="B222" s="1" t="s">
        <v>5</v>
      </c>
      <c r="C222" s="9">
        <v>45750</v>
      </c>
      <c r="D222" s="22">
        <v>256779410224</v>
      </c>
      <c r="E222" s="1" t="s">
        <v>46</v>
      </c>
      <c r="F222" s="10">
        <v>1750</v>
      </c>
      <c r="G222" s="1" t="s">
        <v>42</v>
      </c>
      <c r="H222" s="10">
        <v>152113.19</v>
      </c>
      <c r="I222" s="1" t="s">
        <v>119</v>
      </c>
      <c r="J222" s="20" t="e">
        <f>VLOOKUP(D222,#REF!,8,0)</f>
        <v>#REF!</v>
      </c>
      <c r="K222" s="5" t="e">
        <f t="shared" si="30"/>
        <v>#REF!</v>
      </c>
      <c r="L222" s="31" t="e">
        <f t="shared" si="31"/>
        <v>#REF!</v>
      </c>
    </row>
    <row r="223" spans="1:12" x14ac:dyDescent="0.35">
      <c r="A223" s="1" t="s">
        <v>404</v>
      </c>
      <c r="B223" s="1" t="s">
        <v>5</v>
      </c>
      <c r="C223" s="9">
        <v>45950</v>
      </c>
      <c r="D223" s="22">
        <v>256779418633</v>
      </c>
      <c r="E223" s="1" t="s">
        <v>46</v>
      </c>
      <c r="F223" s="10">
        <v>35</v>
      </c>
      <c r="G223" s="1" t="s">
        <v>42</v>
      </c>
      <c r="H223" s="10">
        <v>3086.68</v>
      </c>
      <c r="I223" s="1" t="s">
        <v>405</v>
      </c>
      <c r="J223" s="20" t="e">
        <f>VLOOKUP(D223,#REF!,8,0)</f>
        <v>#REF!</v>
      </c>
      <c r="K223" s="5" t="e">
        <f t="shared" si="30"/>
        <v>#REF!</v>
      </c>
      <c r="L223" s="31" t="e">
        <f t="shared" si="31"/>
        <v>#REF!</v>
      </c>
    </row>
    <row r="224" spans="1:12" x14ac:dyDescent="0.35">
      <c r="A224" s="1" t="s">
        <v>406</v>
      </c>
      <c r="B224" s="1" t="s">
        <v>5</v>
      </c>
      <c r="C224" s="9">
        <v>45950</v>
      </c>
      <c r="D224" s="22">
        <v>256779418663</v>
      </c>
      <c r="E224" s="1" t="s">
        <v>46</v>
      </c>
      <c r="F224" s="10">
        <v>293.89</v>
      </c>
      <c r="G224" s="1" t="s">
        <v>42</v>
      </c>
      <c r="H224" s="10">
        <v>25918.39</v>
      </c>
      <c r="I224" s="1" t="s">
        <v>407</v>
      </c>
      <c r="J224" s="20" t="e">
        <f>VLOOKUP(D224,#REF!,8,0)</f>
        <v>#REF!</v>
      </c>
      <c r="K224" s="5" t="e">
        <f t="shared" si="30"/>
        <v>#REF!</v>
      </c>
      <c r="L224" s="31" t="e">
        <f t="shared" si="31"/>
        <v>#REF!</v>
      </c>
    </row>
    <row r="225" spans="1:12" x14ac:dyDescent="0.35">
      <c r="A225" s="1" t="s">
        <v>408</v>
      </c>
      <c r="B225" s="1" t="s">
        <v>5</v>
      </c>
      <c r="C225" s="9">
        <v>45950</v>
      </c>
      <c r="D225" s="22">
        <v>256779418703</v>
      </c>
      <c r="E225" s="1" t="s">
        <v>46</v>
      </c>
      <c r="F225" s="10">
        <v>9.83</v>
      </c>
      <c r="G225" s="1" t="s">
        <v>42</v>
      </c>
      <c r="H225" s="10">
        <v>866.92</v>
      </c>
      <c r="I225" s="1" t="s">
        <v>409</v>
      </c>
      <c r="J225" s="20" t="e">
        <f>VLOOKUP(D225,#REF!,8,0)</f>
        <v>#REF!</v>
      </c>
      <c r="K225" s="5" t="e">
        <f t="shared" si="30"/>
        <v>#REF!</v>
      </c>
      <c r="L225" s="31" t="e">
        <f t="shared" si="31"/>
        <v>#REF!</v>
      </c>
    </row>
    <row r="226" spans="1:12" x14ac:dyDescent="0.35">
      <c r="A226" s="1" t="s">
        <v>410</v>
      </c>
      <c r="B226" s="1" t="s">
        <v>5</v>
      </c>
      <c r="C226" s="9">
        <v>45768</v>
      </c>
      <c r="D226" s="22">
        <v>256779412142</v>
      </c>
      <c r="E226" s="1" t="s">
        <v>46</v>
      </c>
      <c r="F226" s="10">
        <v>1165.3699999999999</v>
      </c>
      <c r="G226" s="1" t="s">
        <v>42</v>
      </c>
      <c r="H226" s="10">
        <v>100000.4</v>
      </c>
      <c r="I226" s="1" t="s">
        <v>411</v>
      </c>
      <c r="J226" s="20" t="e">
        <f>VLOOKUP(D226,#REF!,8,0)</f>
        <v>#REF!</v>
      </c>
      <c r="K226" s="5" t="e">
        <f t="shared" si="30"/>
        <v>#REF!</v>
      </c>
      <c r="L226" s="31" t="e">
        <f t="shared" si="31"/>
        <v>#REF!</v>
      </c>
    </row>
    <row r="227" spans="1:12" x14ac:dyDescent="0.35">
      <c r="A227" s="1" t="s">
        <v>412</v>
      </c>
      <c r="B227" s="1" t="s">
        <v>5</v>
      </c>
      <c r="C227" s="9">
        <v>45768</v>
      </c>
      <c r="D227" s="22">
        <v>256779412177</v>
      </c>
      <c r="E227" s="1" t="s">
        <v>46</v>
      </c>
      <c r="F227" s="10">
        <v>407.88</v>
      </c>
      <c r="G227" s="1" t="s">
        <v>42</v>
      </c>
      <c r="H227" s="10">
        <v>35000.18</v>
      </c>
      <c r="I227" s="1" t="s">
        <v>411</v>
      </c>
      <c r="J227" s="20" t="e">
        <f>VLOOKUP(D227,#REF!,8,0)</f>
        <v>#REF!</v>
      </c>
      <c r="K227" s="5" t="e">
        <f t="shared" si="30"/>
        <v>#REF!</v>
      </c>
      <c r="L227" s="31" t="e">
        <f t="shared" si="31"/>
        <v>#REF!</v>
      </c>
    </row>
    <row r="228" spans="1:12" x14ac:dyDescent="0.35">
      <c r="A228" s="1" t="s">
        <v>413</v>
      </c>
      <c r="B228" s="1" t="s">
        <v>4</v>
      </c>
      <c r="C228" s="9">
        <v>45862</v>
      </c>
      <c r="D228" s="22">
        <v>256779421459</v>
      </c>
      <c r="E228" s="1" t="s">
        <v>46</v>
      </c>
      <c r="F228" s="10">
        <v>-1700</v>
      </c>
      <c r="G228" s="1" t="s">
        <v>42</v>
      </c>
      <c r="H228" s="10">
        <v>-146201.14000000001</v>
      </c>
      <c r="I228" s="1" t="s">
        <v>414</v>
      </c>
      <c r="J228" t="e">
        <f>VLOOKUP(D228,#REF!,8,0)</f>
        <v>#REF!</v>
      </c>
    </row>
    <row r="229" spans="1:12" x14ac:dyDescent="0.35">
      <c r="A229" s="1" t="s">
        <v>415</v>
      </c>
      <c r="B229" s="1" t="s">
        <v>4</v>
      </c>
      <c r="C229" s="9">
        <v>45862</v>
      </c>
      <c r="D229" s="22">
        <v>256779421460</v>
      </c>
      <c r="E229" s="1" t="s">
        <v>46</v>
      </c>
      <c r="F229" s="10">
        <v>-1750</v>
      </c>
      <c r="G229" s="1" t="s">
        <v>42</v>
      </c>
      <c r="H229" s="10">
        <v>-150501.17000000001</v>
      </c>
      <c r="I229" s="1" t="s">
        <v>416</v>
      </c>
      <c r="J229" t="e">
        <f>VLOOKUP(D229,#REF!,8,0)</f>
        <v>#REF!</v>
      </c>
    </row>
    <row r="230" spans="1:12" x14ac:dyDescent="0.35">
      <c r="A230" s="1" t="s">
        <v>417</v>
      </c>
      <c r="B230" s="1" t="s">
        <v>4</v>
      </c>
      <c r="C230" s="9">
        <v>45862</v>
      </c>
      <c r="D230" s="22">
        <v>256779421461</v>
      </c>
      <c r="E230" s="1" t="s">
        <v>46</v>
      </c>
      <c r="F230" s="10">
        <v>-1700</v>
      </c>
      <c r="G230" s="1" t="s">
        <v>42</v>
      </c>
      <c r="H230" s="10">
        <v>-146201.14000000001</v>
      </c>
      <c r="I230" s="1" t="s">
        <v>418</v>
      </c>
      <c r="J230" t="e">
        <f>VLOOKUP(D230,#REF!,8,0)</f>
        <v>#REF!</v>
      </c>
    </row>
    <row r="231" spans="1:12" x14ac:dyDescent="0.35">
      <c r="A231" s="1" t="s">
        <v>419</v>
      </c>
      <c r="B231" s="1" t="s">
        <v>4</v>
      </c>
      <c r="C231" s="9">
        <v>45862</v>
      </c>
      <c r="D231" s="22">
        <v>256779421462</v>
      </c>
      <c r="E231" s="1" t="s">
        <v>46</v>
      </c>
      <c r="F231" s="10">
        <v>-1750</v>
      </c>
      <c r="G231" s="1" t="s">
        <v>42</v>
      </c>
      <c r="H231" s="10">
        <v>-150501.17000000001</v>
      </c>
      <c r="I231" s="1" t="s">
        <v>420</v>
      </c>
      <c r="J231" t="e">
        <f>VLOOKUP(D231,#REF!,8,0)</f>
        <v>#REF!</v>
      </c>
    </row>
    <row r="232" spans="1:12" x14ac:dyDescent="0.35">
      <c r="A232" s="1" t="s">
        <v>421</v>
      </c>
      <c r="B232" s="1" t="s">
        <v>4</v>
      </c>
      <c r="C232" s="9">
        <v>45862</v>
      </c>
      <c r="D232" s="22">
        <v>256779421482</v>
      </c>
      <c r="E232" s="1" t="s">
        <v>46</v>
      </c>
      <c r="F232" s="10">
        <v>-1190.48</v>
      </c>
      <c r="G232" s="1" t="s">
        <v>42</v>
      </c>
      <c r="H232" s="10">
        <v>-102382.08</v>
      </c>
      <c r="I232" s="1" t="s">
        <v>422</v>
      </c>
      <c r="J232" t="e">
        <f>VLOOKUP(D232,#REF!,8,0)</f>
        <v>#REF!</v>
      </c>
    </row>
    <row r="233" spans="1:12" x14ac:dyDescent="0.35">
      <c r="A233" s="1" t="s">
        <v>423</v>
      </c>
      <c r="B233" s="1" t="s">
        <v>4</v>
      </c>
      <c r="C233" s="9">
        <v>45862</v>
      </c>
      <c r="D233" s="22">
        <v>256779421504</v>
      </c>
      <c r="E233" s="1" t="s">
        <v>46</v>
      </c>
      <c r="F233" s="10">
        <v>-1190.48</v>
      </c>
      <c r="G233" s="1" t="s">
        <v>42</v>
      </c>
      <c r="H233" s="10">
        <v>-102382.08</v>
      </c>
      <c r="I233" s="1" t="s">
        <v>424</v>
      </c>
      <c r="J233" t="e">
        <f>VLOOKUP(D233,#REF!,8,0)</f>
        <v>#REF!</v>
      </c>
    </row>
    <row r="234" spans="1:12" x14ac:dyDescent="0.35">
      <c r="A234" s="1" t="s">
        <v>425</v>
      </c>
      <c r="B234" s="1" t="s">
        <v>4</v>
      </c>
      <c r="C234" s="9">
        <v>45862</v>
      </c>
      <c r="D234" s="22">
        <v>256779421505</v>
      </c>
      <c r="E234" s="1" t="s">
        <v>46</v>
      </c>
      <c r="F234" s="10">
        <v>-416.67</v>
      </c>
      <c r="G234" s="1" t="s">
        <v>42</v>
      </c>
      <c r="H234" s="10">
        <v>-35833.9</v>
      </c>
      <c r="I234" s="1" t="s">
        <v>426</v>
      </c>
      <c r="J234" t="e">
        <f>VLOOKUP(D234,#REF!,8,0)</f>
        <v>#REF!</v>
      </c>
    </row>
    <row r="235" spans="1:12" x14ac:dyDescent="0.35">
      <c r="A235" s="1" t="s">
        <v>427</v>
      </c>
      <c r="B235" s="1" t="s">
        <v>4</v>
      </c>
      <c r="C235" s="9">
        <v>45862</v>
      </c>
      <c r="D235" s="22">
        <v>256779421532</v>
      </c>
      <c r="E235" s="1" t="s">
        <v>46</v>
      </c>
      <c r="F235" s="10">
        <v>-408.31</v>
      </c>
      <c r="G235" s="1" t="s">
        <v>42</v>
      </c>
      <c r="H235" s="10">
        <v>-35114.93</v>
      </c>
      <c r="I235" s="1" t="s">
        <v>428</v>
      </c>
      <c r="J235" t="e">
        <f>VLOOKUP(D235,#REF!,8,0)</f>
        <v>#REF!</v>
      </c>
    </row>
    <row r="236" spans="1:12" x14ac:dyDescent="0.35">
      <c r="A236" s="1" t="s">
        <v>429</v>
      </c>
      <c r="B236" s="1" t="s">
        <v>4</v>
      </c>
      <c r="C236" s="9">
        <v>45862</v>
      </c>
      <c r="D236" s="22">
        <v>256779421548</v>
      </c>
      <c r="E236" s="1" t="s">
        <v>46</v>
      </c>
      <c r="F236" s="10">
        <v>-400.09</v>
      </c>
      <c r="G236" s="1" t="s">
        <v>42</v>
      </c>
      <c r="H236" s="10">
        <v>-34408.01</v>
      </c>
      <c r="I236" s="1" t="s">
        <v>430</v>
      </c>
      <c r="J236" t="e">
        <f>VLOOKUP(D236,#REF!,8,0)</f>
        <v>#REF!</v>
      </c>
    </row>
    <row r="237" spans="1:12" x14ac:dyDescent="0.35">
      <c r="A237" s="1" t="s">
        <v>431</v>
      </c>
      <c r="B237" s="1" t="s">
        <v>5</v>
      </c>
      <c r="C237" s="9">
        <v>45826</v>
      </c>
      <c r="D237" s="22">
        <v>256779414414</v>
      </c>
      <c r="E237" s="1" t="s">
        <v>46</v>
      </c>
      <c r="F237" s="10">
        <v>1190.48</v>
      </c>
      <c r="G237" s="1" t="s">
        <v>42</v>
      </c>
      <c r="H237" s="26">
        <v>101775.06</v>
      </c>
      <c r="I237" s="1" t="s">
        <v>353</v>
      </c>
      <c r="J237" t="e">
        <f>VLOOKUP(D237,#REF!,8,0)</f>
        <v>#REF!</v>
      </c>
    </row>
    <row r="238" spans="1:12" x14ac:dyDescent="0.35">
      <c r="A238" s="1" t="s">
        <v>432</v>
      </c>
      <c r="B238" s="1" t="s">
        <v>5</v>
      </c>
      <c r="C238" s="9">
        <v>45826</v>
      </c>
      <c r="D238" s="22">
        <v>256779414437</v>
      </c>
      <c r="E238" s="1" t="s">
        <v>46</v>
      </c>
      <c r="F238" s="10">
        <v>1190.48</v>
      </c>
      <c r="G238" s="1" t="s">
        <v>42</v>
      </c>
      <c r="H238" s="26">
        <v>101775.06</v>
      </c>
      <c r="I238" s="1" t="s">
        <v>357</v>
      </c>
      <c r="J238" t="e">
        <f>VLOOKUP(D238,#REF!,8,0)</f>
        <v>#REF!</v>
      </c>
    </row>
    <row r="239" spans="1:12" x14ac:dyDescent="0.35">
      <c r="A239" s="1" t="s">
        <v>433</v>
      </c>
      <c r="B239" s="1" t="s">
        <v>5</v>
      </c>
      <c r="C239" s="9">
        <v>45826</v>
      </c>
      <c r="D239" s="22">
        <v>256779414438</v>
      </c>
      <c r="E239" s="1" t="s">
        <v>46</v>
      </c>
      <c r="F239" s="10">
        <v>416.67</v>
      </c>
      <c r="G239" s="1" t="s">
        <v>42</v>
      </c>
      <c r="H239" s="26">
        <v>35621.440000000002</v>
      </c>
      <c r="I239" s="1" t="s">
        <v>359</v>
      </c>
      <c r="J239" t="e">
        <f>VLOOKUP(D239,#REF!,8,0)</f>
        <v>#REF!</v>
      </c>
    </row>
    <row r="240" spans="1:12" x14ac:dyDescent="0.35">
      <c r="A240" s="1" t="s">
        <v>434</v>
      </c>
      <c r="B240" s="1" t="s">
        <v>5</v>
      </c>
      <c r="C240" s="9">
        <v>45826</v>
      </c>
      <c r="D240" s="22">
        <v>256779414465</v>
      </c>
      <c r="E240" s="1" t="s">
        <v>46</v>
      </c>
      <c r="F240" s="10">
        <v>408.31</v>
      </c>
      <c r="G240" s="1" t="s">
        <v>42</v>
      </c>
      <c r="H240" s="26">
        <v>34906.74</v>
      </c>
      <c r="I240" s="1" t="s">
        <v>362</v>
      </c>
      <c r="J240" t="e">
        <f>VLOOKUP(D240,#REF!,8,0)</f>
        <v>#REF!</v>
      </c>
    </row>
    <row r="241" spans="1:12" x14ac:dyDescent="0.35">
      <c r="A241" s="1" t="s">
        <v>435</v>
      </c>
      <c r="B241" s="1" t="s">
        <v>5</v>
      </c>
      <c r="C241" s="9">
        <v>45826</v>
      </c>
      <c r="D241" s="22">
        <v>256779414481</v>
      </c>
      <c r="E241" s="1" t="s">
        <v>46</v>
      </c>
      <c r="F241" s="10">
        <v>400.09</v>
      </c>
      <c r="G241" s="1" t="s">
        <v>42</v>
      </c>
      <c r="H241" s="26">
        <v>34204.01</v>
      </c>
      <c r="I241" s="1" t="s">
        <v>366</v>
      </c>
      <c r="J241" t="e">
        <f>VLOOKUP(D241,#REF!,8,0)</f>
        <v>#REF!</v>
      </c>
    </row>
    <row r="242" spans="1:12" x14ac:dyDescent="0.35">
      <c r="A242" s="1" t="s">
        <v>436</v>
      </c>
      <c r="B242" s="1" t="s">
        <v>5</v>
      </c>
      <c r="C242" s="9">
        <v>45735</v>
      </c>
      <c r="D242" s="22">
        <v>246779412981</v>
      </c>
      <c r="E242" s="1" t="s">
        <v>46</v>
      </c>
      <c r="F242" s="10">
        <v>1148.6300000000001</v>
      </c>
      <c r="G242" s="1" t="s">
        <v>42</v>
      </c>
      <c r="H242" s="10">
        <v>99576.18</v>
      </c>
      <c r="I242" s="1" t="s">
        <v>437</v>
      </c>
      <c r="J242" s="20" t="e">
        <f>VLOOKUP(D242,#REF!,8,0)</f>
        <v>#REF!</v>
      </c>
      <c r="K242" s="5" t="e">
        <f t="shared" ref="K242:K267" si="32">H242-J242</f>
        <v>#REF!</v>
      </c>
      <c r="L242" s="31" t="e">
        <f t="shared" ref="L242:L267" si="33">K242/H242</f>
        <v>#REF!</v>
      </c>
    </row>
    <row r="243" spans="1:12" x14ac:dyDescent="0.35">
      <c r="A243" s="1" t="s">
        <v>438</v>
      </c>
      <c r="B243" s="1" t="s">
        <v>5</v>
      </c>
      <c r="C243" s="9">
        <v>45735</v>
      </c>
      <c r="D243" s="22">
        <v>246779413089</v>
      </c>
      <c r="E243" s="1" t="s">
        <v>46</v>
      </c>
      <c r="F243" s="10">
        <v>79.05</v>
      </c>
      <c r="G243" s="1" t="s">
        <v>42</v>
      </c>
      <c r="H243" s="10">
        <v>6852.94</v>
      </c>
      <c r="I243" s="1" t="s">
        <v>439</v>
      </c>
      <c r="J243" s="20" t="e">
        <f>VLOOKUP(D243,#REF!,8,0)</f>
        <v>#REF!</v>
      </c>
      <c r="K243" s="5" t="e">
        <f t="shared" si="32"/>
        <v>#REF!</v>
      </c>
      <c r="L243" s="31" t="e">
        <f t="shared" si="33"/>
        <v>#REF!</v>
      </c>
    </row>
    <row r="244" spans="1:12" x14ac:dyDescent="0.35">
      <c r="A244" s="1" t="s">
        <v>440</v>
      </c>
      <c r="B244" s="1" t="s">
        <v>5</v>
      </c>
      <c r="C244" s="9">
        <v>45735</v>
      </c>
      <c r="D244" s="22">
        <v>246779413214</v>
      </c>
      <c r="E244" s="1" t="s">
        <v>46</v>
      </c>
      <c r="F244" s="10">
        <v>78.12</v>
      </c>
      <c r="G244" s="1" t="s">
        <v>42</v>
      </c>
      <c r="H244" s="10">
        <v>6772.32</v>
      </c>
      <c r="I244" s="1" t="s">
        <v>441</v>
      </c>
      <c r="J244" s="20" t="e">
        <f>VLOOKUP(D244,#REF!,8,0)</f>
        <v>#REF!</v>
      </c>
      <c r="K244" s="5" t="e">
        <f t="shared" si="32"/>
        <v>#REF!</v>
      </c>
      <c r="L244" s="31" t="e">
        <f t="shared" si="33"/>
        <v>#REF!</v>
      </c>
    </row>
    <row r="245" spans="1:12" x14ac:dyDescent="0.35">
      <c r="A245" s="1" t="s">
        <v>442</v>
      </c>
      <c r="B245" s="1" t="s">
        <v>5</v>
      </c>
      <c r="C245" s="9">
        <v>45735</v>
      </c>
      <c r="D245" s="22">
        <v>246779413016</v>
      </c>
      <c r="E245" s="1" t="s">
        <v>46</v>
      </c>
      <c r="F245" s="10">
        <v>402.02</v>
      </c>
      <c r="G245" s="1" t="s">
        <v>42</v>
      </c>
      <c r="H245" s="10">
        <v>34851.620000000003</v>
      </c>
      <c r="I245" s="1" t="s">
        <v>437</v>
      </c>
      <c r="J245" s="20" t="e">
        <f>VLOOKUP(D245,#REF!,8,0)</f>
        <v>#REF!</v>
      </c>
      <c r="K245" s="5" t="e">
        <f t="shared" si="32"/>
        <v>#REF!</v>
      </c>
      <c r="L245" s="31" t="e">
        <f t="shared" si="33"/>
        <v>#REF!</v>
      </c>
    </row>
    <row r="246" spans="1:12" x14ac:dyDescent="0.35">
      <c r="A246" s="1" t="s">
        <v>443</v>
      </c>
      <c r="B246" s="1" t="s">
        <v>5</v>
      </c>
      <c r="C246" s="9">
        <v>45924</v>
      </c>
      <c r="D246" s="22">
        <v>256779417818</v>
      </c>
      <c r="E246" s="1" t="s">
        <v>46</v>
      </c>
      <c r="F246" s="10">
        <v>260.79000000000002</v>
      </c>
      <c r="G246" s="1" t="s">
        <v>42</v>
      </c>
      <c r="H246" s="10">
        <v>22423.69</v>
      </c>
      <c r="I246" s="1" t="s">
        <v>444</v>
      </c>
      <c r="J246" s="20" t="e">
        <f>VLOOKUP(D246,#REF!,8,0)</f>
        <v>#REF!</v>
      </c>
      <c r="K246" s="5" t="e">
        <f t="shared" si="32"/>
        <v>#REF!</v>
      </c>
      <c r="L246" s="31" t="e">
        <f t="shared" si="33"/>
        <v>#REF!</v>
      </c>
    </row>
    <row r="247" spans="1:12" x14ac:dyDescent="0.35">
      <c r="A247" s="1" t="s">
        <v>446</v>
      </c>
      <c r="B247" s="1" t="s">
        <v>5</v>
      </c>
      <c r="C247" s="9">
        <v>45981</v>
      </c>
      <c r="D247" s="22">
        <v>256779419590</v>
      </c>
      <c r="E247" s="1" t="s">
        <v>46</v>
      </c>
      <c r="F247" s="10">
        <v>331.5</v>
      </c>
      <c r="G247" s="1" t="s">
        <v>42</v>
      </c>
      <c r="H247" s="10">
        <v>29173.119999999999</v>
      </c>
      <c r="I247" s="1" t="s">
        <v>447</v>
      </c>
      <c r="J247" s="20" t="e">
        <f>VLOOKUP(D247,#REF!,8,0)</f>
        <v>#REF!</v>
      </c>
      <c r="K247" s="5" t="e">
        <f t="shared" si="32"/>
        <v>#REF!</v>
      </c>
      <c r="L247" s="31" t="e">
        <f t="shared" si="33"/>
        <v>#REF!</v>
      </c>
    </row>
    <row r="248" spans="1:12" x14ac:dyDescent="0.35">
      <c r="A248" s="1" t="s">
        <v>448</v>
      </c>
      <c r="B248" s="1" t="s">
        <v>5</v>
      </c>
      <c r="C248" s="9">
        <v>45981</v>
      </c>
      <c r="D248" s="22">
        <v>256779419630</v>
      </c>
      <c r="E248" s="1" t="s">
        <v>46</v>
      </c>
      <c r="F248" s="10">
        <v>112.58</v>
      </c>
      <c r="G248" s="1" t="s">
        <v>42</v>
      </c>
      <c r="H248" s="10">
        <v>9907.42</v>
      </c>
      <c r="I248" s="1" t="s">
        <v>449</v>
      </c>
      <c r="J248" s="20" t="e">
        <f>VLOOKUP(D248,#REF!,8,0)</f>
        <v>#REF!</v>
      </c>
      <c r="K248" s="5" t="e">
        <f t="shared" si="32"/>
        <v>#REF!</v>
      </c>
      <c r="L248" s="31" t="e">
        <f t="shared" si="33"/>
        <v>#REF!</v>
      </c>
    </row>
    <row r="249" spans="1:12" x14ac:dyDescent="0.35">
      <c r="A249" s="1" t="s">
        <v>450</v>
      </c>
      <c r="B249" s="1" t="s">
        <v>5</v>
      </c>
      <c r="C249" s="9">
        <v>45769</v>
      </c>
      <c r="D249" s="22">
        <v>256779412550</v>
      </c>
      <c r="E249" s="1" t="s">
        <v>46</v>
      </c>
      <c r="F249" s="10">
        <v>87.2</v>
      </c>
      <c r="G249" s="1" t="s">
        <v>42</v>
      </c>
      <c r="H249" s="10">
        <v>7579.58</v>
      </c>
      <c r="I249" s="1" t="s">
        <v>451</v>
      </c>
      <c r="J249" s="20" t="e">
        <f>VLOOKUP(D249,#REF!,8,0)</f>
        <v>#REF!</v>
      </c>
      <c r="K249" s="5" t="e">
        <f t="shared" si="32"/>
        <v>#REF!</v>
      </c>
      <c r="L249" s="31" t="e">
        <f t="shared" si="33"/>
        <v>#REF!</v>
      </c>
    </row>
    <row r="250" spans="1:12" x14ac:dyDescent="0.35">
      <c r="A250" s="1" t="s">
        <v>452</v>
      </c>
      <c r="B250" s="1" t="s">
        <v>5</v>
      </c>
      <c r="C250" s="9">
        <v>45769</v>
      </c>
      <c r="D250" s="22">
        <v>256779412582</v>
      </c>
      <c r="E250" s="1" t="s">
        <v>46</v>
      </c>
      <c r="F250" s="10">
        <v>56.95</v>
      </c>
      <c r="G250" s="1" t="s">
        <v>42</v>
      </c>
      <c r="H250" s="10">
        <v>4950.2</v>
      </c>
      <c r="I250" s="1" t="s">
        <v>451</v>
      </c>
      <c r="J250" s="20" t="e">
        <f>VLOOKUP(D250,#REF!,8,0)</f>
        <v>#REF!</v>
      </c>
      <c r="K250" s="5" t="e">
        <f t="shared" si="32"/>
        <v>#REF!</v>
      </c>
      <c r="L250" s="31" t="e">
        <f t="shared" si="33"/>
        <v>#REF!</v>
      </c>
    </row>
    <row r="251" spans="1:12" x14ac:dyDescent="0.35">
      <c r="A251" s="1" t="s">
        <v>453</v>
      </c>
      <c r="B251" s="1" t="s">
        <v>5</v>
      </c>
      <c r="C251" s="9">
        <v>45769</v>
      </c>
      <c r="D251" s="22">
        <v>256779412615</v>
      </c>
      <c r="E251" s="1" t="s">
        <v>46</v>
      </c>
      <c r="F251" s="10">
        <v>87.2</v>
      </c>
      <c r="G251" s="1" t="s">
        <v>42</v>
      </c>
      <c r="H251" s="10">
        <v>7579.58</v>
      </c>
      <c r="I251" s="1" t="s">
        <v>454</v>
      </c>
      <c r="J251" s="20" t="e">
        <f>VLOOKUP(D251,#REF!,8,0)</f>
        <v>#REF!</v>
      </c>
      <c r="K251" s="5" t="e">
        <f t="shared" si="32"/>
        <v>#REF!</v>
      </c>
      <c r="L251" s="31" t="e">
        <f t="shared" si="33"/>
        <v>#REF!</v>
      </c>
    </row>
    <row r="252" spans="1:12" x14ac:dyDescent="0.35">
      <c r="A252" s="1" t="s">
        <v>455</v>
      </c>
      <c r="B252" s="1" t="s">
        <v>5</v>
      </c>
      <c r="C252" s="9">
        <v>45769</v>
      </c>
      <c r="D252" s="22">
        <v>256779412657</v>
      </c>
      <c r="E252" s="1" t="s">
        <v>46</v>
      </c>
      <c r="F252" s="10">
        <v>4.93</v>
      </c>
      <c r="G252" s="1" t="s">
        <v>42</v>
      </c>
      <c r="H252" s="10">
        <v>428.52</v>
      </c>
      <c r="I252" s="1" t="s">
        <v>456</v>
      </c>
      <c r="J252" s="20" t="e">
        <f>VLOOKUP(D252,#REF!,8,0)</f>
        <v>#REF!</v>
      </c>
      <c r="K252" s="5" t="e">
        <f t="shared" si="32"/>
        <v>#REF!</v>
      </c>
      <c r="L252" s="31" t="e">
        <f t="shared" si="33"/>
        <v>#REF!</v>
      </c>
    </row>
    <row r="253" spans="1:12" x14ac:dyDescent="0.35">
      <c r="A253" s="1" t="s">
        <v>457</v>
      </c>
      <c r="B253" s="1" t="s">
        <v>5</v>
      </c>
      <c r="C253" s="9">
        <v>45918</v>
      </c>
      <c r="D253" s="22">
        <v>256779417420</v>
      </c>
      <c r="E253" s="1" t="s">
        <v>46</v>
      </c>
      <c r="F253" s="10">
        <v>35</v>
      </c>
      <c r="G253" s="1" t="s">
        <v>42</v>
      </c>
      <c r="H253" s="10">
        <v>3063</v>
      </c>
      <c r="I253" s="1" t="s">
        <v>458</v>
      </c>
      <c r="J253" s="20" t="e">
        <f>VLOOKUP(D253,#REF!,8,0)</f>
        <v>#REF!</v>
      </c>
      <c r="K253" s="5" t="e">
        <f t="shared" si="32"/>
        <v>#REF!</v>
      </c>
      <c r="L253" s="31" t="e">
        <f t="shared" si="33"/>
        <v>#REF!</v>
      </c>
    </row>
    <row r="254" spans="1:12" x14ac:dyDescent="0.35">
      <c r="A254" s="1" t="s">
        <v>460</v>
      </c>
      <c r="B254" s="1" t="s">
        <v>5</v>
      </c>
      <c r="C254" s="9">
        <v>45918</v>
      </c>
      <c r="D254" s="22">
        <v>256779417526</v>
      </c>
      <c r="E254" s="1" t="s">
        <v>46</v>
      </c>
      <c r="F254" s="10">
        <v>22.43</v>
      </c>
      <c r="G254" s="1" t="s">
        <v>42</v>
      </c>
      <c r="H254" s="10">
        <v>1962.95</v>
      </c>
      <c r="I254" s="1" t="s">
        <v>461</v>
      </c>
      <c r="J254" s="20" t="e">
        <f>VLOOKUP(D254,#REF!,8,0)</f>
        <v>#REF!</v>
      </c>
      <c r="K254" s="5" t="e">
        <f t="shared" si="32"/>
        <v>#REF!</v>
      </c>
      <c r="L254" s="31" t="e">
        <f t="shared" si="33"/>
        <v>#REF!</v>
      </c>
    </row>
    <row r="255" spans="1:12" x14ac:dyDescent="0.35">
      <c r="A255" s="1" t="s">
        <v>462</v>
      </c>
      <c r="B255" s="1" t="s">
        <v>5</v>
      </c>
      <c r="C255" s="9">
        <v>45918</v>
      </c>
      <c r="D255" s="22">
        <v>256779417568</v>
      </c>
      <c r="E255" s="1" t="s">
        <v>46</v>
      </c>
      <c r="F255" s="10">
        <v>293.89</v>
      </c>
      <c r="G255" s="1" t="s">
        <v>42</v>
      </c>
      <c r="H255" s="10">
        <v>25719.59</v>
      </c>
      <c r="I255" s="1" t="s">
        <v>463</v>
      </c>
      <c r="J255" s="20" t="e">
        <f>VLOOKUP(D255,#REF!,8,0)</f>
        <v>#REF!</v>
      </c>
      <c r="K255" s="5" t="e">
        <f t="shared" si="32"/>
        <v>#REF!</v>
      </c>
      <c r="L255" s="31" t="e">
        <f t="shared" si="33"/>
        <v>#REF!</v>
      </c>
    </row>
    <row r="256" spans="1:12" x14ac:dyDescent="0.35">
      <c r="A256" s="1" t="s">
        <v>465</v>
      </c>
      <c r="B256" s="1" t="s">
        <v>5</v>
      </c>
      <c r="C256" s="9">
        <v>45996</v>
      </c>
      <c r="D256" s="22">
        <v>256779419918</v>
      </c>
      <c r="E256" s="1" t="s">
        <v>46</v>
      </c>
      <c r="F256" s="10">
        <v>111.4</v>
      </c>
      <c r="G256" s="1" t="s">
        <v>42</v>
      </c>
      <c r="H256" s="10">
        <v>9881.2000000000007</v>
      </c>
      <c r="I256" s="1" t="s">
        <v>466</v>
      </c>
      <c r="J256" s="20" t="e">
        <f>VLOOKUP(D256,#REF!,8,0)</f>
        <v>#REF!</v>
      </c>
      <c r="K256" s="5" t="e">
        <f t="shared" si="32"/>
        <v>#REF!</v>
      </c>
      <c r="L256" s="31" t="e">
        <f t="shared" si="33"/>
        <v>#REF!</v>
      </c>
    </row>
    <row r="257" spans="1:12" x14ac:dyDescent="0.35">
      <c r="A257" s="1" t="s">
        <v>467</v>
      </c>
      <c r="B257" s="1" t="s">
        <v>5</v>
      </c>
      <c r="C257" s="9">
        <v>45770</v>
      </c>
      <c r="D257" s="22">
        <v>256779412928</v>
      </c>
      <c r="E257" s="1" t="s">
        <v>46</v>
      </c>
      <c r="F257" s="10">
        <v>12.12</v>
      </c>
      <c r="G257" s="1" t="s">
        <v>42</v>
      </c>
      <c r="H257" s="10">
        <v>1053.49</v>
      </c>
      <c r="I257" s="1" t="s">
        <v>468</v>
      </c>
      <c r="J257" s="20" t="e">
        <f>VLOOKUP(D257,#REF!,8,0)</f>
        <v>#REF!</v>
      </c>
      <c r="K257" s="5" t="e">
        <f t="shared" si="32"/>
        <v>#REF!</v>
      </c>
      <c r="L257" s="31" t="e">
        <f t="shared" si="33"/>
        <v>#REF!</v>
      </c>
    </row>
    <row r="258" spans="1:12" x14ac:dyDescent="0.35">
      <c r="A258" s="1" t="s">
        <v>469</v>
      </c>
      <c r="B258" s="1" t="s">
        <v>5</v>
      </c>
      <c r="C258" s="9">
        <v>45737</v>
      </c>
      <c r="D258" s="22">
        <v>246779414318</v>
      </c>
      <c r="E258" s="1" t="s">
        <v>46</v>
      </c>
      <c r="F258" s="10">
        <v>45.74</v>
      </c>
      <c r="G258" s="1" t="s">
        <v>42</v>
      </c>
      <c r="H258" s="10">
        <v>3965.26</v>
      </c>
      <c r="I258" s="1" t="s">
        <v>470</v>
      </c>
      <c r="J258" s="20" t="e">
        <f>VLOOKUP(D258,#REF!,8,0)</f>
        <v>#REF!</v>
      </c>
      <c r="K258" s="5" t="e">
        <f t="shared" si="32"/>
        <v>#REF!</v>
      </c>
      <c r="L258" s="31" t="e">
        <f t="shared" si="33"/>
        <v>#REF!</v>
      </c>
    </row>
    <row r="259" spans="1:12" x14ac:dyDescent="0.35">
      <c r="A259" s="1" t="s">
        <v>471</v>
      </c>
      <c r="B259" s="1" t="s">
        <v>5</v>
      </c>
      <c r="C259" s="9">
        <v>45937</v>
      </c>
      <c r="D259" s="22">
        <v>256779418180</v>
      </c>
      <c r="E259" s="1" t="s">
        <v>46</v>
      </c>
      <c r="F259" s="10">
        <v>173.22</v>
      </c>
      <c r="G259" s="1" t="s">
        <v>42</v>
      </c>
      <c r="H259" s="10">
        <v>15276.41</v>
      </c>
      <c r="I259" s="1" t="s">
        <v>472</v>
      </c>
      <c r="J259" s="20" t="e">
        <f>VLOOKUP(D259,#REF!,8,0)</f>
        <v>#REF!</v>
      </c>
      <c r="K259" s="5" t="e">
        <f t="shared" si="32"/>
        <v>#REF!</v>
      </c>
      <c r="L259" s="31" t="e">
        <f t="shared" si="33"/>
        <v>#REF!</v>
      </c>
    </row>
    <row r="260" spans="1:12" x14ac:dyDescent="0.35">
      <c r="A260" s="1" t="s">
        <v>473</v>
      </c>
      <c r="B260" s="1" t="s">
        <v>5</v>
      </c>
      <c r="C260" s="9">
        <v>45787</v>
      </c>
      <c r="D260" s="22">
        <v>256779413185</v>
      </c>
      <c r="E260" s="1" t="s">
        <v>46</v>
      </c>
      <c r="F260" s="10">
        <v>200</v>
      </c>
      <c r="G260" s="1" t="s">
        <v>42</v>
      </c>
      <c r="H260" s="10">
        <v>17196.740000000002</v>
      </c>
      <c r="I260" s="1" t="s">
        <v>474</v>
      </c>
      <c r="J260" s="20" t="e">
        <f>VLOOKUP(D260,#REF!,8,0)</f>
        <v>#REF!</v>
      </c>
      <c r="K260" s="5" t="e">
        <f t="shared" si="32"/>
        <v>#REF!</v>
      </c>
      <c r="L260" s="31" t="e">
        <f t="shared" si="33"/>
        <v>#REF!</v>
      </c>
    </row>
    <row r="261" spans="1:12" x14ac:dyDescent="0.35">
      <c r="A261" s="1" t="s">
        <v>475</v>
      </c>
      <c r="B261" s="1" t="s">
        <v>5</v>
      </c>
      <c r="C261" s="9">
        <v>45787</v>
      </c>
      <c r="D261" s="22">
        <v>256779413244</v>
      </c>
      <c r="E261" s="1" t="s">
        <v>46</v>
      </c>
      <c r="F261" s="10">
        <v>401.24</v>
      </c>
      <c r="G261" s="1" t="s">
        <v>42</v>
      </c>
      <c r="H261" s="10">
        <v>34500.1</v>
      </c>
      <c r="I261" s="1" t="s">
        <v>476</v>
      </c>
      <c r="J261" s="20" t="e">
        <f>VLOOKUP(D261,#REF!,8,0)</f>
        <v>#REF!</v>
      </c>
      <c r="K261" s="5" t="e">
        <f t="shared" si="32"/>
        <v>#REF!</v>
      </c>
      <c r="L261" s="31" t="e">
        <f t="shared" si="33"/>
        <v>#REF!</v>
      </c>
    </row>
    <row r="262" spans="1:12" x14ac:dyDescent="0.35">
      <c r="A262" s="1" t="s">
        <v>477</v>
      </c>
      <c r="B262" s="1" t="s">
        <v>5</v>
      </c>
      <c r="C262" s="9">
        <v>45997</v>
      </c>
      <c r="D262" s="22">
        <v>256779419955</v>
      </c>
      <c r="E262" s="1" t="s">
        <v>46</v>
      </c>
      <c r="F262" s="10">
        <v>61.99</v>
      </c>
      <c r="G262" s="1" t="s">
        <v>42</v>
      </c>
      <c r="H262" s="10">
        <v>5498.52</v>
      </c>
      <c r="I262" s="1" t="s">
        <v>478</v>
      </c>
      <c r="J262" s="20" t="e">
        <f>VLOOKUP(D262,#REF!,8,0)</f>
        <v>#REF!</v>
      </c>
      <c r="K262" s="5" t="e">
        <f t="shared" si="32"/>
        <v>#REF!</v>
      </c>
      <c r="L262" s="31" t="e">
        <f t="shared" si="33"/>
        <v>#REF!</v>
      </c>
    </row>
    <row r="263" spans="1:12" x14ac:dyDescent="0.35">
      <c r="A263" s="1" t="s">
        <v>479</v>
      </c>
      <c r="B263" s="1" t="s">
        <v>5</v>
      </c>
      <c r="C263" s="9">
        <v>45997</v>
      </c>
      <c r="D263" s="22">
        <v>256779419992</v>
      </c>
      <c r="E263" s="1" t="s">
        <v>46</v>
      </c>
      <c r="F263" s="10">
        <v>124.11</v>
      </c>
      <c r="G263" s="1" t="s">
        <v>42</v>
      </c>
      <c r="H263" s="10">
        <v>11008.57</v>
      </c>
      <c r="I263" s="1" t="s">
        <v>480</v>
      </c>
      <c r="J263" s="20" t="e">
        <f>VLOOKUP(D263,#REF!,8,0)</f>
        <v>#REF!</v>
      </c>
      <c r="K263" s="5" t="e">
        <f t="shared" si="32"/>
        <v>#REF!</v>
      </c>
      <c r="L263" s="31" t="e">
        <f t="shared" si="33"/>
        <v>#REF!</v>
      </c>
    </row>
    <row r="264" spans="1:12" x14ac:dyDescent="0.35">
      <c r="A264" s="1" t="s">
        <v>481</v>
      </c>
      <c r="B264" s="1" t="s">
        <v>5</v>
      </c>
      <c r="C264" s="9">
        <v>45815</v>
      </c>
      <c r="D264" s="22">
        <v>256779414240</v>
      </c>
      <c r="E264" s="1" t="s">
        <v>46</v>
      </c>
      <c r="F264" s="10">
        <v>1339</v>
      </c>
      <c r="G264" s="1" t="s">
        <v>42</v>
      </c>
      <c r="H264" s="10">
        <v>114472.15</v>
      </c>
      <c r="I264" s="1" t="s">
        <v>482</v>
      </c>
      <c r="J264" s="20" t="e">
        <f>VLOOKUP(D264,#REF!,8,0)</f>
        <v>#REF!</v>
      </c>
      <c r="K264" s="5" t="e">
        <f t="shared" si="32"/>
        <v>#REF!</v>
      </c>
      <c r="L264" s="31" t="e">
        <f t="shared" si="33"/>
        <v>#REF!</v>
      </c>
    </row>
    <row r="265" spans="1:12" x14ac:dyDescent="0.35">
      <c r="A265" s="1" t="s">
        <v>483</v>
      </c>
      <c r="B265" s="1" t="s">
        <v>5</v>
      </c>
      <c r="C265" s="9">
        <v>45936</v>
      </c>
      <c r="D265" s="22">
        <v>256779418011</v>
      </c>
      <c r="E265" s="1" t="s">
        <v>46</v>
      </c>
      <c r="F265" s="10">
        <v>930.14</v>
      </c>
      <c r="G265" s="1" t="s">
        <v>42</v>
      </c>
      <c r="H265" s="10">
        <v>82029.759999999995</v>
      </c>
      <c r="I265" s="1" t="s">
        <v>484</v>
      </c>
      <c r="J265" s="20" t="e">
        <f>VLOOKUP(D265,#REF!,8,0)</f>
        <v>#REF!</v>
      </c>
      <c r="K265" s="5" t="e">
        <f t="shared" si="32"/>
        <v>#REF!</v>
      </c>
      <c r="L265" s="31" t="e">
        <f t="shared" si="33"/>
        <v>#REF!</v>
      </c>
    </row>
    <row r="266" spans="1:12" x14ac:dyDescent="0.35">
      <c r="A266" s="1" t="s">
        <v>485</v>
      </c>
      <c r="B266" s="1" t="s">
        <v>5</v>
      </c>
      <c r="C266" s="9">
        <v>45935</v>
      </c>
      <c r="D266" s="22">
        <v>256779417902</v>
      </c>
      <c r="E266" s="1" t="s">
        <v>46</v>
      </c>
      <c r="F266" s="10">
        <v>28.15</v>
      </c>
      <c r="G266" s="1" t="s">
        <v>42</v>
      </c>
      <c r="H266" s="10">
        <v>2482.5700000000002</v>
      </c>
      <c r="I266" s="1" t="s">
        <v>486</v>
      </c>
      <c r="J266" s="20" t="e">
        <f>VLOOKUP(D266,#REF!,8,0)</f>
        <v>#REF!</v>
      </c>
      <c r="K266" s="5" t="e">
        <f t="shared" si="32"/>
        <v>#REF!</v>
      </c>
      <c r="L266" s="31" t="e">
        <f t="shared" si="33"/>
        <v>#REF!</v>
      </c>
    </row>
    <row r="267" spans="1:12" x14ac:dyDescent="0.35">
      <c r="A267" s="1" t="s">
        <v>487</v>
      </c>
      <c r="B267" s="1" t="s">
        <v>5</v>
      </c>
      <c r="C267" s="9">
        <v>45935</v>
      </c>
      <c r="D267" s="22">
        <v>256779417940</v>
      </c>
      <c r="E267" s="1" t="s">
        <v>46</v>
      </c>
      <c r="F267" s="10">
        <v>331.5</v>
      </c>
      <c r="G267" s="1" t="s">
        <v>42</v>
      </c>
      <c r="H267" s="10">
        <v>29235.24</v>
      </c>
      <c r="I267" s="1" t="s">
        <v>488</v>
      </c>
      <c r="J267" s="20" t="e">
        <f>VLOOKUP(D267,#REF!,8,0)</f>
        <v>#REF!</v>
      </c>
      <c r="K267" s="5" t="e">
        <f t="shared" si="32"/>
        <v>#REF!</v>
      </c>
      <c r="L267" s="31" t="e">
        <f t="shared" si="33"/>
        <v>#REF!</v>
      </c>
    </row>
    <row r="268" spans="1:12" x14ac:dyDescent="0.35">
      <c r="A268" s="1" t="s">
        <v>489</v>
      </c>
      <c r="B268" s="1" t="s">
        <v>5</v>
      </c>
      <c r="C268" s="9">
        <v>45935</v>
      </c>
      <c r="D268" s="22">
        <v>256779418076</v>
      </c>
      <c r="E268" s="1" t="s">
        <v>46</v>
      </c>
      <c r="F268" s="10">
        <v>136.47999999999999</v>
      </c>
      <c r="G268" s="1" t="s">
        <v>42</v>
      </c>
      <c r="H268" s="26">
        <v>12036.28</v>
      </c>
      <c r="I268" s="1" t="s">
        <v>490</v>
      </c>
      <c r="J268" t="e">
        <f>VLOOKUP(D268,#REF!,8,0)</f>
        <v>#REF!</v>
      </c>
    </row>
    <row r="269" spans="1:12" x14ac:dyDescent="0.35">
      <c r="A269" s="1" t="s">
        <v>491</v>
      </c>
      <c r="B269" s="1" t="s">
        <v>5</v>
      </c>
      <c r="C269" s="9">
        <v>45935</v>
      </c>
      <c r="D269" s="22">
        <v>256779418400</v>
      </c>
      <c r="E269" s="1" t="s">
        <v>46</v>
      </c>
      <c r="F269" s="10">
        <v>293.3</v>
      </c>
      <c r="G269" s="1" t="s">
        <v>42</v>
      </c>
      <c r="H269" s="10">
        <v>25866.35</v>
      </c>
      <c r="I269" s="1" t="s">
        <v>492</v>
      </c>
      <c r="J269" s="20" t="e">
        <f>VLOOKUP(D269,#REF!,8,0)</f>
        <v>#REF!</v>
      </c>
      <c r="K269" s="5" t="e">
        <f t="shared" ref="K269:K270" si="34">H269-J269</f>
        <v>#REF!</v>
      </c>
      <c r="L269" s="31" t="e">
        <f t="shared" ref="L269:L270" si="35">K269/H269</f>
        <v>#REF!</v>
      </c>
    </row>
    <row r="270" spans="1:12" x14ac:dyDescent="0.35">
      <c r="A270" s="1" t="s">
        <v>493</v>
      </c>
      <c r="B270" s="1" t="s">
        <v>5</v>
      </c>
      <c r="C270" s="9">
        <v>45906</v>
      </c>
      <c r="D270" s="22">
        <v>256779417082</v>
      </c>
      <c r="E270" s="1" t="s">
        <v>46</v>
      </c>
      <c r="F270" s="10">
        <v>1664.01</v>
      </c>
      <c r="G270" s="1" t="s">
        <v>42</v>
      </c>
      <c r="H270" s="10">
        <v>145624.72</v>
      </c>
      <c r="I270" s="1" t="s">
        <v>494</v>
      </c>
      <c r="J270" s="20" t="e">
        <f>VLOOKUP(D270,#REF!,8,0)</f>
        <v>#REF!</v>
      </c>
      <c r="K270" s="5" t="e">
        <f t="shared" si="34"/>
        <v>#REF!</v>
      </c>
      <c r="L270" s="31" t="e">
        <f t="shared" si="35"/>
        <v>#REF!</v>
      </c>
    </row>
    <row r="271" spans="1:12" x14ac:dyDescent="0.35">
      <c r="A271" s="1" t="s">
        <v>495</v>
      </c>
      <c r="B271" s="1" t="s">
        <v>5</v>
      </c>
      <c r="C271" s="9">
        <v>46024</v>
      </c>
      <c r="D271" s="22">
        <v>256779440011</v>
      </c>
      <c r="E271" s="1" t="s">
        <v>46</v>
      </c>
      <c r="F271" s="10">
        <v>464.42</v>
      </c>
      <c r="G271" s="1" t="s">
        <v>42</v>
      </c>
      <c r="H271" s="26">
        <v>42142.93</v>
      </c>
      <c r="I271" s="1" t="s">
        <v>496</v>
      </c>
      <c r="J271" t="e">
        <f>VLOOKUP(D271,#REF!,8,0)</f>
        <v>#REF!</v>
      </c>
    </row>
    <row r="272" spans="1:12" x14ac:dyDescent="0.35">
      <c r="A272" s="1" t="s">
        <v>498</v>
      </c>
      <c r="B272" s="1" t="s">
        <v>5</v>
      </c>
      <c r="C272" s="9">
        <v>46027</v>
      </c>
      <c r="D272" s="22">
        <v>256779440081</v>
      </c>
      <c r="E272" s="1" t="s">
        <v>46</v>
      </c>
      <c r="F272" s="10">
        <v>3.45</v>
      </c>
      <c r="G272" s="1" t="s">
        <v>42</v>
      </c>
      <c r="H272" s="10">
        <v>313.06</v>
      </c>
      <c r="I272" s="1" t="s">
        <v>499</v>
      </c>
      <c r="J272" s="20" t="e">
        <f>VLOOKUP(D272,#REF!,8,0)</f>
        <v>#REF!</v>
      </c>
      <c r="K272" s="5" t="e">
        <f t="shared" ref="K272" si="36">H272-J272</f>
        <v>#REF!</v>
      </c>
      <c r="L272" s="31" t="e">
        <f t="shared" ref="L272" si="37">K272/H272</f>
        <v>#REF!</v>
      </c>
    </row>
    <row r="273" spans="1:12" x14ac:dyDescent="0.35">
      <c r="A273" s="1" t="s">
        <v>500</v>
      </c>
      <c r="B273" s="1" t="s">
        <v>7</v>
      </c>
      <c r="C273" s="9">
        <v>46029</v>
      </c>
      <c r="D273" s="22" t="s">
        <v>41</v>
      </c>
      <c r="E273" s="1" t="s">
        <v>46</v>
      </c>
      <c r="F273" s="10">
        <v>1530.78</v>
      </c>
      <c r="G273" s="1" t="s">
        <v>42</v>
      </c>
      <c r="H273" s="10">
        <v>135000</v>
      </c>
      <c r="I273" s="1" t="s">
        <v>501</v>
      </c>
      <c r="J273" t="e">
        <f>VLOOKUP(D273,#REF!,8,0)</f>
        <v>#REF!</v>
      </c>
    </row>
    <row r="274" spans="1:12" x14ac:dyDescent="0.35">
      <c r="A274" s="1" t="s">
        <v>500</v>
      </c>
      <c r="B274" s="1" t="s">
        <v>7</v>
      </c>
      <c r="C274" s="9">
        <v>46029</v>
      </c>
      <c r="D274" s="22" t="s">
        <v>41</v>
      </c>
      <c r="E274" s="1" t="s">
        <v>46</v>
      </c>
      <c r="F274" s="10">
        <v>986.48</v>
      </c>
      <c r="G274" s="1" t="s">
        <v>42</v>
      </c>
      <c r="H274" s="10">
        <v>86998.43</v>
      </c>
      <c r="I274" s="1" t="s">
        <v>501</v>
      </c>
      <c r="J274" t="e">
        <f>VLOOKUP(D274,#REF!,8,0)</f>
        <v>#REF!</v>
      </c>
    </row>
    <row r="275" spans="1:12" x14ac:dyDescent="0.35">
      <c r="A275" s="1" t="s">
        <v>502</v>
      </c>
      <c r="B275" s="1" t="s">
        <v>7</v>
      </c>
      <c r="C275" s="9">
        <v>46029</v>
      </c>
      <c r="D275" s="22" t="s">
        <v>41</v>
      </c>
      <c r="E275" s="1" t="s">
        <v>46</v>
      </c>
      <c r="F275" s="10">
        <v>-1530.78</v>
      </c>
      <c r="G275" s="1" t="s">
        <v>42</v>
      </c>
      <c r="H275" s="10">
        <v>-135000</v>
      </c>
      <c r="I275" s="1" t="s">
        <v>501</v>
      </c>
      <c r="J275" t="e">
        <f>VLOOKUP(D275,#REF!,8,0)</f>
        <v>#REF!</v>
      </c>
    </row>
    <row r="276" spans="1:12" x14ac:dyDescent="0.35">
      <c r="A276" s="1" t="s">
        <v>502</v>
      </c>
      <c r="B276" s="1" t="s">
        <v>7</v>
      </c>
      <c r="C276" s="9">
        <v>46029</v>
      </c>
      <c r="D276" s="22" t="s">
        <v>41</v>
      </c>
      <c r="E276" s="1" t="s">
        <v>46</v>
      </c>
      <c r="F276" s="10">
        <v>-986.48</v>
      </c>
      <c r="G276" s="1" t="s">
        <v>42</v>
      </c>
      <c r="H276" s="10">
        <v>-86998.43</v>
      </c>
      <c r="I276" s="1" t="s">
        <v>501</v>
      </c>
      <c r="J276" t="e">
        <f>VLOOKUP(D276,#REF!,8,0)</f>
        <v>#REF!</v>
      </c>
    </row>
    <row r="277" spans="1:12" x14ac:dyDescent="0.35">
      <c r="A277" s="1" t="s">
        <v>503</v>
      </c>
      <c r="B277" s="1" t="s">
        <v>7</v>
      </c>
      <c r="C277" s="9">
        <v>46029</v>
      </c>
      <c r="D277" s="22" t="s">
        <v>41</v>
      </c>
      <c r="E277" s="1" t="s">
        <v>46</v>
      </c>
      <c r="F277" s="10">
        <v>-1530.78</v>
      </c>
      <c r="G277" s="1" t="s">
        <v>42</v>
      </c>
      <c r="H277" s="10">
        <v>-135000</v>
      </c>
      <c r="I277" s="1" t="s">
        <v>501</v>
      </c>
      <c r="J277" t="e">
        <f>VLOOKUP(D277,#REF!,8,0)</f>
        <v>#REF!</v>
      </c>
    </row>
    <row r="278" spans="1:12" x14ac:dyDescent="0.35">
      <c r="A278" s="1" t="s">
        <v>503</v>
      </c>
      <c r="B278" s="1" t="s">
        <v>7</v>
      </c>
      <c r="C278" s="9">
        <v>46029</v>
      </c>
      <c r="D278" s="22" t="s">
        <v>41</v>
      </c>
      <c r="E278" s="1" t="s">
        <v>46</v>
      </c>
      <c r="F278" s="10">
        <v>-986.48</v>
      </c>
      <c r="G278" s="1" t="s">
        <v>42</v>
      </c>
      <c r="H278" s="10">
        <v>-86998.43</v>
      </c>
      <c r="I278" s="1" t="s">
        <v>501</v>
      </c>
      <c r="J278" t="e">
        <f>VLOOKUP(D278,#REF!,8,0)</f>
        <v>#REF!</v>
      </c>
    </row>
    <row r="279" spans="1:12" x14ac:dyDescent="0.35">
      <c r="A279" s="1" t="s">
        <v>504</v>
      </c>
      <c r="B279" s="1" t="s">
        <v>5</v>
      </c>
      <c r="C279" s="9">
        <v>45935</v>
      </c>
      <c r="D279" s="22">
        <v>256779417873</v>
      </c>
      <c r="E279" s="1" t="s">
        <v>42</v>
      </c>
      <c r="F279" s="10">
        <v>100000</v>
      </c>
      <c r="G279" s="1" t="s">
        <v>42</v>
      </c>
      <c r="H279" s="10">
        <v>100000</v>
      </c>
      <c r="I279" s="1" t="s">
        <v>505</v>
      </c>
      <c r="J279" s="20" t="e">
        <f>VLOOKUP(D279,#REF!,8,0)</f>
        <v>#REF!</v>
      </c>
      <c r="K279" s="5" t="e">
        <f t="shared" ref="K279:K281" si="38">H279-J279</f>
        <v>#REF!</v>
      </c>
      <c r="L279" s="31" t="e">
        <f t="shared" ref="L279:L281" si="39">K279/H279</f>
        <v>#REF!</v>
      </c>
    </row>
    <row r="280" spans="1:12" x14ac:dyDescent="0.35">
      <c r="A280" s="1" t="s">
        <v>506</v>
      </c>
      <c r="B280" s="1" t="s">
        <v>5</v>
      </c>
      <c r="C280" s="9">
        <v>45935</v>
      </c>
      <c r="D280" s="22">
        <v>256779417874</v>
      </c>
      <c r="E280" s="1" t="s">
        <v>42</v>
      </c>
      <c r="F280" s="10">
        <v>35000</v>
      </c>
      <c r="G280" s="1" t="s">
        <v>42</v>
      </c>
      <c r="H280" s="10">
        <v>35000</v>
      </c>
      <c r="I280" s="1" t="s">
        <v>505</v>
      </c>
      <c r="J280" s="20" t="e">
        <f>VLOOKUP(D280,#REF!,8,0)</f>
        <v>#REF!</v>
      </c>
      <c r="K280" s="5" t="e">
        <f t="shared" si="38"/>
        <v>#REF!</v>
      </c>
      <c r="L280" s="31" t="e">
        <f t="shared" si="39"/>
        <v>#REF!</v>
      </c>
    </row>
    <row r="281" spans="1:12" x14ac:dyDescent="0.35">
      <c r="A281" s="1" t="s">
        <v>507</v>
      </c>
      <c r="B281" s="1" t="s">
        <v>5</v>
      </c>
      <c r="C281" s="9">
        <v>45935</v>
      </c>
      <c r="D281" s="22">
        <v>256779417979</v>
      </c>
      <c r="E281" s="1" t="s">
        <v>46</v>
      </c>
      <c r="F281" s="10">
        <v>136.47999999999999</v>
      </c>
      <c r="G281" s="1" t="s">
        <v>42</v>
      </c>
      <c r="H281" s="10">
        <v>12036.28</v>
      </c>
      <c r="I281" s="1" t="s">
        <v>490</v>
      </c>
      <c r="J281" s="20" t="e">
        <f>VLOOKUP(D281,#REF!,8,0)</f>
        <v>#REF!</v>
      </c>
      <c r="K281" s="5" t="e">
        <f t="shared" si="38"/>
        <v>#REF!</v>
      </c>
      <c r="L281" s="31" t="e">
        <f t="shared" si="39"/>
        <v>#REF!</v>
      </c>
    </row>
    <row r="282" spans="1:12" x14ac:dyDescent="0.35">
      <c r="A282" s="1" t="s">
        <v>509</v>
      </c>
      <c r="B282" s="1" t="s">
        <v>5</v>
      </c>
      <c r="C282" s="9">
        <v>46034</v>
      </c>
      <c r="D282" s="22">
        <v>256779440168</v>
      </c>
      <c r="E282" s="1" t="s">
        <v>46</v>
      </c>
      <c r="F282" s="10">
        <v>903.23</v>
      </c>
      <c r="G282" s="1" t="s">
        <v>42</v>
      </c>
      <c r="H282" s="26">
        <v>81961.929999999993</v>
      </c>
      <c r="I282" s="1" t="s">
        <v>510</v>
      </c>
      <c r="J282" t="e">
        <f>VLOOKUP(D282,#REF!,8,0)</f>
        <v>#REF!</v>
      </c>
    </row>
    <row r="283" spans="1:12" x14ac:dyDescent="0.35">
      <c r="A283" s="1" t="s">
        <v>511</v>
      </c>
      <c r="B283" s="1" t="s">
        <v>5</v>
      </c>
      <c r="C283" s="9">
        <v>46028</v>
      </c>
      <c r="D283" s="22">
        <v>256779440211</v>
      </c>
      <c r="E283" s="1" t="s">
        <v>46</v>
      </c>
      <c r="F283" s="10">
        <v>26.97</v>
      </c>
      <c r="G283" s="1" t="s">
        <v>42</v>
      </c>
      <c r="H283" s="26">
        <v>2447.34</v>
      </c>
      <c r="I283" s="1" t="s">
        <v>512</v>
      </c>
      <c r="J283" t="e">
        <f>VLOOKUP(D283,#REF!,8,0)</f>
        <v>#REF!</v>
      </c>
    </row>
    <row r="284" spans="1:12" x14ac:dyDescent="0.35">
      <c r="A284" s="1" t="s">
        <v>513</v>
      </c>
      <c r="B284" s="1" t="s">
        <v>5</v>
      </c>
      <c r="C284" s="9">
        <v>46034</v>
      </c>
      <c r="D284" s="22">
        <v>256779440230</v>
      </c>
      <c r="E284" s="1" t="s">
        <v>46</v>
      </c>
      <c r="F284" s="10">
        <v>40.56</v>
      </c>
      <c r="G284" s="1" t="s">
        <v>42</v>
      </c>
      <c r="H284" s="26">
        <v>3680.54</v>
      </c>
      <c r="I284" s="1" t="s">
        <v>514</v>
      </c>
      <c r="J284" t="e">
        <f>VLOOKUP(D284,#REF!,8,0)</f>
        <v>#REF!</v>
      </c>
    </row>
    <row r="285" spans="1:12" x14ac:dyDescent="0.35">
      <c r="A285" s="1" t="s">
        <v>515</v>
      </c>
      <c r="B285" s="1" t="s">
        <v>5</v>
      </c>
      <c r="C285" s="9">
        <v>46028</v>
      </c>
      <c r="D285" s="22">
        <v>256779440262</v>
      </c>
      <c r="E285" s="1" t="s">
        <v>46</v>
      </c>
      <c r="F285" s="10">
        <v>100</v>
      </c>
      <c r="G285" s="1" t="s">
        <v>42</v>
      </c>
      <c r="H285" s="26">
        <v>9074.31</v>
      </c>
      <c r="I285" s="1" t="s">
        <v>516</v>
      </c>
      <c r="J285" t="e">
        <f>VLOOKUP(D285,#REF!,8,0)</f>
        <v>#REF!</v>
      </c>
    </row>
    <row r="286" spans="1:12" x14ac:dyDescent="0.35">
      <c r="A286" s="1" t="s">
        <v>517</v>
      </c>
      <c r="B286" s="1" t="s">
        <v>5</v>
      </c>
      <c r="C286" s="9">
        <v>46028</v>
      </c>
      <c r="D286" s="22">
        <v>256779440263</v>
      </c>
      <c r="E286" s="1" t="s">
        <v>46</v>
      </c>
      <c r="F286" s="10">
        <v>100</v>
      </c>
      <c r="G286" s="1" t="s">
        <v>42</v>
      </c>
      <c r="H286" s="26">
        <v>9074.31</v>
      </c>
      <c r="I286" s="1" t="s">
        <v>516</v>
      </c>
      <c r="J286" t="e">
        <f>VLOOKUP(D286,#REF!,8,0)</f>
        <v>#REF!</v>
      </c>
    </row>
    <row r="287" spans="1:12" x14ac:dyDescent="0.35">
      <c r="A287" s="1" t="s">
        <v>518</v>
      </c>
      <c r="B287" s="1" t="s">
        <v>5</v>
      </c>
      <c r="C287" s="9">
        <v>46028</v>
      </c>
      <c r="D287" s="22">
        <v>256779440264</v>
      </c>
      <c r="E287" s="1" t="s">
        <v>46</v>
      </c>
      <c r="F287" s="10">
        <v>100</v>
      </c>
      <c r="G287" s="1" t="s">
        <v>42</v>
      </c>
      <c r="H287" s="26">
        <v>9074.31</v>
      </c>
      <c r="I287" s="1" t="s">
        <v>516</v>
      </c>
      <c r="J287" t="e">
        <f>VLOOKUP(D287,#REF!,8,0)</f>
        <v>#REF!</v>
      </c>
    </row>
    <row r="288" spans="1:12" x14ac:dyDescent="0.35">
      <c r="A288" s="1" t="s">
        <v>519</v>
      </c>
      <c r="B288" s="1" t="s">
        <v>5</v>
      </c>
      <c r="C288" s="9">
        <v>46028</v>
      </c>
      <c r="D288" s="22">
        <v>256779440265</v>
      </c>
      <c r="E288" s="1" t="s">
        <v>46</v>
      </c>
      <c r="F288" s="10">
        <v>100</v>
      </c>
      <c r="G288" s="1" t="s">
        <v>42</v>
      </c>
      <c r="H288" s="26">
        <v>9074.31</v>
      </c>
      <c r="I288" s="1" t="s">
        <v>516</v>
      </c>
      <c r="J288" t="e">
        <f>VLOOKUP(D288,#REF!,8,0)</f>
        <v>#REF!</v>
      </c>
    </row>
    <row r="289" spans="1:10" x14ac:dyDescent="0.35">
      <c r="A289" s="1" t="s">
        <v>520</v>
      </c>
      <c r="B289" s="1" t="s">
        <v>5</v>
      </c>
      <c r="C289" s="9">
        <v>46028</v>
      </c>
      <c r="D289" s="22">
        <v>256779440307</v>
      </c>
      <c r="E289" s="1" t="s">
        <v>42</v>
      </c>
      <c r="F289" s="10">
        <v>100000</v>
      </c>
      <c r="G289" s="1" t="s">
        <v>42</v>
      </c>
      <c r="H289" s="26">
        <v>100000</v>
      </c>
      <c r="I289" s="1" t="s">
        <v>521</v>
      </c>
      <c r="J289" t="e">
        <f>VLOOKUP(D289,#REF!,8,0)</f>
        <v>#REF!</v>
      </c>
    </row>
    <row r="290" spans="1:10" x14ac:dyDescent="0.35">
      <c r="A290" s="1" t="s">
        <v>522</v>
      </c>
      <c r="B290" s="1" t="s">
        <v>5</v>
      </c>
      <c r="C290" s="9">
        <v>46028</v>
      </c>
      <c r="D290" s="22">
        <v>256779440308</v>
      </c>
      <c r="E290" s="1" t="s">
        <v>42</v>
      </c>
      <c r="F290" s="10">
        <v>35000</v>
      </c>
      <c r="G290" s="1" t="s">
        <v>42</v>
      </c>
      <c r="H290" s="26">
        <v>35000</v>
      </c>
      <c r="I290" s="1" t="s">
        <v>523</v>
      </c>
      <c r="J290" t="e">
        <f>VLOOKUP(D290,#REF!,8,0)</f>
        <v>#REF!</v>
      </c>
    </row>
    <row r="291" spans="1:10" x14ac:dyDescent="0.35">
      <c r="A291" s="1" t="s">
        <v>524</v>
      </c>
      <c r="B291" s="1" t="s">
        <v>5</v>
      </c>
      <c r="C291" s="9">
        <v>46035</v>
      </c>
      <c r="D291" s="22">
        <v>256779440358</v>
      </c>
      <c r="E291" s="1" t="s">
        <v>46</v>
      </c>
      <c r="F291" s="10">
        <v>100</v>
      </c>
      <c r="G291" s="1" t="s">
        <v>42</v>
      </c>
      <c r="H291" s="26">
        <v>9074.31</v>
      </c>
      <c r="I291" s="1" t="s">
        <v>525</v>
      </c>
      <c r="J291" t="e">
        <f>VLOOKUP(D291,#REF!,8,0)</f>
        <v>#REF!</v>
      </c>
    </row>
    <row r="292" spans="1:10" x14ac:dyDescent="0.35">
      <c r="A292" s="1" t="s">
        <v>526</v>
      </c>
      <c r="B292" s="1" t="s">
        <v>5</v>
      </c>
      <c r="C292" s="9">
        <v>46035</v>
      </c>
      <c r="D292" s="22">
        <v>256779440365</v>
      </c>
      <c r="E292" s="1" t="s">
        <v>46</v>
      </c>
      <c r="F292" s="10">
        <v>38.229999999999997</v>
      </c>
      <c r="G292" s="1" t="s">
        <v>42</v>
      </c>
      <c r="H292" s="26">
        <v>3469.11</v>
      </c>
      <c r="I292" s="1" t="s">
        <v>527</v>
      </c>
      <c r="J292" t="e">
        <f>VLOOKUP(D292,#REF!,8,0)</f>
        <v>#REF!</v>
      </c>
    </row>
    <row r="293" spans="1:10" x14ac:dyDescent="0.35">
      <c r="A293" s="1" t="s">
        <v>528</v>
      </c>
      <c r="B293" s="1" t="s">
        <v>5</v>
      </c>
      <c r="C293" s="9">
        <v>46044</v>
      </c>
      <c r="D293" s="22">
        <v>256779440395</v>
      </c>
      <c r="E293" s="1" t="s">
        <v>46</v>
      </c>
      <c r="F293" s="10">
        <v>846.77</v>
      </c>
      <c r="G293" s="1" t="s">
        <v>42</v>
      </c>
      <c r="H293" s="26">
        <v>76838.570000000007</v>
      </c>
      <c r="I293" s="1" t="s">
        <v>529</v>
      </c>
      <c r="J293" t="e">
        <f>VLOOKUP(D293,#REF!,8,0)</f>
        <v>#REF!</v>
      </c>
    </row>
    <row r="294" spans="1:10" x14ac:dyDescent="0.35">
      <c r="A294" s="1" t="s">
        <v>530</v>
      </c>
      <c r="B294" s="1" t="s">
        <v>5</v>
      </c>
      <c r="C294" s="9">
        <v>46045</v>
      </c>
      <c r="D294" s="22">
        <v>256779440414</v>
      </c>
      <c r="E294" s="1" t="s">
        <v>46</v>
      </c>
      <c r="F294" s="10">
        <v>82.3</v>
      </c>
      <c r="G294" s="1" t="s">
        <v>42</v>
      </c>
      <c r="H294" s="26">
        <v>7468.16</v>
      </c>
      <c r="I294" s="1" t="s">
        <v>531</v>
      </c>
      <c r="J294" t="e">
        <f>VLOOKUP(D294,#REF!,8,0)</f>
        <v>#REF!</v>
      </c>
    </row>
    <row r="295" spans="1:10" x14ac:dyDescent="0.35">
      <c r="A295" s="1" t="s">
        <v>532</v>
      </c>
      <c r="B295" s="1" t="s">
        <v>5</v>
      </c>
      <c r="C295" s="9">
        <v>46045</v>
      </c>
      <c r="D295" s="22">
        <v>256779440430</v>
      </c>
      <c r="E295" s="1" t="s">
        <v>46</v>
      </c>
      <c r="F295" s="10">
        <v>23.82</v>
      </c>
      <c r="G295" s="1" t="s">
        <v>42</v>
      </c>
      <c r="H295" s="26">
        <v>2161.5</v>
      </c>
      <c r="I295" s="1" t="s">
        <v>533</v>
      </c>
      <c r="J295" t="e">
        <f>VLOOKUP(D295,#REF!,8,0)</f>
        <v>#REF!</v>
      </c>
    </row>
    <row r="296" spans="1:10" x14ac:dyDescent="0.35">
      <c r="A296" s="1" t="s">
        <v>534</v>
      </c>
      <c r="B296" s="1" t="s">
        <v>5</v>
      </c>
      <c r="C296" s="9">
        <v>46049</v>
      </c>
      <c r="D296" s="22">
        <v>256779440446</v>
      </c>
      <c r="E296" s="1" t="s">
        <v>46</v>
      </c>
      <c r="F296" s="10">
        <v>96.71</v>
      </c>
      <c r="G296" s="1" t="s">
        <v>42</v>
      </c>
      <c r="H296" s="26">
        <v>8775.77</v>
      </c>
      <c r="I296" s="1" t="s">
        <v>535</v>
      </c>
      <c r="J296" t="e">
        <f>VLOOKUP(D296,#REF!,8,0)</f>
        <v>#REF!</v>
      </c>
    </row>
    <row r="297" spans="1:10" x14ac:dyDescent="0.35">
      <c r="A297" s="1" t="s">
        <v>536</v>
      </c>
      <c r="B297" s="1" t="s">
        <v>4</v>
      </c>
      <c r="C297" s="9">
        <v>46055</v>
      </c>
      <c r="D297" s="22">
        <v>256779422238</v>
      </c>
      <c r="E297" s="1" t="s">
        <v>46</v>
      </c>
      <c r="F297" s="10">
        <v>-17.48</v>
      </c>
      <c r="G297" s="1" t="s">
        <v>42</v>
      </c>
      <c r="H297" s="10">
        <v>-1579.06</v>
      </c>
      <c r="I297" s="1" t="s">
        <v>537</v>
      </c>
      <c r="J297" t="e">
        <f>VLOOKUP(D297,#REF!,8,0)</f>
        <v>#REF!</v>
      </c>
    </row>
    <row r="298" spans="1:10" x14ac:dyDescent="0.35">
      <c r="A298" s="1" t="s">
        <v>538</v>
      </c>
      <c r="B298" s="1" t="s">
        <v>4</v>
      </c>
      <c r="C298" s="9">
        <v>46055</v>
      </c>
      <c r="D298" s="22">
        <v>256779422239</v>
      </c>
      <c r="E298" s="1" t="s">
        <v>46</v>
      </c>
      <c r="F298" s="10">
        <v>-101.23</v>
      </c>
      <c r="G298" s="1" t="s">
        <v>42</v>
      </c>
      <c r="H298" s="10">
        <v>-9144.6299999999992</v>
      </c>
      <c r="I298" s="1" t="s">
        <v>539</v>
      </c>
      <c r="J298" t="e">
        <f>VLOOKUP(D298,#REF!,8,0)</f>
        <v>#REF!</v>
      </c>
    </row>
    <row r="299" spans="1:10" x14ac:dyDescent="0.35">
      <c r="A299" s="1" t="s">
        <v>540</v>
      </c>
      <c r="B299" s="1" t="s">
        <v>4</v>
      </c>
      <c r="C299" s="9">
        <v>46055</v>
      </c>
      <c r="D299" s="22">
        <v>256779422240</v>
      </c>
      <c r="E299" s="1" t="s">
        <v>46</v>
      </c>
      <c r="F299" s="10">
        <v>-303.16000000000003</v>
      </c>
      <c r="G299" s="1" t="s">
        <v>42</v>
      </c>
      <c r="H299" s="10">
        <v>-27386.02</v>
      </c>
      <c r="I299" s="1" t="s">
        <v>541</v>
      </c>
      <c r="J299" t="e">
        <f>VLOOKUP(D299,#REF!,8,0)</f>
        <v>#REF!</v>
      </c>
    </row>
    <row r="300" spans="1:10" x14ac:dyDescent="0.35">
      <c r="A300" s="1" t="s">
        <v>542</v>
      </c>
      <c r="B300" s="1" t="s">
        <v>4</v>
      </c>
      <c r="C300" s="9">
        <v>46055</v>
      </c>
      <c r="D300" s="22">
        <v>256779422241</v>
      </c>
      <c r="E300" s="1" t="s">
        <v>46</v>
      </c>
      <c r="F300" s="10">
        <v>-87.28</v>
      </c>
      <c r="G300" s="1" t="s">
        <v>42</v>
      </c>
      <c r="H300" s="10">
        <v>-7884.46</v>
      </c>
      <c r="I300" s="1" t="s">
        <v>543</v>
      </c>
      <c r="J300" t="e">
        <f>VLOOKUP(D300,#REF!,8,0)</f>
        <v>#REF!</v>
      </c>
    </row>
    <row r="301" spans="1:10" x14ac:dyDescent="0.35">
      <c r="A301" s="1" t="s">
        <v>544</v>
      </c>
      <c r="B301" s="1" t="s">
        <v>5</v>
      </c>
      <c r="C301" s="9">
        <v>46055</v>
      </c>
      <c r="D301" s="22">
        <v>256779440457</v>
      </c>
      <c r="E301" s="1" t="s">
        <v>46</v>
      </c>
      <c r="F301" s="10">
        <v>938.8</v>
      </c>
      <c r="G301" s="1" t="s">
        <v>42</v>
      </c>
      <c r="H301" s="26">
        <v>84806.69</v>
      </c>
      <c r="I301" s="1" t="s">
        <v>484</v>
      </c>
      <c r="J301" t="e">
        <f>VLOOKUP(D301,#REF!,8,0)</f>
        <v>#REF!</v>
      </c>
    </row>
  </sheetData>
  <autoFilter ref="A2:L301" xr:uid="{631CCB4C-00D0-4FAC-B4AD-D41D93BFE5E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CE03-CD3F-4395-87A8-EB773F11F257}">
  <dimension ref="A1:R17"/>
  <sheetViews>
    <sheetView workbookViewId="0">
      <selection activeCell="A301" sqref="A301"/>
    </sheetView>
  </sheetViews>
  <sheetFormatPr defaultRowHeight="14.5" x14ac:dyDescent="0.35"/>
  <cols>
    <col min="4" max="4" width="4.54296875" bestFit="1" customWidth="1"/>
    <col min="5" max="5" width="13.08984375" style="3" bestFit="1" customWidth="1"/>
    <col min="6" max="6" width="13.90625" style="3" bestFit="1" customWidth="1"/>
    <col min="7" max="7" width="9.54296875" style="3" bestFit="1" customWidth="1"/>
    <col min="8" max="8" width="13.08984375" style="3" bestFit="1" customWidth="1"/>
    <col min="9" max="9" width="4.54296875" bestFit="1" customWidth="1"/>
    <col min="10" max="10" width="13.08984375" bestFit="1" customWidth="1"/>
    <col min="13" max="13" width="5.453125" bestFit="1" customWidth="1"/>
    <col min="14" max="14" width="8.08984375" bestFit="1" customWidth="1"/>
    <col min="15" max="15" width="13.90625" bestFit="1" customWidth="1"/>
    <col min="16" max="16" width="15.08984375" bestFit="1" customWidth="1"/>
    <col min="17" max="17" width="15.6328125" bestFit="1" customWidth="1"/>
    <col min="18" max="18" width="13.08984375" bestFit="1" customWidth="1"/>
  </cols>
  <sheetData>
    <row r="1" spans="1:18" x14ac:dyDescent="0.35">
      <c r="E1"/>
      <c r="F1"/>
      <c r="G1"/>
      <c r="H1"/>
    </row>
    <row r="2" spans="1:18" x14ac:dyDescent="0.35">
      <c r="C2" s="2" t="s">
        <v>27</v>
      </c>
      <c r="E2"/>
      <c r="F2"/>
      <c r="G2"/>
      <c r="H2"/>
      <c r="P2" s="2" t="s">
        <v>29</v>
      </c>
      <c r="Q2" s="5"/>
    </row>
    <row r="3" spans="1:18" x14ac:dyDescent="0.35">
      <c r="D3" s="3">
        <f t="shared" ref="D3:I3" si="0">SUBTOTAL(9,D5:D17)</f>
        <v>0</v>
      </c>
      <c r="E3" s="3">
        <f t="shared" si="0"/>
        <v>-2363520.3400000003</v>
      </c>
      <c r="F3" s="3">
        <f t="shared" si="0"/>
        <v>10607419.249999998</v>
      </c>
      <c r="G3" s="3">
        <f t="shared" si="0"/>
        <v>-4517.25</v>
      </c>
      <c r="H3" s="3">
        <f t="shared" si="0"/>
        <v>-4068082.7900000005</v>
      </c>
      <c r="I3" s="3">
        <f t="shared" si="0"/>
        <v>0</v>
      </c>
      <c r="J3" s="3">
        <f>SUBTOTAL(9,J5:J17)</f>
        <v>4171298.8699999992</v>
      </c>
      <c r="P3" s="3">
        <f>SUBTOTAL(9,P5:P16)</f>
        <v>6183010.3298000004</v>
      </c>
      <c r="Q3" s="3">
        <f>SUBTOTAL(9,Q5:Q16)</f>
        <v>7380750.6211000001</v>
      </c>
      <c r="R3" s="3">
        <f>SUBTOTAL(9,R5:R16)</f>
        <v>1197740.2913000013</v>
      </c>
    </row>
    <row r="4" spans="1:18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4" t="s">
        <v>28</v>
      </c>
      <c r="M4" t="s">
        <v>0</v>
      </c>
      <c r="N4" t="s">
        <v>1</v>
      </c>
      <c r="O4" t="s">
        <v>2</v>
      </c>
      <c r="P4" t="s">
        <v>30</v>
      </c>
      <c r="Q4" t="s">
        <v>31</v>
      </c>
      <c r="R4" s="4" t="s">
        <v>28</v>
      </c>
    </row>
    <row r="5" spans="1:18" x14ac:dyDescent="0.35">
      <c r="A5" s="1" t="s">
        <v>9</v>
      </c>
      <c r="B5" s="1" t="s">
        <v>10</v>
      </c>
      <c r="C5" s="1" t="s">
        <v>11</v>
      </c>
      <c r="D5" s="1"/>
      <c r="E5" s="6"/>
      <c r="F5" s="6">
        <v>1709145.6299999997</v>
      </c>
      <c r="G5" s="6"/>
      <c r="H5" s="6"/>
      <c r="I5" s="1">
        <v>0</v>
      </c>
      <c r="J5" s="3">
        <f>SUM(D5:I5)</f>
        <v>1709145.6299999997</v>
      </c>
      <c r="M5" t="s">
        <v>9</v>
      </c>
      <c r="N5" t="s">
        <v>10</v>
      </c>
      <c r="O5" t="s">
        <v>11</v>
      </c>
      <c r="P5" s="3"/>
      <c r="Q5" s="3">
        <v>1176894.5044000002</v>
      </c>
      <c r="R5" s="5">
        <f>Q5-P5</f>
        <v>1176894.5044000002</v>
      </c>
    </row>
    <row r="6" spans="1:18" x14ac:dyDescent="0.35">
      <c r="A6" s="1" t="s">
        <v>9</v>
      </c>
      <c r="B6" s="1" t="s">
        <v>10</v>
      </c>
      <c r="C6" s="1" t="s">
        <v>12</v>
      </c>
      <c r="D6" s="1"/>
      <c r="E6" s="6"/>
      <c r="F6" s="6">
        <v>1285065.3299999998</v>
      </c>
      <c r="G6" s="6"/>
      <c r="H6" s="6"/>
      <c r="I6" s="1"/>
      <c r="J6" s="3">
        <f t="shared" ref="J6:J17" si="1">SUM(D6:I6)</f>
        <v>1285065.3299999998</v>
      </c>
      <c r="M6" t="s">
        <v>9</v>
      </c>
      <c r="N6" t="s">
        <v>10</v>
      </c>
      <c r="O6" t="s">
        <v>12</v>
      </c>
      <c r="P6" s="3">
        <v>3423.2</v>
      </c>
      <c r="Q6" s="3">
        <v>963804.11200000008</v>
      </c>
      <c r="R6" s="5">
        <f t="shared" ref="R6:R16" si="2">Q6-P6</f>
        <v>960380.91200000013</v>
      </c>
    </row>
    <row r="7" spans="1:18" x14ac:dyDescent="0.35">
      <c r="A7" s="1" t="s">
        <v>9</v>
      </c>
      <c r="B7" s="1" t="s">
        <v>13</v>
      </c>
      <c r="C7" s="1" t="s">
        <v>14</v>
      </c>
      <c r="D7" s="1">
        <v>0</v>
      </c>
      <c r="E7" s="6"/>
      <c r="F7" s="6">
        <v>1164595.6499999999</v>
      </c>
      <c r="G7" s="6"/>
      <c r="H7" s="6"/>
      <c r="I7" s="1"/>
      <c r="J7" s="3">
        <f t="shared" si="1"/>
        <v>1164595.6499999999</v>
      </c>
      <c r="M7" t="s">
        <v>9</v>
      </c>
      <c r="N7" t="s">
        <v>13</v>
      </c>
      <c r="O7" t="s">
        <v>14</v>
      </c>
      <c r="P7" s="3">
        <v>6857</v>
      </c>
      <c r="Q7" s="3">
        <v>965734.79319999996</v>
      </c>
      <c r="R7" s="5">
        <f t="shared" si="2"/>
        <v>958877.79319999996</v>
      </c>
    </row>
    <row r="8" spans="1:18" x14ac:dyDescent="0.35">
      <c r="A8" s="1" t="s">
        <v>9</v>
      </c>
      <c r="B8" s="1" t="s">
        <v>13</v>
      </c>
      <c r="C8" s="1" t="s">
        <v>15</v>
      </c>
      <c r="D8" s="1"/>
      <c r="E8" s="6">
        <v>-282752.46000000002</v>
      </c>
      <c r="F8" s="6">
        <v>334850.18999999994</v>
      </c>
      <c r="G8" s="6"/>
      <c r="H8" s="6"/>
      <c r="I8" s="1"/>
      <c r="J8" s="3">
        <f t="shared" si="1"/>
        <v>52097.729999999923</v>
      </c>
      <c r="M8" t="s">
        <v>9</v>
      </c>
      <c r="N8" t="s">
        <v>13</v>
      </c>
      <c r="O8" t="s">
        <v>15</v>
      </c>
      <c r="P8" s="3"/>
      <c r="Q8" s="3">
        <v>314121.81470000005</v>
      </c>
      <c r="R8" s="5">
        <f t="shared" si="2"/>
        <v>314121.81470000005</v>
      </c>
    </row>
    <row r="9" spans="1:18" x14ac:dyDescent="0.35">
      <c r="A9" s="1" t="s">
        <v>9</v>
      </c>
      <c r="B9" s="1" t="s">
        <v>13</v>
      </c>
      <c r="C9" s="1" t="s">
        <v>16</v>
      </c>
      <c r="D9" s="1"/>
      <c r="E9" s="6"/>
      <c r="F9" s="6">
        <v>694990.26</v>
      </c>
      <c r="G9" s="6"/>
      <c r="H9" s="6">
        <v>-23431.62</v>
      </c>
      <c r="I9" s="1"/>
      <c r="J9" s="3">
        <f t="shared" si="1"/>
        <v>671558.64</v>
      </c>
      <c r="M9" t="s">
        <v>9</v>
      </c>
      <c r="N9" t="s">
        <v>13</v>
      </c>
      <c r="O9" t="s">
        <v>16</v>
      </c>
      <c r="P9" s="3">
        <v>2325813.5085999998</v>
      </c>
      <c r="Q9" s="3">
        <v>383274.0626</v>
      </c>
      <c r="R9" s="5">
        <f t="shared" si="2"/>
        <v>-1942539.4459999998</v>
      </c>
    </row>
    <row r="10" spans="1:18" x14ac:dyDescent="0.35">
      <c r="A10" s="1" t="s">
        <v>9</v>
      </c>
      <c r="B10" s="1" t="s">
        <v>17</v>
      </c>
      <c r="C10" s="1" t="s">
        <v>18</v>
      </c>
      <c r="D10" s="1"/>
      <c r="E10" s="6">
        <v>-1496930.2400000002</v>
      </c>
      <c r="F10" s="6">
        <v>780750.65999999992</v>
      </c>
      <c r="G10" s="6">
        <v>0</v>
      </c>
      <c r="H10" s="6"/>
      <c r="I10" s="1"/>
      <c r="J10" s="3">
        <f t="shared" si="1"/>
        <v>-716179.58000000031</v>
      </c>
      <c r="M10" t="s">
        <v>9</v>
      </c>
      <c r="N10" t="s">
        <v>17</v>
      </c>
      <c r="O10" t="s">
        <v>18</v>
      </c>
      <c r="P10" s="3">
        <v>319981.4313</v>
      </c>
      <c r="Q10" s="3">
        <v>525725.72680000006</v>
      </c>
      <c r="R10" s="5">
        <f t="shared" si="2"/>
        <v>205744.29550000007</v>
      </c>
    </row>
    <row r="11" spans="1:18" x14ac:dyDescent="0.35">
      <c r="A11" s="1" t="s">
        <v>9</v>
      </c>
      <c r="B11" s="1" t="s">
        <v>17</v>
      </c>
      <c r="C11" s="1" t="s">
        <v>19</v>
      </c>
      <c r="D11" s="1"/>
      <c r="E11" s="6">
        <v>-400000.24</v>
      </c>
      <c r="F11" s="6">
        <v>1732789.2200000002</v>
      </c>
      <c r="G11" s="6"/>
      <c r="H11" s="6">
        <v>-1177084.7599999998</v>
      </c>
      <c r="I11" s="1"/>
      <c r="J11" s="3">
        <f t="shared" si="1"/>
        <v>155704.22000000044</v>
      </c>
      <c r="M11" t="s">
        <v>9</v>
      </c>
      <c r="N11" t="s">
        <v>17</v>
      </c>
      <c r="O11" t="s">
        <v>19</v>
      </c>
      <c r="P11" s="3">
        <v>677925.26790000009</v>
      </c>
      <c r="Q11" s="3">
        <v>795781.7463</v>
      </c>
      <c r="R11" s="5">
        <f t="shared" si="2"/>
        <v>117856.47839999991</v>
      </c>
    </row>
    <row r="12" spans="1:18" x14ac:dyDescent="0.35">
      <c r="A12" s="1" t="s">
        <v>9</v>
      </c>
      <c r="B12" s="1" t="s">
        <v>17</v>
      </c>
      <c r="C12" s="1" t="s">
        <v>20</v>
      </c>
      <c r="D12" s="1"/>
      <c r="E12" s="6">
        <v>-43777.19</v>
      </c>
      <c r="F12" s="6">
        <v>1140119.47</v>
      </c>
      <c r="G12" s="6">
        <v>-4517.25</v>
      </c>
      <c r="H12" s="6">
        <v>-256665.53</v>
      </c>
      <c r="I12" s="1"/>
      <c r="J12" s="3">
        <f t="shared" si="1"/>
        <v>835159.5</v>
      </c>
      <c r="M12" t="s">
        <v>9</v>
      </c>
      <c r="N12" t="s">
        <v>17</v>
      </c>
      <c r="O12" t="s">
        <v>20</v>
      </c>
      <c r="P12" s="3">
        <v>1393909.6054</v>
      </c>
      <c r="Q12" s="3">
        <v>931531.18060000031</v>
      </c>
      <c r="R12" s="5">
        <f t="shared" si="2"/>
        <v>-462378.42479999969</v>
      </c>
    </row>
    <row r="13" spans="1:18" x14ac:dyDescent="0.35">
      <c r="A13" s="1" t="s">
        <v>9</v>
      </c>
      <c r="B13" s="1" t="s">
        <v>21</v>
      </c>
      <c r="C13" s="1" t="s">
        <v>22</v>
      </c>
      <c r="D13" s="1"/>
      <c r="E13" s="6">
        <v>-94066.04</v>
      </c>
      <c r="F13" s="6">
        <v>511397.33999999997</v>
      </c>
      <c r="G13" s="6"/>
      <c r="H13" s="6">
        <v>-413002</v>
      </c>
      <c r="I13" s="1"/>
      <c r="J13" s="3">
        <f t="shared" si="1"/>
        <v>4329.2999999999884</v>
      </c>
      <c r="M13" t="s">
        <v>9</v>
      </c>
      <c r="N13" t="s">
        <v>21</v>
      </c>
      <c r="O13" t="s">
        <v>22</v>
      </c>
      <c r="P13" s="3">
        <v>1246249.1572</v>
      </c>
      <c r="Q13" s="3">
        <v>603623.75859999994</v>
      </c>
      <c r="R13" s="5">
        <f t="shared" si="2"/>
        <v>-642625.39860000007</v>
      </c>
    </row>
    <row r="14" spans="1:18" x14ac:dyDescent="0.35">
      <c r="A14" s="1" t="s">
        <v>9</v>
      </c>
      <c r="B14" s="1" t="s">
        <v>21</v>
      </c>
      <c r="C14" s="1" t="s">
        <v>23</v>
      </c>
      <c r="D14" s="1"/>
      <c r="E14" s="6"/>
      <c r="F14" s="6">
        <v>445656.37</v>
      </c>
      <c r="G14" s="6"/>
      <c r="H14" s="6">
        <v>-1975900.4500000002</v>
      </c>
      <c r="I14" s="1"/>
      <c r="J14" s="3">
        <f t="shared" si="1"/>
        <v>-1530244.08</v>
      </c>
      <c r="M14" t="s">
        <v>9</v>
      </c>
      <c r="N14" t="s">
        <v>21</v>
      </c>
      <c r="O14" t="s">
        <v>23</v>
      </c>
      <c r="P14" s="3"/>
      <c r="Q14" s="3">
        <v>456392.13939999999</v>
      </c>
      <c r="R14" s="5">
        <f t="shared" si="2"/>
        <v>456392.13939999999</v>
      </c>
    </row>
    <row r="15" spans="1:18" x14ac:dyDescent="0.35">
      <c r="A15" s="1" t="s">
        <v>9</v>
      </c>
      <c r="B15" s="1" t="s">
        <v>21</v>
      </c>
      <c r="C15" s="1" t="s">
        <v>24</v>
      </c>
      <c r="D15" s="1"/>
      <c r="E15" s="6"/>
      <c r="F15" s="6">
        <v>236783.41</v>
      </c>
      <c r="G15" s="6"/>
      <c r="H15" s="6"/>
      <c r="I15" s="1"/>
      <c r="J15" s="3">
        <f t="shared" si="1"/>
        <v>236783.41</v>
      </c>
      <c r="M15" t="s">
        <v>9</v>
      </c>
      <c r="N15" t="s">
        <v>21</v>
      </c>
      <c r="O15" t="s">
        <v>24</v>
      </c>
      <c r="P15" s="3">
        <v>208851.1594</v>
      </c>
      <c r="Q15" s="3">
        <v>188962.81969999999</v>
      </c>
      <c r="R15" s="5">
        <f t="shared" si="2"/>
        <v>-19888.339700000011</v>
      </c>
    </row>
    <row r="16" spans="1:18" x14ac:dyDescent="0.35">
      <c r="A16" s="1" t="s">
        <v>25</v>
      </c>
      <c r="B16" s="1" t="s">
        <v>10</v>
      </c>
      <c r="C16" s="1" t="s">
        <v>26</v>
      </c>
      <c r="D16" s="1"/>
      <c r="E16" s="6"/>
      <c r="F16" s="6">
        <v>486469.02999999997</v>
      </c>
      <c r="G16" s="6"/>
      <c r="H16" s="6">
        <v>-221998.43</v>
      </c>
      <c r="I16" s="1"/>
      <c r="J16" s="3">
        <f t="shared" si="1"/>
        <v>264470.59999999998</v>
      </c>
      <c r="M16" t="s">
        <v>25</v>
      </c>
      <c r="N16" t="s">
        <v>10</v>
      </c>
      <c r="O16" t="s">
        <v>26</v>
      </c>
      <c r="P16" s="3"/>
      <c r="Q16" s="3">
        <v>74903.962799999994</v>
      </c>
      <c r="R16" s="5">
        <f t="shared" si="2"/>
        <v>74903.962799999994</v>
      </c>
    </row>
    <row r="17" spans="1:10" x14ac:dyDescent="0.35">
      <c r="A17" s="1" t="s">
        <v>25</v>
      </c>
      <c r="B17" s="1" t="s">
        <v>10</v>
      </c>
      <c r="C17" s="1" t="s">
        <v>11</v>
      </c>
      <c r="D17" s="1"/>
      <c r="E17" s="6">
        <v>-45994.17</v>
      </c>
      <c r="F17" s="6">
        <v>84806.69</v>
      </c>
      <c r="G17" s="6"/>
      <c r="H17" s="6"/>
      <c r="I17" s="1"/>
      <c r="J17" s="3">
        <f t="shared" si="1"/>
        <v>38812.520000000004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Payment Reco Updated</vt:lpstr>
      <vt:lpstr>Ascendus Data</vt:lpstr>
      <vt:lpstr>Payment Reco</vt:lpstr>
      <vt:lpstr>Difference in Invoice Amount</vt:lpstr>
      <vt:lpstr>Invoice not in Customer books</vt:lpstr>
      <vt:lpstr>CN not in Customer Books</vt:lpstr>
      <vt:lpstr>TDS Deducted</vt:lpstr>
      <vt:lpstr>Sheet2</vt:lpstr>
      <vt:lpstr>Customer Data Vlookup</vt:lpstr>
      <vt:lpstr>Sheet3</vt:lpstr>
      <vt:lpstr>Updated Ascendus ledger</vt:lpstr>
      <vt:lpstr>Customer Data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Neuroy Gonsalves</cp:lastModifiedBy>
  <dcterms:created xsi:type="dcterms:W3CDTF">2026-02-07T11:08:03Z</dcterms:created>
  <dcterms:modified xsi:type="dcterms:W3CDTF">2026-04-24T14:10:01Z</dcterms:modified>
</cp:coreProperties>
</file>