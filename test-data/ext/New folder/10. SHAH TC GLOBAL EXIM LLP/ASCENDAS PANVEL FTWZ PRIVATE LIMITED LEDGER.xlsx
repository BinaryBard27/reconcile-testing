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0. SHAH TC GLOBAL EXIM LLP\"/>
    </mc:Choice>
  </mc:AlternateContent>
  <xr:revisionPtr revIDLastSave="0" documentId="13_ncr:1_{D1DDAD24-3C20-45ED-846A-D892A8556BD0}" xr6:coauthVersionLast="47" xr6:coauthVersionMax="47" xr10:uidLastSave="{00000000-0000-0000-0000-000000000000}"/>
  <bookViews>
    <workbookView xWindow="-110" yWindow="-110" windowWidth="21820" windowHeight="14020" activeTab="3" xr2:uid="{F093A97B-CB68-48D1-BC51-790481D3E792}"/>
  </bookViews>
  <sheets>
    <sheet name="2024-2025" sheetId="1" r:id="rId1"/>
    <sheet name="2025-2026" sheetId="2" r:id="rId2"/>
    <sheet name="pivot" sheetId="4" r:id="rId3"/>
    <sheet name="combined ledger" sheetId="3" r:id="rId4"/>
  </sheets>
  <externalReferences>
    <externalReference r:id="rId5"/>
  </externalReferences>
  <definedNames>
    <definedName name="_xlnm._FilterDatabase" localSheetId="0" hidden="1">'2024-2025'!$A$1:$U$85</definedName>
    <definedName name="_xlnm._FilterDatabase" localSheetId="1" hidden="1">'2025-2026'!$A$1:$U$1</definedName>
    <definedName name="_xlnm._FilterDatabase" localSheetId="3" hidden="1">'combined ledger'!$A$2:$S$280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2" i="3" l="1"/>
  <c r="G1" i="3"/>
  <c r="H1" i="3"/>
  <c r="I1" i="3" l="1"/>
  <c r="O280" i="3" l="1"/>
  <c r="P280" i="3" s="1"/>
  <c r="S280" i="3" s="1"/>
  <c r="O279" i="3"/>
  <c r="P279" i="3" s="1"/>
  <c r="S279" i="3" s="1"/>
  <c r="O278" i="3"/>
  <c r="P278" i="3" s="1"/>
  <c r="S278" i="3" s="1"/>
  <c r="O277" i="3"/>
  <c r="P277" i="3" s="1"/>
  <c r="S277" i="3" s="1"/>
  <c r="O276" i="3"/>
  <c r="P276" i="3" s="1"/>
  <c r="S276" i="3" s="1"/>
  <c r="O275" i="3"/>
  <c r="P275" i="3" s="1"/>
  <c r="S275" i="3" s="1"/>
  <c r="O274" i="3"/>
  <c r="P274" i="3" s="1"/>
  <c r="S274" i="3" s="1"/>
  <c r="O273" i="3"/>
  <c r="P273" i="3" s="1"/>
  <c r="O272" i="3"/>
  <c r="P272" i="3" s="1"/>
  <c r="S272" i="3" s="1"/>
  <c r="O271" i="3"/>
  <c r="P271" i="3" s="1"/>
  <c r="S271" i="3" s="1"/>
  <c r="O270" i="3"/>
  <c r="P270" i="3" s="1"/>
  <c r="S270" i="3" s="1"/>
  <c r="O269" i="3"/>
  <c r="P269" i="3" s="1"/>
  <c r="S269" i="3" s="1"/>
  <c r="O268" i="3"/>
  <c r="P268" i="3" s="1"/>
  <c r="S268" i="3" s="1"/>
  <c r="O267" i="3"/>
  <c r="P267" i="3" s="1"/>
  <c r="S267" i="3" s="1"/>
  <c r="O266" i="3"/>
  <c r="P266" i="3" s="1"/>
  <c r="S266" i="3" s="1"/>
  <c r="O265" i="3"/>
  <c r="P265" i="3" s="1"/>
  <c r="S265" i="3" s="1"/>
  <c r="O264" i="3"/>
  <c r="P264" i="3" s="1"/>
  <c r="S264" i="3" s="1"/>
  <c r="O263" i="3"/>
  <c r="P263" i="3" s="1"/>
  <c r="S263" i="3" s="1"/>
  <c r="O262" i="3"/>
  <c r="P262" i="3" s="1"/>
  <c r="S262" i="3" s="1"/>
  <c r="O261" i="3"/>
  <c r="P261" i="3" s="1"/>
  <c r="S261" i="3" s="1"/>
  <c r="O260" i="3"/>
  <c r="P260" i="3" s="1"/>
  <c r="S260" i="3" s="1"/>
  <c r="O259" i="3"/>
  <c r="P259" i="3" s="1"/>
  <c r="S259" i="3" s="1"/>
  <c r="O258" i="3"/>
  <c r="P258" i="3" s="1"/>
  <c r="S258" i="3" s="1"/>
  <c r="O257" i="3"/>
  <c r="P257" i="3" s="1"/>
  <c r="S257" i="3" s="1"/>
  <c r="O256" i="3"/>
  <c r="P256" i="3" s="1"/>
  <c r="S256" i="3" s="1"/>
  <c r="O255" i="3"/>
  <c r="P255" i="3" s="1"/>
  <c r="S255" i="3" s="1"/>
  <c r="O254" i="3"/>
  <c r="P254" i="3" s="1"/>
  <c r="S254" i="3" s="1"/>
  <c r="O253" i="3"/>
  <c r="P253" i="3" s="1"/>
  <c r="S253" i="3" s="1"/>
  <c r="O252" i="3"/>
  <c r="P252" i="3" s="1"/>
  <c r="S252" i="3" s="1"/>
  <c r="O251" i="3"/>
  <c r="P251" i="3" s="1"/>
  <c r="S251" i="3" s="1"/>
  <c r="O250" i="3"/>
  <c r="P250" i="3" s="1"/>
  <c r="S250" i="3" s="1"/>
  <c r="O249" i="3"/>
  <c r="P249" i="3" s="1"/>
  <c r="S249" i="3" s="1"/>
  <c r="O248" i="3"/>
  <c r="P248" i="3" s="1"/>
  <c r="S248" i="3" s="1"/>
  <c r="O247" i="3"/>
  <c r="P247" i="3" s="1"/>
  <c r="S247" i="3" s="1"/>
  <c r="O246" i="3"/>
  <c r="P246" i="3" s="1"/>
  <c r="S246" i="3" s="1"/>
  <c r="O245" i="3"/>
  <c r="P245" i="3" s="1"/>
  <c r="S245" i="3" s="1"/>
  <c r="O244" i="3"/>
  <c r="P244" i="3" s="1"/>
  <c r="S244" i="3" s="1"/>
  <c r="O243" i="3"/>
  <c r="P243" i="3" s="1"/>
  <c r="S243" i="3" s="1"/>
  <c r="P242" i="3"/>
  <c r="S242" i="3" s="1"/>
  <c r="O241" i="3"/>
  <c r="P241" i="3" s="1"/>
  <c r="S241" i="3" s="1"/>
  <c r="O240" i="3"/>
  <c r="P240" i="3" s="1"/>
  <c r="S240" i="3" s="1"/>
  <c r="O239" i="3"/>
  <c r="P239" i="3" s="1"/>
  <c r="S239" i="3" s="1"/>
  <c r="O238" i="3"/>
  <c r="P238" i="3" s="1"/>
  <c r="O237" i="3"/>
  <c r="P237" i="3" s="1"/>
  <c r="O236" i="3"/>
  <c r="P236" i="3" s="1"/>
  <c r="S236" i="3" s="1"/>
  <c r="O235" i="3"/>
  <c r="P235" i="3" s="1"/>
  <c r="S235" i="3" s="1"/>
  <c r="O234" i="3"/>
  <c r="P234" i="3" s="1"/>
  <c r="S234" i="3" s="1"/>
  <c r="O233" i="3"/>
  <c r="P233" i="3" s="1"/>
  <c r="S233" i="3" s="1"/>
  <c r="O232" i="3"/>
  <c r="P232" i="3" s="1"/>
  <c r="S232" i="3" s="1"/>
  <c r="O231" i="3"/>
  <c r="P231" i="3" s="1"/>
  <c r="O230" i="3"/>
  <c r="P230" i="3" s="1"/>
  <c r="O229" i="3"/>
  <c r="P229" i="3" s="1"/>
  <c r="O228" i="3"/>
  <c r="P228" i="3" s="1"/>
  <c r="O227" i="3"/>
  <c r="P227" i="3" s="1"/>
  <c r="O226" i="3"/>
  <c r="P226" i="3" s="1"/>
  <c r="O225" i="3"/>
  <c r="P225" i="3" s="1"/>
  <c r="O224" i="3"/>
  <c r="P224" i="3" s="1"/>
  <c r="S224" i="3" s="1"/>
  <c r="O223" i="3"/>
  <c r="P223" i="3" s="1"/>
  <c r="S223" i="3" s="1"/>
  <c r="O222" i="3"/>
  <c r="P222" i="3" s="1"/>
  <c r="S222" i="3" s="1"/>
  <c r="O221" i="3"/>
  <c r="P221" i="3" s="1"/>
  <c r="S221" i="3" s="1"/>
  <c r="O220" i="3"/>
  <c r="P220" i="3" s="1"/>
  <c r="S220" i="3" s="1"/>
  <c r="O219" i="3"/>
  <c r="P219" i="3" s="1"/>
  <c r="S219" i="3" s="1"/>
  <c r="O218" i="3"/>
  <c r="P218" i="3" s="1"/>
  <c r="S218" i="3" s="1"/>
  <c r="O217" i="3"/>
  <c r="P217" i="3" s="1"/>
  <c r="O216" i="3"/>
  <c r="P216" i="3" s="1"/>
  <c r="O215" i="3"/>
  <c r="P215" i="3" s="1"/>
  <c r="O214" i="3"/>
  <c r="P214" i="3" s="1"/>
  <c r="O213" i="3"/>
  <c r="P213" i="3" s="1"/>
  <c r="S213" i="3" s="1"/>
  <c r="O212" i="3"/>
  <c r="P212" i="3" s="1"/>
  <c r="S212" i="3" s="1"/>
  <c r="O211" i="3"/>
  <c r="P211" i="3" s="1"/>
  <c r="S211" i="3" s="1"/>
  <c r="O210" i="3"/>
  <c r="P210" i="3" s="1"/>
  <c r="O209" i="3"/>
  <c r="P209" i="3" s="1"/>
  <c r="O208" i="3"/>
  <c r="P208" i="3" s="1"/>
  <c r="O207" i="3"/>
  <c r="P207" i="3" s="1"/>
  <c r="O206" i="3"/>
  <c r="P206" i="3" s="1"/>
  <c r="S206" i="3" s="1"/>
  <c r="O205" i="3"/>
  <c r="P205" i="3" s="1"/>
  <c r="S205" i="3" s="1"/>
  <c r="O204" i="3"/>
  <c r="P204" i="3" s="1"/>
  <c r="S204" i="3" s="1"/>
  <c r="O203" i="3"/>
  <c r="P203" i="3" s="1"/>
  <c r="S203" i="3" s="1"/>
  <c r="O202" i="3"/>
  <c r="P202" i="3" s="1"/>
  <c r="S202" i="3" s="1"/>
  <c r="O201" i="3"/>
  <c r="P201" i="3" s="1"/>
  <c r="S201" i="3" s="1"/>
  <c r="O200" i="3"/>
  <c r="P200" i="3" s="1"/>
  <c r="S200" i="3" s="1"/>
  <c r="O199" i="3"/>
  <c r="P199" i="3" s="1"/>
  <c r="S199" i="3" s="1"/>
  <c r="O198" i="3"/>
  <c r="P198" i="3" s="1"/>
  <c r="S198" i="3" s="1"/>
  <c r="O197" i="3"/>
  <c r="P197" i="3" s="1"/>
  <c r="S197" i="3" s="1"/>
  <c r="O196" i="3"/>
  <c r="P196" i="3" s="1"/>
  <c r="S196" i="3" s="1"/>
  <c r="O195" i="3"/>
  <c r="P195" i="3" s="1"/>
  <c r="S195" i="3" s="1"/>
  <c r="O194" i="3"/>
  <c r="P194" i="3" s="1"/>
  <c r="S194" i="3" s="1"/>
  <c r="O193" i="3"/>
  <c r="P193" i="3" s="1"/>
  <c r="S193" i="3" s="1"/>
  <c r="O192" i="3"/>
  <c r="P192" i="3" s="1"/>
  <c r="S192" i="3" s="1"/>
  <c r="O191" i="3"/>
  <c r="P191" i="3" s="1"/>
  <c r="S191" i="3" s="1"/>
  <c r="O190" i="3"/>
  <c r="P190" i="3" s="1"/>
  <c r="S190" i="3" s="1"/>
  <c r="O189" i="3"/>
  <c r="P189" i="3" s="1"/>
  <c r="S189" i="3" s="1"/>
  <c r="O188" i="3"/>
  <c r="P188" i="3" s="1"/>
  <c r="S188" i="3" s="1"/>
  <c r="O187" i="3"/>
  <c r="P187" i="3" s="1"/>
  <c r="S187" i="3" s="1"/>
  <c r="O186" i="3"/>
  <c r="P186" i="3" s="1"/>
  <c r="S186" i="3" s="1"/>
  <c r="O185" i="3"/>
  <c r="P185" i="3" s="1"/>
  <c r="S185" i="3" s="1"/>
  <c r="O184" i="3"/>
  <c r="P184" i="3" s="1"/>
  <c r="S184" i="3" s="1"/>
  <c r="O183" i="3"/>
  <c r="P183" i="3" s="1"/>
  <c r="O182" i="3"/>
  <c r="P182" i="3" s="1"/>
  <c r="O181" i="3"/>
  <c r="P181" i="3" s="1"/>
  <c r="O180" i="3"/>
  <c r="P180" i="3" s="1"/>
  <c r="O179" i="3"/>
  <c r="P179" i="3" s="1"/>
  <c r="S179" i="3" s="1"/>
  <c r="O178" i="3"/>
  <c r="P178" i="3" s="1"/>
  <c r="S178" i="3" s="1"/>
  <c r="O177" i="3"/>
  <c r="P177" i="3" s="1"/>
  <c r="S177" i="3" s="1"/>
  <c r="O176" i="3"/>
  <c r="P176" i="3" s="1"/>
  <c r="S176" i="3" s="1"/>
  <c r="O175" i="3"/>
  <c r="P175" i="3" s="1"/>
  <c r="S175" i="3" s="1"/>
  <c r="O174" i="3"/>
  <c r="P174" i="3" s="1"/>
  <c r="S174" i="3" s="1"/>
  <c r="O173" i="3"/>
  <c r="P173" i="3" s="1"/>
  <c r="S173" i="3" s="1"/>
  <c r="O172" i="3"/>
  <c r="P172" i="3" s="1"/>
  <c r="S172" i="3" s="1"/>
  <c r="O171" i="3"/>
  <c r="P171" i="3" s="1"/>
  <c r="S171" i="3" s="1"/>
  <c r="O170" i="3"/>
  <c r="P170" i="3" s="1"/>
  <c r="S170" i="3" s="1"/>
  <c r="O169" i="3"/>
  <c r="P169" i="3" s="1"/>
  <c r="S169" i="3" s="1"/>
  <c r="O168" i="3"/>
  <c r="P168" i="3" s="1"/>
  <c r="S168" i="3" s="1"/>
  <c r="O167" i="3"/>
  <c r="P167" i="3" s="1"/>
  <c r="S167" i="3" s="1"/>
  <c r="O166" i="3"/>
  <c r="P166" i="3" s="1"/>
  <c r="S166" i="3" s="1"/>
  <c r="O165" i="3"/>
  <c r="P165" i="3" s="1"/>
  <c r="S165" i="3" s="1"/>
  <c r="O164" i="3"/>
  <c r="P164" i="3" s="1"/>
  <c r="O163" i="3"/>
  <c r="P163" i="3" s="1"/>
  <c r="O162" i="3"/>
  <c r="P162" i="3" s="1"/>
  <c r="S162" i="3" s="1"/>
  <c r="O161" i="3"/>
  <c r="P161" i="3" s="1"/>
  <c r="S161" i="3" s="1"/>
  <c r="O160" i="3"/>
  <c r="P160" i="3" s="1"/>
  <c r="S160" i="3" s="1"/>
  <c r="O159" i="3"/>
  <c r="P159" i="3" s="1"/>
  <c r="S159" i="3" s="1"/>
  <c r="O158" i="3"/>
  <c r="P158" i="3" s="1"/>
  <c r="S158" i="3" s="1"/>
  <c r="O157" i="3"/>
  <c r="P157" i="3" s="1"/>
  <c r="S157" i="3" s="1"/>
  <c r="O156" i="3"/>
  <c r="P156" i="3" s="1"/>
  <c r="S156" i="3" s="1"/>
  <c r="O155" i="3"/>
  <c r="P155" i="3" s="1"/>
  <c r="S155" i="3" s="1"/>
  <c r="O154" i="3"/>
  <c r="P154" i="3" s="1"/>
  <c r="S154" i="3" s="1"/>
  <c r="O153" i="3"/>
  <c r="P153" i="3" s="1"/>
  <c r="S153" i="3" s="1"/>
  <c r="O152" i="3"/>
  <c r="P152" i="3" s="1"/>
  <c r="S152" i="3" s="1"/>
  <c r="O151" i="3"/>
  <c r="P151" i="3" s="1"/>
  <c r="S151" i="3" s="1"/>
  <c r="O150" i="3"/>
  <c r="P150" i="3" s="1"/>
  <c r="S150" i="3" s="1"/>
  <c r="O149" i="3"/>
  <c r="P149" i="3" s="1"/>
  <c r="S149" i="3" s="1"/>
  <c r="O148" i="3"/>
  <c r="P148" i="3" s="1"/>
  <c r="S148" i="3" s="1"/>
  <c r="O147" i="3"/>
  <c r="P147" i="3" s="1"/>
  <c r="S147" i="3" s="1"/>
  <c r="O146" i="3"/>
  <c r="P146" i="3" s="1"/>
  <c r="S146" i="3" s="1"/>
  <c r="O145" i="3"/>
  <c r="P145" i="3" s="1"/>
  <c r="S145" i="3" s="1"/>
  <c r="O144" i="3"/>
  <c r="P144" i="3" s="1"/>
  <c r="S144" i="3" s="1"/>
  <c r="O143" i="3"/>
  <c r="P143" i="3" s="1"/>
  <c r="S143" i="3" s="1"/>
  <c r="O142" i="3"/>
  <c r="P142" i="3" s="1"/>
  <c r="S142" i="3" s="1"/>
  <c r="O141" i="3"/>
  <c r="P141" i="3" s="1"/>
  <c r="S141" i="3" s="1"/>
  <c r="O140" i="3"/>
  <c r="P140" i="3" s="1"/>
  <c r="S140" i="3" s="1"/>
  <c r="O139" i="3"/>
  <c r="P139" i="3" s="1"/>
  <c r="S139" i="3" s="1"/>
  <c r="O138" i="3"/>
  <c r="P138" i="3" s="1"/>
  <c r="S138" i="3" s="1"/>
  <c r="O137" i="3"/>
  <c r="P137" i="3" s="1"/>
  <c r="S137" i="3" s="1"/>
  <c r="O136" i="3"/>
  <c r="P136" i="3" s="1"/>
  <c r="S136" i="3" s="1"/>
  <c r="O135" i="3"/>
  <c r="P135" i="3" s="1"/>
  <c r="S135" i="3" s="1"/>
  <c r="O134" i="3"/>
  <c r="P134" i="3" s="1"/>
  <c r="S134" i="3" s="1"/>
  <c r="O133" i="3"/>
  <c r="P133" i="3" s="1"/>
  <c r="S133" i="3" s="1"/>
  <c r="O132" i="3"/>
  <c r="P132" i="3" s="1"/>
  <c r="S132" i="3" s="1"/>
  <c r="O131" i="3"/>
  <c r="P131" i="3" s="1"/>
  <c r="S131" i="3" s="1"/>
  <c r="O130" i="3"/>
  <c r="P130" i="3" s="1"/>
  <c r="S130" i="3" s="1"/>
  <c r="O129" i="3"/>
  <c r="P129" i="3" s="1"/>
  <c r="S129" i="3" s="1"/>
  <c r="O128" i="3"/>
  <c r="P128" i="3" s="1"/>
  <c r="S128" i="3" s="1"/>
  <c r="O127" i="3"/>
  <c r="P127" i="3" s="1"/>
  <c r="S127" i="3" s="1"/>
  <c r="O126" i="3"/>
  <c r="P126" i="3" s="1"/>
  <c r="S126" i="3" s="1"/>
  <c r="O125" i="3"/>
  <c r="P125" i="3" s="1"/>
  <c r="S125" i="3" s="1"/>
  <c r="O124" i="3"/>
  <c r="P124" i="3" s="1"/>
  <c r="S124" i="3" s="1"/>
  <c r="O123" i="3"/>
  <c r="P123" i="3" s="1"/>
  <c r="S123" i="3" s="1"/>
  <c r="O122" i="3"/>
  <c r="P122" i="3" s="1"/>
  <c r="O121" i="3"/>
  <c r="P121" i="3" s="1"/>
  <c r="O120" i="3"/>
  <c r="P120" i="3" s="1"/>
  <c r="O119" i="3"/>
  <c r="P119" i="3" s="1"/>
  <c r="S119" i="3" s="1"/>
  <c r="O118" i="3"/>
  <c r="P118" i="3" s="1"/>
  <c r="O117" i="3"/>
  <c r="P117" i="3" s="1"/>
  <c r="O116" i="3"/>
  <c r="P116" i="3" s="1"/>
  <c r="O115" i="3"/>
  <c r="P115" i="3" s="1"/>
  <c r="O114" i="3"/>
  <c r="P114" i="3" s="1"/>
  <c r="S114" i="3" s="1"/>
  <c r="O113" i="3"/>
  <c r="P113" i="3" s="1"/>
  <c r="S113" i="3" s="1"/>
  <c r="O112" i="3"/>
  <c r="P112" i="3" s="1"/>
  <c r="S112" i="3" s="1"/>
  <c r="O111" i="3"/>
  <c r="P111" i="3" s="1"/>
  <c r="S111" i="3" s="1"/>
  <c r="O110" i="3"/>
  <c r="P110" i="3" s="1"/>
  <c r="S110" i="3" s="1"/>
  <c r="O109" i="3"/>
  <c r="P109" i="3" s="1"/>
  <c r="S109" i="3" s="1"/>
  <c r="O108" i="3"/>
  <c r="P108" i="3" s="1"/>
  <c r="S108" i="3" s="1"/>
  <c r="O107" i="3"/>
  <c r="P107" i="3" s="1"/>
  <c r="O106" i="3"/>
  <c r="P106" i="3" s="1"/>
  <c r="O105" i="3"/>
  <c r="P105" i="3" s="1"/>
  <c r="S105" i="3" s="1"/>
  <c r="O104" i="3"/>
  <c r="P104" i="3" s="1"/>
  <c r="O103" i="3"/>
  <c r="P103" i="3" s="1"/>
  <c r="O102" i="3"/>
  <c r="P102" i="3" s="1"/>
  <c r="O101" i="3"/>
  <c r="P101" i="3" s="1"/>
  <c r="O100" i="3"/>
  <c r="P100" i="3" s="1"/>
  <c r="S100" i="3" s="1"/>
  <c r="O99" i="3"/>
  <c r="P99" i="3" s="1"/>
  <c r="S99" i="3" s="1"/>
  <c r="O98" i="3"/>
  <c r="P98" i="3" s="1"/>
  <c r="S98" i="3" s="1"/>
  <c r="O97" i="3"/>
  <c r="P97" i="3" s="1"/>
  <c r="S97" i="3" s="1"/>
  <c r="O96" i="3"/>
  <c r="P96" i="3" s="1"/>
  <c r="S96" i="3" s="1"/>
  <c r="O95" i="3"/>
  <c r="P95" i="3" s="1"/>
  <c r="S95" i="3" s="1"/>
  <c r="O94" i="3"/>
  <c r="P94" i="3" s="1"/>
  <c r="S94" i="3" s="1"/>
  <c r="O93" i="3"/>
  <c r="P93" i="3" s="1"/>
  <c r="S93" i="3" s="1"/>
  <c r="O92" i="3"/>
  <c r="P92" i="3" s="1"/>
  <c r="S92" i="3" s="1"/>
  <c r="O91" i="3"/>
  <c r="P91" i="3" s="1"/>
  <c r="S91" i="3" s="1"/>
  <c r="O90" i="3"/>
  <c r="P90" i="3" s="1"/>
  <c r="S90" i="3" s="1"/>
  <c r="O89" i="3"/>
  <c r="P89" i="3" s="1"/>
  <c r="S89" i="3" s="1"/>
  <c r="O88" i="3"/>
  <c r="P88" i="3" s="1"/>
  <c r="S88" i="3" s="1"/>
  <c r="O87" i="3"/>
  <c r="P87" i="3" s="1"/>
  <c r="S87" i="3" s="1"/>
  <c r="O86" i="3"/>
  <c r="P86" i="3" s="1"/>
  <c r="S86" i="3" s="1"/>
  <c r="O85" i="3"/>
  <c r="P85" i="3" s="1"/>
  <c r="S85" i="3" s="1"/>
  <c r="O84" i="3"/>
  <c r="P84" i="3" s="1"/>
  <c r="S84" i="3" s="1"/>
  <c r="O83" i="3"/>
  <c r="P83" i="3" s="1"/>
  <c r="S83" i="3" s="1"/>
  <c r="O82" i="3"/>
  <c r="P82" i="3" s="1"/>
  <c r="O81" i="3"/>
  <c r="P81" i="3" s="1"/>
  <c r="O80" i="3"/>
  <c r="P80" i="3" s="1"/>
  <c r="O79" i="3"/>
  <c r="P79" i="3" s="1"/>
  <c r="S79" i="3" s="1"/>
  <c r="O78" i="3"/>
  <c r="P78" i="3" s="1"/>
  <c r="S78" i="3" s="1"/>
  <c r="O77" i="3"/>
  <c r="P77" i="3" s="1"/>
  <c r="S77" i="3" s="1"/>
  <c r="O76" i="3"/>
  <c r="P76" i="3" s="1"/>
  <c r="S76" i="3" s="1"/>
  <c r="O75" i="3"/>
  <c r="P75" i="3" s="1"/>
  <c r="S75" i="3" s="1"/>
  <c r="O74" i="3"/>
  <c r="P74" i="3" s="1"/>
  <c r="S74" i="3" s="1"/>
  <c r="O73" i="3"/>
  <c r="P73" i="3" s="1"/>
  <c r="S73" i="3" s="1"/>
  <c r="O72" i="3"/>
  <c r="P72" i="3" s="1"/>
  <c r="S72" i="3" s="1"/>
  <c r="O71" i="3"/>
  <c r="P71" i="3" s="1"/>
  <c r="S71" i="3" s="1"/>
  <c r="O70" i="3"/>
  <c r="P70" i="3" s="1"/>
  <c r="O69" i="3"/>
  <c r="P69" i="3" s="1"/>
  <c r="O68" i="3"/>
  <c r="P68" i="3" s="1"/>
  <c r="S68" i="3" s="1"/>
  <c r="P67" i="3"/>
  <c r="S67" i="3" s="1"/>
  <c r="O66" i="3"/>
  <c r="P66" i="3" s="1"/>
  <c r="S66" i="3" s="1"/>
  <c r="O65" i="3"/>
  <c r="P65" i="3" s="1"/>
  <c r="S65" i="3" s="1"/>
  <c r="O64" i="3"/>
  <c r="P64" i="3" s="1"/>
  <c r="S64" i="3" s="1"/>
  <c r="O63" i="3"/>
  <c r="P63" i="3" s="1"/>
  <c r="S63" i="3" s="1"/>
  <c r="O62" i="3"/>
  <c r="P62" i="3" s="1"/>
  <c r="S62" i="3" s="1"/>
  <c r="O61" i="3"/>
  <c r="P61" i="3" s="1"/>
  <c r="S61" i="3" s="1"/>
  <c r="O60" i="3"/>
  <c r="P60" i="3" s="1"/>
  <c r="S60" i="3" s="1"/>
  <c r="O59" i="3"/>
  <c r="P59" i="3" s="1"/>
  <c r="S59" i="3" s="1"/>
  <c r="O58" i="3"/>
  <c r="P58" i="3" s="1"/>
  <c r="S58" i="3" s="1"/>
  <c r="O57" i="3"/>
  <c r="P57" i="3" s="1"/>
  <c r="S57" i="3" s="1"/>
  <c r="O56" i="3"/>
  <c r="P56" i="3" s="1"/>
  <c r="S56" i="3" s="1"/>
  <c r="O55" i="3"/>
  <c r="P55" i="3" s="1"/>
  <c r="O54" i="3"/>
  <c r="P54" i="3" s="1"/>
  <c r="S54" i="3" s="1"/>
  <c r="O53" i="3"/>
  <c r="P53" i="3" s="1"/>
  <c r="S53" i="3" s="1"/>
  <c r="O52" i="3"/>
  <c r="P52" i="3" s="1"/>
  <c r="O51" i="3"/>
  <c r="P51" i="3" s="1"/>
  <c r="S51" i="3" s="1"/>
  <c r="O50" i="3"/>
  <c r="P50" i="3" s="1"/>
  <c r="S50" i="3" s="1"/>
  <c r="O49" i="3"/>
  <c r="P49" i="3" s="1"/>
  <c r="S49" i="3" s="1"/>
  <c r="O48" i="3"/>
  <c r="P48" i="3" s="1"/>
  <c r="S48" i="3" s="1"/>
  <c r="O47" i="3"/>
  <c r="P47" i="3" s="1"/>
  <c r="S47" i="3" s="1"/>
  <c r="O46" i="3"/>
  <c r="P46" i="3" s="1"/>
  <c r="S46" i="3" s="1"/>
  <c r="O45" i="3"/>
  <c r="P45" i="3" s="1"/>
  <c r="S45" i="3" s="1"/>
  <c r="O44" i="3"/>
  <c r="P44" i="3" s="1"/>
  <c r="S44" i="3" s="1"/>
  <c r="O43" i="3"/>
  <c r="P43" i="3" s="1"/>
  <c r="S43" i="3" s="1"/>
  <c r="O42" i="3"/>
  <c r="P42" i="3" s="1"/>
  <c r="S42" i="3" s="1"/>
  <c r="O41" i="3"/>
  <c r="P41" i="3" s="1"/>
  <c r="S41" i="3" s="1"/>
  <c r="O40" i="3"/>
  <c r="P40" i="3" s="1"/>
  <c r="S40" i="3" s="1"/>
  <c r="O39" i="3"/>
  <c r="P39" i="3" s="1"/>
  <c r="S39" i="3" s="1"/>
  <c r="O38" i="3"/>
  <c r="P38" i="3" s="1"/>
  <c r="S38" i="3" s="1"/>
  <c r="O37" i="3"/>
  <c r="P37" i="3" s="1"/>
  <c r="S37" i="3" s="1"/>
  <c r="O36" i="3"/>
  <c r="P36" i="3" s="1"/>
  <c r="S36" i="3" s="1"/>
  <c r="O35" i="3"/>
  <c r="P35" i="3" s="1"/>
  <c r="S35" i="3" s="1"/>
  <c r="O34" i="3"/>
  <c r="P34" i="3" s="1"/>
  <c r="S34" i="3" s="1"/>
  <c r="O33" i="3"/>
  <c r="P33" i="3" s="1"/>
  <c r="S33" i="3" s="1"/>
  <c r="O32" i="3"/>
  <c r="P32" i="3" s="1"/>
  <c r="O31" i="3"/>
  <c r="P31" i="3" s="1"/>
  <c r="O30" i="3"/>
  <c r="P30" i="3" s="1"/>
  <c r="S30" i="3" s="1"/>
  <c r="O29" i="3"/>
  <c r="P29" i="3" s="1"/>
  <c r="S29" i="3" s="1"/>
  <c r="O28" i="3"/>
  <c r="P28" i="3" s="1"/>
  <c r="S28" i="3" s="1"/>
  <c r="O27" i="3"/>
  <c r="P27" i="3" s="1"/>
  <c r="S27" i="3" s="1"/>
  <c r="O26" i="3"/>
  <c r="P26" i="3" s="1"/>
  <c r="S26" i="3" s="1"/>
  <c r="O25" i="3"/>
  <c r="P25" i="3" s="1"/>
  <c r="O24" i="3"/>
  <c r="P24" i="3" s="1"/>
  <c r="S24" i="3" s="1"/>
  <c r="O23" i="3"/>
  <c r="P23" i="3" s="1"/>
  <c r="S23" i="3" s="1"/>
  <c r="O22" i="3"/>
  <c r="P22" i="3" s="1"/>
  <c r="S22" i="3" s="1"/>
  <c r="O21" i="3"/>
  <c r="P21" i="3" s="1"/>
  <c r="S21" i="3" s="1"/>
  <c r="O20" i="3"/>
  <c r="P20" i="3" s="1"/>
  <c r="S20" i="3" s="1"/>
  <c r="O19" i="3"/>
  <c r="P19" i="3" s="1"/>
  <c r="S19" i="3" s="1"/>
  <c r="O18" i="3"/>
  <c r="P18" i="3" s="1"/>
  <c r="S18" i="3" s="1"/>
  <c r="O17" i="3"/>
  <c r="P17" i="3" s="1"/>
  <c r="S17" i="3" s="1"/>
  <c r="O16" i="3"/>
  <c r="P16" i="3" s="1"/>
  <c r="S16" i="3" s="1"/>
  <c r="O15" i="3"/>
  <c r="P15" i="3" s="1"/>
  <c r="S15" i="3" s="1"/>
  <c r="O14" i="3"/>
  <c r="P14" i="3" s="1"/>
  <c r="O13" i="3"/>
  <c r="P13" i="3" s="1"/>
  <c r="S13" i="3" s="1"/>
  <c r="O12" i="3"/>
  <c r="P12" i="3" s="1"/>
  <c r="S12" i="3" s="1"/>
  <c r="O11" i="3"/>
  <c r="P11" i="3" s="1"/>
  <c r="S11" i="3" s="1"/>
  <c r="O10" i="3"/>
  <c r="P10" i="3" s="1"/>
  <c r="S10" i="3" s="1"/>
  <c r="O9" i="3"/>
  <c r="P9" i="3" s="1"/>
  <c r="S9" i="3" s="1"/>
  <c r="O8" i="3"/>
  <c r="P8" i="3" s="1"/>
  <c r="S8" i="3" s="1"/>
  <c r="O7" i="3"/>
  <c r="P7" i="3" s="1"/>
  <c r="S7" i="3" s="1"/>
  <c r="O6" i="3"/>
  <c r="P6" i="3" s="1"/>
  <c r="S6" i="3" s="1"/>
  <c r="O5" i="3"/>
  <c r="P5" i="3" s="1"/>
  <c r="S5" i="3" s="1"/>
  <c r="P4" i="3"/>
  <c r="O3" i="3"/>
  <c r="P3" i="3" s="1"/>
  <c r="S3" i="3" s="1"/>
  <c r="K2" i="4"/>
  <c r="L2" i="4"/>
</calcChain>
</file>

<file path=xl/sharedStrings.xml><?xml version="1.0" encoding="utf-8"?>
<sst xmlns="http://schemas.openxmlformats.org/spreadsheetml/2006/main" count="4909" uniqueCount="983">
  <si>
    <t>Document Date</t>
  </si>
  <si>
    <t>Series</t>
  </si>
  <si>
    <t>Doc. No.</t>
  </si>
  <si>
    <t>Remarks</t>
  </si>
  <si>
    <t>Offset Acct Name</t>
  </si>
  <si>
    <t>Debit (LC)</t>
  </si>
  <si>
    <t>Credit (LC)</t>
  </si>
  <si>
    <t>Cumulative Balance (LC)</t>
  </si>
  <si>
    <t>Debit (FC)</t>
  </si>
  <si>
    <t>Credit (FC)</t>
  </si>
  <si>
    <t>Cumulative Balance (FC)</t>
  </si>
  <si>
    <t>Balance Due (FC)</t>
  </si>
  <si>
    <t>Branch Name</t>
  </si>
  <si>
    <t>Ref. 2 (Header)</t>
  </si>
  <si>
    <t>Vendor</t>
  </si>
  <si>
    <t>VD0304</t>
  </si>
  <si>
    <t>Ascendas Panvel FTWZ Private Limited</t>
  </si>
  <si>
    <t>BOS2425M</t>
  </si>
  <si>
    <t>PU 7350271</t>
  </si>
  <si>
    <t>A/P Invoices - VD0304</t>
  </si>
  <si>
    <t>Management Fees (Arshiya)</t>
  </si>
  <si>
    <t>USD 408.3366</t>
  </si>
  <si>
    <t>USD -408.3366</t>
  </si>
  <si>
    <t>USD (0.0000)</t>
  </si>
  <si>
    <t>Shah TC Global Exim LLP - Mumbai</t>
  </si>
  <si>
    <t>PU 7350272</t>
  </si>
  <si>
    <t>Rent</t>
  </si>
  <si>
    <t>USD 1,049.9310</t>
  </si>
  <si>
    <t>USD -1,458.2676</t>
  </si>
  <si>
    <t>PU 7350273</t>
  </si>
  <si>
    <t>Rent - Ascendas</t>
  </si>
  <si>
    <t>USD 1,071.4320</t>
  </si>
  <si>
    <t>USD -2,529.6996</t>
  </si>
  <si>
    <t>PU 7350274</t>
  </si>
  <si>
    <t>USD -3,579.6306</t>
  </si>
  <si>
    <t>CL2425M</t>
  </si>
  <si>
    <t>PU 300021</t>
  </si>
  <si>
    <t>A/P Invoice - Cancellation - VD0304</t>
  </si>
  <si>
    <t>USD -1,049.9310</t>
  </si>
  <si>
    <t>PU 7350275</t>
  </si>
  <si>
    <t>Handeling &amp; Agency Charges</t>
  </si>
  <si>
    <t>USD 448.8988</t>
  </si>
  <si>
    <t>USD -2,978.5984</t>
  </si>
  <si>
    <t>PU 300022</t>
  </si>
  <si>
    <t>USD -2,570.2618</t>
  </si>
  <si>
    <t>PU 7350276</t>
  </si>
  <si>
    <t>Management Fees (Ascendas)</t>
  </si>
  <si>
    <t>USD 400.1438</t>
  </si>
  <si>
    <t>USD -2,970.4056</t>
  </si>
  <si>
    <t>PU 7350277</t>
  </si>
  <si>
    <t>USD -3,378.7422</t>
  </si>
  <si>
    <t>PU 7350278</t>
  </si>
  <si>
    <t>USD -4,450.1742</t>
  </si>
  <si>
    <t>PU 7350279</t>
  </si>
  <si>
    <t>Vos Miscellaneous Charges</t>
  </si>
  <si>
    <t>USD 76.5576</t>
  </si>
  <si>
    <t>USD -4,526.7318</t>
  </si>
  <si>
    <t>PU 7350280</t>
  </si>
  <si>
    <t>USD -4,935.0684</t>
  </si>
  <si>
    <t>PU 7350281</t>
  </si>
  <si>
    <t>USD 51.6754</t>
  </si>
  <si>
    <t>USD -4,986.7438</t>
  </si>
  <si>
    <t>PU 7350282</t>
  </si>
  <si>
    <t>Ground Rent (Container)</t>
  </si>
  <si>
    <t>USD 1,719.0000</t>
  </si>
  <si>
    <t>USD -6,705.7438</t>
  </si>
  <si>
    <t>PU 7350283</t>
  </si>
  <si>
    <t>USD 74.4996</t>
  </si>
  <si>
    <t>USD -6,780.2434</t>
  </si>
  <si>
    <t>JRN2425M</t>
  </si>
  <si>
    <t>JE 7353113</t>
  </si>
  <si>
    <t>Being TDS deduction on 246779413797 ascendas</t>
  </si>
  <si>
    <t>Tds Payable- 94Ib - Rent</t>
  </si>
  <si>
    <t>USD 20.0000</t>
  </si>
  <si>
    <t>USD -6,760.2434</t>
  </si>
  <si>
    <t>USD  0.0000</t>
  </si>
  <si>
    <t>PU 7350284</t>
  </si>
  <si>
    <t>USD 49.0000</t>
  </si>
  <si>
    <t>USD -6,809.2434</t>
  </si>
  <si>
    <t>PU 7350285</t>
  </si>
  <si>
    <t>USD 52.1948</t>
  </si>
  <si>
    <t>USD -6,861.4382</t>
  </si>
  <si>
    <t>PU 7350286</t>
  </si>
  <si>
    <t>USD -6,910.4382</t>
  </si>
  <si>
    <t>PU 7350287</t>
  </si>
  <si>
    <t>USD 7.1246</t>
  </si>
  <si>
    <t>USD -6,917.5628</t>
  </si>
  <si>
    <t>PU 7350288</t>
  </si>
  <si>
    <t>USD 22.6184</t>
  </si>
  <si>
    <t>USD -6,940.1812</t>
  </si>
  <si>
    <t>PU 300023</t>
  </si>
  <si>
    <t>USD -49.0000</t>
  </si>
  <si>
    <t>USD -6,891.1812</t>
  </si>
  <si>
    <t>PU 7350289</t>
  </si>
  <si>
    <t>USD 90.3756</t>
  </si>
  <si>
    <t>USD -6,981.5568</t>
  </si>
  <si>
    <t>PU 7350290</t>
  </si>
  <si>
    <t>USD 89.0428</t>
  </si>
  <si>
    <t>USD -7,070.5996</t>
  </si>
  <si>
    <t>PU 7350291</t>
  </si>
  <si>
    <t>USD 95.4520</t>
  </si>
  <si>
    <t>USD -7,166.0516</t>
  </si>
  <si>
    <t>PU 7350292</t>
  </si>
  <si>
    <t>USD 30.1840</t>
  </si>
  <si>
    <t>USD -7,196.2356</t>
  </si>
  <si>
    <t>PU 7350293</t>
  </si>
  <si>
    <t>USD 6.8894</t>
  </si>
  <si>
    <t>USD -7,203.1250</t>
  </si>
  <si>
    <t>PU 7350294</t>
  </si>
  <si>
    <t>USD -7,210.2496</t>
  </si>
  <si>
    <t>PU 7350295</t>
  </si>
  <si>
    <t>USD 10.6918</t>
  </si>
  <si>
    <t>USD -7,220.9414</t>
  </si>
  <si>
    <t>PU 7350296</t>
  </si>
  <si>
    <t>USD 2.4696</t>
  </si>
  <si>
    <t>USD -7,223.4110</t>
  </si>
  <si>
    <t>PU 7350297</t>
  </si>
  <si>
    <t>USD 31.7324</t>
  </si>
  <si>
    <t>USD -7,255.1434</t>
  </si>
  <si>
    <t>PU 7350298</t>
  </si>
  <si>
    <t>USD 43.1200</t>
  </si>
  <si>
    <t>USD -7,298.2634</t>
  </si>
  <si>
    <t>PU 7350299</t>
  </si>
  <si>
    <t>USD 65.1700</t>
  </si>
  <si>
    <t>USD -7,363.4334</t>
  </si>
  <si>
    <t>PU 7350300</t>
  </si>
  <si>
    <t>USD 44.8252</t>
  </si>
  <si>
    <t>USD -7,408.2586</t>
  </si>
  <si>
    <t>JE 7353132</t>
  </si>
  <si>
    <t>USD -7,428.2586</t>
  </si>
  <si>
    <t>JE 7353133</t>
  </si>
  <si>
    <t>Being TDS deduction on 246779413797 ascendas(Reversal) - 7619</t>
  </si>
  <si>
    <t>USD -20.0000</t>
  </si>
  <si>
    <t>USD -7,448.2586</t>
  </si>
  <si>
    <t>PU 7350301</t>
  </si>
  <si>
    <t>USD 392.0882</t>
  </si>
  <si>
    <t>USD -7,840.3468</t>
  </si>
  <si>
    <t>PU 7350302</t>
  </si>
  <si>
    <t>USD -8,248.6834</t>
  </si>
  <si>
    <t>PU 7350303</t>
  </si>
  <si>
    <t>USD -9,320.1154</t>
  </si>
  <si>
    <t>PU 7350304</t>
  </si>
  <si>
    <t>USD 1,028.8080</t>
  </si>
  <si>
    <t>USD -10,348.9234</t>
  </si>
  <si>
    <t>PU 7350305</t>
  </si>
  <si>
    <t>USD 509.7666</t>
  </si>
  <si>
    <t>USD -10,858.6900</t>
  </si>
  <si>
    <t>PU 7350306</t>
  </si>
  <si>
    <t>USD 4.3120</t>
  </si>
  <si>
    <t>USD -10,863.0020</t>
  </si>
  <si>
    <t>PU 7350307</t>
  </si>
  <si>
    <t>USD 75.4992</t>
  </si>
  <si>
    <t>USD -10,938.5012</t>
  </si>
  <si>
    <t>PU 7350308</t>
  </si>
  <si>
    <t>USD -12,009.9332</t>
  </si>
  <si>
    <t>PU 7350309</t>
  </si>
  <si>
    <t>USD -12,418.2698</t>
  </si>
  <si>
    <t>PU 7350310</t>
  </si>
  <si>
    <t>USD 926.8350</t>
  </si>
  <si>
    <t>USD -13,345.1048</t>
  </si>
  <si>
    <t>PU 7350311</t>
  </si>
  <si>
    <t>USD -14,271.9398</t>
  </si>
  <si>
    <t>PU 7350312</t>
  </si>
  <si>
    <t>USD 192.8444</t>
  </si>
  <si>
    <t>USD -14,464.7842</t>
  </si>
  <si>
    <t>PU 7350313</t>
  </si>
  <si>
    <t>USD 554.7878</t>
  </si>
  <si>
    <t>USD -15,019.5720</t>
  </si>
  <si>
    <t>PU 7350314</t>
  </si>
  <si>
    <t>USD 435.1592</t>
  </si>
  <si>
    <t>USD -15,454.7312</t>
  </si>
  <si>
    <t>PU 7350315</t>
  </si>
  <si>
    <t>USD 83.3000</t>
  </si>
  <si>
    <t>USD -15,538.0312</t>
  </si>
  <si>
    <t>PU 7350316</t>
  </si>
  <si>
    <t>USD 34.3000</t>
  </si>
  <si>
    <t>USD -15,572.3312</t>
  </si>
  <si>
    <t>PU 7350317</t>
  </si>
  <si>
    <t>USD -15,621.3312</t>
  </si>
  <si>
    <t>PU 7350318</t>
  </si>
  <si>
    <t>USD 17.4150</t>
  </si>
  <si>
    <t>USD -15,638.7462</t>
  </si>
  <si>
    <t>PU 7350319</t>
  </si>
  <si>
    <t>USD 1,572.0000</t>
  </si>
  <si>
    <t>USD -17,210.7462</t>
  </si>
  <si>
    <t>JE 7353155</t>
  </si>
  <si>
    <t>Being TDS deduction on 246779413808 ascendas</t>
  </si>
  <si>
    <t>USD -17,190.7462</t>
  </si>
  <si>
    <t>PU 7350320</t>
  </si>
  <si>
    <t>Reefer Plug In</t>
  </si>
  <si>
    <t>USD 147.0000</t>
  </si>
  <si>
    <t>USD -17,337.7462</t>
  </si>
  <si>
    <t>PU 7350321</t>
  </si>
  <si>
    <t>USD -18,409.1782</t>
  </si>
  <si>
    <t>PU 7350322</t>
  </si>
  <si>
    <t>USD -18,817.5148</t>
  </si>
  <si>
    <t>PU 7350323</t>
  </si>
  <si>
    <t>USD -18,851.8148</t>
  </si>
  <si>
    <t>PU 7350324</t>
  </si>
  <si>
    <t>USD 77.4690</t>
  </si>
  <si>
    <t>USD -18,929.2838</t>
  </si>
  <si>
    <t>PU 7350325</t>
  </si>
  <si>
    <t>USD 1,575.0000</t>
  </si>
  <si>
    <t>USD -20,504.2838</t>
  </si>
  <si>
    <t>PU 7350326</t>
  </si>
  <si>
    <t>USD -20,581.7528</t>
  </si>
  <si>
    <t>PU 7350327</t>
  </si>
  <si>
    <t>USD 159.4620</t>
  </si>
  <si>
    <t>USD -20,741.2148</t>
  </si>
  <si>
    <t>PU 7350328</t>
  </si>
  <si>
    <t>USD 38.2590</t>
  </si>
  <si>
    <t>USD -20,779.4738</t>
  </si>
  <si>
    <t>PU 300024</t>
  </si>
  <si>
    <t>USD -77.4690</t>
  </si>
  <si>
    <t>USD -20,702.0048</t>
  </si>
  <si>
    <t>PU 7350329</t>
  </si>
  <si>
    <t>USD 98.0000</t>
  </si>
  <si>
    <t>USD -20,800.0048</t>
  </si>
  <si>
    <t>PU 7350330</t>
  </si>
  <si>
    <t>LCL CHARGES</t>
  </si>
  <si>
    <t>USD 123.4800</t>
  </si>
  <si>
    <t>USD -20,923.4848</t>
  </si>
  <si>
    <t>PU 7350331</t>
  </si>
  <si>
    <t>USD -21,021.4848</t>
  </si>
  <si>
    <t>PU 7350332</t>
  </si>
  <si>
    <t>USD -21,119.4848</t>
  </si>
  <si>
    <t>PU 7350333</t>
  </si>
  <si>
    <t>USD -21,217.4848</t>
  </si>
  <si>
    <t>PU 7350334</t>
  </si>
  <si>
    <t>USD 1,031.9670</t>
  </si>
  <si>
    <t>USD -22,249.4518</t>
  </si>
  <si>
    <t>PU 7350335</t>
  </si>
  <si>
    <t>USD 361.8180</t>
  </si>
  <si>
    <t>USD -22,611.2698</t>
  </si>
  <si>
    <t>PU 300025</t>
  </si>
  <si>
    <t>USD -926.8350</t>
  </si>
  <si>
    <t>USD -21,684.4348</t>
  </si>
  <si>
    <t>PU 7350336</t>
  </si>
  <si>
    <t>USD 1,033.7670</t>
  </si>
  <si>
    <t>USD -22,718.2018</t>
  </si>
  <si>
    <t>PU 300026</t>
  </si>
  <si>
    <t>USD -1,031.9670</t>
  </si>
  <si>
    <t>USD -21,686.2348</t>
  </si>
  <si>
    <t>JE 7353198</t>
  </si>
  <si>
    <t>USD -21,666.2348</t>
  </si>
  <si>
    <t>JE 7353199</t>
  </si>
  <si>
    <t>Being TDS deduction on 246779413797 ascendas(Reversal) - 7646</t>
  </si>
  <si>
    <t>USD -21,646.2348</t>
  </si>
  <si>
    <t>PU 7350338</t>
  </si>
  <si>
    <t>USD 1,518.4890</t>
  </si>
  <si>
    <t>USD -23,164.7238</t>
  </si>
  <si>
    <t>PU 7350339</t>
  </si>
  <si>
    <t>USD 1,169.0640</t>
  </si>
  <si>
    <t>USD -24,333.7878</t>
  </si>
  <si>
    <t>PU 7350340</t>
  </si>
  <si>
    <t>USD 640.2150</t>
  </si>
  <si>
    <t>USD -24,974.0028</t>
  </si>
  <si>
    <t>Period Subtotal</t>
  </si>
  <si>
    <t>USD 40.0000</t>
  </si>
  <si>
    <t>USD 25,014.0028</t>
  </si>
  <si>
    <t>Accumulated From Beginning of This Year</t>
  </si>
  <si>
    <t>BOS2526M</t>
  </si>
  <si>
    <t>PU 7360033</t>
  </si>
  <si>
    <t>USD 69.7956</t>
  </si>
  <si>
    <t>USD -25,043.7984</t>
  </si>
  <si>
    <t>PU 7360034</t>
  </si>
  <si>
    <t>USD -26,762.7984</t>
  </si>
  <si>
    <t>JRN2526M</t>
  </si>
  <si>
    <t>JE 7360255</t>
  </si>
  <si>
    <t>Being tds deduction for rent against bill no.-256779410224 dated-03-04-2025.</t>
  </si>
  <si>
    <t>USD -26,742.7984</t>
  </si>
  <si>
    <t>PU 7360030</t>
  </si>
  <si>
    <t>USD 83.5058</t>
  </si>
  <si>
    <t>USD -26,826.3042</t>
  </si>
  <si>
    <t>PU 7360031</t>
  </si>
  <si>
    <t>USD 85.4560</t>
  </si>
  <si>
    <t>USD -26,911.7602</t>
  </si>
  <si>
    <t>PU 7360032</t>
  </si>
  <si>
    <t>USD 55.8110</t>
  </si>
  <si>
    <t>USD -26,967.5712</t>
  </si>
  <si>
    <t>OPY2526M</t>
  </si>
  <si>
    <t>PS 7360069</t>
  </si>
  <si>
    <t>Outgoing Payments - VD0304, Being Amount paid to ascendas against bank ref. no-003MISC251560088 dated 5-6-2025.</t>
  </si>
  <si>
    <t>YES BANK - 038784600000486 - CC A/c(SGE)</t>
  </si>
  <si>
    <t>USD 3,529.5558</t>
  </si>
  <si>
    <t>USD -23,438.0154</t>
  </si>
  <si>
    <t>PS 7360072</t>
  </si>
  <si>
    <t>Outgoing Payments - VD0304,Being Amount paid to ascendas against bank ref. no-003MISC251560102 dated 5-6-2025.</t>
  </si>
  <si>
    <t>USD 3,167.4752</t>
  </si>
  <si>
    <t>USD -20,270.5402</t>
  </si>
  <si>
    <t>PS 7360074</t>
  </si>
  <si>
    <t>Outgoing Payments - VD0304,Being Amount paid to ascendas against bank ref. no-003MISC251560090 dated 5-6-2025.</t>
  </si>
  <si>
    <t>USD 3,685.2032</t>
  </si>
  <si>
    <t>USD -16,585.3370</t>
  </si>
  <si>
    <t>PU 7360039</t>
  </si>
  <si>
    <t>USD 450.5220</t>
  </si>
  <si>
    <t>USD -17,035.8590</t>
  </si>
  <si>
    <t>PU 7360040</t>
  </si>
  <si>
    <t>USD 180.0000</t>
  </si>
  <si>
    <t>USD -17,215.8590</t>
  </si>
  <si>
    <t>CL2526M</t>
  </si>
  <si>
    <t>PU 300002</t>
  </si>
  <si>
    <t>USD -180.0000</t>
  </si>
  <si>
    <t>PU 7360041</t>
  </si>
  <si>
    <t>BOS2526D</t>
  </si>
  <si>
    <t>PU 5360026</t>
  </si>
  <si>
    <t>USD -17,313.8590</t>
  </si>
  <si>
    <t>Shah TC Global Exim LLP - Delhi</t>
  </si>
  <si>
    <t>PU 7360042</t>
  </si>
  <si>
    <t>USD -17,411.8590</t>
  </si>
  <si>
    <t>PU 7360043</t>
  </si>
  <si>
    <t>PU 7360044</t>
  </si>
  <si>
    <t>USD 393.2152</t>
  </si>
  <si>
    <t>USD -17,805.0742</t>
  </si>
  <si>
    <t>PU 7360045</t>
  </si>
  <si>
    <t>USD -17,903.0742</t>
  </si>
  <si>
    <t>PU 7360046</t>
  </si>
  <si>
    <t>USD 399.7224</t>
  </si>
  <si>
    <t>USD -18,302.7966</t>
  </si>
  <si>
    <t>PU 7360047</t>
  </si>
  <si>
    <t>USD 1,048.8330</t>
  </si>
  <si>
    <t>USD -19,351.6296</t>
  </si>
  <si>
    <t>PU 7360069</t>
  </si>
  <si>
    <t>USD -19,449.6296</t>
  </si>
  <si>
    <t>CL2526D</t>
  </si>
  <si>
    <t>PU 200003</t>
  </si>
  <si>
    <t>USD -98.0000</t>
  </si>
  <si>
    <t>PU 300003</t>
  </si>
  <si>
    <t>PU 7360101</t>
  </si>
  <si>
    <t>PU 7360049</t>
  </si>
  <si>
    <t>USD 38.7492</t>
  </si>
  <si>
    <t>USD -19,488.3788</t>
  </si>
  <si>
    <t>PU 7360050</t>
  </si>
  <si>
    <t>USD 4.8314</t>
  </si>
  <si>
    <t>USD -19,493.2102</t>
  </si>
  <si>
    <t>PU 7360051</t>
  </si>
  <si>
    <t>USD -19,578.6662</t>
  </si>
  <si>
    <t>PU 7360052</t>
  </si>
  <si>
    <t>USD 1,670.0000</t>
  </si>
  <si>
    <t>USD -21,248.6662</t>
  </si>
  <si>
    <t>JE 7360300</t>
  </si>
  <si>
    <t>Being TDS entry passed for the ground rent charges against bill no. 256779410006 dated 03-04-2025.</t>
  </si>
  <si>
    <t>USD -21,228.6662</t>
  </si>
  <si>
    <t>PU 7360053</t>
  </si>
  <si>
    <t>USD -22,947.6662</t>
  </si>
  <si>
    <t>PU 7360054</t>
  </si>
  <si>
    <t>USD -24,617.6662</t>
  </si>
  <si>
    <t>JE 7360303</t>
  </si>
  <si>
    <t>Being Ground rent charges tds booked against bill no. 256779410015 dated 03-04-2025.</t>
  </si>
  <si>
    <t>USD -24,597.6662</t>
  </si>
  <si>
    <t>JE 7360304</t>
  </si>
  <si>
    <t>BEing Ground Rent Charges tds booked against bill no 256779410012 dated 03-04-2025.</t>
  </si>
  <si>
    <t>USD -24,577.6662</t>
  </si>
  <si>
    <t>PS 7360113</t>
  </si>
  <si>
    <t>Outgoing Payments - VD0304,Being Amount paid to ascendas against bank ref. no-003FT01251640051 dated 13-6-2025.</t>
  </si>
  <si>
    <t>HDFC Bank - INR</t>
  </si>
  <si>
    <t>USD 12,549.3594</t>
  </si>
  <si>
    <t>USD -12,028.3068</t>
  </si>
  <si>
    <t>PS 7360143</t>
  </si>
  <si>
    <t>Outgoing Payments - VD0304,Being Amount paid to ascendas against bank ref. no-003FT01251640038 dated 13-6-2025.</t>
  </si>
  <si>
    <t>Reverse Entry for Payment No. 7360143</t>
  </si>
  <si>
    <t>PS 7360144</t>
  </si>
  <si>
    <t>USD 4,127.9550</t>
  </si>
  <si>
    <t>USD -7,900.3518</t>
  </si>
  <si>
    <t>JE 7360530</t>
  </si>
  <si>
    <t>Being $3.4008 less paid in this bill because in summary sheet 2% tds deduscted instead of 10%</t>
  </si>
  <si>
    <t>USD 3.4008</t>
  </si>
  <si>
    <t>USD -7,896.9510</t>
  </si>
  <si>
    <t>USD  3.4008</t>
  </si>
  <si>
    <t>Reverse Entry for Payment No. 7360144</t>
  </si>
  <si>
    <t>USD -4,127.9550</t>
  </si>
  <si>
    <t>USD -12,024.9060</t>
  </si>
  <si>
    <t>PS 7360145</t>
  </si>
  <si>
    <t>USD 4,224.8172</t>
  </si>
  <si>
    <t>USD -7,800.0888</t>
  </si>
  <si>
    <t>PU 7360085</t>
  </si>
  <si>
    <t>USD 1,205.1000</t>
  </si>
  <si>
    <t>USD -9,005.1888</t>
  </si>
  <si>
    <t>PU 7360086</t>
  </si>
  <si>
    <t>USD 368.4600</t>
  </si>
  <si>
    <t>USD -9,373.6488</t>
  </si>
  <si>
    <t>PU 7360087</t>
  </si>
  <si>
    <t>USD 1,052.7480</t>
  </si>
  <si>
    <t>USD -10,426.3968</t>
  </si>
  <si>
    <t>PU 7360088</t>
  </si>
  <si>
    <t>Transportation (Inbound)</t>
  </si>
  <si>
    <t>USD 264.6000</t>
  </si>
  <si>
    <t>USD -10,690.9968</t>
  </si>
  <si>
    <t>PU 7360089</t>
  </si>
  <si>
    <t>USD -10,725.2968</t>
  </si>
  <si>
    <t>PU 7360090</t>
  </si>
  <si>
    <t>USD 133.3584</t>
  </si>
  <si>
    <t>USD -10,858.6552</t>
  </si>
  <si>
    <t>PU 7360091</t>
  </si>
  <si>
    <t>USD 683.4814</t>
  </si>
  <si>
    <t>USD -11,542.1366</t>
  </si>
  <si>
    <t>API2526D</t>
  </si>
  <si>
    <t>PU 5360050</t>
  </si>
  <si>
    <t>USD 56.9380</t>
  </si>
  <si>
    <t>USD -11,599.0746</t>
  </si>
  <si>
    <t>PU 5360071</t>
  </si>
  <si>
    <t>USD -56.9380</t>
  </si>
  <si>
    <t>PU 7360105</t>
  </si>
  <si>
    <t>USD 90.0000</t>
  </si>
  <si>
    <t>USD -11,632.1366</t>
  </si>
  <si>
    <t>PU 7360106</t>
  </si>
  <si>
    <t>USD -11,722.1366</t>
  </si>
  <si>
    <t>PU 7360107</t>
  </si>
  <si>
    <t>USD -11,812.1366</t>
  </si>
  <si>
    <t>PU 7360108</t>
  </si>
  <si>
    <t>USD -11,902.1366</t>
  </si>
  <si>
    <t>PU 300004</t>
  </si>
  <si>
    <t>USD -90.0000</t>
  </si>
  <si>
    <t>PU 300005</t>
  </si>
  <si>
    <t>PU 300006</t>
  </si>
  <si>
    <t>PU 300007</t>
  </si>
  <si>
    <t>PU 7360109</t>
  </si>
  <si>
    <t>PU 7360110</t>
  </si>
  <si>
    <t>PU 7360111</t>
  </si>
  <si>
    <t>PU 7360112</t>
  </si>
  <si>
    <t>PU 7360113</t>
  </si>
  <si>
    <t>USD 196.0000</t>
  </si>
  <si>
    <t>USD -12,098.1366</t>
  </si>
  <si>
    <t>PU 7360114</t>
  </si>
  <si>
    <t>USD -12,497.8590</t>
  </si>
  <si>
    <t>PU 7360115</t>
  </si>
  <si>
    <t>USD -13,546.6920</t>
  </si>
  <si>
    <t>PU 300008</t>
  </si>
  <si>
    <t>USD -399.7224</t>
  </si>
  <si>
    <t>USD -13,146.9696</t>
  </si>
  <si>
    <t>PU 300009</t>
  </si>
  <si>
    <t>USD -1,048.8330</t>
  </si>
  <si>
    <t>PS 7360316</t>
  </si>
  <si>
    <t>Outgoing Payments - VD0304,Being payment done against USD 3798.9858   ASCENDAS PANVEL FTWZ PRIVATE LIMITED, Bank ref no.-  003MISC251990131 dated-18-07-2025.</t>
  </si>
  <si>
    <t>YES BANK - USD</t>
  </si>
  <si>
    <t>USD 3,742.0478</t>
  </si>
  <si>
    <t>USD -8,356.0888</t>
  </si>
  <si>
    <t>Reverse Entry for Payment No. 7360316</t>
  </si>
  <si>
    <t>USD -3,742.0478</t>
  </si>
  <si>
    <t>PS 7360331</t>
  </si>
  <si>
    <t>PU 7360124</t>
  </si>
  <si>
    <t>USD -8,446.0888</t>
  </si>
  <si>
    <t>PU 7360133</t>
  </si>
  <si>
    <t>Empty Return - Outward</t>
  </si>
  <si>
    <t>USD 161.0900</t>
  </si>
  <si>
    <t>USD -8,607.1788</t>
  </si>
  <si>
    <t>PU 7360134</t>
  </si>
  <si>
    <t>USD 26.0100</t>
  </si>
  <si>
    <t>USD -8,633.1888</t>
  </si>
  <si>
    <t>PU 7360135</t>
  </si>
  <si>
    <t>USD 82.5700</t>
  </si>
  <si>
    <t>USD -8,715.7588</t>
  </si>
  <si>
    <t>PU 7360136</t>
  </si>
  <si>
    <t>Inbound &amp; Outbound Handling</t>
  </si>
  <si>
    <t>USD 36.1600</t>
  </si>
  <si>
    <t>USD -8,751.9188</t>
  </si>
  <si>
    <t>PU 7360137</t>
  </si>
  <si>
    <t>USD 19.8300</t>
  </si>
  <si>
    <t>USD -8,771.7488</t>
  </si>
  <si>
    <t>PU 7360138</t>
  </si>
  <si>
    <t>USD 113.9900</t>
  </si>
  <si>
    <t>USD -8,885.7388</t>
  </si>
  <si>
    <t>PU 7360139</t>
  </si>
  <si>
    <t>USD 21.5600</t>
  </si>
  <si>
    <t>USD -8,907.2988</t>
  </si>
  <si>
    <t>PU 7360140</t>
  </si>
  <si>
    <t>USD 4.3100</t>
  </si>
  <si>
    <t>USD -8,911.6088</t>
  </si>
  <si>
    <t>PU 7360141</t>
  </si>
  <si>
    <t>USD 5.7200</t>
  </si>
  <si>
    <t>USD -8,917.3288</t>
  </si>
  <si>
    <t>PU 7360142</t>
  </si>
  <si>
    <t>USD 0.7800</t>
  </si>
  <si>
    <t>USD -8,918.1088</t>
  </si>
  <si>
    <t>PU 7360143</t>
  </si>
  <si>
    <t>USD 13.5700</t>
  </si>
  <si>
    <t>USD -8,931.6788</t>
  </si>
  <si>
    <t>PU 7360144</t>
  </si>
  <si>
    <t>USD 17.7900</t>
  </si>
  <si>
    <t>USD -8,949.4688</t>
  </si>
  <si>
    <t>PU 7360145</t>
  </si>
  <si>
    <t>USD 20.9300</t>
  </si>
  <si>
    <t>USD -8,970.3988</t>
  </si>
  <si>
    <t>PU 7360146</t>
  </si>
  <si>
    <t>USD 1.9300</t>
  </si>
  <si>
    <t>USD -8,972.3288</t>
  </si>
  <si>
    <t>PU 7360147</t>
  </si>
  <si>
    <t>USD 23.7300</t>
  </si>
  <si>
    <t>USD -8,996.0588</t>
  </si>
  <si>
    <t>PU 7360148</t>
  </si>
  <si>
    <t>USD 14.4100</t>
  </si>
  <si>
    <t>USD -9,010.4688</t>
  </si>
  <si>
    <t>PU 7360149</t>
  </si>
  <si>
    <t>USD 21.9030</t>
  </si>
  <si>
    <t>USD -9,032.3718</t>
  </si>
  <si>
    <t>PU 7360150</t>
  </si>
  <si>
    <t>USD 21.0900</t>
  </si>
  <si>
    <t>USD -9,053.4618</t>
  </si>
  <si>
    <t>PU 7360151</t>
  </si>
  <si>
    <t>USD 1.5100</t>
  </si>
  <si>
    <t>USD -9,054.9718</t>
  </si>
  <si>
    <t>PU 7360152</t>
  </si>
  <si>
    <t>USD 7.0500</t>
  </si>
  <si>
    <t>USD -9,062.0218</t>
  </si>
  <si>
    <t>PU 7360153</t>
  </si>
  <si>
    <t>USD 4.7500</t>
  </si>
  <si>
    <t>USD -9,066.7718</t>
  </si>
  <si>
    <t>PU 7360154</t>
  </si>
  <si>
    <t>USD 21.3200</t>
  </si>
  <si>
    <t>USD -9,088.0918</t>
  </si>
  <si>
    <t>PU 7360155</t>
  </si>
  <si>
    <t>USD 2.1600</t>
  </si>
  <si>
    <t>USD -9,090.2518</t>
  </si>
  <si>
    <t>PU 7360156</t>
  </si>
  <si>
    <t>USD 1.0900</t>
  </si>
  <si>
    <t>USD -9,091.3418</t>
  </si>
  <si>
    <t>PU 7360157</t>
  </si>
  <si>
    <t>USD 10.7800</t>
  </si>
  <si>
    <t>USD -9,102.1218</t>
  </si>
  <si>
    <t>PU 7360158</t>
  </si>
  <si>
    <t>USD 22.7500</t>
  </si>
  <si>
    <t>USD -9,124.8718</t>
  </si>
  <si>
    <t>PU 7360159</t>
  </si>
  <si>
    <t>USD 7.6500</t>
  </si>
  <si>
    <t>USD -9,132.5218</t>
  </si>
  <si>
    <t>PU 7360161</t>
  </si>
  <si>
    <t>USD -9,156.2518</t>
  </si>
  <si>
    <t>PU 300011</t>
  </si>
  <si>
    <t>USD -23.7300</t>
  </si>
  <si>
    <t>PU 7360163</t>
  </si>
  <si>
    <t>USD 215.6000</t>
  </si>
  <si>
    <t>USD -9,348.1218</t>
  </si>
  <si>
    <t>PU 7360164</t>
  </si>
  <si>
    <t>USD -9,397.1218</t>
  </si>
  <si>
    <t>PU 7360165</t>
  </si>
  <si>
    <t>USD -9,446.1218</t>
  </si>
  <si>
    <t>PU 7360166</t>
  </si>
  <si>
    <t>USD 139.4736</t>
  </si>
  <si>
    <t>USD -9,585.5954</t>
  </si>
  <si>
    <t>PU 7360167</t>
  </si>
  <si>
    <t>USD 342.2748</t>
  </si>
  <si>
    <t>USD -9,927.8702</t>
  </si>
  <si>
    <t>PU 7360168</t>
  </si>
  <si>
    <t>USD 371.9970</t>
  </si>
  <si>
    <t>USD -10,299.8672</t>
  </si>
  <si>
    <t>PU 7360169</t>
  </si>
  <si>
    <t>Empty Lolo (Empty Yard)</t>
  </si>
  <si>
    <t>USD 67.5906</t>
  </si>
  <si>
    <t>USD -10,367.4578</t>
  </si>
  <si>
    <t>PU 7360170</t>
  </si>
  <si>
    <t>USD 70.3248</t>
  </si>
  <si>
    <t>USD -10,437.7826</t>
  </si>
  <si>
    <t>PU 7360171</t>
  </si>
  <si>
    <t>USD 9.6530</t>
  </si>
  <si>
    <t>USD -10,447.4356</t>
  </si>
  <si>
    <t>PU 7360172</t>
  </si>
  <si>
    <t>USD 11.8776</t>
  </si>
  <si>
    <t>USD -10,459.3132</t>
  </si>
  <si>
    <t>PU 7360174</t>
  </si>
  <si>
    <t>USD 1,592.7058</t>
  </si>
  <si>
    <t>USD -12,052.0190</t>
  </si>
  <si>
    <t>PU 7360175</t>
  </si>
  <si>
    <t>USD 34.8390</t>
  </si>
  <si>
    <t>USD -12,086.8580</t>
  </si>
  <si>
    <t>PS 7360324</t>
  </si>
  <si>
    <t>Outgoing Payments - VD0304,Being payment done against USD 1007.82   ASCENDAS PANVEL FTWZ PRIVATE LIMITED, Bank ref no.- 003MISC252190104 dated-07-08-2025.</t>
  </si>
  <si>
    <t>USD 1,007.8180</t>
  </si>
  <si>
    <t>USD -11,079.0400</t>
  </si>
  <si>
    <t>PS 7360322</t>
  </si>
  <si>
    <t>Outgoing Payments - VD0304,Being payment done against USD 4800.34   ASCENDAS PANVEL FTWZ PRIVATE LIMITED, Bank ref no.-  003MISC252200121 dated-08-08-2025.</t>
  </si>
  <si>
    <t>USD 4,800.3366</t>
  </si>
  <si>
    <t>USD -6,278.7034</t>
  </si>
  <si>
    <t>PU 7360194</t>
  </si>
  <si>
    <t>USD 168.2800</t>
  </si>
  <si>
    <t>USD -6,446.9834</t>
  </si>
  <si>
    <t>PU 7360195</t>
  </si>
  <si>
    <t>USD 907.5900</t>
  </si>
  <si>
    <t>USD -7,354.5734</t>
  </si>
  <si>
    <t>PU 7360196</t>
  </si>
  <si>
    <t>USD 740.4700</t>
  </si>
  <si>
    <t>USD -8,095.0434</t>
  </si>
  <si>
    <t>PU 7360197</t>
  </si>
  <si>
    <t>USD 824.7900</t>
  </si>
  <si>
    <t>USD -8,919.8334</t>
  </si>
  <si>
    <t>PU 7360198</t>
  </si>
  <si>
    <t>USD 17.4200</t>
  </si>
  <si>
    <t>USD -8,937.2534</t>
  </si>
  <si>
    <t>PU 7360199</t>
  </si>
  <si>
    <t>USD 646.8000</t>
  </si>
  <si>
    <t>USD -9,584.0534</t>
  </si>
  <si>
    <t>PU 7360200</t>
  </si>
  <si>
    <t>USD -9,682.0534</t>
  </si>
  <si>
    <t>PU 7360201</t>
  </si>
  <si>
    <t>USD 290.7100</t>
  </si>
  <si>
    <t>USD -9,972.7634</t>
  </si>
  <si>
    <t>PU 7360202</t>
  </si>
  <si>
    <t>USD 1,046.7100</t>
  </si>
  <si>
    <t>USD -11,019.4734</t>
  </si>
  <si>
    <t>PU 7360217</t>
  </si>
  <si>
    <t>USD 398.6900</t>
  </si>
  <si>
    <t>USD -11,418.1634</t>
  </si>
  <si>
    <t>PU 7360218</t>
  </si>
  <si>
    <t>USD 1,046.1400</t>
  </si>
  <si>
    <t>USD -12,464.3034</t>
  </si>
  <si>
    <t>PU 7360219</t>
  </si>
  <si>
    <t>USD 298.4400</t>
  </si>
  <si>
    <t>USD -12,762.7434</t>
  </si>
  <si>
    <t>PU 7360221</t>
  </si>
  <si>
    <t>USD 575.0500</t>
  </si>
  <si>
    <t>USD -13,337.7934</t>
  </si>
  <si>
    <t>PU 7360223</t>
  </si>
  <si>
    <t>USD 2,630.3300</t>
  </si>
  <si>
    <t>USD -15,968.1234</t>
  </si>
  <si>
    <t>PU 7360224</t>
  </si>
  <si>
    <t>USD 92.9100</t>
  </si>
  <si>
    <t>USD -16,061.0334</t>
  </si>
  <si>
    <t>PS 7360434</t>
  </si>
  <si>
    <t>Outgoing Payments - VD0304,Being payment done against USD 2954.34 ASCENDAS PANVEL FTWZ PRIVATE LIMITED, Bank ref no.- 003MISC252530130 dated-10-09-2025.</t>
  </si>
  <si>
    <t>USD 2,954.3362</t>
  </si>
  <si>
    <t>USD -13,106.6972</t>
  </si>
  <si>
    <t>PS 7360436</t>
  </si>
  <si>
    <t>Outgoing Payments - VD0304,Being payment done against USD 4740.75 ASCENDAS PANVEL FTWZ PRIVATE LIMITED, Bank ref no.- 003MISC252530128 dated-10-09-2025.</t>
  </si>
  <si>
    <t>USD 4,740.7700</t>
  </si>
  <si>
    <t>USD -8,365.9272</t>
  </si>
  <si>
    <t>PS 7360437</t>
  </si>
  <si>
    <t>Outgoing Payments - VD0304,Being payment done against USD 5041.57  ASCENDAS PANVEL FTWZ PRIVATE LIMITED, Bank ref no.- 003MISC252590125 dated-16-09-2025.</t>
  </si>
  <si>
    <t>USD 5,041.5600</t>
  </si>
  <si>
    <t>USD -3,324.3672</t>
  </si>
  <si>
    <t>PS 7360438</t>
  </si>
  <si>
    <t>Outgoing Payments - VD0304,Being payment done against USD 3327.77  ASCENDAS PANVEL FTWZ PRIVATE LIMITED, Bank ref no.- 003MISC252590125 dated-16-09-2025.</t>
  </si>
  <si>
    <t>USD 3,327.7680</t>
  </si>
  <si>
    <t>PU 7360239</t>
  </si>
  <si>
    <t>USD 19.7078</t>
  </si>
  <si>
    <t>USD -16.3070</t>
  </si>
  <si>
    <t>PU 7360240</t>
  </si>
  <si>
    <t>USD 95.9420</t>
  </si>
  <si>
    <t>USD -112.2490</t>
  </si>
  <si>
    <t>PU 7360241</t>
  </si>
  <si>
    <t>USD 82.4572</t>
  </si>
  <si>
    <t>USD -194.7062</t>
  </si>
  <si>
    <t>PU 7360242</t>
  </si>
  <si>
    <t>USD 482.6304</t>
  </si>
  <si>
    <t>USD -677.3366</t>
  </si>
  <si>
    <t>PU 7360243</t>
  </si>
  <si>
    <t>USD 84.2800</t>
  </si>
  <si>
    <t>USD -761.6166</t>
  </si>
  <si>
    <t>PU 7360244</t>
  </si>
  <si>
    <t>USD 389.0404</t>
  </si>
  <si>
    <t>USD -1,150.6570</t>
  </si>
  <si>
    <t>PU 7360245</t>
  </si>
  <si>
    <t>USD 293.1376</t>
  </si>
  <si>
    <t>USD -1,443.7946</t>
  </si>
  <si>
    <t>PU 7360246</t>
  </si>
  <si>
    <t>USD 366.3450</t>
  </si>
  <si>
    <t>USD -1,810.1396</t>
  </si>
  <si>
    <t>PU 7360248</t>
  </si>
  <si>
    <t>USD 176.4000</t>
  </si>
  <si>
    <t>USD -1,986.5396</t>
  </si>
  <si>
    <t>USD 1,989.9404</t>
  </si>
  <si>
    <t>PU 7360251</t>
  </si>
  <si>
    <t>USD 772.1910</t>
  </si>
  <si>
    <t>USD -2,758.7306</t>
  </si>
  <si>
    <t>PU 7360252</t>
  </si>
  <si>
    <t>USD 1,046.5020</t>
  </si>
  <si>
    <t>USD -3,805.2326</t>
  </si>
  <si>
    <t>PU 7360253</t>
  </si>
  <si>
    <t>USD 398.8306</t>
  </si>
  <si>
    <t>USD -4,204.0632</t>
  </si>
  <si>
    <t>PU 7360254</t>
  </si>
  <si>
    <t>USD 95.8832</t>
  </si>
  <si>
    <t>USD -4,299.9464</t>
  </si>
  <si>
    <t>PU 7360255</t>
  </si>
  <si>
    <t>USD 71.6576</t>
  </si>
  <si>
    <t>USD -4,371.6040</t>
  </si>
  <si>
    <t>PU 7360256</t>
  </si>
  <si>
    <t>USD 402.3684</t>
  </si>
  <si>
    <t>USD -4,773.9724</t>
  </si>
  <si>
    <t>PU 7360257</t>
  </si>
  <si>
    <t>USD 1,528.8000</t>
  </si>
  <si>
    <t>USD -6,302.7724</t>
  </si>
  <si>
    <t>PU 7360258</t>
  </si>
  <si>
    <t>USD -7,831.5724</t>
  </si>
  <si>
    <t>PU 7360259</t>
  </si>
  <si>
    <t>USD 1,579.7600</t>
  </si>
  <si>
    <t>USD -9,411.3324</t>
  </si>
  <si>
    <t>PU 7360260</t>
  </si>
  <si>
    <t>USD 168.3900</t>
  </si>
  <si>
    <t>USD -9,579.7224</t>
  </si>
  <si>
    <t>PU 7360261</t>
  </si>
  <si>
    <t>USD -9,759.7224</t>
  </si>
  <si>
    <t>PU 7360262</t>
  </si>
  <si>
    <t>USD -11,339.4824</t>
  </si>
  <si>
    <t>PU 7360263</t>
  </si>
  <si>
    <t>USD 359.9370</t>
  </si>
  <si>
    <t>USD -11,699.4194</t>
  </si>
  <si>
    <t>PU 7360264</t>
  </si>
  <si>
    <t>USD 1,028.4030</t>
  </si>
  <si>
    <t>USD -12,727.8224</t>
  </si>
  <si>
    <t>OB2526M</t>
  </si>
  <si>
    <t>PC 1002</t>
  </si>
  <si>
    <t>A/P Credit Memos - VD0304</t>
  </si>
  <si>
    <t>USD -28.8000</t>
  </si>
  <si>
    <t>USD -12,699.0224</t>
  </si>
  <si>
    <t>PC 1003</t>
  </si>
  <si>
    <t>USD -12,670.2224</t>
  </si>
  <si>
    <t>PC 1004</t>
  </si>
  <si>
    <t>USD -29.7600</t>
  </si>
  <si>
    <t>USD -12,640.4624</t>
  </si>
  <si>
    <t>PC 1005</t>
  </si>
  <si>
    <t>USD -1,579.7600</t>
  </si>
  <si>
    <t>USD -11,060.7024</t>
  </si>
  <si>
    <t>PU 7360265</t>
  </si>
  <si>
    <t>USD 236.6014</t>
  </si>
  <si>
    <t>USD -11,297.3038</t>
  </si>
  <si>
    <t>PU 7360266</t>
  </si>
  <si>
    <t>USD 107.4240</t>
  </si>
  <si>
    <t>USD -11,404.7278</t>
  </si>
  <si>
    <t>PU 7360267</t>
  </si>
  <si>
    <t>USD 21.9814</t>
  </si>
  <si>
    <t>USD -11,426.7092</t>
  </si>
  <si>
    <t>PU 7360268</t>
  </si>
  <si>
    <t>USD 288.0122</t>
  </si>
  <si>
    <t>USD -11,714.7214</t>
  </si>
  <si>
    <t>PU 300016</t>
  </si>
  <si>
    <t>USD -107.4240</t>
  </si>
  <si>
    <t>USD -11,607.2974</t>
  </si>
  <si>
    <t>PC 1006</t>
  </si>
  <si>
    <t>A/P Credit Memo - Cancellation - VD0304</t>
  </si>
  <si>
    <t>USD -13,187.0574</t>
  </si>
  <si>
    <t>PC 1010</t>
  </si>
  <si>
    <t>USD 28.8000</t>
  </si>
  <si>
    <t>USD -13,215.8574</t>
  </si>
  <si>
    <t>PC 1011</t>
  </si>
  <si>
    <t>USD -13,244.6574</t>
  </si>
  <si>
    <t>PC 1012</t>
  </si>
  <si>
    <t>USD 29.7600</t>
  </si>
  <si>
    <t>USD -13,274.4174</t>
  </si>
  <si>
    <t>PU 7360269</t>
  </si>
  <si>
    <t>Intra SEZ charges</t>
  </si>
  <si>
    <t>USD -13,372.4174</t>
  </si>
  <si>
    <t>PU 7360270</t>
  </si>
  <si>
    <t>USD -13,462.4174</t>
  </si>
  <si>
    <t>PU 7360271</t>
  </si>
  <si>
    <t>USD 735.0000</t>
  </si>
  <si>
    <t>USD -14,197.4174</t>
  </si>
  <si>
    <t>PU 7360272</t>
  </si>
  <si>
    <t>USD -14,231.7174</t>
  </si>
  <si>
    <t>PU 7360273</t>
  </si>
  <si>
    <t>USD 82.2122</t>
  </si>
  <si>
    <t>USD -14,313.9296</t>
  </si>
  <si>
    <t>PU 7360274</t>
  </si>
  <si>
    <t>USD 149.2344</t>
  </si>
  <si>
    <t>USD -14,463.1640</t>
  </si>
  <si>
    <t>PU 7360275</t>
  </si>
  <si>
    <t>USD -14,497.4640</t>
  </si>
  <si>
    <t>PU 300015</t>
  </si>
  <si>
    <t>USD -34.3000</t>
  </si>
  <si>
    <t>PU 7360276</t>
  </si>
  <si>
    <t>USD 17.4240</t>
  </si>
  <si>
    <t>USD -14,480.5880</t>
  </si>
  <si>
    <t>PC 1007</t>
  </si>
  <si>
    <t>USD -60.7600</t>
  </si>
  <si>
    <t>USD -14,419.8280</t>
  </si>
  <si>
    <t>PC 1008</t>
  </si>
  <si>
    <t>USD -60.0000</t>
  </si>
  <si>
    <t>USD -14,359.8280</t>
  </si>
  <si>
    <t>PC 1009</t>
  </si>
  <si>
    <t>USD 60.0000</t>
  </si>
  <si>
    <t>PC 1013</t>
  </si>
  <si>
    <t>USD -58.8000</t>
  </si>
  <si>
    <t>USD -14,361.0280</t>
  </si>
  <si>
    <t>PC 1014</t>
  </si>
  <si>
    <t>USD -14,302.2280</t>
  </si>
  <si>
    <t>PC 1015</t>
  </si>
  <si>
    <t>USD -14,241.4680</t>
  </si>
  <si>
    <t>PS 7360566</t>
  </si>
  <si>
    <t>Outgoing Payments - VD0304,Being payment done against USD 1752.77 ASCENDAS PANVEL FTWZ PRIVATE LIMITED, Bank ref no.- 003MISC253020092 dated-29-10-2025.</t>
  </si>
  <si>
    <t>USD 1,752.7656</t>
  </si>
  <si>
    <t>USD -12,488.7024</t>
  </si>
  <si>
    <t>PU 7360293</t>
  </si>
  <si>
    <t>USD 1,020.5200</t>
  </si>
  <si>
    <t>USD -13,509.2224</t>
  </si>
  <si>
    <t>PU 7360294</t>
  </si>
  <si>
    <t>USD 388.9326</t>
  </si>
  <si>
    <t>USD -13,898.1550</t>
  </si>
  <si>
    <t>PU 7360295</t>
  </si>
  <si>
    <t>USD -13,988.1550</t>
  </si>
  <si>
    <t>PU 7360296</t>
  </si>
  <si>
    <t>USD -14,723.1550</t>
  </si>
  <si>
    <t>PU 7360297</t>
  </si>
  <si>
    <t>USD 133.7504</t>
  </si>
  <si>
    <t>USD -14,856.9054</t>
  </si>
  <si>
    <t>PS 7360581</t>
  </si>
  <si>
    <t>Outgoing Payments - VD0304,Being $1989.94 paid to ASCENDAS PANVEL FTWZ PRIVATE LIMITED  against bank ref. no.-003MISC253040153 dated-31-10-2025.</t>
  </si>
  <si>
    <t>USD -12,866.9650</t>
  </si>
  <si>
    <t>PS 7360582</t>
  </si>
  <si>
    <t>Outgoing Payments - VD0304,Being $10502.1628 paid to ASCENDAS PANVEL FTWZ PRIVATE LIMITED  against bank ref. no.-003MISC253040148 dated-31-10-2025.</t>
  </si>
  <si>
    <t>USD 10,502.1628</t>
  </si>
  <si>
    <t>USD -2,364.8022</t>
  </si>
  <si>
    <t>PU 7360331</t>
  </si>
  <si>
    <t>USD 27.5870</t>
  </si>
  <si>
    <t>USD -2,392.3892</t>
  </si>
  <si>
    <t>USD (27.5870)</t>
  </si>
  <si>
    <t>PU 7360332</t>
  </si>
  <si>
    <t>USD 324.8700</t>
  </si>
  <si>
    <t>USD -2,717.2592</t>
  </si>
  <si>
    <t>USD (324.8700)</t>
  </si>
  <si>
    <t>PU 7360335</t>
  </si>
  <si>
    <t>USD 287.4340</t>
  </si>
  <si>
    <t>USD -3,004.6932</t>
  </si>
  <si>
    <t>USD (287.4340)</t>
  </si>
  <si>
    <t>PU 7360336</t>
  </si>
  <si>
    <t>USD -3,739.6932</t>
  </si>
  <si>
    <t>USD (735.0000)</t>
  </si>
  <si>
    <t>PU 7360337</t>
  </si>
  <si>
    <t>USD -3,829.6932</t>
  </si>
  <si>
    <t>USD (90.0000)</t>
  </si>
  <si>
    <t>PU 7360338</t>
  </si>
  <si>
    <t>USD -3,863.9932</t>
  </si>
  <si>
    <t>USD (34.3000)</t>
  </si>
  <si>
    <t>PU 7360339</t>
  </si>
  <si>
    <t>USD -4,152.0054</t>
  </si>
  <si>
    <t>USD (288.0122)</t>
  </si>
  <si>
    <t>PU 7360340</t>
  </si>
  <si>
    <t>USD 169.7556</t>
  </si>
  <si>
    <t>USD -4,321.7610</t>
  </si>
  <si>
    <t>USD (169.7556)</t>
  </si>
  <si>
    <t>PU 7360341</t>
  </si>
  <si>
    <t>USD -4,419.7610</t>
  </si>
  <si>
    <t>USD (98.0000)</t>
  </si>
  <si>
    <t>PU 7360342</t>
  </si>
  <si>
    <t>USD 344.1074</t>
  </si>
  <si>
    <t>USD -4,763.8684</t>
  </si>
  <si>
    <t>USD (344.1074)</t>
  </si>
  <si>
    <t>PU 7360343</t>
  </si>
  <si>
    <t>USD 9.6334</t>
  </si>
  <si>
    <t>USD -4,773.5018</t>
  </si>
  <si>
    <t>USD (9.6334)</t>
  </si>
  <si>
    <t>PU 7360344</t>
  </si>
  <si>
    <t>USD 8.0458</t>
  </si>
  <si>
    <t>USD -4,781.5476</t>
  </si>
  <si>
    <t>USD (8.0458)</t>
  </si>
  <si>
    <t>PU 7360346</t>
  </si>
  <si>
    <t>USD 51.6558</t>
  </si>
  <si>
    <t>USD -4,833.2034</t>
  </si>
  <si>
    <t>USD (51.6558)</t>
  </si>
  <si>
    <t>PU 7360347</t>
  </si>
  <si>
    <t>USD -4,923.2034</t>
  </si>
  <si>
    <t>PU 7360348</t>
  </si>
  <si>
    <t>USD 784.0000</t>
  </si>
  <si>
    <t>USD -5,707.2034</t>
  </si>
  <si>
    <t>USD (784.0000)</t>
  </si>
  <si>
    <t>PU 7360349</t>
  </si>
  <si>
    <t>USD 1,022.6880</t>
  </si>
  <si>
    <t>USD -6,729.8914</t>
  </si>
  <si>
    <t>USD (1,022.6880)</t>
  </si>
  <si>
    <t>PU 7360350</t>
  </si>
  <si>
    <t>USD 389.7558</t>
  </si>
  <si>
    <t>USD -7,119.6472</t>
  </si>
  <si>
    <t>USD -389.7558</t>
  </si>
  <si>
    <t>PU 7360351</t>
  </si>
  <si>
    <t>USD (389.7558)</t>
  </si>
  <si>
    <t>PU 7360352</t>
  </si>
  <si>
    <t>USD 110.3284</t>
  </si>
  <si>
    <t>USD -7,229.9756</t>
  </si>
  <si>
    <t>USD (110.3284)</t>
  </si>
  <si>
    <t>PU 7360353</t>
  </si>
  <si>
    <t>USD 109.1720</t>
  </si>
  <si>
    <t>USD -7,339.1476</t>
  </si>
  <si>
    <t>USD (109.1720)</t>
  </si>
  <si>
    <t>PU 7360354</t>
  </si>
  <si>
    <t>USD -7,429.1476</t>
  </si>
  <si>
    <t>PU 7360355</t>
  </si>
  <si>
    <t>USD -8,164.1476</t>
  </si>
  <si>
    <t>PU 7360356</t>
  </si>
  <si>
    <t>USD -8,489.0176</t>
  </si>
  <si>
    <t>PU 7360357</t>
  </si>
  <si>
    <t>USD 60.7502</t>
  </si>
  <si>
    <t>USD -8,549.7678</t>
  </si>
  <si>
    <t>USD (60.7502)</t>
  </si>
  <si>
    <t>PU 7360358</t>
  </si>
  <si>
    <t>USD 1,014.6510</t>
  </si>
  <si>
    <t>USD -9,564.4188</t>
  </si>
  <si>
    <t>USD (1,014.6510)</t>
  </si>
  <si>
    <t>PU 7360359</t>
  </si>
  <si>
    <t>USD 386.6982</t>
  </si>
  <si>
    <t>USD -9,951.1170</t>
  </si>
  <si>
    <t>USD -386.6982</t>
  </si>
  <si>
    <t>PU 7360360</t>
  </si>
  <si>
    <t>USD (386.6982)</t>
  </si>
  <si>
    <t>PU 7360361</t>
  </si>
  <si>
    <t>USD -10,041.1170</t>
  </si>
  <si>
    <t>PU 7360362</t>
  </si>
  <si>
    <t>USD -10,776.1170</t>
  </si>
  <si>
    <t>PU 7360363</t>
  </si>
  <si>
    <t>USD 497.9160</t>
  </si>
  <si>
    <t>USD -11,274.0330</t>
  </si>
  <si>
    <t>USD (497.9160)</t>
  </si>
  <si>
    <t>PU 7360364</t>
  </si>
  <si>
    <t>USD 1,329.6780</t>
  </si>
  <si>
    <t>USD -12,603.7110</t>
  </si>
  <si>
    <t>USD (1,329.6780)</t>
  </si>
  <si>
    <t>PU 7360365</t>
  </si>
  <si>
    <t>USD 15.7320</t>
  </si>
  <si>
    <t>USD -12,619.4430</t>
  </si>
  <si>
    <t>USD (15.7320)</t>
  </si>
  <si>
    <t>PU 7360366</t>
  </si>
  <si>
    <t>USD 1,304.7840</t>
  </si>
  <si>
    <t>USD -13,924.2270</t>
  </si>
  <si>
    <t>USD (1,304.7840)</t>
  </si>
  <si>
    <t>PU 7360367</t>
  </si>
  <si>
    <t>USD 1,497.6090</t>
  </si>
  <si>
    <t>USD -15,421.8360</t>
  </si>
  <si>
    <t>USD (1,497.6090)</t>
  </si>
  <si>
    <t>PU 7360368</t>
  </si>
  <si>
    <t>USD 837.1260</t>
  </si>
  <si>
    <t>USD -16,258.9620</t>
  </si>
  <si>
    <t>USD (837.1260)</t>
  </si>
  <si>
    <t>PU 7360369</t>
  </si>
  <si>
    <t>USD 671.3730</t>
  </si>
  <si>
    <t>USD -16,930.3350</t>
  </si>
  <si>
    <t>USD (671.3730)</t>
  </si>
  <si>
    <t>PS 7360740</t>
  </si>
  <si>
    <t>Outgoing Payments - VD0304,Being $2328.2000 paid to ASCENDAS PANVEL FTWZ PRIVATE LIMITED  against bank ref. no.-003MISC253650039 dated-31-12-2025.</t>
  </si>
  <si>
    <t>Yes Bank (Dollar)</t>
  </si>
  <si>
    <t>USD 2,368.2030</t>
  </si>
  <si>
    <t>USD -14,562.1320</t>
  </si>
  <si>
    <t>JE 7362166</t>
  </si>
  <si>
    <t>Being debit note recieved from Ascendas Panvel FTWZ Private Limited against debit note no-256779421715 dated-14-08-2025.</t>
  </si>
  <si>
    <t>USD 2,092.2930</t>
  </si>
  <si>
    <t>USD -12,469.8390</t>
  </si>
  <si>
    <t>USD  2,092.2930</t>
  </si>
  <si>
    <t>PU 7360391</t>
  </si>
  <si>
    <t>USD 87.0930</t>
  </si>
  <si>
    <t>USD -12,556.9320</t>
  </si>
  <si>
    <t>USD (87.0930)</t>
  </si>
  <si>
    <t>PU 7360392</t>
  </si>
  <si>
    <t>USD -13,291.9320</t>
  </si>
  <si>
    <t>PU 7360393</t>
  </si>
  <si>
    <t>USD 3.3810</t>
  </si>
  <si>
    <t>USD -13,295.3130</t>
  </si>
  <si>
    <t>USD (3.3810)</t>
  </si>
  <si>
    <t>PU 7360394</t>
  </si>
  <si>
    <t>USD 25.1762</t>
  </si>
  <si>
    <t>USD -13,320.4892</t>
  </si>
  <si>
    <t>USD (25.1762)</t>
  </si>
  <si>
    <t>PU 7360395</t>
  </si>
  <si>
    <t>USD 149.2148</t>
  </si>
  <si>
    <t>USD -13,469.7040</t>
  </si>
  <si>
    <t>USD (149.2148)</t>
  </si>
  <si>
    <t>PU 7360396</t>
  </si>
  <si>
    <t>USD 121.6278</t>
  </si>
  <si>
    <t>USD -13,591.3318</t>
  </si>
  <si>
    <t>USD (121.6278)</t>
  </si>
  <si>
    <t>USD 71,559.8130</t>
  </si>
  <si>
    <t>USD 60,177.1420</t>
  </si>
  <si>
    <t>Grand Total</t>
  </si>
  <si>
    <t>2025</t>
  </si>
  <si>
    <t>Qtr1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</si>
  <si>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</si>
  <si>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</si>
  <si>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</si>
  <si>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</si>
  <si>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</si>
  <si>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</si>
  <si>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</si>
  <si>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</si>
  <si>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</si>
  <si>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</si>
  <si>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</si>
  <si>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</si>
  <si>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</si>
  <si>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</si>
  <si>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2026</t>
  </si>
  <si>
    <t>Jan</t>
  </si>
  <si>
    <t>Sum of Debit (LC)</t>
  </si>
  <si>
    <t>Sum of Credit (LC)</t>
  </si>
  <si>
    <t>Years</t>
  </si>
  <si>
    <t>Quarters</t>
  </si>
  <si>
    <t>Vlookup</t>
  </si>
  <si>
    <t>Diff</t>
  </si>
  <si>
    <t>Invoice broken in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</si>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</sst>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12" fontId="1" fillId="0" borderId="0" xfId="0" applyNumberFormat="1" applyFont="1"/>
    <xf numFmtId="12" fontId="0" fillId="0" borderId="0" xfId="0" applyNumberFormat="1"/>
    <xf numFmtId="0" fontId="1" fillId="2" borderId="0" xfId="0" applyFont="1" applyFill="1"/>
    <xf numFmtId="43" fontId="0" fillId="0" borderId="0" xfId="1" applyFont="1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43" fontId="1" fillId="0" borderId="0" xfId="1" applyFont="1"/>
    <xf numFmtId="43" fontId="0" fillId="0" borderId="0" xfId="0" applyNumberFormat="1"/>
    <xf numFmtId="1" fontId="0" fillId="3" borderId="0" xfId="0" applyNumberFormat="1" applyFill="1"/>
    <xf numFmtId="14" fontId="0" fillId="2" borderId="0" xfId="0" applyNumberFormat="1" applyFill="1"/>
    <xf numFmtId="164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AH%20TC%20GLOBAL%20EXIM%20LL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pivot"/>
      <sheetName val="Workings"/>
    </sheetNames>
    <sheetDataSet>
      <sheetData sheetId="0"/>
      <sheetData sheetId="1"/>
      <sheetData sheetId="2"/>
      <sheetData sheetId="3">
        <row r="1">
          <cell r="M1" t="str">
            <v>.</v>
          </cell>
          <cell r="U1">
            <v>4171298.8700000015</v>
          </cell>
        </row>
        <row r="2">
          <cell r="M2" t="str">
            <v>Reference/invoice no</v>
          </cell>
          <cell r="N2" t="str">
            <v>G/L Account</v>
          </cell>
          <cell r="O2" t="str">
            <v>G/L Account: Short Text</v>
          </cell>
          <cell r="P2" t="str">
            <v>Special G/L Ind.</v>
          </cell>
          <cell r="Q2" t="str">
            <v>Posting Key</v>
          </cell>
          <cell r="R2" t="str">
            <v>Document Currency Key</v>
          </cell>
          <cell r="S2" t="str">
            <v>Document Currency Value</v>
          </cell>
          <cell r="T2" t="str">
            <v>Company Code Currency Key</v>
          </cell>
          <cell r="U2" t="str">
            <v>Company Code Currency Value</v>
          </cell>
        </row>
        <row r="3">
          <cell r="M3" t="str">
            <v/>
          </cell>
          <cell r="N3" t="str">
            <v>212100</v>
          </cell>
          <cell r="O3" t="str">
            <v>Trade Debtors (Ctrl)</v>
          </cell>
          <cell r="P3" t="str">
            <v/>
          </cell>
          <cell r="Q3" t="str">
            <v>07</v>
          </cell>
          <cell r="R3" t="str">
            <v>INR</v>
          </cell>
          <cell r="S3">
            <v>1</v>
          </cell>
          <cell r="T3" t="str">
            <v>INR</v>
          </cell>
          <cell r="U3">
            <v>1</v>
          </cell>
        </row>
        <row r="4">
          <cell r="M4" t="str">
            <v/>
          </cell>
          <cell r="N4" t="str">
            <v>212100</v>
          </cell>
          <cell r="O4" t="str">
            <v>Trade Debtors (Ctrl)</v>
          </cell>
          <cell r="P4" t="str">
            <v/>
          </cell>
          <cell r="Q4" t="str">
            <v>17</v>
          </cell>
          <cell r="R4" t="str">
            <v>INR</v>
          </cell>
          <cell r="S4">
            <v>-1</v>
          </cell>
          <cell r="T4" t="str">
            <v>INR</v>
          </cell>
          <cell r="U4">
            <v>-1</v>
          </cell>
        </row>
        <row r="5">
          <cell r="M5" t="str">
            <v/>
          </cell>
          <cell r="N5" t="str">
            <v>212100</v>
          </cell>
          <cell r="O5" t="str">
            <v>Trade Debtors (Ctrl)</v>
          </cell>
          <cell r="P5" t="str">
            <v/>
          </cell>
          <cell r="Q5" t="str">
            <v>08</v>
          </cell>
          <cell r="R5" t="str">
            <v>INR</v>
          </cell>
          <cell r="S5">
            <v>603848.88</v>
          </cell>
          <cell r="T5" t="str">
            <v>INR</v>
          </cell>
          <cell r="U5">
            <v>595243.31000000006</v>
          </cell>
        </row>
        <row r="6">
          <cell r="M6" t="str">
            <v/>
          </cell>
          <cell r="N6" t="str">
            <v>212100</v>
          </cell>
          <cell r="O6" t="str">
            <v>Trade Debtors (Ctrl)</v>
          </cell>
          <cell r="P6" t="str">
            <v/>
          </cell>
          <cell r="Q6" t="str">
            <v>15</v>
          </cell>
          <cell r="R6" t="str">
            <v>INR</v>
          </cell>
          <cell r="S6">
            <v>-603848.88</v>
          </cell>
          <cell r="T6" t="str">
            <v>INR</v>
          </cell>
          <cell r="U6">
            <v>-599760.56000000006</v>
          </cell>
        </row>
        <row r="7">
          <cell r="M7" t="str">
            <v/>
          </cell>
          <cell r="N7" t="str">
            <v>212100</v>
          </cell>
          <cell r="O7" t="str">
            <v>Trade Debtors (Ctrl)</v>
          </cell>
          <cell r="P7" t="str">
            <v/>
          </cell>
          <cell r="Q7" t="str">
            <v>15</v>
          </cell>
          <cell r="R7" t="str">
            <v>USD</v>
          </cell>
          <cell r="S7">
            <v>-700.45</v>
          </cell>
          <cell r="T7" t="str">
            <v>INR</v>
          </cell>
          <cell r="U7">
            <v>-60884.42</v>
          </cell>
        </row>
        <row r="8">
          <cell r="M8" t="str">
            <v/>
          </cell>
          <cell r="N8" t="str">
            <v>212100</v>
          </cell>
          <cell r="O8" t="str">
            <v>Trade Debtors (Ctrl)</v>
          </cell>
          <cell r="P8" t="str">
            <v/>
          </cell>
          <cell r="Q8" t="str">
            <v>15</v>
          </cell>
          <cell r="R8" t="str">
            <v>USD</v>
          </cell>
          <cell r="S8">
            <v>-4719.25</v>
          </cell>
          <cell r="T8" t="str">
            <v>INR</v>
          </cell>
          <cell r="U8">
            <v>-413002</v>
          </cell>
        </row>
        <row r="9">
          <cell r="M9" t="str">
            <v/>
          </cell>
          <cell r="N9" t="str">
            <v>212100</v>
          </cell>
          <cell r="O9" t="str">
            <v>Trade Debtors (Ctrl)</v>
          </cell>
          <cell r="P9" t="str">
            <v/>
          </cell>
          <cell r="Q9" t="str">
            <v>15</v>
          </cell>
          <cell r="R9" t="str">
            <v>USD</v>
          </cell>
          <cell r="S9">
            <v>-3663.7</v>
          </cell>
          <cell r="T9" t="str">
            <v>INR</v>
          </cell>
          <cell r="U9">
            <v>-313212.57</v>
          </cell>
        </row>
        <row r="10">
          <cell r="M10" t="str">
            <v/>
          </cell>
          <cell r="N10" t="str">
            <v>212100</v>
          </cell>
          <cell r="O10" t="str">
            <v>Trade Debtors (Ctrl)</v>
          </cell>
          <cell r="P10" t="str">
            <v/>
          </cell>
          <cell r="Q10" t="str">
            <v>15</v>
          </cell>
          <cell r="R10" t="str">
            <v>USD</v>
          </cell>
          <cell r="S10">
            <v>-3777.49</v>
          </cell>
          <cell r="T10" t="str">
            <v>INR</v>
          </cell>
          <cell r="U10">
            <v>-324866.67</v>
          </cell>
        </row>
        <row r="11">
          <cell r="M11" t="str">
            <v/>
          </cell>
          <cell r="N11" t="str">
            <v>212100</v>
          </cell>
          <cell r="O11" t="str">
            <v>Trade Debtors (Ctrl)</v>
          </cell>
          <cell r="P11" t="str">
            <v/>
          </cell>
          <cell r="Q11" t="str">
            <v>15</v>
          </cell>
          <cell r="R11" t="str">
            <v>USD</v>
          </cell>
          <cell r="S11">
            <v>-3663.7</v>
          </cell>
          <cell r="T11" t="str">
            <v>INR</v>
          </cell>
          <cell r="U11">
            <v>-3663.7</v>
          </cell>
        </row>
        <row r="12">
          <cell r="M12" t="str">
            <v/>
          </cell>
          <cell r="N12" t="str">
            <v>212100</v>
          </cell>
          <cell r="O12" t="str">
            <v>Trade Debtors (Ctrl)</v>
          </cell>
          <cell r="P12" t="str">
            <v/>
          </cell>
          <cell r="Q12" t="str">
            <v>15</v>
          </cell>
          <cell r="R12" t="str">
            <v>USD</v>
          </cell>
          <cell r="S12">
            <v>-3508.06</v>
          </cell>
          <cell r="T12" t="str">
            <v>INR</v>
          </cell>
          <cell r="U12">
            <v>-3508.06</v>
          </cell>
        </row>
        <row r="13">
          <cell r="M13" t="str">
            <v/>
          </cell>
          <cell r="N13" t="str">
            <v>212100</v>
          </cell>
          <cell r="O13" t="str">
            <v>Trade Debtors (Ctrl)</v>
          </cell>
          <cell r="P13" t="str">
            <v/>
          </cell>
          <cell r="Q13" t="str">
            <v>15</v>
          </cell>
          <cell r="R13" t="str">
            <v>USD</v>
          </cell>
          <cell r="S13">
            <v>-3145.98</v>
          </cell>
          <cell r="T13" t="str">
            <v>INR</v>
          </cell>
          <cell r="U13">
            <v>-3145.98</v>
          </cell>
        </row>
        <row r="14">
          <cell r="M14" t="str">
            <v/>
          </cell>
          <cell r="N14" t="str">
            <v>212100</v>
          </cell>
          <cell r="O14" t="str">
            <v>Trade Debtors (Ctrl)</v>
          </cell>
          <cell r="P14" t="str">
            <v/>
          </cell>
          <cell r="Q14" t="str">
            <v>15</v>
          </cell>
          <cell r="R14" t="str">
            <v>USD</v>
          </cell>
          <cell r="S14">
            <v>-12549.36</v>
          </cell>
          <cell r="T14" t="str">
            <v>INR</v>
          </cell>
          <cell r="U14">
            <v>-12549.36</v>
          </cell>
        </row>
        <row r="15">
          <cell r="M15" t="str">
            <v/>
          </cell>
          <cell r="N15" t="str">
            <v>212100</v>
          </cell>
          <cell r="O15" t="str">
            <v>Trade Debtors (Ctrl)</v>
          </cell>
          <cell r="P15" t="str">
            <v/>
          </cell>
          <cell r="Q15" t="str">
            <v>15</v>
          </cell>
          <cell r="R15" t="str">
            <v>USD</v>
          </cell>
          <cell r="S15">
            <v>-4228.22</v>
          </cell>
          <cell r="T15" t="str">
            <v>INR</v>
          </cell>
          <cell r="U15">
            <v>-4228.22</v>
          </cell>
        </row>
        <row r="16">
          <cell r="M16" t="str">
            <v/>
          </cell>
          <cell r="N16" t="str">
            <v>212100</v>
          </cell>
          <cell r="O16" t="str">
            <v>Trade Debtors (Ctrl)</v>
          </cell>
          <cell r="P16" t="str">
            <v/>
          </cell>
          <cell r="Q16" t="str">
            <v>05</v>
          </cell>
          <cell r="R16" t="str">
            <v>USD</v>
          </cell>
          <cell r="S16">
            <v>3663.7</v>
          </cell>
          <cell r="T16" t="str">
            <v>INR</v>
          </cell>
          <cell r="U16">
            <v>3663.7</v>
          </cell>
        </row>
        <row r="17">
          <cell r="M17" t="str">
            <v/>
          </cell>
          <cell r="N17" t="str">
            <v>212100</v>
          </cell>
          <cell r="O17" t="str">
            <v>Trade Debtors (Ctrl)</v>
          </cell>
          <cell r="P17" t="str">
            <v/>
          </cell>
          <cell r="Q17" t="str">
            <v>15</v>
          </cell>
          <cell r="R17" t="str">
            <v>USD</v>
          </cell>
          <cell r="S17">
            <v>-4437.8999999999996</v>
          </cell>
          <cell r="T17" t="str">
            <v>INR</v>
          </cell>
          <cell r="U17">
            <v>-383425.92</v>
          </cell>
        </row>
        <row r="18">
          <cell r="M18" t="str">
            <v/>
          </cell>
          <cell r="N18" t="str">
            <v>212100</v>
          </cell>
          <cell r="O18" t="str">
            <v>Trade Debtors (Ctrl)</v>
          </cell>
          <cell r="P18" t="str">
            <v/>
          </cell>
          <cell r="Q18" t="str">
            <v>15</v>
          </cell>
          <cell r="R18" t="str">
            <v>USD</v>
          </cell>
          <cell r="S18">
            <v>-1102.02</v>
          </cell>
          <cell r="T18" t="str">
            <v>INR</v>
          </cell>
          <cell r="U18">
            <v>-94695.18</v>
          </cell>
        </row>
        <row r="19">
          <cell r="M19" t="str">
            <v/>
          </cell>
          <cell r="N19" t="str">
            <v>212100</v>
          </cell>
          <cell r="O19" t="str">
            <v>Trade Debtors (Ctrl)</v>
          </cell>
          <cell r="P19" t="str">
            <v/>
          </cell>
          <cell r="Q19" t="str">
            <v>15</v>
          </cell>
          <cell r="R19" t="str">
            <v>USD</v>
          </cell>
          <cell r="S19">
            <v>-2932.84</v>
          </cell>
          <cell r="T19" t="str">
            <v>INR</v>
          </cell>
          <cell r="U19">
            <v>-256665.53</v>
          </cell>
        </row>
        <row r="20">
          <cell r="M20" t="str">
            <v/>
          </cell>
          <cell r="N20" t="str">
            <v>212100</v>
          </cell>
          <cell r="O20" t="str">
            <v>Trade Debtors (Ctrl)</v>
          </cell>
          <cell r="P20" t="str">
            <v/>
          </cell>
          <cell r="Q20" t="str">
            <v>15</v>
          </cell>
          <cell r="R20" t="str">
            <v>USD</v>
          </cell>
          <cell r="S20">
            <v>-1731.27</v>
          </cell>
          <cell r="T20" t="str">
            <v>INR</v>
          </cell>
          <cell r="U20">
            <v>-152682.03</v>
          </cell>
        </row>
        <row r="21">
          <cell r="M21" t="str">
            <v/>
          </cell>
          <cell r="N21" t="str">
            <v>212100</v>
          </cell>
          <cell r="O21" t="str">
            <v>Trade Debtors (Ctrl)</v>
          </cell>
          <cell r="P21" t="str">
            <v/>
          </cell>
          <cell r="Q21" t="str">
            <v>15</v>
          </cell>
          <cell r="R21" t="str">
            <v>USD</v>
          </cell>
          <cell r="S21">
            <v>-1968.44</v>
          </cell>
          <cell r="T21" t="str">
            <v>INR</v>
          </cell>
          <cell r="U21">
            <v>-173229.39</v>
          </cell>
        </row>
        <row r="22">
          <cell r="M22" t="str">
            <v/>
          </cell>
          <cell r="N22" t="str">
            <v>212100</v>
          </cell>
          <cell r="O22" t="str">
            <v>Trade Debtors (Ctrl)</v>
          </cell>
          <cell r="P22" t="str">
            <v/>
          </cell>
          <cell r="Q22" t="str">
            <v>15</v>
          </cell>
          <cell r="R22" t="str">
            <v>USD</v>
          </cell>
          <cell r="S22">
            <v>-8339.84</v>
          </cell>
          <cell r="T22" t="str">
            <v>INR</v>
          </cell>
          <cell r="U22">
            <v>-729855.51</v>
          </cell>
        </row>
        <row r="23">
          <cell r="M23" t="str">
            <v/>
          </cell>
          <cell r="N23" t="str">
            <v>212100</v>
          </cell>
          <cell r="O23" t="str">
            <v>Trade Debtors (Ctrl)</v>
          </cell>
          <cell r="P23" t="str">
            <v/>
          </cell>
          <cell r="Q23" t="str">
            <v>15</v>
          </cell>
          <cell r="R23" t="str">
            <v>USD</v>
          </cell>
          <cell r="S23">
            <v>-10455.66</v>
          </cell>
          <cell r="T23" t="str">
            <v>INR</v>
          </cell>
          <cell r="U23">
            <v>-920133.52</v>
          </cell>
        </row>
        <row r="24">
          <cell r="M24" t="str">
            <v>6779ZR25000004</v>
          </cell>
          <cell r="N24" t="str">
            <v>212100</v>
          </cell>
          <cell r="O24" t="str">
            <v>Trade Debtors (Ctrl)</v>
          </cell>
          <cell r="P24" t="str">
            <v/>
          </cell>
          <cell r="Q24" t="str">
            <v>01</v>
          </cell>
          <cell r="R24" t="str">
            <v>INR</v>
          </cell>
          <cell r="S24">
            <v>1</v>
          </cell>
          <cell r="T24" t="str">
            <v>INR</v>
          </cell>
          <cell r="U24">
            <v>1</v>
          </cell>
        </row>
        <row r="25">
          <cell r="M25" t="str">
            <v>6779ZP25000099</v>
          </cell>
          <cell r="N25" t="str">
            <v>212100</v>
          </cell>
          <cell r="O25" t="str">
            <v>Trade Debtors (Ctrl)</v>
          </cell>
          <cell r="P25" t="str">
            <v/>
          </cell>
          <cell r="Q25" t="str">
            <v>11</v>
          </cell>
          <cell r="R25" t="str">
            <v>INR</v>
          </cell>
          <cell r="S25">
            <v>-1</v>
          </cell>
          <cell r="T25" t="str">
            <v>INR</v>
          </cell>
          <cell r="U25">
            <v>-1</v>
          </cell>
        </row>
        <row r="26">
          <cell r="M26" t="str">
            <v>KNOCK OFF ENTRY</v>
          </cell>
          <cell r="N26" t="str">
            <v>212100</v>
          </cell>
          <cell r="O26" t="str">
            <v>Trade Debtors (Ctrl)</v>
          </cell>
          <cell r="P26" t="str">
            <v/>
          </cell>
          <cell r="Q26" t="str">
            <v>15</v>
          </cell>
          <cell r="R26" t="str">
            <v>USD</v>
          </cell>
          <cell r="S26">
            <v>0</v>
          </cell>
          <cell r="T26" t="str">
            <v>INR</v>
          </cell>
          <cell r="U26">
            <v>0</v>
          </cell>
        </row>
        <row r="27">
          <cell r="M27" t="str">
            <v>KNOCK OFF ENTRY</v>
          </cell>
          <cell r="N27" t="str">
            <v>212100</v>
          </cell>
          <cell r="O27" t="str">
            <v>Trade Debtors (Ctrl)</v>
          </cell>
          <cell r="P27" t="str">
            <v/>
          </cell>
          <cell r="Q27" t="str">
            <v>08</v>
          </cell>
          <cell r="R27" t="str">
            <v>USD</v>
          </cell>
          <cell r="S27">
            <v>1166.5899999999999</v>
          </cell>
          <cell r="T27" t="str">
            <v>INR</v>
          </cell>
          <cell r="U27">
            <v>101402.13</v>
          </cell>
        </row>
        <row r="28">
          <cell r="M28" t="str">
            <v>KNOCK OFF ENTRY</v>
          </cell>
          <cell r="N28" t="str">
            <v>212100</v>
          </cell>
          <cell r="O28" t="str">
            <v>Trade Debtors (Ctrl)</v>
          </cell>
          <cell r="P28" t="str">
            <v/>
          </cell>
          <cell r="Q28" t="str">
            <v>15</v>
          </cell>
          <cell r="R28" t="str">
            <v>USD</v>
          </cell>
          <cell r="S28">
            <v>-1166.5899999999999</v>
          </cell>
          <cell r="T28" t="str">
            <v>INR</v>
          </cell>
          <cell r="U28">
            <v>-101402.13</v>
          </cell>
        </row>
        <row r="29">
          <cell r="M29" t="str">
            <v>KNOCK OFF ENTRY</v>
          </cell>
          <cell r="N29" t="str">
            <v>212100</v>
          </cell>
          <cell r="O29" t="str">
            <v>Trade Debtors (Ctrl)</v>
          </cell>
          <cell r="P29" t="str">
            <v/>
          </cell>
          <cell r="Q29" t="str">
            <v>08</v>
          </cell>
          <cell r="R29" t="str">
            <v>USD</v>
          </cell>
          <cell r="S29">
            <v>1143.1199999999999</v>
          </cell>
          <cell r="T29" t="str">
            <v>INR</v>
          </cell>
          <cell r="U29">
            <v>99362.07</v>
          </cell>
        </row>
        <row r="30">
          <cell r="M30" t="str">
            <v>KNOCK OFF ENTRY</v>
          </cell>
          <cell r="N30" t="str">
            <v>212100</v>
          </cell>
          <cell r="O30" t="str">
            <v>Trade Debtors (Ctrl)</v>
          </cell>
          <cell r="P30" t="str">
            <v/>
          </cell>
          <cell r="Q30" t="str">
            <v>15</v>
          </cell>
          <cell r="R30" t="str">
            <v>USD</v>
          </cell>
          <cell r="S30">
            <v>-1143.1199999999999</v>
          </cell>
          <cell r="T30" t="str">
            <v>INR</v>
          </cell>
          <cell r="U30">
            <v>-99362.07</v>
          </cell>
        </row>
        <row r="31">
          <cell r="M31">
            <v>256779413144</v>
          </cell>
          <cell r="N31" t="str">
            <v>212100</v>
          </cell>
          <cell r="O31" t="str">
            <v>Trade Debtors (Ctrl)</v>
          </cell>
          <cell r="P31" t="str">
            <v/>
          </cell>
          <cell r="Q31" t="str">
            <v>01</v>
          </cell>
          <cell r="R31" t="str">
            <v>INR</v>
          </cell>
          <cell r="S31">
            <v>100000</v>
          </cell>
          <cell r="T31" t="str">
            <v>INR</v>
          </cell>
          <cell r="U31">
            <v>100000</v>
          </cell>
        </row>
        <row r="32">
          <cell r="M32">
            <v>256779414356</v>
          </cell>
          <cell r="N32" t="str">
            <v>212100</v>
          </cell>
          <cell r="O32" t="str">
            <v>Trade Debtors (Ctrl)</v>
          </cell>
          <cell r="P32" t="str">
            <v/>
          </cell>
          <cell r="Q32" t="str">
            <v>01</v>
          </cell>
          <cell r="R32" t="str">
            <v>INR</v>
          </cell>
          <cell r="S32">
            <v>100000</v>
          </cell>
          <cell r="T32" t="str">
            <v>INR</v>
          </cell>
          <cell r="U32">
            <v>100000</v>
          </cell>
        </row>
        <row r="33">
          <cell r="M33">
            <v>256779414914</v>
          </cell>
          <cell r="N33" t="str">
            <v>212100</v>
          </cell>
          <cell r="O33" t="str">
            <v>Trade Debtors (Ctrl)</v>
          </cell>
          <cell r="P33" t="str">
            <v/>
          </cell>
          <cell r="Q33" t="str">
            <v>01</v>
          </cell>
          <cell r="R33" t="str">
            <v>INR</v>
          </cell>
          <cell r="S33">
            <v>100000</v>
          </cell>
          <cell r="T33" t="str">
            <v>INR</v>
          </cell>
          <cell r="U33">
            <v>100000</v>
          </cell>
        </row>
        <row r="34">
          <cell r="M34">
            <v>256779416026</v>
          </cell>
          <cell r="N34" t="str">
            <v>212100</v>
          </cell>
          <cell r="O34" t="str">
            <v>Trade Debtors (Ctrl)</v>
          </cell>
          <cell r="P34" t="str">
            <v/>
          </cell>
          <cell r="Q34" t="str">
            <v>01</v>
          </cell>
          <cell r="R34" t="str">
            <v>INR</v>
          </cell>
          <cell r="S34">
            <v>100000</v>
          </cell>
          <cell r="T34" t="str">
            <v>INR</v>
          </cell>
          <cell r="U34">
            <v>100000</v>
          </cell>
        </row>
        <row r="35">
          <cell r="M35">
            <v>256779417346</v>
          </cell>
          <cell r="N35" t="str">
            <v>212100</v>
          </cell>
          <cell r="O35" t="str">
            <v>Trade Debtors (Ctrl)</v>
          </cell>
          <cell r="P35" t="str">
            <v/>
          </cell>
          <cell r="Q35" t="str">
            <v>01</v>
          </cell>
          <cell r="R35" t="str">
            <v>INR</v>
          </cell>
          <cell r="S35">
            <v>100000</v>
          </cell>
          <cell r="T35" t="str">
            <v>INR</v>
          </cell>
          <cell r="U35">
            <v>100000</v>
          </cell>
        </row>
        <row r="36">
          <cell r="M36">
            <v>256779418775</v>
          </cell>
          <cell r="N36" t="str">
            <v>212100</v>
          </cell>
          <cell r="O36" t="str">
            <v>Trade Debtors (Ctrl)</v>
          </cell>
          <cell r="P36" t="str">
            <v/>
          </cell>
          <cell r="Q36" t="str">
            <v>01</v>
          </cell>
          <cell r="R36" t="str">
            <v>INR</v>
          </cell>
          <cell r="S36">
            <v>100000</v>
          </cell>
          <cell r="T36" t="str">
            <v>INR</v>
          </cell>
          <cell r="U36">
            <v>100000</v>
          </cell>
        </row>
        <row r="37">
          <cell r="M37">
            <v>256779419968</v>
          </cell>
          <cell r="N37" t="str">
            <v>212100</v>
          </cell>
          <cell r="O37" t="str">
            <v>Trade Debtors (Ctrl)</v>
          </cell>
          <cell r="P37" t="str">
            <v/>
          </cell>
          <cell r="Q37" t="str">
            <v>01</v>
          </cell>
          <cell r="R37" t="str">
            <v>INR</v>
          </cell>
          <cell r="S37">
            <v>100000</v>
          </cell>
          <cell r="T37" t="str">
            <v>INR</v>
          </cell>
          <cell r="U37">
            <v>100000</v>
          </cell>
        </row>
        <row r="38">
          <cell r="M38">
            <v>256779413145</v>
          </cell>
          <cell r="N38" t="str">
            <v>212100</v>
          </cell>
          <cell r="O38" t="str">
            <v>Trade Debtors (Ctrl)</v>
          </cell>
          <cell r="P38" t="str">
            <v/>
          </cell>
          <cell r="Q38" t="str">
            <v>01</v>
          </cell>
          <cell r="R38" t="str">
            <v>INR</v>
          </cell>
          <cell r="S38">
            <v>35000</v>
          </cell>
          <cell r="T38" t="str">
            <v>INR</v>
          </cell>
          <cell r="U38">
            <v>35000</v>
          </cell>
        </row>
        <row r="39">
          <cell r="M39">
            <v>256779414357</v>
          </cell>
          <cell r="N39" t="str">
            <v>212100</v>
          </cell>
          <cell r="O39" t="str">
            <v>Trade Debtors (Ctrl)</v>
          </cell>
          <cell r="P39" t="str">
            <v/>
          </cell>
          <cell r="Q39" t="str">
            <v>01</v>
          </cell>
          <cell r="R39" t="str">
            <v>INR</v>
          </cell>
          <cell r="S39">
            <v>35000</v>
          </cell>
          <cell r="T39" t="str">
            <v>INR</v>
          </cell>
          <cell r="U39">
            <v>35000</v>
          </cell>
        </row>
        <row r="40">
          <cell r="M40">
            <v>256779414915</v>
          </cell>
          <cell r="N40" t="str">
            <v>212100</v>
          </cell>
          <cell r="O40" t="str">
            <v>Trade Debtors (Ctrl)</v>
          </cell>
          <cell r="P40" t="str">
            <v/>
          </cell>
          <cell r="Q40" t="str">
            <v>01</v>
          </cell>
          <cell r="R40" t="str">
            <v>INR</v>
          </cell>
          <cell r="S40">
            <v>35000</v>
          </cell>
          <cell r="T40" t="str">
            <v>INR</v>
          </cell>
          <cell r="U40">
            <v>35000</v>
          </cell>
        </row>
        <row r="41">
          <cell r="M41">
            <v>256779416027</v>
          </cell>
          <cell r="N41" t="str">
            <v>212100</v>
          </cell>
          <cell r="O41" t="str">
            <v>Trade Debtors (Ctrl)</v>
          </cell>
          <cell r="P41" t="str">
            <v/>
          </cell>
          <cell r="Q41" t="str">
            <v>01</v>
          </cell>
          <cell r="R41" t="str">
            <v>INR</v>
          </cell>
          <cell r="S41">
            <v>35000</v>
          </cell>
          <cell r="T41" t="str">
            <v>INR</v>
          </cell>
          <cell r="U41">
            <v>35000</v>
          </cell>
        </row>
        <row r="42">
          <cell r="M42">
            <v>256779417347</v>
          </cell>
          <cell r="N42" t="str">
            <v>212100</v>
          </cell>
          <cell r="O42" t="str">
            <v>Trade Debtors (Ctrl)</v>
          </cell>
          <cell r="P42" t="str">
            <v/>
          </cell>
          <cell r="Q42" t="str">
            <v>01</v>
          </cell>
          <cell r="R42" t="str">
            <v>INR</v>
          </cell>
          <cell r="S42">
            <v>35000</v>
          </cell>
          <cell r="T42" t="str">
            <v>INR</v>
          </cell>
          <cell r="U42">
            <v>35000</v>
          </cell>
        </row>
        <row r="43">
          <cell r="M43">
            <v>256779418776</v>
          </cell>
          <cell r="N43" t="str">
            <v>212100</v>
          </cell>
          <cell r="O43" t="str">
            <v>Trade Debtors (Ctrl)</v>
          </cell>
          <cell r="P43" t="str">
            <v/>
          </cell>
          <cell r="Q43" t="str">
            <v>01</v>
          </cell>
          <cell r="R43" t="str">
            <v>INR</v>
          </cell>
          <cell r="S43">
            <v>35000</v>
          </cell>
          <cell r="T43" t="str">
            <v>INR</v>
          </cell>
          <cell r="U43">
            <v>35000</v>
          </cell>
        </row>
        <row r="44">
          <cell r="M44">
            <v>256779419969</v>
          </cell>
          <cell r="N44" t="str">
            <v>212100</v>
          </cell>
          <cell r="O44" t="str">
            <v>Trade Debtors (Ctrl)</v>
          </cell>
          <cell r="P44" t="str">
            <v/>
          </cell>
          <cell r="Q44" t="str">
            <v>01</v>
          </cell>
          <cell r="R44" t="str">
            <v>INR</v>
          </cell>
          <cell r="S44">
            <v>35000</v>
          </cell>
          <cell r="T44" t="str">
            <v>INR</v>
          </cell>
          <cell r="U44">
            <v>35000</v>
          </cell>
        </row>
        <row r="45">
          <cell r="M45">
            <v>256779421709</v>
          </cell>
          <cell r="N45" t="str">
            <v>212100</v>
          </cell>
          <cell r="O45" t="str">
            <v>Trade Debtors (Ctrl)</v>
          </cell>
          <cell r="P45" t="str">
            <v/>
          </cell>
          <cell r="Q45" t="str">
            <v>11</v>
          </cell>
          <cell r="R45" t="str">
            <v>INR</v>
          </cell>
          <cell r="S45">
            <v>-200000</v>
          </cell>
          <cell r="T45" t="str">
            <v>INR</v>
          </cell>
          <cell r="U45">
            <v>-200000</v>
          </cell>
        </row>
        <row r="46">
          <cell r="M46">
            <v>256779416887</v>
          </cell>
          <cell r="N46" t="str">
            <v>212100</v>
          </cell>
          <cell r="O46" t="str">
            <v>Trade Debtors (Ctrl)</v>
          </cell>
          <cell r="P46" t="str">
            <v/>
          </cell>
          <cell r="Q46" t="str">
            <v>01</v>
          </cell>
          <cell r="R46" t="str">
            <v>INR</v>
          </cell>
          <cell r="S46">
            <v>200000</v>
          </cell>
          <cell r="T46" t="str">
            <v>INR</v>
          </cell>
          <cell r="U46">
            <v>200000</v>
          </cell>
        </row>
        <row r="47">
          <cell r="M47">
            <v>246779412116</v>
          </cell>
          <cell r="N47" t="str">
            <v>212100</v>
          </cell>
          <cell r="O47" t="str">
            <v>Trade Debtors (Ctrl)</v>
          </cell>
          <cell r="P47" t="str">
            <v/>
          </cell>
          <cell r="Q47" t="str">
            <v>01</v>
          </cell>
          <cell r="R47" t="str">
            <v>USD</v>
          </cell>
          <cell r="S47">
            <v>100</v>
          </cell>
          <cell r="T47" t="str">
            <v>INR</v>
          </cell>
          <cell r="U47">
            <v>8669.1299999999992</v>
          </cell>
        </row>
        <row r="48">
          <cell r="M48">
            <v>246779412119</v>
          </cell>
          <cell r="N48" t="str">
            <v>212100</v>
          </cell>
          <cell r="O48" t="str">
            <v>Trade Debtors (Ctrl)</v>
          </cell>
          <cell r="P48" t="str">
            <v/>
          </cell>
          <cell r="Q48" t="str">
            <v>01</v>
          </cell>
          <cell r="R48" t="str">
            <v>USD</v>
          </cell>
          <cell r="S48">
            <v>100</v>
          </cell>
          <cell r="T48" t="str">
            <v>INR</v>
          </cell>
          <cell r="U48">
            <v>8669.1299999999992</v>
          </cell>
        </row>
        <row r="49">
          <cell r="M49">
            <v>246779412121</v>
          </cell>
          <cell r="N49" t="str">
            <v>212100</v>
          </cell>
          <cell r="O49" t="str">
            <v>Trade Debtors (Ctrl)</v>
          </cell>
          <cell r="P49" t="str">
            <v/>
          </cell>
          <cell r="Q49" t="str">
            <v>01</v>
          </cell>
          <cell r="R49" t="str">
            <v>USD</v>
          </cell>
          <cell r="S49">
            <v>100</v>
          </cell>
          <cell r="T49" t="str">
            <v>INR</v>
          </cell>
          <cell r="U49">
            <v>8669.1299999999992</v>
          </cell>
        </row>
        <row r="50">
          <cell r="M50">
            <v>256779413231</v>
          </cell>
          <cell r="N50" t="str">
            <v>212100</v>
          </cell>
          <cell r="O50" t="str">
            <v>Trade Debtors (Ctrl)</v>
          </cell>
          <cell r="P50" t="str">
            <v/>
          </cell>
          <cell r="Q50" t="str">
            <v>01</v>
          </cell>
          <cell r="R50" t="str">
            <v>USD</v>
          </cell>
          <cell r="S50">
            <v>100</v>
          </cell>
          <cell r="T50" t="str">
            <v>INR</v>
          </cell>
          <cell r="U50">
            <v>8598.3700000000008</v>
          </cell>
        </row>
        <row r="51">
          <cell r="M51">
            <v>256779413841</v>
          </cell>
          <cell r="N51" t="str">
            <v>212100</v>
          </cell>
          <cell r="O51" t="str">
            <v>Trade Debtors (Ctrl)</v>
          </cell>
          <cell r="P51" t="str">
            <v/>
          </cell>
          <cell r="Q51" t="str">
            <v>01</v>
          </cell>
          <cell r="R51" t="str">
            <v>USD</v>
          </cell>
          <cell r="S51">
            <v>100</v>
          </cell>
          <cell r="T51" t="str">
            <v>INR</v>
          </cell>
          <cell r="U51">
            <v>8598.3700000000008</v>
          </cell>
        </row>
        <row r="52">
          <cell r="M52">
            <v>256779413847</v>
          </cell>
          <cell r="N52" t="str">
            <v>212100</v>
          </cell>
          <cell r="O52" t="str">
            <v>Trade Debtors (Ctrl)</v>
          </cell>
          <cell r="P52" t="str">
            <v/>
          </cell>
          <cell r="Q52" t="str">
            <v>01</v>
          </cell>
          <cell r="R52" t="str">
            <v>USD</v>
          </cell>
          <cell r="S52">
            <v>100</v>
          </cell>
          <cell r="T52" t="str">
            <v>INR</v>
          </cell>
          <cell r="U52">
            <v>8598.3700000000008</v>
          </cell>
        </row>
        <row r="53">
          <cell r="M53">
            <v>256779413848</v>
          </cell>
          <cell r="N53" t="str">
            <v>212100</v>
          </cell>
          <cell r="O53" t="str">
            <v>Trade Debtors (Ctrl)</v>
          </cell>
          <cell r="P53" t="str">
            <v/>
          </cell>
          <cell r="Q53" t="str">
            <v>01</v>
          </cell>
          <cell r="R53" t="str">
            <v>USD</v>
          </cell>
          <cell r="S53">
            <v>100</v>
          </cell>
          <cell r="T53" t="str">
            <v>INR</v>
          </cell>
          <cell r="U53">
            <v>8598.3700000000008</v>
          </cell>
        </row>
        <row r="54">
          <cell r="M54">
            <v>256779416012</v>
          </cell>
          <cell r="N54" t="str">
            <v>212100</v>
          </cell>
          <cell r="O54" t="str">
            <v>Trade Debtors (Ctrl)</v>
          </cell>
          <cell r="P54" t="str">
            <v/>
          </cell>
          <cell r="Q54" t="str">
            <v>01</v>
          </cell>
          <cell r="R54" t="str">
            <v>USD</v>
          </cell>
          <cell r="S54">
            <v>100</v>
          </cell>
          <cell r="T54" t="str">
            <v>INR</v>
          </cell>
          <cell r="U54">
            <v>8600.07</v>
          </cell>
        </row>
        <row r="55">
          <cell r="M55">
            <v>246779411515</v>
          </cell>
          <cell r="N55" t="str">
            <v>212100</v>
          </cell>
          <cell r="O55" t="str">
            <v>Trade Debtors (Ctrl)</v>
          </cell>
          <cell r="P55" t="str">
            <v/>
          </cell>
          <cell r="Q55" t="str">
            <v>01</v>
          </cell>
          <cell r="R55" t="str">
            <v>USD</v>
          </cell>
          <cell r="S55">
            <v>100</v>
          </cell>
          <cell r="T55" t="str">
            <v>INR</v>
          </cell>
          <cell r="U55">
            <v>8669.1299999999992</v>
          </cell>
        </row>
        <row r="56">
          <cell r="M56">
            <v>256779414731</v>
          </cell>
          <cell r="N56" t="str">
            <v>212100</v>
          </cell>
          <cell r="O56" t="str">
            <v>Trade Debtors (Ctrl)</v>
          </cell>
          <cell r="P56" t="str">
            <v/>
          </cell>
          <cell r="Q56" t="str">
            <v>01</v>
          </cell>
          <cell r="R56" t="str">
            <v>USD</v>
          </cell>
          <cell r="S56">
            <v>100</v>
          </cell>
          <cell r="T56" t="str">
            <v>INR</v>
          </cell>
          <cell r="U56">
            <v>8549.08</v>
          </cell>
        </row>
        <row r="57">
          <cell r="M57">
            <v>256779414732</v>
          </cell>
          <cell r="N57" t="str">
            <v>212100</v>
          </cell>
          <cell r="O57" t="str">
            <v>Trade Debtors (Ctrl)</v>
          </cell>
          <cell r="P57" t="str">
            <v/>
          </cell>
          <cell r="Q57" t="str">
            <v>01</v>
          </cell>
          <cell r="R57" t="str">
            <v>USD</v>
          </cell>
          <cell r="S57">
            <v>100</v>
          </cell>
          <cell r="T57" t="str">
            <v>INR</v>
          </cell>
          <cell r="U57">
            <v>8549.08</v>
          </cell>
        </row>
        <row r="58">
          <cell r="M58">
            <v>256779414733</v>
          </cell>
          <cell r="N58" t="str">
            <v>212100</v>
          </cell>
          <cell r="O58" t="str">
            <v>Trade Debtors (Ctrl)</v>
          </cell>
          <cell r="P58" t="str">
            <v/>
          </cell>
          <cell r="Q58" t="str">
            <v>01</v>
          </cell>
          <cell r="R58" t="str">
            <v>USD</v>
          </cell>
          <cell r="S58">
            <v>100</v>
          </cell>
          <cell r="T58" t="str">
            <v>INR</v>
          </cell>
          <cell r="U58">
            <v>8549.08</v>
          </cell>
        </row>
        <row r="59">
          <cell r="M59">
            <v>256779414734</v>
          </cell>
          <cell r="N59" t="str">
            <v>212100</v>
          </cell>
          <cell r="O59" t="str">
            <v>Trade Debtors (Ctrl)</v>
          </cell>
          <cell r="P59" t="str">
            <v/>
          </cell>
          <cell r="Q59" t="str">
            <v>01</v>
          </cell>
          <cell r="R59" t="str">
            <v>USD</v>
          </cell>
          <cell r="S59">
            <v>100</v>
          </cell>
          <cell r="T59" t="str">
            <v>INR</v>
          </cell>
          <cell r="U59">
            <v>8549.08</v>
          </cell>
        </row>
        <row r="60">
          <cell r="M60">
            <v>256779414735</v>
          </cell>
          <cell r="N60" t="str">
            <v>212100</v>
          </cell>
          <cell r="O60" t="str">
            <v>Trade Debtors (Ctrl)</v>
          </cell>
          <cell r="P60" t="str">
            <v/>
          </cell>
          <cell r="Q60" t="str">
            <v>01</v>
          </cell>
          <cell r="R60" t="str">
            <v>USD</v>
          </cell>
          <cell r="S60">
            <v>100</v>
          </cell>
          <cell r="T60" t="str">
            <v>INR</v>
          </cell>
          <cell r="U60">
            <v>8549.08</v>
          </cell>
        </row>
        <row r="61">
          <cell r="M61">
            <v>256779417434</v>
          </cell>
          <cell r="N61" t="str">
            <v>212100</v>
          </cell>
          <cell r="O61" t="str">
            <v>Trade Debtors (Ctrl)</v>
          </cell>
          <cell r="P61" t="str">
            <v/>
          </cell>
          <cell r="Q61" t="str">
            <v>01</v>
          </cell>
          <cell r="R61" t="str">
            <v>USD</v>
          </cell>
          <cell r="S61">
            <v>100</v>
          </cell>
          <cell r="T61" t="str">
            <v>INR</v>
          </cell>
          <cell r="U61">
            <v>8751.43</v>
          </cell>
        </row>
        <row r="62">
          <cell r="M62">
            <v>256779418169</v>
          </cell>
          <cell r="N62" t="str">
            <v>212100</v>
          </cell>
          <cell r="O62" t="str">
            <v>Trade Debtors (Ctrl)</v>
          </cell>
          <cell r="P62" t="str">
            <v/>
          </cell>
          <cell r="Q62" t="str">
            <v>01</v>
          </cell>
          <cell r="R62" t="str">
            <v>USD</v>
          </cell>
          <cell r="S62">
            <v>100</v>
          </cell>
          <cell r="T62" t="str">
            <v>INR</v>
          </cell>
          <cell r="U62">
            <v>8819.08</v>
          </cell>
        </row>
        <row r="63">
          <cell r="M63">
            <v>256779418170</v>
          </cell>
          <cell r="N63" t="str">
            <v>212100</v>
          </cell>
          <cell r="O63" t="str">
            <v>Trade Debtors (Ctrl)</v>
          </cell>
          <cell r="P63" t="str">
            <v/>
          </cell>
          <cell r="Q63" t="str">
            <v>01</v>
          </cell>
          <cell r="R63" t="str">
            <v>USD</v>
          </cell>
          <cell r="S63">
            <v>100</v>
          </cell>
          <cell r="T63" t="str">
            <v>INR</v>
          </cell>
          <cell r="U63">
            <v>8819.08</v>
          </cell>
        </row>
        <row r="64">
          <cell r="M64">
            <v>246779410343</v>
          </cell>
          <cell r="N64" t="str">
            <v>212100</v>
          </cell>
          <cell r="O64" t="str">
            <v>Trade Debtors (Ctrl)</v>
          </cell>
          <cell r="P64" t="str">
            <v/>
          </cell>
          <cell r="Q64" t="str">
            <v>01</v>
          </cell>
          <cell r="R64" t="str">
            <v>USD</v>
          </cell>
          <cell r="S64">
            <v>1700</v>
          </cell>
          <cell r="T64" t="str">
            <v>INR</v>
          </cell>
          <cell r="U64">
            <v>146716.22</v>
          </cell>
        </row>
        <row r="65">
          <cell r="M65">
            <v>246779410350</v>
          </cell>
          <cell r="N65" t="str">
            <v>212100</v>
          </cell>
          <cell r="O65" t="str">
            <v>Trade Debtors (Ctrl)</v>
          </cell>
          <cell r="P65" t="str">
            <v/>
          </cell>
          <cell r="Q65" t="str">
            <v>01</v>
          </cell>
          <cell r="R65" t="str">
            <v>USD</v>
          </cell>
          <cell r="S65">
            <v>1750</v>
          </cell>
          <cell r="T65" t="str">
            <v>INR</v>
          </cell>
          <cell r="U65">
            <v>151031.41</v>
          </cell>
        </row>
        <row r="66">
          <cell r="M66">
            <v>246779410356</v>
          </cell>
          <cell r="N66" t="str">
            <v>212100</v>
          </cell>
          <cell r="O66" t="str">
            <v>Trade Debtors (Ctrl)</v>
          </cell>
          <cell r="P66" t="str">
            <v/>
          </cell>
          <cell r="Q66" t="str">
            <v>01</v>
          </cell>
          <cell r="R66" t="str">
            <v>USD</v>
          </cell>
          <cell r="S66">
            <v>1750</v>
          </cell>
          <cell r="T66" t="str">
            <v>INR</v>
          </cell>
          <cell r="U66">
            <v>151031.41</v>
          </cell>
        </row>
        <row r="67">
          <cell r="M67">
            <v>246779410362</v>
          </cell>
          <cell r="N67" t="str">
            <v>212100</v>
          </cell>
          <cell r="O67" t="str">
            <v>Trade Debtors (Ctrl)</v>
          </cell>
          <cell r="P67" t="str">
            <v/>
          </cell>
          <cell r="Q67" t="str">
            <v>01</v>
          </cell>
          <cell r="R67" t="str">
            <v>USD</v>
          </cell>
          <cell r="S67">
            <v>1700</v>
          </cell>
          <cell r="T67" t="str">
            <v>INR</v>
          </cell>
          <cell r="U67">
            <v>146716.22</v>
          </cell>
        </row>
        <row r="68">
          <cell r="M68">
            <v>246779410871</v>
          </cell>
          <cell r="N68" t="str">
            <v>212100</v>
          </cell>
          <cell r="O68" t="str">
            <v>Trade Debtors (Ctrl)</v>
          </cell>
          <cell r="P68" t="str">
            <v/>
          </cell>
          <cell r="Q68" t="str">
            <v>01</v>
          </cell>
          <cell r="R68" t="str">
            <v>USD</v>
          </cell>
          <cell r="S68">
            <v>42.51</v>
          </cell>
          <cell r="T68" t="str">
            <v>INR</v>
          </cell>
          <cell r="U68">
            <v>3685.25</v>
          </cell>
        </row>
        <row r="69">
          <cell r="M69">
            <v>246779410893</v>
          </cell>
          <cell r="N69" t="str">
            <v>212100</v>
          </cell>
          <cell r="O69" t="str">
            <v>Trade Debtors (Ctrl)</v>
          </cell>
          <cell r="P69" t="str">
            <v/>
          </cell>
          <cell r="Q69" t="str">
            <v>01</v>
          </cell>
          <cell r="R69" t="str">
            <v>USD</v>
          </cell>
          <cell r="S69">
            <v>177.18</v>
          </cell>
          <cell r="T69" t="str">
            <v>INR</v>
          </cell>
          <cell r="U69">
            <v>15359.96</v>
          </cell>
        </row>
        <row r="70">
          <cell r="M70">
            <v>256779421983</v>
          </cell>
          <cell r="N70" t="str">
            <v>212100</v>
          </cell>
          <cell r="O70" t="str">
            <v>Trade Debtors (Ctrl)</v>
          </cell>
          <cell r="P70" t="str">
            <v/>
          </cell>
          <cell r="Q70" t="str">
            <v>11</v>
          </cell>
          <cell r="R70" t="str">
            <v>USD</v>
          </cell>
          <cell r="S70">
            <v>-930.14</v>
          </cell>
          <cell r="T70" t="str">
            <v>INR</v>
          </cell>
          <cell r="U70">
            <v>-82029.759999999995</v>
          </cell>
        </row>
        <row r="71">
          <cell r="M71">
            <v>246779410376</v>
          </cell>
          <cell r="N71" t="str">
            <v>212100</v>
          </cell>
          <cell r="O71" t="str">
            <v>Trade Debtors (Ctrl)</v>
          </cell>
          <cell r="P71" t="str">
            <v/>
          </cell>
          <cell r="Q71" t="str">
            <v>01</v>
          </cell>
          <cell r="R71" t="str">
            <v>USD</v>
          </cell>
          <cell r="S71">
            <v>711.35</v>
          </cell>
          <cell r="T71" t="str">
            <v>INR</v>
          </cell>
          <cell r="U71">
            <v>61667.83</v>
          </cell>
        </row>
        <row r="72">
          <cell r="M72">
            <v>246779410401</v>
          </cell>
          <cell r="N72" t="str">
            <v>212100</v>
          </cell>
          <cell r="O72" t="str">
            <v>Trade Debtors (Ctrl)</v>
          </cell>
          <cell r="P72" t="str">
            <v/>
          </cell>
          <cell r="Q72" t="str">
            <v>01</v>
          </cell>
          <cell r="R72" t="str">
            <v>USD</v>
          </cell>
          <cell r="S72">
            <v>1298.96</v>
          </cell>
          <cell r="T72" t="str">
            <v>INR</v>
          </cell>
          <cell r="U72">
            <v>112608.48</v>
          </cell>
        </row>
        <row r="73">
          <cell r="M73">
            <v>246779410425</v>
          </cell>
          <cell r="N73" t="str">
            <v>212100</v>
          </cell>
          <cell r="O73" t="str">
            <v>Trade Debtors (Ctrl)</v>
          </cell>
          <cell r="P73" t="str">
            <v/>
          </cell>
          <cell r="Q73" t="str">
            <v>01</v>
          </cell>
          <cell r="R73" t="str">
            <v>USD</v>
          </cell>
          <cell r="S73">
            <v>1687.21</v>
          </cell>
          <cell r="T73" t="str">
            <v>INR</v>
          </cell>
          <cell r="U73">
            <v>146266.35999999999</v>
          </cell>
        </row>
        <row r="74">
          <cell r="M74">
            <v>246779411621</v>
          </cell>
          <cell r="N74" t="str">
            <v>212100</v>
          </cell>
          <cell r="O74" t="str">
            <v>Trade Debtors (Ctrl)</v>
          </cell>
          <cell r="P74" t="str">
            <v/>
          </cell>
          <cell r="Q74" t="str">
            <v>01</v>
          </cell>
          <cell r="R74" t="str">
            <v>USD</v>
          </cell>
          <cell r="S74">
            <v>444.04</v>
          </cell>
          <cell r="T74" t="str">
            <v>INR</v>
          </cell>
          <cell r="U74">
            <v>38494.39</v>
          </cell>
        </row>
        <row r="75">
          <cell r="M75">
            <v>246779411760</v>
          </cell>
          <cell r="N75" t="str">
            <v>212100</v>
          </cell>
          <cell r="O75" t="str">
            <v>Trade Debtors (Ctrl)</v>
          </cell>
          <cell r="P75" t="str">
            <v/>
          </cell>
          <cell r="Q75" t="str">
            <v>01</v>
          </cell>
          <cell r="R75" t="str">
            <v>USD</v>
          </cell>
          <cell r="S75">
            <v>520.16999999999996</v>
          </cell>
          <cell r="T75" t="str">
            <v>INR</v>
          </cell>
          <cell r="U75">
            <v>45094.19</v>
          </cell>
        </row>
        <row r="76">
          <cell r="M76">
            <v>246779412066</v>
          </cell>
          <cell r="N76" t="str">
            <v>212100</v>
          </cell>
          <cell r="O76" t="str">
            <v>Trade Debtors (Ctrl)</v>
          </cell>
          <cell r="P76" t="str">
            <v/>
          </cell>
          <cell r="Q76" t="str">
            <v>01</v>
          </cell>
          <cell r="R76" t="str">
            <v>USD</v>
          </cell>
          <cell r="S76">
            <v>66.5</v>
          </cell>
          <cell r="T76" t="str">
            <v>INR</v>
          </cell>
          <cell r="U76">
            <v>5764.97</v>
          </cell>
        </row>
        <row r="77">
          <cell r="M77">
            <v>246779411937</v>
          </cell>
          <cell r="N77" t="str">
            <v>212100</v>
          </cell>
          <cell r="O77" t="str">
            <v>Trade Debtors (Ctrl)</v>
          </cell>
          <cell r="P77" t="str">
            <v/>
          </cell>
          <cell r="Q77" t="str">
            <v>01</v>
          </cell>
          <cell r="R77" t="str">
            <v>USD</v>
          </cell>
          <cell r="S77">
            <v>7.27</v>
          </cell>
          <cell r="T77" t="str">
            <v>INR</v>
          </cell>
          <cell r="U77">
            <v>630.25</v>
          </cell>
        </row>
        <row r="78">
          <cell r="M78">
            <v>246779411938</v>
          </cell>
          <cell r="N78" t="str">
            <v>212100</v>
          </cell>
          <cell r="O78" t="str">
            <v>Trade Debtors (Ctrl)</v>
          </cell>
          <cell r="P78" t="str">
            <v/>
          </cell>
          <cell r="Q78" t="str">
            <v>01</v>
          </cell>
          <cell r="R78" t="str">
            <v>USD</v>
          </cell>
          <cell r="S78">
            <v>53.26</v>
          </cell>
          <cell r="T78" t="str">
            <v>INR</v>
          </cell>
          <cell r="U78">
            <v>4617.18</v>
          </cell>
        </row>
        <row r="79">
          <cell r="M79">
            <v>246779411939</v>
          </cell>
          <cell r="N79" t="str">
            <v>212100</v>
          </cell>
          <cell r="O79" t="str">
            <v>Trade Debtors (Ctrl)</v>
          </cell>
          <cell r="P79" t="str">
            <v/>
          </cell>
          <cell r="Q79" t="str">
            <v>01</v>
          </cell>
          <cell r="R79" t="str">
            <v>USD</v>
          </cell>
          <cell r="S79">
            <v>23.08</v>
          </cell>
          <cell r="T79" t="str">
            <v>INR</v>
          </cell>
          <cell r="U79">
            <v>2000.83</v>
          </cell>
        </row>
        <row r="80">
          <cell r="M80">
            <v>246779411940</v>
          </cell>
          <cell r="N80" t="str">
            <v>212100</v>
          </cell>
          <cell r="O80" t="str">
            <v>Trade Debtors (Ctrl)</v>
          </cell>
          <cell r="P80" t="str">
            <v/>
          </cell>
          <cell r="Q80" t="str">
            <v>01</v>
          </cell>
          <cell r="R80" t="str">
            <v>USD</v>
          </cell>
          <cell r="S80">
            <v>52.73</v>
          </cell>
          <cell r="T80" t="str">
            <v>INR</v>
          </cell>
          <cell r="U80">
            <v>4571.2299999999996</v>
          </cell>
        </row>
        <row r="81">
          <cell r="M81">
            <v>246779411941</v>
          </cell>
          <cell r="N81" t="str">
            <v>212100</v>
          </cell>
          <cell r="O81" t="str">
            <v>Trade Debtors (Ctrl)</v>
          </cell>
          <cell r="P81" t="str">
            <v/>
          </cell>
          <cell r="Q81" t="str">
            <v>01</v>
          </cell>
          <cell r="R81" t="str">
            <v>USD</v>
          </cell>
          <cell r="S81">
            <v>76.02</v>
          </cell>
          <cell r="T81" t="str">
            <v>INR</v>
          </cell>
          <cell r="U81">
            <v>6590.27</v>
          </cell>
        </row>
        <row r="82">
          <cell r="M82">
            <v>256779411152</v>
          </cell>
          <cell r="N82" t="str">
            <v>212100</v>
          </cell>
          <cell r="O82" t="str">
            <v>Trade Debtors (Ctrl)</v>
          </cell>
          <cell r="P82" t="str">
            <v/>
          </cell>
          <cell r="Q82" t="str">
            <v>01</v>
          </cell>
          <cell r="R82" t="str">
            <v>USD</v>
          </cell>
          <cell r="S82">
            <v>164.38</v>
          </cell>
          <cell r="T82" t="str">
            <v>INR</v>
          </cell>
          <cell r="U82">
            <v>14288.21</v>
          </cell>
        </row>
        <row r="83">
          <cell r="M83">
            <v>256779411153</v>
          </cell>
          <cell r="N83" t="str">
            <v>212100</v>
          </cell>
          <cell r="O83" t="str">
            <v>Trade Debtors (Ctrl)</v>
          </cell>
          <cell r="P83" t="str">
            <v/>
          </cell>
          <cell r="Q83" t="str">
            <v>01</v>
          </cell>
          <cell r="R83" t="str">
            <v>USD</v>
          </cell>
          <cell r="S83">
            <v>26.54</v>
          </cell>
          <cell r="T83" t="str">
            <v>INR</v>
          </cell>
          <cell r="U83">
            <v>2306.91</v>
          </cell>
        </row>
        <row r="84">
          <cell r="M84">
            <v>256779411154</v>
          </cell>
          <cell r="N84" t="str">
            <v>212100</v>
          </cell>
          <cell r="O84" t="str">
            <v>Trade Debtors (Ctrl)</v>
          </cell>
          <cell r="P84" t="str">
            <v/>
          </cell>
          <cell r="Q84" t="str">
            <v>01</v>
          </cell>
          <cell r="R84" t="str">
            <v>USD</v>
          </cell>
          <cell r="S84">
            <v>84.26</v>
          </cell>
          <cell r="T84" t="str">
            <v>INR</v>
          </cell>
          <cell r="U84">
            <v>7324.03</v>
          </cell>
        </row>
        <row r="85">
          <cell r="M85">
            <v>256779411155</v>
          </cell>
          <cell r="N85" t="str">
            <v>212100</v>
          </cell>
          <cell r="O85" t="str">
            <v>Trade Debtors (Ctrl)</v>
          </cell>
          <cell r="P85" t="str">
            <v/>
          </cell>
          <cell r="Q85" t="str">
            <v>01</v>
          </cell>
          <cell r="R85" t="str">
            <v>USD</v>
          </cell>
          <cell r="S85">
            <v>36.9</v>
          </cell>
          <cell r="T85" t="str">
            <v>INR</v>
          </cell>
          <cell r="U85">
            <v>3207.42</v>
          </cell>
        </row>
        <row r="86">
          <cell r="M86">
            <v>256779411156</v>
          </cell>
          <cell r="N86" t="str">
            <v>212100</v>
          </cell>
          <cell r="O86" t="str">
            <v>Trade Debtors (Ctrl)</v>
          </cell>
          <cell r="P86" t="str">
            <v/>
          </cell>
          <cell r="Q86" t="str">
            <v>01</v>
          </cell>
          <cell r="R86" t="str">
            <v>USD</v>
          </cell>
          <cell r="S86">
            <v>20.23</v>
          </cell>
          <cell r="T86" t="str">
            <v>INR</v>
          </cell>
          <cell r="U86">
            <v>1758.43</v>
          </cell>
        </row>
        <row r="87">
          <cell r="M87">
            <v>256779411157</v>
          </cell>
          <cell r="N87" t="str">
            <v>212100</v>
          </cell>
          <cell r="O87" t="str">
            <v>Trade Debtors (Ctrl)</v>
          </cell>
          <cell r="P87" t="str">
            <v/>
          </cell>
          <cell r="Q87" t="str">
            <v>01</v>
          </cell>
          <cell r="R87" t="str">
            <v>USD</v>
          </cell>
          <cell r="S87">
            <v>116.32</v>
          </cell>
          <cell r="T87" t="str">
            <v>INR</v>
          </cell>
          <cell r="U87">
            <v>10110.75</v>
          </cell>
        </row>
        <row r="88">
          <cell r="M88">
            <v>256779411565</v>
          </cell>
          <cell r="N88" t="str">
            <v>212100</v>
          </cell>
          <cell r="O88" t="str">
            <v>Trade Debtors (Ctrl)</v>
          </cell>
          <cell r="P88" t="str">
            <v/>
          </cell>
          <cell r="Q88" t="str">
            <v>01</v>
          </cell>
          <cell r="R88" t="str">
            <v>USD</v>
          </cell>
          <cell r="S88">
            <v>22</v>
          </cell>
          <cell r="T88" t="str">
            <v>INR</v>
          </cell>
          <cell r="U88">
            <v>1912.28</v>
          </cell>
        </row>
        <row r="89">
          <cell r="M89">
            <v>256779411566</v>
          </cell>
          <cell r="N89" t="str">
            <v>212100</v>
          </cell>
          <cell r="O89" t="str">
            <v>Trade Debtors (Ctrl)</v>
          </cell>
          <cell r="P89" t="str">
            <v/>
          </cell>
          <cell r="Q89" t="str">
            <v>01</v>
          </cell>
          <cell r="R89" t="str">
            <v>USD</v>
          </cell>
          <cell r="S89">
            <v>4.4000000000000004</v>
          </cell>
          <cell r="T89" t="str">
            <v>INR</v>
          </cell>
          <cell r="U89">
            <v>382.46</v>
          </cell>
        </row>
        <row r="90">
          <cell r="M90">
            <v>256779411567</v>
          </cell>
          <cell r="N90" t="str">
            <v>212100</v>
          </cell>
          <cell r="O90" t="str">
            <v>Trade Debtors (Ctrl)</v>
          </cell>
          <cell r="P90" t="str">
            <v/>
          </cell>
          <cell r="Q90" t="str">
            <v>01</v>
          </cell>
          <cell r="R90" t="str">
            <v>USD</v>
          </cell>
          <cell r="S90">
            <v>5.84</v>
          </cell>
          <cell r="T90" t="str">
            <v>INR</v>
          </cell>
          <cell r="U90">
            <v>507.62</v>
          </cell>
        </row>
        <row r="91">
          <cell r="M91">
            <v>256779411568</v>
          </cell>
          <cell r="N91" t="str">
            <v>212100</v>
          </cell>
          <cell r="O91" t="str">
            <v>Trade Debtors (Ctrl)</v>
          </cell>
          <cell r="P91" t="str">
            <v/>
          </cell>
          <cell r="Q91" t="str">
            <v>01</v>
          </cell>
          <cell r="R91" t="str">
            <v>USD</v>
          </cell>
          <cell r="S91">
            <v>0.8</v>
          </cell>
          <cell r="T91" t="str">
            <v>INR</v>
          </cell>
          <cell r="U91">
            <v>69.540000000000006</v>
          </cell>
        </row>
        <row r="92">
          <cell r="M92">
            <v>256779411569</v>
          </cell>
          <cell r="N92" t="str">
            <v>212100</v>
          </cell>
          <cell r="O92" t="str">
            <v>Trade Debtors (Ctrl)</v>
          </cell>
          <cell r="P92" t="str">
            <v/>
          </cell>
          <cell r="Q92" t="str">
            <v>01</v>
          </cell>
          <cell r="R92" t="str">
            <v>USD</v>
          </cell>
          <cell r="S92">
            <v>13.85</v>
          </cell>
          <cell r="T92" t="str">
            <v>INR</v>
          </cell>
          <cell r="U92">
            <v>1203.8699999999999</v>
          </cell>
        </row>
        <row r="93">
          <cell r="M93">
            <v>256779411570</v>
          </cell>
          <cell r="N93" t="str">
            <v>212100</v>
          </cell>
          <cell r="O93" t="str">
            <v>Trade Debtors (Ctrl)</v>
          </cell>
          <cell r="P93" t="str">
            <v/>
          </cell>
          <cell r="Q93" t="str">
            <v>01</v>
          </cell>
          <cell r="R93" t="str">
            <v>USD</v>
          </cell>
          <cell r="S93">
            <v>18.149999999999999</v>
          </cell>
          <cell r="T93" t="str">
            <v>INR</v>
          </cell>
          <cell r="U93">
            <v>1577.63</v>
          </cell>
        </row>
        <row r="94">
          <cell r="M94">
            <v>256779411571</v>
          </cell>
          <cell r="N94" t="str">
            <v>212100</v>
          </cell>
          <cell r="O94" t="str">
            <v>Trade Debtors (Ctrl)</v>
          </cell>
          <cell r="P94" t="str">
            <v/>
          </cell>
          <cell r="Q94" t="str">
            <v>01</v>
          </cell>
          <cell r="R94" t="str">
            <v>USD</v>
          </cell>
          <cell r="S94">
            <v>21.36</v>
          </cell>
          <cell r="T94" t="str">
            <v>INR</v>
          </cell>
          <cell r="U94">
            <v>1856.65</v>
          </cell>
        </row>
        <row r="95">
          <cell r="M95">
            <v>256779411572</v>
          </cell>
          <cell r="N95" t="str">
            <v>212100</v>
          </cell>
          <cell r="O95" t="str">
            <v>Trade Debtors (Ctrl)</v>
          </cell>
          <cell r="P95" t="str">
            <v/>
          </cell>
          <cell r="Q95" t="str">
            <v>01</v>
          </cell>
          <cell r="R95" t="str">
            <v>USD</v>
          </cell>
          <cell r="S95">
            <v>1.97</v>
          </cell>
          <cell r="T95" t="str">
            <v>INR</v>
          </cell>
          <cell r="U95">
            <v>171.24</v>
          </cell>
        </row>
        <row r="96">
          <cell r="M96">
            <v>256779411573</v>
          </cell>
          <cell r="N96" t="str">
            <v>212100</v>
          </cell>
          <cell r="O96" t="str">
            <v>Trade Debtors (Ctrl)</v>
          </cell>
          <cell r="P96" t="str">
            <v/>
          </cell>
          <cell r="Q96" t="str">
            <v>01</v>
          </cell>
          <cell r="R96" t="str">
            <v>USD</v>
          </cell>
          <cell r="S96">
            <v>24.21</v>
          </cell>
          <cell r="T96" t="str">
            <v>INR</v>
          </cell>
          <cell r="U96">
            <v>2104.38</v>
          </cell>
        </row>
        <row r="97">
          <cell r="M97">
            <v>256779411574</v>
          </cell>
          <cell r="N97" t="str">
            <v>212100</v>
          </cell>
          <cell r="O97" t="str">
            <v>Trade Debtors (Ctrl)</v>
          </cell>
          <cell r="P97" t="str">
            <v/>
          </cell>
          <cell r="Q97" t="str">
            <v>01</v>
          </cell>
          <cell r="R97" t="str">
            <v>USD</v>
          </cell>
          <cell r="S97">
            <v>14.7</v>
          </cell>
          <cell r="T97" t="str">
            <v>INR</v>
          </cell>
          <cell r="U97">
            <v>1277.75</v>
          </cell>
        </row>
        <row r="98">
          <cell r="M98">
            <v>256779411575</v>
          </cell>
          <cell r="N98" t="str">
            <v>212100</v>
          </cell>
          <cell r="O98" t="str">
            <v>Trade Debtors (Ctrl)</v>
          </cell>
          <cell r="P98" t="str">
            <v/>
          </cell>
          <cell r="Q98" t="str">
            <v>01</v>
          </cell>
          <cell r="R98" t="str">
            <v>USD</v>
          </cell>
          <cell r="S98">
            <v>22.35</v>
          </cell>
          <cell r="T98" t="str">
            <v>INR</v>
          </cell>
          <cell r="U98">
            <v>1942.7</v>
          </cell>
        </row>
        <row r="99">
          <cell r="M99">
            <v>256779411576</v>
          </cell>
          <cell r="N99" t="str">
            <v>212100</v>
          </cell>
          <cell r="O99" t="str">
            <v>Trade Debtors (Ctrl)</v>
          </cell>
          <cell r="P99" t="str">
            <v/>
          </cell>
          <cell r="Q99" t="str">
            <v>01</v>
          </cell>
          <cell r="R99" t="str">
            <v>USD</v>
          </cell>
          <cell r="S99">
            <v>21.52</v>
          </cell>
          <cell r="T99" t="str">
            <v>INR</v>
          </cell>
          <cell r="U99">
            <v>1870.56</v>
          </cell>
        </row>
        <row r="100">
          <cell r="M100">
            <v>256779411577</v>
          </cell>
          <cell r="N100" t="str">
            <v>212100</v>
          </cell>
          <cell r="O100" t="str">
            <v>Trade Debtors (Ctrl)</v>
          </cell>
          <cell r="P100" t="str">
            <v/>
          </cell>
          <cell r="Q100" t="str">
            <v>01</v>
          </cell>
          <cell r="R100" t="str">
            <v>USD</v>
          </cell>
          <cell r="S100">
            <v>1.54</v>
          </cell>
          <cell r="T100" t="str">
            <v>INR</v>
          </cell>
          <cell r="U100">
            <v>133.86000000000001</v>
          </cell>
        </row>
        <row r="101">
          <cell r="M101">
            <v>256779411578</v>
          </cell>
          <cell r="N101" t="str">
            <v>212100</v>
          </cell>
          <cell r="O101" t="str">
            <v>Trade Debtors (Ctrl)</v>
          </cell>
          <cell r="P101" t="str">
            <v/>
          </cell>
          <cell r="Q101" t="str">
            <v>01</v>
          </cell>
          <cell r="R101" t="str">
            <v>USD</v>
          </cell>
          <cell r="S101">
            <v>7.19</v>
          </cell>
          <cell r="T101" t="str">
            <v>INR</v>
          </cell>
          <cell r="U101">
            <v>624.97</v>
          </cell>
        </row>
        <row r="102">
          <cell r="M102">
            <v>256779411579</v>
          </cell>
          <cell r="N102" t="str">
            <v>212100</v>
          </cell>
          <cell r="O102" t="str">
            <v>Trade Debtors (Ctrl)</v>
          </cell>
          <cell r="P102" t="str">
            <v/>
          </cell>
          <cell r="Q102" t="str">
            <v>01</v>
          </cell>
          <cell r="R102" t="str">
            <v>USD</v>
          </cell>
          <cell r="S102">
            <v>4.8499999999999996</v>
          </cell>
          <cell r="T102" t="str">
            <v>INR</v>
          </cell>
          <cell r="U102">
            <v>421.57</v>
          </cell>
        </row>
        <row r="103">
          <cell r="M103">
            <v>256779411580</v>
          </cell>
          <cell r="N103" t="str">
            <v>212100</v>
          </cell>
          <cell r="O103" t="str">
            <v>Trade Debtors (Ctrl)</v>
          </cell>
          <cell r="P103" t="str">
            <v/>
          </cell>
          <cell r="Q103" t="str">
            <v>01</v>
          </cell>
          <cell r="R103" t="str">
            <v>USD</v>
          </cell>
          <cell r="S103">
            <v>21.76</v>
          </cell>
          <cell r="T103" t="str">
            <v>INR</v>
          </cell>
          <cell r="U103">
            <v>1891.42</v>
          </cell>
        </row>
        <row r="104">
          <cell r="M104">
            <v>256779411581</v>
          </cell>
          <cell r="N104" t="str">
            <v>212100</v>
          </cell>
          <cell r="O104" t="str">
            <v>Trade Debtors (Ctrl)</v>
          </cell>
          <cell r="P104" t="str">
            <v/>
          </cell>
          <cell r="Q104" t="str">
            <v>01</v>
          </cell>
          <cell r="R104" t="str">
            <v>USD</v>
          </cell>
          <cell r="S104">
            <v>2.2000000000000002</v>
          </cell>
          <cell r="T104" t="str">
            <v>INR</v>
          </cell>
          <cell r="U104">
            <v>191.23</v>
          </cell>
        </row>
        <row r="105">
          <cell r="M105">
            <v>256779411582</v>
          </cell>
          <cell r="N105" t="str">
            <v>212100</v>
          </cell>
          <cell r="O105" t="str">
            <v>Trade Debtors (Ctrl)</v>
          </cell>
          <cell r="P105" t="str">
            <v/>
          </cell>
          <cell r="Q105" t="str">
            <v>01</v>
          </cell>
          <cell r="R105" t="str">
            <v>USD</v>
          </cell>
          <cell r="S105">
            <v>1.1100000000000001</v>
          </cell>
          <cell r="T105" t="str">
            <v>INR</v>
          </cell>
          <cell r="U105">
            <v>96.48</v>
          </cell>
        </row>
        <row r="106">
          <cell r="M106">
            <v>256779411583</v>
          </cell>
          <cell r="N106" t="str">
            <v>212100</v>
          </cell>
          <cell r="O106" t="str">
            <v>Trade Debtors (Ctrl)</v>
          </cell>
          <cell r="P106" t="str">
            <v/>
          </cell>
          <cell r="Q106" t="str">
            <v>01</v>
          </cell>
          <cell r="R106" t="str">
            <v>USD</v>
          </cell>
          <cell r="S106">
            <v>11</v>
          </cell>
          <cell r="T106" t="str">
            <v>INR</v>
          </cell>
          <cell r="U106">
            <v>956.14</v>
          </cell>
        </row>
        <row r="107">
          <cell r="M107">
            <v>256779411584</v>
          </cell>
          <cell r="N107" t="str">
            <v>212100</v>
          </cell>
          <cell r="O107" t="str">
            <v>Trade Debtors (Ctrl)</v>
          </cell>
          <cell r="P107" t="str">
            <v/>
          </cell>
          <cell r="Q107" t="str">
            <v>01</v>
          </cell>
          <cell r="R107" t="str">
            <v>USD</v>
          </cell>
          <cell r="S107">
            <v>23.21</v>
          </cell>
          <cell r="T107" t="str">
            <v>INR</v>
          </cell>
          <cell r="U107">
            <v>2017.46</v>
          </cell>
        </row>
        <row r="108">
          <cell r="M108">
            <v>256779411585</v>
          </cell>
          <cell r="N108" t="str">
            <v>212100</v>
          </cell>
          <cell r="O108" t="str">
            <v>Trade Debtors (Ctrl)</v>
          </cell>
          <cell r="P108" t="str">
            <v/>
          </cell>
          <cell r="Q108" t="str">
            <v>01</v>
          </cell>
          <cell r="R108" t="str">
            <v>USD</v>
          </cell>
          <cell r="S108">
            <v>7.81</v>
          </cell>
          <cell r="T108" t="str">
            <v>INR</v>
          </cell>
          <cell r="U108">
            <v>678.86</v>
          </cell>
        </row>
        <row r="109">
          <cell r="M109">
            <v>256779422014</v>
          </cell>
          <cell r="N109" t="str">
            <v>212100</v>
          </cell>
          <cell r="O109" t="str">
            <v>Trade Debtors (Ctrl)</v>
          </cell>
          <cell r="P109" t="str">
            <v/>
          </cell>
          <cell r="Q109" t="str">
            <v>11</v>
          </cell>
          <cell r="R109" t="str">
            <v>USD</v>
          </cell>
          <cell r="S109">
            <v>-136.47999999999999</v>
          </cell>
          <cell r="T109" t="str">
            <v>INR</v>
          </cell>
          <cell r="U109">
            <v>-12036.28</v>
          </cell>
        </row>
        <row r="110">
          <cell r="M110">
            <v>256779411887</v>
          </cell>
          <cell r="N110" t="str">
            <v>212100</v>
          </cell>
          <cell r="O110" t="str">
            <v>Trade Debtors (Ctrl)</v>
          </cell>
          <cell r="P110" t="str">
            <v/>
          </cell>
          <cell r="Q110" t="str">
            <v>01</v>
          </cell>
          <cell r="R110" t="str">
            <v>USD</v>
          </cell>
          <cell r="S110">
            <v>71.22</v>
          </cell>
          <cell r="T110" t="str">
            <v>INR</v>
          </cell>
          <cell r="U110">
            <v>6190.57</v>
          </cell>
        </row>
        <row r="111">
          <cell r="M111">
            <v>256779411984</v>
          </cell>
          <cell r="N111" t="str">
            <v>212100</v>
          </cell>
          <cell r="O111" t="str">
            <v>Trade Debtors (Ctrl)</v>
          </cell>
          <cell r="P111" t="str">
            <v/>
          </cell>
          <cell r="Q111" t="str">
            <v>01</v>
          </cell>
          <cell r="R111" t="str">
            <v>USD</v>
          </cell>
          <cell r="S111">
            <v>39.54</v>
          </cell>
          <cell r="T111" t="str">
            <v>INR</v>
          </cell>
          <cell r="U111">
            <v>3436.89</v>
          </cell>
        </row>
        <row r="112">
          <cell r="M112">
            <v>256779412020</v>
          </cell>
          <cell r="N112" t="str">
            <v>212100</v>
          </cell>
          <cell r="O112" t="str">
            <v>Trade Debtors (Ctrl)</v>
          </cell>
          <cell r="P112" t="str">
            <v/>
          </cell>
          <cell r="Q112" t="str">
            <v>01</v>
          </cell>
          <cell r="R112" t="str">
            <v>USD</v>
          </cell>
          <cell r="S112">
            <v>85.21</v>
          </cell>
          <cell r="T112" t="str">
            <v>INR</v>
          </cell>
          <cell r="U112">
            <v>7406.61</v>
          </cell>
        </row>
        <row r="113">
          <cell r="M113">
            <v>256779412101</v>
          </cell>
          <cell r="N113" t="str">
            <v>212100</v>
          </cell>
          <cell r="O113" t="str">
            <v>Trade Debtors (Ctrl)</v>
          </cell>
          <cell r="P113" t="str">
            <v/>
          </cell>
          <cell r="Q113" t="str">
            <v>01</v>
          </cell>
          <cell r="R113" t="str">
            <v>USD</v>
          </cell>
          <cell r="S113">
            <v>171.71</v>
          </cell>
          <cell r="T113" t="str">
            <v>INR</v>
          </cell>
          <cell r="U113">
            <v>14925.35</v>
          </cell>
        </row>
        <row r="114">
          <cell r="M114">
            <v>256779412126</v>
          </cell>
          <cell r="N114" t="str">
            <v>212100</v>
          </cell>
          <cell r="O114" t="str">
            <v>Trade Debtors (Ctrl)</v>
          </cell>
          <cell r="P114" t="str">
            <v/>
          </cell>
          <cell r="Q114" t="str">
            <v>01</v>
          </cell>
          <cell r="R114" t="str">
            <v>USD</v>
          </cell>
          <cell r="S114">
            <v>500.58</v>
          </cell>
          <cell r="T114" t="str">
            <v>INR</v>
          </cell>
          <cell r="U114">
            <v>43511.32</v>
          </cell>
        </row>
        <row r="115">
          <cell r="M115">
            <v>256779415996</v>
          </cell>
          <cell r="N115" t="str">
            <v>212100</v>
          </cell>
          <cell r="O115" t="str">
            <v>Trade Debtors (Ctrl)</v>
          </cell>
          <cell r="P115" t="str">
            <v/>
          </cell>
          <cell r="Q115" t="str">
            <v>01</v>
          </cell>
          <cell r="R115" t="str">
            <v>USD</v>
          </cell>
          <cell r="S115">
            <v>755.58</v>
          </cell>
          <cell r="T115" t="str">
            <v>INR</v>
          </cell>
          <cell r="U115">
            <v>64980.39</v>
          </cell>
        </row>
        <row r="116">
          <cell r="M116">
            <v>246779412238</v>
          </cell>
          <cell r="N116" t="str">
            <v>212100</v>
          </cell>
          <cell r="O116" t="str">
            <v>Trade Debtors (Ctrl)</v>
          </cell>
          <cell r="P116" t="str">
            <v/>
          </cell>
          <cell r="Q116" t="str">
            <v>01</v>
          </cell>
          <cell r="R116" t="str">
            <v>USD</v>
          </cell>
          <cell r="S116">
            <v>945.75</v>
          </cell>
          <cell r="T116" t="str">
            <v>INR</v>
          </cell>
          <cell r="U116">
            <v>81988.259999999995</v>
          </cell>
        </row>
        <row r="117">
          <cell r="M117">
            <v>246779411449</v>
          </cell>
          <cell r="N117" t="str">
            <v>212100</v>
          </cell>
          <cell r="O117" t="str">
            <v>Trade Debtors (Ctrl)</v>
          </cell>
          <cell r="P117" t="str">
            <v/>
          </cell>
          <cell r="Q117" t="str">
            <v>01</v>
          </cell>
          <cell r="R117" t="str">
            <v>USD</v>
          </cell>
          <cell r="S117">
            <v>945.75</v>
          </cell>
          <cell r="T117" t="str">
            <v>INR</v>
          </cell>
          <cell r="U117">
            <v>81988.259999999995</v>
          </cell>
        </row>
        <row r="118">
          <cell r="M118">
            <v>256779421715</v>
          </cell>
          <cell r="N118" t="str">
            <v>212100</v>
          </cell>
          <cell r="O118" t="str">
            <v>Trade Debtors (Ctrl)</v>
          </cell>
          <cell r="P118" t="str">
            <v/>
          </cell>
          <cell r="Q118" t="str">
            <v>11</v>
          </cell>
          <cell r="R118" t="str">
            <v>USD</v>
          </cell>
          <cell r="S118">
            <v>-2324.77</v>
          </cell>
          <cell r="T118" t="str">
            <v>INR</v>
          </cell>
          <cell r="U118">
            <v>-200000.24</v>
          </cell>
        </row>
        <row r="119">
          <cell r="M119">
            <v>256779417161</v>
          </cell>
          <cell r="N119" t="str">
            <v>212100</v>
          </cell>
          <cell r="O119" t="str">
            <v>Trade Debtors (Ctrl)</v>
          </cell>
          <cell r="P119" t="str">
            <v/>
          </cell>
          <cell r="Q119" t="str">
            <v>01</v>
          </cell>
          <cell r="R119" t="str">
            <v>USD</v>
          </cell>
          <cell r="S119">
            <v>787.95</v>
          </cell>
          <cell r="T119" t="str">
            <v>INR</v>
          </cell>
          <cell r="U119">
            <v>68956.92</v>
          </cell>
        </row>
        <row r="120">
          <cell r="M120">
            <v>256779417178</v>
          </cell>
          <cell r="N120" t="str">
            <v>212100</v>
          </cell>
          <cell r="O120" t="str">
            <v>Trade Debtors (Ctrl)</v>
          </cell>
          <cell r="P120" t="str">
            <v/>
          </cell>
          <cell r="Q120" t="str">
            <v>01</v>
          </cell>
          <cell r="R120" t="str">
            <v>USD</v>
          </cell>
          <cell r="S120">
            <v>1560</v>
          </cell>
          <cell r="T120" t="str">
            <v>INR</v>
          </cell>
          <cell r="U120">
            <v>136522.35</v>
          </cell>
        </row>
        <row r="121">
          <cell r="M121">
            <v>256779417179</v>
          </cell>
          <cell r="N121" t="str">
            <v>212100</v>
          </cell>
          <cell r="O121" t="str">
            <v>Trade Debtors (Ctrl)</v>
          </cell>
          <cell r="P121" t="str">
            <v/>
          </cell>
          <cell r="Q121" t="str">
            <v>01</v>
          </cell>
          <cell r="R121" t="str">
            <v>USD</v>
          </cell>
          <cell r="S121">
            <v>1560</v>
          </cell>
          <cell r="T121" t="str">
            <v>INR</v>
          </cell>
          <cell r="U121">
            <v>136522.35</v>
          </cell>
        </row>
        <row r="122">
          <cell r="M122">
            <v>256779417180</v>
          </cell>
          <cell r="N122" t="str">
            <v>212100</v>
          </cell>
          <cell r="O122" t="str">
            <v>Trade Debtors (Ctrl)</v>
          </cell>
          <cell r="P122" t="str">
            <v/>
          </cell>
          <cell r="Q122" t="str">
            <v>01</v>
          </cell>
          <cell r="R122" t="str">
            <v>USD</v>
          </cell>
          <cell r="S122">
            <v>1799.1</v>
          </cell>
          <cell r="T122" t="str">
            <v>INR</v>
          </cell>
          <cell r="U122">
            <v>157447.03</v>
          </cell>
        </row>
        <row r="123">
          <cell r="M123">
            <v>256779417181</v>
          </cell>
          <cell r="N123" t="str">
            <v>212100</v>
          </cell>
          <cell r="O123" t="str">
            <v>Trade Debtors (Ctrl)</v>
          </cell>
          <cell r="P123" t="str">
            <v/>
          </cell>
          <cell r="Q123" t="str">
            <v>01</v>
          </cell>
          <cell r="R123" t="str">
            <v>USD</v>
          </cell>
          <cell r="S123">
            <v>1812</v>
          </cell>
          <cell r="T123" t="str">
            <v>INR</v>
          </cell>
          <cell r="U123">
            <v>158575.97</v>
          </cell>
        </row>
        <row r="124">
          <cell r="M124">
            <v>256779417206</v>
          </cell>
          <cell r="N124" t="str">
            <v>212100</v>
          </cell>
          <cell r="O124" t="str">
            <v>Trade Debtors (Ctrl)</v>
          </cell>
          <cell r="P124" t="str">
            <v/>
          </cell>
          <cell r="Q124" t="str">
            <v>01</v>
          </cell>
          <cell r="R124" t="str">
            <v>USD</v>
          </cell>
          <cell r="S124">
            <v>152.28</v>
          </cell>
          <cell r="T124" t="str">
            <v>INR</v>
          </cell>
          <cell r="U124">
            <v>13326.68</v>
          </cell>
        </row>
        <row r="125">
          <cell r="M125">
            <v>256779417245</v>
          </cell>
          <cell r="N125" t="str">
            <v>212100</v>
          </cell>
          <cell r="O125" t="str">
            <v>Trade Debtors (Ctrl)</v>
          </cell>
          <cell r="P125" t="str">
            <v/>
          </cell>
          <cell r="Q125" t="str">
            <v>01</v>
          </cell>
          <cell r="R125" t="str">
            <v>USD</v>
          </cell>
          <cell r="S125">
            <v>83.89</v>
          </cell>
          <cell r="T125" t="str">
            <v>INR</v>
          </cell>
          <cell r="U125">
            <v>7341.58</v>
          </cell>
        </row>
        <row r="126">
          <cell r="M126">
            <v>256779417287</v>
          </cell>
          <cell r="N126" t="str">
            <v>212100</v>
          </cell>
          <cell r="O126" t="str">
            <v>Trade Debtors (Ctrl)</v>
          </cell>
          <cell r="P126" t="str">
            <v/>
          </cell>
          <cell r="Q126" t="str">
            <v>01</v>
          </cell>
          <cell r="R126" t="str">
            <v>USD</v>
          </cell>
          <cell r="S126">
            <v>410.58</v>
          </cell>
          <cell r="T126" t="str">
            <v>INR</v>
          </cell>
          <cell r="U126">
            <v>35931.629999999997</v>
          </cell>
        </row>
        <row r="127">
          <cell r="M127">
            <v>256779417325</v>
          </cell>
          <cell r="N127" t="str">
            <v>212100</v>
          </cell>
          <cell r="O127" t="str">
            <v>Trade Debtors (Ctrl)</v>
          </cell>
          <cell r="P127" t="str">
            <v/>
          </cell>
          <cell r="Q127" t="str">
            <v>01</v>
          </cell>
          <cell r="R127" t="str">
            <v>USD</v>
          </cell>
          <cell r="S127">
            <v>97.84</v>
          </cell>
          <cell r="T127" t="str">
            <v>INR</v>
          </cell>
          <cell r="U127">
            <v>8562.4</v>
          </cell>
        </row>
        <row r="128">
          <cell r="M128">
            <v>256779421767</v>
          </cell>
          <cell r="N128" t="str">
            <v>212100</v>
          </cell>
          <cell r="O128" t="str">
            <v>Trade Debtors (Ctrl)</v>
          </cell>
          <cell r="P128" t="str">
            <v/>
          </cell>
          <cell r="Q128" t="str">
            <v>11</v>
          </cell>
          <cell r="R128" t="str">
            <v>USD</v>
          </cell>
          <cell r="S128">
            <v>-60</v>
          </cell>
          <cell r="T128" t="str">
            <v>INR</v>
          </cell>
          <cell r="U128">
            <v>-5250.86</v>
          </cell>
        </row>
        <row r="129">
          <cell r="M129">
            <v>256779421768</v>
          </cell>
          <cell r="N129" t="str">
            <v>212100</v>
          </cell>
          <cell r="O129" t="str">
            <v>Trade Debtors (Ctrl)</v>
          </cell>
          <cell r="P129" t="str">
            <v/>
          </cell>
          <cell r="Q129" t="str">
            <v>11</v>
          </cell>
          <cell r="R129" t="str">
            <v>USD</v>
          </cell>
          <cell r="S129">
            <v>-60</v>
          </cell>
          <cell r="T129" t="str">
            <v>INR</v>
          </cell>
          <cell r="U129">
            <v>-5250.86</v>
          </cell>
        </row>
        <row r="130">
          <cell r="M130">
            <v>256779421769</v>
          </cell>
          <cell r="N130" t="str">
            <v>212100</v>
          </cell>
          <cell r="O130" t="str">
            <v>Trade Debtors (Ctrl)</v>
          </cell>
          <cell r="P130" t="str">
            <v/>
          </cell>
          <cell r="Q130" t="str">
            <v>11</v>
          </cell>
          <cell r="R130" t="str">
            <v>USD</v>
          </cell>
          <cell r="S130">
            <v>-62</v>
          </cell>
          <cell r="T130" t="str">
            <v>INR</v>
          </cell>
          <cell r="U130">
            <v>-5425.89</v>
          </cell>
        </row>
        <row r="131">
          <cell r="M131">
            <v>256779421770</v>
          </cell>
          <cell r="N131" t="str">
            <v>212100</v>
          </cell>
          <cell r="O131" t="str">
            <v>Trade Debtors (Ctrl)</v>
          </cell>
          <cell r="P131" t="str">
            <v/>
          </cell>
          <cell r="Q131" t="str">
            <v>11</v>
          </cell>
          <cell r="R131" t="str">
            <v>USD</v>
          </cell>
          <cell r="S131">
            <v>-62</v>
          </cell>
          <cell r="T131" t="str">
            <v>INR</v>
          </cell>
          <cell r="U131">
            <v>-5425.89</v>
          </cell>
        </row>
        <row r="132">
          <cell r="M132">
            <v>256779414772</v>
          </cell>
          <cell r="N132" t="str">
            <v>212100</v>
          </cell>
          <cell r="O132" t="str">
            <v>Trade Debtors (Ctrl)</v>
          </cell>
          <cell r="P132" t="str">
            <v/>
          </cell>
          <cell r="Q132" t="str">
            <v>01</v>
          </cell>
          <cell r="R132" t="str">
            <v>USD</v>
          </cell>
          <cell r="S132">
            <v>220</v>
          </cell>
          <cell r="T132" t="str">
            <v>INR</v>
          </cell>
          <cell r="U132">
            <v>18920.150000000001</v>
          </cell>
        </row>
        <row r="133">
          <cell r="M133">
            <v>256779414830</v>
          </cell>
          <cell r="N133" t="str">
            <v>212100</v>
          </cell>
          <cell r="O133" t="str">
            <v>Trade Debtors (Ctrl)</v>
          </cell>
          <cell r="P133" t="str">
            <v/>
          </cell>
          <cell r="Q133" t="str">
            <v>01</v>
          </cell>
          <cell r="R133" t="str">
            <v>USD</v>
          </cell>
          <cell r="S133">
            <v>142.32</v>
          </cell>
          <cell r="T133" t="str">
            <v>INR</v>
          </cell>
          <cell r="U133">
            <v>12239.62</v>
          </cell>
        </row>
        <row r="134">
          <cell r="M134">
            <v>256779414879</v>
          </cell>
          <cell r="N134" t="str">
            <v>212100</v>
          </cell>
          <cell r="O134" t="str">
            <v>Trade Debtors (Ctrl)</v>
          </cell>
          <cell r="P134" t="str">
            <v/>
          </cell>
          <cell r="Q134" t="str">
            <v>01</v>
          </cell>
          <cell r="R134" t="str">
            <v>USD</v>
          </cell>
          <cell r="S134">
            <v>1663.92</v>
          </cell>
          <cell r="T134" t="str">
            <v>INR</v>
          </cell>
          <cell r="U134">
            <v>143098.23000000001</v>
          </cell>
        </row>
        <row r="135">
          <cell r="M135">
            <v>256779414891</v>
          </cell>
          <cell r="N135" t="str">
            <v>212100</v>
          </cell>
          <cell r="O135" t="str">
            <v>Trade Debtors (Ctrl)</v>
          </cell>
          <cell r="P135" t="str">
            <v/>
          </cell>
          <cell r="Q135" t="str">
            <v>01</v>
          </cell>
          <cell r="R135" t="str">
            <v>USD</v>
          </cell>
          <cell r="S135">
            <v>413.33</v>
          </cell>
          <cell r="T135" t="str">
            <v>INR</v>
          </cell>
          <cell r="U135">
            <v>35546.660000000003</v>
          </cell>
        </row>
        <row r="136">
          <cell r="M136">
            <v>256779414904</v>
          </cell>
          <cell r="N136" t="str">
            <v>212100</v>
          </cell>
          <cell r="O136" t="str">
            <v>Trade Debtors (Ctrl)</v>
          </cell>
          <cell r="P136" t="str">
            <v/>
          </cell>
          <cell r="Q136" t="str">
            <v>01</v>
          </cell>
          <cell r="R136" t="str">
            <v>USD</v>
          </cell>
          <cell r="S136">
            <v>68.97</v>
          </cell>
          <cell r="T136" t="str">
            <v>INR</v>
          </cell>
          <cell r="U136">
            <v>5931.47</v>
          </cell>
        </row>
        <row r="137">
          <cell r="M137">
            <v>256779414956</v>
          </cell>
          <cell r="N137" t="str">
            <v>212100</v>
          </cell>
          <cell r="O137" t="str">
            <v>Trade Debtors (Ctrl)</v>
          </cell>
          <cell r="P137" t="str">
            <v/>
          </cell>
          <cell r="Q137" t="str">
            <v>01</v>
          </cell>
          <cell r="R137" t="str">
            <v>USD</v>
          </cell>
          <cell r="S137">
            <v>50</v>
          </cell>
          <cell r="T137" t="str">
            <v>INR</v>
          </cell>
          <cell r="U137">
            <v>4300.03</v>
          </cell>
        </row>
        <row r="138">
          <cell r="M138">
            <v>256779414957</v>
          </cell>
          <cell r="N138" t="str">
            <v>212100</v>
          </cell>
          <cell r="O138" t="str">
            <v>Trade Debtors (Ctrl)</v>
          </cell>
          <cell r="P138" t="str">
            <v/>
          </cell>
          <cell r="Q138" t="str">
            <v>01</v>
          </cell>
          <cell r="R138" t="str">
            <v>USD</v>
          </cell>
          <cell r="S138">
            <v>50</v>
          </cell>
          <cell r="T138" t="str">
            <v>INR</v>
          </cell>
          <cell r="U138">
            <v>4300.03</v>
          </cell>
        </row>
        <row r="139">
          <cell r="M139">
            <v>256779415017</v>
          </cell>
          <cell r="N139" t="str">
            <v>212100</v>
          </cell>
          <cell r="O139" t="str">
            <v>Trade Debtors (Ctrl)</v>
          </cell>
          <cell r="P139" t="str">
            <v/>
          </cell>
          <cell r="Q139" t="str">
            <v>01</v>
          </cell>
          <cell r="R139" t="str">
            <v>USD</v>
          </cell>
          <cell r="S139">
            <v>349.26</v>
          </cell>
          <cell r="T139" t="str">
            <v>INR</v>
          </cell>
          <cell r="U139">
            <v>30036.59</v>
          </cell>
        </row>
        <row r="140">
          <cell r="M140">
            <v>256779415196</v>
          </cell>
          <cell r="N140" t="str">
            <v>212100</v>
          </cell>
          <cell r="O140" t="str">
            <v>Trade Debtors (Ctrl)</v>
          </cell>
          <cell r="P140" t="str">
            <v/>
          </cell>
          <cell r="Q140" t="str">
            <v>01</v>
          </cell>
          <cell r="R140" t="str">
            <v>USD</v>
          </cell>
          <cell r="S140">
            <v>17.48</v>
          </cell>
          <cell r="T140" t="str">
            <v>INR</v>
          </cell>
          <cell r="U140">
            <v>1503.29</v>
          </cell>
        </row>
        <row r="141">
          <cell r="M141">
            <v>256779415264</v>
          </cell>
          <cell r="N141" t="str">
            <v>212100</v>
          </cell>
          <cell r="O141" t="str">
            <v>Trade Debtors (Ctrl)</v>
          </cell>
          <cell r="P141" t="str">
            <v/>
          </cell>
          <cell r="Q141" t="str">
            <v>01</v>
          </cell>
          <cell r="R141" t="str">
            <v>USD</v>
          </cell>
          <cell r="S141">
            <v>926.11</v>
          </cell>
          <cell r="T141" t="str">
            <v>INR</v>
          </cell>
          <cell r="U141">
            <v>79646.080000000002</v>
          </cell>
        </row>
        <row r="142">
          <cell r="M142">
            <v>256779421172</v>
          </cell>
          <cell r="N142" t="str">
            <v>212100</v>
          </cell>
          <cell r="O142" t="str">
            <v>Trade Debtors (Ctrl)</v>
          </cell>
          <cell r="P142" t="str">
            <v/>
          </cell>
          <cell r="Q142" t="str">
            <v>11</v>
          </cell>
          <cell r="R142" t="str">
            <v>USD</v>
          </cell>
          <cell r="S142">
            <v>-1700</v>
          </cell>
          <cell r="T142" t="str">
            <v>INR</v>
          </cell>
          <cell r="U142">
            <v>-146201.14000000001</v>
          </cell>
        </row>
        <row r="143">
          <cell r="M143">
            <v>256779421173</v>
          </cell>
          <cell r="N143" t="str">
            <v>212100</v>
          </cell>
          <cell r="O143" t="str">
            <v>Trade Debtors (Ctrl)</v>
          </cell>
          <cell r="P143" t="str">
            <v/>
          </cell>
          <cell r="Q143" t="str">
            <v>11</v>
          </cell>
          <cell r="R143" t="str">
            <v>USD</v>
          </cell>
          <cell r="S143">
            <v>-1750</v>
          </cell>
          <cell r="T143" t="str">
            <v>INR</v>
          </cell>
          <cell r="U143">
            <v>-150501.17000000001</v>
          </cell>
        </row>
        <row r="144">
          <cell r="M144">
            <v>256779421174</v>
          </cell>
          <cell r="N144" t="str">
            <v>212100</v>
          </cell>
          <cell r="O144" t="str">
            <v>Trade Debtors (Ctrl)</v>
          </cell>
          <cell r="P144" t="str">
            <v/>
          </cell>
          <cell r="Q144" t="str">
            <v>11</v>
          </cell>
          <cell r="R144" t="str">
            <v>USD</v>
          </cell>
          <cell r="S144">
            <v>-1700</v>
          </cell>
          <cell r="T144" t="str">
            <v>INR</v>
          </cell>
          <cell r="U144">
            <v>-146201.14000000001</v>
          </cell>
        </row>
        <row r="145">
          <cell r="M145">
            <v>256779421175</v>
          </cell>
          <cell r="N145" t="str">
            <v>212100</v>
          </cell>
          <cell r="O145" t="str">
            <v>Trade Debtors (Ctrl)</v>
          </cell>
          <cell r="P145" t="str">
            <v/>
          </cell>
          <cell r="Q145" t="str">
            <v>11</v>
          </cell>
          <cell r="R145" t="str">
            <v>USD</v>
          </cell>
          <cell r="S145">
            <v>-1750</v>
          </cell>
          <cell r="T145" t="str">
            <v>INR</v>
          </cell>
          <cell r="U145">
            <v>-150501.17000000001</v>
          </cell>
        </row>
        <row r="146">
          <cell r="M146">
            <v>256779418820</v>
          </cell>
          <cell r="N146" t="str">
            <v>212100</v>
          </cell>
          <cell r="O146" t="str">
            <v>Trade Debtors (Ctrl)</v>
          </cell>
          <cell r="P146" t="str">
            <v/>
          </cell>
          <cell r="Q146" t="str">
            <v>01</v>
          </cell>
          <cell r="R146" t="str">
            <v>USD</v>
          </cell>
          <cell r="S146">
            <v>351.13</v>
          </cell>
          <cell r="T146" t="str">
            <v>INR</v>
          </cell>
          <cell r="U146">
            <v>30900.63</v>
          </cell>
        </row>
        <row r="147">
          <cell r="M147">
            <v>256779418876</v>
          </cell>
          <cell r="N147" t="str">
            <v>212100</v>
          </cell>
          <cell r="O147" t="str">
            <v>Trade Debtors (Ctrl)</v>
          </cell>
          <cell r="P147" t="str">
            <v/>
          </cell>
          <cell r="Q147" t="str">
            <v>01</v>
          </cell>
          <cell r="R147" t="str">
            <v>USD</v>
          </cell>
          <cell r="S147">
            <v>745.97</v>
          </cell>
          <cell r="T147" t="str">
            <v>INR</v>
          </cell>
          <cell r="U147">
            <v>65647.89</v>
          </cell>
        </row>
        <row r="148">
          <cell r="M148">
            <v>256779419077</v>
          </cell>
          <cell r="N148" t="str">
            <v>212100</v>
          </cell>
          <cell r="O148" t="str">
            <v>Trade Debtors (Ctrl)</v>
          </cell>
          <cell r="P148" t="str">
            <v/>
          </cell>
          <cell r="Q148" t="str">
            <v>01</v>
          </cell>
          <cell r="R148" t="str">
            <v>USD</v>
          </cell>
          <cell r="S148">
            <v>900</v>
          </cell>
          <cell r="T148" t="str">
            <v>INR</v>
          </cell>
          <cell r="U148">
            <v>79203.05</v>
          </cell>
        </row>
        <row r="149">
          <cell r="M149">
            <v>256779419174</v>
          </cell>
          <cell r="N149" t="str">
            <v>212100</v>
          </cell>
          <cell r="O149" t="str">
            <v>Trade Debtors (Ctrl)</v>
          </cell>
          <cell r="P149" t="str">
            <v/>
          </cell>
          <cell r="Q149" t="str">
            <v>01</v>
          </cell>
          <cell r="R149" t="str">
            <v>USD</v>
          </cell>
          <cell r="S149">
            <v>8.2100000000000009</v>
          </cell>
          <cell r="T149" t="str">
            <v>INR</v>
          </cell>
          <cell r="U149">
            <v>722.51</v>
          </cell>
        </row>
        <row r="150">
          <cell r="M150">
            <v>256779419200</v>
          </cell>
          <cell r="N150" t="str">
            <v>212100</v>
          </cell>
          <cell r="O150" t="str">
            <v>Trade Debtors (Ctrl)</v>
          </cell>
          <cell r="P150" t="str">
            <v/>
          </cell>
          <cell r="Q150" t="str">
            <v>01</v>
          </cell>
          <cell r="R150" t="str">
            <v>USD</v>
          </cell>
          <cell r="S150">
            <v>152.26</v>
          </cell>
          <cell r="T150" t="str">
            <v>INR</v>
          </cell>
          <cell r="U150">
            <v>13399.4</v>
          </cell>
        </row>
        <row r="151">
          <cell r="M151">
            <v>256779419232</v>
          </cell>
          <cell r="N151" t="str">
            <v>212100</v>
          </cell>
          <cell r="O151" t="str">
            <v>Trade Debtors (Ctrl)</v>
          </cell>
          <cell r="P151" t="str">
            <v/>
          </cell>
          <cell r="Q151" t="str">
            <v>01</v>
          </cell>
          <cell r="R151" t="str">
            <v>USD</v>
          </cell>
          <cell r="S151">
            <v>25.69</v>
          </cell>
          <cell r="T151" t="str">
            <v>INR</v>
          </cell>
          <cell r="U151">
            <v>2260.81</v>
          </cell>
        </row>
        <row r="152">
          <cell r="M152">
            <v>246779410324</v>
          </cell>
          <cell r="N152" t="str">
            <v>212100</v>
          </cell>
          <cell r="O152" t="str">
            <v>Trade Debtors (Ctrl)</v>
          </cell>
          <cell r="P152" t="str">
            <v/>
          </cell>
          <cell r="Q152" t="str">
            <v>01</v>
          </cell>
          <cell r="R152" t="str">
            <v>USD</v>
          </cell>
          <cell r="S152">
            <v>1750</v>
          </cell>
          <cell r="T152" t="str">
            <v>INR</v>
          </cell>
          <cell r="U152">
            <v>151031.41</v>
          </cell>
        </row>
        <row r="153">
          <cell r="M153">
            <v>256779419130</v>
          </cell>
          <cell r="N153" t="str">
            <v>212100</v>
          </cell>
          <cell r="O153" t="str">
            <v>Trade Debtors (Ctrl)</v>
          </cell>
          <cell r="P153" t="str">
            <v/>
          </cell>
          <cell r="Q153" t="str">
            <v>01</v>
          </cell>
          <cell r="R153" t="str">
            <v>USD</v>
          </cell>
          <cell r="S153">
            <v>52.71</v>
          </cell>
          <cell r="T153" t="str">
            <v>INR</v>
          </cell>
          <cell r="U153">
            <v>4638.66</v>
          </cell>
        </row>
        <row r="154">
          <cell r="M154">
            <v>256779416078</v>
          </cell>
          <cell r="N154" t="str">
            <v>212100</v>
          </cell>
          <cell r="O154" t="str">
            <v>Trade Debtors (Ctrl)</v>
          </cell>
          <cell r="P154" t="str">
            <v/>
          </cell>
          <cell r="Q154" t="str">
            <v>01</v>
          </cell>
          <cell r="R154" t="str">
            <v>USD</v>
          </cell>
          <cell r="S154">
            <v>1477.42</v>
          </cell>
          <cell r="T154" t="str">
            <v>INR</v>
          </cell>
          <cell r="U154">
            <v>127102.62</v>
          </cell>
        </row>
        <row r="155">
          <cell r="M155">
            <v>256779416086</v>
          </cell>
          <cell r="N155" t="str">
            <v>212100</v>
          </cell>
          <cell r="O155" t="str">
            <v>Trade Debtors (Ctrl)</v>
          </cell>
          <cell r="P155" t="str">
            <v/>
          </cell>
          <cell r="Q155" t="str">
            <v>01</v>
          </cell>
          <cell r="R155" t="str">
            <v>USD</v>
          </cell>
          <cell r="S155">
            <v>1449.76</v>
          </cell>
          <cell r="T155" t="str">
            <v>INR</v>
          </cell>
          <cell r="U155">
            <v>124723.03</v>
          </cell>
        </row>
        <row r="156">
          <cell r="M156">
            <v>256779416103</v>
          </cell>
          <cell r="N156" t="str">
            <v>212100</v>
          </cell>
          <cell r="O156" t="str">
            <v>Trade Debtors (Ctrl)</v>
          </cell>
          <cell r="P156" t="str">
            <v/>
          </cell>
          <cell r="Q156" t="str">
            <v>01</v>
          </cell>
          <cell r="R156" t="str">
            <v>USD</v>
          </cell>
          <cell r="S156">
            <v>50</v>
          </cell>
          <cell r="T156" t="str">
            <v>INR</v>
          </cell>
          <cell r="U156">
            <v>4301.51</v>
          </cell>
        </row>
        <row r="157">
          <cell r="M157">
            <v>256779416141</v>
          </cell>
          <cell r="N157" t="str">
            <v>212100</v>
          </cell>
          <cell r="O157" t="str">
            <v>Trade Debtors (Ctrl)</v>
          </cell>
          <cell r="P157" t="str">
            <v/>
          </cell>
          <cell r="Q157" t="str">
            <v>01</v>
          </cell>
          <cell r="R157" t="str">
            <v>USD</v>
          </cell>
          <cell r="S157">
            <v>299.12</v>
          </cell>
          <cell r="T157" t="str">
            <v>INR</v>
          </cell>
          <cell r="U157">
            <v>25733.33</v>
          </cell>
        </row>
        <row r="158">
          <cell r="M158">
            <v>256779416179</v>
          </cell>
          <cell r="N158" t="str">
            <v>212100</v>
          </cell>
          <cell r="O158" t="str">
            <v>Trade Debtors (Ctrl)</v>
          </cell>
          <cell r="P158" t="str">
            <v/>
          </cell>
          <cell r="Q158" t="str">
            <v>01</v>
          </cell>
          <cell r="R158" t="str">
            <v>USD</v>
          </cell>
          <cell r="S158">
            <v>2787.24</v>
          </cell>
          <cell r="T158" t="str">
            <v>INR</v>
          </cell>
          <cell r="U158">
            <v>239786.59</v>
          </cell>
        </row>
        <row r="159">
          <cell r="M159">
            <v>256779416224</v>
          </cell>
          <cell r="N159" t="str">
            <v>212100</v>
          </cell>
          <cell r="O159" t="str">
            <v>Trade Debtors (Ctrl)</v>
          </cell>
          <cell r="P159" t="str">
            <v/>
          </cell>
          <cell r="Q159" t="str">
            <v>01</v>
          </cell>
          <cell r="R159" t="str">
            <v>USD</v>
          </cell>
          <cell r="S159">
            <v>304.52999999999997</v>
          </cell>
          <cell r="T159" t="str">
            <v>INR</v>
          </cell>
          <cell r="U159">
            <v>26198.75</v>
          </cell>
        </row>
        <row r="160">
          <cell r="M160">
            <v>256779416445</v>
          </cell>
          <cell r="N160" t="str">
            <v>212100</v>
          </cell>
          <cell r="O160" t="str">
            <v>Trade Debtors (Ctrl)</v>
          </cell>
          <cell r="P160" t="str">
            <v/>
          </cell>
          <cell r="Q160" t="str">
            <v>01</v>
          </cell>
          <cell r="R160" t="str">
            <v>USD</v>
          </cell>
          <cell r="S160">
            <v>586.79</v>
          </cell>
          <cell r="T160" t="str">
            <v>INR</v>
          </cell>
          <cell r="U160">
            <v>50481.61</v>
          </cell>
        </row>
        <row r="161">
          <cell r="M161">
            <v>256779416515</v>
          </cell>
          <cell r="N161" t="str">
            <v>212100</v>
          </cell>
          <cell r="O161" t="str">
            <v>Trade Debtors (Ctrl)</v>
          </cell>
          <cell r="P161" t="str">
            <v/>
          </cell>
          <cell r="Q161" t="str">
            <v>01</v>
          </cell>
          <cell r="R161" t="str">
            <v>USD</v>
          </cell>
          <cell r="S161">
            <v>396.98</v>
          </cell>
          <cell r="T161" t="str">
            <v>INR</v>
          </cell>
          <cell r="U161">
            <v>34152.239999999998</v>
          </cell>
        </row>
        <row r="162">
          <cell r="M162">
            <v>256779414217</v>
          </cell>
          <cell r="N162" t="str">
            <v>212100</v>
          </cell>
          <cell r="O162" t="str">
            <v>Trade Debtors (Ctrl)</v>
          </cell>
          <cell r="P162" t="str">
            <v/>
          </cell>
          <cell r="Q162" t="str">
            <v>01</v>
          </cell>
          <cell r="R162" t="str">
            <v>USD</v>
          </cell>
          <cell r="S162">
            <v>71.760000000000005</v>
          </cell>
          <cell r="T162" t="str">
            <v>INR</v>
          </cell>
          <cell r="U162">
            <v>6134.82</v>
          </cell>
        </row>
        <row r="163">
          <cell r="M163">
            <v>256779414275</v>
          </cell>
          <cell r="N163" t="str">
            <v>212100</v>
          </cell>
          <cell r="O163" t="str">
            <v>Trade Debtors (Ctrl)</v>
          </cell>
          <cell r="P163" t="str">
            <v/>
          </cell>
          <cell r="Q163" t="str">
            <v>01</v>
          </cell>
          <cell r="R163" t="str">
            <v>USD</v>
          </cell>
          <cell r="S163">
            <v>136.08000000000001</v>
          </cell>
          <cell r="T163" t="str">
            <v>INR</v>
          </cell>
          <cell r="U163">
            <v>11633.59</v>
          </cell>
        </row>
        <row r="164">
          <cell r="M164">
            <v>256779414317</v>
          </cell>
          <cell r="N164" t="str">
            <v>212100</v>
          </cell>
          <cell r="O164" t="str">
            <v>Trade Debtors (Ctrl)</v>
          </cell>
          <cell r="P164" t="str">
            <v/>
          </cell>
          <cell r="Q164" t="str">
            <v>01</v>
          </cell>
          <cell r="R164" t="str">
            <v>USD</v>
          </cell>
          <cell r="S164">
            <v>697.43</v>
          </cell>
          <cell r="T164" t="str">
            <v>INR</v>
          </cell>
          <cell r="U164">
            <v>59623.83</v>
          </cell>
        </row>
        <row r="165">
          <cell r="M165">
            <v>256779420305</v>
          </cell>
          <cell r="N165" t="str">
            <v>212100</v>
          </cell>
          <cell r="O165" t="str">
            <v>Trade Debtors (Ctrl)</v>
          </cell>
          <cell r="P165" t="str">
            <v/>
          </cell>
          <cell r="Q165" t="str">
            <v>11</v>
          </cell>
          <cell r="R165" t="str">
            <v>USD</v>
          </cell>
          <cell r="S165">
            <v>-945.75</v>
          </cell>
          <cell r="T165" t="str">
            <v>INR</v>
          </cell>
          <cell r="U165">
            <v>-81988.259999999995</v>
          </cell>
        </row>
        <row r="166">
          <cell r="M166">
            <v>256779420491</v>
          </cell>
          <cell r="N166" t="str">
            <v>212100</v>
          </cell>
          <cell r="O166" t="str">
            <v>Trade Debtors (Ctrl)</v>
          </cell>
          <cell r="P166" t="str">
            <v/>
          </cell>
          <cell r="Q166" t="str">
            <v>11</v>
          </cell>
          <cell r="R166" t="str">
            <v>USD</v>
          </cell>
          <cell r="S166">
            <v>-1166.5899999999999</v>
          </cell>
          <cell r="T166" t="str">
            <v>INR</v>
          </cell>
          <cell r="U166">
            <v>-101402.13</v>
          </cell>
        </row>
        <row r="167">
          <cell r="M167">
            <v>256779420525</v>
          </cell>
          <cell r="N167" t="str">
            <v>212100</v>
          </cell>
          <cell r="O167" t="str">
            <v>Trade Debtors (Ctrl)</v>
          </cell>
          <cell r="P167" t="str">
            <v/>
          </cell>
          <cell r="Q167" t="str">
            <v>11</v>
          </cell>
          <cell r="R167" t="str">
            <v>USD</v>
          </cell>
          <cell r="S167">
            <v>-1143.1199999999999</v>
          </cell>
          <cell r="T167" t="str">
            <v>INR</v>
          </cell>
          <cell r="U167">
            <v>-99362.07</v>
          </cell>
        </row>
        <row r="168">
          <cell r="M168">
            <v>256779413256</v>
          </cell>
          <cell r="N168" t="str">
            <v>212100</v>
          </cell>
          <cell r="O168" t="str">
            <v>Trade Debtors (Ctrl)</v>
          </cell>
          <cell r="P168" t="str">
            <v/>
          </cell>
          <cell r="Q168" t="str">
            <v>01</v>
          </cell>
          <cell r="R168" t="str">
            <v>USD</v>
          </cell>
          <cell r="S168">
            <v>270</v>
          </cell>
          <cell r="T168" t="str">
            <v>INR</v>
          </cell>
          <cell r="U168">
            <v>23215.599999999999</v>
          </cell>
        </row>
        <row r="169">
          <cell r="M169">
            <v>256779413284</v>
          </cell>
          <cell r="N169" t="str">
            <v>212100</v>
          </cell>
          <cell r="O169" t="str">
            <v>Trade Debtors (Ctrl)</v>
          </cell>
          <cell r="P169" t="str">
            <v/>
          </cell>
          <cell r="Q169" t="str">
            <v>01</v>
          </cell>
          <cell r="R169" t="str">
            <v>USD</v>
          </cell>
          <cell r="S169">
            <v>35</v>
          </cell>
          <cell r="T169" t="str">
            <v>INR</v>
          </cell>
          <cell r="U169">
            <v>3009.43</v>
          </cell>
        </row>
        <row r="170">
          <cell r="M170">
            <v>256779413313</v>
          </cell>
          <cell r="N170" t="str">
            <v>212100</v>
          </cell>
          <cell r="O170" t="str">
            <v>Trade Debtors (Ctrl)</v>
          </cell>
          <cell r="P170" t="str">
            <v/>
          </cell>
          <cell r="Q170" t="str">
            <v>01</v>
          </cell>
          <cell r="R170" t="str">
            <v>USD</v>
          </cell>
          <cell r="S170">
            <v>86</v>
          </cell>
          <cell r="T170" t="str">
            <v>INR</v>
          </cell>
          <cell r="U170">
            <v>7394.6</v>
          </cell>
        </row>
        <row r="171">
          <cell r="M171">
            <v>256779413358</v>
          </cell>
          <cell r="N171" t="str">
            <v>212100</v>
          </cell>
          <cell r="O171" t="str">
            <v>Trade Debtors (Ctrl)</v>
          </cell>
          <cell r="P171" t="str">
            <v/>
          </cell>
          <cell r="Q171" t="str">
            <v>01</v>
          </cell>
          <cell r="R171" t="str">
            <v>USD</v>
          </cell>
          <cell r="S171">
            <v>20.11</v>
          </cell>
          <cell r="T171" t="str">
            <v>INR</v>
          </cell>
          <cell r="U171">
            <v>1729.13</v>
          </cell>
        </row>
        <row r="172">
          <cell r="M172">
            <v>256779413897</v>
          </cell>
          <cell r="N172" t="str">
            <v>212100</v>
          </cell>
          <cell r="O172" t="str">
            <v>Trade Debtors (Ctrl)</v>
          </cell>
          <cell r="P172" t="str">
            <v/>
          </cell>
          <cell r="Q172" t="str">
            <v>01</v>
          </cell>
          <cell r="R172" t="str">
            <v>USD</v>
          </cell>
          <cell r="S172">
            <v>553.24</v>
          </cell>
          <cell r="T172" t="str">
            <v>INR</v>
          </cell>
          <cell r="U172">
            <v>47569.62</v>
          </cell>
        </row>
        <row r="173">
          <cell r="M173">
            <v>256779415432</v>
          </cell>
          <cell r="N173" t="str">
            <v>212100</v>
          </cell>
          <cell r="O173" t="str">
            <v>Trade Debtors (Ctrl)</v>
          </cell>
          <cell r="P173" t="str">
            <v/>
          </cell>
          <cell r="Q173" t="str">
            <v>01</v>
          </cell>
          <cell r="R173" t="str">
            <v>USD</v>
          </cell>
          <cell r="S173">
            <v>296.64</v>
          </cell>
          <cell r="T173" t="str">
            <v>INR</v>
          </cell>
          <cell r="U173">
            <v>25511.24</v>
          </cell>
        </row>
        <row r="174">
          <cell r="M174">
            <v>256779415482</v>
          </cell>
          <cell r="N174" t="str">
            <v>212100</v>
          </cell>
          <cell r="O174" t="str">
            <v>Trade Debtors (Ctrl)</v>
          </cell>
          <cell r="P174" t="str">
            <v/>
          </cell>
          <cell r="Q174" t="str">
            <v>01</v>
          </cell>
          <cell r="R174" t="str">
            <v>USD</v>
          </cell>
          <cell r="S174">
            <v>860.97</v>
          </cell>
          <cell r="T174" t="str">
            <v>INR</v>
          </cell>
          <cell r="U174">
            <v>74044</v>
          </cell>
        </row>
        <row r="175">
          <cell r="M175">
            <v>256779415524</v>
          </cell>
          <cell r="N175" t="str">
            <v>212100</v>
          </cell>
          <cell r="O175" t="str">
            <v>Trade Debtors (Ctrl)</v>
          </cell>
          <cell r="P175" t="str">
            <v/>
          </cell>
          <cell r="Q175" t="str">
            <v>01</v>
          </cell>
          <cell r="R175" t="str">
            <v>USD</v>
          </cell>
          <cell r="S175">
            <v>73.12</v>
          </cell>
          <cell r="T175" t="str">
            <v>INR</v>
          </cell>
          <cell r="U175">
            <v>6288.37</v>
          </cell>
        </row>
        <row r="176">
          <cell r="M176">
            <v>256779415701</v>
          </cell>
          <cell r="N176" t="str">
            <v>212100</v>
          </cell>
          <cell r="O176" t="str">
            <v>Trade Debtors (Ctrl)</v>
          </cell>
          <cell r="P176" t="str">
            <v/>
          </cell>
          <cell r="Q176" t="str">
            <v>01</v>
          </cell>
          <cell r="R176" t="str">
            <v>USD</v>
          </cell>
          <cell r="S176">
            <v>660</v>
          </cell>
          <cell r="T176" t="str">
            <v>INR</v>
          </cell>
          <cell r="U176">
            <v>56760.44</v>
          </cell>
        </row>
        <row r="177">
          <cell r="M177">
            <v>256779415802</v>
          </cell>
          <cell r="N177" t="str">
            <v>212100</v>
          </cell>
          <cell r="O177" t="str">
            <v>Trade Debtors (Ctrl)</v>
          </cell>
          <cell r="P177" t="str">
            <v/>
          </cell>
          <cell r="Q177" t="str">
            <v>01</v>
          </cell>
          <cell r="R177" t="str">
            <v>USD</v>
          </cell>
          <cell r="S177">
            <v>860.97</v>
          </cell>
          <cell r="T177" t="str">
            <v>INR</v>
          </cell>
          <cell r="U177">
            <v>74044</v>
          </cell>
        </row>
        <row r="178">
          <cell r="M178">
            <v>246779411301</v>
          </cell>
          <cell r="N178" t="str">
            <v>212100</v>
          </cell>
          <cell r="O178" t="str">
            <v>Trade Debtors (Ctrl)</v>
          </cell>
          <cell r="P178" t="str">
            <v/>
          </cell>
          <cell r="Q178" t="str">
            <v>01</v>
          </cell>
          <cell r="R178" t="str">
            <v>USD</v>
          </cell>
          <cell r="S178">
            <v>85</v>
          </cell>
          <cell r="T178" t="str">
            <v>INR</v>
          </cell>
          <cell r="U178">
            <v>7368.76</v>
          </cell>
        </row>
        <row r="179">
          <cell r="M179">
            <v>246779411315</v>
          </cell>
          <cell r="N179" t="str">
            <v>212100</v>
          </cell>
          <cell r="O179" t="str">
            <v>Trade Debtors (Ctrl)</v>
          </cell>
          <cell r="P179" t="str">
            <v/>
          </cell>
          <cell r="Q179" t="str">
            <v>01</v>
          </cell>
          <cell r="R179" t="str">
            <v>USD</v>
          </cell>
          <cell r="S179">
            <v>35</v>
          </cell>
          <cell r="T179" t="str">
            <v>INR</v>
          </cell>
          <cell r="U179">
            <v>3034.19</v>
          </cell>
        </row>
        <row r="180">
          <cell r="M180">
            <v>246779411279</v>
          </cell>
          <cell r="N180" t="str">
            <v>212100</v>
          </cell>
          <cell r="O180" t="str">
            <v>Trade Debtors (Ctrl)</v>
          </cell>
          <cell r="P180" t="str">
            <v/>
          </cell>
          <cell r="Q180" t="str">
            <v>01</v>
          </cell>
          <cell r="R180" t="str">
            <v>USD</v>
          </cell>
          <cell r="S180">
            <v>35</v>
          </cell>
          <cell r="T180" t="str">
            <v>INR</v>
          </cell>
          <cell r="U180">
            <v>3034.19</v>
          </cell>
        </row>
        <row r="181">
          <cell r="M181">
            <v>246779413797</v>
          </cell>
          <cell r="N181" t="str">
            <v>212100</v>
          </cell>
          <cell r="O181" t="str">
            <v>Trade Debtors (Ctrl)</v>
          </cell>
          <cell r="P181" t="str">
            <v/>
          </cell>
          <cell r="Q181" t="str">
            <v>01</v>
          </cell>
          <cell r="R181" t="str">
            <v>USD</v>
          </cell>
          <cell r="S181">
            <v>1750</v>
          </cell>
          <cell r="T181" t="str">
            <v>INR</v>
          </cell>
          <cell r="U181">
            <v>151709.71</v>
          </cell>
        </row>
        <row r="182">
          <cell r="M182">
            <v>246779413808</v>
          </cell>
          <cell r="N182" t="str">
            <v>212100</v>
          </cell>
          <cell r="O182" t="str">
            <v>Trade Debtors (Ctrl)</v>
          </cell>
          <cell r="P182" t="str">
            <v/>
          </cell>
          <cell r="Q182" t="str">
            <v>01</v>
          </cell>
          <cell r="R182" t="str">
            <v>USD</v>
          </cell>
          <cell r="S182">
            <v>1600</v>
          </cell>
          <cell r="T182" t="str">
            <v>INR</v>
          </cell>
          <cell r="U182">
            <v>138706.01999999999</v>
          </cell>
        </row>
        <row r="183">
          <cell r="M183">
            <v>246779413817</v>
          </cell>
          <cell r="N183" t="str">
            <v>212100</v>
          </cell>
          <cell r="O183" t="str">
            <v>Trade Debtors (Ctrl)</v>
          </cell>
          <cell r="P183" t="str">
            <v/>
          </cell>
          <cell r="Q183" t="str">
            <v>01</v>
          </cell>
          <cell r="R183" t="str">
            <v>USD</v>
          </cell>
          <cell r="S183">
            <v>50</v>
          </cell>
          <cell r="T183" t="str">
            <v>INR</v>
          </cell>
          <cell r="U183">
            <v>4334.5600000000004</v>
          </cell>
        </row>
        <row r="184">
          <cell r="M184">
            <v>246779413828</v>
          </cell>
          <cell r="N184" t="str">
            <v>212100</v>
          </cell>
          <cell r="O184" t="str">
            <v>Trade Debtors (Ctrl)</v>
          </cell>
          <cell r="P184" t="str">
            <v/>
          </cell>
          <cell r="Q184" t="str">
            <v>01</v>
          </cell>
          <cell r="R184" t="str">
            <v>USD</v>
          </cell>
          <cell r="S184">
            <v>50</v>
          </cell>
          <cell r="T184" t="str">
            <v>INR</v>
          </cell>
          <cell r="U184">
            <v>4334.5600000000004</v>
          </cell>
        </row>
        <row r="185">
          <cell r="M185">
            <v>246779413905</v>
          </cell>
          <cell r="N185" t="str">
            <v>212100</v>
          </cell>
          <cell r="O185" t="str">
            <v>Trade Debtors (Ctrl)</v>
          </cell>
          <cell r="P185" t="str">
            <v/>
          </cell>
          <cell r="Q185" t="str">
            <v>01</v>
          </cell>
          <cell r="R185" t="str">
            <v>USD</v>
          </cell>
          <cell r="S185">
            <v>4.4000000000000004</v>
          </cell>
          <cell r="T185" t="str">
            <v>INR</v>
          </cell>
          <cell r="U185">
            <v>381.44</v>
          </cell>
        </row>
        <row r="186">
          <cell r="M186">
            <v>246779414143</v>
          </cell>
          <cell r="N186" t="str">
            <v>212100</v>
          </cell>
          <cell r="O186" t="str">
            <v>Trade Debtors (Ctrl)</v>
          </cell>
          <cell r="P186" t="str">
            <v/>
          </cell>
          <cell r="Q186" t="str">
            <v>01</v>
          </cell>
          <cell r="R186" t="str">
            <v>USD</v>
          </cell>
          <cell r="S186">
            <v>566.11</v>
          </cell>
          <cell r="T186" t="str">
            <v>INR</v>
          </cell>
          <cell r="U186">
            <v>49076.79</v>
          </cell>
        </row>
        <row r="187">
          <cell r="M187">
            <v>246779414144</v>
          </cell>
          <cell r="N187" t="str">
            <v>212100</v>
          </cell>
          <cell r="O187" t="str">
            <v>Trade Debtors (Ctrl)</v>
          </cell>
          <cell r="P187" t="str">
            <v/>
          </cell>
          <cell r="Q187" t="str">
            <v>01</v>
          </cell>
          <cell r="R187" t="str">
            <v>USD</v>
          </cell>
          <cell r="S187">
            <v>126</v>
          </cell>
          <cell r="T187" t="str">
            <v>INR</v>
          </cell>
          <cell r="U187">
            <v>10923.1</v>
          </cell>
        </row>
        <row r="188">
          <cell r="M188">
            <v>246779414145</v>
          </cell>
          <cell r="N188" t="str">
            <v>212100</v>
          </cell>
          <cell r="O188" t="str">
            <v>Trade Debtors (Ctrl)</v>
          </cell>
          <cell r="P188" t="str">
            <v/>
          </cell>
          <cell r="Q188" t="str">
            <v>01</v>
          </cell>
          <cell r="R188" t="str">
            <v>USD</v>
          </cell>
          <cell r="S188">
            <v>150</v>
          </cell>
          <cell r="T188" t="str">
            <v>INR</v>
          </cell>
          <cell r="U188">
            <v>13003.69</v>
          </cell>
        </row>
        <row r="189">
          <cell r="M189">
            <v>246779414146</v>
          </cell>
          <cell r="N189" t="str">
            <v>212100</v>
          </cell>
          <cell r="O189" t="str">
            <v>Trade Debtors (Ctrl)</v>
          </cell>
          <cell r="P189" t="str">
            <v/>
          </cell>
          <cell r="Q189" t="str">
            <v>01</v>
          </cell>
          <cell r="R189" t="str">
            <v>USD</v>
          </cell>
          <cell r="S189">
            <v>19.350000000000001</v>
          </cell>
          <cell r="T189" t="str">
            <v>INR</v>
          </cell>
          <cell r="U189">
            <v>1677.48</v>
          </cell>
        </row>
        <row r="190">
          <cell r="M190">
            <v>246779414222</v>
          </cell>
          <cell r="N190" t="str">
            <v>212100</v>
          </cell>
          <cell r="O190" t="str">
            <v>Trade Debtors (Ctrl)</v>
          </cell>
          <cell r="P190" t="str">
            <v/>
          </cell>
          <cell r="Q190" t="str">
            <v>01</v>
          </cell>
          <cell r="R190" t="str">
            <v>USD</v>
          </cell>
          <cell r="S190">
            <v>196.78</v>
          </cell>
          <cell r="T190" t="str">
            <v>INR</v>
          </cell>
          <cell r="U190">
            <v>17059.11</v>
          </cell>
        </row>
        <row r="191">
          <cell r="M191">
            <v>246779414397</v>
          </cell>
          <cell r="N191" t="str">
            <v>212100</v>
          </cell>
          <cell r="O191" t="str">
            <v>Trade Debtors (Ctrl)</v>
          </cell>
          <cell r="P191" t="str">
            <v/>
          </cell>
          <cell r="Q191" t="str">
            <v>01</v>
          </cell>
          <cell r="R191" t="str">
            <v>USD</v>
          </cell>
          <cell r="S191">
            <v>7.03</v>
          </cell>
          <cell r="T191" t="str">
            <v>INR</v>
          </cell>
          <cell r="U191">
            <v>609.44000000000005</v>
          </cell>
        </row>
        <row r="192">
          <cell r="M192">
            <v>246779414398</v>
          </cell>
          <cell r="N192" t="str">
            <v>212100</v>
          </cell>
          <cell r="O192" t="str">
            <v>Trade Debtors (Ctrl)</v>
          </cell>
          <cell r="P192" t="str">
            <v/>
          </cell>
          <cell r="Q192" t="str">
            <v>01</v>
          </cell>
          <cell r="R192" t="str">
            <v>USD</v>
          </cell>
          <cell r="S192">
            <v>32.380000000000003</v>
          </cell>
          <cell r="T192" t="str">
            <v>INR</v>
          </cell>
          <cell r="U192">
            <v>2807.06</v>
          </cell>
        </row>
        <row r="193">
          <cell r="M193">
            <v>246779414399</v>
          </cell>
          <cell r="N193" t="str">
            <v>212100</v>
          </cell>
          <cell r="O193" t="str">
            <v>Trade Debtors (Ctrl)</v>
          </cell>
          <cell r="P193" t="str">
            <v/>
          </cell>
          <cell r="Q193" t="str">
            <v>01</v>
          </cell>
          <cell r="R193" t="str">
            <v>USD</v>
          </cell>
          <cell r="S193">
            <v>77.040000000000006</v>
          </cell>
          <cell r="T193" t="str">
            <v>INR</v>
          </cell>
          <cell r="U193">
            <v>6678.69</v>
          </cell>
        </row>
        <row r="194">
          <cell r="M194">
            <v>246779414735</v>
          </cell>
          <cell r="N194" t="str">
            <v>212100</v>
          </cell>
          <cell r="O194" t="str">
            <v>Trade Debtors (Ctrl)</v>
          </cell>
          <cell r="P194" t="str">
            <v/>
          </cell>
          <cell r="Q194" t="str">
            <v>01</v>
          </cell>
          <cell r="R194" t="str">
            <v>USD</v>
          </cell>
          <cell r="S194">
            <v>97.4</v>
          </cell>
          <cell r="T194" t="str">
            <v>INR</v>
          </cell>
          <cell r="U194">
            <v>8443.73</v>
          </cell>
        </row>
        <row r="195">
          <cell r="M195">
            <v>246779414886</v>
          </cell>
          <cell r="N195" t="str">
            <v>212100</v>
          </cell>
          <cell r="O195" t="str">
            <v>Trade Debtors (Ctrl)</v>
          </cell>
          <cell r="P195" t="str">
            <v/>
          </cell>
          <cell r="Q195" t="str">
            <v>01</v>
          </cell>
          <cell r="R195" t="str">
            <v>USD</v>
          </cell>
          <cell r="S195">
            <v>30.8</v>
          </cell>
          <cell r="T195" t="str">
            <v>INR</v>
          </cell>
          <cell r="U195">
            <v>2670.09</v>
          </cell>
        </row>
        <row r="196">
          <cell r="M196">
            <v>246779414887</v>
          </cell>
          <cell r="N196" t="str">
            <v>212100</v>
          </cell>
          <cell r="O196" t="str">
            <v>Trade Debtors (Ctrl)</v>
          </cell>
          <cell r="P196" t="str">
            <v/>
          </cell>
          <cell r="Q196" t="str">
            <v>01</v>
          </cell>
          <cell r="R196" t="str">
            <v>USD</v>
          </cell>
          <cell r="S196">
            <v>7.27</v>
          </cell>
          <cell r="T196" t="str">
            <v>INR</v>
          </cell>
          <cell r="U196">
            <v>630.25</v>
          </cell>
        </row>
        <row r="197">
          <cell r="M197">
            <v>246779414888</v>
          </cell>
          <cell r="N197" t="str">
            <v>212100</v>
          </cell>
          <cell r="O197" t="str">
            <v>Trade Debtors (Ctrl)</v>
          </cell>
          <cell r="P197" t="str">
            <v/>
          </cell>
          <cell r="Q197" t="str">
            <v>01</v>
          </cell>
          <cell r="R197" t="str">
            <v>USD</v>
          </cell>
          <cell r="S197">
            <v>10.91</v>
          </cell>
          <cell r="T197" t="str">
            <v>INR</v>
          </cell>
          <cell r="U197">
            <v>945.8</v>
          </cell>
        </row>
        <row r="198">
          <cell r="M198">
            <v>246779414889</v>
          </cell>
          <cell r="N198" t="str">
            <v>212100</v>
          </cell>
          <cell r="O198" t="str">
            <v>Trade Debtors (Ctrl)</v>
          </cell>
          <cell r="P198" t="str">
            <v/>
          </cell>
          <cell r="Q198" t="str">
            <v>01</v>
          </cell>
          <cell r="R198" t="str">
            <v>USD</v>
          </cell>
          <cell r="S198">
            <v>2.52</v>
          </cell>
          <cell r="T198" t="str">
            <v>INR</v>
          </cell>
          <cell r="U198">
            <v>218.46</v>
          </cell>
        </row>
        <row r="199">
          <cell r="M199">
            <v>246779414890</v>
          </cell>
          <cell r="N199" t="str">
            <v>212100</v>
          </cell>
          <cell r="O199" t="str">
            <v>Trade Debtors (Ctrl)</v>
          </cell>
          <cell r="P199" t="str">
            <v/>
          </cell>
          <cell r="Q199" t="str">
            <v>01</v>
          </cell>
          <cell r="R199" t="str">
            <v>USD</v>
          </cell>
          <cell r="S199">
            <v>44</v>
          </cell>
          <cell r="T199" t="str">
            <v>INR</v>
          </cell>
          <cell r="U199">
            <v>3814.42</v>
          </cell>
        </row>
        <row r="200">
          <cell r="M200">
            <v>246779414468</v>
          </cell>
          <cell r="N200" t="str">
            <v>212100</v>
          </cell>
          <cell r="O200" t="str">
            <v>Trade Debtors (Ctrl)</v>
          </cell>
          <cell r="P200" t="str">
            <v/>
          </cell>
          <cell r="Q200" t="str">
            <v>01</v>
          </cell>
          <cell r="R200" t="str">
            <v>USD</v>
          </cell>
          <cell r="S200">
            <v>92.22</v>
          </cell>
          <cell r="T200" t="str">
            <v>INR</v>
          </cell>
          <cell r="U200">
            <v>7994.67</v>
          </cell>
        </row>
        <row r="201">
          <cell r="M201">
            <v>246779414604</v>
          </cell>
          <cell r="N201" t="str">
            <v>212100</v>
          </cell>
          <cell r="O201" t="str">
            <v>Trade Debtors (Ctrl)</v>
          </cell>
          <cell r="P201" t="str">
            <v/>
          </cell>
          <cell r="Q201" t="str">
            <v>01</v>
          </cell>
          <cell r="R201" t="str">
            <v>USD</v>
          </cell>
          <cell r="S201">
            <v>458.06</v>
          </cell>
          <cell r="T201" t="str">
            <v>INR</v>
          </cell>
          <cell r="U201">
            <v>39709.800000000003</v>
          </cell>
        </row>
        <row r="202">
          <cell r="M202">
            <v>246779414682</v>
          </cell>
          <cell r="N202" t="str">
            <v>212100</v>
          </cell>
          <cell r="O202" t="str">
            <v>Trade Debtors (Ctrl)</v>
          </cell>
          <cell r="P202" t="str">
            <v/>
          </cell>
          <cell r="Q202" t="str">
            <v>01</v>
          </cell>
          <cell r="R202" t="str">
            <v>USD</v>
          </cell>
          <cell r="S202">
            <v>90.86</v>
          </cell>
          <cell r="T202" t="str">
            <v>INR</v>
          </cell>
          <cell r="U202">
            <v>7876.77</v>
          </cell>
        </row>
        <row r="203">
          <cell r="M203">
            <v>246779410029</v>
          </cell>
          <cell r="N203" t="str">
            <v>212100</v>
          </cell>
          <cell r="O203" t="str">
            <v>Trade Debtors (Ctrl)</v>
          </cell>
          <cell r="P203" t="str">
            <v/>
          </cell>
          <cell r="Q203" t="str">
            <v>01</v>
          </cell>
          <cell r="R203" t="str">
            <v>USD</v>
          </cell>
          <cell r="S203">
            <v>1190.48</v>
          </cell>
          <cell r="T203" t="str">
            <v>INR</v>
          </cell>
          <cell r="U203">
            <v>102742.78</v>
          </cell>
        </row>
        <row r="204">
          <cell r="M204">
            <v>246779410055</v>
          </cell>
          <cell r="N204" t="str">
            <v>212100</v>
          </cell>
          <cell r="O204" t="str">
            <v>Trade Debtors (Ctrl)</v>
          </cell>
          <cell r="P204" t="str">
            <v/>
          </cell>
          <cell r="Q204" t="str">
            <v>01</v>
          </cell>
          <cell r="R204" t="str">
            <v>USD</v>
          </cell>
          <cell r="S204">
            <v>416.67</v>
          </cell>
          <cell r="T204" t="str">
            <v>INR</v>
          </cell>
          <cell r="U204">
            <v>35960.15</v>
          </cell>
        </row>
        <row r="205">
          <cell r="M205">
            <v>246779410097</v>
          </cell>
          <cell r="N205" t="str">
            <v>212100</v>
          </cell>
          <cell r="O205" t="str">
            <v>Trade Debtors (Ctrl)</v>
          </cell>
          <cell r="P205" t="str">
            <v/>
          </cell>
          <cell r="Q205" t="str">
            <v>01</v>
          </cell>
          <cell r="R205" t="str">
            <v>USD</v>
          </cell>
          <cell r="S205">
            <v>1190.48</v>
          </cell>
          <cell r="T205" t="str">
            <v>INR</v>
          </cell>
          <cell r="U205">
            <v>102742.78</v>
          </cell>
        </row>
        <row r="206">
          <cell r="M206">
            <v>246779410123</v>
          </cell>
          <cell r="N206" t="str">
            <v>212100</v>
          </cell>
          <cell r="O206" t="str">
            <v>Trade Debtors (Ctrl)</v>
          </cell>
          <cell r="P206" t="str">
            <v/>
          </cell>
          <cell r="Q206" t="str">
            <v>01</v>
          </cell>
          <cell r="R206" t="str">
            <v>USD</v>
          </cell>
          <cell r="S206">
            <v>416.67</v>
          </cell>
          <cell r="T206" t="str">
            <v>INR</v>
          </cell>
          <cell r="U206">
            <v>35960.15</v>
          </cell>
        </row>
        <row r="207">
          <cell r="M207">
            <v>246779410140</v>
          </cell>
          <cell r="N207" t="str">
            <v>212100</v>
          </cell>
          <cell r="O207" t="str">
            <v>Trade Debtors (Ctrl)</v>
          </cell>
          <cell r="P207" t="str">
            <v/>
          </cell>
          <cell r="Q207" t="str">
            <v>01</v>
          </cell>
          <cell r="R207" t="str">
            <v>USD</v>
          </cell>
          <cell r="S207">
            <v>1190.48</v>
          </cell>
          <cell r="T207" t="str">
            <v>INR</v>
          </cell>
          <cell r="U207">
            <v>102742.78</v>
          </cell>
        </row>
        <row r="208">
          <cell r="M208">
            <v>246779410166</v>
          </cell>
          <cell r="N208" t="str">
            <v>212100</v>
          </cell>
          <cell r="O208" t="str">
            <v>Trade Debtors (Ctrl)</v>
          </cell>
          <cell r="P208" t="str">
            <v/>
          </cell>
          <cell r="Q208" t="str">
            <v>01</v>
          </cell>
          <cell r="R208" t="str">
            <v>USD</v>
          </cell>
          <cell r="S208">
            <v>416.67</v>
          </cell>
          <cell r="T208" t="str">
            <v>INR</v>
          </cell>
          <cell r="U208">
            <v>35960.15</v>
          </cell>
        </row>
        <row r="209">
          <cell r="M209">
            <v>246779410183</v>
          </cell>
          <cell r="N209" t="str">
            <v>212100</v>
          </cell>
          <cell r="O209" t="str">
            <v>Trade Debtors (Ctrl)</v>
          </cell>
          <cell r="P209" t="str">
            <v/>
          </cell>
          <cell r="Q209" t="str">
            <v>01</v>
          </cell>
          <cell r="R209" t="str">
            <v>USD</v>
          </cell>
          <cell r="S209">
            <v>1166.5899999999999</v>
          </cell>
          <cell r="T209" t="str">
            <v>INR</v>
          </cell>
          <cell r="U209">
            <v>100680.99</v>
          </cell>
        </row>
        <row r="210">
          <cell r="M210">
            <v>246779410209</v>
          </cell>
          <cell r="N210" t="str">
            <v>212100</v>
          </cell>
          <cell r="O210" t="str">
            <v>Trade Debtors (Ctrl)</v>
          </cell>
          <cell r="P210" t="str">
            <v/>
          </cell>
          <cell r="Q210" t="str">
            <v>01</v>
          </cell>
          <cell r="R210" t="str">
            <v>USD</v>
          </cell>
          <cell r="S210">
            <v>408.31</v>
          </cell>
          <cell r="T210" t="str">
            <v>INR</v>
          </cell>
          <cell r="U210">
            <v>35238.65</v>
          </cell>
        </row>
        <row r="211">
          <cell r="M211">
            <v>246779410226</v>
          </cell>
          <cell r="N211" t="str">
            <v>212100</v>
          </cell>
          <cell r="O211" t="str">
            <v>Trade Debtors (Ctrl)</v>
          </cell>
          <cell r="P211" t="str">
            <v/>
          </cell>
          <cell r="Q211" t="str">
            <v>01</v>
          </cell>
          <cell r="R211" t="str">
            <v>USD</v>
          </cell>
          <cell r="S211">
            <v>1143.1199999999999</v>
          </cell>
          <cell r="T211" t="str">
            <v>INR</v>
          </cell>
          <cell r="U211">
            <v>98655.44</v>
          </cell>
        </row>
        <row r="212">
          <cell r="M212">
            <v>246779410252</v>
          </cell>
          <cell r="N212" t="str">
            <v>212100</v>
          </cell>
          <cell r="O212" t="str">
            <v>Trade Debtors (Ctrl)</v>
          </cell>
          <cell r="P212" t="str">
            <v/>
          </cell>
          <cell r="Q212" t="str">
            <v>01</v>
          </cell>
          <cell r="R212" t="str">
            <v>USD</v>
          </cell>
          <cell r="S212">
            <v>400.09</v>
          </cell>
          <cell r="T212" t="str">
            <v>INR</v>
          </cell>
          <cell r="U212">
            <v>34529.230000000003</v>
          </cell>
        </row>
        <row r="213">
          <cell r="M213">
            <v>246779410276</v>
          </cell>
          <cell r="N213" t="str">
            <v>212100</v>
          </cell>
          <cell r="O213" t="str">
            <v>Trade Debtors (Ctrl)</v>
          </cell>
          <cell r="P213" t="str">
            <v/>
          </cell>
          <cell r="Q213" t="str">
            <v>01</v>
          </cell>
          <cell r="R213" t="str">
            <v>USD</v>
          </cell>
          <cell r="S213">
            <v>1190.48</v>
          </cell>
          <cell r="T213" t="str">
            <v>INR</v>
          </cell>
          <cell r="U213">
            <v>102742.78</v>
          </cell>
        </row>
        <row r="214">
          <cell r="M214">
            <v>246779410308</v>
          </cell>
          <cell r="N214" t="str">
            <v>212100</v>
          </cell>
          <cell r="O214" t="str">
            <v>Trade Debtors (Ctrl)</v>
          </cell>
          <cell r="P214" t="str">
            <v/>
          </cell>
          <cell r="Q214" t="str">
            <v>01</v>
          </cell>
          <cell r="R214" t="str">
            <v>USD</v>
          </cell>
          <cell r="S214">
            <v>416.67</v>
          </cell>
          <cell r="T214" t="str">
            <v>INR</v>
          </cell>
          <cell r="U214">
            <v>35960.15</v>
          </cell>
        </row>
        <row r="215">
          <cell r="M215">
            <v>246779410077</v>
          </cell>
          <cell r="N215" t="str">
            <v>212100</v>
          </cell>
          <cell r="O215" t="str">
            <v>Trade Debtors (Ctrl)</v>
          </cell>
          <cell r="P215" t="str">
            <v/>
          </cell>
          <cell r="Q215" t="str">
            <v>01</v>
          </cell>
          <cell r="R215" t="str">
            <v>USD</v>
          </cell>
          <cell r="S215">
            <v>416.67</v>
          </cell>
          <cell r="T215" t="str">
            <v>INR</v>
          </cell>
          <cell r="U215">
            <v>35960.15</v>
          </cell>
        </row>
        <row r="216">
          <cell r="M216">
            <v>256779416817</v>
          </cell>
          <cell r="N216" t="str">
            <v>212100</v>
          </cell>
          <cell r="O216" t="str">
            <v>Trade Debtors (Ctrl)</v>
          </cell>
          <cell r="P216" t="str">
            <v/>
          </cell>
          <cell r="Q216" t="str">
            <v>01</v>
          </cell>
          <cell r="R216" t="str">
            <v>USD</v>
          </cell>
          <cell r="S216">
            <v>180</v>
          </cell>
          <cell r="T216" t="str">
            <v>INR</v>
          </cell>
          <cell r="U216">
            <v>15485.42</v>
          </cell>
        </row>
        <row r="217">
          <cell r="M217">
            <v>256779416845</v>
          </cell>
          <cell r="N217" t="str">
            <v>212100</v>
          </cell>
          <cell r="O217" t="str">
            <v>Trade Debtors (Ctrl)</v>
          </cell>
          <cell r="P217" t="str">
            <v/>
          </cell>
          <cell r="Q217" t="str">
            <v>01</v>
          </cell>
          <cell r="R217" t="str">
            <v>USD</v>
          </cell>
          <cell r="S217">
            <v>492.48</v>
          </cell>
          <cell r="T217" t="str">
            <v>INR</v>
          </cell>
          <cell r="U217">
            <v>42368.11</v>
          </cell>
        </row>
        <row r="218">
          <cell r="M218">
            <v>256779416879</v>
          </cell>
          <cell r="N218" t="str">
            <v>212100</v>
          </cell>
          <cell r="O218" t="str">
            <v>Trade Debtors (Ctrl)</v>
          </cell>
          <cell r="P218" t="str">
            <v/>
          </cell>
          <cell r="Q218" t="str">
            <v>01</v>
          </cell>
          <cell r="R218" t="str">
            <v>USD</v>
          </cell>
          <cell r="S218">
            <v>84.14</v>
          </cell>
          <cell r="T218" t="str">
            <v>INR</v>
          </cell>
          <cell r="U218">
            <v>7238.57</v>
          </cell>
        </row>
        <row r="219">
          <cell r="M219">
            <v>246779410009</v>
          </cell>
          <cell r="N219" t="str">
            <v>212100</v>
          </cell>
          <cell r="O219" t="str">
            <v>Trade Debtors (Ctrl)</v>
          </cell>
          <cell r="P219" t="str">
            <v/>
          </cell>
          <cell r="Q219" t="str">
            <v>01</v>
          </cell>
          <cell r="R219" t="str">
            <v>USD</v>
          </cell>
          <cell r="S219">
            <v>1190.48</v>
          </cell>
          <cell r="T219" t="str">
            <v>INR</v>
          </cell>
          <cell r="U219">
            <v>102742.78</v>
          </cell>
        </row>
        <row r="220">
          <cell r="M220">
            <v>256779421873</v>
          </cell>
          <cell r="N220" t="str">
            <v>212100</v>
          </cell>
          <cell r="O220" t="str">
            <v>Trade Debtors (Ctrl)</v>
          </cell>
          <cell r="P220" t="str">
            <v/>
          </cell>
          <cell r="Q220" t="str">
            <v>11</v>
          </cell>
          <cell r="R220" t="str">
            <v>USD</v>
          </cell>
          <cell r="S220">
            <v>-260.79000000000002</v>
          </cell>
          <cell r="T220" t="str">
            <v>INR</v>
          </cell>
          <cell r="U220">
            <v>-22423.69</v>
          </cell>
        </row>
        <row r="221">
          <cell r="M221">
            <v>256779414341</v>
          </cell>
          <cell r="N221" t="str">
            <v>212100</v>
          </cell>
          <cell r="O221" t="str">
            <v>Trade Debtors (Ctrl)</v>
          </cell>
          <cell r="P221" t="str">
            <v/>
          </cell>
          <cell r="Q221" t="str">
            <v>01</v>
          </cell>
          <cell r="R221" t="str">
            <v>USD</v>
          </cell>
          <cell r="S221">
            <v>200</v>
          </cell>
          <cell r="T221" t="str">
            <v>INR</v>
          </cell>
          <cell r="U221">
            <v>17098.16</v>
          </cell>
        </row>
        <row r="222">
          <cell r="M222">
            <v>256779413487</v>
          </cell>
          <cell r="N222" t="str">
            <v>212100</v>
          </cell>
          <cell r="O222" t="str">
            <v>Trade Debtors (Ctrl)</v>
          </cell>
          <cell r="P222" t="str">
            <v/>
          </cell>
          <cell r="Q222" t="str">
            <v>01</v>
          </cell>
          <cell r="R222" t="str">
            <v>USD</v>
          </cell>
          <cell r="S222">
            <v>97.9</v>
          </cell>
          <cell r="T222" t="str">
            <v>INR</v>
          </cell>
          <cell r="U222">
            <v>8417.7999999999993</v>
          </cell>
        </row>
        <row r="223">
          <cell r="M223">
            <v>256779413886</v>
          </cell>
          <cell r="N223" t="str">
            <v>212100</v>
          </cell>
          <cell r="O223" t="str">
            <v>Trade Debtors (Ctrl)</v>
          </cell>
          <cell r="P223" t="str">
            <v/>
          </cell>
          <cell r="Q223" t="str">
            <v>01</v>
          </cell>
          <cell r="R223" t="str">
            <v>USD</v>
          </cell>
          <cell r="S223">
            <v>260.79000000000002</v>
          </cell>
          <cell r="T223" t="str">
            <v>INR</v>
          </cell>
          <cell r="U223">
            <v>22423.69</v>
          </cell>
        </row>
        <row r="224">
          <cell r="M224">
            <v>256779416064</v>
          </cell>
          <cell r="N224" t="str">
            <v>212100</v>
          </cell>
          <cell r="O224" t="str">
            <v>Trade Debtors (Ctrl)</v>
          </cell>
          <cell r="P224" t="str">
            <v/>
          </cell>
          <cell r="Q224" t="str">
            <v>01</v>
          </cell>
          <cell r="R224" t="str">
            <v>USD</v>
          </cell>
          <cell r="S224">
            <v>2006</v>
          </cell>
          <cell r="T224" t="str">
            <v>INR</v>
          </cell>
          <cell r="U224">
            <v>172517.34</v>
          </cell>
        </row>
        <row r="225">
          <cell r="M225">
            <v>256779416065</v>
          </cell>
          <cell r="N225" t="str">
            <v>212100</v>
          </cell>
          <cell r="O225" t="str">
            <v>Trade Debtors (Ctrl)</v>
          </cell>
          <cell r="P225" t="str">
            <v/>
          </cell>
          <cell r="Q225" t="str">
            <v>01</v>
          </cell>
          <cell r="R225" t="str">
            <v>USD</v>
          </cell>
          <cell r="S225">
            <v>2065</v>
          </cell>
          <cell r="T225" t="str">
            <v>INR</v>
          </cell>
          <cell r="U225">
            <v>177591.38</v>
          </cell>
        </row>
        <row r="226">
          <cell r="M226">
            <v>256779416066</v>
          </cell>
          <cell r="N226" t="str">
            <v>212100</v>
          </cell>
          <cell r="O226" t="str">
            <v>Trade Debtors (Ctrl)</v>
          </cell>
          <cell r="P226" t="str">
            <v/>
          </cell>
          <cell r="Q226" t="str">
            <v>01</v>
          </cell>
          <cell r="R226" t="str">
            <v>USD</v>
          </cell>
          <cell r="S226">
            <v>2006</v>
          </cell>
          <cell r="T226" t="str">
            <v>INR</v>
          </cell>
          <cell r="U226">
            <v>172517.34</v>
          </cell>
        </row>
        <row r="227">
          <cell r="M227">
            <v>256779416067</v>
          </cell>
          <cell r="N227" t="str">
            <v>212100</v>
          </cell>
          <cell r="O227" t="str">
            <v>Trade Debtors (Ctrl)</v>
          </cell>
          <cell r="P227" t="str">
            <v/>
          </cell>
          <cell r="Q227" t="str">
            <v>01</v>
          </cell>
          <cell r="R227" t="str">
            <v>USD</v>
          </cell>
          <cell r="S227">
            <v>2065</v>
          </cell>
          <cell r="T227" t="str">
            <v>INR</v>
          </cell>
          <cell r="U227">
            <v>177591.38</v>
          </cell>
        </row>
        <row r="228">
          <cell r="M228">
            <v>256779410136</v>
          </cell>
          <cell r="N228" t="str">
            <v>212100</v>
          </cell>
          <cell r="O228" t="str">
            <v>Trade Debtors (Ctrl)</v>
          </cell>
          <cell r="P228" t="str">
            <v/>
          </cell>
          <cell r="Q228" t="str">
            <v>01</v>
          </cell>
          <cell r="R228" t="str">
            <v>USD</v>
          </cell>
          <cell r="S228">
            <v>9.85</v>
          </cell>
          <cell r="T228" t="str">
            <v>INR</v>
          </cell>
          <cell r="U228">
            <v>856.18</v>
          </cell>
        </row>
        <row r="229">
          <cell r="M229">
            <v>256779410256</v>
          </cell>
          <cell r="N229" t="str">
            <v>212100</v>
          </cell>
          <cell r="O229" t="str">
            <v>Trade Debtors (Ctrl)</v>
          </cell>
          <cell r="P229" t="str">
            <v/>
          </cell>
          <cell r="Q229" t="str">
            <v>01</v>
          </cell>
          <cell r="R229" t="str">
            <v>USD</v>
          </cell>
          <cell r="S229">
            <v>408.31</v>
          </cell>
          <cell r="T229" t="str">
            <v>INR</v>
          </cell>
          <cell r="U229">
            <v>35491.050000000003</v>
          </cell>
        </row>
        <row r="230">
          <cell r="M230">
            <v>256779410297</v>
          </cell>
          <cell r="N230" t="str">
            <v>212100</v>
          </cell>
          <cell r="O230" t="str">
            <v>Trade Debtors (Ctrl)</v>
          </cell>
          <cell r="P230" t="str">
            <v/>
          </cell>
          <cell r="Q230" t="str">
            <v>01</v>
          </cell>
          <cell r="R230" t="str">
            <v>USD</v>
          </cell>
          <cell r="S230">
            <v>400.09</v>
          </cell>
          <cell r="T230" t="str">
            <v>INR</v>
          </cell>
          <cell r="U230">
            <v>34776.550000000003</v>
          </cell>
        </row>
        <row r="231">
          <cell r="M231">
            <v>256779410230</v>
          </cell>
          <cell r="N231" t="str">
            <v>212100</v>
          </cell>
          <cell r="O231" t="str">
            <v>Trade Debtors (Ctrl)</v>
          </cell>
          <cell r="P231" t="str">
            <v/>
          </cell>
          <cell r="Q231" t="str">
            <v>01</v>
          </cell>
          <cell r="R231" t="str">
            <v>USD</v>
          </cell>
          <cell r="S231">
            <v>1166.5899999999999</v>
          </cell>
          <cell r="T231" t="str">
            <v>INR</v>
          </cell>
          <cell r="U231">
            <v>101402.13</v>
          </cell>
        </row>
        <row r="232">
          <cell r="M232">
            <v>256779410271</v>
          </cell>
          <cell r="N232" t="str">
            <v>212100</v>
          </cell>
          <cell r="O232" t="str">
            <v>Trade Debtors (Ctrl)</v>
          </cell>
          <cell r="P232" t="str">
            <v/>
          </cell>
          <cell r="Q232" t="str">
            <v>01</v>
          </cell>
          <cell r="R232" t="str">
            <v>USD</v>
          </cell>
          <cell r="S232">
            <v>1143.1199999999999</v>
          </cell>
          <cell r="T232" t="str">
            <v>INR</v>
          </cell>
          <cell r="U232">
            <v>99362.07</v>
          </cell>
        </row>
        <row r="233">
          <cell r="M233">
            <v>256779410006</v>
          </cell>
          <cell r="N233" t="str">
            <v>212100</v>
          </cell>
          <cell r="O233" t="str">
            <v>Trade Debtors (Ctrl)</v>
          </cell>
          <cell r="P233" t="str">
            <v/>
          </cell>
          <cell r="Q233" t="str">
            <v>01</v>
          </cell>
          <cell r="R233" t="str">
            <v>USD</v>
          </cell>
          <cell r="S233">
            <v>1700</v>
          </cell>
          <cell r="T233" t="str">
            <v>INR</v>
          </cell>
          <cell r="U233">
            <v>147767.09</v>
          </cell>
        </row>
        <row r="234">
          <cell r="M234">
            <v>256779410012</v>
          </cell>
          <cell r="N234" t="str">
            <v>212100</v>
          </cell>
          <cell r="O234" t="str">
            <v>Trade Debtors (Ctrl)</v>
          </cell>
          <cell r="P234" t="str">
            <v/>
          </cell>
          <cell r="Q234" t="str">
            <v>01</v>
          </cell>
          <cell r="R234" t="str">
            <v>USD</v>
          </cell>
          <cell r="S234">
            <v>1750</v>
          </cell>
          <cell r="T234" t="str">
            <v>INR</v>
          </cell>
          <cell r="U234">
            <v>152113.19</v>
          </cell>
        </row>
        <row r="235">
          <cell r="M235">
            <v>256779410015</v>
          </cell>
          <cell r="N235" t="str">
            <v>212100</v>
          </cell>
          <cell r="O235" t="str">
            <v>Trade Debtors (Ctrl)</v>
          </cell>
          <cell r="P235" t="str">
            <v/>
          </cell>
          <cell r="Q235" t="str">
            <v>01</v>
          </cell>
          <cell r="R235" t="str">
            <v>USD</v>
          </cell>
          <cell r="S235">
            <v>1700</v>
          </cell>
          <cell r="T235" t="str">
            <v>INR</v>
          </cell>
          <cell r="U235">
            <v>147767.09</v>
          </cell>
        </row>
        <row r="236">
          <cell r="M236">
            <v>256779410224</v>
          </cell>
          <cell r="N236" t="str">
            <v>212100</v>
          </cell>
          <cell r="O236" t="str">
            <v>Trade Debtors (Ctrl)</v>
          </cell>
          <cell r="P236" t="str">
            <v/>
          </cell>
          <cell r="Q236" t="str">
            <v>01</v>
          </cell>
          <cell r="R236" t="str">
            <v>USD</v>
          </cell>
          <cell r="S236">
            <v>1750</v>
          </cell>
          <cell r="T236" t="str">
            <v>INR</v>
          </cell>
          <cell r="U236">
            <v>152113.19</v>
          </cell>
        </row>
        <row r="237">
          <cell r="M237">
            <v>256779418621</v>
          </cell>
          <cell r="N237" t="str">
            <v>212100</v>
          </cell>
          <cell r="O237" t="str">
            <v>Trade Debtors (Ctrl)</v>
          </cell>
          <cell r="P237" t="str">
            <v/>
          </cell>
          <cell r="Q237" t="str">
            <v>01</v>
          </cell>
          <cell r="R237" t="str">
            <v>USD</v>
          </cell>
          <cell r="S237">
            <v>850</v>
          </cell>
          <cell r="T237" t="str">
            <v>INR</v>
          </cell>
          <cell r="U237">
            <v>74962.149999999994</v>
          </cell>
        </row>
        <row r="238">
          <cell r="M238">
            <v>256779418633</v>
          </cell>
          <cell r="N238" t="str">
            <v>212100</v>
          </cell>
          <cell r="O238" t="str">
            <v>Trade Debtors (Ctrl)</v>
          </cell>
          <cell r="P238" t="str">
            <v/>
          </cell>
          <cell r="Q238" t="str">
            <v>01</v>
          </cell>
          <cell r="R238" t="str">
            <v>USD</v>
          </cell>
          <cell r="S238">
            <v>35</v>
          </cell>
          <cell r="T238" t="str">
            <v>INR</v>
          </cell>
          <cell r="U238">
            <v>3086.68</v>
          </cell>
        </row>
        <row r="239">
          <cell r="M239">
            <v>256779418663</v>
          </cell>
          <cell r="N239" t="str">
            <v>212100</v>
          </cell>
          <cell r="O239" t="str">
            <v>Trade Debtors (Ctrl)</v>
          </cell>
          <cell r="P239" t="str">
            <v/>
          </cell>
          <cell r="Q239" t="str">
            <v>01</v>
          </cell>
          <cell r="R239" t="str">
            <v>USD</v>
          </cell>
          <cell r="S239">
            <v>293.89</v>
          </cell>
          <cell r="T239" t="str">
            <v>INR</v>
          </cell>
          <cell r="U239">
            <v>25918.39</v>
          </cell>
        </row>
        <row r="240">
          <cell r="M240">
            <v>256779418703</v>
          </cell>
          <cell r="N240" t="str">
            <v>212100</v>
          </cell>
          <cell r="O240" t="str">
            <v>Trade Debtors (Ctrl)</v>
          </cell>
          <cell r="P240" t="str">
            <v/>
          </cell>
          <cell r="Q240" t="str">
            <v>01</v>
          </cell>
          <cell r="R240" t="str">
            <v>USD</v>
          </cell>
          <cell r="S240">
            <v>9.83</v>
          </cell>
          <cell r="T240" t="str">
            <v>INR</v>
          </cell>
          <cell r="U240">
            <v>866.92</v>
          </cell>
        </row>
        <row r="241">
          <cell r="M241">
            <v>256779412142</v>
          </cell>
          <cell r="N241" t="str">
            <v>212100</v>
          </cell>
          <cell r="O241" t="str">
            <v>Trade Debtors (Ctrl)</v>
          </cell>
          <cell r="P241" t="str">
            <v/>
          </cell>
          <cell r="Q241" t="str">
            <v>01</v>
          </cell>
          <cell r="R241" t="str">
            <v>USD</v>
          </cell>
          <cell r="S241">
            <v>1165.3699999999999</v>
          </cell>
          <cell r="T241" t="str">
            <v>INR</v>
          </cell>
          <cell r="U241">
            <v>100000.4</v>
          </cell>
        </row>
        <row r="242">
          <cell r="M242">
            <v>256779412177</v>
          </cell>
          <cell r="N242" t="str">
            <v>212100</v>
          </cell>
          <cell r="O242" t="str">
            <v>Trade Debtors (Ctrl)</v>
          </cell>
          <cell r="P242" t="str">
            <v/>
          </cell>
          <cell r="Q242" t="str">
            <v>01</v>
          </cell>
          <cell r="R242" t="str">
            <v>USD</v>
          </cell>
          <cell r="S242">
            <v>407.88</v>
          </cell>
          <cell r="T242" t="str">
            <v>INR</v>
          </cell>
          <cell r="U242">
            <v>35000.18</v>
          </cell>
        </row>
        <row r="243">
          <cell r="M243">
            <v>256779421459</v>
          </cell>
          <cell r="N243" t="str">
            <v>212100</v>
          </cell>
          <cell r="O243" t="str">
            <v>Trade Debtors (Ctrl)</v>
          </cell>
          <cell r="P243" t="str">
            <v/>
          </cell>
          <cell r="Q243" t="str">
            <v>11</v>
          </cell>
          <cell r="R243" t="str">
            <v>USD</v>
          </cell>
          <cell r="S243">
            <v>-1700</v>
          </cell>
          <cell r="T243" t="str">
            <v>INR</v>
          </cell>
          <cell r="U243">
            <v>-146201.14000000001</v>
          </cell>
        </row>
        <row r="244">
          <cell r="M244">
            <v>256779421460</v>
          </cell>
          <cell r="N244" t="str">
            <v>212100</v>
          </cell>
          <cell r="O244" t="str">
            <v>Trade Debtors (Ctrl)</v>
          </cell>
          <cell r="P244" t="str">
            <v/>
          </cell>
          <cell r="Q244" t="str">
            <v>11</v>
          </cell>
          <cell r="R244" t="str">
            <v>USD</v>
          </cell>
          <cell r="S244">
            <v>-1750</v>
          </cell>
          <cell r="T244" t="str">
            <v>INR</v>
          </cell>
          <cell r="U244">
            <v>-150501.17000000001</v>
          </cell>
        </row>
        <row r="245">
          <cell r="M245">
            <v>256779421461</v>
          </cell>
          <cell r="N245" t="str">
            <v>212100</v>
          </cell>
          <cell r="O245" t="str">
            <v>Trade Debtors (Ctrl)</v>
          </cell>
          <cell r="P245" t="str">
            <v/>
          </cell>
          <cell r="Q245" t="str">
            <v>11</v>
          </cell>
          <cell r="R245" t="str">
            <v>USD</v>
          </cell>
          <cell r="S245">
            <v>-1700</v>
          </cell>
          <cell r="T245" t="str">
            <v>INR</v>
          </cell>
          <cell r="U245">
            <v>-146201.14000000001</v>
          </cell>
        </row>
        <row r="246">
          <cell r="M246">
            <v>256779421462</v>
          </cell>
          <cell r="N246" t="str">
            <v>212100</v>
          </cell>
          <cell r="O246" t="str">
            <v>Trade Debtors (Ctrl)</v>
          </cell>
          <cell r="P246" t="str">
            <v/>
          </cell>
          <cell r="Q246" t="str">
            <v>11</v>
          </cell>
          <cell r="R246" t="str">
            <v>USD</v>
          </cell>
          <cell r="S246">
            <v>-1750</v>
          </cell>
          <cell r="T246" t="str">
            <v>INR</v>
          </cell>
          <cell r="U246">
            <v>-150501.17000000001</v>
          </cell>
        </row>
        <row r="247">
          <cell r="M247">
            <v>256779421482</v>
          </cell>
          <cell r="N247" t="str">
            <v>212100</v>
          </cell>
          <cell r="O247" t="str">
            <v>Trade Debtors (Ctrl)</v>
          </cell>
          <cell r="P247" t="str">
            <v/>
          </cell>
          <cell r="Q247" t="str">
            <v>11</v>
          </cell>
          <cell r="R247" t="str">
            <v>USD</v>
          </cell>
          <cell r="S247">
            <v>-1190.48</v>
          </cell>
          <cell r="T247" t="str">
            <v>INR</v>
          </cell>
          <cell r="U247">
            <v>-102382.08</v>
          </cell>
        </row>
        <row r="248">
          <cell r="M248">
            <v>256779421504</v>
          </cell>
          <cell r="N248" t="str">
            <v>212100</v>
          </cell>
          <cell r="O248" t="str">
            <v>Trade Debtors (Ctrl)</v>
          </cell>
          <cell r="P248" t="str">
            <v/>
          </cell>
          <cell r="Q248" t="str">
            <v>11</v>
          </cell>
          <cell r="R248" t="str">
            <v>USD</v>
          </cell>
          <cell r="S248">
            <v>-1190.48</v>
          </cell>
          <cell r="T248" t="str">
            <v>INR</v>
          </cell>
          <cell r="U248">
            <v>-102382.08</v>
          </cell>
        </row>
        <row r="249">
          <cell r="M249">
            <v>256779421505</v>
          </cell>
          <cell r="N249" t="str">
            <v>212100</v>
          </cell>
          <cell r="O249" t="str">
            <v>Trade Debtors (Ctrl)</v>
          </cell>
          <cell r="P249" t="str">
            <v/>
          </cell>
          <cell r="Q249" t="str">
            <v>11</v>
          </cell>
          <cell r="R249" t="str">
            <v>USD</v>
          </cell>
          <cell r="S249">
            <v>-416.67</v>
          </cell>
          <cell r="T249" t="str">
            <v>INR</v>
          </cell>
          <cell r="U249">
            <v>-35833.9</v>
          </cell>
        </row>
        <row r="250">
          <cell r="M250">
            <v>256779421532</v>
          </cell>
          <cell r="N250" t="str">
            <v>212100</v>
          </cell>
          <cell r="O250" t="str">
            <v>Trade Debtors (Ctrl)</v>
          </cell>
          <cell r="P250" t="str">
            <v/>
          </cell>
          <cell r="Q250" t="str">
            <v>11</v>
          </cell>
          <cell r="R250" t="str">
            <v>USD</v>
          </cell>
          <cell r="S250">
            <v>-408.31</v>
          </cell>
          <cell r="T250" t="str">
            <v>INR</v>
          </cell>
          <cell r="U250">
            <v>-35114.93</v>
          </cell>
        </row>
        <row r="251">
          <cell r="M251">
            <v>256779421548</v>
          </cell>
          <cell r="N251" t="str">
            <v>212100</v>
          </cell>
          <cell r="O251" t="str">
            <v>Trade Debtors (Ctrl)</v>
          </cell>
          <cell r="P251" t="str">
            <v/>
          </cell>
          <cell r="Q251" t="str">
            <v>11</v>
          </cell>
          <cell r="R251" t="str">
            <v>USD</v>
          </cell>
          <cell r="S251">
            <v>-400.09</v>
          </cell>
          <cell r="T251" t="str">
            <v>INR</v>
          </cell>
          <cell r="U251">
            <v>-34408.01</v>
          </cell>
        </row>
        <row r="252">
          <cell r="M252">
            <v>256779414414</v>
          </cell>
          <cell r="N252" t="str">
            <v>212100</v>
          </cell>
          <cell r="O252" t="str">
            <v>Trade Debtors (Ctrl)</v>
          </cell>
          <cell r="P252" t="str">
            <v/>
          </cell>
          <cell r="Q252" t="str">
            <v>01</v>
          </cell>
          <cell r="R252" t="str">
            <v>USD</v>
          </cell>
          <cell r="S252">
            <v>1190.48</v>
          </cell>
          <cell r="T252" t="str">
            <v>INR</v>
          </cell>
          <cell r="U252">
            <v>101775.06</v>
          </cell>
        </row>
        <row r="253">
          <cell r="M253">
            <v>256779414437</v>
          </cell>
          <cell r="N253" t="str">
            <v>212100</v>
          </cell>
          <cell r="O253" t="str">
            <v>Trade Debtors (Ctrl)</v>
          </cell>
          <cell r="P253" t="str">
            <v/>
          </cell>
          <cell r="Q253" t="str">
            <v>01</v>
          </cell>
          <cell r="R253" t="str">
            <v>USD</v>
          </cell>
          <cell r="S253">
            <v>1190.48</v>
          </cell>
          <cell r="T253" t="str">
            <v>INR</v>
          </cell>
          <cell r="U253">
            <v>101775.06</v>
          </cell>
        </row>
        <row r="254">
          <cell r="M254">
            <v>256779414438</v>
          </cell>
          <cell r="N254" t="str">
            <v>212100</v>
          </cell>
          <cell r="O254" t="str">
            <v>Trade Debtors (Ctrl)</v>
          </cell>
          <cell r="P254" t="str">
            <v/>
          </cell>
          <cell r="Q254" t="str">
            <v>01</v>
          </cell>
          <cell r="R254" t="str">
            <v>USD</v>
          </cell>
          <cell r="S254">
            <v>416.67</v>
          </cell>
          <cell r="T254" t="str">
            <v>INR</v>
          </cell>
          <cell r="U254">
            <v>35621.440000000002</v>
          </cell>
        </row>
        <row r="255">
          <cell r="M255">
            <v>256779414465</v>
          </cell>
          <cell r="N255" t="str">
            <v>212100</v>
          </cell>
          <cell r="O255" t="str">
            <v>Trade Debtors (Ctrl)</v>
          </cell>
          <cell r="P255" t="str">
            <v/>
          </cell>
          <cell r="Q255" t="str">
            <v>01</v>
          </cell>
          <cell r="R255" t="str">
            <v>USD</v>
          </cell>
          <cell r="S255">
            <v>408.31</v>
          </cell>
          <cell r="T255" t="str">
            <v>INR</v>
          </cell>
          <cell r="U255">
            <v>34906.74</v>
          </cell>
        </row>
        <row r="256">
          <cell r="M256">
            <v>256779414481</v>
          </cell>
          <cell r="N256" t="str">
            <v>212100</v>
          </cell>
          <cell r="O256" t="str">
            <v>Trade Debtors (Ctrl)</v>
          </cell>
          <cell r="P256" t="str">
            <v/>
          </cell>
          <cell r="Q256" t="str">
            <v>01</v>
          </cell>
          <cell r="R256" t="str">
            <v>USD</v>
          </cell>
          <cell r="S256">
            <v>400.09</v>
          </cell>
          <cell r="T256" t="str">
            <v>INR</v>
          </cell>
          <cell r="U256">
            <v>34204.01</v>
          </cell>
        </row>
        <row r="257">
          <cell r="M257">
            <v>246779412981</v>
          </cell>
          <cell r="N257" t="str">
            <v>212100</v>
          </cell>
          <cell r="O257" t="str">
            <v>Trade Debtors (Ctrl)</v>
          </cell>
          <cell r="P257" t="str">
            <v/>
          </cell>
          <cell r="Q257" t="str">
            <v>01</v>
          </cell>
          <cell r="R257" t="str">
            <v>USD</v>
          </cell>
          <cell r="S257">
            <v>1148.6300000000001</v>
          </cell>
          <cell r="T257" t="str">
            <v>INR</v>
          </cell>
          <cell r="U257">
            <v>99576.18</v>
          </cell>
        </row>
        <row r="258">
          <cell r="M258">
            <v>246779413089</v>
          </cell>
          <cell r="N258" t="str">
            <v>212100</v>
          </cell>
          <cell r="O258" t="str">
            <v>Trade Debtors (Ctrl)</v>
          </cell>
          <cell r="P258" t="str">
            <v/>
          </cell>
          <cell r="Q258" t="str">
            <v>01</v>
          </cell>
          <cell r="R258" t="str">
            <v>USD</v>
          </cell>
          <cell r="S258">
            <v>79.05</v>
          </cell>
          <cell r="T258" t="str">
            <v>INR</v>
          </cell>
          <cell r="U258">
            <v>6852.94</v>
          </cell>
        </row>
        <row r="259">
          <cell r="M259">
            <v>246779413214</v>
          </cell>
          <cell r="N259" t="str">
            <v>212100</v>
          </cell>
          <cell r="O259" t="str">
            <v>Trade Debtors (Ctrl)</v>
          </cell>
          <cell r="P259" t="str">
            <v/>
          </cell>
          <cell r="Q259" t="str">
            <v>01</v>
          </cell>
          <cell r="R259" t="str">
            <v>USD</v>
          </cell>
          <cell r="S259">
            <v>78.12</v>
          </cell>
          <cell r="T259" t="str">
            <v>INR</v>
          </cell>
          <cell r="U259">
            <v>6772.32</v>
          </cell>
        </row>
        <row r="260">
          <cell r="M260">
            <v>246779413016</v>
          </cell>
          <cell r="N260" t="str">
            <v>212100</v>
          </cell>
          <cell r="O260" t="str">
            <v>Trade Debtors (Ctrl)</v>
          </cell>
          <cell r="P260" t="str">
            <v/>
          </cell>
          <cell r="Q260" t="str">
            <v>01</v>
          </cell>
          <cell r="R260" t="str">
            <v>USD</v>
          </cell>
          <cell r="S260">
            <v>402.02</v>
          </cell>
          <cell r="T260" t="str">
            <v>INR</v>
          </cell>
          <cell r="U260">
            <v>34851.620000000003</v>
          </cell>
        </row>
        <row r="261">
          <cell r="M261">
            <v>256779417818</v>
          </cell>
          <cell r="N261" t="str">
            <v>212100</v>
          </cell>
          <cell r="O261" t="str">
            <v>Trade Debtors (Ctrl)</v>
          </cell>
          <cell r="P261" t="str">
            <v/>
          </cell>
          <cell r="Q261" t="str">
            <v>01</v>
          </cell>
          <cell r="R261" t="str">
            <v>USD</v>
          </cell>
          <cell r="S261">
            <v>260.79000000000002</v>
          </cell>
          <cell r="T261" t="str">
            <v>INR</v>
          </cell>
          <cell r="U261">
            <v>22423.69</v>
          </cell>
        </row>
        <row r="262">
          <cell r="M262">
            <v>256779419558</v>
          </cell>
          <cell r="N262" t="str">
            <v>212100</v>
          </cell>
          <cell r="O262" t="str">
            <v>Trade Debtors (Ctrl)</v>
          </cell>
          <cell r="P262" t="str">
            <v/>
          </cell>
          <cell r="Q262" t="str">
            <v>01</v>
          </cell>
          <cell r="R262" t="str">
            <v>USD</v>
          </cell>
          <cell r="S262">
            <v>850</v>
          </cell>
          <cell r="T262" t="str">
            <v>INR</v>
          </cell>
          <cell r="U262">
            <v>74802.880000000005</v>
          </cell>
        </row>
        <row r="263">
          <cell r="M263">
            <v>256779419590</v>
          </cell>
          <cell r="N263" t="str">
            <v>212100</v>
          </cell>
          <cell r="O263" t="str">
            <v>Trade Debtors (Ctrl)</v>
          </cell>
          <cell r="P263" t="str">
            <v/>
          </cell>
          <cell r="Q263" t="str">
            <v>01</v>
          </cell>
          <cell r="R263" t="str">
            <v>USD</v>
          </cell>
          <cell r="S263">
            <v>331.5</v>
          </cell>
          <cell r="T263" t="str">
            <v>INR</v>
          </cell>
          <cell r="U263">
            <v>29173.119999999999</v>
          </cell>
        </row>
        <row r="264">
          <cell r="M264">
            <v>256779419630</v>
          </cell>
          <cell r="N264" t="str">
            <v>212100</v>
          </cell>
          <cell r="O264" t="str">
            <v>Trade Debtors (Ctrl)</v>
          </cell>
          <cell r="P264" t="str">
            <v/>
          </cell>
          <cell r="Q264" t="str">
            <v>01</v>
          </cell>
          <cell r="R264" t="str">
            <v>USD</v>
          </cell>
          <cell r="S264">
            <v>112.58</v>
          </cell>
          <cell r="T264" t="str">
            <v>INR</v>
          </cell>
          <cell r="U264">
            <v>9907.42</v>
          </cell>
        </row>
        <row r="265">
          <cell r="M265">
            <v>256779412550</v>
          </cell>
          <cell r="N265" t="str">
            <v>212100</v>
          </cell>
          <cell r="O265" t="str">
            <v>Trade Debtors (Ctrl)</v>
          </cell>
          <cell r="P265" t="str">
            <v/>
          </cell>
          <cell r="Q265" t="str">
            <v>01</v>
          </cell>
          <cell r="R265" t="str">
            <v>USD</v>
          </cell>
          <cell r="S265">
            <v>87.2</v>
          </cell>
          <cell r="T265" t="str">
            <v>INR</v>
          </cell>
          <cell r="U265">
            <v>7579.58</v>
          </cell>
        </row>
        <row r="266">
          <cell r="M266">
            <v>256779412582</v>
          </cell>
          <cell r="N266" t="str">
            <v>212100</v>
          </cell>
          <cell r="O266" t="str">
            <v>Trade Debtors (Ctrl)</v>
          </cell>
          <cell r="P266" t="str">
            <v/>
          </cell>
          <cell r="Q266" t="str">
            <v>01</v>
          </cell>
          <cell r="R266" t="str">
            <v>USD</v>
          </cell>
          <cell r="S266">
            <v>56.95</v>
          </cell>
          <cell r="T266" t="str">
            <v>INR</v>
          </cell>
          <cell r="U266">
            <v>4950.2</v>
          </cell>
        </row>
        <row r="267">
          <cell r="M267">
            <v>256779412615</v>
          </cell>
          <cell r="N267" t="str">
            <v>212100</v>
          </cell>
          <cell r="O267" t="str">
            <v>Trade Debtors (Ctrl)</v>
          </cell>
          <cell r="P267" t="str">
            <v/>
          </cell>
          <cell r="Q267" t="str">
            <v>01</v>
          </cell>
          <cell r="R267" t="str">
            <v>USD</v>
          </cell>
          <cell r="S267">
            <v>87.2</v>
          </cell>
          <cell r="T267" t="str">
            <v>INR</v>
          </cell>
          <cell r="U267">
            <v>7579.58</v>
          </cell>
        </row>
        <row r="268">
          <cell r="M268">
            <v>256779412657</v>
          </cell>
          <cell r="N268" t="str">
            <v>212100</v>
          </cell>
          <cell r="O268" t="str">
            <v>Trade Debtors (Ctrl)</v>
          </cell>
          <cell r="P268" t="str">
            <v/>
          </cell>
          <cell r="Q268" t="str">
            <v>01</v>
          </cell>
          <cell r="R268" t="str">
            <v>USD</v>
          </cell>
          <cell r="S268">
            <v>4.93</v>
          </cell>
          <cell r="T268" t="str">
            <v>INR</v>
          </cell>
          <cell r="U268">
            <v>428.52</v>
          </cell>
        </row>
        <row r="269">
          <cell r="M269">
            <v>256779417420</v>
          </cell>
          <cell r="N269" t="str">
            <v>212100</v>
          </cell>
          <cell r="O269" t="str">
            <v>Trade Debtors (Ctrl)</v>
          </cell>
          <cell r="P269" t="str">
            <v/>
          </cell>
          <cell r="Q269" t="str">
            <v>01</v>
          </cell>
          <cell r="R269" t="str">
            <v>USD</v>
          </cell>
          <cell r="S269">
            <v>35</v>
          </cell>
          <cell r="T269" t="str">
            <v>INR</v>
          </cell>
          <cell r="U269">
            <v>3063</v>
          </cell>
        </row>
        <row r="270">
          <cell r="M270">
            <v>256779417490</v>
          </cell>
          <cell r="N270" t="str">
            <v>212100</v>
          </cell>
          <cell r="O270" t="str">
            <v>Trade Debtors (Ctrl)</v>
          </cell>
          <cell r="P270" t="str">
            <v/>
          </cell>
          <cell r="Q270" t="str">
            <v>01</v>
          </cell>
          <cell r="R270" t="str">
            <v>USD</v>
          </cell>
          <cell r="S270">
            <v>850</v>
          </cell>
          <cell r="T270" t="str">
            <v>INR</v>
          </cell>
          <cell r="U270">
            <v>74387.179999999993</v>
          </cell>
        </row>
        <row r="271">
          <cell r="M271">
            <v>256779417526</v>
          </cell>
          <cell r="N271" t="str">
            <v>212100</v>
          </cell>
          <cell r="O271" t="str">
            <v>Trade Debtors (Ctrl)</v>
          </cell>
          <cell r="P271" t="str">
            <v/>
          </cell>
          <cell r="Q271" t="str">
            <v>01</v>
          </cell>
          <cell r="R271" t="str">
            <v>USD</v>
          </cell>
          <cell r="S271">
            <v>22.43</v>
          </cell>
          <cell r="T271" t="str">
            <v>INR</v>
          </cell>
          <cell r="U271">
            <v>1962.95</v>
          </cell>
        </row>
        <row r="272">
          <cell r="M272">
            <v>256779417568</v>
          </cell>
          <cell r="N272" t="str">
            <v>212100</v>
          </cell>
          <cell r="O272" t="str">
            <v>Trade Debtors (Ctrl)</v>
          </cell>
          <cell r="P272" t="str">
            <v/>
          </cell>
          <cell r="Q272" t="str">
            <v>01</v>
          </cell>
          <cell r="R272" t="str">
            <v>USD</v>
          </cell>
          <cell r="S272">
            <v>293.89</v>
          </cell>
          <cell r="T272" t="str">
            <v>INR</v>
          </cell>
          <cell r="U272">
            <v>25719.59</v>
          </cell>
        </row>
        <row r="273">
          <cell r="M273">
            <v>256779419796</v>
          </cell>
          <cell r="N273" t="str">
            <v>212100</v>
          </cell>
          <cell r="O273" t="str">
            <v>Trade Debtors (Ctrl)</v>
          </cell>
          <cell r="P273" t="str">
            <v/>
          </cell>
          <cell r="Q273" t="str">
            <v>01</v>
          </cell>
          <cell r="R273" t="str">
            <v>USD</v>
          </cell>
          <cell r="S273">
            <v>850</v>
          </cell>
          <cell r="T273" t="str">
            <v>INR</v>
          </cell>
          <cell r="U273">
            <v>75395.12</v>
          </cell>
        </row>
        <row r="274">
          <cell r="M274">
            <v>256779419918</v>
          </cell>
          <cell r="N274" t="str">
            <v>212100</v>
          </cell>
          <cell r="O274" t="str">
            <v>Trade Debtors (Ctrl)</v>
          </cell>
          <cell r="P274" t="str">
            <v/>
          </cell>
          <cell r="Q274" t="str">
            <v>01</v>
          </cell>
          <cell r="R274" t="str">
            <v>USD</v>
          </cell>
          <cell r="S274">
            <v>111.4</v>
          </cell>
          <cell r="T274" t="str">
            <v>INR</v>
          </cell>
          <cell r="U274">
            <v>9881.2000000000007</v>
          </cell>
        </row>
        <row r="275">
          <cell r="M275">
            <v>256779412928</v>
          </cell>
          <cell r="N275" t="str">
            <v>212100</v>
          </cell>
          <cell r="O275" t="str">
            <v>Trade Debtors (Ctrl)</v>
          </cell>
          <cell r="P275" t="str">
            <v/>
          </cell>
          <cell r="Q275" t="str">
            <v>01</v>
          </cell>
          <cell r="R275" t="str">
            <v>USD</v>
          </cell>
          <cell r="S275">
            <v>12.12</v>
          </cell>
          <cell r="T275" t="str">
            <v>INR</v>
          </cell>
          <cell r="U275">
            <v>1053.49</v>
          </cell>
        </row>
        <row r="276">
          <cell r="M276">
            <v>246779414318</v>
          </cell>
          <cell r="N276" t="str">
            <v>212100</v>
          </cell>
          <cell r="O276" t="str">
            <v>Trade Debtors (Ctrl)</v>
          </cell>
          <cell r="P276" t="str">
            <v/>
          </cell>
          <cell r="Q276" t="str">
            <v>01</v>
          </cell>
          <cell r="R276" t="str">
            <v>USD</v>
          </cell>
          <cell r="S276">
            <v>45.74</v>
          </cell>
          <cell r="T276" t="str">
            <v>INR</v>
          </cell>
          <cell r="U276">
            <v>3965.26</v>
          </cell>
        </row>
        <row r="277">
          <cell r="M277">
            <v>256779418180</v>
          </cell>
          <cell r="N277" t="str">
            <v>212100</v>
          </cell>
          <cell r="O277" t="str">
            <v>Trade Debtors (Ctrl)</v>
          </cell>
          <cell r="P277" t="str">
            <v/>
          </cell>
          <cell r="Q277" t="str">
            <v>01</v>
          </cell>
          <cell r="R277" t="str">
            <v>USD</v>
          </cell>
          <cell r="S277">
            <v>173.22</v>
          </cell>
          <cell r="T277" t="str">
            <v>INR</v>
          </cell>
          <cell r="U277">
            <v>15276.41</v>
          </cell>
        </row>
        <row r="278">
          <cell r="M278">
            <v>256779413185</v>
          </cell>
          <cell r="N278" t="str">
            <v>212100</v>
          </cell>
          <cell r="O278" t="str">
            <v>Trade Debtors (Ctrl)</v>
          </cell>
          <cell r="P278" t="str">
            <v/>
          </cell>
          <cell r="Q278" t="str">
            <v>01</v>
          </cell>
          <cell r="R278" t="str">
            <v>USD</v>
          </cell>
          <cell r="S278">
            <v>200</v>
          </cell>
          <cell r="T278" t="str">
            <v>INR</v>
          </cell>
          <cell r="U278">
            <v>17196.740000000002</v>
          </cell>
        </row>
        <row r="279">
          <cell r="M279">
            <v>256779413244</v>
          </cell>
          <cell r="N279" t="str">
            <v>212100</v>
          </cell>
          <cell r="O279" t="str">
            <v>Trade Debtors (Ctrl)</v>
          </cell>
          <cell r="P279" t="str">
            <v/>
          </cell>
          <cell r="Q279" t="str">
            <v>01</v>
          </cell>
          <cell r="R279" t="str">
            <v>USD</v>
          </cell>
          <cell r="S279">
            <v>401.24</v>
          </cell>
          <cell r="T279" t="str">
            <v>INR</v>
          </cell>
          <cell r="U279">
            <v>34500.1</v>
          </cell>
        </row>
        <row r="280">
          <cell r="M280">
            <v>256779419955</v>
          </cell>
          <cell r="N280" t="str">
            <v>212100</v>
          </cell>
          <cell r="O280" t="str">
            <v>Trade Debtors (Ctrl)</v>
          </cell>
          <cell r="P280" t="str">
            <v/>
          </cell>
          <cell r="Q280" t="str">
            <v>01</v>
          </cell>
          <cell r="R280" t="str">
            <v>USD</v>
          </cell>
          <cell r="S280">
            <v>61.99</v>
          </cell>
          <cell r="T280" t="str">
            <v>INR</v>
          </cell>
          <cell r="U280">
            <v>5498.52</v>
          </cell>
        </row>
        <row r="281">
          <cell r="M281">
            <v>256779419992</v>
          </cell>
          <cell r="N281" t="str">
            <v>212100</v>
          </cell>
          <cell r="O281" t="str">
            <v>Trade Debtors (Ctrl)</v>
          </cell>
          <cell r="P281" t="str">
            <v/>
          </cell>
          <cell r="Q281" t="str">
            <v>01</v>
          </cell>
          <cell r="R281" t="str">
            <v>USD</v>
          </cell>
          <cell r="S281">
            <v>124.11</v>
          </cell>
          <cell r="T281" t="str">
            <v>INR</v>
          </cell>
          <cell r="U281">
            <v>11008.57</v>
          </cell>
        </row>
        <row r="282">
          <cell r="M282">
            <v>256779414240</v>
          </cell>
          <cell r="N282" t="str">
            <v>212100</v>
          </cell>
          <cell r="O282" t="str">
            <v>Trade Debtors (Ctrl)</v>
          </cell>
          <cell r="P282" t="str">
            <v/>
          </cell>
          <cell r="Q282" t="str">
            <v>01</v>
          </cell>
          <cell r="R282" t="str">
            <v>USD</v>
          </cell>
          <cell r="S282">
            <v>1339</v>
          </cell>
          <cell r="T282" t="str">
            <v>INR</v>
          </cell>
          <cell r="U282">
            <v>114472.15</v>
          </cell>
        </row>
        <row r="283">
          <cell r="M283">
            <v>256779418011</v>
          </cell>
          <cell r="N283" t="str">
            <v>212100</v>
          </cell>
          <cell r="O283" t="str">
            <v>Trade Debtors (Ctrl)</v>
          </cell>
          <cell r="P283" t="str">
            <v/>
          </cell>
          <cell r="Q283" t="str">
            <v>01</v>
          </cell>
          <cell r="R283" t="str">
            <v>USD</v>
          </cell>
          <cell r="S283">
            <v>930.14</v>
          </cell>
          <cell r="T283" t="str">
            <v>INR</v>
          </cell>
          <cell r="U283">
            <v>82029.759999999995</v>
          </cell>
        </row>
        <row r="284">
          <cell r="M284">
            <v>256779417902</v>
          </cell>
          <cell r="N284" t="str">
            <v>212100</v>
          </cell>
          <cell r="O284" t="str">
            <v>Trade Debtors (Ctrl)</v>
          </cell>
          <cell r="P284" t="str">
            <v/>
          </cell>
          <cell r="Q284" t="str">
            <v>01</v>
          </cell>
          <cell r="R284" t="str">
            <v>USD</v>
          </cell>
          <cell r="S284">
            <v>28.15</v>
          </cell>
          <cell r="T284" t="str">
            <v>INR</v>
          </cell>
          <cell r="U284">
            <v>2482.5700000000002</v>
          </cell>
        </row>
        <row r="285">
          <cell r="M285">
            <v>256779417940</v>
          </cell>
          <cell r="N285" t="str">
            <v>212100</v>
          </cell>
          <cell r="O285" t="str">
            <v>Trade Debtors (Ctrl)</v>
          </cell>
          <cell r="P285" t="str">
            <v/>
          </cell>
          <cell r="Q285" t="str">
            <v>01</v>
          </cell>
          <cell r="R285" t="str">
            <v>USD</v>
          </cell>
          <cell r="S285">
            <v>331.5</v>
          </cell>
          <cell r="T285" t="str">
            <v>INR</v>
          </cell>
          <cell r="U285">
            <v>29235.24</v>
          </cell>
        </row>
        <row r="286">
          <cell r="M286">
            <v>256779418076</v>
          </cell>
          <cell r="N286" t="str">
            <v>212100</v>
          </cell>
          <cell r="O286" t="str">
            <v>Trade Debtors (Ctrl)</v>
          </cell>
          <cell r="P286" t="str">
            <v/>
          </cell>
          <cell r="Q286" t="str">
            <v>01</v>
          </cell>
          <cell r="R286" t="str">
            <v>USD</v>
          </cell>
          <cell r="S286">
            <v>136.47999999999999</v>
          </cell>
          <cell r="T286" t="str">
            <v>INR</v>
          </cell>
          <cell r="U286">
            <v>12036.28</v>
          </cell>
        </row>
        <row r="287">
          <cell r="M287">
            <v>256779418400</v>
          </cell>
          <cell r="N287" t="str">
            <v>212100</v>
          </cell>
          <cell r="O287" t="str">
            <v>Trade Debtors (Ctrl)</v>
          </cell>
          <cell r="P287" t="str">
            <v/>
          </cell>
          <cell r="Q287" t="str">
            <v>01</v>
          </cell>
          <cell r="R287" t="str">
            <v>USD</v>
          </cell>
          <cell r="S287">
            <v>293.3</v>
          </cell>
          <cell r="T287" t="str">
            <v>INR</v>
          </cell>
          <cell r="U287">
            <v>25866.35</v>
          </cell>
        </row>
        <row r="288">
          <cell r="M288">
            <v>256779417082</v>
          </cell>
          <cell r="N288" t="str">
            <v>212100</v>
          </cell>
          <cell r="O288" t="str">
            <v>Trade Debtors (Ctrl)</v>
          </cell>
          <cell r="P288" t="str">
            <v/>
          </cell>
          <cell r="Q288" t="str">
            <v>01</v>
          </cell>
          <cell r="R288" t="str">
            <v>USD</v>
          </cell>
          <cell r="S288">
            <v>1664.01</v>
          </cell>
          <cell r="T288" t="str">
            <v>INR</v>
          </cell>
          <cell r="U288">
            <v>145624.72</v>
          </cell>
        </row>
        <row r="289">
          <cell r="M289">
            <v>256779440011</v>
          </cell>
          <cell r="N289" t="str">
            <v>212100</v>
          </cell>
          <cell r="O289" t="str">
            <v>Trade Debtors (Ctrl)</v>
          </cell>
          <cell r="P289" t="str">
            <v/>
          </cell>
          <cell r="Q289" t="str">
            <v>01</v>
          </cell>
          <cell r="R289" t="str">
            <v>USD</v>
          </cell>
          <cell r="S289">
            <v>464.42</v>
          </cell>
          <cell r="T289" t="str">
            <v>INR</v>
          </cell>
          <cell r="U289">
            <v>42142.93</v>
          </cell>
        </row>
        <row r="290">
          <cell r="M290">
            <v>256779440052</v>
          </cell>
          <cell r="N290" t="str">
            <v>212100</v>
          </cell>
          <cell r="O290" t="str">
            <v>Trade Debtors (Ctrl)</v>
          </cell>
          <cell r="P290" t="str">
            <v/>
          </cell>
          <cell r="Q290" t="str">
            <v>01</v>
          </cell>
          <cell r="R290" t="str">
            <v>USD</v>
          </cell>
          <cell r="S290">
            <v>846.77</v>
          </cell>
          <cell r="T290" t="str">
            <v>INR</v>
          </cell>
          <cell r="U290">
            <v>76838.570000000007</v>
          </cell>
        </row>
        <row r="291">
          <cell r="M291">
            <v>256779440081</v>
          </cell>
          <cell r="N291" t="str">
            <v>212100</v>
          </cell>
          <cell r="O291" t="str">
            <v>Trade Debtors (Ctrl)</v>
          </cell>
          <cell r="P291" t="str">
            <v/>
          </cell>
          <cell r="Q291" t="str">
            <v>01</v>
          </cell>
          <cell r="R291" t="str">
            <v>USD</v>
          </cell>
          <cell r="S291">
            <v>3.45</v>
          </cell>
          <cell r="T291" t="str">
            <v>INR</v>
          </cell>
          <cell r="U291">
            <v>313.06</v>
          </cell>
        </row>
        <row r="292">
          <cell r="M292" t="str">
            <v/>
          </cell>
          <cell r="N292" t="str">
            <v>212100</v>
          </cell>
          <cell r="O292" t="str">
            <v>Trade Debtors (Ctrl)</v>
          </cell>
          <cell r="P292" t="str">
            <v/>
          </cell>
          <cell r="Q292" t="str">
            <v>05</v>
          </cell>
          <cell r="R292" t="str">
            <v>USD</v>
          </cell>
          <cell r="S292">
            <v>1530.78</v>
          </cell>
          <cell r="T292" t="str">
            <v>INR</v>
          </cell>
          <cell r="U292">
            <v>135000</v>
          </cell>
        </row>
        <row r="293">
          <cell r="M293" t="str">
            <v/>
          </cell>
          <cell r="N293" t="str">
            <v>212100</v>
          </cell>
          <cell r="O293" t="str">
            <v>Trade Debtors (Ctrl)</v>
          </cell>
          <cell r="P293" t="str">
            <v/>
          </cell>
          <cell r="Q293" t="str">
            <v>05</v>
          </cell>
          <cell r="R293" t="str">
            <v>USD</v>
          </cell>
          <cell r="S293">
            <v>986.48</v>
          </cell>
          <cell r="T293" t="str">
            <v>INR</v>
          </cell>
          <cell r="U293">
            <v>86998.43</v>
          </cell>
        </row>
        <row r="294">
          <cell r="M294" t="str">
            <v/>
          </cell>
          <cell r="N294" t="str">
            <v>212100</v>
          </cell>
          <cell r="O294" t="str">
            <v>Trade Debtors (Ctrl)</v>
          </cell>
          <cell r="P294" t="str">
            <v/>
          </cell>
          <cell r="Q294" t="str">
            <v>15</v>
          </cell>
          <cell r="R294" t="str">
            <v>USD</v>
          </cell>
          <cell r="S294">
            <v>-1530.78</v>
          </cell>
          <cell r="T294" t="str">
            <v>INR</v>
          </cell>
          <cell r="U294">
            <v>-135000</v>
          </cell>
        </row>
        <row r="295">
          <cell r="M295" t="str">
            <v/>
          </cell>
          <cell r="N295" t="str">
            <v>212100</v>
          </cell>
          <cell r="O295" t="str">
            <v>Trade Debtors (Ctrl)</v>
          </cell>
          <cell r="P295" t="str">
            <v/>
          </cell>
          <cell r="Q295" t="str">
            <v>15</v>
          </cell>
          <cell r="R295" t="str">
            <v>USD</v>
          </cell>
          <cell r="S295">
            <v>-986.48</v>
          </cell>
          <cell r="T295" t="str">
            <v>INR</v>
          </cell>
          <cell r="U295">
            <v>-86998.43</v>
          </cell>
        </row>
        <row r="296">
          <cell r="M296" t="str">
            <v/>
          </cell>
          <cell r="N296" t="str">
            <v>212100</v>
          </cell>
          <cell r="O296" t="str">
            <v>Trade Debtors (Ctrl)</v>
          </cell>
          <cell r="P296" t="str">
            <v/>
          </cell>
          <cell r="Q296" t="str">
            <v>15</v>
          </cell>
          <cell r="R296" t="str">
            <v>USD</v>
          </cell>
          <cell r="S296">
            <v>-1530.78</v>
          </cell>
          <cell r="T296" t="str">
            <v>INR</v>
          </cell>
          <cell r="U296">
            <v>-135000</v>
          </cell>
        </row>
        <row r="297">
          <cell r="M297" t="str">
            <v/>
          </cell>
          <cell r="N297" t="str">
            <v>212100</v>
          </cell>
          <cell r="O297" t="str">
            <v>Trade Debtors (Ctrl)</v>
          </cell>
          <cell r="P297" t="str">
            <v/>
          </cell>
          <cell r="Q297" t="str">
            <v>15</v>
          </cell>
          <cell r="R297" t="str">
            <v>USD</v>
          </cell>
          <cell r="S297">
            <v>-986.48</v>
          </cell>
          <cell r="T297" t="str">
            <v>INR</v>
          </cell>
          <cell r="U297">
            <v>-86998.43</v>
          </cell>
        </row>
        <row r="298">
          <cell r="M298">
            <v>256779417873</v>
          </cell>
          <cell r="N298" t="str">
            <v>212100</v>
          </cell>
          <cell r="O298" t="str">
            <v>Trade Debtors (Ctrl)</v>
          </cell>
          <cell r="P298" t="str">
            <v/>
          </cell>
          <cell r="Q298" t="str">
            <v>01</v>
          </cell>
          <cell r="R298" t="str">
            <v>INR</v>
          </cell>
          <cell r="S298">
            <v>100000</v>
          </cell>
          <cell r="T298" t="str">
            <v>INR</v>
          </cell>
          <cell r="U298">
            <v>100000</v>
          </cell>
        </row>
        <row r="299">
          <cell r="M299">
            <v>256779417874</v>
          </cell>
          <cell r="N299" t="str">
            <v>212100</v>
          </cell>
          <cell r="O299" t="str">
            <v>Trade Debtors (Ctrl)</v>
          </cell>
          <cell r="P299" t="str">
            <v/>
          </cell>
          <cell r="Q299" t="str">
            <v>01</v>
          </cell>
          <cell r="R299" t="str">
            <v>INR</v>
          </cell>
          <cell r="S299">
            <v>35000</v>
          </cell>
          <cell r="T299" t="str">
            <v>INR</v>
          </cell>
          <cell r="U299">
            <v>35000</v>
          </cell>
        </row>
        <row r="300">
          <cell r="M300">
            <v>256779417979</v>
          </cell>
          <cell r="N300" t="str">
            <v>212100</v>
          </cell>
          <cell r="O300" t="str">
            <v>Trade Debtors (Ctrl)</v>
          </cell>
          <cell r="P300" t="str">
            <v/>
          </cell>
          <cell r="Q300" t="str">
            <v>01</v>
          </cell>
          <cell r="R300" t="str">
            <v>USD</v>
          </cell>
          <cell r="S300">
            <v>136.47999999999999</v>
          </cell>
          <cell r="T300" t="str">
            <v>INR</v>
          </cell>
          <cell r="U300">
            <v>12036.28</v>
          </cell>
        </row>
        <row r="301">
          <cell r="M301">
            <v>256779418095</v>
          </cell>
          <cell r="N301" t="str">
            <v>212100</v>
          </cell>
          <cell r="O301" t="str">
            <v>Trade Debtors (Ctrl)</v>
          </cell>
          <cell r="P301" t="str">
            <v/>
          </cell>
          <cell r="Q301" t="str">
            <v>01</v>
          </cell>
          <cell r="R301" t="str">
            <v>USD</v>
          </cell>
          <cell r="S301">
            <v>850</v>
          </cell>
          <cell r="T301" t="str">
            <v>INR</v>
          </cell>
          <cell r="U301">
            <v>74962.149999999994</v>
          </cell>
        </row>
        <row r="302">
          <cell r="M302">
            <v>256779440168</v>
          </cell>
          <cell r="N302" t="str">
            <v>212100</v>
          </cell>
          <cell r="O302" t="str">
            <v>Trade Debtors (Ctrl)</v>
          </cell>
          <cell r="P302" t="str">
            <v/>
          </cell>
          <cell r="Q302" t="str">
            <v>01</v>
          </cell>
          <cell r="R302" t="str">
            <v>USD</v>
          </cell>
          <cell r="S302">
            <v>903.23</v>
          </cell>
          <cell r="T302" t="str">
            <v>INR</v>
          </cell>
          <cell r="U302">
            <v>81961.929999999993</v>
          </cell>
        </row>
        <row r="303">
          <cell r="M303">
            <v>256779440211</v>
          </cell>
          <cell r="N303" t="str">
            <v>212100</v>
          </cell>
          <cell r="O303" t="str">
            <v>Trade Debtors (Ctrl)</v>
          </cell>
          <cell r="P303" t="str">
            <v/>
          </cell>
          <cell r="Q303" t="str">
            <v>01</v>
          </cell>
          <cell r="R303" t="str">
            <v>USD</v>
          </cell>
          <cell r="S303">
            <v>26.97</v>
          </cell>
          <cell r="T303" t="str">
            <v>INR</v>
          </cell>
          <cell r="U303">
            <v>2447.34</v>
          </cell>
        </row>
        <row r="304">
          <cell r="M304">
            <v>256779440230</v>
          </cell>
          <cell r="N304" t="str">
            <v>212100</v>
          </cell>
          <cell r="O304" t="str">
            <v>Trade Debtors (Ctrl)</v>
          </cell>
          <cell r="P304" t="str">
            <v/>
          </cell>
          <cell r="Q304" t="str">
            <v>01</v>
          </cell>
          <cell r="R304" t="str">
            <v>USD</v>
          </cell>
          <cell r="S304">
            <v>40.56</v>
          </cell>
          <cell r="T304" t="str">
            <v>INR</v>
          </cell>
          <cell r="U304">
            <v>3680.54</v>
          </cell>
        </row>
        <row r="305">
          <cell r="M305">
            <v>256779440262</v>
          </cell>
          <cell r="N305" t="str">
            <v>212100</v>
          </cell>
          <cell r="O305" t="str">
            <v>Trade Debtors (Ctrl)</v>
          </cell>
          <cell r="P305" t="str">
            <v/>
          </cell>
          <cell r="Q305" t="str">
            <v>01</v>
          </cell>
          <cell r="R305" t="str">
            <v>USD</v>
          </cell>
          <cell r="S305">
            <v>100</v>
          </cell>
          <cell r="T305" t="str">
            <v>INR</v>
          </cell>
          <cell r="U305">
            <v>9074.31</v>
          </cell>
        </row>
        <row r="306">
          <cell r="M306">
            <v>256779440263</v>
          </cell>
          <cell r="N306" t="str">
            <v>212100</v>
          </cell>
          <cell r="O306" t="str">
            <v>Trade Debtors (Ctrl)</v>
          </cell>
          <cell r="P306" t="str">
            <v/>
          </cell>
          <cell r="Q306" t="str">
            <v>01</v>
          </cell>
          <cell r="R306" t="str">
            <v>USD</v>
          </cell>
          <cell r="S306">
            <v>100</v>
          </cell>
          <cell r="T306" t="str">
            <v>INR</v>
          </cell>
          <cell r="U306">
            <v>9074.31</v>
          </cell>
        </row>
        <row r="307">
          <cell r="M307">
            <v>256779440264</v>
          </cell>
          <cell r="N307" t="str">
            <v>212100</v>
          </cell>
          <cell r="O307" t="str">
            <v>Trade Debtors (Ctrl)</v>
          </cell>
          <cell r="P307" t="str">
            <v/>
          </cell>
          <cell r="Q307" t="str">
            <v>01</v>
          </cell>
          <cell r="R307" t="str">
            <v>USD</v>
          </cell>
          <cell r="S307">
            <v>100</v>
          </cell>
          <cell r="T307" t="str">
            <v>INR</v>
          </cell>
          <cell r="U307">
            <v>9074.31</v>
          </cell>
        </row>
        <row r="308">
          <cell r="M308">
            <v>256779440265</v>
          </cell>
          <cell r="N308" t="str">
            <v>212100</v>
          </cell>
          <cell r="O308" t="str">
            <v>Trade Debtors (Ctrl)</v>
          </cell>
          <cell r="P308" t="str">
            <v/>
          </cell>
          <cell r="Q308" t="str">
            <v>01</v>
          </cell>
          <cell r="R308" t="str">
            <v>USD</v>
          </cell>
          <cell r="S308">
            <v>100</v>
          </cell>
          <cell r="T308" t="str">
            <v>INR</v>
          </cell>
          <cell r="U308">
            <v>9074.31</v>
          </cell>
        </row>
        <row r="309">
          <cell r="M309">
            <v>256779440307</v>
          </cell>
          <cell r="N309" t="str">
            <v>212100</v>
          </cell>
          <cell r="O309" t="str">
            <v>Trade Debtors (Ctrl)</v>
          </cell>
          <cell r="P309" t="str">
            <v/>
          </cell>
          <cell r="Q309" t="str">
            <v>01</v>
          </cell>
          <cell r="R309" t="str">
            <v>INR</v>
          </cell>
          <cell r="S309">
            <v>100000</v>
          </cell>
          <cell r="T309" t="str">
            <v>INR</v>
          </cell>
          <cell r="U309">
            <v>100000</v>
          </cell>
        </row>
        <row r="310">
          <cell r="M310">
            <v>256779440308</v>
          </cell>
          <cell r="N310" t="str">
            <v>212100</v>
          </cell>
          <cell r="O310" t="str">
            <v>Trade Debtors (Ctrl)</v>
          </cell>
          <cell r="P310" t="str">
            <v/>
          </cell>
          <cell r="Q310" t="str">
            <v>01</v>
          </cell>
          <cell r="R310" t="str">
            <v>INR</v>
          </cell>
          <cell r="S310">
            <v>35000</v>
          </cell>
          <cell r="T310" t="str">
            <v>INR</v>
          </cell>
          <cell r="U310">
            <v>35000</v>
          </cell>
        </row>
        <row r="311">
          <cell r="M311">
            <v>256779440358</v>
          </cell>
          <cell r="N311" t="str">
            <v>212100</v>
          </cell>
          <cell r="O311" t="str">
            <v>Trade Debtors (Ctrl)</v>
          </cell>
          <cell r="P311" t="str">
            <v/>
          </cell>
          <cell r="Q311" t="str">
            <v>01</v>
          </cell>
          <cell r="R311" t="str">
            <v>USD</v>
          </cell>
          <cell r="S311">
            <v>100</v>
          </cell>
          <cell r="T311" t="str">
            <v>INR</v>
          </cell>
          <cell r="U311">
            <v>9074.31</v>
          </cell>
        </row>
        <row r="312">
          <cell r="M312">
            <v>256779440365</v>
          </cell>
          <cell r="N312" t="str">
            <v>212100</v>
          </cell>
          <cell r="O312" t="str">
            <v>Trade Debtors (Ctrl)</v>
          </cell>
          <cell r="P312" t="str">
            <v/>
          </cell>
          <cell r="Q312" t="str">
            <v>01</v>
          </cell>
          <cell r="R312" t="str">
            <v>USD</v>
          </cell>
          <cell r="S312">
            <v>38.229999999999997</v>
          </cell>
          <cell r="T312" t="str">
            <v>INR</v>
          </cell>
          <cell r="U312">
            <v>3469.11</v>
          </cell>
        </row>
        <row r="313">
          <cell r="M313">
            <v>256779440395</v>
          </cell>
          <cell r="N313" t="str">
            <v>212100</v>
          </cell>
          <cell r="O313" t="str">
            <v>Trade Debtors (Ctrl)</v>
          </cell>
          <cell r="P313" t="str">
            <v/>
          </cell>
          <cell r="Q313" t="str">
            <v>01</v>
          </cell>
          <cell r="R313" t="str">
            <v>USD</v>
          </cell>
          <cell r="S313">
            <v>846.77</v>
          </cell>
          <cell r="T313" t="str">
            <v>INR</v>
          </cell>
          <cell r="U313">
            <v>76838.570000000007</v>
          </cell>
        </row>
        <row r="314">
          <cell r="M314">
            <v>256779440414</v>
          </cell>
          <cell r="N314" t="str">
            <v>212100</v>
          </cell>
          <cell r="O314" t="str">
            <v>Trade Debtors (Ctrl)</v>
          </cell>
          <cell r="P314" t="str">
            <v/>
          </cell>
          <cell r="Q314" t="str">
            <v>01</v>
          </cell>
          <cell r="R314" t="str">
            <v>USD</v>
          </cell>
          <cell r="S314">
            <v>82.3</v>
          </cell>
          <cell r="T314" t="str">
            <v>INR</v>
          </cell>
          <cell r="U314">
            <v>7468.16</v>
          </cell>
        </row>
        <row r="315">
          <cell r="M315">
            <v>256779440430</v>
          </cell>
          <cell r="N315" t="str">
            <v>212100</v>
          </cell>
          <cell r="O315" t="str">
            <v>Trade Debtors (Ctrl)</v>
          </cell>
          <cell r="P315" t="str">
            <v/>
          </cell>
          <cell r="Q315" t="str">
            <v>01</v>
          </cell>
          <cell r="R315" t="str">
            <v>USD</v>
          </cell>
          <cell r="S315">
            <v>23.82</v>
          </cell>
          <cell r="T315" t="str">
            <v>INR</v>
          </cell>
          <cell r="U315">
            <v>2161.5</v>
          </cell>
        </row>
        <row r="316">
          <cell r="M316">
            <v>256779440446</v>
          </cell>
          <cell r="N316" t="str">
            <v>212100</v>
          </cell>
          <cell r="O316" t="str">
            <v>Trade Debtors (Ctrl)</v>
          </cell>
          <cell r="P316" t="str">
            <v/>
          </cell>
          <cell r="Q316" t="str">
            <v>01</v>
          </cell>
          <cell r="R316" t="str">
            <v>USD</v>
          </cell>
          <cell r="S316">
            <v>96.71</v>
          </cell>
          <cell r="T316" t="str">
            <v>INR</v>
          </cell>
          <cell r="U316">
            <v>8775.77</v>
          </cell>
        </row>
        <row r="317">
          <cell r="M317">
            <v>256779422238</v>
          </cell>
          <cell r="N317" t="str">
            <v>212100</v>
          </cell>
          <cell r="O317" t="str">
            <v>Trade Debtors (Ctrl)</v>
          </cell>
          <cell r="P317" t="str">
            <v/>
          </cell>
          <cell r="Q317" t="str">
            <v>11</v>
          </cell>
          <cell r="R317" t="str">
            <v>USD</v>
          </cell>
          <cell r="S317">
            <v>-17.48</v>
          </cell>
          <cell r="T317" t="str">
            <v>INR</v>
          </cell>
          <cell r="U317">
            <v>-1579.06</v>
          </cell>
        </row>
        <row r="318">
          <cell r="M318">
            <v>256779422239</v>
          </cell>
          <cell r="N318" t="str">
            <v>212100</v>
          </cell>
          <cell r="O318" t="str">
            <v>Trade Debtors (Ctrl)</v>
          </cell>
          <cell r="P318" t="str">
            <v/>
          </cell>
          <cell r="Q318" t="str">
            <v>11</v>
          </cell>
          <cell r="R318" t="str">
            <v>USD</v>
          </cell>
          <cell r="S318">
            <v>-101.23</v>
          </cell>
          <cell r="T318" t="str">
            <v>INR</v>
          </cell>
          <cell r="U318">
            <v>-9144.6299999999992</v>
          </cell>
        </row>
        <row r="319">
          <cell r="M319">
            <v>256779422240</v>
          </cell>
          <cell r="N319" t="str">
            <v>212100</v>
          </cell>
          <cell r="O319" t="str">
            <v>Trade Debtors (Ctrl)</v>
          </cell>
          <cell r="P319" t="str">
            <v/>
          </cell>
          <cell r="Q319" t="str">
            <v>11</v>
          </cell>
          <cell r="R319" t="str">
            <v>USD</v>
          </cell>
          <cell r="S319">
            <v>-303.16000000000003</v>
          </cell>
          <cell r="T319" t="str">
            <v>INR</v>
          </cell>
          <cell r="U319">
            <v>-27386.02</v>
          </cell>
        </row>
        <row r="320">
          <cell r="M320">
            <v>256779422241</v>
          </cell>
          <cell r="N320" t="str">
            <v>212100</v>
          </cell>
          <cell r="O320" t="str">
            <v>Trade Debtors (Ctrl)</v>
          </cell>
          <cell r="P320" t="str">
            <v/>
          </cell>
          <cell r="Q320" t="str">
            <v>11</v>
          </cell>
          <cell r="R320" t="str">
            <v>USD</v>
          </cell>
          <cell r="S320">
            <v>-87.28</v>
          </cell>
          <cell r="T320" t="str">
            <v>INR</v>
          </cell>
          <cell r="U320">
            <v>-7884.46</v>
          </cell>
        </row>
        <row r="321">
          <cell r="M321">
            <v>256779440457</v>
          </cell>
          <cell r="N321" t="str">
            <v>212100</v>
          </cell>
          <cell r="O321" t="str">
            <v>Trade Debtors (Ctrl)</v>
          </cell>
          <cell r="P321" t="str">
            <v/>
          </cell>
          <cell r="Q321" t="str">
            <v>01</v>
          </cell>
          <cell r="R321" t="str">
            <v>USD</v>
          </cell>
          <cell r="S321">
            <v>938.8</v>
          </cell>
          <cell r="T321" t="str">
            <v>INR</v>
          </cell>
          <cell r="U321">
            <v>84806.69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hal Thakkar" refreshedDate="46060.685565162035" createdVersion="7" refreshedVersion="7" minRefreshableVersion="3" recordCount="318" xr:uid="{7F0EB641-CC8B-45EB-9930-5261594F711D}">
  <cacheSource type="worksheet">
    <worksheetSource ref="B2:O280" sheet="combined ledger"/>
  </cacheSource>
  <cacheFields count="16">
    <cacheField name="Document Date" numFmtId="14">
      <sharedItems containsSemiMixedTypes="0" containsNonDate="0" containsDate="1" containsString="0" minDate="2025-02-19T00:00:00" maxDate="2026-01-06T00:00:00" count="63">
        <d v="2025-02-20T00:00:00"/>
        <d v="2025-03-31T00:00:00"/>
        <d v="2025-03-19T00:00:00"/>
        <d v="2025-03-17T00:00:00"/>
        <d v="2025-03-20T00:00:00"/>
        <d v="2025-03-21T00:00:00"/>
        <d v="2025-02-19T00:00:00"/>
        <d v="2025-03-14T00:00:00"/>
        <d v="2025-03-13T00:00:00"/>
        <d v="2025-02-25T00:00:00"/>
        <d v="2025-03-06T00:00:00"/>
        <d v="2025-03-03T00:00:00"/>
        <d v="2025-04-16T00:00:00"/>
        <d v="2025-04-03T00:00:00"/>
        <d v="2025-04-22T00:00:00"/>
        <d v="2025-06-05T00:00:00"/>
        <d v="2025-06-07T00:00:00"/>
        <d v="2025-05-10T00:00:00"/>
        <d v="2025-05-20T00:00:00"/>
        <d v="2025-04-21T00:00:00"/>
        <d v="2025-06-13T00:00:00"/>
        <d v="2025-06-10T00:00:00"/>
        <d v="2025-05-16T00:00:00"/>
        <d v="2025-06-04T00:00:00"/>
        <d v="2025-06-19T00:00:00"/>
        <d v="2025-07-04T00:00:00"/>
        <d v="2025-07-16T00:00:00"/>
        <d v="2025-07-18T00:00:00"/>
        <d v="2025-04-15T00:00:00"/>
        <d v="2025-07-29T00:00:00"/>
        <d v="2025-04-23T00:00:00"/>
        <d v="2025-08-07T00:00:00"/>
        <d v="2025-08-08T00:00:00"/>
        <d v="2025-07-25T00:00:00"/>
        <d v="2025-08-01T00:00:00"/>
        <d v="2025-09-10T00:00:00"/>
        <d v="2025-09-16T00:00:00"/>
        <d v="2025-08-20T00:00:00"/>
        <d v="2025-09-04T00:00:00"/>
        <d v="2025-07-14T00:00:00"/>
        <d v="2025-09-24T00:00:00"/>
        <d v="2025-09-18T00:00:00"/>
        <d v="2025-10-10T00:00:00"/>
        <d v="2025-09-17T00:00:00"/>
        <d v="2025-10-11T00:00:00"/>
        <d v="2025-10-29T00:00:00"/>
        <d v="2025-10-05T00:00:00"/>
        <d v="2025-10-31T00:00:00"/>
        <d v="2025-10-20T00:00:00"/>
        <d v="2025-10-07T00:00:00"/>
        <d v="2025-11-05T00:00:00"/>
        <d v="2025-11-03T00:00:00"/>
        <d v="2025-12-30T00:00:00"/>
        <d v="2025-11-20T00:00:00"/>
        <d v="2025-12-05T00:00:00"/>
        <d v="2025-12-06T00:00:00"/>
        <d v="2025-12-04T00:00:00"/>
        <d v="2025-05-28T00:00:00"/>
        <d v="2025-09-06T00:00:00"/>
        <d v="2025-10-06T00:00:00"/>
        <d v="2025-12-31T00:00:00"/>
        <d v="2025-08-14T00:00:00"/>
        <d v="2026-01-05T00:00:00"/>
      </sharedItems>
      <fieldGroup par="15" base="0">
        <rangePr groupBy="months" startDate="2025-02-19T00:00:00" endDate="2026-01-06T00:00:00"/>
        <groupItems count="14">
          <s v="&lt;19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26"/>
        </groupItems>
      </fieldGroup>
    </cacheField>
    <cacheField name="Series" numFmtId="0">
      <sharedItems/>
    </cacheField>
    <cacheField name="Doc. No." numFmtId="0">
      <sharedItems/>
    </cacheField>
    <cacheField name="Remarks" numFmtId="0">
      <sharedItems/>
    </cacheField>
    <cacheField name="Offset Acct Name" numFmtId="0">
      <sharedItems/>
    </cacheField>
    <cacheField name="Debit (LC)" numFmtId="43">
      <sharedItems containsString="0" containsBlank="1" containsNumber="1" minValue="-353878.0502" maxValue="1075024.8446"/>
    </cacheField>
    <cacheField name="Credit (LC)" numFmtId="43">
      <sharedItems containsString="0" containsBlank="1" containsNumber="1" minValue="-138252.1" maxValue="231074.27849999999"/>
    </cacheField>
    <cacheField name="Cumulative Balance (LC)" numFmtId="43">
      <sharedItems containsSemiMixedTypes="0" containsString="0" containsNumber="1" minValue="-2307685.3947999999" maxValue="290.90440000000001"/>
    </cacheField>
    <cacheField name="Debit (FC)" numFmtId="43">
      <sharedItems containsBlank="1"/>
    </cacheField>
    <cacheField name="Credit (FC)" numFmtId="43">
      <sharedItems containsBlank="1"/>
    </cacheField>
    <cacheField name="Cumulative Balance (FC)" numFmtId="43">
      <sharedItems/>
    </cacheField>
    <cacheField name="Balance Due (FC)" numFmtId="43">
      <sharedItems containsBlank="1"/>
    </cacheField>
    <cacheField name="Branch Name" numFmtId="0">
      <sharedItems/>
    </cacheField>
    <cacheField name="Ref. 2 (Header)" numFmtId="1">
      <sharedItems containsString="0" containsBlank="1" containsNumber="1" containsInteger="1" minValue="1002" maxValue="256779440081"/>
    </cacheField>
    <cacheField name="Quarters" numFmtId="0" databaseField="0">
      <fieldGroup base="0">
        <rangePr groupBy="quarters" startDate="2025-02-19T00:00:00" endDate="2026-01-06T00:00:00"/>
        <groupItems count="6">
          <s v="&lt;19-02-2025"/>
          <s v="Qtr1"/>
          <s v="Qtr2"/>
          <s v="Qtr3"/>
          <s v="Qtr4"/>
          <s v="&gt;06-01-2026"/>
        </groupItems>
      </fieldGroup>
    </cacheField>
    <cacheField name="Years" numFmtId="0" databaseField="0">
      <fieldGroup base="0">
        <rangePr groupBy="years" startDate="2025-02-19T00:00:00" endDate="2026-01-06T00:00:00"/>
        <groupItems count="4">
          <s v="&lt;19-02-2025"/>
          <s v="2025"/>
          <s v="2026"/>
          <s v="&gt;06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s v="BOS2425M"/>
    <s v="PU 7350271"/>
    <s v="A/P Invoices - VD0304"/>
    <s v="Management Fees (Arshiya)"/>
    <m/>
    <n v="34945.618600000002"/>
    <n v="-34945.618600000002"/>
    <m/>
    <s v="USD 408.3366"/>
    <s v="USD -408.3366"/>
    <s v="USD (0.0000)"/>
    <s v="Shah TC Global Exim LLP - Mumbai"/>
    <n v="246779410308"/>
  </r>
  <r>
    <x v="0"/>
    <s v="BOS2425M"/>
    <s v="PU 7350272"/>
    <s v="A/P Invoices - VD0304"/>
    <s v="Rent"/>
    <m/>
    <n v="89852.772200000007"/>
    <n v="-124798.39079999999"/>
    <m/>
    <s v="USD 1,049.9310"/>
    <s v="USD -1,458.2676"/>
    <s v="USD (0.0000)"/>
    <s v="Shah TC Global Exim LLP - Mumbai"/>
    <n v="246779410183"/>
  </r>
  <r>
    <x v="0"/>
    <s v="BOS2425M"/>
    <s v="PU 7350273"/>
    <s v="A/P Invoices - VD0304"/>
    <s v="Rent - Ascendas"/>
    <m/>
    <n v="91693.278399999996"/>
    <n v="-216491.6692"/>
    <m/>
    <s v="USD 1,071.4320"/>
    <s v="USD -2,529.6996"/>
    <s v="USD (0.0000)"/>
    <s v="Shah TC Global Exim LLP - Mumbai"/>
    <n v="246779410276"/>
  </r>
  <r>
    <x v="0"/>
    <s v="BOS2425M"/>
    <s v="PU 7350274"/>
    <s v="A/P Invoices - VD0304"/>
    <s v="Rent - Ascendas"/>
    <m/>
    <n v="89852.772200000007"/>
    <n v="-306344.44140000001"/>
    <m/>
    <s v="USD 1,049.9310"/>
    <s v="USD -3,579.6306"/>
    <s v="USD (0.0000)"/>
    <s v="Shah TC Global Exim LLP - Mumbai"/>
    <n v="246779410209"/>
  </r>
  <r>
    <x v="1"/>
    <s v="CL2425M"/>
    <s v="PU 300021"/>
    <s v="A/P Invoice - Cancellation - VD0304"/>
    <s v="Rent"/>
    <m/>
    <n v="-89852.772200000007"/>
    <n v="-216491.6692"/>
    <m/>
    <s v="USD -1,049.9310"/>
    <s v="USD -2,529.6996"/>
    <s v="USD (0.0000)"/>
    <s v="Shah TC Global Exim LLP - Mumbai"/>
    <n v="246779410183"/>
  </r>
  <r>
    <x v="0"/>
    <s v="BOS2425M"/>
    <s v="PU 7350275"/>
    <s v="A/P Invoices - VD0304"/>
    <s v="Handeling &amp; Agency Charges"/>
    <m/>
    <n v="38416.774799999999"/>
    <n v="-254908.44399999999"/>
    <m/>
    <s v="USD 448.8988"/>
    <s v="USD -2,978.5984"/>
    <s v="USD (0.0000)"/>
    <s v="Shah TC Global Exim LLP - Mumbai"/>
    <n v="246779414604"/>
  </r>
  <r>
    <x v="1"/>
    <s v="CL2425M"/>
    <s v="PU 300022"/>
    <s v="A/P Invoice - Cancellation - VD0304"/>
    <s v="Management Fees (Arshiya)"/>
    <m/>
    <n v="-34945.618600000002"/>
    <n v="-219962.8254"/>
    <m/>
    <s v="USD -408.3366"/>
    <s v="USD -2,570.2618"/>
    <s v="USD (0.0000)"/>
    <s v="Shah TC Global Exim LLP - Mumbai"/>
    <n v="246779410308"/>
  </r>
  <r>
    <x v="0"/>
    <s v="BOS2425M"/>
    <s v="PU 7350276"/>
    <s v="A/P Invoices - VD0304"/>
    <s v="Management Fees (Ascendas)"/>
    <m/>
    <n v="34244.169800000003"/>
    <n v="-254206.9952"/>
    <m/>
    <s v="USD 400.1438"/>
    <s v="USD -2,970.4056"/>
    <s v="USD (0.0000)"/>
    <s v="Shah TC Global Exim LLP - Mumbai"/>
    <n v="246779410209"/>
  </r>
  <r>
    <x v="0"/>
    <s v="BOS2425M"/>
    <s v="PU 7350277"/>
    <s v="A/P Invoices - VD0304"/>
    <s v="Management Fees (Ascendas)"/>
    <m/>
    <n v="34945.618600000002"/>
    <n v="-289152.61379999999"/>
    <m/>
    <s v="USD 408.3366"/>
    <s v="USD -3,378.7422"/>
    <s v="USD (0.0000)"/>
    <s v="Shah TC Global Exim LLP - Mumbai"/>
    <n v="246779410308"/>
  </r>
  <r>
    <x v="0"/>
    <s v="BOS2425M"/>
    <s v="PU 7350278"/>
    <s v="A/P Invoices - VD0304"/>
    <s v="Rent - Ascendas"/>
    <m/>
    <n v="91693.278399999996"/>
    <n v="-380845.8922"/>
    <m/>
    <s v="USD 1,071.4320"/>
    <s v="USD -4,450.1742"/>
    <s v="USD (0.0000)"/>
    <s v="Shah TC Global Exim LLP - Mumbai"/>
    <n v="246779410097"/>
  </r>
  <r>
    <x v="2"/>
    <s v="BOS2425M"/>
    <s v="PU 7350279"/>
    <s v="A/P Invoices - VD0304"/>
    <s v="Vos Miscellaneous Charges"/>
    <m/>
    <n v="6551.5096000000003"/>
    <n v="-387397.40179999999"/>
    <m/>
    <s v="USD 76.5576"/>
    <s v="USD -4,526.7318"/>
    <s v="USD (0.0000)"/>
    <s v="Shah TC Global Exim LLP - Mumbai"/>
    <n v="246779413214"/>
  </r>
  <r>
    <x v="0"/>
    <s v="BOS2425M"/>
    <s v="PU 7350280"/>
    <s v="A/P Invoices - VD0304"/>
    <s v="Management Fees (Ascendas)"/>
    <m/>
    <n v="34945.618600000002"/>
    <n v="-422343.02039999998"/>
    <m/>
    <s v="USD 408.3366"/>
    <s v="USD -4,935.0684"/>
    <s v="USD (0.0000)"/>
    <s v="Shah TC Global Exim LLP - Mumbai"/>
    <n v="246779410123"/>
  </r>
  <r>
    <x v="3"/>
    <s v="BOS2425M"/>
    <s v="PU 7350281"/>
    <s v="A/P Invoices - VD0304"/>
    <s v="Vos Miscellaneous Charges"/>
    <m/>
    <n v="4422.6333999999997"/>
    <n v="-426765.65379999997"/>
    <m/>
    <s v="USD 51.6754"/>
    <s v="USD -4,986.7438"/>
    <s v="USD (0.0000)"/>
    <s v="Shah TC Global Exim LLP - Mumbai"/>
    <n v="246779411940"/>
  </r>
  <r>
    <x v="4"/>
    <s v="BOS2425M"/>
    <s v="PU 7350282"/>
    <s v="A/P Invoices - VD0304"/>
    <s v="Ground Rent (Container)"/>
    <m/>
    <n v="147112"/>
    <n v="-573877.65379999997"/>
    <m/>
    <s v="USD 1,719.0000"/>
    <s v="USD -6,705.7438"/>
    <s v="USD (0.0000)"/>
    <s v="Shah TC Global Exim LLP - Mumbai"/>
    <n v="246779413797"/>
  </r>
  <r>
    <x v="3"/>
    <s v="BOS2425M"/>
    <s v="PU 7350283"/>
    <s v="A/P Invoices - VD0304"/>
    <s v="Vos Miscellaneous Charges"/>
    <m/>
    <n v="6375.7915999999996"/>
    <n v="-580253.44539999997"/>
    <m/>
    <s v="USD 74.4996"/>
    <s v="USD -6,780.2434"/>
    <s v="USD (0.0000)"/>
    <s v="Shah TC Global Exim LLP - Mumbai"/>
    <n v="246779411941"/>
  </r>
  <r>
    <x v="4"/>
    <s v="JRN2425M"/>
    <s v="JE 7353113"/>
    <s v="Being TDS deduction on 246779413797 ascendas"/>
    <s v="Tds Payable- 94Ib - Rent"/>
    <n v="1711.6"/>
    <m/>
    <n v="-578541.84539999999"/>
    <s v="USD 20.0000"/>
    <m/>
    <s v="USD -6,760.2434"/>
    <s v="USD  0.0000"/>
    <s v="Shah TC Global Exim LLP - Mumbai"/>
    <m/>
  </r>
  <r>
    <x v="4"/>
    <s v="BOS2425M"/>
    <s v="PU 7350284"/>
    <s v="A/P Invoices - VD0304"/>
    <s v="Vos Miscellaneous Charges"/>
    <m/>
    <n v="4193"/>
    <n v="-582734.84539999999"/>
    <m/>
    <s v="USD 49.0000"/>
    <s v="USD -6,809.2434"/>
    <s v="USD (0.0000)"/>
    <s v="Shah TC Global Exim LLP - Mumbai"/>
    <n v="246779413828"/>
  </r>
  <r>
    <x v="3"/>
    <s v="BOS2425M"/>
    <s v="PU 7350285"/>
    <s v="A/P Invoices - VD0304"/>
    <s v="Vos Miscellaneous Charges"/>
    <m/>
    <n v="4466.9907999999996"/>
    <n v="-587201.83620000002"/>
    <m/>
    <s v="USD 52.1948"/>
    <s v="USD -6,861.4382"/>
    <s v="USD (0.0000)"/>
    <s v="Shah TC Global Exim LLP - Mumbai"/>
    <n v="246779411938"/>
  </r>
  <r>
    <x v="4"/>
    <s v="BOS2425M"/>
    <s v="PU 7350286"/>
    <s v="A/P Invoices - VD0304"/>
    <s v="Vos Miscellaneous Charges"/>
    <m/>
    <n v="4193"/>
    <n v="-591394.83620000002"/>
    <m/>
    <s v="USD 49.0000"/>
    <s v="USD -6,910.4382"/>
    <s v="USD (0.0000)"/>
    <s v="Shah TC Global Exim LLP - Mumbai"/>
    <n v="246779413828"/>
  </r>
  <r>
    <x v="3"/>
    <s v="BOS2425M"/>
    <s v="PU 7350287"/>
    <s v="A/P Invoices - VD0304"/>
    <s v="Vos Miscellaneous Charges"/>
    <m/>
    <n v="610.16660000000002"/>
    <n v="-592005.00280000002"/>
    <m/>
    <s v="USD 7.1246"/>
    <s v="USD -6,917.5628"/>
    <s v="USD (0.0000)"/>
    <s v="Shah TC Global Exim LLP - Mumbai"/>
    <n v="246779411937"/>
  </r>
  <r>
    <x v="3"/>
    <s v="BOS2425M"/>
    <s v="PU 7350288"/>
    <s v="A/P Invoices - VD0304"/>
    <s v="Vos Miscellaneous Charges"/>
    <m/>
    <n v="1935.1864"/>
    <n v="-593940.18920000002"/>
    <m/>
    <s v="USD 22.6184"/>
    <s v="USD -6,940.1812"/>
    <s v="USD (0.0000)"/>
    <s v="Shah TC Global Exim LLP - Mumbai"/>
    <n v="246779411939"/>
  </r>
  <r>
    <x v="1"/>
    <s v="CL2425M"/>
    <s v="PU 300023"/>
    <s v="A/P Invoice - Cancellation - VD0304"/>
    <s v="Vos Miscellaneous Charges"/>
    <m/>
    <n v="-4193"/>
    <n v="-589747.18920000002"/>
    <m/>
    <s v="USD -49.0000"/>
    <s v="USD -6,891.1812"/>
    <s v="USD (0.0000)"/>
    <s v="Shah TC Global Exim LLP - Mumbai"/>
    <n v="246779413828"/>
  </r>
  <r>
    <x v="4"/>
    <s v="BOS2425M"/>
    <s v="PU 7350289"/>
    <s v="A/P Invoices - VD0304"/>
    <s v="Handeling &amp; Agency Charges"/>
    <m/>
    <n v="7734.1876000000002"/>
    <n v="-597481.37679999997"/>
    <m/>
    <s v="USD 90.3756"/>
    <s v="USD -6,981.5568"/>
    <s v="USD (0.0000)"/>
    <s v="Shah TC Global Exim LLP - Mumbai"/>
    <n v="246779414468"/>
  </r>
  <r>
    <x v="4"/>
    <s v="BOS2425M"/>
    <s v="PU 7350290"/>
    <s v="A/P Invoices - VD0304"/>
    <s v="Handeling &amp; Agency Charges"/>
    <m/>
    <n v="7619.7987999999996"/>
    <n v="-605101.17559999996"/>
    <m/>
    <s v="USD 89.0428"/>
    <s v="USD -7,070.5996"/>
    <s v="USD (0.0000)"/>
    <s v="Shah TC Global Exim LLP - Mumbai"/>
    <n v="246779414682"/>
  </r>
  <r>
    <x v="4"/>
    <s v="BOS2425M"/>
    <s v="PU 7350291"/>
    <s v="A/P Invoices - VD0304"/>
    <s v="Handeling &amp; Agency Charges"/>
    <m/>
    <n v="8168.4920000000002"/>
    <n v="-613269.66760000004"/>
    <m/>
    <s v="USD 95.4520"/>
    <s v="USD -7,166.0516"/>
    <s v="USD (0.0000)"/>
    <s v="Shah TC Global Exim LLP - Mumbai"/>
    <n v="246779414735"/>
  </r>
  <r>
    <x v="4"/>
    <s v="BOS2425M"/>
    <s v="PU 7350292"/>
    <s v="A/P Invoices - VD0304"/>
    <s v="Handeling &amp; Agency Charges"/>
    <m/>
    <n v="2582.864"/>
    <n v="-615852.53159999999"/>
    <m/>
    <s v="USD 30.1840"/>
    <s v="USD -7,196.2356"/>
    <s v="USD (0.0000)"/>
    <s v="Shah TC Global Exim LLP - Mumbai"/>
    <n v="246779414886"/>
  </r>
  <r>
    <x v="4"/>
    <s v="BOS2425M"/>
    <s v="PU 7350293"/>
    <s v="A/P Invoices - VD0304"/>
    <s v="Handeling &amp; Agency Charges"/>
    <m/>
    <n v="589.62739999999997"/>
    <n v="-616442.15899999999"/>
    <m/>
    <s v="USD 6.8894"/>
    <s v="USD -7,203.1250"/>
    <s v="USD (0.0000)"/>
    <s v="Shah TC Global Exim LLP - Mumbai"/>
    <n v="246779414397"/>
  </r>
  <r>
    <x v="4"/>
    <s v="BOS2425M"/>
    <s v="PU 7350294"/>
    <s v="A/P Invoices - VD0304"/>
    <s v="Handeling &amp; Agency Charges"/>
    <m/>
    <n v="610.16660000000002"/>
    <n v="-617052.32559999998"/>
    <m/>
    <s v="USD 7.1246"/>
    <s v="USD -7,210.2496"/>
    <s v="USD (0.0000)"/>
    <s v="Shah TC Global Exim LLP - Mumbai"/>
    <n v="246779414887"/>
  </r>
  <r>
    <x v="4"/>
    <s v="BOS2425M"/>
    <s v="PU 7350295"/>
    <s v="A/P Invoices - VD0304"/>
    <s v="Handeling &amp; Agency Charges"/>
    <m/>
    <n v="914.67780000000005"/>
    <n v="-617967.00340000005"/>
    <m/>
    <s v="USD 10.6918"/>
    <s v="USD -7,220.9414"/>
    <s v="USD (0.0000)"/>
    <s v="Shah TC Global Exim LLP - Mumbai"/>
    <n v="256779414888"/>
  </r>
  <r>
    <x v="4"/>
    <s v="BOS2425M"/>
    <s v="PU 7350296"/>
    <s v="A/P Invoices - VD0304"/>
    <s v="Handeling &amp; Agency Charges"/>
    <m/>
    <n v="211.66159999999999"/>
    <n v="-618178.66500000004"/>
    <m/>
    <s v="USD 2.4696"/>
    <s v="USD -7,223.4110"/>
    <s v="USD (0.0000)"/>
    <s v="Shah TC Global Exim LLP - Mumbai"/>
    <n v="246779414889"/>
  </r>
  <r>
    <x v="4"/>
    <s v="BOS2425M"/>
    <s v="PU 7350297"/>
    <s v="A/P Invoices - VD0304"/>
    <s v="Handeling &amp; Agency Charges"/>
    <m/>
    <n v="2716.0803999999998"/>
    <n v="-620894.74540000001"/>
    <m/>
    <s v="USD 31.7324"/>
    <s v="USD -7,255.1434"/>
    <s v="USD (0.0000)"/>
    <s v="Shah TC Global Exim LLP - Mumbai"/>
    <n v="246779414398"/>
  </r>
  <r>
    <x v="4"/>
    <s v="BOS2425M"/>
    <s v="PU 7350298"/>
    <s v="A/P Invoices - VD0304"/>
    <s v="Handeling &amp; Agency Charges"/>
    <m/>
    <n v="3690.52"/>
    <n v="-624585.26540000003"/>
    <m/>
    <s v="USD 43.1200"/>
    <s v="USD -7,298.2634"/>
    <s v="USD (0.0000)"/>
    <s v="Shah TC Global Exim LLP - Mumbai"/>
    <n v="246779414890"/>
  </r>
  <r>
    <x v="3"/>
    <s v="BOS2425M"/>
    <s v="PU 7350299"/>
    <s v="A/P Invoices - VD0304"/>
    <s v="Vos Miscellaneous Charges"/>
    <m/>
    <n v="5577.07"/>
    <n v="-630162.33539999998"/>
    <m/>
    <s v="USD 65.1700"/>
    <s v="USD -7,363.4334"/>
    <s v="USD (0.0000)"/>
    <s v="Shah TC Global Exim LLP - Mumbai"/>
    <n v="246779412066"/>
  </r>
  <r>
    <x v="5"/>
    <s v="BOS2425M"/>
    <s v="PU 7350300"/>
    <s v="A/P Invoices - VD0304"/>
    <s v="Handeling &amp; Agency Charges"/>
    <m/>
    <n v="3836.4292"/>
    <n v="-633998.76459999999"/>
    <m/>
    <s v="USD 44.8252"/>
    <s v="USD -7,408.2586"/>
    <s v="USD (0.0000)"/>
    <s v="Shah TC Global Exim LLP - Mumbai"/>
    <n v="246779414318"/>
  </r>
  <r>
    <x v="4"/>
    <s v="JRN2425M"/>
    <s v="JE 7353132"/>
    <s v="Being TDS deduction on 246779413797 ascendas"/>
    <s v="Tds Payable- 94Ib - Rent"/>
    <m/>
    <n v="1711.6"/>
    <n v="-635710.36459999997"/>
    <m/>
    <s v="USD 20.0000"/>
    <s v="USD -7,428.2586"/>
    <s v="USD (0.0000)"/>
    <s v="Shah TC Global Exim LLP - Mumbai"/>
    <m/>
  </r>
  <r>
    <x v="4"/>
    <s v="JRN2425M"/>
    <s v="JE 7353133"/>
    <s v="Being TDS deduction on 246779413797 ascendas(Reversal) - 7619"/>
    <s v="Tds Payable- 94Ib - Rent"/>
    <n v="-1711.6"/>
    <m/>
    <n v="-637421.96459999995"/>
    <s v="USD -20.0000"/>
    <m/>
    <s v="USD -7,448.2586"/>
    <s v="USD  0.0000"/>
    <s v="Shah TC Global Exim LLP - Mumbai"/>
    <m/>
  </r>
  <r>
    <x v="0"/>
    <s v="BOS2425M"/>
    <s v="PU 7350301"/>
    <s v="A/P Invoices - VD0304"/>
    <s v="Management Fees (Ascendas)"/>
    <m/>
    <n v="33554.7022"/>
    <n v="-670976.66680000001"/>
    <m/>
    <s v="USD 392.0882"/>
    <s v="USD -7,840.3468"/>
    <s v="USD (0.0000)"/>
    <s v="Shah TC Global Exim LLP - Mumbai"/>
    <n v="246779410252"/>
  </r>
  <r>
    <x v="0"/>
    <s v="BOS2425M"/>
    <s v="PU 7350302"/>
    <s v="A/P Invoices - VD0304"/>
    <s v="Management Fees (Ascendas)"/>
    <m/>
    <n v="34945.618600000002"/>
    <n v="-705922.28540000005"/>
    <m/>
    <s v="USD 408.3366"/>
    <s v="USD -8,248.6834"/>
    <s v="USD (0.0000)"/>
    <s v="Shah TC Global Exim LLP - Mumbai"/>
    <n v="246779410166"/>
  </r>
  <r>
    <x v="0"/>
    <s v="BOS2425M"/>
    <s v="PU 7350303"/>
    <s v="A/P Invoices - VD0304"/>
    <s v="Rent - Ascendas"/>
    <m/>
    <n v="91693.278399999996"/>
    <n v="-797615.5638"/>
    <m/>
    <s v="USD 1,071.4320"/>
    <s v="USD -9,320.1154"/>
    <s v="USD (0.0000)"/>
    <s v="Shah TC Global Exim LLP - Mumbai"/>
    <n v="246779410140"/>
  </r>
  <r>
    <x v="0"/>
    <s v="BOS2425M"/>
    <s v="PU 7350304"/>
    <s v="A/P Invoices - VD0304"/>
    <s v="Rent - Ascendas"/>
    <m/>
    <n v="88045.209600000002"/>
    <n v="-885660.77339999995"/>
    <m/>
    <s v="USD 1,028.8080"/>
    <s v="USD -10,348.9234"/>
    <s v="USD (0.0000)"/>
    <s v="Shah TC Global Exim LLP - Mumbai"/>
    <n v="246779410226"/>
  </r>
  <r>
    <x v="3"/>
    <s v="BOS2425M"/>
    <s v="PU 7350305"/>
    <s v="A/P Invoices - VD0304"/>
    <s v="Vos Miscellaneous Charges"/>
    <m/>
    <n v="43626.1486"/>
    <n v="-929286.92200000002"/>
    <m/>
    <s v="USD 509.7666"/>
    <s v="USD -10,858.6900"/>
    <s v="USD (0.0000)"/>
    <s v="Shah TC Global Exim LLP - Mumbai"/>
    <n v="246779411760"/>
  </r>
  <r>
    <x v="4"/>
    <s v="BOS2425M"/>
    <s v="PU 7350306"/>
    <s v="A/P Invoices - VD0304"/>
    <s v="Handeling &amp; Agency Charges"/>
    <m/>
    <n v="368.55200000000002"/>
    <n v="-929655.47400000005"/>
    <m/>
    <s v="USD 4.3120"/>
    <s v="USD -10,863.0020"/>
    <s v="USD (0.0000)"/>
    <s v="Shah TC Global Exim LLP - Mumbai"/>
    <n v="246779413905"/>
  </r>
  <r>
    <x v="4"/>
    <s v="BOS2425M"/>
    <s v="PU 7350307"/>
    <s v="A/P Invoices - VD0304"/>
    <s v="Handeling &amp; Agency Charges"/>
    <m/>
    <n v="6461.0832"/>
    <n v="-936116.55720000004"/>
    <m/>
    <s v="USD 75.4992"/>
    <s v="USD -10,938.5012"/>
    <s v="USD (0.0000)"/>
    <s v="Shah TC Global Exim LLP - Mumbai"/>
    <n v="246779414399"/>
  </r>
  <r>
    <x v="6"/>
    <s v="BOS2425M"/>
    <s v="PU 7350308"/>
    <s v="A/P Invoices - VD0304"/>
    <s v="Rent - Ascendas"/>
    <m/>
    <n v="91693.278399999996"/>
    <n v="-1027809.8356"/>
    <m/>
    <s v="USD 1,071.4320"/>
    <s v="USD -12,009.9332"/>
    <s v="USD (0.0000)"/>
    <s v="Shah TC Global Exim LLP - Mumbai"/>
    <n v="246779410009"/>
  </r>
  <r>
    <x v="0"/>
    <s v="BOS2425M"/>
    <s v="PU 7350309"/>
    <s v="A/P Invoices - VD0304"/>
    <s v="Management Fees (Ascendas)"/>
    <m/>
    <n v="34945.618600000002"/>
    <n v="-1062755.4542"/>
    <m/>
    <s v="USD 408.3366"/>
    <s v="USD -12,418.2698"/>
    <s v="USD (0.0000)"/>
    <s v="Shah TC Global Exim LLP - Mumbai"/>
    <n v="246779410077"/>
  </r>
  <r>
    <x v="7"/>
    <s v="BOS2425M"/>
    <s v="PU 7350310"/>
    <s v="A/P Invoices - VD0304"/>
    <s v="Vos Miscellaneous Charges"/>
    <m/>
    <n v="79318.285000000003"/>
    <n v="-1142073.7392"/>
    <m/>
    <s v="USD 926.8350"/>
    <s v="USD -13,345.1048"/>
    <s v="USD (0.0000)"/>
    <s v="Shah TC Global Exim LLP - Mumbai"/>
    <n v="246779411449"/>
  </r>
  <r>
    <x v="7"/>
    <s v="BOS2425M"/>
    <s v="PU 7350311"/>
    <s v="A/P Invoices - VD0304"/>
    <s v="Vos Miscellaneous Charges"/>
    <m/>
    <n v="79318.285000000003"/>
    <n v="-1221392.0242000001"/>
    <m/>
    <s v="USD 926.8350"/>
    <s v="USD -14,271.9398"/>
    <s v="USD (0.0000)"/>
    <s v="Shah TC Global Exim LLP - Mumbai"/>
    <n v="246779412238"/>
  </r>
  <r>
    <x v="4"/>
    <s v="BOS2425M"/>
    <s v="PU 7350312"/>
    <s v="A/P Invoices - VD0304"/>
    <s v="Handeling &amp; Agency Charges"/>
    <m/>
    <n v="16503.432400000002"/>
    <n v="-1237895.4565999999"/>
    <m/>
    <s v="USD 192.8444"/>
    <s v="USD -14,464.7842"/>
    <s v="USD (0.0000)"/>
    <s v="Shah TC Global Exim LLP - Mumbai"/>
    <n v="246779414222"/>
  </r>
  <r>
    <x v="4"/>
    <s v="BOS2425M"/>
    <s v="PU 7350313"/>
    <s v="A/P Invoices - VD0304"/>
    <s v="Handeling &amp; Agency Charges"/>
    <m/>
    <n v="47478.693800000001"/>
    <n v="-1285374.1503999999"/>
    <m/>
    <s v="USD 554.7878"/>
    <s v="USD -15,019.5720"/>
    <s v="USD (0.0000)"/>
    <s v="Shah TC Global Exim LLP - Mumbai"/>
    <n v="246779414143"/>
  </r>
  <r>
    <x v="3"/>
    <s v="BOS2425M"/>
    <s v="PU 7350314"/>
    <s v="A/P Invoices - VD0304"/>
    <s v="Vos Miscellaneous Charges"/>
    <m/>
    <n v="37240.943200000002"/>
    <n v="-1322615.0936"/>
    <m/>
    <s v="USD 435.1592"/>
    <s v="USD -15,454.7312"/>
    <s v="USD (0.0000)"/>
    <s v="Shah TC Global Exim LLP - Mumbai"/>
    <n v="246779411621"/>
  </r>
  <r>
    <x v="8"/>
    <s v="BOS2425M"/>
    <s v="PU 7350315"/>
    <s v="A/P Invoices - VD0304"/>
    <s v="Vos Miscellaneous Charges"/>
    <m/>
    <n v="7129.3"/>
    <n v="-1329744.3936000001"/>
    <m/>
    <s v="USD 83.3000"/>
    <s v="USD -15,538.0312"/>
    <s v="USD (0.0000)"/>
    <s v="Shah TC Global Exim LLP - Mumbai"/>
    <n v="246779411301"/>
  </r>
  <r>
    <x v="8"/>
    <s v="BOS2425M"/>
    <s v="PU 7350316"/>
    <s v="A/P Invoices - VD0304"/>
    <s v="Vos Miscellaneous Charges"/>
    <m/>
    <n v="2935.3"/>
    <n v="-1332679.6936000001"/>
    <m/>
    <s v="USD 34.3000"/>
    <s v="USD -15,572.3312"/>
    <s v="USD (0.0000)"/>
    <s v="Shah TC Global Exim LLP - Mumbai"/>
    <n v="246779411315"/>
  </r>
  <r>
    <x v="4"/>
    <s v="BOS2425M"/>
    <s v="PU 7350317"/>
    <s v="A/P Invoices - VD0304"/>
    <s v="Vos Miscellaneous Charges"/>
    <m/>
    <n v="4193"/>
    <n v="-1336872.6936000001"/>
    <m/>
    <s v="USD 49.0000"/>
    <s v="USD -15,621.3312"/>
    <s v="USD (0.0000)"/>
    <s v="Shah TC Global Exim LLP - Mumbai"/>
    <n v="246779413817"/>
  </r>
  <r>
    <x v="4"/>
    <s v="BOS2425M"/>
    <s v="PU 7350318"/>
    <s v="A/P Invoices - VD0304"/>
    <s v="Ground Rent (Container)"/>
    <m/>
    <n v="1489.973"/>
    <n v="-1338362.6666000001"/>
    <m/>
    <s v="USD 17.4150"/>
    <s v="USD -15,638.7462"/>
    <s v="USD (0.0000)"/>
    <s v="Shah TC Global Exim LLP - Mumbai"/>
    <n v="246779414146"/>
  </r>
  <r>
    <x v="4"/>
    <s v="BOS2425M"/>
    <s v="PU 7350319"/>
    <s v="A/P Invoices - VD0304"/>
    <s v="Ground Rent (Container)"/>
    <m/>
    <n v="134532"/>
    <n v="-1472894.6666000001"/>
    <m/>
    <s v="USD 1,572.0000"/>
    <s v="USD -17,210.7462"/>
    <s v="USD (0.0000)"/>
    <s v="Shah TC Global Exim LLP - Mumbai"/>
    <n v="246779413808"/>
  </r>
  <r>
    <x v="4"/>
    <s v="JRN2425M"/>
    <s v="JE 7353155"/>
    <s v="Being TDS deduction on 246779413808 ascendas"/>
    <s v="Tds Payable- 94Ib - Rent"/>
    <n v="1711.6"/>
    <m/>
    <n v="-1471183.0666"/>
    <s v="USD 20.0000"/>
    <m/>
    <s v="USD -17,190.7462"/>
    <s v="USD  0.0000"/>
    <s v="Shah TC Global Exim LLP - Mumbai"/>
    <m/>
  </r>
  <r>
    <x v="4"/>
    <s v="BOS2425M"/>
    <s v="PU 7350320"/>
    <s v="A/P Invoices - VD0304"/>
    <s v="Reefer Plug In"/>
    <m/>
    <n v="12580"/>
    <n v="-1483763.0666"/>
    <m/>
    <s v="USD 147.0000"/>
    <s v="USD -17,337.7462"/>
    <s v="USD (0.0000)"/>
    <s v="Shah TC Global Exim LLP - Mumbai"/>
    <n v="246779414145"/>
  </r>
  <r>
    <x v="0"/>
    <s v="BOS2425M"/>
    <s v="PU 7350321"/>
    <s v="A/P Invoices - VD0304"/>
    <s v="Rent - Ascendas"/>
    <m/>
    <n v="91693.278399999996"/>
    <n v="-1575456.345"/>
    <m/>
    <s v="USD 1,071.4320"/>
    <s v="USD -18,409.1782"/>
    <s v="USD (0.0000)"/>
    <s v="Shah TC Global Exim LLP - Mumbai"/>
    <n v="246779410029"/>
  </r>
  <r>
    <x v="0"/>
    <s v="BOS2425M"/>
    <s v="PU 7350322"/>
    <s v="A/P Invoices - VD0304"/>
    <s v="Management Fees (Ascendas)"/>
    <m/>
    <n v="34945.618600000002"/>
    <n v="-1610401.9635999999"/>
    <m/>
    <s v="USD 408.3366"/>
    <s v="USD -18,817.5148"/>
    <s v="USD (0.0000)"/>
    <s v="Shah TC Global Exim LLP - Mumbai"/>
    <n v="24677910055"/>
  </r>
  <r>
    <x v="8"/>
    <s v="BOS2425M"/>
    <s v="PU 7350323"/>
    <s v="A/P Invoices - VD0304"/>
    <s v="Vos Miscellaneous Charges"/>
    <m/>
    <n v="2935.3"/>
    <n v="-1613337.2635999999"/>
    <m/>
    <s v="USD 34.3000"/>
    <s v="USD -18,851.8148"/>
    <s v="USD (0.0000)"/>
    <s v="Shah TC Global Exim LLP - Mumbai"/>
    <n v="246779411279"/>
  </r>
  <r>
    <x v="2"/>
    <s v="BOS2425M"/>
    <s v="PU 7350324"/>
    <s v="A/P Invoices - VD0304"/>
    <s v="Vos Miscellaneous Charges"/>
    <m/>
    <n v="6630.0990000000002"/>
    <n v="-1619967.3626000001"/>
    <m/>
    <s v="USD 77.4690"/>
    <s v="USD -18,929.2838"/>
    <s v="USD (0.0000)"/>
    <s v="Shah TC Global Exim LLP - Mumbai"/>
    <n v="246779413089"/>
  </r>
  <r>
    <x v="9"/>
    <s v="BOS2425M"/>
    <s v="PU 7350325"/>
    <s v="A/P Invoices - VD0304"/>
    <s v="Ground Rent (Container)"/>
    <m/>
    <n v="134788"/>
    <n v="-1754755.3626000001"/>
    <m/>
    <s v="USD 1,575.0000"/>
    <s v="USD -20,504.2838"/>
    <s v="USD (0.0000)"/>
    <s v="Shah TC Global Exim LLP - Mumbai"/>
    <n v="246779410324"/>
  </r>
  <r>
    <x v="2"/>
    <s v="BOS2425M"/>
    <s v="PU 7350326"/>
    <s v="A/P Invoices - VD0304"/>
    <s v="Vos Miscellaneous Charges"/>
    <m/>
    <n v="6630.0990000000002"/>
    <n v="-1761385.4616"/>
    <m/>
    <s v="USD 77.4690"/>
    <s v="USD -20,581.7528"/>
    <s v="USD (0.0000)"/>
    <s v="Shah TC Global Exim LLP - Mumbai"/>
    <n v="246779413089"/>
  </r>
  <r>
    <x v="10"/>
    <s v="BOS2425M"/>
    <s v="PU 7350327"/>
    <s v="A/P Invoices - VD0304"/>
    <s v="Rent - Ascendas"/>
    <m/>
    <n v="13647.064399999999"/>
    <n v="-1775032.5260000001"/>
    <m/>
    <s v="USD 159.4620"/>
    <s v="USD -20,741.2148"/>
    <s v="USD (0.0000)"/>
    <s v="Shah TC Global Exim LLP - Mumbai"/>
    <n v="246779410893"/>
  </r>
  <r>
    <x v="10"/>
    <s v="BOS2425M"/>
    <s v="PU 7350328"/>
    <s v="A/P Invoices - VD0304"/>
    <s v="Rent - Ascendas"/>
    <m/>
    <n v="3274.0057999999999"/>
    <n v="-1778306.5318"/>
    <m/>
    <s v="USD 38.2590"/>
    <s v="USD -20,779.4738"/>
    <s v="USD (0.0000)"/>
    <s v="Shah TC Global Exim LLP - Mumbai"/>
    <n v="246779410871"/>
  </r>
  <r>
    <x v="1"/>
    <s v="CL2425M"/>
    <s v="PU 300024"/>
    <s v="A/P Invoice - Cancellation - VD0304"/>
    <s v="Vos Miscellaneous Charges"/>
    <m/>
    <n v="-6630.0990000000002"/>
    <n v="-1771676.4328000001"/>
    <m/>
    <s v="USD -77.4690"/>
    <s v="USD -20,702.0048"/>
    <s v="USD (0.0000)"/>
    <s v="Shah TC Global Exim LLP - Mumbai"/>
    <n v="246779413089"/>
  </r>
  <r>
    <x v="3"/>
    <s v="BOS2425M"/>
    <s v="PU 7350329"/>
    <s v="A/P Invoices - VD0304"/>
    <s v="Vos Miscellaneous Charges"/>
    <m/>
    <n v="8387"/>
    <n v="-1780063.4328000001"/>
    <m/>
    <s v="USD 98.0000"/>
    <s v="USD -20,800.0048"/>
    <s v="USD (0.0000)"/>
    <s v="Shah TC Global Exim LLP - Mumbai"/>
    <n v="246779412119"/>
  </r>
  <r>
    <x v="4"/>
    <s v="BOS2425M"/>
    <s v="PU 7350330"/>
    <s v="A/P Invoices - VD0304"/>
    <s v="LCL CHARGES"/>
    <m/>
    <n v="10567.08"/>
    <n v="-1790630.5127999999"/>
    <m/>
    <s v="USD 123.4800"/>
    <s v="USD -20,923.4848"/>
    <s v="USD (0.0000)"/>
    <s v="Shah TC Global Exim LLP - Mumbai"/>
    <n v="246779414144"/>
  </r>
  <r>
    <x v="3"/>
    <s v="BOS2425M"/>
    <s v="PU 7350331"/>
    <s v="A/P Invoices - VD0304"/>
    <s v="Vos Miscellaneous Charges"/>
    <m/>
    <n v="8387"/>
    <n v="-1799017.5127999999"/>
    <m/>
    <s v="USD 98.0000"/>
    <s v="USD -21,021.4848"/>
    <s v="USD (0.0000)"/>
    <s v="Shah TC Global Exim LLP - Mumbai"/>
    <n v="246779412121"/>
  </r>
  <r>
    <x v="3"/>
    <s v="BOS2425M"/>
    <s v="PU 7350332"/>
    <s v="A/P Invoices - VD0304"/>
    <s v="Vos Miscellaneous Charges"/>
    <m/>
    <n v="8387"/>
    <n v="-1807404.5127999999"/>
    <m/>
    <s v="USD 98.0000"/>
    <s v="USD -21,119.4848"/>
    <s v="USD (0.0000)"/>
    <s v="Shah TC Global Exim LLP - Mumbai"/>
    <n v="246779412116"/>
  </r>
  <r>
    <x v="7"/>
    <s v="BOS2425M"/>
    <s v="PU 7350333"/>
    <s v="A/P Invoices - VD0304"/>
    <s v="Vos Miscellaneous Charges"/>
    <m/>
    <n v="8387"/>
    <n v="-1815791.5127999999"/>
    <m/>
    <s v="USD 98.0000"/>
    <s v="USD -21,217.4848"/>
    <s v="USD (0.0000)"/>
    <s v="Shah TC Global Exim LLP - Mumbai"/>
    <n v="246779411515"/>
  </r>
  <r>
    <x v="2"/>
    <s v="BOS2425M"/>
    <s v="PU 7350334"/>
    <s v="A/P Invoices - VD0304"/>
    <s v="Rent - Ascendas"/>
    <m/>
    <n v="88315.595400000006"/>
    <n v="-1904107.1081999999"/>
    <m/>
    <s v="USD 1,031.9670"/>
    <s v="USD -22,249.4518"/>
    <s v="USD (0.0000)"/>
    <s v="Shah TC Global Exim LLP - Mumbai"/>
    <n v="246779412981"/>
  </r>
  <r>
    <x v="2"/>
    <s v="BOS2425M"/>
    <s v="PU 7350335"/>
    <s v="A/P Invoices - VD0304"/>
    <s v="Rent - Ascendas"/>
    <m/>
    <n v="30964.871599999999"/>
    <n v="-1935071.9798000001"/>
    <m/>
    <s v="USD 361.8180"/>
    <s v="USD -22,611.2698"/>
    <s v="USD (0.0000)"/>
    <s v="Shah TC Global Exim LLP - Mumbai"/>
    <n v="246779413016"/>
  </r>
  <r>
    <x v="1"/>
    <s v="CL2425M"/>
    <s v="PU 300025"/>
    <s v="A/P Invoice - Cancellation - VD0304"/>
    <s v="Vos Miscellaneous Charges"/>
    <m/>
    <n v="-79318.285000000003"/>
    <n v="-1855753.6947999999"/>
    <m/>
    <s v="USD -926.8350"/>
    <s v="USD -21,684.4348"/>
    <s v="USD (0.0000)"/>
    <s v="Shah TC Global Exim LLP - Mumbai"/>
    <n v="246779412238"/>
  </r>
  <r>
    <x v="2"/>
    <s v="BOS2425M"/>
    <s v="PU 7350336"/>
    <s v="A/P Invoices - VD0304"/>
    <s v="Rent - Ascendas"/>
    <m/>
    <n v="88469.755399999995"/>
    <n v="-1944223.4502000001"/>
    <m/>
    <s v="USD 1,033.7670"/>
    <s v="USD -22,718.2018"/>
    <s v="USD (0.0000)"/>
    <s v="Shah TC Global Exim LLP - Mumbai"/>
    <n v="246779412981"/>
  </r>
  <r>
    <x v="1"/>
    <s v="CL2425M"/>
    <s v="PU 300026"/>
    <s v="A/P Invoice - Cancellation - VD0304"/>
    <s v="Rent - Ascendas"/>
    <m/>
    <n v="-88315.595400000006"/>
    <n v="-1855907.8548000001"/>
    <m/>
    <s v="USD -1,031.9670"/>
    <s v="USD -21,686.2348"/>
    <s v="USD (0.0000)"/>
    <s v="Shah TC Global Exim LLP - Mumbai"/>
    <n v="246779412981"/>
  </r>
  <r>
    <x v="4"/>
    <s v="JRN2425M"/>
    <s v="JE 7353198"/>
    <s v="Being TDS deduction on 246779413797 ascendas"/>
    <s v="Tds Payable- 94Ib - Rent"/>
    <n v="1711.6"/>
    <m/>
    <n v="-1854196.2548"/>
    <s v="USD 20.0000"/>
    <m/>
    <s v="USD -21,666.2348"/>
    <s v="USD  0.0000"/>
    <s v="Shah TC Global Exim LLP - Mumbai"/>
    <m/>
  </r>
  <r>
    <x v="4"/>
    <s v="JRN2425M"/>
    <s v="JE 7353199"/>
    <s v="Being TDS deduction on 246779413797 ascendas(Reversal) - 7646"/>
    <s v="Tds Payable- 94Ib - Rent"/>
    <m/>
    <n v="-1711.6"/>
    <n v="-1852484.6547999999"/>
    <m/>
    <s v="USD -20.0000"/>
    <s v="USD -21,646.2348"/>
    <s v="USD (0.0000)"/>
    <s v="Shah TC Global Exim LLP - Mumbai"/>
    <m/>
  </r>
  <r>
    <x v="11"/>
    <s v="BOS2425M"/>
    <s v="PU 7350338"/>
    <s v="A/P Invoices - VD0304"/>
    <s v="Rent - Ascendas"/>
    <m/>
    <n v="129952.43180000001"/>
    <n v="-1982437.0866"/>
    <m/>
    <s v="USD 1,518.4890"/>
    <s v="USD -23,164.7238"/>
    <s v="USD (0.0000)"/>
    <s v="Shah TC Global Exim LLP - Mumbai"/>
    <n v="246779410425"/>
  </r>
  <r>
    <x v="11"/>
    <s v="BOS2425M"/>
    <s v="PU 7350339"/>
    <s v="A/P Invoices - VD0304"/>
    <s v="Rent - Ascendas"/>
    <m/>
    <n v="100048.99679999999"/>
    <n v="-2082486.0833999999"/>
    <m/>
    <s v="USD 1,169.0640"/>
    <s v="USD -24,333.7878"/>
    <s v="USD (0.0000)"/>
    <s v="Shah TC Global Exim LLP - Mumbai"/>
    <n v="246779410401"/>
  </r>
  <r>
    <x v="11"/>
    <s v="BOS2425M"/>
    <s v="PU 7350340"/>
    <s v="A/P Invoices - VD0304"/>
    <s v="Rent - Ascendas"/>
    <m/>
    <n v="54789.332999999999"/>
    <n v="-2137275.4164"/>
    <m/>
    <s v="USD 640.2150"/>
    <s v="USD -24,974.0028"/>
    <s v="USD (0.0000)"/>
    <s v="Shah TC Global Exim LLP - Mumbai"/>
    <n v="246779410376"/>
  </r>
  <r>
    <x v="12"/>
    <s v="BOS2526M"/>
    <s v="PU 7360033"/>
    <s v="A/P Invoices - VD0304"/>
    <s v="Handeling &amp; Agency Charges"/>
    <m/>
    <n v="5965.8855999999996"/>
    <n v="-2143241.3020000001"/>
    <m/>
    <s v="USD 69.7956"/>
    <s v="USD -25,043.7984"/>
    <s v="USD (0.0000)"/>
    <s v="Shah TC Global Exim LLP - Mumbai"/>
    <n v="256779411887"/>
  </r>
  <r>
    <x v="13"/>
    <s v="BOS2526M"/>
    <s v="PU 7360034"/>
    <s v="A/P Invoices - VD0304"/>
    <s v="Ground Rent (Container)"/>
    <m/>
    <n v="146940"/>
    <n v="-2290181.3020000001"/>
    <m/>
    <s v="USD 1,719.0000"/>
    <s v="USD -26,762.7984"/>
    <s v="USD (0.0000)"/>
    <s v="Shah TC Global Exim LLP - Mumbai"/>
    <n v="256779410224"/>
  </r>
  <r>
    <x v="13"/>
    <s v="JRN2526M"/>
    <s v="JE 7360255"/>
    <s v="Being tds deduction for rent against bill no.-256779410224 dated-03-04-2025."/>
    <s v="Tds Payable- 94Ib - Rent"/>
    <n v="1709.6"/>
    <m/>
    <n v="-2288471.702"/>
    <s v="USD 20.0000"/>
    <m/>
    <s v="USD -26,742.7984"/>
    <s v="USD  0.0000"/>
    <s v="Shah TC Global Exim LLP - Mumbai"/>
    <n v="256779410224"/>
  </r>
  <r>
    <x v="12"/>
    <s v="BOS2526M"/>
    <s v="PU 7360030"/>
    <s v="A/P Invoices - VD0304"/>
    <s v="Vos Miscellaneous Charges"/>
    <m/>
    <n v="7137.7507999999998"/>
    <n v="-2295609.4528000001"/>
    <m/>
    <s v="USD 83.5058"/>
    <s v="USD -26,826.3042"/>
    <s v="USD (0.0000)"/>
    <s v="Shah TC Global Exim LLP - Mumbai"/>
    <n v="256779412020"/>
  </r>
  <r>
    <x v="14"/>
    <s v="BOS2526M"/>
    <s v="PU 7360031"/>
    <s v="A/P Invoices - VD0304"/>
    <s v="Handeling &amp; Agency Charges"/>
    <m/>
    <n v="7304.8559999999998"/>
    <n v="-2302914.3088000002"/>
    <m/>
    <s v="USD 85.4560"/>
    <s v="USD -26,911.7602"/>
    <s v="USD (0.0000)"/>
    <s v="Shah TC Global Exim LLP - Mumbai"/>
    <n v="256779412550"/>
  </r>
  <r>
    <x v="14"/>
    <s v="BOS2526M"/>
    <s v="PU 7360032"/>
    <s v="A/P Invoices - VD0304"/>
    <s v="Handeling &amp; Agency Charges"/>
    <m/>
    <n v="4771.0860000000002"/>
    <n v="-2307685.3947999999"/>
    <m/>
    <s v="USD 55.8110"/>
    <s v="USD -26,967.5712"/>
    <s v="USD (0.0000)"/>
    <s v="Shah TC Global Exim LLP - Mumbai"/>
    <n v="256779412582"/>
  </r>
  <r>
    <x v="15"/>
    <s v="OPY2526M"/>
    <s v="PS 7360069"/>
    <s v="Outgoing Payments - VD0304, Being Amount paid to ascendas against bank ref. no-003MISC251560088 dated 5-6-2025."/>
    <s v="YES BANK - 038784600000486 - CC A/c(SGE)"/>
    <n v="302049.55200000003"/>
    <m/>
    <n v="-2005635.8428"/>
    <s v="USD 3,529.5558"/>
    <m/>
    <s v="USD -23,438.0154"/>
    <s v="USD  0.0000"/>
    <s v="Shah TC Global Exim LLP - Mumbai"/>
    <m/>
  </r>
  <r>
    <x v="15"/>
    <s v="OPY2526M"/>
    <s v="PS 7360072"/>
    <s v="Outgoing Payments - VD0304,Being Amount paid to ascendas against bank ref. no-003MISC251560102 dated 5-6-2025."/>
    <s v="YES BANK - 038784600000486 - CC A/c(SGE)"/>
    <n v="271057.80579999997"/>
    <m/>
    <n v="-1734578.037"/>
    <s v="USD 3,167.4752"/>
    <m/>
    <s v="USD -20,270.5402"/>
    <s v="USD  0.0000"/>
    <s v="Shah TC Global Exim LLP - Mumbai"/>
    <m/>
  </r>
  <r>
    <x v="15"/>
    <s v="OPY2526M"/>
    <s v="PS 7360074"/>
    <s v="Outgoing Payments - VD0304,Being Amount paid to ascendas against bank ref. no-003MISC251560090 dated 5-6-2025."/>
    <s v="YES BANK - 038784600000486 - CC A/c(SGE)"/>
    <n v="315203.35159999999"/>
    <m/>
    <n v="-1419374.6854000001"/>
    <s v="USD 3,685.2032"/>
    <m/>
    <s v="USD -16,585.3370"/>
    <s v="USD  0.0000"/>
    <s v="Shah TC Global Exim LLP - Mumbai"/>
    <m/>
  </r>
  <r>
    <x v="12"/>
    <s v="BOS2526M"/>
    <s v="PU 7360039"/>
    <s v="A/P Invoices - VD0304"/>
    <s v="Rent - Ascendas"/>
    <m/>
    <n v="38650.758199999997"/>
    <n v="-1458025.4436000001"/>
    <m/>
    <s v="USD 450.5220"/>
    <s v="USD -17,035.8590"/>
    <s v="USD (0.0000)"/>
    <s v="Shah TC Global Exim LLP - Mumbai"/>
    <n v="256779412126"/>
  </r>
  <r>
    <x v="16"/>
    <s v="BOS2526M"/>
    <s v="PU 7360040"/>
    <s v="A/P Invoices - VD0304"/>
    <s v="Ground Rent (Container)"/>
    <m/>
    <n v="15442"/>
    <n v="-1473467.4436000001"/>
    <m/>
    <s v="USD 180.0000"/>
    <s v="USD -17,215.8590"/>
    <s v="USD (0.0000)"/>
    <s v="Shah TC Global Exim LLP - Mumbai"/>
    <n v="256779413185"/>
  </r>
  <r>
    <x v="16"/>
    <s v="CL2526M"/>
    <s v="PU 300002"/>
    <s v="A/P Invoice - Cancellation - VD0304"/>
    <s v="Ground Rent (Container)"/>
    <m/>
    <n v="-15442"/>
    <n v="-1458025.4436000001"/>
    <m/>
    <s v="USD -180.0000"/>
    <s v="USD -17,035.8590"/>
    <s v="USD (0.0000)"/>
    <s v="Shah TC Global Exim LLP - Mumbai"/>
    <n v="256779413185"/>
  </r>
  <r>
    <x v="17"/>
    <s v="BOS2526M"/>
    <s v="PU 7360041"/>
    <s v="A/P Invoices - VD0304"/>
    <s v="Ground Rent (Container)"/>
    <m/>
    <n v="15442"/>
    <n v="-1473467.4436000001"/>
    <m/>
    <s v="USD 180.0000"/>
    <s v="USD -17,215.8590"/>
    <s v="USD (0.0000)"/>
    <s v="Shah TC Global Exim LLP - Mumbai"/>
    <n v="256779413185"/>
  </r>
  <r>
    <x v="18"/>
    <s v="BOS2526D"/>
    <s v="PU 5360026"/>
    <s v="A/P Invoices - VD0304"/>
    <s v="Vos Miscellaneous Charges"/>
    <m/>
    <n v="8407"/>
    <n v="-1481874.4436000001"/>
    <m/>
    <s v="USD 98.0000"/>
    <s v="USD -17,313.8590"/>
    <s v="USD (0.0000)"/>
    <s v="Shah TC Global Exim LLP - Delhi"/>
    <n v="256779413847"/>
  </r>
  <r>
    <x v="18"/>
    <s v="BOS2526M"/>
    <s v="PU 7360042"/>
    <s v="A/P Invoices - VD0304"/>
    <s v="Vos Miscellaneous Charges"/>
    <m/>
    <n v="8407"/>
    <n v="-1490281.4436000001"/>
    <m/>
    <s v="USD 98.0000"/>
    <s v="USD -17,411.8590"/>
    <s v="USD (0.0000)"/>
    <s v="Shah TC Global Exim LLP - Mumbai"/>
    <n v="256779413841"/>
  </r>
  <r>
    <x v="18"/>
    <s v="BOS2526M"/>
    <s v="PU 7360043"/>
    <s v="A/P Invoices - VD0304"/>
    <s v="Vos Miscellaneous Charges"/>
    <m/>
    <n v="98"/>
    <n v="-1490379.4436000001"/>
    <m/>
    <m/>
    <s v="USD -17,411.8590"/>
    <m/>
    <s v="Shah TC Global Exim LLP - Mumbai"/>
    <n v="256779413848"/>
  </r>
  <r>
    <x v="17"/>
    <s v="BOS2526M"/>
    <s v="PU 7360044"/>
    <s v="A/P Invoices - VD0304"/>
    <s v="Vos Miscellaneous Charges"/>
    <m/>
    <n v="33734.3796"/>
    <n v="-1524113.8232"/>
    <m/>
    <s v="USD 393.2152"/>
    <s v="USD -17,805.0742"/>
    <s v="USD (0.0000)"/>
    <s v="Shah TC Global Exim LLP - Mumbai"/>
    <n v="256779413244"/>
  </r>
  <r>
    <x v="17"/>
    <s v="BOS2526M"/>
    <s v="PU 7360045"/>
    <s v="A/P Invoices - VD0304"/>
    <s v="Vos Miscellaneous Charges"/>
    <m/>
    <n v="8407"/>
    <n v="-1532520.8232"/>
    <m/>
    <s v="USD 98.0000"/>
    <s v="USD -17,903.0742"/>
    <s v="USD (0.0000)"/>
    <s v="Shah TC Global Exim LLP - Mumbai"/>
    <n v="256779413231"/>
  </r>
  <r>
    <x v="19"/>
    <s v="BOS2526M"/>
    <s v="PU 7360046"/>
    <s v="A/P Invoices - VD0304"/>
    <s v="Management Fees (Ascendas)"/>
    <m/>
    <n v="34292.025199999996"/>
    <n v="-1566812.8484"/>
    <m/>
    <s v="USD 399.7224"/>
    <s v="USD -18,302.7966"/>
    <s v="USD (0.0000)"/>
    <s v="Shah TC Global Exim LLP - Mumbai"/>
    <n v="256779412177"/>
  </r>
  <r>
    <x v="19"/>
    <s v="BOS2526M"/>
    <s v="PU 7360047"/>
    <s v="A/P Invoices - VD0304"/>
    <s v="Rent - Ascendas"/>
    <m/>
    <n v="89979.092300000004"/>
    <n v="-1656791.9406999999"/>
    <m/>
    <s v="USD 1,048.8330"/>
    <s v="USD -19,351.6296"/>
    <s v="USD (0.0000)"/>
    <s v="Shah TC Global Exim LLP - Mumbai"/>
    <n v="256779412142"/>
  </r>
  <r>
    <x v="18"/>
    <s v="BOS2526M"/>
    <s v="PU 7360069"/>
    <s v="A/P Invoices - VD0304"/>
    <s v="Vos Miscellaneous Charges"/>
    <m/>
    <n v="8407"/>
    <n v="-1665198.9406999999"/>
    <m/>
    <s v="USD 98.0000"/>
    <s v="USD -19,449.6296"/>
    <s v="USD (0.0000)"/>
    <s v="Shah TC Global Exim LLP - Mumbai"/>
    <n v="256779413847"/>
  </r>
  <r>
    <x v="16"/>
    <s v="CL2526D"/>
    <s v="PU 200003"/>
    <s v="A/P Invoice - Cancellation - VD0304"/>
    <s v="Vos Miscellaneous Charges"/>
    <m/>
    <n v="-8407"/>
    <n v="-1656791.9406999999"/>
    <m/>
    <s v="USD -98.0000"/>
    <s v="USD -19,351.6296"/>
    <s v="USD (0.0000)"/>
    <s v="Shah TC Global Exim LLP - Delhi"/>
    <n v="256779413847"/>
  </r>
  <r>
    <x v="16"/>
    <s v="CL2526M"/>
    <s v="PU 300003"/>
    <s v="A/P Invoice - Cancellation - VD0304"/>
    <s v="Vos Miscellaneous Charges"/>
    <m/>
    <n v="-98"/>
    <n v="-1656693.9406999999"/>
    <m/>
    <m/>
    <s v="USD -19,351.6296"/>
    <m/>
    <s v="Shah TC Global Exim LLP - Mumbai"/>
    <n v="256779413848"/>
  </r>
  <r>
    <x v="18"/>
    <s v="BOS2526M"/>
    <s v="PU 7360101"/>
    <s v="A/P Invoices - VD0304"/>
    <s v="Vos Miscellaneous Charges"/>
    <m/>
    <n v="8407"/>
    <n v="-1665100.9406999999"/>
    <m/>
    <s v="USD 98.0000"/>
    <s v="USD -19,449.6296"/>
    <s v="USD (0.0000)"/>
    <s v="Shah TC Global Exim LLP - Mumbai"/>
    <n v="256779413848"/>
  </r>
  <r>
    <x v="12"/>
    <s v="BOS2526M"/>
    <s v="PU 7360049"/>
    <s v="A/P Invoices - VD0304"/>
    <s v="Vos Miscellaneous Charges"/>
    <m/>
    <n v="3324.1365999999998"/>
    <n v="-1668425.0773"/>
    <m/>
    <s v="USD 38.7492"/>
    <s v="USD -19,488.3788"/>
    <s v="USD (0.0000)"/>
    <s v="Shah TC Global Exim LLP - Mumbai"/>
    <n v="256779411984"/>
  </r>
  <r>
    <x v="14"/>
    <s v="BOS2526M"/>
    <s v="PU 7360050"/>
    <s v="A/P Invoices - VD0304"/>
    <s v="Handeling &amp; Agency Charges"/>
    <m/>
    <n v="414.94470000000001"/>
    <n v="-1668840.0220000001"/>
    <m/>
    <s v="USD 4.8314"/>
    <s v="USD -19,493.2102"/>
    <s v="USD (0.0000)"/>
    <s v="Shah TC Global Exim LLP - Mumbai"/>
    <n v="256779412657"/>
  </r>
  <r>
    <x v="14"/>
    <s v="BOS2526M"/>
    <s v="PU 7360051"/>
    <s v="A/P Invoices - VD0304"/>
    <s v="Handeling &amp; Agency Charges"/>
    <m/>
    <n v="7330.8879999999999"/>
    <n v="-1676170.91"/>
    <m/>
    <s v="USD 85.4560"/>
    <s v="USD -19,578.6662"/>
    <s v="USD (0.0000)"/>
    <s v="Shah TC Global Exim LLP - Mumbai"/>
    <n v="256779412615"/>
  </r>
  <r>
    <x v="13"/>
    <s v="BOS2526M"/>
    <s v="PU 7360052"/>
    <s v="A/P Invoices - VD0304"/>
    <s v="Rent - Ascendas"/>
    <m/>
    <n v="143269"/>
    <n v="-1819439.91"/>
    <m/>
    <s v="USD 1,670.0000"/>
    <s v="USD -21,248.6662"/>
    <s v="USD (0.0000)"/>
    <s v="Shah TC Global Exim LLP - Mumbai"/>
    <n v="256779410006"/>
  </r>
  <r>
    <x v="13"/>
    <s v="JRN2526M"/>
    <s v="JE 7360300"/>
    <s v="Being TDS entry passed for the ground rent charges against bill no. 256779410006 dated 03-04-2025."/>
    <s v="Tds Payable- 94Ib - Rent"/>
    <n v="1715.8"/>
    <m/>
    <n v="-1817724.11"/>
    <s v="USD 20.0000"/>
    <m/>
    <s v="USD -21,228.6662"/>
    <s v="USD  0.0000"/>
    <s v="Shah TC Global Exim LLP - Mumbai"/>
    <n v="256779410006"/>
  </r>
  <r>
    <x v="13"/>
    <s v="BOS2526M"/>
    <s v="PU 7360053"/>
    <s v="A/P Invoices - VD0304"/>
    <s v="Rent - Ascendas"/>
    <m/>
    <n v="147473.5"/>
    <n v="-1965197.61"/>
    <m/>
    <s v="USD 1,719.0000"/>
    <s v="USD -22,947.6662"/>
    <s v="USD (0.0000)"/>
    <s v="Shah TC Global Exim LLP - Mumbai"/>
    <n v="256779410012"/>
  </r>
  <r>
    <x v="13"/>
    <s v="BOS2526M"/>
    <s v="PU 7360054"/>
    <s v="A/P Invoices - VD0304"/>
    <s v="Rent - Ascendas"/>
    <m/>
    <n v="143269"/>
    <n v="-2108466.61"/>
    <m/>
    <s v="USD 1,670.0000"/>
    <s v="USD -24,617.6662"/>
    <s v="USD (0.0000)"/>
    <s v="Shah TC Global Exim LLP - Mumbai"/>
    <n v="256779410015"/>
  </r>
  <r>
    <x v="13"/>
    <s v="JRN2526M"/>
    <s v="JE 7360303"/>
    <s v="Being Ground rent charges tds booked against bill no. 256779410015 dated 03-04-2025."/>
    <s v="Tds Payable- 94Ib - Rent"/>
    <n v="1715.8"/>
    <m/>
    <n v="-2106750.81"/>
    <s v="USD 20.0000"/>
    <m/>
    <s v="USD -24,597.6662"/>
    <s v="USD  0.0000"/>
    <s v="Shah TC Global Exim LLP - Mumbai"/>
    <n v="256779410015"/>
  </r>
  <r>
    <x v="13"/>
    <s v="JRN2526M"/>
    <s v="JE 7360304"/>
    <s v="BEing Ground Rent Charges tds booked against bill no 256779410012 dated 03-04-2025."/>
    <s v="Tds Payable- 94Ib - Rent"/>
    <n v="1715.8"/>
    <m/>
    <n v="-2105035.0099999998"/>
    <s v="USD 20.0000"/>
    <m/>
    <s v="USD -24,577.6662"/>
    <s v="USD  0.0000"/>
    <s v="Shah TC Global Exim LLP - Mumbai"/>
    <n v="256779410012"/>
  </r>
  <r>
    <x v="20"/>
    <s v="OPY2526M"/>
    <s v="PS 7360113"/>
    <s v="Outgoing Payments - VD0304,Being Amount paid to ascendas against bank ref. no-003FT01251640051 dated 13-6-2025."/>
    <s v="HDFC Bank - INR"/>
    <n v="1075024.8446"/>
    <m/>
    <n v="-1030010.1654000001"/>
    <s v="USD 12,549.3594"/>
    <m/>
    <s v="USD -12,028.3068"/>
    <s v="USD  0.0000"/>
    <s v="Shah TC Global Exim LLP - Mumbai"/>
    <m/>
  </r>
  <r>
    <x v="20"/>
    <s v="OPY2526M"/>
    <s v="PS 7360143"/>
    <s v="Outgoing Payments - VD0304,Being Amount paid to ascendas against bank ref. no-003FT01251640038 dated 13-6-2025."/>
    <s v="HDFC Bank - INR"/>
    <n v="353878.0502"/>
    <m/>
    <n v="-676132.1152"/>
    <m/>
    <m/>
    <s v="USD -12,028.3068"/>
    <m/>
    <s v="Shah TC Global Exim LLP - Mumbai"/>
    <m/>
  </r>
  <r>
    <x v="20"/>
    <s v="OPY2526M"/>
    <s v="PS 7360143"/>
    <s v="Reverse Entry for Payment No. 7360143"/>
    <s v="HDFC Bank - INR"/>
    <n v="-353878.0502"/>
    <m/>
    <n v="-1030010.1654000001"/>
    <m/>
    <m/>
    <s v="USD -12,028.3068"/>
    <m/>
    <s v="Shah TC Global Exim LLP - Mumbai"/>
    <m/>
  </r>
  <r>
    <x v="20"/>
    <s v="OPY2526M"/>
    <s v="PS 7360144"/>
    <s v="Outgoing Payments - VD0304,Being Amount paid to ascendas against bank ref. no-003FT01251640038 dated 13-6-2025."/>
    <s v="HDFC Bank - INR"/>
    <n v="353878.0502"/>
    <m/>
    <n v="-676132.1152"/>
    <s v="USD 4,127.9550"/>
    <m/>
    <s v="USD -7,900.3518"/>
    <s v="USD  0.0000"/>
    <s v="Shah TC Global Exim LLP - Mumbai"/>
    <m/>
  </r>
  <r>
    <x v="20"/>
    <s v="JRN2526M"/>
    <s v="JE 7360530"/>
    <s v="Being $3.4008 less paid in this bill because in summary sheet 2% tds deduscted instead of 10%"/>
    <s v="HDFC Bank - INR"/>
    <n v="290.90440000000001"/>
    <m/>
    <n v="-675841.2108"/>
    <s v="USD 3.4008"/>
    <m/>
    <s v="USD -7,896.9510"/>
    <s v="USD  3.4008"/>
    <s v="Shah TC Global Exim LLP - Mumbai"/>
    <n v="246779410871"/>
  </r>
  <r>
    <x v="20"/>
    <s v="OPY2526M"/>
    <s v="PS 7360144"/>
    <s v="Reverse Entry for Payment No. 7360144"/>
    <s v="HDFC Bank - INR"/>
    <n v="-353878.0502"/>
    <m/>
    <n v="-1029719.2610000001"/>
    <s v="USD -4,127.9550"/>
    <m/>
    <s v="USD -12,024.9060"/>
    <s v="USD  0.0000"/>
    <s v="Shah TC Global Exim LLP - Mumbai"/>
    <m/>
  </r>
  <r>
    <x v="20"/>
    <s v="OPY2526M"/>
    <s v="PS 7360145"/>
    <s v="Outgoing Payments - VD0304,Being Amount paid to ascendas against bank ref. no-003FT01251640038 dated 13-6-2025."/>
    <s v="HDFC Bank - INR"/>
    <n v="362187.0502"/>
    <m/>
    <n v="-667532.2108"/>
    <s v="USD 4,224.8172"/>
    <m/>
    <s v="USD -7,800.0888"/>
    <s v="USD  0.0000"/>
    <s v="Shah TC Global Exim LLP - Mumbai"/>
    <m/>
  </r>
  <r>
    <x v="16"/>
    <s v="BOS2526M"/>
    <s v="PU 7360085"/>
    <s v="A/P Invoices - VD0304"/>
    <s v="Rent - Ascendas"/>
    <m/>
    <n v="103047.89"/>
    <n v="-770580.10080000001"/>
    <m/>
    <s v="USD 1,205.1000"/>
    <s v="USD -9,005.1888"/>
    <s v="USD (0.0000)"/>
    <s v="Shah TC Global Exim LLP - Mumbai"/>
    <n v="256779414240"/>
  </r>
  <r>
    <x v="21"/>
    <s v="BOS2526M"/>
    <s v="PU 7360086"/>
    <s v="A/P Invoices - VD0304"/>
    <s v="Rent - Ascendas"/>
    <m/>
    <n v="31506.794000000002"/>
    <n v="-802086.89480000001"/>
    <m/>
    <s v="USD 368.4600"/>
    <s v="USD -9,373.6488"/>
    <s v="USD (0.0000)"/>
    <s v="Shah TC Global Exim LLP - Mumbai"/>
    <n v="256779414357"/>
  </r>
  <r>
    <x v="21"/>
    <s v="BOS2526M"/>
    <s v="PU 7360087"/>
    <s v="A/P Invoices - VD0304"/>
    <s v="Rent - Ascendas"/>
    <m/>
    <n v="90020.757199999993"/>
    <n v="-892107.652"/>
    <m/>
    <s v="USD 1,052.7480"/>
    <s v="USD -10,426.3968"/>
    <s v="USD (0.0000)"/>
    <s v="Shah TC Global Exim LLP - Mumbai"/>
    <n v="256779414356"/>
  </r>
  <r>
    <x v="22"/>
    <s v="BOS2526M"/>
    <s v="PU 7360088"/>
    <s v="A/P Invoices - VD0304"/>
    <s v="Transportation (Inbound)"/>
    <m/>
    <n v="22625.7"/>
    <n v="-914733.35199999996"/>
    <m/>
    <s v="USD 264.6000"/>
    <s v="USD -10,690.9968"/>
    <s v="USD (0.0000)"/>
    <s v="Shah TC Global Exim LLP - Mumbai"/>
    <n v="256779413256"/>
  </r>
  <r>
    <x v="22"/>
    <s v="BOS2526M"/>
    <s v="PU 7360089"/>
    <s v="A/P Invoices - VD0304"/>
    <s v="Vos Miscellaneous Charges"/>
    <m/>
    <n v="2932.85"/>
    <n v="-917666.20200000005"/>
    <m/>
    <s v="USD 34.3000"/>
    <s v="USD -10,725.2968"/>
    <s v="USD (0.0000)"/>
    <s v="Shah TC Global Exim LLP - Mumbai"/>
    <n v="256779413284"/>
  </r>
  <r>
    <x v="23"/>
    <s v="BOS2526M"/>
    <s v="PU 7360090"/>
    <s v="A/P Invoices - VD0304"/>
    <s v="Vos Miscellaneous Charges"/>
    <m/>
    <n v="11403.200800000001"/>
    <n v="-929069.40280000004"/>
    <m/>
    <s v="USD 133.3584"/>
    <s v="USD -10,858.6552"/>
    <s v="USD (0.0000)"/>
    <s v="Shah TC Global Exim LLP - Mumbai"/>
    <n v="256779414275"/>
  </r>
  <r>
    <x v="24"/>
    <s v="BOS2526M"/>
    <s v="PU 7360091"/>
    <s v="A/P Invoices - VD0304"/>
    <s v="Vos Miscellaneous Charges"/>
    <m/>
    <n v="58444.239300000001"/>
    <n v="-987513.64210000006"/>
    <m/>
    <s v="USD 683.4814"/>
    <s v="USD -11,542.1366"/>
    <s v="USD (0.0000)"/>
    <s v="Shah TC Global Exim LLP - Mumbai"/>
    <n v="256779414317"/>
  </r>
  <r>
    <x v="15"/>
    <s v="API2526D"/>
    <s v="PU 5360050"/>
    <s v="A/P Invoices - VD0304"/>
    <s v="Rent - Ascendas"/>
    <m/>
    <n v="4868.5429000000004"/>
    <n v="-992382.18500000006"/>
    <m/>
    <s v="USD 56.9380"/>
    <s v="USD -11,599.0746"/>
    <s v="USD (0.0000)"/>
    <s v="Shah TC Global Exim LLP - Delhi"/>
    <n v="256779414130"/>
  </r>
  <r>
    <x v="25"/>
    <s v="API2526D"/>
    <s v="PU 5360071"/>
    <s v="A/P Invoice - Cancellation - VD0304"/>
    <s v="Rent - Ascendas"/>
    <m/>
    <n v="-4868.5429000000004"/>
    <n v="-987513.64210000006"/>
    <m/>
    <s v="USD -56.9380"/>
    <s v="USD -11,542.1366"/>
    <s v="USD (0.0000)"/>
    <s v="Shah TC Global Exim LLP - Delhi"/>
    <n v="256779414130"/>
  </r>
  <r>
    <x v="24"/>
    <s v="BOS2526M"/>
    <s v="PU 7360105"/>
    <s v="A/P Invoices - VD0304"/>
    <s v="Rent - Ascendas"/>
    <m/>
    <n v="7725"/>
    <n v="-995238.64210000006"/>
    <m/>
    <s v="USD 90.0000"/>
    <s v="USD -11,632.1366"/>
    <s v="USD (0.0000)"/>
    <s v="Shah TC Global Exim LLP - Mumbai"/>
    <n v="246779414734"/>
  </r>
  <r>
    <x v="24"/>
    <s v="BOS2526M"/>
    <s v="PU 7360106"/>
    <s v="A/P Invoices - VD0304"/>
    <s v="Rent - Ascendas"/>
    <m/>
    <n v="7725"/>
    <n v="-1002963.6421000001"/>
    <m/>
    <s v="USD 90.0000"/>
    <s v="USD -11,722.1366"/>
    <s v="USD (0.0000)"/>
    <s v="Shah TC Global Exim LLP - Mumbai"/>
    <n v="246779414733"/>
  </r>
  <r>
    <x v="24"/>
    <s v="BOS2526M"/>
    <s v="PU 7360107"/>
    <s v="A/P Invoices - VD0304"/>
    <s v="Rent - Ascendas"/>
    <m/>
    <n v="7725"/>
    <n v="-1010688.6421000001"/>
    <m/>
    <s v="USD 90.0000"/>
    <s v="USD -11,812.1366"/>
    <s v="USD (0.0000)"/>
    <s v="Shah TC Global Exim LLP - Mumbai"/>
    <n v="246779414732"/>
  </r>
  <r>
    <x v="24"/>
    <s v="BOS2526M"/>
    <s v="PU 7360108"/>
    <s v="A/P Invoices - VD0304"/>
    <s v="Rent - Ascendas"/>
    <m/>
    <n v="7725"/>
    <n v="-1018413.6421000001"/>
    <m/>
    <s v="USD 90.0000"/>
    <s v="USD -11,902.1366"/>
    <s v="USD (0.0000)"/>
    <s v="Shah TC Global Exim LLP - Mumbai"/>
    <n v="246779414731"/>
  </r>
  <r>
    <x v="26"/>
    <s v="CL2526M"/>
    <s v="PU 300004"/>
    <s v="A/P Invoice - Cancellation - VD0304"/>
    <s v="Rent - Ascendas"/>
    <m/>
    <n v="-7725"/>
    <n v="-1010688.6421000001"/>
    <m/>
    <s v="USD -90.0000"/>
    <s v="USD -11,812.1366"/>
    <s v="USD (0.0000)"/>
    <s v="Shah TC Global Exim LLP - Mumbai"/>
    <n v="246779414734"/>
  </r>
  <r>
    <x v="26"/>
    <s v="CL2526M"/>
    <s v="PU 300005"/>
    <s v="A/P Invoice - Cancellation - VD0304"/>
    <s v="Rent - Ascendas"/>
    <m/>
    <n v="-7725"/>
    <n v="-1002963.6421000001"/>
    <m/>
    <s v="USD -90.0000"/>
    <s v="USD -11,722.1366"/>
    <s v="USD (0.0000)"/>
    <s v="Shah TC Global Exim LLP - Mumbai"/>
    <n v="246779414733"/>
  </r>
  <r>
    <x v="26"/>
    <s v="CL2526M"/>
    <s v="PU 300006"/>
    <s v="A/P Invoice - Cancellation - VD0304"/>
    <s v="Rent - Ascendas"/>
    <m/>
    <n v="-7725"/>
    <n v="-995238.64210000006"/>
    <m/>
    <s v="USD -90.0000"/>
    <s v="USD -11,632.1366"/>
    <s v="USD (0.0000)"/>
    <s v="Shah TC Global Exim LLP - Mumbai"/>
    <n v="246779414732"/>
  </r>
  <r>
    <x v="26"/>
    <s v="CL2526M"/>
    <s v="PU 300007"/>
    <s v="A/P Invoice - Cancellation - VD0304"/>
    <s v="Rent - Ascendas"/>
    <m/>
    <n v="-7725"/>
    <n v="-987513.64210000006"/>
    <m/>
    <s v="USD -90.0000"/>
    <s v="USD -11,542.1366"/>
    <s v="USD (0.0000)"/>
    <s v="Shah TC Global Exim LLP - Mumbai"/>
    <n v="246779414731"/>
  </r>
  <r>
    <x v="24"/>
    <s v="BOS2526M"/>
    <s v="PU 7360109"/>
    <s v="A/P Invoices - VD0304"/>
    <s v="Rent - Ascendas"/>
    <m/>
    <n v="7725"/>
    <n v="-995238.64210000006"/>
    <m/>
    <s v="USD 90.0000"/>
    <s v="USD -11,632.1366"/>
    <s v="USD (0.0000)"/>
    <s v="Shah TC Global Exim LLP - Mumbai"/>
    <n v="246779414734"/>
  </r>
  <r>
    <x v="24"/>
    <s v="BOS2526M"/>
    <s v="PU 7360110"/>
    <s v="A/P Invoices - VD0304"/>
    <s v="Rent - Ascendas"/>
    <m/>
    <n v="7725"/>
    <n v="-1002963.6421000001"/>
    <m/>
    <s v="USD 90.0000"/>
    <s v="USD -11,722.1366"/>
    <s v="USD (0.0000)"/>
    <s v="Shah TC Global Exim LLP - Mumbai"/>
    <n v="246779414733"/>
  </r>
  <r>
    <x v="24"/>
    <s v="BOS2526M"/>
    <s v="PU 7360111"/>
    <s v="A/P Invoices - VD0304"/>
    <s v="Rent - Ascendas"/>
    <m/>
    <n v="7725"/>
    <n v="-1010688.6421000001"/>
    <m/>
    <s v="USD 90.0000"/>
    <s v="USD -11,812.1366"/>
    <s v="USD (0.0000)"/>
    <s v="Shah TC Global Exim LLP - Mumbai"/>
    <n v="246779414732"/>
  </r>
  <r>
    <x v="24"/>
    <s v="BOS2526M"/>
    <s v="PU 7360112"/>
    <s v="A/P Invoices - VD0304"/>
    <s v="Rent - Ascendas"/>
    <m/>
    <n v="7725"/>
    <n v="-1018413.6421000001"/>
    <m/>
    <s v="USD 90.0000"/>
    <s v="USD -11,902.1366"/>
    <s v="USD (0.0000)"/>
    <s v="Shah TC Global Exim LLP - Mumbai"/>
    <n v="246779414731"/>
  </r>
  <r>
    <x v="20"/>
    <s v="BOS2526M"/>
    <s v="PU 7360113"/>
    <s v="A/P Invoices - VD0304"/>
    <s v="Vos Miscellaneous Charges"/>
    <m/>
    <n v="16823"/>
    <n v="-1035236.6421000001"/>
    <m/>
    <s v="USD 196.0000"/>
    <s v="USD -12,098.1366"/>
    <s v="USD (0.0000)"/>
    <s v="Shah TC Global Exim LLP - Mumbai"/>
    <n v="256779414341"/>
  </r>
  <r>
    <x v="19"/>
    <s v="BOS2526M"/>
    <s v="PU 7360114"/>
    <s v="A/P Invoices - VD0304"/>
    <s v="Management Fees (Ascendas)"/>
    <m/>
    <n v="34308.340400000001"/>
    <n v="-1069544.9824999999"/>
    <m/>
    <s v="USD 399.7224"/>
    <s v="USD -12,497.8590"/>
    <s v="USD (0.0000)"/>
    <s v="Shah TC Global Exim LLP - Mumbai"/>
    <n v="256779412177"/>
  </r>
  <r>
    <x v="19"/>
    <s v="BOS2526M"/>
    <s v="PU 7360115"/>
    <s v="A/P Invoices - VD0304"/>
    <s v="Rent - Ascendas"/>
    <m/>
    <n v="90021.7071"/>
    <n v="-1159566.6895999999"/>
    <m/>
    <s v="USD 1,048.8330"/>
    <s v="USD -13,546.6920"/>
    <s v="USD (0.0000)"/>
    <s v="Shah TC Global Exim LLP - Mumbai"/>
    <n v="256779412142"/>
  </r>
  <r>
    <x v="26"/>
    <s v="CL2526M"/>
    <s v="PU 300008"/>
    <s v="A/P Invoice - Cancellation - VD0304"/>
    <s v="Management Fees (Ascendas)"/>
    <m/>
    <n v="-34308.340400000001"/>
    <n v="-1125258.3492000001"/>
    <m/>
    <s v="USD -399.7224"/>
    <s v="USD -13,146.9696"/>
    <s v="USD (0.0000)"/>
    <s v="Shah TC Global Exim LLP - Mumbai"/>
    <n v="256779412177"/>
  </r>
  <r>
    <x v="26"/>
    <s v="CL2526M"/>
    <s v="PU 300009"/>
    <s v="A/P Invoice - Cancellation - VD0304"/>
    <s v="Rent - Ascendas"/>
    <m/>
    <n v="-90021.7071"/>
    <n v="-1035236.6421000001"/>
    <m/>
    <s v="USD -1,048.8330"/>
    <s v="USD -12,098.1366"/>
    <s v="USD (0.0000)"/>
    <s v="Shah TC Global Exim LLP - Mumbai"/>
    <n v="256779412142"/>
  </r>
  <r>
    <x v="27"/>
    <s v="OPY2526M"/>
    <s v="PS 7360316"/>
    <s v="Outgoing Payments - VD0304,Being payment done against USD 3798.9858   ASCENDAS PANVEL FTWZ PRIVATE LIMITED, Bank ref no.-  003MISC251990131 dated-18-07-2025."/>
    <s v="YES BANK - USD"/>
    <n v="319981.4313"/>
    <m/>
    <n v="-715255.2108"/>
    <s v="USD 3,742.0478"/>
    <m/>
    <s v="USD -8,356.0888"/>
    <s v="USD  0.0000"/>
    <s v="Shah TC Global Exim LLP - Mumbai"/>
    <m/>
  </r>
  <r>
    <x v="27"/>
    <s v="OPY2526M"/>
    <s v="PS 7360316"/>
    <s v="Reverse Entry for Payment No. 7360316"/>
    <s v="YES BANK - USD"/>
    <n v="-319981.4313"/>
    <m/>
    <n v="-1035236.6421000001"/>
    <s v="USD -3,742.0478"/>
    <m/>
    <s v="USD -12,098.1366"/>
    <s v="USD  0.0000"/>
    <s v="Shah TC Global Exim LLP - Mumbai"/>
    <m/>
  </r>
  <r>
    <x v="27"/>
    <s v="OPY2526M"/>
    <s v="PS 7360331"/>
    <s v="Outgoing Payments - VD0304,Being payment done against USD 3798.9858   ASCENDAS PANVEL FTWZ PRIVATE LIMITED, Bank ref no.-  003MISC251990131 dated-18-07-2025."/>
    <s v="YES BANK - USD"/>
    <n v="319981.4313"/>
    <m/>
    <n v="-715255.2108"/>
    <s v="USD 3,742.0478"/>
    <m/>
    <s v="USD -8,356.0888"/>
    <s v="USD  0.0000"/>
    <s v="Shah TC Global Exim LLP - Mumbai"/>
    <m/>
  </r>
  <r>
    <x v="24"/>
    <s v="BOS2526M"/>
    <s v="PU 7360124"/>
    <s v="A/P Invoices - VD0304"/>
    <s v="Rent - Ascendas"/>
    <m/>
    <n v="7758"/>
    <n v="-723013.2108"/>
    <m/>
    <s v="USD 90.0000"/>
    <s v="USD -8,446.0888"/>
    <s v="USD (0.0000)"/>
    <s v="Shah TC Global Exim LLP - Mumbai"/>
    <n v="256779414735"/>
  </r>
  <r>
    <x v="28"/>
    <s v="BOS2526M"/>
    <s v="PU 7360133"/>
    <s v="A/P Invoices - VD0304"/>
    <s v="Empty Return - Outward"/>
    <m/>
    <n v="13942.089"/>
    <n v="-736955.29980000004"/>
    <m/>
    <s v="USD 161.0900"/>
    <s v="USD -8,607.1788"/>
    <s v="USD (0.0000)"/>
    <s v="Shah TC Global Exim LLP - Mumbai"/>
    <n v="256779411152"/>
  </r>
  <r>
    <x v="28"/>
    <s v="BOS2526M"/>
    <s v="PU 7360134"/>
    <s v="A/P Invoices - VD0304"/>
    <s v="LCL CHARGES"/>
    <m/>
    <n v="2251.0369999999998"/>
    <n v="-739206.33680000005"/>
    <m/>
    <s v="USD 26.0100"/>
    <s v="USD -8,633.1888"/>
    <s v="USD (0.0000)"/>
    <s v="Shah TC Global Exim LLP - Mumbai"/>
    <n v="256779411153"/>
  </r>
  <r>
    <x v="28"/>
    <s v="BOS2526M"/>
    <s v="PU 7360135"/>
    <s v="A/P Invoices - VD0304"/>
    <s v="LCL CHARGES"/>
    <m/>
    <n v="7146.7030000000004"/>
    <n v="-746353.03980000003"/>
    <m/>
    <s v="USD 82.5700"/>
    <s v="USD -8,715.7588"/>
    <s v="USD (0.0000)"/>
    <s v="Shah TC Global Exim LLP - Mumbai"/>
    <n v="256779411154"/>
  </r>
  <r>
    <x v="28"/>
    <s v="BOS2526M"/>
    <s v="PU 7360136"/>
    <s v="A/P Invoices - VD0304"/>
    <s v="Inbound &amp; Outbound Handling"/>
    <m/>
    <n v="3129.6950000000002"/>
    <n v="-749482.73479999998"/>
    <m/>
    <s v="USD 36.1600"/>
    <s v="USD -8,751.9188"/>
    <s v="USD (0.0000)"/>
    <s v="Shah TC Global Exim LLP - Mumbai"/>
    <n v="256779411155"/>
  </r>
  <r>
    <x v="28"/>
    <s v="BOS2526M"/>
    <s v="PU 7360137"/>
    <s v="A/P Invoices - VD0304"/>
    <s v="Inbound &amp; Outbound Handling"/>
    <m/>
    <n v="1715.9065000000001"/>
    <n v="-751198.64130000002"/>
    <m/>
    <s v="USD 19.8300"/>
    <s v="USD -8,771.7488"/>
    <s v="USD (0.0000)"/>
    <s v="Shah TC Global Exim LLP - Mumbai"/>
    <n v="256779411156"/>
  </r>
  <r>
    <x v="28"/>
    <s v="BOS2526M"/>
    <s v="PU 7360138"/>
    <s v="A/P Invoices - VD0304"/>
    <s v="Inbound &amp; Outbound Handling"/>
    <m/>
    <n v="9866.4959999999992"/>
    <n v="-761065.13729999994"/>
    <m/>
    <s v="USD 113.9900"/>
    <s v="USD -8,885.7388"/>
    <s v="USD (0.0000)"/>
    <s v="Shah TC Global Exim LLP - Mumbai"/>
    <n v="256779411157"/>
  </r>
  <r>
    <x v="28"/>
    <s v="BOS2526M"/>
    <s v="PU 7360139"/>
    <s v="A/P Invoices - VD0304"/>
    <s v="Inbound &amp; Outbound Handling"/>
    <m/>
    <n v="1866.1"/>
    <n v="-762931.23730000004"/>
    <m/>
    <s v="USD 21.5600"/>
    <s v="USD -8,907.2988"/>
    <s v="USD (0.0000)"/>
    <s v="Shah TC Global Exim LLP - Mumbai"/>
    <n v="256779411565"/>
  </r>
  <r>
    <x v="28"/>
    <s v="BOS2526M"/>
    <s v="PU 7360140"/>
    <s v="A/P Invoices - VD0304"/>
    <s v="Inbound &amp; Outbound Handling"/>
    <m/>
    <n v="372.82"/>
    <n v="-763304.05729999999"/>
    <m/>
    <s v="USD 4.3100"/>
    <s v="USD -8,911.6088"/>
    <s v="USD (0.0000)"/>
    <s v="Shah TC Global Exim LLP - Mumbai"/>
    <n v="256779411566"/>
  </r>
  <r>
    <x v="28"/>
    <s v="BOS2526M"/>
    <s v="PU 7360141"/>
    <s v="A/P Invoices - VD0304"/>
    <s v="Inbound &amp; Outbound Handling"/>
    <m/>
    <n v="495.452"/>
    <n v="-763799.50930000003"/>
    <m/>
    <s v="USD 5.7200"/>
    <s v="USD -8,917.3288"/>
    <s v="USD (0.0000)"/>
    <s v="Shah TC Global Exim LLP - Mumbai"/>
    <n v="256779411567"/>
  </r>
  <r>
    <x v="28"/>
    <s v="BOS2526M"/>
    <s v="PU 7360142"/>
    <s v="A/P Invoices - VD0304"/>
    <s v="Inbound &amp; Outbound Handling"/>
    <m/>
    <n v="68.239999999999995"/>
    <n v="-763867.74930000002"/>
    <m/>
    <s v="USD 0.7800"/>
    <s v="USD -8,918.1088"/>
    <s v="USD (0.0000)"/>
    <s v="Shah TC Global Exim LLP - Mumbai"/>
    <n v="256779411568"/>
  </r>
  <r>
    <x v="28"/>
    <s v="BOS2526M"/>
    <s v="PU 7360143"/>
    <s v="A/P Invoices - VD0304"/>
    <s v="Inbound &amp; Outbound Handling"/>
    <m/>
    <n v="1174.7175"/>
    <n v="-765042.46680000005"/>
    <m/>
    <s v="USD 13.5700"/>
    <s v="USD -8,931.6788"/>
    <s v="USD (0.0000)"/>
    <s v="Shah TC Global Exim LLP - Mumbai"/>
    <n v="256779411569"/>
  </r>
  <r>
    <x v="28"/>
    <s v="BOS2526M"/>
    <s v="PU 7360144"/>
    <s v="A/P Invoices - VD0304"/>
    <s v="Inbound &amp; Outbound Handling"/>
    <m/>
    <n v="1539.8824999999999"/>
    <n v="-766582.3493"/>
    <m/>
    <s v="USD 17.7900"/>
    <s v="USD -8,949.4688"/>
    <s v="USD (0.0000)"/>
    <s v="Shah TC Global Exim LLP - Mumbai"/>
    <n v="256779411570"/>
  </r>
  <r>
    <x v="28"/>
    <s v="BOS2526M"/>
    <s v="PU 7360145"/>
    <s v="A/P Invoices - VD0304"/>
    <s v="Inbound &amp; Outbound Handling"/>
    <m/>
    <n v="1811.7080000000001"/>
    <n v="-768394.05729999999"/>
    <m/>
    <s v="USD 20.9300"/>
    <s v="USD -8,970.3988"/>
    <s v="USD (0.0000)"/>
    <s v="Shah TC Global Exim LLP - Mumbai"/>
    <n v="256779411571"/>
  </r>
  <r>
    <x v="28"/>
    <s v="BOS2526M"/>
    <s v="PU 7360146"/>
    <s v="A/P Invoices - VD0304"/>
    <s v="Inbound &amp; Outbound Handling"/>
    <m/>
    <n v="167.5035"/>
    <n v="-768561.56079999998"/>
    <m/>
    <s v="USD 1.9300"/>
    <s v="USD -8,972.3288"/>
    <s v="USD (0.0000)"/>
    <s v="Shah TC Global Exim LLP - Mumbai"/>
    <n v="256779411572"/>
  </r>
  <r>
    <x v="29"/>
    <s v="BOS2526M"/>
    <s v="PU 7360147"/>
    <s v="A/P Invoices - VD0304"/>
    <s v="Inbound &amp; Outbound Handling"/>
    <m/>
    <n v="2053.3755000000001"/>
    <n v="-770614.93629999994"/>
    <m/>
    <s v="USD 23.7300"/>
    <s v="USD -8,996.0588"/>
    <s v="USD (0.0000)"/>
    <s v="Shah TC Global Exim LLP - Mumbai"/>
    <n v="256779411573"/>
  </r>
  <r>
    <x v="28"/>
    <s v="BOS2526M"/>
    <s v="PU 7360148"/>
    <s v="A/P Invoices - VD0304"/>
    <s v="Inbound &amp; Outbound Handling"/>
    <m/>
    <n v="1247.2850000000001"/>
    <n v="-771862.22129999998"/>
    <m/>
    <s v="USD 14.4100"/>
    <s v="USD -9,010.4688"/>
    <s v="USD (0.0000)"/>
    <s v="Shah TC Global Exim LLP - Mumbai"/>
    <n v="256779411574"/>
  </r>
  <r>
    <x v="28"/>
    <s v="BOS2526M"/>
    <s v="PU 7360149"/>
    <s v="A/P Invoices - VD0304"/>
    <s v="Inbound &amp; Outbound Handling"/>
    <m/>
    <n v="1895.3924999999999"/>
    <n v="-773757.61380000005"/>
    <m/>
    <s v="USD 21.9030"/>
    <s v="USD -9,032.3718"/>
    <s v="USD (0.0000)"/>
    <s v="Shah TC Global Exim LLP - Mumbai"/>
    <n v="256779411575"/>
  </r>
  <r>
    <x v="28"/>
    <s v="BOS2526M"/>
    <s v="PU 7360150"/>
    <s v="A/P Invoices - VD0304"/>
    <s v="Inbound &amp; Outbound Handling"/>
    <m/>
    <n v="1825.556"/>
    <n v="-775583.16980000003"/>
    <m/>
    <s v="USD 21.0900"/>
    <s v="USD -9,053.4618"/>
    <s v="USD (0.0000)"/>
    <s v="Shah TC Global Exim LLP - Mumbai"/>
    <n v="256779411576"/>
  </r>
  <r>
    <x v="28"/>
    <s v="BOS2526M"/>
    <s v="PU 7360151"/>
    <s v="A/P Invoices - VD0304"/>
    <s v="Inbound &amp; Outbound Handling"/>
    <m/>
    <n v="130.28700000000001"/>
    <n v="-775713.45680000004"/>
    <m/>
    <s v="USD 1.5100"/>
    <s v="USD -9,054.9718"/>
    <s v="USD (0.0000)"/>
    <s v="Shah TC Global Exim LLP - Mumbai"/>
    <n v="256779411577"/>
  </r>
  <r>
    <x v="28"/>
    <s v="BOS2526M"/>
    <s v="PU 7360152"/>
    <s v="A/P Invoices - VD0304"/>
    <s v="Inbound &amp; Outbound Handling"/>
    <m/>
    <n v="610.29449999999997"/>
    <n v="-776323.7513"/>
    <m/>
    <s v="USD 7.0500"/>
    <s v="USD -9,062.0218"/>
    <s v="USD (0.0000)"/>
    <s v="Shah TC Global Exim LLP - Mumbai"/>
    <n v="256779411578"/>
  </r>
  <r>
    <x v="28"/>
    <s v="BOS2526M"/>
    <s v="PU 7360153"/>
    <s v="A/P Invoices - VD0304"/>
    <s v="Inbound &amp; Outbound Handling"/>
    <m/>
    <n v="411.76749999999998"/>
    <n v="-776735.51879999996"/>
    <m/>
    <s v="USD 4.7500"/>
    <s v="USD -9,066.7718"/>
    <s v="USD (0.0000)"/>
    <s v="Shah TC Global Exim LLP - Mumbai"/>
    <n v="256779411579"/>
  </r>
  <r>
    <x v="28"/>
    <s v="BOS2526M"/>
    <s v="PU 7360154"/>
    <s v="A/P Invoices - VD0304"/>
    <s v="Inbound &amp; Outbound Handling"/>
    <m/>
    <n v="1845.328"/>
    <n v="-778580.84680000006"/>
    <m/>
    <s v="USD 21.3200"/>
    <s v="USD -9,088.0918"/>
    <s v="USD (0.0000)"/>
    <s v="Shah TC Global Exim LLP - Mumbai"/>
    <n v="256779411580"/>
  </r>
  <r>
    <x v="28"/>
    <s v="BOS2526M"/>
    <s v="PU 7360155"/>
    <s v="A/P Invoices - VD0304"/>
    <s v="Inbound &amp; Outbound Handling"/>
    <m/>
    <n v="186.41"/>
    <n v="-778767.25679999997"/>
    <m/>
    <s v="USD 2.1600"/>
    <s v="USD -9,090.2518"/>
    <s v="USD (0.0000)"/>
    <s v="Shah TC Global Exim LLP - Mumbai"/>
    <n v="256779411581"/>
  </r>
  <r>
    <x v="28"/>
    <s v="BOS2526M"/>
    <s v="PU 7360156"/>
    <s v="A/P Invoices - VD0304"/>
    <s v="Inbound &amp; Outbound Handling"/>
    <m/>
    <n v="94.070499999999996"/>
    <n v="-778861.3273"/>
    <m/>
    <s v="USD 1.0900"/>
    <s v="USD -9,091.3418"/>
    <s v="USD (0.0000)"/>
    <s v="Shah TC Global Exim LLP - Mumbai"/>
    <n v="256779411582"/>
  </r>
  <r>
    <x v="28"/>
    <s v="BOS2526M"/>
    <s v="PU 7360157"/>
    <s v="A/P Invoices - VD0304"/>
    <s v="Inbound &amp; Outbound Handling"/>
    <m/>
    <n v="933.05"/>
    <n v="-779794.37730000005"/>
    <m/>
    <s v="USD 10.7800"/>
    <s v="USD -9,102.1218"/>
    <s v="USD (0.0000)"/>
    <s v="Shah TC Global Exim LLP - Mumbai"/>
    <n v="256779411583"/>
  </r>
  <r>
    <x v="28"/>
    <s v="BOS2526M"/>
    <s v="PU 7360158"/>
    <s v="A/P Invoices - VD0304"/>
    <s v="Inbound &amp; Outbound Handling"/>
    <m/>
    <n v="1968.8254999999999"/>
    <n v="-781763.20279999997"/>
    <m/>
    <s v="USD 22.7500"/>
    <s v="USD -9,124.8718"/>
    <s v="USD (0.0000)"/>
    <s v="Shah TC Global Exim LLP - Mumbai"/>
    <n v="256779411584"/>
  </r>
  <r>
    <x v="28"/>
    <s v="BOS2526M"/>
    <s v="PU 7360159"/>
    <s v="A/P Invoices - VD0304"/>
    <s v="Inbound &amp; Outbound Handling"/>
    <m/>
    <n v="661.95550000000003"/>
    <n v="-782425.15830000001"/>
    <m/>
    <s v="USD 7.6500"/>
    <s v="USD -9,132.5218"/>
    <s v="USD (0.0000)"/>
    <s v="Shah TC Global Exim LLP - Mumbai"/>
    <n v="256779411585"/>
  </r>
  <r>
    <x v="28"/>
    <s v="BOS2526M"/>
    <s v="PU 7360161"/>
    <s v="A/P Invoices - VD0304"/>
    <s v="Inbound &amp; Outbound Handling"/>
    <m/>
    <n v="2053.3755000000001"/>
    <n v="-784478.53379999998"/>
    <m/>
    <s v="USD 23.7300"/>
    <s v="USD -9,156.2518"/>
    <s v="USD (0.0000)"/>
    <s v="Shah TC Global Exim LLP - Mumbai"/>
    <n v="256779411573"/>
  </r>
  <r>
    <x v="29"/>
    <s v="CL2526M"/>
    <s v="PU 300011"/>
    <s v="A/P Invoice - Cancellation - VD0304"/>
    <s v="Inbound &amp; Outbound Handling"/>
    <m/>
    <n v="-2053.3755000000001"/>
    <n v="-782425.15830000001"/>
    <m/>
    <s v="USD -23.7300"/>
    <s v="USD -9,132.5218"/>
    <s v="USD (0.0000)"/>
    <s v="Shah TC Global Exim LLP - Mumbai"/>
    <n v="256779411573"/>
  </r>
  <r>
    <x v="25"/>
    <s v="BOS2526M"/>
    <s v="PU 7360163"/>
    <s v="A/P Invoices - VD0304"/>
    <s v="Transportation (Inbound)"/>
    <m/>
    <n v="18722.8"/>
    <n v="-801147.95830000006"/>
    <m/>
    <s v="USD 215.6000"/>
    <s v="USD -9,348.1218"/>
    <s v="USD (0.0000)"/>
    <s v="Shah TC Global Exim LLP - Mumbai"/>
    <n v="256779414772"/>
  </r>
  <r>
    <x v="25"/>
    <s v="BOS2526M"/>
    <s v="PU 7360164"/>
    <s v="A/P Invoices - VD0304"/>
    <s v="Empty Return - Outward"/>
    <m/>
    <n v="4255"/>
    <n v="-805402.95830000006"/>
    <m/>
    <s v="USD 49.0000"/>
    <s v="USD -9,397.1218"/>
    <s v="USD (0.0000)"/>
    <s v="Shah TC Global Exim LLP - Mumbai"/>
    <n v="256779414956"/>
  </r>
  <r>
    <x v="25"/>
    <s v="BOS2526M"/>
    <s v="PU 7360165"/>
    <s v="A/P Invoices - VD0304"/>
    <s v="Empty Return - Outward"/>
    <m/>
    <n v="4255"/>
    <n v="-809657.95830000006"/>
    <m/>
    <s v="USD 49.0000"/>
    <s v="USD -9,446.1218"/>
    <s v="USD (0.0000)"/>
    <s v="Shah TC Global Exim LLP - Mumbai"/>
    <n v="256779414957"/>
  </r>
  <r>
    <x v="25"/>
    <s v="BOS2526M"/>
    <s v="PU 7360166"/>
    <s v="A/P Invoices - VD0304"/>
    <s v="Inbound &amp; Outbound Handling"/>
    <m/>
    <n v="12112.068799999999"/>
    <n v="-821770.02709999995"/>
    <m/>
    <s v="USD 139.4736"/>
    <s v="USD -9,585.5954"/>
    <s v="USD (0.0000)"/>
    <s v="Shah TC Global Exim LLP - Mumbai"/>
    <n v="256779414830"/>
  </r>
  <r>
    <x v="25"/>
    <s v="BOS2526M"/>
    <s v="PU 7360167"/>
    <s v="A/P Invoices - VD0304"/>
    <s v="Inbound &amp; Outbound Handling"/>
    <m/>
    <n v="29722.738399999998"/>
    <n v="-851492.76549999998"/>
    <m/>
    <s v="USD 342.2748"/>
    <s v="USD -9,927.8702"/>
    <s v="USD (0.0000)"/>
    <s v="Shah TC Global Exim LLP - Mumbai"/>
    <n v="256779415017"/>
  </r>
  <r>
    <x v="25"/>
    <s v="BOS2526M"/>
    <s v="PU 7360168"/>
    <s v="A/P Invoices - VD0304"/>
    <s v="Ground Rent (Container)"/>
    <m/>
    <n v="32304.5772"/>
    <n v="-883797.34270000004"/>
    <m/>
    <s v="USD 371.9970"/>
    <s v="USD -10,299.8672"/>
    <s v="USD (0.0000)"/>
    <s v="Shah TC Global Exim LLP - Mumbai"/>
    <n v="256779414891"/>
  </r>
  <r>
    <x v="25"/>
    <s v="BOS2526M"/>
    <s v="PU 7360169"/>
    <s v="A/P Invoices - VD0304"/>
    <s v="Empty Lolo (Empty Yard)"/>
    <m/>
    <n v="5869.3548000000001"/>
    <n v="-889666.69750000001"/>
    <m/>
    <s v="USD 67.5906"/>
    <s v="USD -10,367.4578"/>
    <s v="USD (0.0000)"/>
    <s v="Shah TC Global Exim LLP - Mumbai"/>
    <n v="256779414904"/>
  </r>
  <r>
    <x v="23"/>
    <s v="BOS2526M"/>
    <s v="PU 7360170"/>
    <s v="A/P Invoices - VD0304"/>
    <s v="Inbound &amp; Outbound Handling"/>
    <m/>
    <n v="6106.6383999999998"/>
    <n v="-895773.33589999995"/>
    <m/>
    <s v="USD 70.3248"/>
    <s v="USD -10,437.7826"/>
    <s v="USD (0.0000)"/>
    <s v="Shah TC Global Exim LLP - Mumbai"/>
    <n v="256779414217"/>
  </r>
  <r>
    <x v="13"/>
    <s v="BOS2526M"/>
    <s v="PU 7360171"/>
    <s v="A/P Invoices - VD0304"/>
    <s v="Inbound &amp; Outbound Handling"/>
    <m/>
    <n v="838.37400000000002"/>
    <n v="-896611.70990000002"/>
    <m/>
    <s v="USD 9.6530"/>
    <s v="USD -10,447.4356"/>
    <s v="USD (0.0000)"/>
    <s v="Shah TC Global Exim LLP - Mumbai"/>
    <n v="256779410136"/>
  </r>
  <r>
    <x v="30"/>
    <s v="BOS2526M"/>
    <s v="PU 7360172"/>
    <s v="A/P Invoices - VD0304"/>
    <s v="Inbound &amp; Outbound Handling"/>
    <m/>
    <n v="1031.5008"/>
    <n v="-897643.21070000005"/>
    <m/>
    <s v="USD 11.8776"/>
    <s v="USD -10,459.3132"/>
    <s v="USD (0.0000)"/>
    <s v="Shah TC Global Exim LLP - Mumbai"/>
    <n v="256779412928"/>
  </r>
  <r>
    <x v="25"/>
    <s v="BOS2526M"/>
    <s v="PU 7360174"/>
    <s v="A/P Invoices - VD0304"/>
    <s v="Transportation (Inbound)"/>
    <m/>
    <n v="138310.23639999999"/>
    <n v="-1035953.4471"/>
    <m/>
    <s v="USD 1,592.7058"/>
    <s v="USD -12,052.0190"/>
    <s v="USD (0.0000)"/>
    <s v="Shah TC Global Exim LLP - Mumbai"/>
    <n v="256779414879"/>
  </r>
  <r>
    <x v="25"/>
    <s v="BOS2526M"/>
    <s v="PU 7360175"/>
    <s v="A/P Invoices - VD0304"/>
    <s v="Ground Rent (Container)"/>
    <m/>
    <n v="3025.5763999999999"/>
    <n v="-1038979.0235"/>
    <m/>
    <s v="USD 34.8390"/>
    <s v="USD -12,086.8580"/>
    <s v="USD (0.0000)"/>
    <s v="Shah TC Global Exim LLP - Mumbai"/>
    <n v="256779414879"/>
  </r>
  <r>
    <x v="31"/>
    <s v="OPY2526M"/>
    <s v="PS 7360324"/>
    <s v="Outgoing Payments - VD0304,Being payment done against USD 1007.82   ASCENDAS PANVEL FTWZ PRIVATE LIMITED, Bank ref no.- 003MISC252190104 dated-07-08-2025."/>
    <s v="YES BANK - USD"/>
    <n v="86445.871599999999"/>
    <m/>
    <n v="-952533.15190000006"/>
    <s v="USD 1,007.8180"/>
    <m/>
    <s v="USD -11,079.0400"/>
    <s v="USD  0.0000"/>
    <s v="Shah TC Global Exim LLP - Mumbai"/>
    <m/>
  </r>
  <r>
    <x v="32"/>
    <s v="OPY2526M"/>
    <s v="PS 7360322"/>
    <s v="Outgoing Payments - VD0304,Being payment done against USD 4800.34   ASCENDAS PANVEL FTWZ PRIVATE LIMITED, Bank ref no.-  003MISC252200121 dated-08-08-2025."/>
    <s v="YES BANK - USD"/>
    <n v="411479.42950000003"/>
    <m/>
    <n v="-541053.72239999997"/>
    <s v="USD 4,800.3366"/>
    <m/>
    <s v="USD -6,278.7034"/>
    <s v="USD  0.0000"/>
    <s v="Shah TC Global Exim LLP - Mumbai"/>
    <m/>
  </r>
  <r>
    <x v="22"/>
    <s v="BOS2526M"/>
    <s v="PU 7360194"/>
    <s v="A/P Invoices - VD0304"/>
    <s v="Vos Miscellaneous Charges"/>
    <m/>
    <n v="14655.223900000001"/>
    <n v="-555708.94629999995"/>
    <m/>
    <s v="USD 168.2800"/>
    <s v="USD -6,446.9834"/>
    <s v="USD (0.0000)"/>
    <s v="Shah TC Global Exim LLP - Mumbai"/>
    <n v="256779412101"/>
  </r>
  <r>
    <x v="25"/>
    <s v="BOS2526M"/>
    <s v="PU 7360195"/>
    <s v="A/P Invoices - VD0304"/>
    <s v="Vos Miscellaneous Charges"/>
    <m/>
    <n v="79041.919899999994"/>
    <n v="-634750.86620000005"/>
    <m/>
    <s v="USD 907.5900"/>
    <s v="USD -7,354.5734"/>
    <s v="USD (0.0000)"/>
    <s v="Shah TC Global Exim LLP - Mumbai"/>
    <n v="256779415264"/>
  </r>
  <r>
    <x v="33"/>
    <s v="BOS2526M"/>
    <s v="PU 7360196"/>
    <s v="A/P Invoices - VD0304"/>
    <s v="Vos Miscellaneous Charges"/>
    <m/>
    <n v="63294.9784"/>
    <n v="-698045.84459999995"/>
    <m/>
    <s v="USD 740.4700"/>
    <s v="USD -8,095.0434"/>
    <s v="USD (0.0000)"/>
    <s v="Shah TC Global Exim LLP - Mumbai"/>
    <n v="256779415996"/>
  </r>
  <r>
    <x v="27"/>
    <s v="BOS2526M"/>
    <s v="PU 7360197"/>
    <s v="A/P Invoices - VD0304"/>
    <s v="Transportation (Inbound)"/>
    <m/>
    <n v="71830.685800000007"/>
    <n v="-769876.53040000005"/>
    <m/>
    <s v="USD 824.7900"/>
    <s v="USD -8,919.8334"/>
    <s v="USD (0.0000)"/>
    <s v="Shah TC Global Exim LLP - Mumbai"/>
    <n v="256779415482"/>
  </r>
  <r>
    <x v="27"/>
    <s v="BOS2526M"/>
    <s v="PU 7360198"/>
    <s v="A/P Invoices - VD0304"/>
    <s v="Ground Rent (Container)"/>
    <m/>
    <n v="1516.1914999999999"/>
    <n v="-771392.7219"/>
    <m/>
    <s v="USD 17.4200"/>
    <s v="USD -8,937.2534"/>
    <s v="USD (0.0000)"/>
    <s v="Shah TC Global Exim LLP - Mumbai"/>
    <n v="256779415482"/>
  </r>
  <r>
    <x v="27"/>
    <s v="BOS2526M"/>
    <s v="PU 7360199"/>
    <s v="A/P Invoices - VD0304"/>
    <s v="Transportation (Inbound)"/>
    <m/>
    <n v="56058.2"/>
    <n v="-827450.92189999996"/>
    <m/>
    <s v="USD 646.8000"/>
    <s v="USD -9,584.0534"/>
    <s v="USD (0.0000)"/>
    <s v="Shah TC Global Exim LLP - Mumbai"/>
    <n v="256779415701"/>
  </r>
  <r>
    <x v="33"/>
    <s v="BOS2526M"/>
    <s v="PU 7360200"/>
    <s v="A/P Invoices - VD0304"/>
    <s v="Vos Miscellaneous Charges"/>
    <m/>
    <n v="8494"/>
    <n v="-835944.92189999996"/>
    <m/>
    <s v="USD 98.0000"/>
    <s v="USD -9,682.0534"/>
    <s v="USD (0.0000)"/>
    <s v="Shah TC Global Exim LLP - Mumbai"/>
    <n v="256779416012"/>
  </r>
  <r>
    <x v="27"/>
    <s v="BOS2526M"/>
    <s v="PU 7360201"/>
    <s v="A/P Invoices - VD0304"/>
    <s v="Vos Miscellaneous Charges"/>
    <m/>
    <n v="25195.788799999998"/>
    <n v="-861140.71070000005"/>
    <m/>
    <s v="USD 290.7100"/>
    <s v="USD -9,972.7634"/>
    <s v="USD (0.0000)"/>
    <s v="Shah TC Global Exim LLP - Mumbai"/>
    <n v="256779415432"/>
  </r>
  <r>
    <x v="17"/>
    <s v="BOS2526M"/>
    <s v="PU 7360202"/>
    <s v="A/P Invoices - VD0304"/>
    <s v="Rent - Ascendas"/>
    <m/>
    <n v="89577.395799999998"/>
    <n v="-950718.10649999999"/>
    <m/>
    <s v="USD 1,046.7100"/>
    <s v="USD -11,019.4734"/>
    <s v="USD (0.0000)"/>
    <s v="Shah TC Global Exim LLP - Mumbai"/>
    <n v="256779413144"/>
  </r>
  <r>
    <x v="34"/>
    <s v="BOS2526M"/>
    <s v="PU 7360217"/>
    <s v="A/P Invoices - VD0304"/>
    <s v="Management Fees (Ascendas)"/>
    <m/>
    <n v="35025.015500000001"/>
    <n v="-985743.12199999997"/>
    <m/>
    <s v="USD 398.6900"/>
    <s v="USD -11,418.1634"/>
    <s v="USD (0.0000)"/>
    <s v="Shah TC Global Exim LLP - Mumbai"/>
    <n v="256779416027"/>
  </r>
  <r>
    <x v="34"/>
    <s v="BOS2526M"/>
    <s v="PU 7360218"/>
    <s v="A/P Invoices - VD0304"/>
    <s v="Rent - Ascendas"/>
    <m/>
    <n v="91903.082999999999"/>
    <n v="-1077646.2050000001"/>
    <m/>
    <s v="USD 1,046.1400"/>
    <s v="USD -12,464.3034"/>
    <s v="USD (0.0000)"/>
    <s v="Shah TC Global Exim LLP - Mumbai"/>
    <n v="256779416026"/>
  </r>
  <r>
    <x v="32"/>
    <s v="BOS2526M"/>
    <s v="PU 7360219"/>
    <s v="A/P Invoices - VD0304"/>
    <s v="Inbound &amp; Outbound Handling"/>
    <m/>
    <n v="26217.960500000001"/>
    <n v="-1103864.1654999999"/>
    <m/>
    <s v="USD 298.4400"/>
    <s v="USD -12,762.7434"/>
    <s v="USD (0.0000)"/>
    <s v="Shah TC Global Exim LLP - Mumbai"/>
    <n v="256779416224"/>
  </r>
  <r>
    <x v="32"/>
    <s v="BOS2526M"/>
    <s v="PU 7360221"/>
    <s v="A/P Invoices - VD0304"/>
    <s v="Vos Miscellaneous Charges"/>
    <m/>
    <n v="50518.501499999998"/>
    <n v="-1154382.6669999999"/>
    <m/>
    <s v="USD 575.0500"/>
    <s v="USD -13,337.7934"/>
    <s v="USD (0.0000)"/>
    <s v="Shah TC Global Exim LLP - Mumbai"/>
    <n v="256779416445"/>
  </r>
  <r>
    <x v="32"/>
    <s v="BOS2526M"/>
    <s v="PU 7360223"/>
    <s v="A/P Invoices - VD0304"/>
    <s v="Transportation (Inbound)"/>
    <m/>
    <n v="231074.27849999999"/>
    <n v="-1385456.9454999999"/>
    <m/>
    <s v="USD 2,630.3300"/>
    <s v="USD -15,968.1234"/>
    <s v="USD (0.0000)"/>
    <s v="Shah TC Global Exim LLP - Mumbai"/>
    <n v="256779416179"/>
  </r>
  <r>
    <x v="32"/>
    <s v="BOS2526M"/>
    <s v="PU 7360224"/>
    <s v="A/P Invoices - VD0304"/>
    <s v="Ground Rent (Container)"/>
    <m/>
    <n v="8161.7555000000002"/>
    <n v="-1393618.7009999999"/>
    <m/>
    <s v="USD 92.9100"/>
    <s v="USD -16,061.0334"/>
    <s v="USD (0.0000)"/>
    <s v="Shah TC Global Exim LLP - Mumbai"/>
    <n v="256779416179"/>
  </r>
  <r>
    <x v="35"/>
    <s v="OPY2526M"/>
    <s v="PS 7360434"/>
    <s v="Outgoing Payments - VD0304,Being payment done against USD 2954.34 ASCENDAS PANVEL FTWZ PRIVATE LIMITED, Bank ref no.- 003MISC252530130 dated-10-09-2025."/>
    <s v="YES BANK - USD"/>
    <n v="256553.8652"/>
    <m/>
    <n v="-1137064.8358"/>
    <s v="USD 2,954.3362"/>
    <m/>
    <s v="USD -13,106.6972"/>
    <s v="USD  0.0000"/>
    <s v="Shah TC Global Exim LLP - Mumbai"/>
    <m/>
  </r>
  <r>
    <x v="35"/>
    <s v="OPY2526M"/>
    <s v="PS 7360436"/>
    <s v="Outgoing Payments - VD0304,Being payment done against USD 4740.75 ASCENDAS PANVEL FTWZ PRIVATE LIMITED, Bank ref no.- 003MISC252530128 dated-10-09-2025."/>
    <s v="YES BANK - USD"/>
    <n v="409664.38410000002"/>
    <m/>
    <n v="-727400.45169999998"/>
    <s v="USD 4,740.7700"/>
    <m/>
    <s v="USD -8,365.9272"/>
    <s v="USD  0.0000"/>
    <s v="Shah TC Global Exim LLP - Mumbai"/>
    <m/>
  </r>
  <r>
    <x v="36"/>
    <s v="OPY2526M"/>
    <s v="PS 7360437"/>
    <s v="Outgoing Payments - VD0304,Being payment done against USD 5041.57  ASCENDAS PANVEL FTWZ PRIVATE LIMITED, Bank ref no.- 003MISC252590125 dated-16-09-2025."/>
    <s v="YES BANK - USD"/>
    <n v="442900.59450000001"/>
    <m/>
    <n v="-284499.85720000003"/>
    <s v="USD 5,041.5600"/>
    <m/>
    <s v="USD -3,324.3672"/>
    <s v="USD  0.0000"/>
    <s v="Shah TC Global Exim LLP - Mumbai"/>
    <m/>
  </r>
  <r>
    <x v="36"/>
    <s v="OPY2526M"/>
    <s v="PS 7360438"/>
    <s v="Outgoing Payments - VD0304,Being payment done against USD 3327.77  ASCENDAS PANVEL FTWZ PRIVATE LIMITED, Bank ref no.- 003MISC252590125 dated-16-09-2025."/>
    <s v="YES BANK - USD"/>
    <n v="284790.76160000003"/>
    <m/>
    <n v="290.90440000000001"/>
    <s v="USD 3,327.7680"/>
    <m/>
    <s v="USD 3.4008"/>
    <s v="USD  0.0000"/>
    <s v="Shah TC Global Exim LLP - Mumbai"/>
    <m/>
  </r>
  <r>
    <x v="22"/>
    <s v="BOS2526M"/>
    <s v="PU 7360239"/>
    <s v="A/P Invoices - VD0304"/>
    <s v="Inbound &amp; Outbound Handling"/>
    <m/>
    <n v="1747.1537000000001"/>
    <n v="-1456.2492999999999"/>
    <m/>
    <s v="USD 19.7078"/>
    <s v="USD -16.3070"/>
    <s v="USD (0.0000)"/>
    <s v="Shah TC Global Exim LLP - Mumbai"/>
    <n v="256779413358"/>
  </r>
  <r>
    <x v="18"/>
    <s v="BOS2526M"/>
    <s v="PU 7360240"/>
    <s v="A/P Invoices - VD0304"/>
    <s v="Inbound &amp; Outbound Handling"/>
    <m/>
    <n v="8506.7929999999997"/>
    <n v="-9963.0422999999992"/>
    <m/>
    <s v="USD 95.9420"/>
    <s v="USD -112.2490"/>
    <s v="USD (0.0000)"/>
    <s v="Shah TC Global Exim LLP - Mumbai"/>
    <n v="256779413487"/>
  </r>
  <r>
    <x v="37"/>
    <s v="BOS2526M"/>
    <s v="PU 7360241"/>
    <s v="A/P Invoices - VD0304"/>
    <s v="Inbound &amp; Outbound Handling"/>
    <m/>
    <n v="7311.6938"/>
    <n v="-17274.736099999998"/>
    <m/>
    <s v="USD 82.4572"/>
    <s v="USD -194.7062"/>
    <s v="USD (0.0000)"/>
    <s v="Shah TC Global Exim LLP - Mumbai"/>
    <n v="256779416879"/>
  </r>
  <r>
    <x v="37"/>
    <s v="BOS2526M"/>
    <s v="PU 7360242"/>
    <s v="A/P Invoices - VD0304"/>
    <s v="Transportation (Inbound)"/>
    <m/>
    <n v="42795.2016"/>
    <n v="-60069.937700000002"/>
    <m/>
    <s v="USD 482.6304"/>
    <s v="USD -677.3366"/>
    <s v="USD (0.0000)"/>
    <s v="Shah TC Global Exim LLP - Mumbai"/>
    <n v="256779416845"/>
  </r>
  <r>
    <x v="22"/>
    <s v="BOS2526M"/>
    <s v="PU 7360243"/>
    <s v="A/P Invoices - VD0304"/>
    <s v="Inbound &amp; Outbound Handling"/>
    <m/>
    <n v="7472.62"/>
    <n v="-67542.557700000005"/>
    <m/>
    <s v="USD 84.2800"/>
    <s v="USD -761.6166"/>
    <s v="USD (0.0000)"/>
    <s v="Shah TC Global Exim LLP - Mumbai"/>
    <n v="256779413313"/>
  </r>
  <r>
    <x v="32"/>
    <s v="BOS2526M"/>
    <s v="PU 7360244"/>
    <s v="A/P Invoices - VD0304"/>
    <s v="Vos Miscellaneous Charges"/>
    <m/>
    <n v="34496.2166"/>
    <n v="-102038.7743"/>
    <m/>
    <s v="USD 389.0404"/>
    <s v="USD -1,150.6570"/>
    <s v="USD (0.0000)"/>
    <s v="Shah TC Global Exim LLP - Mumbai"/>
    <n v="256779416515"/>
  </r>
  <r>
    <x v="32"/>
    <s v="BOS2526M"/>
    <s v="PU 7360245"/>
    <s v="A/P Invoices - VD0304"/>
    <s v="Empty Lolo (Empty Yard)"/>
    <m/>
    <n v="25992.970399999998"/>
    <n v="-128031.7447"/>
    <m/>
    <s v="USD 293.1376"/>
    <s v="USD -1,443.7946"/>
    <s v="USD (0.0000)"/>
    <s v="Shah TC Global Exim LLP - Mumbai"/>
    <n v="256779416141"/>
  </r>
  <r>
    <x v="17"/>
    <s v="BOS2526M"/>
    <s v="PU 7360246"/>
    <s v="A/P Invoices - VD0304"/>
    <s v="Rent - Ascendas"/>
    <m/>
    <n v="32484.123500000002"/>
    <n v="-160515.8682"/>
    <m/>
    <s v="USD 366.3450"/>
    <s v="USD -1,810.1396"/>
    <s v="USD (0.0000)"/>
    <s v="Shah TC Global Exim LLP - Mumbai"/>
    <n v="256779413145"/>
  </r>
  <r>
    <x v="37"/>
    <s v="BOS2526M"/>
    <s v="PU 7360248"/>
    <s v="A/P Invoices - VD0304"/>
    <s v="Transportation (Inbound)"/>
    <m/>
    <n v="15641.6"/>
    <n v="-176157.4682"/>
    <m/>
    <s v="USD 176.4000"/>
    <s v="USD -1,986.5396"/>
    <s v="USD (0.0000)"/>
    <s v="Shah TC Global Exim LLP - Mumbai"/>
    <n v="256779416817"/>
  </r>
  <r>
    <x v="38"/>
    <s v="BOS2526M"/>
    <s v="PU 7360251"/>
    <s v="A/P Invoices - VD0304"/>
    <s v="Vos Miscellaneous Charges"/>
    <m/>
    <n v="67577.916299999997"/>
    <n v="-243735.38449999999"/>
    <m/>
    <s v="USD 772.1910"/>
    <s v="USD -2,758.7306"/>
    <s v="USD (0.0000)"/>
    <s v="Shah TC Global Exim LLP - Mumbai"/>
    <n v="256779417161"/>
  </r>
  <r>
    <x v="39"/>
    <s v="BOS2526M"/>
    <s v="PU 7360252"/>
    <s v="A/P Invoices - VD0304"/>
    <s v="Rent - Ascendas"/>
    <m/>
    <n v="89999.859100000001"/>
    <n v="-333735.24359999999"/>
    <m/>
    <s v="USD 1,046.5020"/>
    <s v="USD -3,805.2326"/>
    <s v="USD (0.0000)"/>
    <s v="Shah TC Global Exim LLP - Mumbai"/>
    <n v="256779414914"/>
  </r>
  <r>
    <x v="39"/>
    <s v="BOS2526M"/>
    <s v="PU 7360253"/>
    <s v="A/P Invoices - VD0304"/>
    <s v="Vos Miscellaneous Charges"/>
    <m/>
    <n v="34299.6927"/>
    <n v="-368034.9363"/>
    <m/>
    <s v="USD 398.8306"/>
    <s v="USD -4,204.0632"/>
    <s v="USD (0.0000)"/>
    <s v="Shah TC Global Exim LLP - Mumbai"/>
    <n v="256779414915"/>
  </r>
  <r>
    <x v="38"/>
    <s v="BOS2526M"/>
    <s v="PU 7360254"/>
    <s v="A/P Invoices - VD0304"/>
    <s v="Inbound &amp; Outbound Handling"/>
    <m/>
    <n v="8391.402"/>
    <n v="-376426.3383"/>
    <m/>
    <s v="USD 95.8832"/>
    <s v="USD -4,299.9464"/>
    <s v="USD (0.0000)"/>
    <s v="Shah TC Global Exim LLP - Mumbai"/>
    <n v="256779417325"/>
  </r>
  <r>
    <x v="27"/>
    <s v="BOS2526M"/>
    <s v="PU 7360255"/>
    <s v="A/P Invoices - VD0304"/>
    <s v="Inbound &amp; Outbound Handling"/>
    <m/>
    <n v="6162.3689999999997"/>
    <n v="-382588.70730000001"/>
    <m/>
    <s v="USD 71.6576"/>
    <s v="USD -4,371.6040"/>
    <s v="USD (0.0000)"/>
    <s v="Shah TC Global Exim LLP - Mumbai"/>
    <n v="256779415524"/>
  </r>
  <r>
    <x v="38"/>
    <s v="BOS2526M"/>
    <s v="PU 7360256"/>
    <s v="A/P Invoices - VD0304"/>
    <s v="Transportation (Inbound)"/>
    <m/>
    <n v="35212.633600000001"/>
    <n v="-417801.34090000001"/>
    <m/>
    <s v="USD 402.3684"/>
    <s v="USD -4,773.9724"/>
    <s v="USD (0.0000)"/>
    <s v="Shah TC Global Exim LLP - Mumbai"/>
    <n v="256779417287"/>
  </r>
  <r>
    <x v="38"/>
    <s v="BOS2526M"/>
    <s v="PU 7360257"/>
    <s v="A/P Invoices - VD0304"/>
    <s v="Reefer Plug In"/>
    <m/>
    <n v="133792.3548"/>
    <n v="-551593.69570000004"/>
    <m/>
    <s v="USD 1,528.8000"/>
    <s v="USD -6,302.7724"/>
    <s v="USD (0.0000)"/>
    <s v="Shah TC Global Exim LLP - Mumbai"/>
    <n v="256779417179"/>
  </r>
  <r>
    <x v="38"/>
    <s v="BOS2526M"/>
    <s v="PU 7360258"/>
    <s v="A/P Invoices - VD0304"/>
    <s v="Reefer Plug In"/>
    <m/>
    <n v="133792.3548"/>
    <n v="-685386.05050000001"/>
    <m/>
    <s v="USD 1,528.8000"/>
    <s v="USD -7,831.5724"/>
    <s v="USD (0.0000)"/>
    <s v="Shah TC Global Exim LLP - Mumbai"/>
    <n v="256779417178"/>
  </r>
  <r>
    <x v="38"/>
    <s v="BOS2526M"/>
    <s v="PU 7360259"/>
    <s v="A/P Invoices - VD0304"/>
    <s v="Reefer Plug In"/>
    <m/>
    <n v="138252.1"/>
    <n v="-823638.15049999999"/>
    <m/>
    <s v="USD 1,579.7600"/>
    <s v="USD -9,411.3324"/>
    <s v="USD (0.0000)"/>
    <s v="Shah TC Global Exim LLP - Mumbai"/>
    <n v="256779417180"/>
  </r>
  <r>
    <x v="38"/>
    <s v="BOS2526M"/>
    <s v="PU 7360260"/>
    <s v="A/P Invoices - VD0304"/>
    <s v="Ground Rent (Container)"/>
    <m/>
    <n v="14736.9311"/>
    <n v="-838375.08160000003"/>
    <m/>
    <s v="USD 168.3900"/>
    <s v="USD -9,579.7224"/>
    <s v="USD (0.0000)"/>
    <s v="Shah TC Global Exim LLP - Mumbai"/>
    <n v="256779417180"/>
  </r>
  <r>
    <x v="38"/>
    <s v="BOS2526M"/>
    <s v="PU 7360261"/>
    <s v="A/P Invoices - VD0304"/>
    <s v="Ground Rent (Container)"/>
    <m/>
    <n v="15752.866"/>
    <n v="-854127.94759999996"/>
    <m/>
    <s v="USD 180.0000"/>
    <s v="USD -9,759.7224"/>
    <s v="USD (0.0000)"/>
    <s v="Shah TC Global Exim LLP - Mumbai"/>
    <n v="256779417181"/>
  </r>
  <r>
    <x v="38"/>
    <s v="BOS2526M"/>
    <s v="PU 7360262"/>
    <s v="A/P Invoices - VD0304"/>
    <s v="Reefer Plug In"/>
    <m/>
    <n v="138252.1"/>
    <n v="-992380.04760000005"/>
    <m/>
    <s v="USD 1,579.7600"/>
    <s v="USD -11,339.4824"/>
    <s v="USD (0.0000)"/>
    <s v="Shah TC Global Exim LLP - Mumbai"/>
    <n v="256779417181"/>
  </r>
  <r>
    <x v="38"/>
    <s v="BOS2526M"/>
    <s v="PU 7360263"/>
    <s v="A/P Invoices - VD0304"/>
    <s v="Rent - Ascendas"/>
    <m/>
    <n v="31499.606"/>
    <n v="-1023879.6536"/>
    <m/>
    <s v="USD 359.9370"/>
    <s v="USD -11,699.4194"/>
    <s v="USD (0.0000)"/>
    <s v="Shah TC Global Exim LLP - Mumbai"/>
    <n v="256779417347"/>
  </r>
  <r>
    <x v="38"/>
    <s v="BOS2526M"/>
    <s v="PU 7360264"/>
    <s v="A/P Invoices - VD0304"/>
    <s v="Rent - Ascendas"/>
    <m/>
    <n v="89999.999500000005"/>
    <n v="-1113879.6531"/>
    <m/>
    <s v="USD 1,028.4030"/>
    <s v="USD -12,727.8224"/>
    <s v="USD (0.0000)"/>
    <s v="Shah TC Global Exim LLP - Mumbai"/>
    <n v="256779417346"/>
  </r>
  <r>
    <x v="38"/>
    <s v="OB2526M"/>
    <s v="PC 1002"/>
    <s v="A/P Credit Memos - VD0304"/>
    <s v="Reefer Plug In"/>
    <m/>
    <n v="-2520.8598000000002"/>
    <n v="-1111358.7933"/>
    <m/>
    <s v="USD -28.8000"/>
    <s v="USD -12,699.0224"/>
    <s v="USD (0.0000)"/>
    <s v="Shah TC Global Exim LLP - Mumbai"/>
    <n v="7360258"/>
  </r>
  <r>
    <x v="38"/>
    <s v="OB2526M"/>
    <s v="PC 1003"/>
    <s v="A/P Credit Memos - VD0304"/>
    <s v="Reefer Plug In"/>
    <m/>
    <n v="-2520.8598000000002"/>
    <n v="-1108837.9335"/>
    <m/>
    <s v="USD -28.8000"/>
    <s v="USD -12,670.2224"/>
    <s v="USD (0.0000)"/>
    <s v="Shah TC Global Exim LLP - Mumbai"/>
    <n v="7360257"/>
  </r>
  <r>
    <x v="38"/>
    <s v="OB2526M"/>
    <s v="PC 1004"/>
    <s v="A/P Credit Memos - VD0304"/>
    <s v="Reefer Plug In"/>
    <m/>
    <n v="-2604.8885"/>
    <n v="-1106233.0449999999"/>
    <m/>
    <s v="USD -29.7600"/>
    <s v="USD -12,640.4624"/>
    <s v="USD (0.0000)"/>
    <s v="Shah TC Global Exim LLP - Mumbai"/>
    <n v="7360259"/>
  </r>
  <r>
    <x v="38"/>
    <s v="OB2526M"/>
    <s v="PC 1005"/>
    <s v="A/P Credit Memos - VD0304"/>
    <s v="Reefer Plug In"/>
    <m/>
    <n v="-138252.1"/>
    <n v="-967980.94499999995"/>
    <m/>
    <s v="USD -1,579.7600"/>
    <s v="USD -11,060.7024"/>
    <s v="USD (0.0000)"/>
    <s v="Shah TC Global Exim LLP - Mumbai"/>
    <n v="7360262"/>
  </r>
  <r>
    <x v="40"/>
    <s v="BOS2526M"/>
    <s v="PU 7360265"/>
    <s v="A/P Invoices - VD0304"/>
    <s v="LCL CHARGES"/>
    <m/>
    <n v="20344.044699999999"/>
    <n v="-988324.98970000003"/>
    <m/>
    <s v="USD 236.6014"/>
    <s v="USD -11,297.3038"/>
    <s v="USD (0.0000)"/>
    <s v="Shah TC Global Exim LLP - Mumbai"/>
    <n v="256779417818"/>
  </r>
  <r>
    <x v="40"/>
    <s v="BOS2526M"/>
    <s v="PU 7360266"/>
    <s v="A/P Invoices - VD0304"/>
    <s v="Ground Rent (Container)"/>
    <m/>
    <n v="9237.0144"/>
    <n v="-997562.00410000002"/>
    <m/>
    <s v="USD 107.4240"/>
    <s v="USD -11,404.7278"/>
    <s v="USD (0.0000)"/>
    <s v="Shah TC Global Exim LLP - Mumbai"/>
    <n v="256779417818"/>
  </r>
  <r>
    <x v="41"/>
    <s v="BOS2526M"/>
    <s v="PU 7360267"/>
    <s v="A/P Invoices - VD0304"/>
    <s v="Inbound &amp; Outbound Handling"/>
    <m/>
    <n v="1923.9464"/>
    <n v="-999485.95050000004"/>
    <m/>
    <s v="USD 21.9814"/>
    <s v="USD -11,426.7092"/>
    <s v="USD (0.0000)"/>
    <s v="Shah TC Global Exim LLP - Mumbai"/>
    <n v="256779417526"/>
  </r>
  <r>
    <x v="41"/>
    <s v="BOS2526M"/>
    <s v="PU 7360268"/>
    <s v="A/P Invoices - VD0304"/>
    <s v="Transportation (Inbound)"/>
    <m/>
    <n v="25205.5864"/>
    <n v="-1024691.5368999999"/>
    <m/>
    <s v="USD 288.0122"/>
    <s v="USD -11,714.7214"/>
    <s v="USD (0.0000)"/>
    <s v="Shah TC Global Exim LLP - Mumbai"/>
    <n v="256779417568"/>
  </r>
  <r>
    <x v="42"/>
    <s v="CL2526M"/>
    <s v="PU 300016"/>
    <s v="A/P Invoice - Cancellation - VD0304"/>
    <s v="Ground Rent (Container)"/>
    <m/>
    <n v="-9237.0144"/>
    <n v="-1015454.5225"/>
    <m/>
    <s v="USD -107.4240"/>
    <s v="USD -11,607.2974"/>
    <s v="USD (0.0000)"/>
    <s v="Shah TC Global Exim LLP - Mumbai"/>
    <n v="256779417818"/>
  </r>
  <r>
    <x v="42"/>
    <s v="OB2526M"/>
    <s v="PC 1006"/>
    <s v="A/P Credit Memo - Cancellation - VD0304"/>
    <s v="Reefer Plug In"/>
    <m/>
    <n v="138252.1"/>
    <n v="-1153706.6225000001"/>
    <m/>
    <s v="USD 1,579.7600"/>
    <s v="USD -13,187.0574"/>
    <s v="USD (0.0000)"/>
    <s v="Shah TC Global Exim LLP - Mumbai"/>
    <n v="1005"/>
  </r>
  <r>
    <x v="42"/>
    <s v="OB2526M"/>
    <s v="PC 1010"/>
    <s v="A/P Credit Memo - Cancellation - VD0304"/>
    <s v="Reefer Plug In"/>
    <m/>
    <n v="2520.8598000000002"/>
    <n v="-1156227.4823"/>
    <m/>
    <s v="USD 28.8000"/>
    <s v="USD -13,215.8574"/>
    <s v="USD (0.0000)"/>
    <s v="Shah TC Global Exim LLP - Mumbai"/>
    <n v="1002"/>
  </r>
  <r>
    <x v="42"/>
    <s v="OB2526M"/>
    <s v="PC 1011"/>
    <s v="A/P Credit Memo - Cancellation - VD0304"/>
    <s v="Reefer Plug In"/>
    <m/>
    <n v="2520.8598000000002"/>
    <n v="-1158748.3421"/>
    <m/>
    <s v="USD 28.8000"/>
    <s v="USD -13,244.6574"/>
    <s v="USD (0.0000)"/>
    <s v="Shah TC Global Exim LLP - Mumbai"/>
    <n v="1003"/>
  </r>
  <r>
    <x v="42"/>
    <s v="OB2526M"/>
    <s v="PC 1012"/>
    <s v="A/P Credit Memo - Cancellation - VD0304"/>
    <s v="Reefer Plug In"/>
    <m/>
    <n v="2604.8885"/>
    <n v="-1161353.2305999999"/>
    <m/>
    <s v="USD 29.7600"/>
    <s v="USD -13,274.4174"/>
    <s v="USD (0.0000)"/>
    <s v="Shah TC Global Exim LLP - Mumbai"/>
    <n v="1004"/>
  </r>
  <r>
    <x v="43"/>
    <s v="BOS2526M"/>
    <s v="PU 7360269"/>
    <s v="A/P Invoices - VD0304"/>
    <s v="Intra SEZ charges"/>
    <m/>
    <n v="8576.4330000000009"/>
    <n v="-1169929.6636000001"/>
    <m/>
    <s v="USD 98.0000"/>
    <s v="USD -13,372.4174"/>
    <s v="USD (0.0000)"/>
    <s v="Shah TC Global Exim LLP - Mumbai"/>
    <n v="256779417434"/>
  </r>
  <r>
    <x v="41"/>
    <s v="BOS2526M"/>
    <s v="PU 7360270"/>
    <s v="A/P Invoices - VD0304"/>
    <s v="Ground Rent (Container)"/>
    <m/>
    <n v="7876.433"/>
    <n v="-1177806.0966"/>
    <m/>
    <s v="USD 90.0000"/>
    <s v="USD -13,462.4174"/>
    <s v="USD (0.0000)"/>
    <s v="Shah TC Global Exim LLP - Mumbai"/>
    <n v="256779417490"/>
  </r>
  <r>
    <x v="41"/>
    <s v="BOS2526M"/>
    <s v="PU 7360271"/>
    <s v="A/P Invoices - VD0304"/>
    <s v="Reefer Plug In"/>
    <m/>
    <n v="64322.747499999998"/>
    <n v="-1242128.8441000001"/>
    <m/>
    <s v="USD 735.0000"/>
    <s v="USD -14,197.4174"/>
    <s v="USD (0.0000)"/>
    <s v="Shah TC Global Exim LLP - Mumbai"/>
    <n v="256779417490"/>
  </r>
  <r>
    <x v="41"/>
    <s v="BOS2526M"/>
    <s v="PU 7360272"/>
    <s v="A/P Invoices - VD0304"/>
    <s v="Vos Miscellaneous Charges"/>
    <m/>
    <n v="3042.15"/>
    <n v="-1245170.9941"/>
    <m/>
    <s v="USD 34.3000"/>
    <s v="USD -14,231.7174"/>
    <s v="USD (0.0000)"/>
    <s v="Shah TC Global Exim LLP - Mumbai"/>
    <n v="256779417420"/>
  </r>
  <r>
    <x v="38"/>
    <s v="BOS2526M"/>
    <s v="PU 7360273"/>
    <s v="A/P Invoices - VD0304"/>
    <s v="Vos Miscellaneous Charges"/>
    <m/>
    <n v="7194.5771000000004"/>
    <n v="-1252365.5711999999"/>
    <m/>
    <s v="USD 82.2122"/>
    <s v="USD -14,313.9296"/>
    <s v="USD (0.0000)"/>
    <s v="Shah TC Global Exim LLP - Mumbai"/>
    <n v="256779417245"/>
  </r>
  <r>
    <x v="38"/>
    <s v="BOS2526M"/>
    <s v="PU 7360274"/>
    <s v="A/P Invoices - VD0304"/>
    <s v="Empty Lolo (Empty Yard)"/>
    <m/>
    <n v="13059.682199999999"/>
    <n v="-1265425.2534"/>
    <m/>
    <s v="USD 149.2344"/>
    <s v="USD -14,463.1640"/>
    <s v="USD (0.0000)"/>
    <s v="Shah TC Global Exim LLP - Mumbai"/>
    <n v="256779417206"/>
  </r>
  <r>
    <x v="41"/>
    <s v="BOS2526M"/>
    <s v="PU 7360275"/>
    <s v="A/P Invoices - VD0304"/>
    <s v="Vos Miscellaneous Charges"/>
    <m/>
    <n v="3002.0016000000001"/>
    <n v="-1268427.2549999999"/>
    <m/>
    <s v="USD 34.3000"/>
    <s v="USD -14,497.4640"/>
    <s v="USD (0.0000)"/>
    <s v="Shah TC Global Exim LLP - Mumbai"/>
    <n v="256779417420"/>
  </r>
  <r>
    <x v="44"/>
    <s v="CL2526M"/>
    <s v="PU 300015"/>
    <s v="A/P Invoice - Cancellation - VD0304"/>
    <s v="Vos Miscellaneous Charges"/>
    <m/>
    <n v="-3042.15"/>
    <n v="-1265385.105"/>
    <m/>
    <s v="USD -34.3000"/>
    <s v="USD -14,463.1640"/>
    <s v="USD (0.0000)"/>
    <s v="Shah TC Global Exim LLP - Mumbai"/>
    <n v="256779417420"/>
  </r>
  <r>
    <x v="40"/>
    <s v="BOS2526M"/>
    <s v="PU 7360276"/>
    <s v="A/P Invoices - VD0304"/>
    <s v="Ground Rent (Container)"/>
    <m/>
    <n v="1498.6443999999999"/>
    <n v="-1266883.7494000001"/>
    <m/>
    <s v="USD 17.4240"/>
    <s v="USD -14,480.5880"/>
    <s v="USD (0.0000)"/>
    <s v="Shah TC Global Exim LLP - Mumbai"/>
    <n v="256779417818"/>
  </r>
  <r>
    <x v="38"/>
    <s v="OB2526M"/>
    <s v="PC 1007"/>
    <s v="A/P Credit Memos - VD0304"/>
    <s v="Reefer Plug In"/>
    <m/>
    <n v="-5316.8885"/>
    <n v="-1261566.8609"/>
    <m/>
    <s v="USD -60.7600"/>
    <s v="USD -14,419.8280"/>
    <s v="USD (0.0000)"/>
    <s v="Shah TC Global Exim LLP - Mumbai"/>
    <n v="7360262"/>
  </r>
  <r>
    <x v="38"/>
    <s v="OB2526M"/>
    <s v="PC 1008"/>
    <s v="A/P Credit Memos - VD0304"/>
    <s v="Reefer Plug In"/>
    <m/>
    <n v="-5250.8598000000002"/>
    <n v="-1256316.0011"/>
    <m/>
    <s v="USD -60.0000"/>
    <s v="USD -14,359.8280"/>
    <s v="USD (0.0000)"/>
    <s v="Shah TC Global Exim LLP - Mumbai"/>
    <n v="7360258"/>
  </r>
  <r>
    <x v="44"/>
    <s v="OB2526M"/>
    <s v="PC 1009"/>
    <s v="A/P Credit Memo - Cancellation - VD0304"/>
    <s v="Reefer Plug In"/>
    <m/>
    <n v="5250.8598000000002"/>
    <n v="-1261566.8609"/>
    <m/>
    <s v="USD 60.0000"/>
    <s v="USD -14,419.8280"/>
    <s v="USD (0.0000)"/>
    <s v="Shah TC Global Exim LLP - Mumbai"/>
    <n v="1008"/>
  </r>
  <r>
    <x v="38"/>
    <s v="OB2526M"/>
    <s v="PC 1013"/>
    <s v="A/P Credit Memos - VD0304"/>
    <s v="Reefer Plug In"/>
    <m/>
    <n v="-5145.8598000000002"/>
    <n v="-1256421.0011"/>
    <m/>
    <s v="USD -58.8000"/>
    <s v="USD -14,361.0280"/>
    <s v="USD (0.0000)"/>
    <s v="Shah TC Global Exim LLP - Mumbai"/>
    <n v="7360258"/>
  </r>
  <r>
    <x v="38"/>
    <s v="OB2526M"/>
    <s v="PC 1014"/>
    <s v="A/P Credit Memos - VD0304"/>
    <s v="Reefer Plug In"/>
    <m/>
    <n v="-5145.8598000000002"/>
    <n v="-1251275.1413"/>
    <m/>
    <s v="USD -58.8000"/>
    <s v="USD -14,302.2280"/>
    <s v="USD (0.0000)"/>
    <s v="Shah TC Global Exim LLP - Mumbai"/>
    <n v="7360257"/>
  </r>
  <r>
    <x v="38"/>
    <s v="OB2526M"/>
    <s v="PC 1015"/>
    <s v="A/P Credit Memos - VD0304"/>
    <s v="Reefer Plug In"/>
    <m/>
    <n v="-5316.8885"/>
    <n v="-1245958.2527999999"/>
    <m/>
    <s v="USD -60.7600"/>
    <s v="USD -14,241.4680"/>
    <s v="USD (0.0000)"/>
    <s v="Shah TC Global Exim LLP - Mumbai"/>
    <n v="7360259"/>
  </r>
  <r>
    <x v="45"/>
    <s v="OPY2526M"/>
    <s v="PS 7360566"/>
    <s v="Outgoing Payments - VD0304,Being payment done against USD 1752.77 ASCENDAS PANVEL FTWZ PRIVATE LIMITED, Bank ref no.- 003MISC253020092 dated-29-10-2025."/>
    <s v="YES BANK - USD"/>
    <n v="153004.0963"/>
    <m/>
    <n v="-1092954.1565"/>
    <s v="USD 1,752.7656"/>
    <m/>
    <s v="USD -12,488.7024"/>
    <s v="USD  0.0000"/>
    <s v="Shah TC Global Exim LLP - Mumbai"/>
    <n v="7360566"/>
  </r>
  <r>
    <x v="46"/>
    <s v="BOS2526M"/>
    <s v="PU 7360293"/>
    <s v="A/P Invoices - VD0304"/>
    <s v="Rent - Ascendas"/>
    <m/>
    <n v="89999.522899999996"/>
    <n v="-1182953.6794"/>
    <m/>
    <s v="USD 1,020.5200"/>
    <s v="USD -13,509.2224"/>
    <s v="USD (0.0000)"/>
    <s v="Shah TC Global Exim LLP - Mumbai"/>
    <n v="256779417873"/>
  </r>
  <r>
    <x v="46"/>
    <s v="BOS2526M"/>
    <s v="PU 7360294"/>
    <s v="A/P Invoices - VD0304"/>
    <s v="Management Fees (Ascendas)"/>
    <m/>
    <n v="34299.965300000003"/>
    <n v="-1217253.6447000001"/>
    <m/>
    <s v="USD 388.9326"/>
    <s v="USD -13,898.1550"/>
    <s v="USD (0.0000)"/>
    <s v="Shah TC Global Exim LLP - Mumbai"/>
    <n v="256779417874"/>
  </r>
  <r>
    <x v="46"/>
    <s v="BOS2526M"/>
    <s v="PU 7360295"/>
    <s v="A/P Invoices - VD0304"/>
    <s v="Ground Rent (Container)"/>
    <m/>
    <n v="7937"/>
    <n v="-1225190.6447000001"/>
    <m/>
    <s v="USD 90.0000"/>
    <s v="USD -13,988.1550"/>
    <s v="USD (0.0000)"/>
    <s v="Shah TC Global Exim LLP - Mumbai"/>
    <n v="256779418095"/>
  </r>
  <r>
    <x v="46"/>
    <s v="BOS2526M"/>
    <s v="PU 7360296"/>
    <s v="A/P Invoices - VD0304"/>
    <s v="Reefer Plug In"/>
    <m/>
    <n v="64819.5"/>
    <n v="-1290010.1447000001"/>
    <m/>
    <s v="USD 735.0000"/>
    <s v="USD -14,723.1550"/>
    <s v="USD (0.0000)"/>
    <s v="Shah TC Global Exim LLP - Mumbai"/>
    <n v="256779418095"/>
  </r>
  <r>
    <x v="46"/>
    <s v="BOS2526M"/>
    <s v="PU 7360297"/>
    <s v="A/P Invoices - VD0304"/>
    <s v="Inbound &amp; Outbound Handling"/>
    <m/>
    <n v="11795.171200000001"/>
    <n v="-1301805.3159"/>
    <m/>
    <s v="USD 133.7504"/>
    <s v="USD -14,856.9054"/>
    <s v="USD (0.0000)"/>
    <s v="Shah TC Global Exim LLP - Mumbai"/>
    <n v="256779417979"/>
  </r>
  <r>
    <x v="47"/>
    <s v="OPY2526M"/>
    <s v="PS 7360581"/>
    <s v="Outgoing Payments - VD0304,Being $1989.94 paid to ASCENDAS PANVEL FTWZ PRIVATE LIMITED  against bank ref. no.-003MISC253040153 dated-31-10-2025."/>
    <s v="YES BANK - USD"/>
    <n v="176448.3726"/>
    <m/>
    <n v="-1125356.9432999999"/>
    <s v="USD 1,989.9404"/>
    <m/>
    <s v="USD -12,866.9650"/>
    <s v="USD  0.0000"/>
    <s v="Shah TC Global Exim LLP - Mumbai"/>
    <m/>
  </r>
  <r>
    <x v="47"/>
    <s v="OPY2526M"/>
    <s v="PS 7360582"/>
    <s v="Outgoing Payments - VD0304,Being $10502.1628 paid to ASCENDAS PANVEL FTWZ PRIVATE LIMITED  against bank ref. no.-003MISC253040148 dated-31-10-2025."/>
    <s v="YES BANK - USD"/>
    <n v="916796.68830000004"/>
    <m/>
    <n v="-208560.255"/>
    <s v="USD 10,502.1628"/>
    <m/>
    <s v="USD -2,364.8022"/>
    <s v="USD  0.0000"/>
    <s v="Shah TC Global Exim LLP - Mumbai"/>
    <m/>
  </r>
  <r>
    <x v="46"/>
    <s v="BOS2526M"/>
    <s v="PU 7360331"/>
    <s v="A/P Invoices - VD0304"/>
    <s v="Empty Lolo (Empty Yard)"/>
    <m/>
    <n v="2432.5484999999999"/>
    <n v="-210992.80350000001"/>
    <m/>
    <s v="USD 27.5870"/>
    <s v="USD -2,392.3892"/>
    <s v="USD (27.5870)"/>
    <s v="Shah TC Global Exim LLP - Mumbai"/>
    <n v="256779417902"/>
  </r>
  <r>
    <x v="46"/>
    <s v="BOS2526M"/>
    <s v="PU 7360332"/>
    <s v="A/P Invoices - VD0304"/>
    <s v="Transportation (Inbound)"/>
    <m/>
    <n v="28649.985000000001"/>
    <n v="-239642.7885"/>
    <m/>
    <s v="USD 324.8700"/>
    <s v="USD -2,717.2592"/>
    <s v="USD (324.8700)"/>
    <s v="Shah TC Global Exim LLP - Mumbai"/>
    <n v="256779417940"/>
  </r>
  <r>
    <x v="46"/>
    <s v="BOS2526M"/>
    <s v="PU 7360335"/>
    <s v="A/P Invoices - VD0304"/>
    <s v="Vos Miscellaneous Charges"/>
    <m/>
    <n v="25349.127"/>
    <n v="-264991.9155"/>
    <m/>
    <s v="USD 287.4340"/>
    <s v="USD -3,004.6932"/>
    <s v="USD (287.4340)"/>
    <s v="Shah TC Global Exim LLP - Mumbai"/>
    <n v="256779418400"/>
  </r>
  <r>
    <x v="48"/>
    <s v="BOS2526M"/>
    <s v="PU 7360336"/>
    <s v="A/P Invoices - VD0304"/>
    <s v="Reefer Plug In"/>
    <m/>
    <n v="64819.5"/>
    <n v="-329811.4155"/>
    <m/>
    <s v="USD 735.0000"/>
    <s v="USD -3,739.6932"/>
    <s v="USD (735.0000)"/>
    <s v="Shah TC Global Exim LLP - Mumbai"/>
    <n v="256779418621"/>
  </r>
  <r>
    <x v="48"/>
    <s v="BOS2526M"/>
    <s v="PU 7360337"/>
    <s v="A/P Invoices - VD0304"/>
    <s v="Ground Rent (Container)"/>
    <m/>
    <n v="7937"/>
    <n v="-337748.4155"/>
    <m/>
    <s v="USD 90.0000"/>
    <s v="USD -3,829.6932"/>
    <s v="USD (90.0000)"/>
    <s v="Shah TC Global Exim LLP - Mumbai"/>
    <n v="256779418621"/>
  </r>
  <r>
    <x v="48"/>
    <s v="BOS2526M"/>
    <s v="PU 7360338"/>
    <s v="A/P Invoices - VD0304"/>
    <s v="Vos Miscellaneous Charges"/>
    <m/>
    <n v="3024.65"/>
    <n v="-340773.06550000003"/>
    <m/>
    <s v="USD 34.3000"/>
    <s v="USD -3,863.9932"/>
    <s v="USD (34.3000)"/>
    <s v="Shah TC Global Exim LLP - Mumbai"/>
    <n v="256779418633"/>
  </r>
  <r>
    <x v="48"/>
    <s v="BOS2526M"/>
    <s v="PU 7360339"/>
    <s v="A/P Invoices - VD0304"/>
    <s v="Transportation (Inbound)"/>
    <m/>
    <n v="25400.159100000001"/>
    <n v="-366173.22460000002"/>
    <m/>
    <s v="USD 288.0122"/>
    <s v="USD -4,152.0054"/>
    <s v="USD (288.0122)"/>
    <s v="Shah TC Global Exim LLP - Mumbai"/>
    <n v="256779418663"/>
  </r>
  <r>
    <x v="49"/>
    <s v="BOS2526M"/>
    <s v="PU 7360340"/>
    <s v="A/P Invoices - VD0304"/>
    <s v="Vos Miscellaneous Charges"/>
    <m/>
    <n v="14970.2718"/>
    <n v="-381143.4964"/>
    <m/>
    <s v="USD 169.7556"/>
    <s v="USD -4,321.7610"/>
    <s v="USD (169.7556)"/>
    <s v="Shah TC Global Exim LLP - Mumbai"/>
    <n v="256779418180"/>
  </r>
  <r>
    <x v="49"/>
    <s v="BOS2526M"/>
    <s v="PU 7360341"/>
    <s v="A/P Invoices - VD0304"/>
    <s v="Intra SEZ charges"/>
    <m/>
    <n v="8643"/>
    <n v="-389786.4964"/>
    <m/>
    <s v="USD 98.0000"/>
    <s v="USD -4,419.7610"/>
    <s v="USD (98.0000)"/>
    <s v="Shah TC Global Exim LLP - Mumbai"/>
    <n v="256779418170"/>
  </r>
  <r>
    <x v="50"/>
    <s v="BOS2526M"/>
    <s v="PU 7360342"/>
    <s v="A/P Invoices - VD0304"/>
    <s v="Vos Miscellaneous Charges"/>
    <m/>
    <n v="30281.439999999999"/>
    <n v="-420067.93640000001"/>
    <m/>
    <s v="USD 344.1074"/>
    <s v="USD -4,763.8684"/>
    <s v="USD (344.1074)"/>
    <s v="Shah TC Global Exim LLP - Mumbai"/>
    <n v="256779418820"/>
  </r>
  <r>
    <x v="48"/>
    <s v="BOS2526M"/>
    <s v="PU 7360343"/>
    <s v="A/P Invoices - VD0304"/>
    <s v="Inbound &amp; Outbound Handling"/>
    <m/>
    <n v="849.90769999999998"/>
    <n v="-420917.84409999999"/>
    <m/>
    <s v="USD 9.6334"/>
    <s v="USD -4,773.5018"/>
    <s v="USD (9.6334)"/>
    <s v="Shah TC Global Exim LLP - Mumbai"/>
    <n v="256779418703"/>
  </r>
  <r>
    <x v="50"/>
    <s v="BOS2526M"/>
    <s v="PU 7360344"/>
    <s v="A/P Invoices - VD0304"/>
    <s v="Inbound &amp; Outbound Handling"/>
    <m/>
    <n v="708.50779999999997"/>
    <n v="-421626.35190000001"/>
    <m/>
    <s v="USD 8.0458"/>
    <s v="USD -4,781.5476"/>
    <s v="USD (8.0458)"/>
    <s v="Shah TC Global Exim LLP - Mumbai"/>
    <n v="256779419174"/>
  </r>
  <r>
    <x v="51"/>
    <s v="BOS2526M"/>
    <s v="PU 7360346"/>
    <s v="A/P Invoices - VD0304"/>
    <s v="LCL CHARGES"/>
    <m/>
    <n v="4545.4799999999996"/>
    <n v="-426171.83189999999"/>
    <m/>
    <s v="USD 51.6558"/>
    <s v="USD -4,833.2034"/>
    <s v="USD (51.6558)"/>
    <s v="Shah TC Global Exim LLP - Mumbai"/>
    <n v="256779419130"/>
  </r>
  <r>
    <x v="50"/>
    <s v="BOS2526M"/>
    <s v="PU 7360347"/>
    <s v="A/P Invoices - VD0304"/>
    <s v="Ground Rent (Container)"/>
    <m/>
    <n v="7920"/>
    <n v="-434091.83189999999"/>
    <m/>
    <s v="USD 90.0000"/>
    <s v="USD -4,923.2034"/>
    <s v="USD (90.0000)"/>
    <s v="Shah TC Global Exim LLP - Mumbai"/>
    <n v="256779419077"/>
  </r>
  <r>
    <x v="50"/>
    <s v="BOS2526M"/>
    <s v="PU 7360348"/>
    <s v="A/P Invoices - VD0304"/>
    <s v="Reefer Plug In"/>
    <m/>
    <n v="68992"/>
    <n v="-503083.83189999999"/>
    <m/>
    <s v="USD 784.0000"/>
    <s v="USD -5,707.2034"/>
    <s v="USD (784.0000)"/>
    <s v="Shah TC Global Exim LLP - Mumbai"/>
    <n v="256779419077"/>
  </r>
  <r>
    <x v="50"/>
    <s v="BOS2526M"/>
    <s v="PU 7360349"/>
    <s v="A/P Invoices - VD0304"/>
    <s v="Rent - Ascendas"/>
    <m/>
    <n v="89996.160000000003"/>
    <n v="-593079.99190000002"/>
    <m/>
    <s v="USD 1,022.6880"/>
    <s v="USD -6,729.8914"/>
    <s v="USD (1,022.6880)"/>
    <s v="Shah TC Global Exim LLP - Mumbai"/>
    <n v="256779418775"/>
  </r>
  <r>
    <x v="50"/>
    <s v="BOS2526M"/>
    <s v="PU 7360350"/>
    <s v="A/P Invoices - VD0304"/>
    <s v="Inbound &amp; Outbound Handling"/>
    <m/>
    <n v="34298.480000000003"/>
    <n v="-627378.4719"/>
    <m/>
    <s v="USD 389.7558"/>
    <s v="USD -7,119.6472"/>
    <s v="USD (0.0000)"/>
    <s v="Shah TC Global Exim LLP - Mumbai"/>
    <n v="256779418776"/>
  </r>
  <r>
    <x v="52"/>
    <s v="CL2526M"/>
    <s v="PU 300022"/>
    <s v="A/P Invoice - Cancellation - VD0304"/>
    <s v="Inbound &amp; Outbound Handling"/>
    <m/>
    <n v="-34298.480000000003"/>
    <n v="-593079.99190000002"/>
    <m/>
    <s v="USD -389.7558"/>
    <s v="USD -6,729.8914"/>
    <s v="USD (0.0000)"/>
    <s v="Shah TC Global Exim LLP - Mumbai"/>
    <n v="256779418776"/>
  </r>
  <r>
    <x v="50"/>
    <s v="BOS2526M"/>
    <s v="PU 7360351"/>
    <s v="A/P Invoices - VD0304"/>
    <s v="Management Fees (Ascendas)"/>
    <m/>
    <n v="34299.828200000004"/>
    <n v="-627379.82010000001"/>
    <m/>
    <s v="USD 389.7558"/>
    <s v="USD -7,119.6472"/>
    <s v="USD (389.7558)"/>
    <s v="Shah TC Global Exim LLP - Mumbai"/>
    <n v="256779418776"/>
  </r>
  <r>
    <x v="53"/>
    <s v="BOS2526M"/>
    <s v="PU 7360352"/>
    <s v="A/P Invoices - VD0304"/>
    <s v="Inbound &amp; Outbound Handling"/>
    <m/>
    <n v="9709.4215999999997"/>
    <n v="-637089.24170000001"/>
    <m/>
    <s v="USD 110.3284"/>
    <s v="USD -7,229.9756"/>
    <s v="USD (110.3284)"/>
    <s v="Shah TC Global Exim LLP - Mumbai"/>
    <n v="256779419630"/>
  </r>
  <r>
    <x v="54"/>
    <s v="BOS2526M"/>
    <s v="PU 7360353"/>
    <s v="A/P Invoices - VD0304"/>
    <s v="Inbound &amp; Outbound Handling"/>
    <m/>
    <n v="9607.5776000000005"/>
    <n v="-646696.81929999997"/>
    <m/>
    <s v="USD 109.1720"/>
    <s v="USD -7,339.1476"/>
    <s v="USD (109.1720)"/>
    <s v="Shah TC Global Exim LLP - Mumbai"/>
    <n v="256779419918"/>
  </r>
  <r>
    <x v="54"/>
    <s v="BOS2526M"/>
    <s v="PU 7360354"/>
    <s v="A/P Invoices - VD0304"/>
    <s v="Ground Rent (Container)"/>
    <m/>
    <n v="7983"/>
    <n v="-654679.81929999997"/>
    <m/>
    <s v="USD 90.0000"/>
    <s v="USD -7,429.1476"/>
    <s v="USD (90.0000)"/>
    <s v="Shah TC Global Exim LLP - Mumbai"/>
    <n v="256779419796"/>
  </r>
  <r>
    <x v="54"/>
    <s v="BOS2526M"/>
    <s v="PU 7360355"/>
    <s v="A/P Invoices - VD0304"/>
    <s v="Reefer Plug In"/>
    <m/>
    <n v="65194"/>
    <n v="-719873.81929999997"/>
    <m/>
    <s v="USD 735.0000"/>
    <s v="USD -8,164.1476"/>
    <s v="USD (735.0000)"/>
    <s v="Shah TC Global Exim LLP - Mumbai"/>
    <n v="256779419796"/>
  </r>
  <r>
    <x v="53"/>
    <s v="BOS2526M"/>
    <s v="PU 7360356"/>
    <s v="A/P Invoices - VD0304"/>
    <s v="Inbound &amp; Outbound Handling"/>
    <m/>
    <n v="28590.123800000001"/>
    <n v="-748463.94310000003"/>
    <m/>
    <s v="USD 324.8700"/>
    <s v="USD -8,489.0176"/>
    <s v="USD (324.8700)"/>
    <s v="Shah TC Global Exim LLP - Mumbai"/>
    <n v="256779419590"/>
  </r>
  <r>
    <x v="55"/>
    <s v="BOS2526M"/>
    <s v="PU 7360357"/>
    <s v="A/P Invoices - VD0304"/>
    <s v="Empty Lolo (Empty Yard)"/>
    <m/>
    <n v="5388.5217000000002"/>
    <n v="-753852.46479999996"/>
    <m/>
    <s v="USD 60.7502"/>
    <s v="USD -8,549.7678"/>
    <s v="USD (60.7502)"/>
    <s v="Shah TC Global Exim LLP - Mumbai"/>
    <n v="256779419955"/>
  </r>
  <r>
    <x v="56"/>
    <s v="BOS2526M"/>
    <s v="PU 7360358"/>
    <s v="A/P Invoices - VD0304"/>
    <s v="Rent - Ascendas"/>
    <m/>
    <n v="89999.493000000002"/>
    <n v="-843851.95779999997"/>
    <m/>
    <s v="USD 1,014.6510"/>
    <s v="USD -9,564.4188"/>
    <s v="USD (1,014.6510)"/>
    <s v="Shah TC Global Exim LLP - Mumbai"/>
    <n v="256779419968"/>
  </r>
  <r>
    <x v="56"/>
    <s v="BOS2526M"/>
    <s v="PU 7360359"/>
    <s v="A/P Invoices - VD0304"/>
    <s v="Rent - Ascendas"/>
    <m/>
    <n v="34300.133000000002"/>
    <n v="-878152.09080000001"/>
    <m/>
    <s v="USD 386.6982"/>
    <s v="USD -9,951.1170"/>
    <s v="USD (0.0000)"/>
    <s v="Shah TC Global Exim LLP - Mumbai"/>
    <n v="256779419969"/>
  </r>
  <r>
    <x v="52"/>
    <s v="CL2526M"/>
    <s v="PU 300023"/>
    <s v="A/P Invoice - Cancellation - VD0304"/>
    <s v="Rent - Ascendas"/>
    <m/>
    <n v="-34300.133000000002"/>
    <n v="-843851.95779999997"/>
    <m/>
    <s v="USD -386.6982"/>
    <s v="USD -9,564.4188"/>
    <s v="USD (0.0000)"/>
    <s v="Shah TC Global Exim LLP - Mumbai"/>
    <n v="256779419969"/>
  </r>
  <r>
    <x v="56"/>
    <s v="BOS2526M"/>
    <s v="PU 7360360"/>
    <s v="A/P Invoices - VD0304"/>
    <s v="Management Fees (Ascendas)"/>
    <m/>
    <n v="34300.133000000002"/>
    <n v="-878152.09080000001"/>
    <m/>
    <s v="USD 386.6982"/>
    <s v="USD -9,951.1170"/>
    <s v="USD (386.6982)"/>
    <s v="Shah TC Global Exim LLP - Mumbai"/>
    <n v="256779419969"/>
  </r>
  <r>
    <x v="53"/>
    <s v="BOS2526M"/>
    <s v="PU 7360361"/>
    <s v="A/P Invoices - VD0304"/>
    <s v="Ground Rent (Container)"/>
    <m/>
    <n v="7920.3389999999999"/>
    <n v="-886072.42980000004"/>
    <m/>
    <s v="USD 90.0000"/>
    <s v="USD -10,041.1170"/>
    <s v="USD (90.0000)"/>
    <s v="Shah TC Global Exim LLP - Mumbai"/>
    <n v="256779419558"/>
  </r>
  <r>
    <x v="53"/>
    <s v="BOS2526M"/>
    <s v="PU 7360362"/>
    <s v="A/P Invoices - VD0304"/>
    <s v="Reefer Plug In"/>
    <m/>
    <n v="64682.542500000003"/>
    <n v="-950754.97230000002"/>
    <m/>
    <s v="USD 735.0000"/>
    <s v="USD -10,776.1170"/>
    <s v="USD (735.0000)"/>
    <s v="Shah TC Global Exim LLP - Mumbai"/>
    <n v="256779419558"/>
  </r>
  <r>
    <x v="57"/>
    <s v="BOS2526M"/>
    <s v="PU 7360363"/>
    <s v="A/P Invoices - VD0304"/>
    <s v="Rent - Ascendas"/>
    <m/>
    <n v="42810.575199999999"/>
    <n v="-993565.54749999999"/>
    <m/>
    <s v="USD 497.9160"/>
    <s v="USD -11,274.0330"/>
    <s v="USD (497.9160)"/>
    <s v="Shah TC Global Exim LLP - Mumbai"/>
    <n v="256779413897"/>
  </r>
  <r>
    <x v="32"/>
    <s v="BOS2526M"/>
    <s v="PU 7360364"/>
    <s v="A/P Invoices - VD0304"/>
    <s v="Rent - Ascendas"/>
    <m/>
    <n v="114392.44259999999"/>
    <n v="-1107957.9901000001"/>
    <m/>
    <s v="USD 1,329.6780"/>
    <s v="USD -12,603.7110"/>
    <s v="USD (1,329.6780)"/>
    <s v="Shah TC Global Exim LLP - Mumbai"/>
    <n v="256779416078"/>
  </r>
  <r>
    <x v="25"/>
    <s v="BOS2526M"/>
    <s v="PU 7360365"/>
    <s v="A/P Invoices - VD0304"/>
    <s v="Rent - Ascendas"/>
    <m/>
    <n v="1353.28"/>
    <n v="-1109311.2701000001"/>
    <m/>
    <s v="USD 15.7320"/>
    <s v="USD -12,619.4430"/>
    <s v="USD (15.7320)"/>
    <s v="Shah TC Global Exim LLP - Mumbai"/>
    <n v="256779415196"/>
  </r>
  <r>
    <x v="32"/>
    <s v="BOS2526M"/>
    <s v="PU 7360366"/>
    <s v="A/P Invoices - VD0304"/>
    <s v="Rent - Ascendas"/>
    <m/>
    <n v="112251.02680000001"/>
    <n v="-1221562.2969"/>
    <m/>
    <s v="USD 1,304.7840"/>
    <s v="USD -13,924.2270"/>
    <s v="USD (1,304.7840)"/>
    <s v="Shah TC Global Exim LLP - Mumbai"/>
    <n v="256779416086"/>
  </r>
  <r>
    <x v="58"/>
    <s v="BOS2526M"/>
    <s v="PU 7360367"/>
    <s v="A/P Invoices - VD0304"/>
    <s v="Rent - Ascendas"/>
    <m/>
    <n v="131062.7203"/>
    <n v="-1352625.0171999999"/>
    <m/>
    <s v="USD 1,497.6090"/>
    <s v="USD -15,421.8360"/>
    <s v="USD (1,497.6090)"/>
    <s v="Shah TC Global Exim LLP - Mumbai"/>
    <n v="256779417082"/>
  </r>
  <r>
    <x v="59"/>
    <s v="BOS2526M"/>
    <s v="PU 7360368"/>
    <s v="A/P Invoices - VD0304"/>
    <s v="Rent - Ascendas"/>
    <m/>
    <n v="73826.046600000001"/>
    <n v="-1426451.0637999999"/>
    <m/>
    <s v="USD 837.1260"/>
    <s v="USD -16,258.9620"/>
    <s v="USD (837.1260)"/>
    <s v="Shah TC Global Exim LLP - Mumbai"/>
    <n v="256779418011"/>
  </r>
  <r>
    <x v="50"/>
    <s v="BOS2526M"/>
    <s v="PU 7360369"/>
    <s v="A/P Invoices - VD0304"/>
    <s v="Rent - Ascendas"/>
    <m/>
    <n v="59082.888800000001"/>
    <n v="-1485533.9526"/>
    <m/>
    <s v="USD 671.3730"/>
    <s v="USD -16,930.3350"/>
    <s v="USD (671.3730)"/>
    <s v="Shah TC Global Exim LLP - Mumbai"/>
    <n v="256779418876"/>
  </r>
  <r>
    <x v="60"/>
    <s v="OPY2526M"/>
    <s v="PS 7360740"/>
    <s v="Outgoing Payments - VD0304,Being $2328.2000 paid to ASCENDAS PANVEL FTWZ PRIVATE LIMITED  against bank ref. no.-003MISC253650039 dated-31-12-2025."/>
    <s v="Yes Bank (Dollar)"/>
    <n v="208851.1594"/>
    <m/>
    <n v="-1276682.7932"/>
    <s v="USD 2,368.2030"/>
    <m/>
    <s v="USD -14,562.1320"/>
    <s v="USD  0.0000"/>
    <s v="Shah TC Global Exim LLP - Mumbai"/>
    <m/>
  </r>
  <r>
    <x v="61"/>
    <s v="JRN2526M"/>
    <s v="JE 7362166"/>
    <s v="Being debit note recieved from Ascendas Panvel FTWZ Private Limited against debit note no-256779421715 dated-14-08-2025."/>
    <s v="Rent - Ascendas"/>
    <n v="179999.96679999999"/>
    <m/>
    <n v="-1096682.8263999999"/>
    <s v="USD 2,092.2930"/>
    <m/>
    <s v="USD -12,469.8390"/>
    <s v="USD  2,092.2930"/>
    <s v="Shah TC Global Exim LLP - Mumbai"/>
    <n v="256779421715"/>
  </r>
  <r>
    <x v="62"/>
    <s v="BOS2526M"/>
    <s v="PU 7360391"/>
    <s v="A/P Invoices - VD0304"/>
    <s v="Ground Rent (Container)"/>
    <m/>
    <n v="7902.9098000000004"/>
    <n v="-1104585.7361999999"/>
    <m/>
    <s v="USD 87.0930"/>
    <s v="USD -12,556.9320"/>
    <s v="USD (87.0930)"/>
    <s v="Shah TC Global Exim LLP - Mumbai"/>
    <n v="256779440052"/>
  </r>
  <r>
    <x v="62"/>
    <s v="BOS2526M"/>
    <s v="PU 7360392"/>
    <s v="A/P Invoices - VD0304"/>
    <s v="Reefer Plug In"/>
    <m/>
    <n v="66694"/>
    <n v="-1171279.7361999999"/>
    <m/>
    <s v="USD 735.0000"/>
    <s v="USD -13,291.9320"/>
    <s v="USD (735.0000)"/>
    <s v="Shah TC Global Exim LLP - Mumbai"/>
    <n v="256779440052"/>
  </r>
  <r>
    <x v="62"/>
    <s v="BOS2526M"/>
    <s v="PU 7360393"/>
    <s v="A/P Invoices - VD0304"/>
    <s v="Inbound &amp; Outbound Handling"/>
    <m/>
    <n v="307.053"/>
    <n v="-1171586.7892"/>
    <m/>
    <s v="USD 3.3810"/>
    <s v="USD -13,295.3130"/>
    <s v="USD (3.3810)"/>
    <s v="Shah TC Global Exim LLP - Mumbai"/>
    <n v="256779440081"/>
  </r>
  <r>
    <x v="50"/>
    <s v="BOS2526M"/>
    <s v="PU 7360394"/>
    <s v="A/P Invoices - VD0304"/>
    <s v="Vos Miscellaneous Charges"/>
    <m/>
    <n v="2233.4737"/>
    <n v="-1173820.2629"/>
    <m/>
    <s v="USD 25.1762"/>
    <s v="USD -13,320.4892"/>
    <s v="USD (25.1762)"/>
    <s v="Shah TC Global Exim LLP - Mumbai"/>
    <n v="256779419232"/>
  </r>
  <r>
    <x v="50"/>
    <s v="BOS2526M"/>
    <s v="PU 7360395"/>
    <s v="A/P Invoices - VD0304"/>
    <s v="Vos Miscellaneous Charges"/>
    <m/>
    <n v="13131.454"/>
    <n v="-1186951.7169000001"/>
    <m/>
    <s v="USD 149.2148"/>
    <s v="USD -13,469.7040"/>
    <s v="USD (149.2148)"/>
    <s v="Shah TC Global Exim LLP - Mumbai"/>
    <n v="256779419200"/>
  </r>
  <r>
    <x v="55"/>
    <s v="BOS2526M"/>
    <s v="PU 7360396"/>
    <s v="A/P Invoices - VD0304"/>
    <s v="Vos Miscellaneous Charges"/>
    <m/>
    <n v="10788.5744"/>
    <n v="-1197740.2912999999"/>
    <m/>
    <s v="USD 121.6278"/>
    <s v="USD -13,591.3318"/>
    <s v="USD (121.6278)"/>
    <s v="Shah TC Global Exim LLP - Mumbai"/>
    <n v="2567794199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84921-7E30-44FF-ADB0-8C77140A5041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E16" firstHeaderRow="0" firstDataRow="1" firstDataCol="3"/>
  <pivotFields count="16"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15"/>
    <field x="14"/>
    <field x="0"/>
  </rowFields>
  <rowItems count="13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 (LC)" fld="5" baseField="0" baseItem="0"/>
    <dataField name="Sum of Credit (LC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5E10-56FC-440E-A1D1-D83F2DC0C4EC}">
  <dimension ref="A1:P85"/>
  <sheetViews>
    <sheetView workbookViewId="0">
      <selection activeCell="A3" sqref="A3"/>
    </sheetView>
  </sheetViews>
  <sheetFormatPr defaultRowHeight="14.5" x14ac:dyDescent="0.35"/>
  <cols>
    <col min="1" max="1" width="14.90625" bestFit="1" customWidth="1"/>
    <col min="2" max="2" width="10.36328125" bestFit="1" customWidth="1"/>
    <col min="3" max="3" width="10.90625" bestFit="1" customWidth="1"/>
    <col min="4" max="4" width="59" bestFit="1" customWidth="1"/>
    <col min="5" max="5" width="28" bestFit="1" customWidth="1"/>
    <col min="6" max="6" width="9.6328125" bestFit="1" customWidth="1"/>
    <col min="7" max="7" width="11.6328125" bestFit="1" customWidth="1"/>
    <col min="8" max="8" width="22.6328125" bestFit="1" customWidth="1"/>
    <col min="9" max="9" width="12.36328125" bestFit="1" customWidth="1"/>
    <col min="10" max="10" width="15.36328125" bestFit="1" customWidth="1"/>
    <col min="11" max="11" width="22.90625" bestFit="1" customWidth="1"/>
    <col min="12" max="12" width="16" bestFit="1" customWidth="1"/>
    <col min="13" max="13" width="31.54296875" bestFit="1" customWidth="1"/>
    <col min="14" max="16" width="16.453125" style="5" bestFit="1" customWidth="1"/>
    <col min="17" max="17" width="11.6328125" bestFit="1" customWidth="1"/>
  </cols>
  <sheetData>
    <row r="1" spans="1:16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/>
      <c r="P1" s="4"/>
    </row>
    <row r="2" spans="1:16" x14ac:dyDescent="0.35">
      <c r="A2" t="s">
        <v>14</v>
      </c>
      <c r="B2" t="s">
        <v>15</v>
      </c>
      <c r="D2" s="6" t="s">
        <v>16</v>
      </c>
      <c r="H2">
        <v>0</v>
      </c>
      <c r="K2">
        <v>0</v>
      </c>
    </row>
    <row r="3" spans="1:16" x14ac:dyDescent="0.35">
      <c r="A3" s="1">
        <v>45708</v>
      </c>
      <c r="B3" t="s">
        <v>17</v>
      </c>
      <c r="C3" t="s">
        <v>18</v>
      </c>
      <c r="D3" t="s">
        <v>19</v>
      </c>
      <c r="E3" t="s">
        <v>20</v>
      </c>
      <c r="G3" s="2">
        <v>34945.618600000002</v>
      </c>
      <c r="H3" s="2">
        <v>-34945.618600000002</v>
      </c>
      <c r="J3" t="s">
        <v>21</v>
      </c>
      <c r="K3" t="s">
        <v>22</v>
      </c>
      <c r="L3" t="s">
        <v>23</v>
      </c>
      <c r="M3" t="s">
        <v>24</v>
      </c>
      <c r="N3" s="5">
        <v>246779410308</v>
      </c>
    </row>
    <row r="4" spans="1:16" x14ac:dyDescent="0.35">
      <c r="A4" s="1">
        <v>45708</v>
      </c>
      <c r="B4" t="s">
        <v>17</v>
      </c>
      <c r="C4" t="s">
        <v>25</v>
      </c>
      <c r="D4" t="s">
        <v>19</v>
      </c>
      <c r="E4" t="s">
        <v>26</v>
      </c>
      <c r="G4" s="2">
        <v>89852.772200000007</v>
      </c>
      <c r="H4" s="2">
        <v>-124798.39079999999</v>
      </c>
      <c r="J4" t="s">
        <v>27</v>
      </c>
      <c r="K4" t="s">
        <v>28</v>
      </c>
      <c r="L4" t="s">
        <v>23</v>
      </c>
      <c r="M4" t="s">
        <v>24</v>
      </c>
      <c r="N4" s="5">
        <v>246779410183</v>
      </c>
    </row>
    <row r="5" spans="1:16" x14ac:dyDescent="0.35">
      <c r="A5" s="1">
        <v>45708</v>
      </c>
      <c r="B5" t="s">
        <v>17</v>
      </c>
      <c r="C5" t="s">
        <v>29</v>
      </c>
      <c r="D5" t="s">
        <v>19</v>
      </c>
      <c r="E5" t="s">
        <v>30</v>
      </c>
      <c r="G5" s="2">
        <v>91693.278399999996</v>
      </c>
      <c r="H5" s="2">
        <v>-216491.6692</v>
      </c>
      <c r="J5" t="s">
        <v>31</v>
      </c>
      <c r="K5" t="s">
        <v>32</v>
      </c>
      <c r="L5" t="s">
        <v>23</v>
      </c>
      <c r="M5" t="s">
        <v>24</v>
      </c>
      <c r="N5" s="5">
        <v>246779410276</v>
      </c>
    </row>
    <row r="6" spans="1:16" x14ac:dyDescent="0.35">
      <c r="A6" s="1">
        <v>45708</v>
      </c>
      <c r="B6" t="s">
        <v>17</v>
      </c>
      <c r="C6" t="s">
        <v>33</v>
      </c>
      <c r="D6" t="s">
        <v>19</v>
      </c>
      <c r="E6" t="s">
        <v>30</v>
      </c>
      <c r="G6" s="2">
        <v>89852.772200000007</v>
      </c>
      <c r="H6" s="2">
        <v>-306344.44140000001</v>
      </c>
      <c r="J6" t="s">
        <v>27</v>
      </c>
      <c r="K6" t="s">
        <v>34</v>
      </c>
      <c r="L6" t="s">
        <v>23</v>
      </c>
      <c r="M6" t="s">
        <v>24</v>
      </c>
      <c r="N6" s="5">
        <v>246779410209</v>
      </c>
    </row>
    <row r="7" spans="1:16" x14ac:dyDescent="0.35">
      <c r="A7" s="1">
        <v>45747</v>
      </c>
      <c r="B7" t="s">
        <v>35</v>
      </c>
      <c r="C7" t="s">
        <v>36</v>
      </c>
      <c r="D7" t="s">
        <v>37</v>
      </c>
      <c r="E7" t="s">
        <v>26</v>
      </c>
      <c r="G7" s="2">
        <v>-89852.772200000007</v>
      </c>
      <c r="H7" s="2">
        <v>-216491.6692</v>
      </c>
      <c r="J7" t="s">
        <v>38</v>
      </c>
      <c r="K7" t="s">
        <v>32</v>
      </c>
      <c r="L7" t="s">
        <v>23</v>
      </c>
      <c r="M7" t="s">
        <v>24</v>
      </c>
      <c r="N7" s="5">
        <v>246779410183</v>
      </c>
    </row>
    <row r="8" spans="1:16" x14ac:dyDescent="0.35">
      <c r="A8" s="1">
        <v>45708</v>
      </c>
      <c r="B8" t="s">
        <v>17</v>
      </c>
      <c r="C8" t="s">
        <v>39</v>
      </c>
      <c r="D8" t="s">
        <v>19</v>
      </c>
      <c r="E8" t="s">
        <v>40</v>
      </c>
      <c r="G8" s="2">
        <v>38416.774799999999</v>
      </c>
      <c r="H8" s="2">
        <v>-254908.44399999999</v>
      </c>
      <c r="J8" t="s">
        <v>41</v>
      </c>
      <c r="K8" t="s">
        <v>42</v>
      </c>
      <c r="L8" t="s">
        <v>23</v>
      </c>
      <c r="M8" t="s">
        <v>24</v>
      </c>
      <c r="N8" s="5">
        <v>246779414604</v>
      </c>
    </row>
    <row r="9" spans="1:16" x14ac:dyDescent="0.35">
      <c r="A9" s="1">
        <v>45747</v>
      </c>
      <c r="B9" t="s">
        <v>35</v>
      </c>
      <c r="C9" t="s">
        <v>43</v>
      </c>
      <c r="D9" t="s">
        <v>37</v>
      </c>
      <c r="E9" t="s">
        <v>20</v>
      </c>
      <c r="G9" s="2">
        <v>-34945.618600000002</v>
      </c>
      <c r="H9" s="2">
        <v>-219962.8254</v>
      </c>
      <c r="J9" t="s">
        <v>22</v>
      </c>
      <c r="K9" t="s">
        <v>44</v>
      </c>
      <c r="L9" t="s">
        <v>23</v>
      </c>
      <c r="M9" t="s">
        <v>24</v>
      </c>
      <c r="N9" s="5">
        <v>246779410308</v>
      </c>
    </row>
    <row r="10" spans="1:16" x14ac:dyDescent="0.35">
      <c r="A10" s="1">
        <v>45708</v>
      </c>
      <c r="B10" t="s">
        <v>17</v>
      </c>
      <c r="C10" t="s">
        <v>45</v>
      </c>
      <c r="D10" t="s">
        <v>19</v>
      </c>
      <c r="E10" t="s">
        <v>46</v>
      </c>
      <c r="G10" s="2">
        <v>34244.169800000003</v>
      </c>
      <c r="H10" s="2">
        <v>-254206.9952</v>
      </c>
      <c r="J10" t="s">
        <v>47</v>
      </c>
      <c r="K10" t="s">
        <v>48</v>
      </c>
      <c r="L10" t="s">
        <v>23</v>
      </c>
      <c r="M10" t="s">
        <v>24</v>
      </c>
      <c r="N10" s="5">
        <v>246779410209</v>
      </c>
    </row>
    <row r="11" spans="1:16" x14ac:dyDescent="0.35">
      <c r="A11" s="1">
        <v>45708</v>
      </c>
      <c r="B11" t="s">
        <v>17</v>
      </c>
      <c r="C11" t="s">
        <v>49</v>
      </c>
      <c r="D11" t="s">
        <v>19</v>
      </c>
      <c r="E11" t="s">
        <v>46</v>
      </c>
      <c r="G11" s="2">
        <v>34945.618600000002</v>
      </c>
      <c r="H11" s="2">
        <v>-289152.61379999999</v>
      </c>
      <c r="J11" t="s">
        <v>21</v>
      </c>
      <c r="K11" t="s">
        <v>50</v>
      </c>
      <c r="L11" t="s">
        <v>23</v>
      </c>
      <c r="M11" t="s">
        <v>24</v>
      </c>
      <c r="N11" s="5">
        <v>246779410308</v>
      </c>
    </row>
    <row r="12" spans="1:16" x14ac:dyDescent="0.35">
      <c r="A12" s="1">
        <v>45708</v>
      </c>
      <c r="B12" t="s">
        <v>17</v>
      </c>
      <c r="C12" t="s">
        <v>51</v>
      </c>
      <c r="D12" t="s">
        <v>19</v>
      </c>
      <c r="E12" t="s">
        <v>30</v>
      </c>
      <c r="G12" s="2">
        <v>91693.278399999996</v>
      </c>
      <c r="H12" s="2">
        <v>-380845.8922</v>
      </c>
      <c r="J12" t="s">
        <v>31</v>
      </c>
      <c r="K12" t="s">
        <v>52</v>
      </c>
      <c r="L12" t="s">
        <v>23</v>
      </c>
      <c r="M12" t="s">
        <v>24</v>
      </c>
      <c r="N12" s="5">
        <v>246779410097</v>
      </c>
    </row>
    <row r="13" spans="1:16" x14ac:dyDescent="0.35">
      <c r="A13" s="1">
        <v>45735</v>
      </c>
      <c r="B13" t="s">
        <v>17</v>
      </c>
      <c r="C13" t="s">
        <v>53</v>
      </c>
      <c r="D13" t="s">
        <v>19</v>
      </c>
      <c r="E13" t="s">
        <v>54</v>
      </c>
      <c r="G13" s="2">
        <v>6551.5096000000003</v>
      </c>
      <c r="H13" s="2">
        <v>-387397.40179999999</v>
      </c>
      <c r="J13" t="s">
        <v>55</v>
      </c>
      <c r="K13" t="s">
        <v>56</v>
      </c>
      <c r="L13" t="s">
        <v>23</v>
      </c>
      <c r="M13" t="s">
        <v>24</v>
      </c>
      <c r="N13" s="5">
        <v>246779413214</v>
      </c>
    </row>
    <row r="14" spans="1:16" x14ac:dyDescent="0.35">
      <c r="A14" s="1">
        <v>45708</v>
      </c>
      <c r="B14" t="s">
        <v>17</v>
      </c>
      <c r="C14" t="s">
        <v>57</v>
      </c>
      <c r="D14" t="s">
        <v>19</v>
      </c>
      <c r="E14" t="s">
        <v>46</v>
      </c>
      <c r="G14" s="2">
        <v>34945.618600000002</v>
      </c>
      <c r="H14" s="2">
        <v>-422343.02039999998</v>
      </c>
      <c r="J14" t="s">
        <v>21</v>
      </c>
      <c r="K14" t="s">
        <v>58</v>
      </c>
      <c r="L14" t="s">
        <v>23</v>
      </c>
      <c r="M14" t="s">
        <v>24</v>
      </c>
      <c r="N14" s="5">
        <v>246779410123</v>
      </c>
    </row>
    <row r="15" spans="1:16" x14ac:dyDescent="0.35">
      <c r="A15" s="1">
        <v>45733</v>
      </c>
      <c r="B15" t="s">
        <v>17</v>
      </c>
      <c r="C15" t="s">
        <v>59</v>
      </c>
      <c r="D15" t="s">
        <v>19</v>
      </c>
      <c r="E15" t="s">
        <v>54</v>
      </c>
      <c r="G15" s="2">
        <v>4422.6333999999997</v>
      </c>
      <c r="H15" s="2">
        <v>-426765.65379999997</v>
      </c>
      <c r="J15" t="s">
        <v>60</v>
      </c>
      <c r="K15" t="s">
        <v>61</v>
      </c>
      <c r="L15" t="s">
        <v>23</v>
      </c>
      <c r="M15" t="s">
        <v>24</v>
      </c>
      <c r="N15" s="5">
        <v>246779411940</v>
      </c>
    </row>
    <row r="16" spans="1:16" x14ac:dyDescent="0.35">
      <c r="A16" s="1">
        <v>45736</v>
      </c>
      <c r="B16" t="s">
        <v>17</v>
      </c>
      <c r="C16" t="s">
        <v>62</v>
      </c>
      <c r="D16" t="s">
        <v>19</v>
      </c>
      <c r="E16" t="s">
        <v>63</v>
      </c>
      <c r="G16" s="2">
        <v>147112</v>
      </c>
      <c r="H16" s="2">
        <v>-573877.65379999997</v>
      </c>
      <c r="J16" t="s">
        <v>64</v>
      </c>
      <c r="K16" t="s">
        <v>65</v>
      </c>
      <c r="L16" t="s">
        <v>23</v>
      </c>
      <c r="M16" t="s">
        <v>24</v>
      </c>
      <c r="N16" s="5">
        <v>246779413797</v>
      </c>
    </row>
    <row r="17" spans="1:14" x14ac:dyDescent="0.35">
      <c r="A17" s="1">
        <v>45733</v>
      </c>
      <c r="B17" t="s">
        <v>17</v>
      </c>
      <c r="C17" t="s">
        <v>66</v>
      </c>
      <c r="D17" t="s">
        <v>19</v>
      </c>
      <c r="E17" t="s">
        <v>54</v>
      </c>
      <c r="G17" s="2">
        <v>6375.7915999999996</v>
      </c>
      <c r="H17" s="2">
        <v>-580253.44539999997</v>
      </c>
      <c r="J17" t="s">
        <v>67</v>
      </c>
      <c r="K17" t="s">
        <v>68</v>
      </c>
      <c r="L17" t="s">
        <v>23</v>
      </c>
      <c r="M17" t="s">
        <v>24</v>
      </c>
      <c r="N17" s="5">
        <v>246779411941</v>
      </c>
    </row>
    <row r="18" spans="1:14" x14ac:dyDescent="0.35">
      <c r="A18" s="1">
        <v>45736</v>
      </c>
      <c r="B18" t="s">
        <v>69</v>
      </c>
      <c r="C18" t="s">
        <v>70</v>
      </c>
      <c r="D18" t="s">
        <v>71</v>
      </c>
      <c r="E18" t="s">
        <v>72</v>
      </c>
      <c r="F18" s="2">
        <v>1711.6</v>
      </c>
      <c r="H18" s="2">
        <v>-578541.84539999999</v>
      </c>
      <c r="I18" t="s">
        <v>73</v>
      </c>
      <c r="K18" t="s">
        <v>74</v>
      </c>
      <c r="L18" t="s">
        <v>75</v>
      </c>
      <c r="M18" t="s">
        <v>24</v>
      </c>
    </row>
    <row r="19" spans="1:14" x14ac:dyDescent="0.35">
      <c r="A19" s="1">
        <v>45736</v>
      </c>
      <c r="B19" t="s">
        <v>17</v>
      </c>
      <c r="C19" t="s">
        <v>76</v>
      </c>
      <c r="D19" t="s">
        <v>19</v>
      </c>
      <c r="E19" t="s">
        <v>54</v>
      </c>
      <c r="G19" s="2">
        <v>4193</v>
      </c>
      <c r="H19" s="2">
        <v>-582734.84539999999</v>
      </c>
      <c r="J19" t="s">
        <v>77</v>
      </c>
      <c r="K19" t="s">
        <v>78</v>
      </c>
      <c r="L19" t="s">
        <v>23</v>
      </c>
      <c r="M19" t="s">
        <v>24</v>
      </c>
      <c r="N19" s="5">
        <v>246779413828</v>
      </c>
    </row>
    <row r="20" spans="1:14" x14ac:dyDescent="0.35">
      <c r="A20" s="1">
        <v>45733</v>
      </c>
      <c r="B20" t="s">
        <v>17</v>
      </c>
      <c r="C20" t="s">
        <v>79</v>
      </c>
      <c r="D20" t="s">
        <v>19</v>
      </c>
      <c r="E20" t="s">
        <v>54</v>
      </c>
      <c r="G20" s="2">
        <v>4466.9907999999996</v>
      </c>
      <c r="H20" s="2">
        <v>-587201.83620000002</v>
      </c>
      <c r="J20" t="s">
        <v>80</v>
      </c>
      <c r="K20" t="s">
        <v>81</v>
      </c>
      <c r="L20" t="s">
        <v>23</v>
      </c>
      <c r="M20" t="s">
        <v>24</v>
      </c>
      <c r="N20" s="5">
        <v>246779411938</v>
      </c>
    </row>
    <row r="21" spans="1:14" x14ac:dyDescent="0.35">
      <c r="A21" s="1">
        <v>45736</v>
      </c>
      <c r="B21" t="s">
        <v>17</v>
      </c>
      <c r="C21" t="s">
        <v>82</v>
      </c>
      <c r="D21" t="s">
        <v>19</v>
      </c>
      <c r="E21" t="s">
        <v>54</v>
      </c>
      <c r="G21" s="2">
        <v>4193</v>
      </c>
      <c r="H21" s="2">
        <v>-591394.83620000002</v>
      </c>
      <c r="J21" t="s">
        <v>77</v>
      </c>
      <c r="K21" t="s">
        <v>83</v>
      </c>
      <c r="L21" t="s">
        <v>23</v>
      </c>
      <c r="M21" t="s">
        <v>24</v>
      </c>
      <c r="N21" s="5">
        <v>246779413828</v>
      </c>
    </row>
    <row r="22" spans="1:14" x14ac:dyDescent="0.35">
      <c r="A22" s="1">
        <v>45733</v>
      </c>
      <c r="B22" t="s">
        <v>17</v>
      </c>
      <c r="C22" t="s">
        <v>84</v>
      </c>
      <c r="D22" t="s">
        <v>19</v>
      </c>
      <c r="E22" t="s">
        <v>54</v>
      </c>
      <c r="G22">
        <v>610.16660000000002</v>
      </c>
      <c r="H22" s="2">
        <v>-592005.00280000002</v>
      </c>
      <c r="J22" t="s">
        <v>85</v>
      </c>
      <c r="K22" t="s">
        <v>86</v>
      </c>
      <c r="L22" t="s">
        <v>23</v>
      </c>
      <c r="M22" t="s">
        <v>24</v>
      </c>
      <c r="N22" s="5">
        <v>246779411937</v>
      </c>
    </row>
    <row r="23" spans="1:14" x14ac:dyDescent="0.35">
      <c r="A23" s="1">
        <v>45733</v>
      </c>
      <c r="B23" t="s">
        <v>17</v>
      </c>
      <c r="C23" t="s">
        <v>87</v>
      </c>
      <c r="D23" t="s">
        <v>19</v>
      </c>
      <c r="E23" t="s">
        <v>54</v>
      </c>
      <c r="G23" s="2">
        <v>1935.1864</v>
      </c>
      <c r="H23" s="2">
        <v>-593940.18920000002</v>
      </c>
      <c r="J23" t="s">
        <v>88</v>
      </c>
      <c r="K23" t="s">
        <v>89</v>
      </c>
      <c r="L23" t="s">
        <v>23</v>
      </c>
      <c r="M23" t="s">
        <v>24</v>
      </c>
      <c r="N23" s="5">
        <v>246779411939</v>
      </c>
    </row>
    <row r="24" spans="1:14" x14ac:dyDescent="0.35">
      <c r="A24" s="1">
        <v>45747</v>
      </c>
      <c r="B24" t="s">
        <v>35</v>
      </c>
      <c r="C24" t="s">
        <v>90</v>
      </c>
      <c r="D24" t="s">
        <v>37</v>
      </c>
      <c r="E24" t="s">
        <v>54</v>
      </c>
      <c r="G24" s="2">
        <v>-4193</v>
      </c>
      <c r="H24" s="2">
        <v>-589747.18920000002</v>
      </c>
      <c r="J24" t="s">
        <v>91</v>
      </c>
      <c r="K24" t="s">
        <v>92</v>
      </c>
      <c r="L24" t="s">
        <v>23</v>
      </c>
      <c r="M24" t="s">
        <v>24</v>
      </c>
      <c r="N24" s="5">
        <v>246779413828</v>
      </c>
    </row>
    <row r="25" spans="1:14" x14ac:dyDescent="0.35">
      <c r="A25" s="1">
        <v>45736</v>
      </c>
      <c r="B25" t="s">
        <v>17</v>
      </c>
      <c r="C25" t="s">
        <v>93</v>
      </c>
      <c r="D25" t="s">
        <v>19</v>
      </c>
      <c r="E25" t="s">
        <v>40</v>
      </c>
      <c r="G25" s="2">
        <v>7734.1876000000002</v>
      </c>
      <c r="H25" s="2">
        <v>-597481.37679999997</v>
      </c>
      <c r="J25" t="s">
        <v>94</v>
      </c>
      <c r="K25" t="s">
        <v>95</v>
      </c>
      <c r="L25" t="s">
        <v>23</v>
      </c>
      <c r="M25" t="s">
        <v>24</v>
      </c>
      <c r="N25" s="5">
        <v>246779414468</v>
      </c>
    </row>
    <row r="26" spans="1:14" x14ac:dyDescent="0.35">
      <c r="A26" s="1">
        <v>45736</v>
      </c>
      <c r="B26" t="s">
        <v>17</v>
      </c>
      <c r="C26" t="s">
        <v>96</v>
      </c>
      <c r="D26" t="s">
        <v>19</v>
      </c>
      <c r="E26" t="s">
        <v>40</v>
      </c>
      <c r="G26" s="2">
        <v>7619.7987999999996</v>
      </c>
      <c r="H26" s="2">
        <v>-605101.17559999996</v>
      </c>
      <c r="J26" t="s">
        <v>97</v>
      </c>
      <c r="K26" t="s">
        <v>98</v>
      </c>
      <c r="L26" t="s">
        <v>23</v>
      </c>
      <c r="M26" t="s">
        <v>24</v>
      </c>
      <c r="N26" s="5">
        <v>246779414682</v>
      </c>
    </row>
    <row r="27" spans="1:14" x14ac:dyDescent="0.35">
      <c r="A27" s="1">
        <v>45736</v>
      </c>
      <c r="B27" t="s">
        <v>17</v>
      </c>
      <c r="C27" t="s">
        <v>99</v>
      </c>
      <c r="D27" t="s">
        <v>19</v>
      </c>
      <c r="E27" t="s">
        <v>40</v>
      </c>
      <c r="G27" s="2">
        <v>8168.4920000000002</v>
      </c>
      <c r="H27" s="2">
        <v>-613269.66760000004</v>
      </c>
      <c r="J27" t="s">
        <v>100</v>
      </c>
      <c r="K27" t="s">
        <v>101</v>
      </c>
      <c r="L27" t="s">
        <v>23</v>
      </c>
      <c r="M27" t="s">
        <v>24</v>
      </c>
      <c r="N27" s="5">
        <v>246779414735</v>
      </c>
    </row>
    <row r="28" spans="1:14" x14ac:dyDescent="0.35">
      <c r="A28" s="1">
        <v>45736</v>
      </c>
      <c r="B28" t="s">
        <v>17</v>
      </c>
      <c r="C28" t="s">
        <v>102</v>
      </c>
      <c r="D28" t="s">
        <v>19</v>
      </c>
      <c r="E28" t="s">
        <v>40</v>
      </c>
      <c r="G28" s="2">
        <v>2582.864</v>
      </c>
      <c r="H28" s="2">
        <v>-615852.53159999999</v>
      </c>
      <c r="J28" t="s">
        <v>103</v>
      </c>
      <c r="K28" t="s">
        <v>104</v>
      </c>
      <c r="L28" t="s">
        <v>23</v>
      </c>
      <c r="M28" t="s">
        <v>24</v>
      </c>
      <c r="N28" s="5">
        <v>246779414886</v>
      </c>
    </row>
    <row r="29" spans="1:14" x14ac:dyDescent="0.35">
      <c r="A29" s="1">
        <v>45736</v>
      </c>
      <c r="B29" t="s">
        <v>17</v>
      </c>
      <c r="C29" t="s">
        <v>105</v>
      </c>
      <c r="D29" t="s">
        <v>19</v>
      </c>
      <c r="E29" t="s">
        <v>40</v>
      </c>
      <c r="G29">
        <v>589.62739999999997</v>
      </c>
      <c r="H29" s="2">
        <v>-616442.15899999999</v>
      </c>
      <c r="J29" t="s">
        <v>106</v>
      </c>
      <c r="K29" t="s">
        <v>107</v>
      </c>
      <c r="L29" t="s">
        <v>23</v>
      </c>
      <c r="M29" t="s">
        <v>24</v>
      </c>
      <c r="N29" s="5">
        <v>246779414397</v>
      </c>
    </row>
    <row r="30" spans="1:14" x14ac:dyDescent="0.35">
      <c r="A30" s="1">
        <v>45736</v>
      </c>
      <c r="B30" t="s">
        <v>17</v>
      </c>
      <c r="C30" t="s">
        <v>108</v>
      </c>
      <c r="D30" t="s">
        <v>19</v>
      </c>
      <c r="E30" t="s">
        <v>40</v>
      </c>
      <c r="G30">
        <v>610.16660000000002</v>
      </c>
      <c r="H30" s="2">
        <v>-617052.32559999998</v>
      </c>
      <c r="J30" t="s">
        <v>85</v>
      </c>
      <c r="K30" t="s">
        <v>109</v>
      </c>
      <c r="L30" t="s">
        <v>23</v>
      </c>
      <c r="M30" t="s">
        <v>24</v>
      </c>
      <c r="N30" s="5">
        <v>246779414887</v>
      </c>
    </row>
    <row r="31" spans="1:14" x14ac:dyDescent="0.35">
      <c r="A31" s="1">
        <v>45736</v>
      </c>
      <c r="B31" t="s">
        <v>17</v>
      </c>
      <c r="C31" t="s">
        <v>110</v>
      </c>
      <c r="D31" t="s">
        <v>19</v>
      </c>
      <c r="E31" t="s">
        <v>40</v>
      </c>
      <c r="G31">
        <v>914.67780000000005</v>
      </c>
      <c r="H31" s="2">
        <v>-617967.00340000005</v>
      </c>
      <c r="J31" t="s">
        <v>111</v>
      </c>
      <c r="K31" t="s">
        <v>112</v>
      </c>
      <c r="L31" t="s">
        <v>23</v>
      </c>
      <c r="M31" t="s">
        <v>24</v>
      </c>
      <c r="N31" s="5">
        <v>256779414888</v>
      </c>
    </row>
    <row r="32" spans="1:14" x14ac:dyDescent="0.35">
      <c r="A32" s="1">
        <v>45736</v>
      </c>
      <c r="B32" t="s">
        <v>17</v>
      </c>
      <c r="C32" t="s">
        <v>113</v>
      </c>
      <c r="D32" t="s">
        <v>19</v>
      </c>
      <c r="E32" t="s">
        <v>40</v>
      </c>
      <c r="G32">
        <v>211.66159999999999</v>
      </c>
      <c r="H32" s="2">
        <v>-618178.66500000004</v>
      </c>
      <c r="J32" t="s">
        <v>114</v>
      </c>
      <c r="K32" t="s">
        <v>115</v>
      </c>
      <c r="L32" t="s">
        <v>23</v>
      </c>
      <c r="M32" t="s">
        <v>24</v>
      </c>
      <c r="N32" s="5">
        <v>246779414889</v>
      </c>
    </row>
    <row r="33" spans="1:14" x14ac:dyDescent="0.35">
      <c r="A33" s="1">
        <v>45736</v>
      </c>
      <c r="B33" t="s">
        <v>17</v>
      </c>
      <c r="C33" t="s">
        <v>116</v>
      </c>
      <c r="D33" t="s">
        <v>19</v>
      </c>
      <c r="E33" t="s">
        <v>40</v>
      </c>
      <c r="G33" s="2">
        <v>2716.0803999999998</v>
      </c>
      <c r="H33" s="2">
        <v>-620894.74540000001</v>
      </c>
      <c r="J33" t="s">
        <v>117</v>
      </c>
      <c r="K33" t="s">
        <v>118</v>
      </c>
      <c r="L33" t="s">
        <v>23</v>
      </c>
      <c r="M33" t="s">
        <v>24</v>
      </c>
      <c r="N33" s="5">
        <v>246779414398</v>
      </c>
    </row>
    <row r="34" spans="1:14" x14ac:dyDescent="0.35">
      <c r="A34" s="1">
        <v>45736</v>
      </c>
      <c r="B34" t="s">
        <v>17</v>
      </c>
      <c r="C34" t="s">
        <v>119</v>
      </c>
      <c r="D34" t="s">
        <v>19</v>
      </c>
      <c r="E34" t="s">
        <v>40</v>
      </c>
      <c r="G34" s="2">
        <v>3690.52</v>
      </c>
      <c r="H34" s="2">
        <v>-624585.26540000003</v>
      </c>
      <c r="J34" t="s">
        <v>120</v>
      </c>
      <c r="K34" t="s">
        <v>121</v>
      </c>
      <c r="L34" t="s">
        <v>23</v>
      </c>
      <c r="M34" t="s">
        <v>24</v>
      </c>
      <c r="N34" s="5">
        <v>246779414890</v>
      </c>
    </row>
    <row r="35" spans="1:14" x14ac:dyDescent="0.35">
      <c r="A35" s="1">
        <v>45733</v>
      </c>
      <c r="B35" t="s">
        <v>17</v>
      </c>
      <c r="C35" t="s">
        <v>122</v>
      </c>
      <c r="D35" t="s">
        <v>19</v>
      </c>
      <c r="E35" t="s">
        <v>54</v>
      </c>
      <c r="G35" s="2">
        <v>5577.07</v>
      </c>
      <c r="H35" s="2">
        <v>-630162.33539999998</v>
      </c>
      <c r="J35" t="s">
        <v>123</v>
      </c>
      <c r="K35" t="s">
        <v>124</v>
      </c>
      <c r="L35" t="s">
        <v>23</v>
      </c>
      <c r="M35" t="s">
        <v>24</v>
      </c>
      <c r="N35" s="5">
        <v>246779412066</v>
      </c>
    </row>
    <row r="36" spans="1:14" x14ac:dyDescent="0.35">
      <c r="A36" s="1">
        <v>45737</v>
      </c>
      <c r="B36" t="s">
        <v>17</v>
      </c>
      <c r="C36" t="s">
        <v>125</v>
      </c>
      <c r="D36" t="s">
        <v>19</v>
      </c>
      <c r="E36" t="s">
        <v>40</v>
      </c>
      <c r="G36" s="2">
        <v>3836.4292</v>
      </c>
      <c r="H36" s="2">
        <v>-633998.76459999999</v>
      </c>
      <c r="J36" t="s">
        <v>126</v>
      </c>
      <c r="K36" t="s">
        <v>127</v>
      </c>
      <c r="L36" t="s">
        <v>23</v>
      </c>
      <c r="M36" t="s">
        <v>24</v>
      </c>
      <c r="N36" s="5">
        <v>246779414318</v>
      </c>
    </row>
    <row r="37" spans="1:14" x14ac:dyDescent="0.35">
      <c r="A37" s="1">
        <v>45736</v>
      </c>
      <c r="B37" t="s">
        <v>69</v>
      </c>
      <c r="C37" t="s">
        <v>128</v>
      </c>
      <c r="D37" t="s">
        <v>71</v>
      </c>
      <c r="E37" t="s">
        <v>72</v>
      </c>
      <c r="G37" s="2">
        <v>1711.6</v>
      </c>
      <c r="H37" s="2">
        <v>-635710.36459999997</v>
      </c>
      <c r="J37" t="s">
        <v>73</v>
      </c>
      <c r="K37" t="s">
        <v>129</v>
      </c>
      <c r="L37" t="s">
        <v>23</v>
      </c>
      <c r="M37" t="s">
        <v>24</v>
      </c>
    </row>
    <row r="38" spans="1:14" x14ac:dyDescent="0.35">
      <c r="A38" s="1">
        <v>45736</v>
      </c>
      <c r="B38" t="s">
        <v>69</v>
      </c>
      <c r="C38" t="s">
        <v>130</v>
      </c>
      <c r="D38" t="s">
        <v>131</v>
      </c>
      <c r="E38" t="s">
        <v>72</v>
      </c>
      <c r="F38" s="2">
        <v>-1711.6</v>
      </c>
      <c r="H38" s="2">
        <v>-637421.96459999995</v>
      </c>
      <c r="I38" t="s">
        <v>132</v>
      </c>
      <c r="K38" t="s">
        <v>133</v>
      </c>
      <c r="L38" t="s">
        <v>75</v>
      </c>
      <c r="M38" t="s">
        <v>24</v>
      </c>
    </row>
    <row r="39" spans="1:14" x14ac:dyDescent="0.35">
      <c r="A39" s="1">
        <v>45708</v>
      </c>
      <c r="B39" t="s">
        <v>17</v>
      </c>
      <c r="C39" t="s">
        <v>134</v>
      </c>
      <c r="D39" t="s">
        <v>19</v>
      </c>
      <c r="E39" t="s">
        <v>46</v>
      </c>
      <c r="G39" s="2">
        <v>33554.7022</v>
      </c>
      <c r="H39" s="2">
        <v>-670976.66680000001</v>
      </c>
      <c r="J39" t="s">
        <v>135</v>
      </c>
      <c r="K39" t="s">
        <v>136</v>
      </c>
      <c r="L39" t="s">
        <v>23</v>
      </c>
      <c r="M39" t="s">
        <v>24</v>
      </c>
      <c r="N39" s="5">
        <v>246779410252</v>
      </c>
    </row>
    <row r="40" spans="1:14" x14ac:dyDescent="0.35">
      <c r="A40" s="1">
        <v>45708</v>
      </c>
      <c r="B40" t="s">
        <v>17</v>
      </c>
      <c r="C40" t="s">
        <v>137</v>
      </c>
      <c r="D40" t="s">
        <v>19</v>
      </c>
      <c r="E40" t="s">
        <v>46</v>
      </c>
      <c r="G40" s="2">
        <v>34945.618600000002</v>
      </c>
      <c r="H40" s="2">
        <v>-705922.28540000005</v>
      </c>
      <c r="J40" t="s">
        <v>21</v>
      </c>
      <c r="K40" t="s">
        <v>138</v>
      </c>
      <c r="L40" t="s">
        <v>23</v>
      </c>
      <c r="M40" t="s">
        <v>24</v>
      </c>
      <c r="N40" s="5">
        <v>246779410166</v>
      </c>
    </row>
    <row r="41" spans="1:14" x14ac:dyDescent="0.35">
      <c r="A41" s="1">
        <v>45708</v>
      </c>
      <c r="B41" t="s">
        <v>17</v>
      </c>
      <c r="C41" t="s">
        <v>139</v>
      </c>
      <c r="D41" t="s">
        <v>19</v>
      </c>
      <c r="E41" t="s">
        <v>30</v>
      </c>
      <c r="G41" s="2">
        <v>91693.278399999996</v>
      </c>
      <c r="H41" s="2">
        <v>-797615.5638</v>
      </c>
      <c r="J41" t="s">
        <v>31</v>
      </c>
      <c r="K41" t="s">
        <v>140</v>
      </c>
      <c r="L41" t="s">
        <v>23</v>
      </c>
      <c r="M41" t="s">
        <v>24</v>
      </c>
      <c r="N41" s="5">
        <v>246779410140</v>
      </c>
    </row>
    <row r="42" spans="1:14" x14ac:dyDescent="0.35">
      <c r="A42" s="1">
        <v>45708</v>
      </c>
      <c r="B42" t="s">
        <v>17</v>
      </c>
      <c r="C42" t="s">
        <v>141</v>
      </c>
      <c r="D42" t="s">
        <v>19</v>
      </c>
      <c r="E42" t="s">
        <v>30</v>
      </c>
      <c r="G42" s="2">
        <v>88045.209600000002</v>
      </c>
      <c r="H42" s="2">
        <v>-885660.77339999995</v>
      </c>
      <c r="J42" t="s">
        <v>142</v>
      </c>
      <c r="K42" t="s">
        <v>143</v>
      </c>
      <c r="L42" t="s">
        <v>23</v>
      </c>
      <c r="M42" t="s">
        <v>24</v>
      </c>
      <c r="N42" s="5">
        <v>246779410226</v>
      </c>
    </row>
    <row r="43" spans="1:14" x14ac:dyDescent="0.35">
      <c r="A43" s="1">
        <v>45733</v>
      </c>
      <c r="B43" t="s">
        <v>17</v>
      </c>
      <c r="C43" t="s">
        <v>144</v>
      </c>
      <c r="D43" t="s">
        <v>19</v>
      </c>
      <c r="E43" t="s">
        <v>54</v>
      </c>
      <c r="G43" s="2">
        <v>43626.1486</v>
      </c>
      <c r="H43" s="2">
        <v>-929286.92200000002</v>
      </c>
      <c r="J43" t="s">
        <v>145</v>
      </c>
      <c r="K43" t="s">
        <v>146</v>
      </c>
      <c r="L43" t="s">
        <v>23</v>
      </c>
      <c r="M43" t="s">
        <v>24</v>
      </c>
      <c r="N43" s="5">
        <v>246779411760</v>
      </c>
    </row>
    <row r="44" spans="1:14" x14ac:dyDescent="0.35">
      <c r="A44" s="1">
        <v>45736</v>
      </c>
      <c r="B44" t="s">
        <v>17</v>
      </c>
      <c r="C44" t="s">
        <v>147</v>
      </c>
      <c r="D44" t="s">
        <v>19</v>
      </c>
      <c r="E44" t="s">
        <v>40</v>
      </c>
      <c r="G44">
        <v>368.55200000000002</v>
      </c>
      <c r="H44" s="2">
        <v>-929655.47400000005</v>
      </c>
      <c r="J44" t="s">
        <v>148</v>
      </c>
      <c r="K44" t="s">
        <v>149</v>
      </c>
      <c r="L44" t="s">
        <v>23</v>
      </c>
      <c r="M44" t="s">
        <v>24</v>
      </c>
      <c r="N44" s="5">
        <v>246779413905</v>
      </c>
    </row>
    <row r="45" spans="1:14" x14ac:dyDescent="0.35">
      <c r="A45" s="1">
        <v>45736</v>
      </c>
      <c r="B45" t="s">
        <v>17</v>
      </c>
      <c r="C45" t="s">
        <v>150</v>
      </c>
      <c r="D45" t="s">
        <v>19</v>
      </c>
      <c r="E45" t="s">
        <v>40</v>
      </c>
      <c r="G45" s="2">
        <v>6461.0832</v>
      </c>
      <c r="H45" s="2">
        <v>-936116.55720000004</v>
      </c>
      <c r="J45" t="s">
        <v>151</v>
      </c>
      <c r="K45" t="s">
        <v>152</v>
      </c>
      <c r="L45" t="s">
        <v>23</v>
      </c>
      <c r="M45" t="s">
        <v>24</v>
      </c>
      <c r="N45" s="5">
        <v>246779414399</v>
      </c>
    </row>
    <row r="46" spans="1:14" x14ac:dyDescent="0.35">
      <c r="A46" s="1">
        <v>45707</v>
      </c>
      <c r="B46" t="s">
        <v>17</v>
      </c>
      <c r="C46" t="s">
        <v>153</v>
      </c>
      <c r="D46" t="s">
        <v>19</v>
      </c>
      <c r="E46" t="s">
        <v>30</v>
      </c>
      <c r="G46" s="2">
        <v>91693.278399999996</v>
      </c>
      <c r="H46" s="2">
        <v>-1027809.8356</v>
      </c>
      <c r="J46" t="s">
        <v>31</v>
      </c>
      <c r="K46" t="s">
        <v>154</v>
      </c>
      <c r="L46" t="s">
        <v>23</v>
      </c>
      <c r="M46" t="s">
        <v>24</v>
      </c>
      <c r="N46" s="5">
        <v>246779410009</v>
      </c>
    </row>
    <row r="47" spans="1:14" x14ac:dyDescent="0.35">
      <c r="A47" s="1">
        <v>45708</v>
      </c>
      <c r="B47" t="s">
        <v>17</v>
      </c>
      <c r="C47" t="s">
        <v>155</v>
      </c>
      <c r="D47" t="s">
        <v>19</v>
      </c>
      <c r="E47" t="s">
        <v>46</v>
      </c>
      <c r="G47" s="2">
        <v>34945.618600000002</v>
      </c>
      <c r="H47" s="2">
        <v>-1062755.4542</v>
      </c>
      <c r="J47" t="s">
        <v>21</v>
      </c>
      <c r="K47" t="s">
        <v>156</v>
      </c>
      <c r="L47" t="s">
        <v>23</v>
      </c>
      <c r="M47" t="s">
        <v>24</v>
      </c>
      <c r="N47" s="5">
        <v>246779410077</v>
      </c>
    </row>
    <row r="48" spans="1:14" x14ac:dyDescent="0.35">
      <c r="A48" s="1">
        <v>45730</v>
      </c>
      <c r="B48" t="s">
        <v>17</v>
      </c>
      <c r="C48" t="s">
        <v>157</v>
      </c>
      <c r="D48" t="s">
        <v>19</v>
      </c>
      <c r="E48" t="s">
        <v>54</v>
      </c>
      <c r="G48" s="2">
        <v>79318.285000000003</v>
      </c>
      <c r="H48" s="2">
        <v>-1142073.7392</v>
      </c>
      <c r="J48" t="s">
        <v>158</v>
      </c>
      <c r="K48" t="s">
        <v>159</v>
      </c>
      <c r="L48" t="s">
        <v>23</v>
      </c>
      <c r="M48" t="s">
        <v>24</v>
      </c>
      <c r="N48" s="5">
        <v>246779411449</v>
      </c>
    </row>
    <row r="49" spans="1:14" x14ac:dyDescent="0.35">
      <c r="A49" s="1">
        <v>45730</v>
      </c>
      <c r="B49" t="s">
        <v>17</v>
      </c>
      <c r="C49" t="s">
        <v>160</v>
      </c>
      <c r="D49" t="s">
        <v>19</v>
      </c>
      <c r="E49" t="s">
        <v>54</v>
      </c>
      <c r="G49" s="2">
        <v>79318.285000000003</v>
      </c>
      <c r="H49" s="2">
        <v>-1221392.0242000001</v>
      </c>
      <c r="J49" t="s">
        <v>158</v>
      </c>
      <c r="K49" t="s">
        <v>161</v>
      </c>
      <c r="L49" t="s">
        <v>23</v>
      </c>
      <c r="M49" t="s">
        <v>24</v>
      </c>
      <c r="N49" s="5">
        <v>246779412238</v>
      </c>
    </row>
    <row r="50" spans="1:14" x14ac:dyDescent="0.35">
      <c r="A50" s="1">
        <v>45736</v>
      </c>
      <c r="B50" t="s">
        <v>17</v>
      </c>
      <c r="C50" t="s">
        <v>162</v>
      </c>
      <c r="D50" t="s">
        <v>19</v>
      </c>
      <c r="E50" t="s">
        <v>40</v>
      </c>
      <c r="G50" s="2">
        <v>16503.432400000002</v>
      </c>
      <c r="H50" s="2">
        <v>-1237895.4565999999</v>
      </c>
      <c r="J50" t="s">
        <v>163</v>
      </c>
      <c r="K50" t="s">
        <v>164</v>
      </c>
      <c r="L50" t="s">
        <v>23</v>
      </c>
      <c r="M50" t="s">
        <v>24</v>
      </c>
      <c r="N50" s="5">
        <v>246779414222</v>
      </c>
    </row>
    <row r="51" spans="1:14" x14ac:dyDescent="0.35">
      <c r="A51" s="1">
        <v>45736</v>
      </c>
      <c r="B51" t="s">
        <v>17</v>
      </c>
      <c r="C51" t="s">
        <v>165</v>
      </c>
      <c r="D51" t="s">
        <v>19</v>
      </c>
      <c r="E51" t="s">
        <v>40</v>
      </c>
      <c r="G51" s="2">
        <v>47478.693800000001</v>
      </c>
      <c r="H51" s="2">
        <v>-1285374.1503999999</v>
      </c>
      <c r="J51" t="s">
        <v>166</v>
      </c>
      <c r="K51" t="s">
        <v>167</v>
      </c>
      <c r="L51" t="s">
        <v>23</v>
      </c>
      <c r="M51" t="s">
        <v>24</v>
      </c>
      <c r="N51" s="5">
        <v>246779414143</v>
      </c>
    </row>
    <row r="52" spans="1:14" x14ac:dyDescent="0.35">
      <c r="A52" s="1">
        <v>45733</v>
      </c>
      <c r="B52" t="s">
        <v>17</v>
      </c>
      <c r="C52" t="s">
        <v>168</v>
      </c>
      <c r="D52" t="s">
        <v>19</v>
      </c>
      <c r="E52" t="s">
        <v>54</v>
      </c>
      <c r="G52" s="2">
        <v>37240.943200000002</v>
      </c>
      <c r="H52" s="2">
        <v>-1322615.0936</v>
      </c>
      <c r="J52" t="s">
        <v>169</v>
      </c>
      <c r="K52" t="s">
        <v>170</v>
      </c>
      <c r="L52" t="s">
        <v>23</v>
      </c>
      <c r="M52" t="s">
        <v>24</v>
      </c>
      <c r="N52" s="5">
        <v>246779411621</v>
      </c>
    </row>
    <row r="53" spans="1:14" x14ac:dyDescent="0.35">
      <c r="A53" s="1">
        <v>45729</v>
      </c>
      <c r="B53" t="s">
        <v>17</v>
      </c>
      <c r="C53" t="s">
        <v>171</v>
      </c>
      <c r="D53" t="s">
        <v>19</v>
      </c>
      <c r="E53" t="s">
        <v>54</v>
      </c>
      <c r="G53" s="2">
        <v>7129.3</v>
      </c>
      <c r="H53" s="2">
        <v>-1329744.3936000001</v>
      </c>
      <c r="J53" t="s">
        <v>172</v>
      </c>
      <c r="K53" t="s">
        <v>173</v>
      </c>
      <c r="L53" t="s">
        <v>23</v>
      </c>
      <c r="M53" t="s">
        <v>24</v>
      </c>
      <c r="N53" s="5">
        <v>246779411301</v>
      </c>
    </row>
    <row r="54" spans="1:14" x14ac:dyDescent="0.35">
      <c r="A54" s="1">
        <v>45729</v>
      </c>
      <c r="B54" t="s">
        <v>17</v>
      </c>
      <c r="C54" t="s">
        <v>174</v>
      </c>
      <c r="D54" t="s">
        <v>19</v>
      </c>
      <c r="E54" t="s">
        <v>54</v>
      </c>
      <c r="G54" s="2">
        <v>2935.3</v>
      </c>
      <c r="H54" s="2">
        <v>-1332679.6936000001</v>
      </c>
      <c r="J54" t="s">
        <v>175</v>
      </c>
      <c r="K54" t="s">
        <v>176</v>
      </c>
      <c r="L54" t="s">
        <v>23</v>
      </c>
      <c r="M54" t="s">
        <v>24</v>
      </c>
      <c r="N54" s="5">
        <v>246779411315</v>
      </c>
    </row>
    <row r="55" spans="1:14" x14ac:dyDescent="0.35">
      <c r="A55" s="1">
        <v>45736</v>
      </c>
      <c r="B55" t="s">
        <v>17</v>
      </c>
      <c r="C55" t="s">
        <v>177</v>
      </c>
      <c r="D55" t="s">
        <v>19</v>
      </c>
      <c r="E55" t="s">
        <v>54</v>
      </c>
      <c r="G55" s="2">
        <v>4193</v>
      </c>
      <c r="H55" s="2">
        <v>-1336872.6936000001</v>
      </c>
      <c r="J55" t="s">
        <v>77</v>
      </c>
      <c r="K55" t="s">
        <v>178</v>
      </c>
      <c r="L55" t="s">
        <v>23</v>
      </c>
      <c r="M55" t="s">
        <v>24</v>
      </c>
      <c r="N55" s="5">
        <v>246779413817</v>
      </c>
    </row>
    <row r="56" spans="1:14" x14ac:dyDescent="0.35">
      <c r="A56" s="1">
        <v>45736</v>
      </c>
      <c r="B56" t="s">
        <v>17</v>
      </c>
      <c r="C56" t="s">
        <v>179</v>
      </c>
      <c r="D56" t="s">
        <v>19</v>
      </c>
      <c r="E56" t="s">
        <v>63</v>
      </c>
      <c r="G56" s="2">
        <v>1489.973</v>
      </c>
      <c r="H56" s="2">
        <v>-1338362.6666000001</v>
      </c>
      <c r="J56" t="s">
        <v>180</v>
      </c>
      <c r="K56" t="s">
        <v>181</v>
      </c>
      <c r="L56" t="s">
        <v>23</v>
      </c>
      <c r="M56" t="s">
        <v>24</v>
      </c>
      <c r="N56" s="5">
        <v>246779414146</v>
      </c>
    </row>
    <row r="57" spans="1:14" x14ac:dyDescent="0.35">
      <c r="A57" s="1">
        <v>45736</v>
      </c>
      <c r="B57" t="s">
        <v>17</v>
      </c>
      <c r="C57" t="s">
        <v>182</v>
      </c>
      <c r="D57" t="s">
        <v>19</v>
      </c>
      <c r="E57" t="s">
        <v>63</v>
      </c>
      <c r="G57" s="2">
        <v>134532</v>
      </c>
      <c r="H57" s="2">
        <v>-1472894.6666000001</v>
      </c>
      <c r="J57" t="s">
        <v>183</v>
      </c>
      <c r="K57" t="s">
        <v>184</v>
      </c>
      <c r="L57" t="s">
        <v>23</v>
      </c>
      <c r="M57" t="s">
        <v>24</v>
      </c>
      <c r="N57" s="5">
        <v>246779413808</v>
      </c>
    </row>
    <row r="58" spans="1:14" x14ac:dyDescent="0.35">
      <c r="A58" s="1">
        <v>45736</v>
      </c>
      <c r="B58" t="s">
        <v>69</v>
      </c>
      <c r="C58" t="s">
        <v>185</v>
      </c>
      <c r="D58" t="s">
        <v>186</v>
      </c>
      <c r="E58" t="s">
        <v>72</v>
      </c>
      <c r="F58" s="2">
        <v>1711.6</v>
      </c>
      <c r="H58" s="2">
        <v>-1471183.0666</v>
      </c>
      <c r="I58" t="s">
        <v>73</v>
      </c>
      <c r="K58" t="s">
        <v>187</v>
      </c>
      <c r="L58" t="s">
        <v>75</v>
      </c>
      <c r="M58" t="s">
        <v>24</v>
      </c>
    </row>
    <row r="59" spans="1:14" x14ac:dyDescent="0.35">
      <c r="A59" s="1">
        <v>45736</v>
      </c>
      <c r="B59" t="s">
        <v>17</v>
      </c>
      <c r="C59" t="s">
        <v>188</v>
      </c>
      <c r="D59" t="s">
        <v>19</v>
      </c>
      <c r="E59" t="s">
        <v>189</v>
      </c>
      <c r="G59" s="2">
        <v>12580</v>
      </c>
      <c r="H59" s="2">
        <v>-1483763.0666</v>
      </c>
      <c r="J59" t="s">
        <v>190</v>
      </c>
      <c r="K59" t="s">
        <v>191</v>
      </c>
      <c r="L59" t="s">
        <v>23</v>
      </c>
      <c r="M59" t="s">
        <v>24</v>
      </c>
      <c r="N59" s="5">
        <v>246779414145</v>
      </c>
    </row>
    <row r="60" spans="1:14" x14ac:dyDescent="0.35">
      <c r="A60" s="1">
        <v>45708</v>
      </c>
      <c r="B60" t="s">
        <v>17</v>
      </c>
      <c r="C60" t="s">
        <v>192</v>
      </c>
      <c r="D60" t="s">
        <v>19</v>
      </c>
      <c r="E60" t="s">
        <v>30</v>
      </c>
      <c r="G60" s="2">
        <v>91693.278399999996</v>
      </c>
      <c r="H60" s="2">
        <v>-1575456.345</v>
      </c>
      <c r="J60" t="s">
        <v>31</v>
      </c>
      <c r="K60" t="s">
        <v>193</v>
      </c>
      <c r="L60" t="s">
        <v>23</v>
      </c>
      <c r="M60" t="s">
        <v>24</v>
      </c>
      <c r="N60" s="5">
        <v>246779410029</v>
      </c>
    </row>
    <row r="61" spans="1:14" x14ac:dyDescent="0.35">
      <c r="A61" s="1">
        <v>45708</v>
      </c>
      <c r="B61" t="s">
        <v>17</v>
      </c>
      <c r="C61" t="s">
        <v>194</v>
      </c>
      <c r="D61" t="s">
        <v>19</v>
      </c>
      <c r="E61" t="s">
        <v>46</v>
      </c>
      <c r="G61" s="2">
        <v>34945.618600000002</v>
      </c>
      <c r="H61" s="2">
        <v>-1610401.9635999999</v>
      </c>
      <c r="J61" t="s">
        <v>21</v>
      </c>
      <c r="K61" t="s">
        <v>195</v>
      </c>
      <c r="L61" t="s">
        <v>23</v>
      </c>
      <c r="M61" t="s">
        <v>24</v>
      </c>
      <c r="N61" s="5">
        <v>24677910055</v>
      </c>
    </row>
    <row r="62" spans="1:14" x14ac:dyDescent="0.35">
      <c r="A62" s="1">
        <v>45729</v>
      </c>
      <c r="B62" t="s">
        <v>17</v>
      </c>
      <c r="C62" t="s">
        <v>196</v>
      </c>
      <c r="D62" t="s">
        <v>19</v>
      </c>
      <c r="E62" t="s">
        <v>54</v>
      </c>
      <c r="G62" s="2">
        <v>2935.3</v>
      </c>
      <c r="H62" s="2">
        <v>-1613337.2635999999</v>
      </c>
      <c r="J62" t="s">
        <v>175</v>
      </c>
      <c r="K62" t="s">
        <v>197</v>
      </c>
      <c r="L62" t="s">
        <v>23</v>
      </c>
      <c r="M62" t="s">
        <v>24</v>
      </c>
      <c r="N62" s="5">
        <v>246779411279</v>
      </c>
    </row>
    <row r="63" spans="1:14" x14ac:dyDescent="0.35">
      <c r="A63" s="1">
        <v>45735</v>
      </c>
      <c r="B63" t="s">
        <v>17</v>
      </c>
      <c r="C63" t="s">
        <v>198</v>
      </c>
      <c r="D63" t="s">
        <v>19</v>
      </c>
      <c r="E63" t="s">
        <v>54</v>
      </c>
      <c r="G63" s="2">
        <v>6630.0990000000002</v>
      </c>
      <c r="H63" s="2">
        <v>-1619967.3626000001</v>
      </c>
      <c r="J63" t="s">
        <v>199</v>
      </c>
      <c r="K63" t="s">
        <v>200</v>
      </c>
      <c r="L63" t="s">
        <v>23</v>
      </c>
      <c r="M63" t="s">
        <v>24</v>
      </c>
      <c r="N63" s="5">
        <v>246779413089</v>
      </c>
    </row>
    <row r="64" spans="1:14" x14ac:dyDescent="0.35">
      <c r="A64" s="1">
        <v>45713</v>
      </c>
      <c r="B64" t="s">
        <v>17</v>
      </c>
      <c r="C64" t="s">
        <v>201</v>
      </c>
      <c r="D64" t="s">
        <v>19</v>
      </c>
      <c r="E64" t="s">
        <v>63</v>
      </c>
      <c r="G64" s="2">
        <v>134788</v>
      </c>
      <c r="H64" s="2">
        <v>-1754755.3626000001</v>
      </c>
      <c r="J64" t="s">
        <v>202</v>
      </c>
      <c r="K64" t="s">
        <v>203</v>
      </c>
      <c r="L64" t="s">
        <v>23</v>
      </c>
      <c r="M64" t="s">
        <v>24</v>
      </c>
      <c r="N64" s="5">
        <v>246779410324</v>
      </c>
    </row>
    <row r="65" spans="1:14" x14ac:dyDescent="0.35">
      <c r="A65" s="1">
        <v>45735</v>
      </c>
      <c r="B65" t="s">
        <v>17</v>
      </c>
      <c r="C65" t="s">
        <v>204</v>
      </c>
      <c r="D65" t="s">
        <v>19</v>
      </c>
      <c r="E65" t="s">
        <v>54</v>
      </c>
      <c r="G65" s="2">
        <v>6630.0990000000002</v>
      </c>
      <c r="H65" s="2">
        <v>-1761385.4616</v>
      </c>
      <c r="J65" t="s">
        <v>199</v>
      </c>
      <c r="K65" t="s">
        <v>205</v>
      </c>
      <c r="L65" t="s">
        <v>23</v>
      </c>
      <c r="M65" t="s">
        <v>24</v>
      </c>
      <c r="N65" s="5">
        <v>246779413089</v>
      </c>
    </row>
    <row r="66" spans="1:14" x14ac:dyDescent="0.35">
      <c r="A66" s="1">
        <v>45722</v>
      </c>
      <c r="B66" t="s">
        <v>17</v>
      </c>
      <c r="C66" t="s">
        <v>206</v>
      </c>
      <c r="D66" t="s">
        <v>19</v>
      </c>
      <c r="E66" t="s">
        <v>30</v>
      </c>
      <c r="G66" s="2">
        <v>13647.064399999999</v>
      </c>
      <c r="H66" s="2">
        <v>-1775032.5260000001</v>
      </c>
      <c r="J66" t="s">
        <v>207</v>
      </c>
      <c r="K66" t="s">
        <v>208</v>
      </c>
      <c r="L66" t="s">
        <v>23</v>
      </c>
      <c r="M66" t="s">
        <v>24</v>
      </c>
      <c r="N66" s="5">
        <v>246779410893</v>
      </c>
    </row>
    <row r="67" spans="1:14" x14ac:dyDescent="0.35">
      <c r="A67" s="1">
        <v>45722</v>
      </c>
      <c r="B67" t="s">
        <v>17</v>
      </c>
      <c r="C67" t="s">
        <v>209</v>
      </c>
      <c r="D67" t="s">
        <v>19</v>
      </c>
      <c r="E67" t="s">
        <v>30</v>
      </c>
      <c r="G67" s="2">
        <v>3274.0057999999999</v>
      </c>
      <c r="H67" s="2">
        <v>-1778306.5318</v>
      </c>
      <c r="J67" t="s">
        <v>210</v>
      </c>
      <c r="K67" t="s">
        <v>211</v>
      </c>
      <c r="L67" t="s">
        <v>23</v>
      </c>
      <c r="M67" t="s">
        <v>24</v>
      </c>
      <c r="N67" s="5">
        <v>246779410871</v>
      </c>
    </row>
    <row r="68" spans="1:14" x14ac:dyDescent="0.35">
      <c r="A68" s="1">
        <v>45747</v>
      </c>
      <c r="B68" t="s">
        <v>35</v>
      </c>
      <c r="C68" t="s">
        <v>212</v>
      </c>
      <c r="D68" t="s">
        <v>37</v>
      </c>
      <c r="E68" t="s">
        <v>54</v>
      </c>
      <c r="G68" s="2">
        <v>-6630.0990000000002</v>
      </c>
      <c r="H68" s="2">
        <v>-1771676.4328000001</v>
      </c>
      <c r="J68" t="s">
        <v>213</v>
      </c>
      <c r="K68" t="s">
        <v>214</v>
      </c>
      <c r="L68" t="s">
        <v>23</v>
      </c>
      <c r="M68" t="s">
        <v>24</v>
      </c>
      <c r="N68" s="5">
        <v>246779413089</v>
      </c>
    </row>
    <row r="69" spans="1:14" x14ac:dyDescent="0.35">
      <c r="A69" s="1">
        <v>45733</v>
      </c>
      <c r="B69" t="s">
        <v>17</v>
      </c>
      <c r="C69" t="s">
        <v>215</v>
      </c>
      <c r="D69" t="s">
        <v>19</v>
      </c>
      <c r="E69" t="s">
        <v>54</v>
      </c>
      <c r="G69" s="2">
        <v>8387</v>
      </c>
      <c r="H69" s="2">
        <v>-1780063.4328000001</v>
      </c>
      <c r="J69" t="s">
        <v>216</v>
      </c>
      <c r="K69" t="s">
        <v>217</v>
      </c>
      <c r="L69" t="s">
        <v>23</v>
      </c>
      <c r="M69" t="s">
        <v>24</v>
      </c>
      <c r="N69" s="5">
        <v>246779412119</v>
      </c>
    </row>
    <row r="70" spans="1:14" x14ac:dyDescent="0.35">
      <c r="A70" s="1">
        <v>45736</v>
      </c>
      <c r="B70" t="s">
        <v>17</v>
      </c>
      <c r="C70" t="s">
        <v>218</v>
      </c>
      <c r="D70" t="s">
        <v>19</v>
      </c>
      <c r="E70" t="s">
        <v>219</v>
      </c>
      <c r="G70" s="2">
        <v>10567.08</v>
      </c>
      <c r="H70" s="2">
        <v>-1790630.5127999999</v>
      </c>
      <c r="J70" t="s">
        <v>220</v>
      </c>
      <c r="K70" t="s">
        <v>221</v>
      </c>
      <c r="L70" t="s">
        <v>23</v>
      </c>
      <c r="M70" t="s">
        <v>24</v>
      </c>
      <c r="N70" s="5">
        <v>246779414144</v>
      </c>
    </row>
    <row r="71" spans="1:14" x14ac:dyDescent="0.35">
      <c r="A71" s="1">
        <v>45733</v>
      </c>
      <c r="B71" t="s">
        <v>17</v>
      </c>
      <c r="C71" t="s">
        <v>222</v>
      </c>
      <c r="D71" t="s">
        <v>19</v>
      </c>
      <c r="E71" t="s">
        <v>54</v>
      </c>
      <c r="G71" s="2">
        <v>8387</v>
      </c>
      <c r="H71" s="2">
        <v>-1799017.5127999999</v>
      </c>
      <c r="J71" t="s">
        <v>216</v>
      </c>
      <c r="K71" t="s">
        <v>223</v>
      </c>
      <c r="L71" t="s">
        <v>23</v>
      </c>
      <c r="M71" t="s">
        <v>24</v>
      </c>
      <c r="N71" s="5">
        <v>246779412121</v>
      </c>
    </row>
    <row r="72" spans="1:14" x14ac:dyDescent="0.35">
      <c r="A72" s="1">
        <v>45733</v>
      </c>
      <c r="B72" t="s">
        <v>17</v>
      </c>
      <c r="C72" t="s">
        <v>224</v>
      </c>
      <c r="D72" t="s">
        <v>19</v>
      </c>
      <c r="E72" t="s">
        <v>54</v>
      </c>
      <c r="G72" s="2">
        <v>8387</v>
      </c>
      <c r="H72" s="2">
        <v>-1807404.5127999999</v>
      </c>
      <c r="J72" t="s">
        <v>216</v>
      </c>
      <c r="K72" t="s">
        <v>225</v>
      </c>
      <c r="L72" t="s">
        <v>23</v>
      </c>
      <c r="M72" t="s">
        <v>24</v>
      </c>
      <c r="N72" s="5">
        <v>246779412116</v>
      </c>
    </row>
    <row r="73" spans="1:14" x14ac:dyDescent="0.35">
      <c r="A73" s="1">
        <v>45730</v>
      </c>
      <c r="B73" t="s">
        <v>17</v>
      </c>
      <c r="C73" t="s">
        <v>226</v>
      </c>
      <c r="D73" t="s">
        <v>19</v>
      </c>
      <c r="E73" t="s">
        <v>54</v>
      </c>
      <c r="G73" s="2">
        <v>8387</v>
      </c>
      <c r="H73" s="2">
        <v>-1815791.5127999999</v>
      </c>
      <c r="J73" t="s">
        <v>216</v>
      </c>
      <c r="K73" t="s">
        <v>227</v>
      </c>
      <c r="L73" t="s">
        <v>23</v>
      </c>
      <c r="M73" t="s">
        <v>24</v>
      </c>
      <c r="N73" s="5">
        <v>246779411515</v>
      </c>
    </row>
    <row r="74" spans="1:14" x14ac:dyDescent="0.35">
      <c r="A74" s="1">
        <v>45735</v>
      </c>
      <c r="B74" t="s">
        <v>17</v>
      </c>
      <c r="C74" t="s">
        <v>228</v>
      </c>
      <c r="D74" t="s">
        <v>19</v>
      </c>
      <c r="E74" t="s">
        <v>30</v>
      </c>
      <c r="G74" s="2">
        <v>88315.595400000006</v>
      </c>
      <c r="H74" s="2">
        <v>-1904107.1081999999</v>
      </c>
      <c r="J74" t="s">
        <v>229</v>
      </c>
      <c r="K74" t="s">
        <v>230</v>
      </c>
      <c r="L74" t="s">
        <v>23</v>
      </c>
      <c r="M74" t="s">
        <v>24</v>
      </c>
      <c r="N74" s="5">
        <v>246779412981</v>
      </c>
    </row>
    <row r="75" spans="1:14" x14ac:dyDescent="0.35">
      <c r="A75" s="1">
        <v>45735</v>
      </c>
      <c r="B75" t="s">
        <v>17</v>
      </c>
      <c r="C75" t="s">
        <v>231</v>
      </c>
      <c r="D75" t="s">
        <v>19</v>
      </c>
      <c r="E75" t="s">
        <v>30</v>
      </c>
      <c r="G75" s="2">
        <v>30964.871599999999</v>
      </c>
      <c r="H75" s="2">
        <v>-1935071.9798000001</v>
      </c>
      <c r="J75" t="s">
        <v>232</v>
      </c>
      <c r="K75" t="s">
        <v>233</v>
      </c>
      <c r="L75" t="s">
        <v>23</v>
      </c>
      <c r="M75" t="s">
        <v>24</v>
      </c>
      <c r="N75" s="5">
        <v>246779413016</v>
      </c>
    </row>
    <row r="76" spans="1:14" x14ac:dyDescent="0.35">
      <c r="A76" s="1">
        <v>45747</v>
      </c>
      <c r="B76" t="s">
        <v>35</v>
      </c>
      <c r="C76" t="s">
        <v>234</v>
      </c>
      <c r="D76" t="s">
        <v>37</v>
      </c>
      <c r="E76" t="s">
        <v>54</v>
      </c>
      <c r="G76" s="2">
        <v>-79318.285000000003</v>
      </c>
      <c r="H76" s="2">
        <v>-1855753.6947999999</v>
      </c>
      <c r="J76" t="s">
        <v>235</v>
      </c>
      <c r="K76" t="s">
        <v>236</v>
      </c>
      <c r="L76" t="s">
        <v>23</v>
      </c>
      <c r="M76" t="s">
        <v>24</v>
      </c>
      <c r="N76" s="5">
        <v>246779412238</v>
      </c>
    </row>
    <row r="77" spans="1:14" x14ac:dyDescent="0.35">
      <c r="A77" s="1">
        <v>45735</v>
      </c>
      <c r="B77" t="s">
        <v>17</v>
      </c>
      <c r="C77" t="s">
        <v>237</v>
      </c>
      <c r="D77" t="s">
        <v>19</v>
      </c>
      <c r="E77" t="s">
        <v>30</v>
      </c>
      <c r="G77" s="2">
        <v>88469.755399999995</v>
      </c>
      <c r="H77" s="2">
        <v>-1944223.4502000001</v>
      </c>
      <c r="J77" t="s">
        <v>238</v>
      </c>
      <c r="K77" t="s">
        <v>239</v>
      </c>
      <c r="L77" t="s">
        <v>23</v>
      </c>
      <c r="M77" t="s">
        <v>24</v>
      </c>
      <c r="N77" s="5">
        <v>246779412981</v>
      </c>
    </row>
    <row r="78" spans="1:14" x14ac:dyDescent="0.35">
      <c r="A78" s="1">
        <v>45747</v>
      </c>
      <c r="B78" t="s">
        <v>35</v>
      </c>
      <c r="C78" t="s">
        <v>240</v>
      </c>
      <c r="D78" t="s">
        <v>37</v>
      </c>
      <c r="E78" t="s">
        <v>30</v>
      </c>
      <c r="G78" s="2">
        <v>-88315.595400000006</v>
      </c>
      <c r="H78" s="2">
        <v>-1855907.8548000001</v>
      </c>
      <c r="J78" t="s">
        <v>241</v>
      </c>
      <c r="K78" t="s">
        <v>242</v>
      </c>
      <c r="L78" t="s">
        <v>23</v>
      </c>
      <c r="M78" t="s">
        <v>24</v>
      </c>
      <c r="N78" s="5">
        <v>246779412981</v>
      </c>
    </row>
    <row r="79" spans="1:14" x14ac:dyDescent="0.35">
      <c r="A79" s="1">
        <v>45736</v>
      </c>
      <c r="B79" t="s">
        <v>69</v>
      </c>
      <c r="C79" t="s">
        <v>243</v>
      </c>
      <c r="D79" t="s">
        <v>71</v>
      </c>
      <c r="E79" t="s">
        <v>72</v>
      </c>
      <c r="F79" s="2">
        <v>1711.6</v>
      </c>
      <c r="H79" s="2">
        <v>-1854196.2548</v>
      </c>
      <c r="I79" t="s">
        <v>73</v>
      </c>
      <c r="K79" t="s">
        <v>244</v>
      </c>
      <c r="L79" t="s">
        <v>75</v>
      </c>
      <c r="M79" t="s">
        <v>24</v>
      </c>
    </row>
    <row r="80" spans="1:14" x14ac:dyDescent="0.35">
      <c r="A80" s="1">
        <v>45736</v>
      </c>
      <c r="B80" t="s">
        <v>69</v>
      </c>
      <c r="C80" t="s">
        <v>245</v>
      </c>
      <c r="D80" t="s">
        <v>246</v>
      </c>
      <c r="E80" t="s">
        <v>72</v>
      </c>
      <c r="G80" s="2">
        <v>-1711.6</v>
      </c>
      <c r="H80" s="2">
        <v>-1852484.6547999999</v>
      </c>
      <c r="J80" t="s">
        <v>132</v>
      </c>
      <c r="K80" t="s">
        <v>247</v>
      </c>
      <c r="L80" t="s">
        <v>23</v>
      </c>
      <c r="M80" t="s">
        <v>24</v>
      </c>
    </row>
    <row r="81" spans="1:14" x14ac:dyDescent="0.35">
      <c r="A81" s="1">
        <v>45719</v>
      </c>
      <c r="B81" t="s">
        <v>17</v>
      </c>
      <c r="C81" t="s">
        <v>248</v>
      </c>
      <c r="D81" t="s">
        <v>19</v>
      </c>
      <c r="E81" t="s">
        <v>30</v>
      </c>
      <c r="G81" s="2">
        <v>129952.43180000001</v>
      </c>
      <c r="H81" s="2">
        <v>-1982437.0866</v>
      </c>
      <c r="J81" t="s">
        <v>249</v>
      </c>
      <c r="K81" t="s">
        <v>250</v>
      </c>
      <c r="L81" t="s">
        <v>23</v>
      </c>
      <c r="M81" t="s">
        <v>24</v>
      </c>
      <c r="N81" s="5">
        <v>246779410425</v>
      </c>
    </row>
    <row r="82" spans="1:14" x14ac:dyDescent="0.35">
      <c r="A82" s="1">
        <v>45719</v>
      </c>
      <c r="B82" t="s">
        <v>17</v>
      </c>
      <c r="C82" t="s">
        <v>251</v>
      </c>
      <c r="D82" t="s">
        <v>19</v>
      </c>
      <c r="E82" t="s">
        <v>30</v>
      </c>
      <c r="G82" s="2">
        <v>100048.99679999999</v>
      </c>
      <c r="H82" s="2">
        <v>-2082486.0833999999</v>
      </c>
      <c r="J82" t="s">
        <v>252</v>
      </c>
      <c r="K82" t="s">
        <v>253</v>
      </c>
      <c r="L82" t="s">
        <v>23</v>
      </c>
      <c r="M82" t="s">
        <v>24</v>
      </c>
      <c r="N82" s="5">
        <v>246779410401</v>
      </c>
    </row>
    <row r="83" spans="1:14" x14ac:dyDescent="0.35">
      <c r="A83" s="1">
        <v>45719</v>
      </c>
      <c r="B83" t="s">
        <v>17</v>
      </c>
      <c r="C83" t="s">
        <v>254</v>
      </c>
      <c r="D83" t="s">
        <v>19</v>
      </c>
      <c r="E83" t="s">
        <v>30</v>
      </c>
      <c r="G83" s="2">
        <v>54789.332999999999</v>
      </c>
      <c r="H83" s="2">
        <v>-2137275.4164</v>
      </c>
      <c r="J83" t="s">
        <v>255</v>
      </c>
      <c r="K83" t="s">
        <v>256</v>
      </c>
      <c r="L83" t="s">
        <v>23</v>
      </c>
      <c r="M83" t="s">
        <v>24</v>
      </c>
      <c r="N83" s="5">
        <v>246779410376</v>
      </c>
    </row>
    <row r="84" spans="1:14" x14ac:dyDescent="0.35">
      <c r="D84" t="s">
        <v>257</v>
      </c>
      <c r="F84" s="2">
        <v>3423.2</v>
      </c>
      <c r="G84" s="2">
        <v>2140698.6164000002</v>
      </c>
      <c r="I84" t="s">
        <v>258</v>
      </c>
      <c r="J84" t="s">
        <v>259</v>
      </c>
    </row>
    <row r="85" spans="1:14" x14ac:dyDescent="0.35">
      <c r="D85" t="s">
        <v>260</v>
      </c>
      <c r="F85" s="2">
        <v>3423.2</v>
      </c>
      <c r="G85" s="2">
        <v>2140698.6164000002</v>
      </c>
      <c r="I85" t="s">
        <v>258</v>
      </c>
      <c r="J85" t="s">
        <v>259</v>
      </c>
    </row>
  </sheetData>
  <autoFilter ref="A1:U85" xr:uid="{47E05E10-56FC-440E-A1D1-D83F2DC0C4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50AE-5AD9-47DB-A9B7-BED4E47780ED}">
  <dimension ref="A1:R248"/>
  <sheetViews>
    <sheetView workbookViewId="0">
      <selection activeCell="K239" sqref="K239"/>
    </sheetView>
  </sheetViews>
  <sheetFormatPr defaultRowHeight="14.5" x14ac:dyDescent="0.35"/>
  <cols>
    <col min="1" max="1" width="14.90625" bestFit="1" customWidth="1"/>
    <col min="2" max="2" width="10.36328125" bestFit="1" customWidth="1"/>
    <col min="3" max="3" width="10.90625" bestFit="1" customWidth="1"/>
    <col min="4" max="4" width="44.54296875" customWidth="1"/>
    <col min="5" max="5" width="39" bestFit="1" customWidth="1"/>
    <col min="6" max="7" width="11.6328125" bestFit="1" customWidth="1"/>
    <col min="8" max="8" width="22.6328125" bestFit="1" customWidth="1"/>
    <col min="9" max="10" width="15.36328125" bestFit="1" customWidth="1"/>
    <col min="11" max="11" width="22.90625" bestFit="1" customWidth="1"/>
    <col min="12" max="12" width="16" bestFit="1" customWidth="1"/>
    <col min="13" max="13" width="31.54296875" bestFit="1" customWidth="1"/>
    <col min="14" max="14" width="16.453125" style="5" bestFit="1" customWidth="1"/>
    <col min="15" max="15" width="14.453125" style="5" bestFit="1" customWidth="1"/>
    <col min="16" max="17" width="16.453125" style="5" bestFit="1" customWidth="1"/>
    <col min="18" max="18" width="11.90625" style="5" bestFit="1" customWidth="1"/>
  </cols>
  <sheetData>
    <row r="1" spans="1:1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/>
      <c r="P1" s="4"/>
      <c r="Q1" s="4"/>
      <c r="R1" s="4"/>
    </row>
    <row r="2" spans="1:18" x14ac:dyDescent="0.35">
      <c r="A2" t="s">
        <v>14</v>
      </c>
      <c r="B2" t="s">
        <v>15</v>
      </c>
      <c r="D2" s="6" t="s">
        <v>16</v>
      </c>
      <c r="H2" s="2">
        <v>-2137275.4164</v>
      </c>
      <c r="K2" t="s">
        <v>256</v>
      </c>
    </row>
    <row r="3" spans="1:18" x14ac:dyDescent="0.35">
      <c r="A3" s="1">
        <v>45763</v>
      </c>
      <c r="B3" t="s">
        <v>261</v>
      </c>
      <c r="C3" t="s">
        <v>262</v>
      </c>
      <c r="D3" t="s">
        <v>19</v>
      </c>
      <c r="E3" t="s">
        <v>40</v>
      </c>
      <c r="G3" s="2">
        <v>5965.8855999999996</v>
      </c>
      <c r="H3" s="2">
        <v>-2143241.3020000001</v>
      </c>
      <c r="J3" t="s">
        <v>263</v>
      </c>
      <c r="K3" t="s">
        <v>264</v>
      </c>
      <c r="L3" t="s">
        <v>23</v>
      </c>
      <c r="M3" t="s">
        <v>24</v>
      </c>
      <c r="N3" s="5">
        <v>256779411887</v>
      </c>
    </row>
    <row r="4" spans="1:18" x14ac:dyDescent="0.35">
      <c r="A4" s="1">
        <v>45750</v>
      </c>
      <c r="B4" t="s">
        <v>261</v>
      </c>
      <c r="C4" t="s">
        <v>265</v>
      </c>
      <c r="D4" t="s">
        <v>19</v>
      </c>
      <c r="E4" t="s">
        <v>63</v>
      </c>
      <c r="G4" s="2">
        <v>146940</v>
      </c>
      <c r="H4" s="2">
        <v>-2290181.3020000001</v>
      </c>
      <c r="J4" t="s">
        <v>64</v>
      </c>
      <c r="K4" t="s">
        <v>266</v>
      </c>
      <c r="L4" t="s">
        <v>23</v>
      </c>
      <c r="M4" t="s">
        <v>24</v>
      </c>
      <c r="N4" s="5">
        <v>256779410224</v>
      </c>
    </row>
    <row r="5" spans="1:18" x14ac:dyDescent="0.35">
      <c r="A5" s="1">
        <v>45750</v>
      </c>
      <c r="B5" t="s">
        <v>267</v>
      </c>
      <c r="C5" t="s">
        <v>268</v>
      </c>
      <c r="D5" t="s">
        <v>269</v>
      </c>
      <c r="E5" t="s">
        <v>72</v>
      </c>
      <c r="F5" s="2">
        <v>1709.6</v>
      </c>
      <c r="H5" s="2">
        <v>-2288471.702</v>
      </c>
      <c r="I5" t="s">
        <v>73</v>
      </c>
      <c r="K5" t="s">
        <v>270</v>
      </c>
      <c r="L5" t="s">
        <v>75</v>
      </c>
      <c r="M5" t="s">
        <v>24</v>
      </c>
      <c r="N5" s="5">
        <v>256779410224</v>
      </c>
    </row>
    <row r="6" spans="1:18" ht="14.25" customHeight="1" x14ac:dyDescent="0.35">
      <c r="A6" s="1">
        <v>45763</v>
      </c>
      <c r="B6" t="s">
        <v>261</v>
      </c>
      <c r="C6" t="s">
        <v>271</v>
      </c>
      <c r="D6" t="s">
        <v>19</v>
      </c>
      <c r="E6" t="s">
        <v>54</v>
      </c>
      <c r="F6" s="2"/>
      <c r="G6" s="2">
        <v>7137.7507999999998</v>
      </c>
      <c r="H6" s="2">
        <v>-2295609.4528000001</v>
      </c>
      <c r="J6" t="s">
        <v>272</v>
      </c>
      <c r="K6" t="s">
        <v>273</v>
      </c>
      <c r="L6" t="s">
        <v>23</v>
      </c>
      <c r="M6" t="s">
        <v>24</v>
      </c>
      <c r="N6" s="5">
        <v>256779412020</v>
      </c>
    </row>
    <row r="7" spans="1:18" x14ac:dyDescent="0.35">
      <c r="A7" s="1">
        <v>45769</v>
      </c>
      <c r="B7" t="s">
        <v>261</v>
      </c>
      <c r="C7" t="s">
        <v>274</v>
      </c>
      <c r="D7" t="s">
        <v>19</v>
      </c>
      <c r="E7" t="s">
        <v>40</v>
      </c>
      <c r="G7" s="2">
        <v>7304.8559999999998</v>
      </c>
      <c r="H7" s="2">
        <v>-2302914.3088000002</v>
      </c>
      <c r="J7" t="s">
        <v>275</v>
      </c>
      <c r="K7" t="s">
        <v>276</v>
      </c>
      <c r="L7" t="s">
        <v>23</v>
      </c>
      <c r="M7" t="s">
        <v>24</v>
      </c>
      <c r="N7" s="5">
        <v>256779412550</v>
      </c>
    </row>
    <row r="8" spans="1:18" x14ac:dyDescent="0.35">
      <c r="A8" s="1">
        <v>45769</v>
      </c>
      <c r="B8" t="s">
        <v>261</v>
      </c>
      <c r="C8" t="s">
        <v>277</v>
      </c>
      <c r="D8" t="s">
        <v>19</v>
      </c>
      <c r="E8" t="s">
        <v>40</v>
      </c>
      <c r="G8" s="2">
        <v>4771.0860000000002</v>
      </c>
      <c r="H8" s="2">
        <v>-2307685.3947999999</v>
      </c>
      <c r="J8" t="s">
        <v>278</v>
      </c>
      <c r="K8" t="s">
        <v>279</v>
      </c>
      <c r="L8" t="s">
        <v>23</v>
      </c>
      <c r="M8" t="s">
        <v>24</v>
      </c>
      <c r="N8" s="5">
        <v>256779412582</v>
      </c>
    </row>
    <row r="9" spans="1:18" x14ac:dyDescent="0.35">
      <c r="A9" s="1">
        <v>45813</v>
      </c>
      <c r="B9" t="s">
        <v>280</v>
      </c>
      <c r="C9" t="s">
        <v>281</v>
      </c>
      <c r="D9" t="s">
        <v>282</v>
      </c>
      <c r="E9" t="s">
        <v>283</v>
      </c>
      <c r="F9" s="2">
        <v>302049.55200000003</v>
      </c>
      <c r="G9" s="2"/>
      <c r="H9" s="2">
        <v>-2005635.8428</v>
      </c>
      <c r="I9" t="s">
        <v>284</v>
      </c>
      <c r="K9" t="s">
        <v>285</v>
      </c>
      <c r="L9" t="s">
        <v>75</v>
      </c>
      <c r="M9" t="s">
        <v>24</v>
      </c>
    </row>
    <row r="10" spans="1:18" x14ac:dyDescent="0.35">
      <c r="A10" s="1">
        <v>45813</v>
      </c>
      <c r="B10" t="s">
        <v>280</v>
      </c>
      <c r="C10" t="s">
        <v>286</v>
      </c>
      <c r="D10" t="s">
        <v>287</v>
      </c>
      <c r="E10" t="s">
        <v>283</v>
      </c>
      <c r="F10" s="2">
        <v>271057.80579999997</v>
      </c>
      <c r="H10" s="2">
        <v>-1734578.037</v>
      </c>
      <c r="I10" t="s">
        <v>288</v>
      </c>
      <c r="K10" t="s">
        <v>289</v>
      </c>
      <c r="L10" t="s">
        <v>75</v>
      </c>
      <c r="M10" t="s">
        <v>24</v>
      </c>
    </row>
    <row r="11" spans="1:18" x14ac:dyDescent="0.35">
      <c r="A11" s="1">
        <v>45813</v>
      </c>
      <c r="B11" t="s">
        <v>280</v>
      </c>
      <c r="C11" t="s">
        <v>290</v>
      </c>
      <c r="D11" t="s">
        <v>291</v>
      </c>
      <c r="E11" t="s">
        <v>283</v>
      </c>
      <c r="F11" s="2">
        <v>315203.35159999999</v>
      </c>
      <c r="H11" s="2">
        <v>-1419374.6854000001</v>
      </c>
      <c r="I11" t="s">
        <v>292</v>
      </c>
      <c r="K11" t="s">
        <v>293</v>
      </c>
      <c r="L11" t="s">
        <v>75</v>
      </c>
      <c r="M11" t="s">
        <v>24</v>
      </c>
    </row>
    <row r="12" spans="1:18" x14ac:dyDescent="0.35">
      <c r="A12" s="1">
        <v>45763</v>
      </c>
      <c r="B12" t="s">
        <v>261</v>
      </c>
      <c r="C12" t="s">
        <v>294</v>
      </c>
      <c r="D12" t="s">
        <v>19</v>
      </c>
      <c r="E12" t="s">
        <v>30</v>
      </c>
      <c r="F12" s="2"/>
      <c r="G12" s="2">
        <v>38650.758199999997</v>
      </c>
      <c r="H12" s="2">
        <v>-1458025.4436000001</v>
      </c>
      <c r="J12" t="s">
        <v>295</v>
      </c>
      <c r="K12" t="s">
        <v>296</v>
      </c>
      <c r="L12" t="s">
        <v>23</v>
      </c>
      <c r="M12" t="s">
        <v>24</v>
      </c>
      <c r="N12" s="5">
        <v>256779412126</v>
      </c>
    </row>
    <row r="13" spans="1:18" x14ac:dyDescent="0.35">
      <c r="A13" s="1">
        <v>45815</v>
      </c>
      <c r="B13" t="s">
        <v>261</v>
      </c>
      <c r="C13" t="s">
        <v>297</v>
      </c>
      <c r="D13" t="s">
        <v>19</v>
      </c>
      <c r="E13" t="s">
        <v>63</v>
      </c>
      <c r="G13" s="2">
        <v>15442</v>
      </c>
      <c r="H13" s="2">
        <v>-1473467.4436000001</v>
      </c>
      <c r="J13" t="s">
        <v>298</v>
      </c>
      <c r="K13" t="s">
        <v>299</v>
      </c>
      <c r="L13" t="s">
        <v>23</v>
      </c>
      <c r="M13" t="s">
        <v>24</v>
      </c>
      <c r="N13" s="5">
        <v>256779413185</v>
      </c>
    </row>
    <row r="14" spans="1:18" x14ac:dyDescent="0.35">
      <c r="A14" s="1">
        <v>45815</v>
      </c>
      <c r="B14" t="s">
        <v>300</v>
      </c>
      <c r="C14" t="s">
        <v>301</v>
      </c>
      <c r="D14" t="s">
        <v>37</v>
      </c>
      <c r="E14" t="s">
        <v>63</v>
      </c>
      <c r="G14" s="2">
        <v>-15442</v>
      </c>
      <c r="H14" s="2">
        <v>-1458025.4436000001</v>
      </c>
      <c r="J14" t="s">
        <v>302</v>
      </c>
      <c r="K14" t="s">
        <v>296</v>
      </c>
      <c r="L14" t="s">
        <v>23</v>
      </c>
      <c r="M14" t="s">
        <v>24</v>
      </c>
      <c r="N14" s="5">
        <v>256779413185</v>
      </c>
    </row>
    <row r="15" spans="1:18" x14ac:dyDescent="0.35">
      <c r="A15" s="1">
        <v>45787</v>
      </c>
      <c r="B15" t="s">
        <v>261</v>
      </c>
      <c r="C15" t="s">
        <v>303</v>
      </c>
      <c r="D15" t="s">
        <v>19</v>
      </c>
      <c r="E15" t="s">
        <v>63</v>
      </c>
      <c r="G15" s="2">
        <v>15442</v>
      </c>
      <c r="H15" s="2">
        <v>-1473467.4436000001</v>
      </c>
      <c r="J15" t="s">
        <v>298</v>
      </c>
      <c r="K15" t="s">
        <v>299</v>
      </c>
      <c r="L15" t="s">
        <v>23</v>
      </c>
      <c r="M15" t="s">
        <v>24</v>
      </c>
      <c r="N15" s="5">
        <v>256779413185</v>
      </c>
    </row>
    <row r="16" spans="1:18" x14ac:dyDescent="0.35">
      <c r="A16" s="1">
        <v>45797</v>
      </c>
      <c r="B16" t="s">
        <v>304</v>
      </c>
      <c r="C16" t="s">
        <v>305</v>
      </c>
      <c r="D16" t="s">
        <v>19</v>
      </c>
      <c r="E16" t="s">
        <v>54</v>
      </c>
      <c r="G16" s="2">
        <v>8407</v>
      </c>
      <c r="H16" s="2">
        <v>-1481874.4436000001</v>
      </c>
      <c r="J16" t="s">
        <v>216</v>
      </c>
      <c r="K16" t="s">
        <v>306</v>
      </c>
      <c r="L16" t="s">
        <v>23</v>
      </c>
      <c r="M16" t="s">
        <v>307</v>
      </c>
      <c r="N16" s="5">
        <v>256779413847</v>
      </c>
    </row>
    <row r="17" spans="1:14" x14ac:dyDescent="0.35">
      <c r="A17" s="1">
        <v>45797</v>
      </c>
      <c r="B17" t="s">
        <v>261</v>
      </c>
      <c r="C17" t="s">
        <v>308</v>
      </c>
      <c r="D17" t="s">
        <v>19</v>
      </c>
      <c r="E17" t="s">
        <v>54</v>
      </c>
      <c r="G17" s="2">
        <v>8407</v>
      </c>
      <c r="H17" s="2">
        <v>-1490281.4436000001</v>
      </c>
      <c r="J17" t="s">
        <v>216</v>
      </c>
      <c r="K17" t="s">
        <v>309</v>
      </c>
      <c r="L17" t="s">
        <v>23</v>
      </c>
      <c r="M17" t="s">
        <v>24</v>
      </c>
      <c r="N17" s="5">
        <v>256779413841</v>
      </c>
    </row>
    <row r="18" spans="1:14" x14ac:dyDescent="0.35">
      <c r="A18" s="1">
        <v>45797</v>
      </c>
      <c r="B18" t="s">
        <v>261</v>
      </c>
      <c r="C18" t="s">
        <v>310</v>
      </c>
      <c r="D18" t="s">
        <v>19</v>
      </c>
      <c r="E18" t="s">
        <v>54</v>
      </c>
      <c r="G18" s="2">
        <v>98</v>
      </c>
      <c r="H18" s="2">
        <v>-1490379.4436000001</v>
      </c>
      <c r="K18" t="s">
        <v>309</v>
      </c>
      <c r="M18" t="s">
        <v>24</v>
      </c>
      <c r="N18" s="5">
        <v>256779413848</v>
      </c>
    </row>
    <row r="19" spans="1:14" x14ac:dyDescent="0.35">
      <c r="A19" s="1">
        <v>45787</v>
      </c>
      <c r="B19" t="s">
        <v>261</v>
      </c>
      <c r="C19" t="s">
        <v>311</v>
      </c>
      <c r="D19" t="s">
        <v>19</v>
      </c>
      <c r="E19" t="s">
        <v>54</v>
      </c>
      <c r="G19" s="2">
        <v>33734.3796</v>
      </c>
      <c r="H19" s="2">
        <v>-1524113.8232</v>
      </c>
      <c r="J19" t="s">
        <v>312</v>
      </c>
      <c r="K19" t="s">
        <v>313</v>
      </c>
      <c r="L19" t="s">
        <v>23</v>
      </c>
      <c r="M19" t="s">
        <v>24</v>
      </c>
      <c r="N19" s="5">
        <v>256779413244</v>
      </c>
    </row>
    <row r="20" spans="1:14" x14ac:dyDescent="0.35">
      <c r="A20" s="1">
        <v>45787</v>
      </c>
      <c r="B20" t="s">
        <v>261</v>
      </c>
      <c r="C20" t="s">
        <v>314</v>
      </c>
      <c r="D20" t="s">
        <v>19</v>
      </c>
      <c r="E20" t="s">
        <v>54</v>
      </c>
      <c r="G20" s="2">
        <v>8407</v>
      </c>
      <c r="H20" s="2">
        <v>-1532520.8232</v>
      </c>
      <c r="J20" t="s">
        <v>216</v>
      </c>
      <c r="K20" t="s">
        <v>315</v>
      </c>
      <c r="L20" t="s">
        <v>23</v>
      </c>
      <c r="M20" t="s">
        <v>24</v>
      </c>
      <c r="N20" s="5">
        <v>256779413231</v>
      </c>
    </row>
    <row r="21" spans="1:14" x14ac:dyDescent="0.35">
      <c r="A21" s="1">
        <v>45768</v>
      </c>
      <c r="B21" t="s">
        <v>261</v>
      </c>
      <c r="C21" t="s">
        <v>316</v>
      </c>
      <c r="D21" t="s">
        <v>19</v>
      </c>
      <c r="E21" t="s">
        <v>46</v>
      </c>
      <c r="G21" s="2">
        <v>34292.025199999996</v>
      </c>
      <c r="H21" s="2">
        <v>-1566812.8484</v>
      </c>
      <c r="J21" t="s">
        <v>317</v>
      </c>
      <c r="K21" t="s">
        <v>318</v>
      </c>
      <c r="L21" t="s">
        <v>23</v>
      </c>
      <c r="M21" t="s">
        <v>24</v>
      </c>
      <c r="N21" s="5">
        <v>256779412177</v>
      </c>
    </row>
    <row r="22" spans="1:14" x14ac:dyDescent="0.35">
      <c r="A22" s="1">
        <v>45768</v>
      </c>
      <c r="B22" t="s">
        <v>261</v>
      </c>
      <c r="C22" t="s">
        <v>319</v>
      </c>
      <c r="D22" t="s">
        <v>19</v>
      </c>
      <c r="E22" t="s">
        <v>30</v>
      </c>
      <c r="G22" s="2">
        <v>89979.092300000004</v>
      </c>
      <c r="H22" s="2">
        <v>-1656791.9406999999</v>
      </c>
      <c r="J22" t="s">
        <v>320</v>
      </c>
      <c r="K22" t="s">
        <v>321</v>
      </c>
      <c r="L22" t="s">
        <v>23</v>
      </c>
      <c r="M22" t="s">
        <v>24</v>
      </c>
      <c r="N22" s="5">
        <v>256779412142</v>
      </c>
    </row>
    <row r="23" spans="1:14" x14ac:dyDescent="0.35">
      <c r="A23" s="1">
        <v>45797</v>
      </c>
      <c r="B23" t="s">
        <v>261</v>
      </c>
      <c r="C23" t="s">
        <v>322</v>
      </c>
      <c r="D23" t="s">
        <v>19</v>
      </c>
      <c r="E23" t="s">
        <v>54</v>
      </c>
      <c r="G23" s="2">
        <v>8407</v>
      </c>
      <c r="H23" s="2">
        <v>-1665198.9406999999</v>
      </c>
      <c r="J23" t="s">
        <v>216</v>
      </c>
      <c r="K23" t="s">
        <v>323</v>
      </c>
      <c r="L23" t="s">
        <v>23</v>
      </c>
      <c r="M23" t="s">
        <v>24</v>
      </c>
      <c r="N23" s="5">
        <v>256779413847</v>
      </c>
    </row>
    <row r="24" spans="1:14" x14ac:dyDescent="0.35">
      <c r="A24" s="1">
        <v>45815</v>
      </c>
      <c r="B24" t="s">
        <v>324</v>
      </c>
      <c r="C24" t="s">
        <v>325</v>
      </c>
      <c r="D24" t="s">
        <v>37</v>
      </c>
      <c r="E24" t="s">
        <v>54</v>
      </c>
      <c r="G24" s="2">
        <v>-8407</v>
      </c>
      <c r="H24" s="2">
        <v>-1656791.9406999999</v>
      </c>
      <c r="J24" t="s">
        <v>326</v>
      </c>
      <c r="K24" t="s">
        <v>321</v>
      </c>
      <c r="L24" t="s">
        <v>23</v>
      </c>
      <c r="M24" t="s">
        <v>307</v>
      </c>
      <c r="N24" s="5">
        <v>256779413847</v>
      </c>
    </row>
    <row r="25" spans="1:14" x14ac:dyDescent="0.35">
      <c r="A25" s="1">
        <v>45815</v>
      </c>
      <c r="B25" t="s">
        <v>300</v>
      </c>
      <c r="C25" t="s">
        <v>327</v>
      </c>
      <c r="D25" t="s">
        <v>37</v>
      </c>
      <c r="E25" t="s">
        <v>54</v>
      </c>
      <c r="G25" s="2">
        <v>-98</v>
      </c>
      <c r="H25" s="2">
        <v>-1656693.9406999999</v>
      </c>
      <c r="K25" t="s">
        <v>321</v>
      </c>
      <c r="M25" t="s">
        <v>24</v>
      </c>
      <c r="N25" s="5">
        <v>256779413848</v>
      </c>
    </row>
    <row r="26" spans="1:14" x14ac:dyDescent="0.35">
      <c r="A26" s="1">
        <v>45797</v>
      </c>
      <c r="B26" t="s">
        <v>261</v>
      </c>
      <c r="C26" t="s">
        <v>328</v>
      </c>
      <c r="D26" t="s">
        <v>19</v>
      </c>
      <c r="E26" t="s">
        <v>54</v>
      </c>
      <c r="G26" s="2">
        <v>8407</v>
      </c>
      <c r="H26" s="2">
        <v>-1665100.9406999999</v>
      </c>
      <c r="J26" t="s">
        <v>216</v>
      </c>
      <c r="K26" t="s">
        <v>323</v>
      </c>
      <c r="L26" t="s">
        <v>23</v>
      </c>
      <c r="M26" t="s">
        <v>24</v>
      </c>
      <c r="N26" s="5">
        <v>256779413848</v>
      </c>
    </row>
    <row r="27" spans="1:14" x14ac:dyDescent="0.35">
      <c r="A27" s="1">
        <v>45763</v>
      </c>
      <c r="B27" t="s">
        <v>261</v>
      </c>
      <c r="C27" t="s">
        <v>329</v>
      </c>
      <c r="D27" t="s">
        <v>19</v>
      </c>
      <c r="E27" t="s">
        <v>54</v>
      </c>
      <c r="G27" s="2">
        <v>3324.1365999999998</v>
      </c>
      <c r="H27" s="2">
        <v>-1668425.0773</v>
      </c>
      <c r="J27" t="s">
        <v>330</v>
      </c>
      <c r="K27" t="s">
        <v>331</v>
      </c>
      <c r="L27" t="s">
        <v>23</v>
      </c>
      <c r="M27" t="s">
        <v>24</v>
      </c>
      <c r="N27" s="5">
        <v>256779411984</v>
      </c>
    </row>
    <row r="28" spans="1:14" x14ac:dyDescent="0.35">
      <c r="A28" s="1">
        <v>45769</v>
      </c>
      <c r="B28" t="s">
        <v>261</v>
      </c>
      <c r="C28" t="s">
        <v>332</v>
      </c>
      <c r="D28" t="s">
        <v>19</v>
      </c>
      <c r="E28" t="s">
        <v>40</v>
      </c>
      <c r="G28" s="2">
        <v>414.94470000000001</v>
      </c>
      <c r="H28" s="2">
        <v>-1668840.0220000001</v>
      </c>
      <c r="J28" t="s">
        <v>333</v>
      </c>
      <c r="K28" t="s">
        <v>334</v>
      </c>
      <c r="L28" t="s">
        <v>23</v>
      </c>
      <c r="M28" t="s">
        <v>24</v>
      </c>
      <c r="N28" s="5">
        <v>256779412657</v>
      </c>
    </row>
    <row r="29" spans="1:14" x14ac:dyDescent="0.35">
      <c r="A29" s="1">
        <v>45769</v>
      </c>
      <c r="B29" t="s">
        <v>261</v>
      </c>
      <c r="C29" t="s">
        <v>335</v>
      </c>
      <c r="D29" t="s">
        <v>19</v>
      </c>
      <c r="E29" t="s">
        <v>40</v>
      </c>
      <c r="G29" s="2">
        <v>7330.8879999999999</v>
      </c>
      <c r="H29" s="2">
        <v>-1676170.91</v>
      </c>
      <c r="J29" t="s">
        <v>275</v>
      </c>
      <c r="K29" t="s">
        <v>336</v>
      </c>
      <c r="L29" t="s">
        <v>23</v>
      </c>
      <c r="M29" t="s">
        <v>24</v>
      </c>
      <c r="N29" s="5">
        <v>256779412615</v>
      </c>
    </row>
    <row r="30" spans="1:14" x14ac:dyDescent="0.35">
      <c r="A30" s="1">
        <v>45750</v>
      </c>
      <c r="B30" t="s">
        <v>261</v>
      </c>
      <c r="C30" t="s">
        <v>337</v>
      </c>
      <c r="D30" t="s">
        <v>19</v>
      </c>
      <c r="E30" t="s">
        <v>30</v>
      </c>
      <c r="G30" s="2">
        <v>143269</v>
      </c>
      <c r="H30" s="2">
        <v>-1819439.91</v>
      </c>
      <c r="J30" t="s">
        <v>338</v>
      </c>
      <c r="K30" t="s">
        <v>339</v>
      </c>
      <c r="L30" t="s">
        <v>23</v>
      </c>
      <c r="M30" t="s">
        <v>24</v>
      </c>
      <c r="N30" s="5">
        <v>256779410006</v>
      </c>
    </row>
    <row r="31" spans="1:14" x14ac:dyDescent="0.35">
      <c r="A31" s="1">
        <v>45750</v>
      </c>
      <c r="B31" t="s">
        <v>267</v>
      </c>
      <c r="C31" t="s">
        <v>340</v>
      </c>
      <c r="D31" t="s">
        <v>341</v>
      </c>
      <c r="E31" t="s">
        <v>72</v>
      </c>
      <c r="F31" s="2">
        <v>1715.8</v>
      </c>
      <c r="G31" s="2"/>
      <c r="H31" s="2">
        <v>-1817724.11</v>
      </c>
      <c r="I31" t="s">
        <v>73</v>
      </c>
      <c r="K31" t="s">
        <v>342</v>
      </c>
      <c r="L31" t="s">
        <v>75</v>
      </c>
      <c r="M31" t="s">
        <v>24</v>
      </c>
      <c r="N31" s="5">
        <v>256779410006</v>
      </c>
    </row>
    <row r="32" spans="1:14" x14ac:dyDescent="0.35">
      <c r="A32" s="1">
        <v>45750</v>
      </c>
      <c r="B32" t="s">
        <v>261</v>
      </c>
      <c r="C32" t="s">
        <v>343</v>
      </c>
      <c r="D32" t="s">
        <v>19</v>
      </c>
      <c r="E32" t="s">
        <v>30</v>
      </c>
      <c r="F32" s="2"/>
      <c r="G32" s="2">
        <v>147473.5</v>
      </c>
      <c r="H32" s="2">
        <v>-1965197.61</v>
      </c>
      <c r="J32" t="s">
        <v>64</v>
      </c>
      <c r="K32" t="s">
        <v>344</v>
      </c>
      <c r="L32" t="s">
        <v>23</v>
      </c>
      <c r="M32" t="s">
        <v>24</v>
      </c>
      <c r="N32" s="5">
        <v>256779410012</v>
      </c>
    </row>
    <row r="33" spans="1:14" x14ac:dyDescent="0.35">
      <c r="A33" s="1">
        <v>45750</v>
      </c>
      <c r="B33" t="s">
        <v>261</v>
      </c>
      <c r="C33" t="s">
        <v>345</v>
      </c>
      <c r="D33" t="s">
        <v>19</v>
      </c>
      <c r="E33" t="s">
        <v>30</v>
      </c>
      <c r="G33" s="2">
        <v>143269</v>
      </c>
      <c r="H33" s="2">
        <v>-2108466.61</v>
      </c>
      <c r="J33" t="s">
        <v>338</v>
      </c>
      <c r="K33" t="s">
        <v>346</v>
      </c>
      <c r="L33" t="s">
        <v>23</v>
      </c>
      <c r="M33" t="s">
        <v>24</v>
      </c>
      <c r="N33" s="5">
        <v>256779410015</v>
      </c>
    </row>
    <row r="34" spans="1:14" x14ac:dyDescent="0.35">
      <c r="A34" s="1">
        <v>45750</v>
      </c>
      <c r="B34" t="s">
        <v>267</v>
      </c>
      <c r="C34" t="s">
        <v>347</v>
      </c>
      <c r="D34" t="s">
        <v>348</v>
      </c>
      <c r="E34" t="s">
        <v>72</v>
      </c>
      <c r="F34" s="2">
        <v>1715.8</v>
      </c>
      <c r="G34" s="2"/>
      <c r="H34" s="2">
        <v>-2106750.81</v>
      </c>
      <c r="I34" t="s">
        <v>73</v>
      </c>
      <c r="K34" t="s">
        <v>349</v>
      </c>
      <c r="L34" t="s">
        <v>75</v>
      </c>
      <c r="M34" t="s">
        <v>24</v>
      </c>
      <c r="N34" s="5">
        <v>256779410015</v>
      </c>
    </row>
    <row r="35" spans="1:14" x14ac:dyDescent="0.35">
      <c r="A35" s="1">
        <v>45750</v>
      </c>
      <c r="B35" t="s">
        <v>267</v>
      </c>
      <c r="C35" t="s">
        <v>350</v>
      </c>
      <c r="D35" t="s">
        <v>351</v>
      </c>
      <c r="E35" t="s">
        <v>72</v>
      </c>
      <c r="F35" s="2">
        <v>1715.8</v>
      </c>
      <c r="H35" s="2">
        <v>-2105035.0099999998</v>
      </c>
      <c r="I35" t="s">
        <v>73</v>
      </c>
      <c r="K35" t="s">
        <v>352</v>
      </c>
      <c r="L35" t="s">
        <v>75</v>
      </c>
      <c r="M35" t="s">
        <v>24</v>
      </c>
      <c r="N35" s="5">
        <v>256779410012</v>
      </c>
    </row>
    <row r="36" spans="1:14" x14ac:dyDescent="0.35">
      <c r="A36" s="1">
        <v>45821</v>
      </c>
      <c r="B36" t="s">
        <v>280</v>
      </c>
      <c r="C36" t="s">
        <v>353</v>
      </c>
      <c r="D36" t="s">
        <v>354</v>
      </c>
      <c r="E36" t="s">
        <v>355</v>
      </c>
      <c r="F36" s="2">
        <v>1075024.8446</v>
      </c>
      <c r="H36" s="2">
        <v>-1030010.1654000001</v>
      </c>
      <c r="I36" t="s">
        <v>356</v>
      </c>
      <c r="K36" t="s">
        <v>357</v>
      </c>
      <c r="L36" t="s">
        <v>75</v>
      </c>
      <c r="M36" t="s">
        <v>24</v>
      </c>
    </row>
    <row r="37" spans="1:14" x14ac:dyDescent="0.35">
      <c r="A37" s="1">
        <v>45821</v>
      </c>
      <c r="B37" t="s">
        <v>280</v>
      </c>
      <c r="C37" t="s">
        <v>358</v>
      </c>
      <c r="D37" t="s">
        <v>359</v>
      </c>
      <c r="E37" t="s">
        <v>355</v>
      </c>
      <c r="F37" s="2">
        <v>353878.0502</v>
      </c>
      <c r="H37" s="2">
        <v>-676132.1152</v>
      </c>
      <c r="K37" t="s">
        <v>357</v>
      </c>
      <c r="M37" t="s">
        <v>24</v>
      </c>
    </row>
    <row r="38" spans="1:14" x14ac:dyDescent="0.35">
      <c r="A38" s="1">
        <v>45821</v>
      </c>
      <c r="B38" t="s">
        <v>280</v>
      </c>
      <c r="C38" t="s">
        <v>358</v>
      </c>
      <c r="D38" t="s">
        <v>360</v>
      </c>
      <c r="E38" t="s">
        <v>355</v>
      </c>
      <c r="F38" s="2">
        <v>-353878.0502</v>
      </c>
      <c r="H38" s="2">
        <v>-1030010.1654000001</v>
      </c>
      <c r="K38" t="s">
        <v>357</v>
      </c>
      <c r="M38" t="s">
        <v>24</v>
      </c>
    </row>
    <row r="39" spans="1:14" x14ac:dyDescent="0.35">
      <c r="A39" s="1">
        <v>45821</v>
      </c>
      <c r="B39" t="s">
        <v>280</v>
      </c>
      <c r="C39" t="s">
        <v>361</v>
      </c>
      <c r="D39" t="s">
        <v>359</v>
      </c>
      <c r="E39" t="s">
        <v>355</v>
      </c>
      <c r="F39" s="2">
        <v>353878.0502</v>
      </c>
      <c r="H39" s="2">
        <v>-676132.1152</v>
      </c>
      <c r="I39" t="s">
        <v>362</v>
      </c>
      <c r="K39" t="s">
        <v>363</v>
      </c>
      <c r="L39" t="s">
        <v>75</v>
      </c>
      <c r="M39" t="s">
        <v>24</v>
      </c>
    </row>
    <row r="40" spans="1:14" x14ac:dyDescent="0.35">
      <c r="A40" s="1">
        <v>45821</v>
      </c>
      <c r="B40" t="s">
        <v>267</v>
      </c>
      <c r="C40" t="s">
        <v>364</v>
      </c>
      <c r="D40" t="s">
        <v>365</v>
      </c>
      <c r="E40" t="s">
        <v>355</v>
      </c>
      <c r="F40" s="2">
        <v>290.90440000000001</v>
      </c>
      <c r="H40" s="2">
        <v>-675841.2108</v>
      </c>
      <c r="I40" t="s">
        <v>366</v>
      </c>
      <c r="K40" t="s">
        <v>367</v>
      </c>
      <c r="L40" t="s">
        <v>368</v>
      </c>
      <c r="M40" t="s">
        <v>24</v>
      </c>
      <c r="N40" s="5">
        <v>246779410871</v>
      </c>
    </row>
    <row r="41" spans="1:14" x14ac:dyDescent="0.35">
      <c r="A41" s="1">
        <v>45821</v>
      </c>
      <c r="B41" t="s">
        <v>280</v>
      </c>
      <c r="C41" t="s">
        <v>361</v>
      </c>
      <c r="D41" t="s">
        <v>369</v>
      </c>
      <c r="E41" t="s">
        <v>355</v>
      </c>
      <c r="F41" s="2">
        <v>-353878.0502</v>
      </c>
      <c r="H41" s="2">
        <v>-1029719.2610000001</v>
      </c>
      <c r="I41" t="s">
        <v>370</v>
      </c>
      <c r="K41" t="s">
        <v>371</v>
      </c>
      <c r="L41" t="s">
        <v>75</v>
      </c>
      <c r="M41" t="s">
        <v>24</v>
      </c>
    </row>
    <row r="42" spans="1:14" x14ac:dyDescent="0.35">
      <c r="A42" s="1">
        <v>45821</v>
      </c>
      <c r="B42" t="s">
        <v>280</v>
      </c>
      <c r="C42" t="s">
        <v>372</v>
      </c>
      <c r="D42" t="s">
        <v>359</v>
      </c>
      <c r="E42" t="s">
        <v>355</v>
      </c>
      <c r="F42" s="2">
        <v>362187.0502</v>
      </c>
      <c r="H42" s="2">
        <v>-667532.2108</v>
      </c>
      <c r="I42" t="s">
        <v>373</v>
      </c>
      <c r="K42" t="s">
        <v>374</v>
      </c>
      <c r="L42" t="s">
        <v>75</v>
      </c>
      <c r="M42" t="s">
        <v>24</v>
      </c>
    </row>
    <row r="43" spans="1:14" x14ac:dyDescent="0.35">
      <c r="A43" s="1">
        <v>45815</v>
      </c>
      <c r="B43" t="s">
        <v>261</v>
      </c>
      <c r="C43" t="s">
        <v>375</v>
      </c>
      <c r="D43" t="s">
        <v>19</v>
      </c>
      <c r="E43" t="s">
        <v>30</v>
      </c>
      <c r="F43" s="2"/>
      <c r="G43" s="2">
        <v>103047.89</v>
      </c>
      <c r="H43" s="2">
        <v>-770580.10080000001</v>
      </c>
      <c r="J43" t="s">
        <v>376</v>
      </c>
      <c r="K43" t="s">
        <v>377</v>
      </c>
      <c r="L43" t="s">
        <v>23</v>
      </c>
      <c r="M43" t="s">
        <v>24</v>
      </c>
      <c r="N43" s="5">
        <v>256779414240</v>
      </c>
    </row>
    <row r="44" spans="1:14" x14ac:dyDescent="0.35">
      <c r="A44" s="1">
        <v>45818</v>
      </c>
      <c r="B44" t="s">
        <v>261</v>
      </c>
      <c r="C44" t="s">
        <v>378</v>
      </c>
      <c r="D44" t="s">
        <v>19</v>
      </c>
      <c r="E44" t="s">
        <v>30</v>
      </c>
      <c r="F44" s="2"/>
      <c r="G44" s="2">
        <v>31506.794000000002</v>
      </c>
      <c r="H44" s="2">
        <v>-802086.89480000001</v>
      </c>
      <c r="J44" t="s">
        <v>379</v>
      </c>
      <c r="K44" t="s">
        <v>380</v>
      </c>
      <c r="L44" t="s">
        <v>23</v>
      </c>
      <c r="M44" t="s">
        <v>24</v>
      </c>
      <c r="N44" s="5">
        <v>256779414357</v>
      </c>
    </row>
    <row r="45" spans="1:14" x14ac:dyDescent="0.35">
      <c r="A45" s="1">
        <v>45818</v>
      </c>
      <c r="B45" t="s">
        <v>261</v>
      </c>
      <c r="C45" t="s">
        <v>381</v>
      </c>
      <c r="D45" t="s">
        <v>19</v>
      </c>
      <c r="E45" t="s">
        <v>30</v>
      </c>
      <c r="G45" s="2">
        <v>90020.757199999993</v>
      </c>
      <c r="H45" s="2">
        <v>-892107.652</v>
      </c>
      <c r="J45" t="s">
        <v>382</v>
      </c>
      <c r="K45" t="s">
        <v>383</v>
      </c>
      <c r="L45" t="s">
        <v>23</v>
      </c>
      <c r="M45" t="s">
        <v>24</v>
      </c>
      <c r="N45" s="5">
        <v>256779414356</v>
      </c>
    </row>
    <row r="46" spans="1:14" x14ac:dyDescent="0.35">
      <c r="A46" s="1">
        <v>45793</v>
      </c>
      <c r="B46" t="s">
        <v>261</v>
      </c>
      <c r="C46" t="s">
        <v>384</v>
      </c>
      <c r="D46" t="s">
        <v>19</v>
      </c>
      <c r="E46" t="s">
        <v>385</v>
      </c>
      <c r="G46" s="2">
        <v>22625.7</v>
      </c>
      <c r="H46" s="2">
        <v>-914733.35199999996</v>
      </c>
      <c r="J46" t="s">
        <v>386</v>
      </c>
      <c r="K46" t="s">
        <v>387</v>
      </c>
      <c r="L46" t="s">
        <v>23</v>
      </c>
      <c r="M46" t="s">
        <v>24</v>
      </c>
      <c r="N46" s="5">
        <v>256779413256</v>
      </c>
    </row>
    <row r="47" spans="1:14" x14ac:dyDescent="0.35">
      <c r="A47" s="1">
        <v>45793</v>
      </c>
      <c r="B47" t="s">
        <v>261</v>
      </c>
      <c r="C47" t="s">
        <v>388</v>
      </c>
      <c r="D47" t="s">
        <v>19</v>
      </c>
      <c r="E47" t="s">
        <v>54</v>
      </c>
      <c r="G47" s="2">
        <v>2932.85</v>
      </c>
      <c r="H47" s="2">
        <v>-917666.20200000005</v>
      </c>
      <c r="J47" t="s">
        <v>175</v>
      </c>
      <c r="K47" t="s">
        <v>389</v>
      </c>
      <c r="L47" t="s">
        <v>23</v>
      </c>
      <c r="M47" t="s">
        <v>24</v>
      </c>
      <c r="N47" s="5">
        <v>256779413284</v>
      </c>
    </row>
    <row r="48" spans="1:14" x14ac:dyDescent="0.35">
      <c r="A48" s="1">
        <v>45812</v>
      </c>
      <c r="B48" t="s">
        <v>261</v>
      </c>
      <c r="C48" t="s">
        <v>390</v>
      </c>
      <c r="D48" t="s">
        <v>19</v>
      </c>
      <c r="E48" t="s">
        <v>54</v>
      </c>
      <c r="G48" s="2">
        <v>11403.200800000001</v>
      </c>
      <c r="H48" s="2">
        <v>-929069.40280000004</v>
      </c>
      <c r="J48" t="s">
        <v>391</v>
      </c>
      <c r="K48" t="s">
        <v>392</v>
      </c>
      <c r="L48" t="s">
        <v>23</v>
      </c>
      <c r="M48" t="s">
        <v>24</v>
      </c>
      <c r="N48" s="5">
        <v>256779414275</v>
      </c>
    </row>
    <row r="49" spans="1:14" x14ac:dyDescent="0.35">
      <c r="A49" s="1">
        <v>45827</v>
      </c>
      <c r="B49" t="s">
        <v>261</v>
      </c>
      <c r="C49" t="s">
        <v>393</v>
      </c>
      <c r="D49" t="s">
        <v>19</v>
      </c>
      <c r="E49" t="s">
        <v>54</v>
      </c>
      <c r="G49" s="2">
        <v>58444.239300000001</v>
      </c>
      <c r="H49" s="2">
        <v>-987513.64210000006</v>
      </c>
      <c r="J49" t="s">
        <v>394</v>
      </c>
      <c r="K49" t="s">
        <v>395</v>
      </c>
      <c r="L49" t="s">
        <v>23</v>
      </c>
      <c r="M49" t="s">
        <v>24</v>
      </c>
      <c r="N49" s="5">
        <v>256779414317</v>
      </c>
    </row>
    <row r="50" spans="1:14" x14ac:dyDescent="0.35">
      <c r="A50" s="1">
        <v>45813</v>
      </c>
      <c r="B50" t="s">
        <v>396</v>
      </c>
      <c r="C50" t="s">
        <v>397</v>
      </c>
      <c r="D50" t="s">
        <v>19</v>
      </c>
      <c r="E50" t="s">
        <v>30</v>
      </c>
      <c r="G50" s="2">
        <v>4868.5429000000004</v>
      </c>
      <c r="H50" s="2">
        <v>-992382.18500000006</v>
      </c>
      <c r="J50" t="s">
        <v>398</v>
      </c>
      <c r="K50" t="s">
        <v>399</v>
      </c>
      <c r="L50" t="s">
        <v>23</v>
      </c>
      <c r="M50" t="s">
        <v>307</v>
      </c>
      <c r="N50" s="5">
        <v>256779414130</v>
      </c>
    </row>
    <row r="51" spans="1:14" x14ac:dyDescent="0.35">
      <c r="A51" s="1">
        <v>45842</v>
      </c>
      <c r="B51" t="s">
        <v>396</v>
      </c>
      <c r="C51" t="s">
        <v>400</v>
      </c>
      <c r="D51" t="s">
        <v>37</v>
      </c>
      <c r="E51" t="s">
        <v>30</v>
      </c>
      <c r="G51" s="2">
        <v>-4868.5429000000004</v>
      </c>
      <c r="H51" s="2">
        <v>-987513.64210000006</v>
      </c>
      <c r="J51" t="s">
        <v>401</v>
      </c>
      <c r="K51" t="s">
        <v>395</v>
      </c>
      <c r="L51" t="s">
        <v>23</v>
      </c>
      <c r="M51" t="s">
        <v>307</v>
      </c>
      <c r="N51" s="5">
        <v>256779414130</v>
      </c>
    </row>
    <row r="52" spans="1:14" x14ac:dyDescent="0.35">
      <c r="A52" s="1">
        <v>45827</v>
      </c>
      <c r="B52" t="s">
        <v>261</v>
      </c>
      <c r="C52" t="s">
        <v>402</v>
      </c>
      <c r="D52" t="s">
        <v>19</v>
      </c>
      <c r="E52" t="s">
        <v>30</v>
      </c>
      <c r="G52" s="2">
        <v>7725</v>
      </c>
      <c r="H52" s="2">
        <v>-995238.64210000006</v>
      </c>
      <c r="J52" t="s">
        <v>403</v>
      </c>
      <c r="K52" t="s">
        <v>404</v>
      </c>
      <c r="L52" t="s">
        <v>23</v>
      </c>
      <c r="M52" t="s">
        <v>24</v>
      </c>
      <c r="N52" s="5">
        <v>246779414734</v>
      </c>
    </row>
    <row r="53" spans="1:14" x14ac:dyDescent="0.35">
      <c r="A53" s="1">
        <v>45827</v>
      </c>
      <c r="B53" t="s">
        <v>261</v>
      </c>
      <c r="C53" t="s">
        <v>405</v>
      </c>
      <c r="D53" t="s">
        <v>19</v>
      </c>
      <c r="E53" t="s">
        <v>30</v>
      </c>
      <c r="G53" s="2">
        <v>7725</v>
      </c>
      <c r="H53" s="2">
        <v>-1002963.6421000001</v>
      </c>
      <c r="J53" t="s">
        <v>403</v>
      </c>
      <c r="K53" t="s">
        <v>406</v>
      </c>
      <c r="L53" t="s">
        <v>23</v>
      </c>
      <c r="M53" t="s">
        <v>24</v>
      </c>
      <c r="N53" s="5">
        <v>246779414733</v>
      </c>
    </row>
    <row r="54" spans="1:14" x14ac:dyDescent="0.35">
      <c r="A54" s="1">
        <v>45827</v>
      </c>
      <c r="B54" t="s">
        <v>261</v>
      </c>
      <c r="C54" t="s">
        <v>407</v>
      </c>
      <c r="D54" t="s">
        <v>19</v>
      </c>
      <c r="E54" t="s">
        <v>30</v>
      </c>
      <c r="G54" s="2">
        <v>7725</v>
      </c>
      <c r="H54" s="2">
        <v>-1010688.6421000001</v>
      </c>
      <c r="J54" t="s">
        <v>403</v>
      </c>
      <c r="K54" t="s">
        <v>408</v>
      </c>
      <c r="L54" t="s">
        <v>23</v>
      </c>
      <c r="M54" t="s">
        <v>24</v>
      </c>
      <c r="N54" s="5">
        <v>246779414732</v>
      </c>
    </row>
    <row r="55" spans="1:14" x14ac:dyDescent="0.35">
      <c r="A55" s="1">
        <v>45827</v>
      </c>
      <c r="B55" t="s">
        <v>261</v>
      </c>
      <c r="C55" t="s">
        <v>409</v>
      </c>
      <c r="D55" t="s">
        <v>19</v>
      </c>
      <c r="E55" t="s">
        <v>30</v>
      </c>
      <c r="G55" s="2">
        <v>7725</v>
      </c>
      <c r="H55" s="2">
        <v>-1018413.6421000001</v>
      </c>
      <c r="J55" t="s">
        <v>403</v>
      </c>
      <c r="K55" t="s">
        <v>410</v>
      </c>
      <c r="L55" t="s">
        <v>23</v>
      </c>
      <c r="M55" t="s">
        <v>24</v>
      </c>
      <c r="N55" s="5">
        <v>246779414731</v>
      </c>
    </row>
    <row r="56" spans="1:14" x14ac:dyDescent="0.35">
      <c r="A56" s="1">
        <v>45854</v>
      </c>
      <c r="B56" t="s">
        <v>300</v>
      </c>
      <c r="C56" t="s">
        <v>411</v>
      </c>
      <c r="D56" t="s">
        <v>37</v>
      </c>
      <c r="E56" t="s">
        <v>30</v>
      </c>
      <c r="G56" s="2">
        <v>-7725</v>
      </c>
      <c r="H56" s="2">
        <v>-1010688.6421000001</v>
      </c>
      <c r="J56" t="s">
        <v>412</v>
      </c>
      <c r="K56" t="s">
        <v>408</v>
      </c>
      <c r="L56" t="s">
        <v>23</v>
      </c>
      <c r="M56" t="s">
        <v>24</v>
      </c>
      <c r="N56" s="5">
        <v>246779414734</v>
      </c>
    </row>
    <row r="57" spans="1:14" x14ac:dyDescent="0.35">
      <c r="A57" s="1">
        <v>45854</v>
      </c>
      <c r="B57" t="s">
        <v>300</v>
      </c>
      <c r="C57" t="s">
        <v>413</v>
      </c>
      <c r="D57" t="s">
        <v>37</v>
      </c>
      <c r="E57" t="s">
        <v>30</v>
      </c>
      <c r="G57" s="2">
        <v>-7725</v>
      </c>
      <c r="H57" s="2">
        <v>-1002963.6421000001</v>
      </c>
      <c r="J57" t="s">
        <v>412</v>
      </c>
      <c r="K57" t="s">
        <v>406</v>
      </c>
      <c r="L57" t="s">
        <v>23</v>
      </c>
      <c r="M57" t="s">
        <v>24</v>
      </c>
      <c r="N57" s="5">
        <v>246779414733</v>
      </c>
    </row>
    <row r="58" spans="1:14" x14ac:dyDescent="0.35">
      <c r="A58" s="1">
        <v>45854</v>
      </c>
      <c r="B58" t="s">
        <v>300</v>
      </c>
      <c r="C58" t="s">
        <v>414</v>
      </c>
      <c r="D58" t="s">
        <v>37</v>
      </c>
      <c r="E58" t="s">
        <v>30</v>
      </c>
      <c r="G58" s="2">
        <v>-7725</v>
      </c>
      <c r="H58" s="2">
        <v>-995238.64210000006</v>
      </c>
      <c r="J58" t="s">
        <v>412</v>
      </c>
      <c r="K58" t="s">
        <v>404</v>
      </c>
      <c r="L58" t="s">
        <v>23</v>
      </c>
      <c r="M58" t="s">
        <v>24</v>
      </c>
      <c r="N58" s="5">
        <v>246779414732</v>
      </c>
    </row>
    <row r="59" spans="1:14" x14ac:dyDescent="0.35">
      <c r="A59" s="1">
        <v>45854</v>
      </c>
      <c r="B59" t="s">
        <v>300</v>
      </c>
      <c r="C59" t="s">
        <v>415</v>
      </c>
      <c r="D59" t="s">
        <v>37</v>
      </c>
      <c r="E59" t="s">
        <v>30</v>
      </c>
      <c r="G59" s="2">
        <v>-7725</v>
      </c>
      <c r="H59" s="2">
        <v>-987513.64210000006</v>
      </c>
      <c r="J59" t="s">
        <v>412</v>
      </c>
      <c r="K59" t="s">
        <v>395</v>
      </c>
      <c r="L59" t="s">
        <v>23</v>
      </c>
      <c r="M59" t="s">
        <v>24</v>
      </c>
      <c r="N59" s="5">
        <v>246779414731</v>
      </c>
    </row>
    <row r="60" spans="1:14" x14ac:dyDescent="0.35">
      <c r="A60" s="1">
        <v>45827</v>
      </c>
      <c r="B60" t="s">
        <v>261</v>
      </c>
      <c r="C60" t="s">
        <v>416</v>
      </c>
      <c r="D60" t="s">
        <v>19</v>
      </c>
      <c r="E60" t="s">
        <v>30</v>
      </c>
      <c r="G60" s="2">
        <v>7725</v>
      </c>
      <c r="H60" s="2">
        <v>-995238.64210000006</v>
      </c>
      <c r="J60" t="s">
        <v>403</v>
      </c>
      <c r="K60" t="s">
        <v>404</v>
      </c>
      <c r="L60" t="s">
        <v>23</v>
      </c>
      <c r="M60" t="s">
        <v>24</v>
      </c>
      <c r="N60" s="5">
        <v>246779414734</v>
      </c>
    </row>
    <row r="61" spans="1:14" x14ac:dyDescent="0.35">
      <c r="A61" s="1">
        <v>45827</v>
      </c>
      <c r="B61" t="s">
        <v>261</v>
      </c>
      <c r="C61" t="s">
        <v>417</v>
      </c>
      <c r="D61" t="s">
        <v>19</v>
      </c>
      <c r="E61" t="s">
        <v>30</v>
      </c>
      <c r="G61" s="2">
        <v>7725</v>
      </c>
      <c r="H61" s="2">
        <v>-1002963.6421000001</v>
      </c>
      <c r="J61" t="s">
        <v>403</v>
      </c>
      <c r="K61" t="s">
        <v>406</v>
      </c>
      <c r="L61" t="s">
        <v>23</v>
      </c>
      <c r="M61" t="s">
        <v>24</v>
      </c>
      <c r="N61" s="5">
        <v>246779414733</v>
      </c>
    </row>
    <row r="62" spans="1:14" x14ac:dyDescent="0.35">
      <c r="A62" s="1">
        <v>45827</v>
      </c>
      <c r="B62" t="s">
        <v>261</v>
      </c>
      <c r="C62" t="s">
        <v>418</v>
      </c>
      <c r="D62" t="s">
        <v>19</v>
      </c>
      <c r="E62" t="s">
        <v>30</v>
      </c>
      <c r="G62" s="2">
        <v>7725</v>
      </c>
      <c r="H62" s="2">
        <v>-1010688.6421000001</v>
      </c>
      <c r="J62" t="s">
        <v>403</v>
      </c>
      <c r="K62" t="s">
        <v>408</v>
      </c>
      <c r="L62" t="s">
        <v>23</v>
      </c>
      <c r="M62" t="s">
        <v>24</v>
      </c>
      <c r="N62" s="5">
        <v>246779414732</v>
      </c>
    </row>
    <row r="63" spans="1:14" x14ac:dyDescent="0.35">
      <c r="A63" s="1">
        <v>45827</v>
      </c>
      <c r="B63" t="s">
        <v>261</v>
      </c>
      <c r="C63" t="s">
        <v>419</v>
      </c>
      <c r="D63" t="s">
        <v>19</v>
      </c>
      <c r="E63" t="s">
        <v>30</v>
      </c>
      <c r="G63" s="2">
        <v>7725</v>
      </c>
      <c r="H63" s="2">
        <v>-1018413.6421000001</v>
      </c>
      <c r="J63" t="s">
        <v>403</v>
      </c>
      <c r="K63" t="s">
        <v>410</v>
      </c>
      <c r="L63" t="s">
        <v>23</v>
      </c>
      <c r="M63" t="s">
        <v>24</v>
      </c>
      <c r="N63" s="5">
        <v>246779414731</v>
      </c>
    </row>
    <row r="64" spans="1:14" x14ac:dyDescent="0.35">
      <c r="A64" s="1">
        <v>45821</v>
      </c>
      <c r="B64" t="s">
        <v>261</v>
      </c>
      <c r="C64" t="s">
        <v>420</v>
      </c>
      <c r="D64" t="s">
        <v>19</v>
      </c>
      <c r="E64" t="s">
        <v>54</v>
      </c>
      <c r="G64" s="2">
        <v>16823</v>
      </c>
      <c r="H64" s="2">
        <v>-1035236.6421000001</v>
      </c>
      <c r="J64" t="s">
        <v>421</v>
      </c>
      <c r="K64" t="s">
        <v>422</v>
      </c>
      <c r="L64" t="s">
        <v>23</v>
      </c>
      <c r="M64" t="s">
        <v>24</v>
      </c>
      <c r="N64" s="5">
        <v>256779414341</v>
      </c>
    </row>
    <row r="65" spans="1:14" x14ac:dyDescent="0.35">
      <c r="A65" s="1">
        <v>45768</v>
      </c>
      <c r="B65" t="s">
        <v>261</v>
      </c>
      <c r="C65" t="s">
        <v>423</v>
      </c>
      <c r="D65" t="s">
        <v>19</v>
      </c>
      <c r="E65" t="s">
        <v>46</v>
      </c>
      <c r="G65" s="2">
        <v>34308.340400000001</v>
      </c>
      <c r="H65" s="2">
        <v>-1069544.9824999999</v>
      </c>
      <c r="J65" t="s">
        <v>317</v>
      </c>
      <c r="K65" t="s">
        <v>424</v>
      </c>
      <c r="L65" t="s">
        <v>23</v>
      </c>
      <c r="M65" t="s">
        <v>24</v>
      </c>
      <c r="N65" s="5">
        <v>256779412177</v>
      </c>
    </row>
    <row r="66" spans="1:14" x14ac:dyDescent="0.35">
      <c r="A66" s="1">
        <v>45768</v>
      </c>
      <c r="B66" t="s">
        <v>261</v>
      </c>
      <c r="C66" t="s">
        <v>425</v>
      </c>
      <c r="D66" t="s">
        <v>19</v>
      </c>
      <c r="E66" t="s">
        <v>30</v>
      </c>
      <c r="G66" s="2">
        <v>90021.7071</v>
      </c>
      <c r="H66" s="2">
        <v>-1159566.6895999999</v>
      </c>
      <c r="J66" t="s">
        <v>320</v>
      </c>
      <c r="K66" t="s">
        <v>426</v>
      </c>
      <c r="L66" t="s">
        <v>23</v>
      </c>
      <c r="M66" t="s">
        <v>24</v>
      </c>
      <c r="N66" s="5">
        <v>256779412142</v>
      </c>
    </row>
    <row r="67" spans="1:14" x14ac:dyDescent="0.35">
      <c r="A67" s="1">
        <v>45854</v>
      </c>
      <c r="B67" t="s">
        <v>300</v>
      </c>
      <c r="C67" t="s">
        <v>427</v>
      </c>
      <c r="D67" t="s">
        <v>37</v>
      </c>
      <c r="E67" t="s">
        <v>46</v>
      </c>
      <c r="G67" s="2">
        <v>-34308.340400000001</v>
      </c>
      <c r="H67" s="2">
        <v>-1125258.3492000001</v>
      </c>
      <c r="J67" t="s">
        <v>428</v>
      </c>
      <c r="K67" t="s">
        <v>429</v>
      </c>
      <c r="L67" t="s">
        <v>23</v>
      </c>
      <c r="M67" t="s">
        <v>24</v>
      </c>
      <c r="N67" s="5">
        <v>256779412177</v>
      </c>
    </row>
    <row r="68" spans="1:14" x14ac:dyDescent="0.35">
      <c r="A68" s="1">
        <v>45854</v>
      </c>
      <c r="B68" t="s">
        <v>300</v>
      </c>
      <c r="C68" t="s">
        <v>430</v>
      </c>
      <c r="D68" t="s">
        <v>37</v>
      </c>
      <c r="E68" t="s">
        <v>30</v>
      </c>
      <c r="G68" s="2">
        <v>-90021.7071</v>
      </c>
      <c r="H68" s="2">
        <v>-1035236.6421000001</v>
      </c>
      <c r="J68" t="s">
        <v>431</v>
      </c>
      <c r="K68" t="s">
        <v>422</v>
      </c>
      <c r="L68" t="s">
        <v>23</v>
      </c>
      <c r="M68" t="s">
        <v>24</v>
      </c>
      <c r="N68" s="5">
        <v>256779412142</v>
      </c>
    </row>
    <row r="69" spans="1:14" x14ac:dyDescent="0.35">
      <c r="A69" s="1">
        <v>45856</v>
      </c>
      <c r="B69" t="s">
        <v>280</v>
      </c>
      <c r="C69" t="s">
        <v>432</v>
      </c>
      <c r="D69" t="s">
        <v>433</v>
      </c>
      <c r="E69" t="s">
        <v>434</v>
      </c>
      <c r="F69" s="2">
        <v>319981.4313</v>
      </c>
      <c r="G69" s="2"/>
      <c r="H69" s="2">
        <v>-715255.2108</v>
      </c>
      <c r="I69" t="s">
        <v>435</v>
      </c>
      <c r="K69" t="s">
        <v>436</v>
      </c>
      <c r="L69" t="s">
        <v>75</v>
      </c>
      <c r="M69" t="s">
        <v>24</v>
      </c>
    </row>
    <row r="70" spans="1:14" x14ac:dyDescent="0.35">
      <c r="A70" s="1">
        <v>45856</v>
      </c>
      <c r="B70" t="s">
        <v>280</v>
      </c>
      <c r="C70" t="s">
        <v>432</v>
      </c>
      <c r="D70" t="s">
        <v>437</v>
      </c>
      <c r="E70" t="s">
        <v>434</v>
      </c>
      <c r="F70" s="2">
        <v>-319981.4313</v>
      </c>
      <c r="G70" s="2"/>
      <c r="H70" s="2">
        <v>-1035236.6421000001</v>
      </c>
      <c r="I70" t="s">
        <v>438</v>
      </c>
      <c r="K70" t="s">
        <v>422</v>
      </c>
      <c r="L70" t="s">
        <v>75</v>
      </c>
      <c r="M70" t="s">
        <v>24</v>
      </c>
    </row>
    <row r="71" spans="1:14" x14ac:dyDescent="0.35">
      <c r="A71" s="1">
        <v>45856</v>
      </c>
      <c r="B71" t="s">
        <v>280</v>
      </c>
      <c r="C71" t="s">
        <v>439</v>
      </c>
      <c r="D71" t="s">
        <v>433</v>
      </c>
      <c r="E71" t="s">
        <v>434</v>
      </c>
      <c r="F71" s="2">
        <v>319981.4313</v>
      </c>
      <c r="H71" s="2">
        <v>-715255.2108</v>
      </c>
      <c r="I71" t="s">
        <v>435</v>
      </c>
      <c r="K71" t="s">
        <v>436</v>
      </c>
      <c r="L71" t="s">
        <v>75</v>
      </c>
      <c r="M71" t="s">
        <v>24</v>
      </c>
    </row>
    <row r="72" spans="1:14" x14ac:dyDescent="0.35">
      <c r="A72" s="1">
        <v>45827</v>
      </c>
      <c r="B72" t="s">
        <v>261</v>
      </c>
      <c r="C72" t="s">
        <v>440</v>
      </c>
      <c r="D72" t="s">
        <v>19</v>
      </c>
      <c r="E72" t="s">
        <v>30</v>
      </c>
      <c r="F72" s="2"/>
      <c r="G72" s="2">
        <v>7758</v>
      </c>
      <c r="H72" s="2">
        <v>-723013.2108</v>
      </c>
      <c r="J72" t="s">
        <v>403</v>
      </c>
      <c r="K72" t="s">
        <v>441</v>
      </c>
      <c r="L72" t="s">
        <v>23</v>
      </c>
      <c r="M72" t="s">
        <v>24</v>
      </c>
      <c r="N72" s="5">
        <v>256779414735</v>
      </c>
    </row>
    <row r="73" spans="1:14" x14ac:dyDescent="0.35">
      <c r="A73" s="1">
        <v>45762</v>
      </c>
      <c r="B73" t="s">
        <v>261</v>
      </c>
      <c r="C73" t="s">
        <v>442</v>
      </c>
      <c r="D73" t="s">
        <v>19</v>
      </c>
      <c r="E73" t="s">
        <v>443</v>
      </c>
      <c r="F73" s="2"/>
      <c r="G73" s="2">
        <v>13942.089</v>
      </c>
      <c r="H73" s="2">
        <v>-736955.29980000004</v>
      </c>
      <c r="J73" t="s">
        <v>444</v>
      </c>
      <c r="K73" t="s">
        <v>445</v>
      </c>
      <c r="L73" t="s">
        <v>23</v>
      </c>
      <c r="M73" t="s">
        <v>24</v>
      </c>
      <c r="N73" s="5">
        <v>256779411152</v>
      </c>
    </row>
    <row r="74" spans="1:14" x14ac:dyDescent="0.35">
      <c r="A74" s="1">
        <v>45762</v>
      </c>
      <c r="B74" t="s">
        <v>261</v>
      </c>
      <c r="C74" t="s">
        <v>446</v>
      </c>
      <c r="D74" t="s">
        <v>19</v>
      </c>
      <c r="E74" t="s">
        <v>219</v>
      </c>
      <c r="G74" s="2">
        <v>2251.0369999999998</v>
      </c>
      <c r="H74" s="2">
        <v>-739206.33680000005</v>
      </c>
      <c r="J74" t="s">
        <v>447</v>
      </c>
      <c r="K74" t="s">
        <v>448</v>
      </c>
      <c r="L74" t="s">
        <v>23</v>
      </c>
      <c r="M74" t="s">
        <v>24</v>
      </c>
      <c r="N74" s="5">
        <v>256779411153</v>
      </c>
    </row>
    <row r="75" spans="1:14" x14ac:dyDescent="0.35">
      <c r="A75" s="1">
        <v>45762</v>
      </c>
      <c r="B75" t="s">
        <v>261</v>
      </c>
      <c r="C75" t="s">
        <v>449</v>
      </c>
      <c r="D75" t="s">
        <v>19</v>
      </c>
      <c r="E75" t="s">
        <v>219</v>
      </c>
      <c r="G75" s="2">
        <v>7146.7030000000004</v>
      </c>
      <c r="H75" s="2">
        <v>-746353.03980000003</v>
      </c>
      <c r="J75" t="s">
        <v>450</v>
      </c>
      <c r="K75" t="s">
        <v>451</v>
      </c>
      <c r="L75" t="s">
        <v>23</v>
      </c>
      <c r="M75" t="s">
        <v>24</v>
      </c>
      <c r="N75" s="5">
        <v>256779411154</v>
      </c>
    </row>
    <row r="76" spans="1:14" x14ac:dyDescent="0.35">
      <c r="A76" s="1">
        <v>45762</v>
      </c>
      <c r="B76" t="s">
        <v>261</v>
      </c>
      <c r="C76" t="s">
        <v>452</v>
      </c>
      <c r="D76" t="s">
        <v>19</v>
      </c>
      <c r="E76" t="s">
        <v>453</v>
      </c>
      <c r="G76" s="2">
        <v>3129.6950000000002</v>
      </c>
      <c r="H76" s="2">
        <v>-749482.73479999998</v>
      </c>
      <c r="J76" t="s">
        <v>454</v>
      </c>
      <c r="K76" t="s">
        <v>455</v>
      </c>
      <c r="L76" t="s">
        <v>23</v>
      </c>
      <c r="M76" t="s">
        <v>24</v>
      </c>
      <c r="N76" s="5">
        <v>256779411155</v>
      </c>
    </row>
    <row r="77" spans="1:14" x14ac:dyDescent="0.35">
      <c r="A77" s="1">
        <v>45762</v>
      </c>
      <c r="B77" t="s">
        <v>261</v>
      </c>
      <c r="C77" t="s">
        <v>456</v>
      </c>
      <c r="D77" t="s">
        <v>19</v>
      </c>
      <c r="E77" t="s">
        <v>453</v>
      </c>
      <c r="G77" s="2">
        <v>1715.9065000000001</v>
      </c>
      <c r="H77" s="2">
        <v>-751198.64130000002</v>
      </c>
      <c r="J77" t="s">
        <v>457</v>
      </c>
      <c r="K77" t="s">
        <v>458</v>
      </c>
      <c r="L77" t="s">
        <v>23</v>
      </c>
      <c r="M77" t="s">
        <v>24</v>
      </c>
      <c r="N77" s="5">
        <v>256779411156</v>
      </c>
    </row>
    <row r="78" spans="1:14" x14ac:dyDescent="0.35">
      <c r="A78" s="1">
        <v>45762</v>
      </c>
      <c r="B78" t="s">
        <v>261</v>
      </c>
      <c r="C78" t="s">
        <v>459</v>
      </c>
      <c r="D78" t="s">
        <v>19</v>
      </c>
      <c r="E78" t="s">
        <v>453</v>
      </c>
      <c r="G78" s="2">
        <v>9866.4959999999992</v>
      </c>
      <c r="H78" s="2">
        <v>-761065.13729999994</v>
      </c>
      <c r="J78" t="s">
        <v>460</v>
      </c>
      <c r="K78" t="s">
        <v>461</v>
      </c>
      <c r="L78" t="s">
        <v>23</v>
      </c>
      <c r="M78" t="s">
        <v>24</v>
      </c>
      <c r="N78" s="5">
        <v>256779411157</v>
      </c>
    </row>
    <row r="79" spans="1:14" x14ac:dyDescent="0.35">
      <c r="A79" s="1">
        <v>45762</v>
      </c>
      <c r="B79" t="s">
        <v>261</v>
      </c>
      <c r="C79" t="s">
        <v>462</v>
      </c>
      <c r="D79" t="s">
        <v>19</v>
      </c>
      <c r="E79" t="s">
        <v>453</v>
      </c>
      <c r="G79" s="2">
        <v>1866.1</v>
      </c>
      <c r="H79" s="2">
        <v>-762931.23730000004</v>
      </c>
      <c r="J79" t="s">
        <v>463</v>
      </c>
      <c r="K79" t="s">
        <v>464</v>
      </c>
      <c r="L79" t="s">
        <v>23</v>
      </c>
      <c r="M79" t="s">
        <v>24</v>
      </c>
      <c r="N79" s="5">
        <v>256779411565</v>
      </c>
    </row>
    <row r="80" spans="1:14" x14ac:dyDescent="0.35">
      <c r="A80" s="1">
        <v>45762</v>
      </c>
      <c r="B80" t="s">
        <v>261</v>
      </c>
      <c r="C80" t="s">
        <v>465</v>
      </c>
      <c r="D80" t="s">
        <v>19</v>
      </c>
      <c r="E80" t="s">
        <v>453</v>
      </c>
      <c r="G80" s="2">
        <v>372.82</v>
      </c>
      <c r="H80" s="2">
        <v>-763304.05729999999</v>
      </c>
      <c r="J80" t="s">
        <v>466</v>
      </c>
      <c r="K80" t="s">
        <v>467</v>
      </c>
      <c r="L80" t="s">
        <v>23</v>
      </c>
      <c r="M80" t="s">
        <v>24</v>
      </c>
      <c r="N80" s="5">
        <v>256779411566</v>
      </c>
    </row>
    <row r="81" spans="1:14" x14ac:dyDescent="0.35">
      <c r="A81" s="1">
        <v>45762</v>
      </c>
      <c r="B81" t="s">
        <v>261</v>
      </c>
      <c r="C81" t="s">
        <v>468</v>
      </c>
      <c r="D81" t="s">
        <v>19</v>
      </c>
      <c r="E81" t="s">
        <v>453</v>
      </c>
      <c r="G81" s="2">
        <v>495.452</v>
      </c>
      <c r="H81" s="2">
        <v>-763799.50930000003</v>
      </c>
      <c r="J81" t="s">
        <v>469</v>
      </c>
      <c r="K81" t="s">
        <v>470</v>
      </c>
      <c r="L81" t="s">
        <v>23</v>
      </c>
      <c r="M81" t="s">
        <v>24</v>
      </c>
      <c r="N81" s="5">
        <v>256779411567</v>
      </c>
    </row>
    <row r="82" spans="1:14" x14ac:dyDescent="0.35">
      <c r="A82" s="1">
        <v>45762</v>
      </c>
      <c r="B82" t="s">
        <v>261</v>
      </c>
      <c r="C82" t="s">
        <v>471</v>
      </c>
      <c r="D82" t="s">
        <v>19</v>
      </c>
      <c r="E82" t="s">
        <v>453</v>
      </c>
      <c r="G82">
        <v>68.239999999999995</v>
      </c>
      <c r="H82" s="2">
        <v>-763867.74930000002</v>
      </c>
      <c r="J82" t="s">
        <v>472</v>
      </c>
      <c r="K82" t="s">
        <v>473</v>
      </c>
      <c r="L82" t="s">
        <v>23</v>
      </c>
      <c r="M82" t="s">
        <v>24</v>
      </c>
      <c r="N82" s="5">
        <v>256779411568</v>
      </c>
    </row>
    <row r="83" spans="1:14" x14ac:dyDescent="0.35">
      <c r="A83" s="1">
        <v>45762</v>
      </c>
      <c r="B83" t="s">
        <v>261</v>
      </c>
      <c r="C83" t="s">
        <v>474</v>
      </c>
      <c r="D83" t="s">
        <v>19</v>
      </c>
      <c r="E83" t="s">
        <v>453</v>
      </c>
      <c r="G83" s="2">
        <v>1174.7175</v>
      </c>
      <c r="H83" s="2">
        <v>-765042.46680000005</v>
      </c>
      <c r="J83" t="s">
        <v>475</v>
      </c>
      <c r="K83" t="s">
        <v>476</v>
      </c>
      <c r="L83" t="s">
        <v>23</v>
      </c>
      <c r="M83" t="s">
        <v>24</v>
      </c>
      <c r="N83" s="5">
        <v>256779411569</v>
      </c>
    </row>
    <row r="84" spans="1:14" x14ac:dyDescent="0.35">
      <c r="A84" s="1">
        <v>45762</v>
      </c>
      <c r="B84" t="s">
        <v>261</v>
      </c>
      <c r="C84" t="s">
        <v>477</v>
      </c>
      <c r="D84" t="s">
        <v>19</v>
      </c>
      <c r="E84" t="s">
        <v>453</v>
      </c>
      <c r="G84" s="2">
        <v>1539.8824999999999</v>
      </c>
      <c r="H84" s="2">
        <v>-766582.3493</v>
      </c>
      <c r="J84" t="s">
        <v>478</v>
      </c>
      <c r="K84" t="s">
        <v>479</v>
      </c>
      <c r="L84" t="s">
        <v>23</v>
      </c>
      <c r="M84" t="s">
        <v>24</v>
      </c>
      <c r="N84" s="5">
        <v>256779411570</v>
      </c>
    </row>
    <row r="85" spans="1:14" x14ac:dyDescent="0.35">
      <c r="A85" s="1">
        <v>45762</v>
      </c>
      <c r="B85" t="s">
        <v>261</v>
      </c>
      <c r="C85" t="s">
        <v>480</v>
      </c>
      <c r="D85" t="s">
        <v>19</v>
      </c>
      <c r="E85" t="s">
        <v>453</v>
      </c>
      <c r="G85" s="2">
        <v>1811.7080000000001</v>
      </c>
      <c r="H85" s="2">
        <v>-768394.05729999999</v>
      </c>
      <c r="J85" t="s">
        <v>481</v>
      </c>
      <c r="K85" t="s">
        <v>482</v>
      </c>
      <c r="L85" t="s">
        <v>23</v>
      </c>
      <c r="M85" t="s">
        <v>24</v>
      </c>
      <c r="N85" s="5">
        <v>256779411571</v>
      </c>
    </row>
    <row r="86" spans="1:14" x14ac:dyDescent="0.35">
      <c r="A86" s="1">
        <v>45762</v>
      </c>
      <c r="B86" t="s">
        <v>261</v>
      </c>
      <c r="C86" t="s">
        <v>483</v>
      </c>
      <c r="D86" t="s">
        <v>19</v>
      </c>
      <c r="E86" t="s">
        <v>453</v>
      </c>
      <c r="G86" s="2">
        <v>167.5035</v>
      </c>
      <c r="H86" s="2">
        <v>-768561.56079999998</v>
      </c>
      <c r="J86" t="s">
        <v>484</v>
      </c>
      <c r="K86" t="s">
        <v>485</v>
      </c>
      <c r="L86" t="s">
        <v>23</v>
      </c>
      <c r="M86" t="s">
        <v>24</v>
      </c>
      <c r="N86" s="5">
        <v>256779411572</v>
      </c>
    </row>
    <row r="87" spans="1:14" x14ac:dyDescent="0.35">
      <c r="A87" s="1">
        <v>45867</v>
      </c>
      <c r="B87" t="s">
        <v>261</v>
      </c>
      <c r="C87" t="s">
        <v>486</v>
      </c>
      <c r="D87" t="s">
        <v>19</v>
      </c>
      <c r="E87" t="s">
        <v>453</v>
      </c>
      <c r="G87" s="2">
        <v>2053.3755000000001</v>
      </c>
      <c r="H87" s="2">
        <v>-770614.93629999994</v>
      </c>
      <c r="J87" t="s">
        <v>487</v>
      </c>
      <c r="K87" t="s">
        <v>488</v>
      </c>
      <c r="L87" t="s">
        <v>23</v>
      </c>
      <c r="M87" t="s">
        <v>24</v>
      </c>
      <c r="N87" s="5">
        <v>256779411573</v>
      </c>
    </row>
    <row r="88" spans="1:14" x14ac:dyDescent="0.35">
      <c r="A88" s="1">
        <v>45762</v>
      </c>
      <c r="B88" t="s">
        <v>261</v>
      </c>
      <c r="C88" t="s">
        <v>489</v>
      </c>
      <c r="D88" t="s">
        <v>19</v>
      </c>
      <c r="E88" t="s">
        <v>453</v>
      </c>
      <c r="G88" s="2">
        <v>1247.2850000000001</v>
      </c>
      <c r="H88" s="2">
        <v>-771862.22129999998</v>
      </c>
      <c r="J88" t="s">
        <v>490</v>
      </c>
      <c r="K88" t="s">
        <v>491</v>
      </c>
      <c r="L88" t="s">
        <v>23</v>
      </c>
      <c r="M88" t="s">
        <v>24</v>
      </c>
      <c r="N88" s="5">
        <v>256779411574</v>
      </c>
    </row>
    <row r="89" spans="1:14" x14ac:dyDescent="0.35">
      <c r="A89" s="1">
        <v>45762</v>
      </c>
      <c r="B89" t="s">
        <v>261</v>
      </c>
      <c r="C89" t="s">
        <v>492</v>
      </c>
      <c r="D89" t="s">
        <v>19</v>
      </c>
      <c r="E89" t="s">
        <v>453</v>
      </c>
      <c r="G89" s="2">
        <v>1895.3924999999999</v>
      </c>
      <c r="H89" s="2">
        <v>-773757.61380000005</v>
      </c>
      <c r="J89" t="s">
        <v>493</v>
      </c>
      <c r="K89" t="s">
        <v>494</v>
      </c>
      <c r="L89" t="s">
        <v>23</v>
      </c>
      <c r="M89" t="s">
        <v>24</v>
      </c>
      <c r="N89" s="5">
        <v>256779411575</v>
      </c>
    </row>
    <row r="90" spans="1:14" x14ac:dyDescent="0.35">
      <c r="A90" s="1">
        <v>45762</v>
      </c>
      <c r="B90" t="s">
        <v>261</v>
      </c>
      <c r="C90" t="s">
        <v>495</v>
      </c>
      <c r="D90" t="s">
        <v>19</v>
      </c>
      <c r="E90" t="s">
        <v>453</v>
      </c>
      <c r="G90" s="2">
        <v>1825.556</v>
      </c>
      <c r="H90" s="2">
        <v>-775583.16980000003</v>
      </c>
      <c r="J90" t="s">
        <v>496</v>
      </c>
      <c r="K90" t="s">
        <v>497</v>
      </c>
      <c r="L90" t="s">
        <v>23</v>
      </c>
      <c r="M90" t="s">
        <v>24</v>
      </c>
      <c r="N90" s="5">
        <v>256779411576</v>
      </c>
    </row>
    <row r="91" spans="1:14" x14ac:dyDescent="0.35">
      <c r="A91" s="1">
        <v>45762</v>
      </c>
      <c r="B91" t="s">
        <v>261</v>
      </c>
      <c r="C91" t="s">
        <v>498</v>
      </c>
      <c r="D91" t="s">
        <v>19</v>
      </c>
      <c r="E91" t="s">
        <v>453</v>
      </c>
      <c r="G91" s="2">
        <v>130.28700000000001</v>
      </c>
      <c r="H91" s="2">
        <v>-775713.45680000004</v>
      </c>
      <c r="J91" t="s">
        <v>499</v>
      </c>
      <c r="K91" t="s">
        <v>500</v>
      </c>
      <c r="L91" t="s">
        <v>23</v>
      </c>
      <c r="M91" t="s">
        <v>24</v>
      </c>
      <c r="N91" s="5">
        <v>256779411577</v>
      </c>
    </row>
    <row r="92" spans="1:14" x14ac:dyDescent="0.35">
      <c r="A92" s="1">
        <v>45762</v>
      </c>
      <c r="B92" t="s">
        <v>261</v>
      </c>
      <c r="C92" t="s">
        <v>501</v>
      </c>
      <c r="D92" t="s">
        <v>19</v>
      </c>
      <c r="E92" t="s">
        <v>453</v>
      </c>
      <c r="G92" s="2">
        <v>610.29449999999997</v>
      </c>
      <c r="H92" s="2">
        <v>-776323.7513</v>
      </c>
      <c r="J92" t="s">
        <v>502</v>
      </c>
      <c r="K92" t="s">
        <v>503</v>
      </c>
      <c r="L92" t="s">
        <v>23</v>
      </c>
      <c r="M92" t="s">
        <v>24</v>
      </c>
      <c r="N92" s="5">
        <v>256779411578</v>
      </c>
    </row>
    <row r="93" spans="1:14" x14ac:dyDescent="0.35">
      <c r="A93" s="1">
        <v>45762</v>
      </c>
      <c r="B93" t="s">
        <v>261</v>
      </c>
      <c r="C93" t="s">
        <v>504</v>
      </c>
      <c r="D93" t="s">
        <v>19</v>
      </c>
      <c r="E93" t="s">
        <v>453</v>
      </c>
      <c r="G93">
        <v>411.76749999999998</v>
      </c>
      <c r="H93" s="2">
        <v>-776735.51879999996</v>
      </c>
      <c r="J93" t="s">
        <v>505</v>
      </c>
      <c r="K93" t="s">
        <v>506</v>
      </c>
      <c r="L93" t="s">
        <v>23</v>
      </c>
      <c r="M93" t="s">
        <v>24</v>
      </c>
      <c r="N93" s="5">
        <v>256779411579</v>
      </c>
    </row>
    <row r="94" spans="1:14" x14ac:dyDescent="0.35">
      <c r="A94" s="1">
        <v>45762</v>
      </c>
      <c r="B94" t="s">
        <v>261</v>
      </c>
      <c r="C94" t="s">
        <v>507</v>
      </c>
      <c r="D94" t="s">
        <v>19</v>
      </c>
      <c r="E94" t="s">
        <v>453</v>
      </c>
      <c r="G94" s="2">
        <v>1845.328</v>
      </c>
      <c r="H94" s="2">
        <v>-778580.84680000006</v>
      </c>
      <c r="J94" t="s">
        <v>508</v>
      </c>
      <c r="K94" t="s">
        <v>509</v>
      </c>
      <c r="L94" t="s">
        <v>23</v>
      </c>
      <c r="M94" t="s">
        <v>24</v>
      </c>
      <c r="N94" s="5">
        <v>256779411580</v>
      </c>
    </row>
    <row r="95" spans="1:14" x14ac:dyDescent="0.35">
      <c r="A95" s="1">
        <v>45762</v>
      </c>
      <c r="B95" t="s">
        <v>261</v>
      </c>
      <c r="C95" t="s">
        <v>510</v>
      </c>
      <c r="D95" t="s">
        <v>19</v>
      </c>
      <c r="E95" t="s">
        <v>453</v>
      </c>
      <c r="G95">
        <v>186.41</v>
      </c>
      <c r="H95" s="2">
        <v>-778767.25679999997</v>
      </c>
      <c r="J95" t="s">
        <v>511</v>
      </c>
      <c r="K95" t="s">
        <v>512</v>
      </c>
      <c r="L95" t="s">
        <v>23</v>
      </c>
      <c r="M95" t="s">
        <v>24</v>
      </c>
      <c r="N95" s="5">
        <v>256779411581</v>
      </c>
    </row>
    <row r="96" spans="1:14" x14ac:dyDescent="0.35">
      <c r="A96" s="1">
        <v>45762</v>
      </c>
      <c r="B96" t="s">
        <v>261</v>
      </c>
      <c r="C96" t="s">
        <v>513</v>
      </c>
      <c r="D96" t="s">
        <v>19</v>
      </c>
      <c r="E96" t="s">
        <v>453</v>
      </c>
      <c r="G96" s="2">
        <v>94.070499999999996</v>
      </c>
      <c r="H96" s="2">
        <v>-778861.3273</v>
      </c>
      <c r="J96" t="s">
        <v>514</v>
      </c>
      <c r="K96" t="s">
        <v>515</v>
      </c>
      <c r="L96" t="s">
        <v>23</v>
      </c>
      <c r="M96" t="s">
        <v>24</v>
      </c>
      <c r="N96" s="5">
        <v>256779411582</v>
      </c>
    </row>
    <row r="97" spans="1:14" x14ac:dyDescent="0.35">
      <c r="A97" s="1">
        <v>45762</v>
      </c>
      <c r="B97" t="s">
        <v>261</v>
      </c>
      <c r="C97" t="s">
        <v>516</v>
      </c>
      <c r="D97" t="s">
        <v>19</v>
      </c>
      <c r="E97" t="s">
        <v>453</v>
      </c>
      <c r="G97">
        <v>933.05</v>
      </c>
      <c r="H97" s="2">
        <v>-779794.37730000005</v>
      </c>
      <c r="J97" t="s">
        <v>517</v>
      </c>
      <c r="K97" t="s">
        <v>518</v>
      </c>
      <c r="L97" t="s">
        <v>23</v>
      </c>
      <c r="M97" t="s">
        <v>24</v>
      </c>
      <c r="N97" s="5">
        <v>256779411583</v>
      </c>
    </row>
    <row r="98" spans="1:14" x14ac:dyDescent="0.35">
      <c r="A98" s="1">
        <v>45762</v>
      </c>
      <c r="B98" t="s">
        <v>261</v>
      </c>
      <c r="C98" t="s">
        <v>519</v>
      </c>
      <c r="D98" t="s">
        <v>19</v>
      </c>
      <c r="E98" t="s">
        <v>453</v>
      </c>
      <c r="G98" s="2">
        <v>1968.8254999999999</v>
      </c>
      <c r="H98" s="2">
        <v>-781763.20279999997</v>
      </c>
      <c r="J98" t="s">
        <v>520</v>
      </c>
      <c r="K98" t="s">
        <v>521</v>
      </c>
      <c r="L98" t="s">
        <v>23</v>
      </c>
      <c r="M98" t="s">
        <v>24</v>
      </c>
      <c r="N98" s="5">
        <v>256779411584</v>
      </c>
    </row>
    <row r="99" spans="1:14" x14ac:dyDescent="0.35">
      <c r="A99" s="1">
        <v>45762</v>
      </c>
      <c r="B99" t="s">
        <v>261</v>
      </c>
      <c r="C99" t="s">
        <v>522</v>
      </c>
      <c r="D99" t="s">
        <v>19</v>
      </c>
      <c r="E99" t="s">
        <v>453</v>
      </c>
      <c r="G99">
        <v>661.95550000000003</v>
      </c>
      <c r="H99" s="2">
        <v>-782425.15830000001</v>
      </c>
      <c r="J99" t="s">
        <v>523</v>
      </c>
      <c r="K99" t="s">
        <v>524</v>
      </c>
      <c r="L99" t="s">
        <v>23</v>
      </c>
      <c r="M99" t="s">
        <v>24</v>
      </c>
      <c r="N99" s="5">
        <v>256779411585</v>
      </c>
    </row>
    <row r="100" spans="1:14" x14ac:dyDescent="0.35">
      <c r="A100" s="1">
        <v>45762</v>
      </c>
      <c r="B100" t="s">
        <v>261</v>
      </c>
      <c r="C100" t="s">
        <v>525</v>
      </c>
      <c r="D100" t="s">
        <v>19</v>
      </c>
      <c r="E100" t="s">
        <v>453</v>
      </c>
      <c r="G100" s="2">
        <v>2053.3755000000001</v>
      </c>
      <c r="H100" s="2">
        <v>-784478.53379999998</v>
      </c>
      <c r="J100" t="s">
        <v>487</v>
      </c>
      <c r="K100" t="s">
        <v>526</v>
      </c>
      <c r="L100" t="s">
        <v>23</v>
      </c>
      <c r="M100" t="s">
        <v>24</v>
      </c>
      <c r="N100" s="5">
        <v>256779411573</v>
      </c>
    </row>
    <row r="101" spans="1:14" x14ac:dyDescent="0.35">
      <c r="A101" s="1">
        <v>45867</v>
      </c>
      <c r="B101" t="s">
        <v>300</v>
      </c>
      <c r="C101" t="s">
        <v>527</v>
      </c>
      <c r="D101" t="s">
        <v>37</v>
      </c>
      <c r="E101" t="s">
        <v>453</v>
      </c>
      <c r="G101" s="2">
        <v>-2053.3755000000001</v>
      </c>
      <c r="H101" s="2">
        <v>-782425.15830000001</v>
      </c>
      <c r="J101" t="s">
        <v>528</v>
      </c>
      <c r="K101" t="s">
        <v>524</v>
      </c>
      <c r="L101" t="s">
        <v>23</v>
      </c>
      <c r="M101" t="s">
        <v>24</v>
      </c>
      <c r="N101" s="5">
        <v>256779411573</v>
      </c>
    </row>
    <row r="102" spans="1:14" x14ac:dyDescent="0.35">
      <c r="A102" s="1">
        <v>45842</v>
      </c>
      <c r="B102" t="s">
        <v>261</v>
      </c>
      <c r="C102" t="s">
        <v>529</v>
      </c>
      <c r="D102" t="s">
        <v>19</v>
      </c>
      <c r="E102" t="s">
        <v>385</v>
      </c>
      <c r="G102" s="2">
        <v>18722.8</v>
      </c>
      <c r="H102" s="2">
        <v>-801147.95830000006</v>
      </c>
      <c r="J102" t="s">
        <v>530</v>
      </c>
      <c r="K102" t="s">
        <v>531</v>
      </c>
      <c r="L102" t="s">
        <v>23</v>
      </c>
      <c r="M102" t="s">
        <v>24</v>
      </c>
      <c r="N102" s="5">
        <v>256779414772</v>
      </c>
    </row>
    <row r="103" spans="1:14" x14ac:dyDescent="0.35">
      <c r="A103" s="1">
        <v>45842</v>
      </c>
      <c r="B103" t="s">
        <v>261</v>
      </c>
      <c r="C103" t="s">
        <v>532</v>
      </c>
      <c r="D103" t="s">
        <v>19</v>
      </c>
      <c r="E103" t="s">
        <v>443</v>
      </c>
      <c r="G103" s="2">
        <v>4255</v>
      </c>
      <c r="H103" s="2">
        <v>-805402.95830000006</v>
      </c>
      <c r="J103" t="s">
        <v>77</v>
      </c>
      <c r="K103" t="s">
        <v>533</v>
      </c>
      <c r="L103" t="s">
        <v>23</v>
      </c>
      <c r="M103" t="s">
        <v>24</v>
      </c>
      <c r="N103" s="5">
        <v>256779414956</v>
      </c>
    </row>
    <row r="104" spans="1:14" x14ac:dyDescent="0.35">
      <c r="A104" s="1">
        <v>45842</v>
      </c>
      <c r="B104" t="s">
        <v>261</v>
      </c>
      <c r="C104" t="s">
        <v>534</v>
      </c>
      <c r="D104" t="s">
        <v>19</v>
      </c>
      <c r="E104" t="s">
        <v>443</v>
      </c>
      <c r="G104" s="2">
        <v>4255</v>
      </c>
      <c r="H104" s="2">
        <v>-809657.95830000006</v>
      </c>
      <c r="J104" t="s">
        <v>77</v>
      </c>
      <c r="K104" t="s">
        <v>535</v>
      </c>
      <c r="L104" t="s">
        <v>23</v>
      </c>
      <c r="M104" t="s">
        <v>24</v>
      </c>
      <c r="N104" s="5">
        <v>256779414957</v>
      </c>
    </row>
    <row r="105" spans="1:14" x14ac:dyDescent="0.35">
      <c r="A105" s="1">
        <v>45842</v>
      </c>
      <c r="B105" t="s">
        <v>261</v>
      </c>
      <c r="C105" t="s">
        <v>536</v>
      </c>
      <c r="D105" t="s">
        <v>19</v>
      </c>
      <c r="E105" t="s">
        <v>453</v>
      </c>
      <c r="G105" s="2">
        <v>12112.068799999999</v>
      </c>
      <c r="H105" s="2">
        <v>-821770.02709999995</v>
      </c>
      <c r="J105" t="s">
        <v>537</v>
      </c>
      <c r="K105" t="s">
        <v>538</v>
      </c>
      <c r="L105" t="s">
        <v>23</v>
      </c>
      <c r="M105" t="s">
        <v>24</v>
      </c>
      <c r="N105" s="5">
        <v>256779414830</v>
      </c>
    </row>
    <row r="106" spans="1:14" x14ac:dyDescent="0.35">
      <c r="A106" s="1">
        <v>45842</v>
      </c>
      <c r="B106" t="s">
        <v>261</v>
      </c>
      <c r="C106" t="s">
        <v>539</v>
      </c>
      <c r="D106" t="s">
        <v>19</v>
      </c>
      <c r="E106" t="s">
        <v>453</v>
      </c>
      <c r="G106" s="2">
        <v>29722.738399999998</v>
      </c>
      <c r="H106" s="2">
        <v>-851492.76549999998</v>
      </c>
      <c r="J106" t="s">
        <v>540</v>
      </c>
      <c r="K106" t="s">
        <v>541</v>
      </c>
      <c r="L106" t="s">
        <v>23</v>
      </c>
      <c r="M106" t="s">
        <v>24</v>
      </c>
      <c r="N106" s="5">
        <v>256779415017</v>
      </c>
    </row>
    <row r="107" spans="1:14" x14ac:dyDescent="0.35">
      <c r="A107" s="1">
        <v>45842</v>
      </c>
      <c r="B107" t="s">
        <v>261</v>
      </c>
      <c r="C107" t="s">
        <v>542</v>
      </c>
      <c r="D107" t="s">
        <v>19</v>
      </c>
      <c r="E107" t="s">
        <v>63</v>
      </c>
      <c r="G107" s="2">
        <v>32304.5772</v>
      </c>
      <c r="H107" s="2">
        <v>-883797.34270000004</v>
      </c>
      <c r="J107" t="s">
        <v>543</v>
      </c>
      <c r="K107" t="s">
        <v>544</v>
      </c>
      <c r="L107" t="s">
        <v>23</v>
      </c>
      <c r="M107" t="s">
        <v>24</v>
      </c>
      <c r="N107" s="5">
        <v>256779414891</v>
      </c>
    </row>
    <row r="108" spans="1:14" x14ac:dyDescent="0.35">
      <c r="A108" s="1">
        <v>45842</v>
      </c>
      <c r="B108" t="s">
        <v>261</v>
      </c>
      <c r="C108" t="s">
        <v>545</v>
      </c>
      <c r="D108" t="s">
        <v>19</v>
      </c>
      <c r="E108" t="s">
        <v>546</v>
      </c>
      <c r="G108" s="2">
        <v>5869.3548000000001</v>
      </c>
      <c r="H108" s="2">
        <v>-889666.69750000001</v>
      </c>
      <c r="J108" t="s">
        <v>547</v>
      </c>
      <c r="K108" t="s">
        <v>548</v>
      </c>
      <c r="L108" t="s">
        <v>23</v>
      </c>
      <c r="M108" t="s">
        <v>24</v>
      </c>
      <c r="N108" s="5">
        <v>256779414904</v>
      </c>
    </row>
    <row r="109" spans="1:14" x14ac:dyDescent="0.35">
      <c r="A109" s="1">
        <v>45812</v>
      </c>
      <c r="B109" t="s">
        <v>261</v>
      </c>
      <c r="C109" t="s">
        <v>549</v>
      </c>
      <c r="D109" t="s">
        <v>19</v>
      </c>
      <c r="E109" t="s">
        <v>453</v>
      </c>
      <c r="G109" s="2">
        <v>6106.6383999999998</v>
      </c>
      <c r="H109" s="2">
        <v>-895773.33589999995</v>
      </c>
      <c r="J109" t="s">
        <v>550</v>
      </c>
      <c r="K109" t="s">
        <v>551</v>
      </c>
      <c r="L109" t="s">
        <v>23</v>
      </c>
      <c r="M109" t="s">
        <v>24</v>
      </c>
      <c r="N109" s="5">
        <v>256779414217</v>
      </c>
    </row>
    <row r="110" spans="1:14" x14ac:dyDescent="0.35">
      <c r="A110" s="1">
        <v>45750</v>
      </c>
      <c r="B110" t="s">
        <v>261</v>
      </c>
      <c r="C110" t="s">
        <v>552</v>
      </c>
      <c r="D110" t="s">
        <v>19</v>
      </c>
      <c r="E110" t="s">
        <v>453</v>
      </c>
      <c r="G110" s="2">
        <v>838.37400000000002</v>
      </c>
      <c r="H110" s="2">
        <v>-896611.70990000002</v>
      </c>
      <c r="J110" t="s">
        <v>553</v>
      </c>
      <c r="K110" t="s">
        <v>554</v>
      </c>
      <c r="L110" t="s">
        <v>23</v>
      </c>
      <c r="M110" t="s">
        <v>24</v>
      </c>
      <c r="N110" s="5">
        <v>256779410136</v>
      </c>
    </row>
    <row r="111" spans="1:14" x14ac:dyDescent="0.35">
      <c r="A111" s="1">
        <v>45770</v>
      </c>
      <c r="B111" t="s">
        <v>261</v>
      </c>
      <c r="C111" t="s">
        <v>555</v>
      </c>
      <c r="D111" t="s">
        <v>19</v>
      </c>
      <c r="E111" t="s">
        <v>453</v>
      </c>
      <c r="G111" s="2">
        <v>1031.5008</v>
      </c>
      <c r="H111" s="2">
        <v>-897643.21070000005</v>
      </c>
      <c r="J111" t="s">
        <v>556</v>
      </c>
      <c r="K111" t="s">
        <v>557</v>
      </c>
      <c r="L111" t="s">
        <v>23</v>
      </c>
      <c r="M111" t="s">
        <v>24</v>
      </c>
      <c r="N111" s="5">
        <v>256779412928</v>
      </c>
    </row>
    <row r="112" spans="1:14" x14ac:dyDescent="0.35">
      <c r="A112" s="1">
        <v>45842</v>
      </c>
      <c r="B112" t="s">
        <v>261</v>
      </c>
      <c r="C112" t="s">
        <v>558</v>
      </c>
      <c r="D112" t="s">
        <v>19</v>
      </c>
      <c r="E112" t="s">
        <v>385</v>
      </c>
      <c r="G112" s="2">
        <v>138310.23639999999</v>
      </c>
      <c r="H112" s="2">
        <v>-1035953.4471</v>
      </c>
      <c r="J112" t="s">
        <v>559</v>
      </c>
      <c r="K112" t="s">
        <v>560</v>
      </c>
      <c r="L112" t="s">
        <v>23</v>
      </c>
      <c r="M112" t="s">
        <v>24</v>
      </c>
      <c r="N112" s="5">
        <v>256779414879</v>
      </c>
    </row>
    <row r="113" spans="1:14" x14ac:dyDescent="0.35">
      <c r="A113" s="1">
        <v>45842</v>
      </c>
      <c r="B113" t="s">
        <v>261</v>
      </c>
      <c r="C113" t="s">
        <v>561</v>
      </c>
      <c r="D113" t="s">
        <v>19</v>
      </c>
      <c r="E113" t="s">
        <v>63</v>
      </c>
      <c r="G113" s="2">
        <v>3025.5763999999999</v>
      </c>
      <c r="H113" s="2">
        <v>-1038979.0235</v>
      </c>
      <c r="J113" t="s">
        <v>562</v>
      </c>
      <c r="K113" t="s">
        <v>563</v>
      </c>
      <c r="L113" t="s">
        <v>23</v>
      </c>
      <c r="M113" t="s">
        <v>24</v>
      </c>
      <c r="N113" s="5">
        <v>256779414879</v>
      </c>
    </row>
    <row r="114" spans="1:14" x14ac:dyDescent="0.35">
      <c r="A114" s="1">
        <v>45876</v>
      </c>
      <c r="B114" t="s">
        <v>280</v>
      </c>
      <c r="C114" t="s">
        <v>564</v>
      </c>
      <c r="D114" t="s">
        <v>565</v>
      </c>
      <c r="E114" t="s">
        <v>434</v>
      </c>
      <c r="F114" s="2">
        <v>86445.871599999999</v>
      </c>
      <c r="G114" s="2"/>
      <c r="H114" s="2">
        <v>-952533.15190000006</v>
      </c>
      <c r="I114" t="s">
        <v>566</v>
      </c>
      <c r="K114" t="s">
        <v>567</v>
      </c>
      <c r="L114" t="s">
        <v>75</v>
      </c>
      <c r="M114" t="s">
        <v>24</v>
      </c>
    </row>
    <row r="115" spans="1:14" x14ac:dyDescent="0.35">
      <c r="A115" s="1">
        <v>45877</v>
      </c>
      <c r="B115" t="s">
        <v>280</v>
      </c>
      <c r="C115" t="s">
        <v>568</v>
      </c>
      <c r="D115" t="s">
        <v>569</v>
      </c>
      <c r="E115" t="s">
        <v>434</v>
      </c>
      <c r="F115" s="2">
        <v>411479.42950000003</v>
      </c>
      <c r="G115" s="2"/>
      <c r="H115" s="2">
        <v>-541053.72239999997</v>
      </c>
      <c r="I115" t="s">
        <v>570</v>
      </c>
      <c r="K115" t="s">
        <v>571</v>
      </c>
      <c r="L115" t="s">
        <v>75</v>
      </c>
      <c r="M115" t="s">
        <v>24</v>
      </c>
    </row>
    <row r="116" spans="1:14" x14ac:dyDescent="0.35">
      <c r="A116" s="1">
        <v>45793</v>
      </c>
      <c r="B116" t="s">
        <v>261</v>
      </c>
      <c r="C116" t="s">
        <v>572</v>
      </c>
      <c r="D116" t="s">
        <v>19</v>
      </c>
      <c r="E116" t="s">
        <v>54</v>
      </c>
      <c r="F116" s="2"/>
      <c r="G116" s="2">
        <v>14655.223900000001</v>
      </c>
      <c r="H116" s="2">
        <v>-555708.94629999995</v>
      </c>
      <c r="J116" t="s">
        <v>573</v>
      </c>
      <c r="K116" t="s">
        <v>574</v>
      </c>
      <c r="L116" t="s">
        <v>23</v>
      </c>
      <c r="M116" t="s">
        <v>24</v>
      </c>
      <c r="N116" s="5">
        <v>256779412101</v>
      </c>
    </row>
    <row r="117" spans="1:14" x14ac:dyDescent="0.35">
      <c r="A117" s="1">
        <v>45842</v>
      </c>
      <c r="B117" t="s">
        <v>261</v>
      </c>
      <c r="C117" t="s">
        <v>575</v>
      </c>
      <c r="D117" t="s">
        <v>19</v>
      </c>
      <c r="E117" t="s">
        <v>54</v>
      </c>
      <c r="F117" s="2"/>
      <c r="G117" s="2">
        <v>79041.919899999994</v>
      </c>
      <c r="H117" s="2">
        <v>-634750.86620000005</v>
      </c>
      <c r="J117" t="s">
        <v>576</v>
      </c>
      <c r="K117" t="s">
        <v>577</v>
      </c>
      <c r="L117" t="s">
        <v>23</v>
      </c>
      <c r="M117" t="s">
        <v>24</v>
      </c>
      <c r="N117" s="5">
        <v>256779415264</v>
      </c>
    </row>
    <row r="118" spans="1:14" x14ac:dyDescent="0.35">
      <c r="A118" s="1">
        <v>45863</v>
      </c>
      <c r="B118" t="s">
        <v>261</v>
      </c>
      <c r="C118" t="s">
        <v>578</v>
      </c>
      <c r="D118" t="s">
        <v>19</v>
      </c>
      <c r="E118" t="s">
        <v>54</v>
      </c>
      <c r="F118" s="2"/>
      <c r="G118" s="2">
        <v>63294.9784</v>
      </c>
      <c r="H118" s="2">
        <v>-698045.84459999995</v>
      </c>
      <c r="J118" t="s">
        <v>579</v>
      </c>
      <c r="K118" t="s">
        <v>580</v>
      </c>
      <c r="L118" t="s">
        <v>23</v>
      </c>
      <c r="M118" t="s">
        <v>24</v>
      </c>
      <c r="N118" s="5">
        <v>256779415996</v>
      </c>
    </row>
    <row r="119" spans="1:14" x14ac:dyDescent="0.35">
      <c r="A119" s="1">
        <v>45856</v>
      </c>
      <c r="B119" t="s">
        <v>261</v>
      </c>
      <c r="C119" t="s">
        <v>581</v>
      </c>
      <c r="D119" t="s">
        <v>19</v>
      </c>
      <c r="E119" t="s">
        <v>385</v>
      </c>
      <c r="G119" s="2">
        <v>71830.685800000007</v>
      </c>
      <c r="H119" s="2">
        <v>-769876.53040000005</v>
      </c>
      <c r="J119" t="s">
        <v>582</v>
      </c>
      <c r="K119" t="s">
        <v>583</v>
      </c>
      <c r="L119" t="s">
        <v>23</v>
      </c>
      <c r="M119" t="s">
        <v>24</v>
      </c>
      <c r="N119" s="5">
        <v>256779415482</v>
      </c>
    </row>
    <row r="120" spans="1:14" x14ac:dyDescent="0.35">
      <c r="A120" s="1">
        <v>45856</v>
      </c>
      <c r="B120" t="s">
        <v>261</v>
      </c>
      <c r="C120" t="s">
        <v>584</v>
      </c>
      <c r="D120" t="s">
        <v>19</v>
      </c>
      <c r="E120" t="s">
        <v>63</v>
      </c>
      <c r="G120" s="2">
        <v>1516.1914999999999</v>
      </c>
      <c r="H120" s="2">
        <v>-771392.7219</v>
      </c>
      <c r="J120" t="s">
        <v>585</v>
      </c>
      <c r="K120" t="s">
        <v>586</v>
      </c>
      <c r="L120" t="s">
        <v>23</v>
      </c>
      <c r="M120" t="s">
        <v>24</v>
      </c>
      <c r="N120" s="5">
        <v>256779415482</v>
      </c>
    </row>
    <row r="121" spans="1:14" x14ac:dyDescent="0.35">
      <c r="A121" s="1">
        <v>45856</v>
      </c>
      <c r="B121" t="s">
        <v>261</v>
      </c>
      <c r="C121" t="s">
        <v>587</v>
      </c>
      <c r="D121" t="s">
        <v>19</v>
      </c>
      <c r="E121" t="s">
        <v>385</v>
      </c>
      <c r="G121" s="2">
        <v>56058.2</v>
      </c>
      <c r="H121" s="2">
        <v>-827450.92189999996</v>
      </c>
      <c r="J121" t="s">
        <v>588</v>
      </c>
      <c r="K121" t="s">
        <v>589</v>
      </c>
      <c r="L121" t="s">
        <v>23</v>
      </c>
      <c r="M121" t="s">
        <v>24</v>
      </c>
      <c r="N121" s="5">
        <v>256779415701</v>
      </c>
    </row>
    <row r="122" spans="1:14" x14ac:dyDescent="0.35">
      <c r="A122" s="1">
        <v>45863</v>
      </c>
      <c r="B122" t="s">
        <v>261</v>
      </c>
      <c r="C122" t="s">
        <v>590</v>
      </c>
      <c r="D122" t="s">
        <v>19</v>
      </c>
      <c r="E122" t="s">
        <v>54</v>
      </c>
      <c r="G122" s="2">
        <v>8494</v>
      </c>
      <c r="H122" s="2">
        <v>-835944.92189999996</v>
      </c>
      <c r="J122" t="s">
        <v>216</v>
      </c>
      <c r="K122" t="s">
        <v>591</v>
      </c>
      <c r="L122" t="s">
        <v>23</v>
      </c>
      <c r="M122" t="s">
        <v>24</v>
      </c>
      <c r="N122" s="5">
        <v>256779416012</v>
      </c>
    </row>
    <row r="123" spans="1:14" x14ac:dyDescent="0.35">
      <c r="A123" s="1">
        <v>45856</v>
      </c>
      <c r="B123" t="s">
        <v>261</v>
      </c>
      <c r="C123" t="s">
        <v>592</v>
      </c>
      <c r="D123" t="s">
        <v>19</v>
      </c>
      <c r="E123" t="s">
        <v>54</v>
      </c>
      <c r="G123" s="2">
        <v>25195.788799999998</v>
      </c>
      <c r="H123" s="2">
        <v>-861140.71070000005</v>
      </c>
      <c r="J123" t="s">
        <v>593</v>
      </c>
      <c r="K123" t="s">
        <v>594</v>
      </c>
      <c r="L123" t="s">
        <v>23</v>
      </c>
      <c r="M123" t="s">
        <v>24</v>
      </c>
      <c r="N123" s="5">
        <v>256779415432</v>
      </c>
    </row>
    <row r="124" spans="1:14" x14ac:dyDescent="0.35">
      <c r="A124" s="1">
        <v>45787</v>
      </c>
      <c r="B124" t="s">
        <v>261</v>
      </c>
      <c r="C124" t="s">
        <v>595</v>
      </c>
      <c r="D124" t="s">
        <v>19</v>
      </c>
      <c r="E124" t="s">
        <v>30</v>
      </c>
      <c r="G124" s="2">
        <v>89577.395799999998</v>
      </c>
      <c r="H124" s="2">
        <v>-950718.10649999999</v>
      </c>
      <c r="J124" t="s">
        <v>596</v>
      </c>
      <c r="K124" t="s">
        <v>597</v>
      </c>
      <c r="L124" t="s">
        <v>23</v>
      </c>
      <c r="M124" t="s">
        <v>24</v>
      </c>
      <c r="N124" s="5">
        <v>256779413144</v>
      </c>
    </row>
    <row r="125" spans="1:14" x14ac:dyDescent="0.35">
      <c r="A125" s="1">
        <v>45870</v>
      </c>
      <c r="B125" t="s">
        <v>261</v>
      </c>
      <c r="C125" t="s">
        <v>598</v>
      </c>
      <c r="D125" t="s">
        <v>19</v>
      </c>
      <c r="E125" t="s">
        <v>46</v>
      </c>
      <c r="G125" s="2">
        <v>35025.015500000001</v>
      </c>
      <c r="H125" s="2">
        <v>-985743.12199999997</v>
      </c>
      <c r="J125" t="s">
        <v>599</v>
      </c>
      <c r="K125" t="s">
        <v>600</v>
      </c>
      <c r="L125" t="s">
        <v>23</v>
      </c>
      <c r="M125" t="s">
        <v>24</v>
      </c>
      <c r="N125" s="5">
        <v>256779416027</v>
      </c>
    </row>
    <row r="126" spans="1:14" x14ac:dyDescent="0.35">
      <c r="A126" s="1">
        <v>45870</v>
      </c>
      <c r="B126" t="s">
        <v>261</v>
      </c>
      <c r="C126" t="s">
        <v>601</v>
      </c>
      <c r="D126" t="s">
        <v>19</v>
      </c>
      <c r="E126" t="s">
        <v>30</v>
      </c>
      <c r="G126" s="2">
        <v>91903.082999999999</v>
      </c>
      <c r="H126" s="2">
        <v>-1077646.2050000001</v>
      </c>
      <c r="J126" t="s">
        <v>602</v>
      </c>
      <c r="K126" t="s">
        <v>603</v>
      </c>
      <c r="L126" t="s">
        <v>23</v>
      </c>
      <c r="M126" t="s">
        <v>24</v>
      </c>
      <c r="N126" s="5">
        <v>256779416026</v>
      </c>
    </row>
    <row r="127" spans="1:14" x14ac:dyDescent="0.35">
      <c r="A127" s="1">
        <v>45877</v>
      </c>
      <c r="B127" t="s">
        <v>261</v>
      </c>
      <c r="C127" t="s">
        <v>604</v>
      </c>
      <c r="D127" t="s">
        <v>19</v>
      </c>
      <c r="E127" t="s">
        <v>453</v>
      </c>
      <c r="G127" s="2">
        <v>26217.960500000001</v>
      </c>
      <c r="H127" s="2">
        <v>-1103864.1654999999</v>
      </c>
      <c r="J127" t="s">
        <v>605</v>
      </c>
      <c r="K127" t="s">
        <v>606</v>
      </c>
      <c r="L127" t="s">
        <v>23</v>
      </c>
      <c r="M127" t="s">
        <v>24</v>
      </c>
      <c r="N127" s="5">
        <v>256779416224</v>
      </c>
    </row>
    <row r="128" spans="1:14" x14ac:dyDescent="0.35">
      <c r="A128" s="1">
        <v>45877</v>
      </c>
      <c r="B128" t="s">
        <v>261</v>
      </c>
      <c r="C128" t="s">
        <v>607</v>
      </c>
      <c r="D128" t="s">
        <v>19</v>
      </c>
      <c r="E128" t="s">
        <v>54</v>
      </c>
      <c r="G128" s="2">
        <v>50518.501499999998</v>
      </c>
      <c r="H128" s="2">
        <v>-1154382.6669999999</v>
      </c>
      <c r="J128" t="s">
        <v>608</v>
      </c>
      <c r="K128" t="s">
        <v>609</v>
      </c>
      <c r="L128" t="s">
        <v>23</v>
      </c>
      <c r="M128" t="s">
        <v>24</v>
      </c>
      <c r="N128" s="5">
        <v>256779416445</v>
      </c>
    </row>
    <row r="129" spans="1:14" x14ac:dyDescent="0.35">
      <c r="A129" s="1">
        <v>45877</v>
      </c>
      <c r="B129" t="s">
        <v>261</v>
      </c>
      <c r="C129" t="s">
        <v>610</v>
      </c>
      <c r="D129" t="s">
        <v>19</v>
      </c>
      <c r="E129" t="s">
        <v>385</v>
      </c>
      <c r="G129" s="2">
        <v>231074.27849999999</v>
      </c>
      <c r="H129" s="2">
        <v>-1385456.9454999999</v>
      </c>
      <c r="J129" t="s">
        <v>611</v>
      </c>
      <c r="K129" t="s">
        <v>612</v>
      </c>
      <c r="L129" t="s">
        <v>23</v>
      </c>
      <c r="M129" t="s">
        <v>24</v>
      </c>
      <c r="N129" s="5">
        <v>256779416179</v>
      </c>
    </row>
    <row r="130" spans="1:14" x14ac:dyDescent="0.35">
      <c r="A130" s="1">
        <v>45877</v>
      </c>
      <c r="B130" t="s">
        <v>261</v>
      </c>
      <c r="C130" t="s">
        <v>613</v>
      </c>
      <c r="D130" t="s">
        <v>19</v>
      </c>
      <c r="E130" t="s">
        <v>63</v>
      </c>
      <c r="G130" s="2">
        <v>8161.7555000000002</v>
      </c>
      <c r="H130" s="2">
        <v>-1393618.7009999999</v>
      </c>
      <c r="J130" t="s">
        <v>614</v>
      </c>
      <c r="K130" t="s">
        <v>615</v>
      </c>
      <c r="L130" t="s">
        <v>23</v>
      </c>
      <c r="M130" t="s">
        <v>24</v>
      </c>
      <c r="N130" s="5">
        <v>256779416179</v>
      </c>
    </row>
    <row r="131" spans="1:14" x14ac:dyDescent="0.35">
      <c r="A131" s="1">
        <v>45910</v>
      </c>
      <c r="B131" t="s">
        <v>280</v>
      </c>
      <c r="C131" t="s">
        <v>616</v>
      </c>
      <c r="D131" t="s">
        <v>617</v>
      </c>
      <c r="E131" t="s">
        <v>434</v>
      </c>
      <c r="F131" s="2">
        <v>256553.8652</v>
      </c>
      <c r="G131" s="2"/>
      <c r="H131" s="2">
        <v>-1137064.8358</v>
      </c>
      <c r="I131" t="s">
        <v>618</v>
      </c>
      <c r="K131" t="s">
        <v>619</v>
      </c>
      <c r="L131" t="s">
        <v>75</v>
      </c>
      <c r="M131" t="s">
        <v>24</v>
      </c>
    </row>
    <row r="132" spans="1:14" x14ac:dyDescent="0.35">
      <c r="A132" s="1">
        <v>45910</v>
      </c>
      <c r="B132" t="s">
        <v>280</v>
      </c>
      <c r="C132" t="s">
        <v>620</v>
      </c>
      <c r="D132" t="s">
        <v>621</v>
      </c>
      <c r="E132" t="s">
        <v>434</v>
      </c>
      <c r="F132" s="2">
        <v>409664.38410000002</v>
      </c>
      <c r="G132" s="2"/>
      <c r="H132" s="2">
        <v>-727400.45169999998</v>
      </c>
      <c r="I132" t="s">
        <v>622</v>
      </c>
      <c r="K132" t="s">
        <v>623</v>
      </c>
      <c r="L132" t="s">
        <v>75</v>
      </c>
      <c r="M132" t="s">
        <v>24</v>
      </c>
    </row>
    <row r="133" spans="1:14" x14ac:dyDescent="0.35">
      <c r="A133" s="1">
        <v>45916</v>
      </c>
      <c r="B133" t="s">
        <v>280</v>
      </c>
      <c r="C133" t="s">
        <v>624</v>
      </c>
      <c r="D133" t="s">
        <v>625</v>
      </c>
      <c r="E133" t="s">
        <v>434</v>
      </c>
      <c r="F133" s="2">
        <v>442900.59450000001</v>
      </c>
      <c r="G133" s="2"/>
      <c r="H133" s="2">
        <v>-284499.85720000003</v>
      </c>
      <c r="I133" t="s">
        <v>626</v>
      </c>
      <c r="K133" t="s">
        <v>627</v>
      </c>
      <c r="L133" t="s">
        <v>75</v>
      </c>
      <c r="M133" t="s">
        <v>24</v>
      </c>
    </row>
    <row r="134" spans="1:14" x14ac:dyDescent="0.35">
      <c r="A134" s="1">
        <v>45916</v>
      </c>
      <c r="B134" t="s">
        <v>280</v>
      </c>
      <c r="C134" t="s">
        <v>628</v>
      </c>
      <c r="D134" t="s">
        <v>629</v>
      </c>
      <c r="E134" t="s">
        <v>434</v>
      </c>
      <c r="F134" s="2">
        <v>284790.76160000003</v>
      </c>
      <c r="G134" s="2"/>
      <c r="H134">
        <v>290.90440000000001</v>
      </c>
      <c r="I134" t="s">
        <v>630</v>
      </c>
      <c r="K134" t="s">
        <v>366</v>
      </c>
      <c r="L134" t="s">
        <v>75</v>
      </c>
      <c r="M134" t="s">
        <v>24</v>
      </c>
    </row>
    <row r="135" spans="1:14" x14ac:dyDescent="0.35">
      <c r="A135" s="1">
        <v>45793</v>
      </c>
      <c r="B135" t="s">
        <v>261</v>
      </c>
      <c r="C135" t="s">
        <v>631</v>
      </c>
      <c r="D135" t="s">
        <v>19</v>
      </c>
      <c r="E135" t="s">
        <v>453</v>
      </c>
      <c r="F135" s="2"/>
      <c r="G135" s="2">
        <v>1747.1537000000001</v>
      </c>
      <c r="H135" s="2">
        <v>-1456.2492999999999</v>
      </c>
      <c r="J135" t="s">
        <v>632</v>
      </c>
      <c r="K135" t="s">
        <v>633</v>
      </c>
      <c r="L135" t="s">
        <v>23</v>
      </c>
      <c r="M135" t="s">
        <v>24</v>
      </c>
      <c r="N135" s="5">
        <v>256779413358</v>
      </c>
    </row>
    <row r="136" spans="1:14" x14ac:dyDescent="0.35">
      <c r="A136" s="1">
        <v>45797</v>
      </c>
      <c r="B136" t="s">
        <v>261</v>
      </c>
      <c r="C136" t="s">
        <v>634</v>
      </c>
      <c r="D136" t="s">
        <v>19</v>
      </c>
      <c r="E136" t="s">
        <v>453</v>
      </c>
      <c r="F136" s="2"/>
      <c r="G136" s="2">
        <v>8506.7929999999997</v>
      </c>
      <c r="H136" s="2">
        <v>-9963.0422999999992</v>
      </c>
      <c r="J136" t="s">
        <v>635</v>
      </c>
      <c r="K136" t="s">
        <v>636</v>
      </c>
      <c r="L136" t="s">
        <v>23</v>
      </c>
      <c r="M136" t="s">
        <v>24</v>
      </c>
      <c r="N136" s="5">
        <v>256779413487</v>
      </c>
    </row>
    <row r="137" spans="1:14" x14ac:dyDescent="0.35">
      <c r="A137" s="1">
        <v>45889</v>
      </c>
      <c r="B137" t="s">
        <v>261</v>
      </c>
      <c r="C137" t="s">
        <v>637</v>
      </c>
      <c r="D137" t="s">
        <v>19</v>
      </c>
      <c r="E137" t="s">
        <v>453</v>
      </c>
      <c r="F137" s="2"/>
      <c r="G137" s="2">
        <v>7311.6938</v>
      </c>
      <c r="H137" s="2">
        <v>-17274.736099999998</v>
      </c>
      <c r="J137" t="s">
        <v>638</v>
      </c>
      <c r="K137" t="s">
        <v>639</v>
      </c>
      <c r="L137" t="s">
        <v>23</v>
      </c>
      <c r="M137" t="s">
        <v>24</v>
      </c>
      <c r="N137" s="5">
        <v>256779416879</v>
      </c>
    </row>
    <row r="138" spans="1:14" x14ac:dyDescent="0.35">
      <c r="A138" s="1">
        <v>45889</v>
      </c>
      <c r="B138" t="s">
        <v>261</v>
      </c>
      <c r="C138" t="s">
        <v>640</v>
      </c>
      <c r="D138" t="s">
        <v>19</v>
      </c>
      <c r="E138" t="s">
        <v>385</v>
      </c>
      <c r="F138" s="2"/>
      <c r="G138" s="2">
        <v>42795.2016</v>
      </c>
      <c r="H138" s="2">
        <v>-60069.937700000002</v>
      </c>
      <c r="J138" t="s">
        <v>641</v>
      </c>
      <c r="K138" t="s">
        <v>642</v>
      </c>
      <c r="L138" t="s">
        <v>23</v>
      </c>
      <c r="M138" t="s">
        <v>24</v>
      </c>
      <c r="N138" s="5">
        <v>256779416845</v>
      </c>
    </row>
    <row r="139" spans="1:14" x14ac:dyDescent="0.35">
      <c r="A139" s="1">
        <v>45793</v>
      </c>
      <c r="B139" t="s">
        <v>261</v>
      </c>
      <c r="C139" t="s">
        <v>643</v>
      </c>
      <c r="D139" t="s">
        <v>19</v>
      </c>
      <c r="E139" t="s">
        <v>453</v>
      </c>
      <c r="G139" s="2">
        <v>7472.62</v>
      </c>
      <c r="H139" s="2">
        <v>-67542.557700000005</v>
      </c>
      <c r="J139" t="s">
        <v>644</v>
      </c>
      <c r="K139" t="s">
        <v>645</v>
      </c>
      <c r="L139" t="s">
        <v>23</v>
      </c>
      <c r="M139" t="s">
        <v>24</v>
      </c>
      <c r="N139" s="5">
        <v>256779413313</v>
      </c>
    </row>
    <row r="140" spans="1:14" x14ac:dyDescent="0.35">
      <c r="A140" s="1">
        <v>45877</v>
      </c>
      <c r="B140" t="s">
        <v>261</v>
      </c>
      <c r="C140" t="s">
        <v>646</v>
      </c>
      <c r="D140" t="s">
        <v>19</v>
      </c>
      <c r="E140" t="s">
        <v>54</v>
      </c>
      <c r="G140" s="2">
        <v>34496.2166</v>
      </c>
      <c r="H140" s="2">
        <v>-102038.7743</v>
      </c>
      <c r="J140" t="s">
        <v>647</v>
      </c>
      <c r="K140" t="s">
        <v>648</v>
      </c>
      <c r="L140" t="s">
        <v>23</v>
      </c>
      <c r="M140" t="s">
        <v>24</v>
      </c>
      <c r="N140" s="5">
        <v>256779416515</v>
      </c>
    </row>
    <row r="141" spans="1:14" x14ac:dyDescent="0.35">
      <c r="A141" s="1">
        <v>45877</v>
      </c>
      <c r="B141" t="s">
        <v>261</v>
      </c>
      <c r="C141" t="s">
        <v>649</v>
      </c>
      <c r="D141" t="s">
        <v>19</v>
      </c>
      <c r="E141" t="s">
        <v>546</v>
      </c>
      <c r="G141" s="2">
        <v>25992.970399999998</v>
      </c>
      <c r="H141" s="2">
        <v>-128031.7447</v>
      </c>
      <c r="J141" t="s">
        <v>650</v>
      </c>
      <c r="K141" t="s">
        <v>651</v>
      </c>
      <c r="L141" t="s">
        <v>23</v>
      </c>
      <c r="M141" t="s">
        <v>24</v>
      </c>
      <c r="N141" s="5">
        <v>256779416141</v>
      </c>
    </row>
    <row r="142" spans="1:14" x14ac:dyDescent="0.35">
      <c r="A142" s="1">
        <v>45787</v>
      </c>
      <c r="B142" t="s">
        <v>261</v>
      </c>
      <c r="C142" t="s">
        <v>652</v>
      </c>
      <c r="D142" t="s">
        <v>19</v>
      </c>
      <c r="E142" t="s">
        <v>30</v>
      </c>
      <c r="G142" s="2">
        <v>32484.123500000002</v>
      </c>
      <c r="H142" s="2">
        <v>-160515.8682</v>
      </c>
      <c r="J142" t="s">
        <v>653</v>
      </c>
      <c r="K142" t="s">
        <v>654</v>
      </c>
      <c r="L142" t="s">
        <v>23</v>
      </c>
      <c r="M142" t="s">
        <v>24</v>
      </c>
      <c r="N142" s="5">
        <v>256779413145</v>
      </c>
    </row>
    <row r="143" spans="1:14" x14ac:dyDescent="0.35">
      <c r="A143" s="1">
        <v>45889</v>
      </c>
      <c r="B143" t="s">
        <v>261</v>
      </c>
      <c r="C143" t="s">
        <v>655</v>
      </c>
      <c r="D143" t="s">
        <v>19</v>
      </c>
      <c r="E143" t="s">
        <v>385</v>
      </c>
      <c r="G143" s="2">
        <v>15641.6</v>
      </c>
      <c r="H143" s="2">
        <v>-176157.4682</v>
      </c>
      <c r="J143" t="s">
        <v>656</v>
      </c>
      <c r="K143" t="s">
        <v>657</v>
      </c>
      <c r="L143" t="s">
        <v>23</v>
      </c>
      <c r="M143" t="s">
        <v>24</v>
      </c>
      <c r="N143" s="5">
        <v>256779416817</v>
      </c>
    </row>
    <row r="144" spans="1:14" x14ac:dyDescent="0.35">
      <c r="A144" s="1">
        <v>45904</v>
      </c>
      <c r="B144" t="s">
        <v>261</v>
      </c>
      <c r="C144" t="s">
        <v>659</v>
      </c>
      <c r="D144" t="s">
        <v>19</v>
      </c>
      <c r="E144" t="s">
        <v>54</v>
      </c>
      <c r="G144" s="2">
        <v>67577.916299999997</v>
      </c>
      <c r="H144" s="2">
        <v>-243735.38449999999</v>
      </c>
      <c r="J144" t="s">
        <v>660</v>
      </c>
      <c r="K144" t="s">
        <v>661</v>
      </c>
      <c r="L144" t="s">
        <v>23</v>
      </c>
      <c r="M144" t="s">
        <v>24</v>
      </c>
      <c r="N144" s="5">
        <v>256779417161</v>
      </c>
    </row>
    <row r="145" spans="1:14" x14ac:dyDescent="0.35">
      <c r="A145" s="1">
        <v>45852</v>
      </c>
      <c r="B145" t="s">
        <v>261</v>
      </c>
      <c r="C145" t="s">
        <v>662</v>
      </c>
      <c r="D145" t="s">
        <v>19</v>
      </c>
      <c r="E145" t="s">
        <v>30</v>
      </c>
      <c r="G145" s="2">
        <v>89999.859100000001</v>
      </c>
      <c r="H145" s="2">
        <v>-333735.24359999999</v>
      </c>
      <c r="J145" t="s">
        <v>663</v>
      </c>
      <c r="K145" t="s">
        <v>664</v>
      </c>
      <c r="L145" t="s">
        <v>23</v>
      </c>
      <c r="M145" t="s">
        <v>24</v>
      </c>
      <c r="N145" s="5">
        <v>256779414914</v>
      </c>
    </row>
    <row r="146" spans="1:14" x14ac:dyDescent="0.35">
      <c r="A146" s="1">
        <v>45852</v>
      </c>
      <c r="B146" t="s">
        <v>261</v>
      </c>
      <c r="C146" t="s">
        <v>665</v>
      </c>
      <c r="D146" t="s">
        <v>19</v>
      </c>
      <c r="E146" t="s">
        <v>54</v>
      </c>
      <c r="G146" s="2">
        <v>34299.6927</v>
      </c>
      <c r="H146" s="2">
        <v>-368034.9363</v>
      </c>
      <c r="J146" t="s">
        <v>666</v>
      </c>
      <c r="K146" t="s">
        <v>667</v>
      </c>
      <c r="L146" t="s">
        <v>23</v>
      </c>
      <c r="M146" t="s">
        <v>24</v>
      </c>
      <c r="N146" s="5">
        <v>256779414915</v>
      </c>
    </row>
    <row r="147" spans="1:14" x14ac:dyDescent="0.35">
      <c r="A147" s="1">
        <v>45904</v>
      </c>
      <c r="B147" t="s">
        <v>261</v>
      </c>
      <c r="C147" t="s">
        <v>668</v>
      </c>
      <c r="D147" t="s">
        <v>19</v>
      </c>
      <c r="E147" t="s">
        <v>453</v>
      </c>
      <c r="G147" s="2">
        <v>8391.402</v>
      </c>
      <c r="H147" s="2">
        <v>-376426.3383</v>
      </c>
      <c r="J147" t="s">
        <v>669</v>
      </c>
      <c r="K147" t="s">
        <v>670</v>
      </c>
      <c r="L147" t="s">
        <v>23</v>
      </c>
      <c r="M147" t="s">
        <v>24</v>
      </c>
      <c r="N147" s="5">
        <v>256779417325</v>
      </c>
    </row>
    <row r="148" spans="1:14" x14ac:dyDescent="0.35">
      <c r="A148" s="1">
        <v>45856</v>
      </c>
      <c r="B148" t="s">
        <v>261</v>
      </c>
      <c r="C148" t="s">
        <v>671</v>
      </c>
      <c r="D148" t="s">
        <v>19</v>
      </c>
      <c r="E148" t="s">
        <v>453</v>
      </c>
      <c r="F148" s="2"/>
      <c r="G148" s="2">
        <v>6162.3689999999997</v>
      </c>
      <c r="H148" s="2">
        <v>-382588.70730000001</v>
      </c>
      <c r="J148" t="s">
        <v>672</v>
      </c>
      <c r="K148" t="s">
        <v>673</v>
      </c>
      <c r="L148" t="s">
        <v>23</v>
      </c>
      <c r="M148" t="s">
        <v>24</v>
      </c>
      <c r="N148" s="5">
        <v>256779415524</v>
      </c>
    </row>
    <row r="149" spans="1:14" x14ac:dyDescent="0.35">
      <c r="A149" s="1">
        <v>45904</v>
      </c>
      <c r="B149" t="s">
        <v>261</v>
      </c>
      <c r="C149" t="s">
        <v>674</v>
      </c>
      <c r="D149" t="s">
        <v>19</v>
      </c>
      <c r="E149" t="s">
        <v>385</v>
      </c>
      <c r="G149" s="2">
        <v>35212.633600000001</v>
      </c>
      <c r="H149" s="2">
        <v>-417801.34090000001</v>
      </c>
      <c r="J149" t="s">
        <v>675</v>
      </c>
      <c r="K149" t="s">
        <v>676</v>
      </c>
      <c r="L149" t="s">
        <v>23</v>
      </c>
      <c r="M149" t="s">
        <v>24</v>
      </c>
      <c r="N149" s="5">
        <v>256779417287</v>
      </c>
    </row>
    <row r="150" spans="1:14" x14ac:dyDescent="0.35">
      <c r="A150" s="1">
        <v>45904</v>
      </c>
      <c r="B150" t="s">
        <v>261</v>
      </c>
      <c r="C150" t="s">
        <v>677</v>
      </c>
      <c r="D150" t="s">
        <v>19</v>
      </c>
      <c r="E150" t="s">
        <v>189</v>
      </c>
      <c r="G150" s="2">
        <v>133792.3548</v>
      </c>
      <c r="H150" s="2">
        <v>-551593.69570000004</v>
      </c>
      <c r="J150" t="s">
        <v>678</v>
      </c>
      <c r="K150" t="s">
        <v>679</v>
      </c>
      <c r="L150" t="s">
        <v>23</v>
      </c>
      <c r="M150" t="s">
        <v>24</v>
      </c>
      <c r="N150" s="5">
        <v>256779417179</v>
      </c>
    </row>
    <row r="151" spans="1:14" x14ac:dyDescent="0.35">
      <c r="A151" s="1">
        <v>45904</v>
      </c>
      <c r="B151" t="s">
        <v>261</v>
      </c>
      <c r="C151" t="s">
        <v>680</v>
      </c>
      <c r="D151" t="s">
        <v>19</v>
      </c>
      <c r="E151" t="s">
        <v>189</v>
      </c>
      <c r="G151" s="2">
        <v>133792.3548</v>
      </c>
      <c r="H151" s="2">
        <v>-685386.05050000001</v>
      </c>
      <c r="J151" t="s">
        <v>678</v>
      </c>
      <c r="K151" t="s">
        <v>681</v>
      </c>
      <c r="L151" t="s">
        <v>23</v>
      </c>
      <c r="M151" t="s">
        <v>24</v>
      </c>
      <c r="N151" s="5">
        <v>256779417178</v>
      </c>
    </row>
    <row r="152" spans="1:14" x14ac:dyDescent="0.35">
      <c r="A152" s="1">
        <v>45904</v>
      </c>
      <c r="B152" t="s">
        <v>261</v>
      </c>
      <c r="C152" t="s">
        <v>682</v>
      </c>
      <c r="D152" t="s">
        <v>19</v>
      </c>
      <c r="E152" t="s">
        <v>189</v>
      </c>
      <c r="G152" s="2">
        <v>138252.1</v>
      </c>
      <c r="H152" s="2">
        <v>-823638.15049999999</v>
      </c>
      <c r="J152" t="s">
        <v>683</v>
      </c>
      <c r="K152" t="s">
        <v>684</v>
      </c>
      <c r="L152" t="s">
        <v>23</v>
      </c>
      <c r="M152" t="s">
        <v>24</v>
      </c>
      <c r="N152" s="5">
        <v>256779417180</v>
      </c>
    </row>
    <row r="153" spans="1:14" x14ac:dyDescent="0.35">
      <c r="A153" s="1">
        <v>45904</v>
      </c>
      <c r="B153" t="s">
        <v>261</v>
      </c>
      <c r="C153" t="s">
        <v>685</v>
      </c>
      <c r="D153" t="s">
        <v>19</v>
      </c>
      <c r="E153" t="s">
        <v>63</v>
      </c>
      <c r="G153" s="2">
        <v>14736.9311</v>
      </c>
      <c r="H153" s="2">
        <v>-838375.08160000003</v>
      </c>
      <c r="J153" t="s">
        <v>686</v>
      </c>
      <c r="K153" t="s">
        <v>687</v>
      </c>
      <c r="L153" t="s">
        <v>23</v>
      </c>
      <c r="M153" t="s">
        <v>24</v>
      </c>
      <c r="N153" s="5">
        <v>256779417180</v>
      </c>
    </row>
    <row r="154" spans="1:14" x14ac:dyDescent="0.35">
      <c r="A154" s="1">
        <v>45904</v>
      </c>
      <c r="B154" t="s">
        <v>261</v>
      </c>
      <c r="C154" t="s">
        <v>688</v>
      </c>
      <c r="D154" t="s">
        <v>19</v>
      </c>
      <c r="E154" t="s">
        <v>63</v>
      </c>
      <c r="G154" s="2">
        <v>15752.866</v>
      </c>
      <c r="H154" s="2">
        <v>-854127.94759999996</v>
      </c>
      <c r="J154" t="s">
        <v>298</v>
      </c>
      <c r="K154" t="s">
        <v>689</v>
      </c>
      <c r="L154" t="s">
        <v>23</v>
      </c>
      <c r="M154" t="s">
        <v>24</v>
      </c>
      <c r="N154" s="5">
        <v>256779417181</v>
      </c>
    </row>
    <row r="155" spans="1:14" x14ac:dyDescent="0.35">
      <c r="A155" s="1">
        <v>45904</v>
      </c>
      <c r="B155" t="s">
        <v>261</v>
      </c>
      <c r="C155" t="s">
        <v>690</v>
      </c>
      <c r="D155" t="s">
        <v>19</v>
      </c>
      <c r="E155" t="s">
        <v>189</v>
      </c>
      <c r="G155" s="2">
        <v>138252.1</v>
      </c>
      <c r="H155" s="2">
        <v>-992380.04760000005</v>
      </c>
      <c r="J155" t="s">
        <v>683</v>
      </c>
      <c r="K155" t="s">
        <v>691</v>
      </c>
      <c r="L155" t="s">
        <v>23</v>
      </c>
      <c r="M155" t="s">
        <v>24</v>
      </c>
      <c r="N155" s="5">
        <v>256779417181</v>
      </c>
    </row>
    <row r="156" spans="1:14" x14ac:dyDescent="0.35">
      <c r="A156" s="1">
        <v>45904</v>
      </c>
      <c r="B156" t="s">
        <v>261</v>
      </c>
      <c r="C156" t="s">
        <v>692</v>
      </c>
      <c r="D156" t="s">
        <v>19</v>
      </c>
      <c r="E156" t="s">
        <v>30</v>
      </c>
      <c r="G156" s="2">
        <v>31499.606</v>
      </c>
      <c r="H156" s="2">
        <v>-1023879.6536</v>
      </c>
      <c r="J156" t="s">
        <v>693</v>
      </c>
      <c r="K156" t="s">
        <v>694</v>
      </c>
      <c r="L156" t="s">
        <v>23</v>
      </c>
      <c r="M156" t="s">
        <v>24</v>
      </c>
      <c r="N156" s="5">
        <v>256779417347</v>
      </c>
    </row>
    <row r="157" spans="1:14" x14ac:dyDescent="0.35">
      <c r="A157" s="1">
        <v>45904</v>
      </c>
      <c r="B157" t="s">
        <v>261</v>
      </c>
      <c r="C157" t="s">
        <v>695</v>
      </c>
      <c r="D157" t="s">
        <v>19</v>
      </c>
      <c r="E157" t="s">
        <v>30</v>
      </c>
      <c r="G157" s="2">
        <v>89999.999500000005</v>
      </c>
      <c r="H157" s="2">
        <v>-1113879.6531</v>
      </c>
      <c r="J157" t="s">
        <v>696</v>
      </c>
      <c r="K157" t="s">
        <v>697</v>
      </c>
      <c r="L157" t="s">
        <v>23</v>
      </c>
      <c r="M157" t="s">
        <v>24</v>
      </c>
      <c r="N157" s="5">
        <v>256779417346</v>
      </c>
    </row>
    <row r="158" spans="1:14" x14ac:dyDescent="0.35">
      <c r="A158" s="1">
        <v>45904</v>
      </c>
      <c r="B158" t="s">
        <v>698</v>
      </c>
      <c r="C158" t="s">
        <v>699</v>
      </c>
      <c r="D158" t="s">
        <v>700</v>
      </c>
      <c r="E158" t="s">
        <v>189</v>
      </c>
      <c r="G158" s="2">
        <v>-2520.8598000000002</v>
      </c>
      <c r="H158" s="2">
        <v>-1111358.7933</v>
      </c>
      <c r="J158" t="s">
        <v>701</v>
      </c>
      <c r="K158" t="s">
        <v>702</v>
      </c>
      <c r="L158" t="s">
        <v>23</v>
      </c>
      <c r="M158" t="s">
        <v>24</v>
      </c>
      <c r="N158" s="5">
        <v>7360258</v>
      </c>
    </row>
    <row r="159" spans="1:14" x14ac:dyDescent="0.35">
      <c r="A159" s="1">
        <v>45904</v>
      </c>
      <c r="B159" t="s">
        <v>698</v>
      </c>
      <c r="C159" t="s">
        <v>703</v>
      </c>
      <c r="D159" t="s">
        <v>700</v>
      </c>
      <c r="E159" t="s">
        <v>189</v>
      </c>
      <c r="G159" s="2">
        <v>-2520.8598000000002</v>
      </c>
      <c r="H159" s="2">
        <v>-1108837.9335</v>
      </c>
      <c r="J159" t="s">
        <v>701</v>
      </c>
      <c r="K159" t="s">
        <v>704</v>
      </c>
      <c r="L159" t="s">
        <v>23</v>
      </c>
      <c r="M159" t="s">
        <v>24</v>
      </c>
      <c r="N159" s="5">
        <v>7360257</v>
      </c>
    </row>
    <row r="160" spans="1:14" x14ac:dyDescent="0.35">
      <c r="A160" s="1">
        <v>45904</v>
      </c>
      <c r="B160" t="s">
        <v>698</v>
      </c>
      <c r="C160" t="s">
        <v>705</v>
      </c>
      <c r="D160" t="s">
        <v>700</v>
      </c>
      <c r="E160" t="s">
        <v>189</v>
      </c>
      <c r="G160" s="2">
        <v>-2604.8885</v>
      </c>
      <c r="H160" s="2">
        <v>-1106233.0449999999</v>
      </c>
      <c r="J160" t="s">
        <v>706</v>
      </c>
      <c r="K160" t="s">
        <v>707</v>
      </c>
      <c r="L160" t="s">
        <v>23</v>
      </c>
      <c r="M160" t="s">
        <v>24</v>
      </c>
      <c r="N160" s="5">
        <v>7360259</v>
      </c>
    </row>
    <row r="161" spans="1:14" x14ac:dyDescent="0.35">
      <c r="A161" s="1">
        <v>45904</v>
      </c>
      <c r="B161" t="s">
        <v>698</v>
      </c>
      <c r="C161" t="s">
        <v>708</v>
      </c>
      <c r="D161" t="s">
        <v>700</v>
      </c>
      <c r="E161" t="s">
        <v>189</v>
      </c>
      <c r="G161" s="2">
        <v>-138252.1</v>
      </c>
      <c r="H161" s="2">
        <v>-967980.94499999995</v>
      </c>
      <c r="J161" t="s">
        <v>709</v>
      </c>
      <c r="K161" t="s">
        <v>710</v>
      </c>
      <c r="L161" t="s">
        <v>23</v>
      </c>
      <c r="M161" t="s">
        <v>24</v>
      </c>
      <c r="N161" s="5">
        <v>7360262</v>
      </c>
    </row>
    <row r="162" spans="1:14" x14ac:dyDescent="0.35">
      <c r="A162" s="1">
        <v>45924</v>
      </c>
      <c r="B162" t="s">
        <v>261</v>
      </c>
      <c r="C162" t="s">
        <v>711</v>
      </c>
      <c r="D162" t="s">
        <v>19</v>
      </c>
      <c r="E162" t="s">
        <v>219</v>
      </c>
      <c r="G162" s="2">
        <v>20344.044699999999</v>
      </c>
      <c r="H162" s="2">
        <v>-988324.98970000003</v>
      </c>
      <c r="J162" t="s">
        <v>712</v>
      </c>
      <c r="K162" t="s">
        <v>713</v>
      </c>
      <c r="L162" t="s">
        <v>23</v>
      </c>
      <c r="M162" t="s">
        <v>24</v>
      </c>
      <c r="N162" s="5">
        <v>256779417818</v>
      </c>
    </row>
    <row r="163" spans="1:14" x14ac:dyDescent="0.35">
      <c r="A163" s="1">
        <v>45924</v>
      </c>
      <c r="B163" t="s">
        <v>261</v>
      </c>
      <c r="C163" t="s">
        <v>714</v>
      </c>
      <c r="D163" t="s">
        <v>19</v>
      </c>
      <c r="E163" t="s">
        <v>63</v>
      </c>
      <c r="G163" s="2">
        <v>9237.0144</v>
      </c>
      <c r="H163" s="2">
        <v>-997562.00410000002</v>
      </c>
      <c r="J163" t="s">
        <v>715</v>
      </c>
      <c r="K163" t="s">
        <v>716</v>
      </c>
      <c r="L163" t="s">
        <v>23</v>
      </c>
      <c r="M163" t="s">
        <v>24</v>
      </c>
      <c r="N163" s="5">
        <v>256779417818</v>
      </c>
    </row>
    <row r="164" spans="1:14" x14ac:dyDescent="0.35">
      <c r="A164" s="1">
        <v>45918</v>
      </c>
      <c r="B164" t="s">
        <v>261</v>
      </c>
      <c r="C164" t="s">
        <v>717</v>
      </c>
      <c r="D164" t="s">
        <v>19</v>
      </c>
      <c r="E164" t="s">
        <v>453</v>
      </c>
      <c r="G164" s="2">
        <v>1923.9464</v>
      </c>
      <c r="H164" s="2">
        <v>-999485.95050000004</v>
      </c>
      <c r="J164" t="s">
        <v>718</v>
      </c>
      <c r="K164" t="s">
        <v>719</v>
      </c>
      <c r="L164" t="s">
        <v>23</v>
      </c>
      <c r="M164" t="s">
        <v>24</v>
      </c>
      <c r="N164" s="5">
        <v>256779417526</v>
      </c>
    </row>
    <row r="165" spans="1:14" x14ac:dyDescent="0.35">
      <c r="A165" s="1">
        <v>45918</v>
      </c>
      <c r="B165" t="s">
        <v>261</v>
      </c>
      <c r="C165" t="s">
        <v>720</v>
      </c>
      <c r="D165" t="s">
        <v>19</v>
      </c>
      <c r="E165" t="s">
        <v>385</v>
      </c>
      <c r="G165" s="2">
        <v>25205.5864</v>
      </c>
      <c r="H165" s="2">
        <v>-1024691.5368999999</v>
      </c>
      <c r="J165" t="s">
        <v>721</v>
      </c>
      <c r="K165" t="s">
        <v>722</v>
      </c>
      <c r="L165" t="s">
        <v>23</v>
      </c>
      <c r="M165" t="s">
        <v>24</v>
      </c>
      <c r="N165" s="5">
        <v>256779417568</v>
      </c>
    </row>
    <row r="166" spans="1:14" x14ac:dyDescent="0.35">
      <c r="A166" s="1">
        <v>45940</v>
      </c>
      <c r="B166" t="s">
        <v>300</v>
      </c>
      <c r="C166" t="s">
        <v>723</v>
      </c>
      <c r="D166" t="s">
        <v>37</v>
      </c>
      <c r="E166" t="s">
        <v>63</v>
      </c>
      <c r="G166" s="2">
        <v>-9237.0144</v>
      </c>
      <c r="H166" s="2">
        <v>-1015454.5225</v>
      </c>
      <c r="J166" t="s">
        <v>724</v>
      </c>
      <c r="K166" t="s">
        <v>725</v>
      </c>
      <c r="L166" t="s">
        <v>23</v>
      </c>
      <c r="M166" t="s">
        <v>24</v>
      </c>
      <c r="N166" s="5">
        <v>256779417818</v>
      </c>
    </row>
    <row r="167" spans="1:14" x14ac:dyDescent="0.35">
      <c r="A167" s="1">
        <v>45940</v>
      </c>
      <c r="B167" t="s">
        <v>698</v>
      </c>
      <c r="C167" t="s">
        <v>726</v>
      </c>
      <c r="D167" t="s">
        <v>727</v>
      </c>
      <c r="E167" t="s">
        <v>189</v>
      </c>
      <c r="G167" s="2">
        <v>138252.1</v>
      </c>
      <c r="H167" s="2">
        <v>-1153706.6225000001</v>
      </c>
      <c r="J167" t="s">
        <v>683</v>
      </c>
      <c r="K167" t="s">
        <v>728</v>
      </c>
      <c r="L167" t="s">
        <v>23</v>
      </c>
      <c r="M167" t="s">
        <v>24</v>
      </c>
      <c r="N167" s="5">
        <v>1005</v>
      </c>
    </row>
    <row r="168" spans="1:14" x14ac:dyDescent="0.35">
      <c r="A168" s="1">
        <v>45940</v>
      </c>
      <c r="B168" t="s">
        <v>698</v>
      </c>
      <c r="C168" t="s">
        <v>729</v>
      </c>
      <c r="D168" t="s">
        <v>727</v>
      </c>
      <c r="E168" t="s">
        <v>189</v>
      </c>
      <c r="G168" s="2">
        <v>2520.8598000000002</v>
      </c>
      <c r="H168" s="2">
        <v>-1156227.4823</v>
      </c>
      <c r="J168" t="s">
        <v>730</v>
      </c>
      <c r="K168" t="s">
        <v>731</v>
      </c>
      <c r="L168" t="s">
        <v>23</v>
      </c>
      <c r="M168" t="s">
        <v>24</v>
      </c>
      <c r="N168" s="5">
        <v>1002</v>
      </c>
    </row>
    <row r="169" spans="1:14" x14ac:dyDescent="0.35">
      <c r="A169" s="1">
        <v>45940</v>
      </c>
      <c r="B169" t="s">
        <v>698</v>
      </c>
      <c r="C169" t="s">
        <v>732</v>
      </c>
      <c r="D169" t="s">
        <v>727</v>
      </c>
      <c r="E169" t="s">
        <v>189</v>
      </c>
      <c r="G169" s="2">
        <v>2520.8598000000002</v>
      </c>
      <c r="H169" s="2">
        <v>-1158748.3421</v>
      </c>
      <c r="J169" t="s">
        <v>730</v>
      </c>
      <c r="K169" t="s">
        <v>733</v>
      </c>
      <c r="L169" t="s">
        <v>23</v>
      </c>
      <c r="M169" t="s">
        <v>24</v>
      </c>
      <c r="N169" s="5">
        <v>1003</v>
      </c>
    </row>
    <row r="170" spans="1:14" x14ac:dyDescent="0.35">
      <c r="A170" s="1">
        <v>45940</v>
      </c>
      <c r="B170" t="s">
        <v>698</v>
      </c>
      <c r="C170" t="s">
        <v>734</v>
      </c>
      <c r="D170" t="s">
        <v>727</v>
      </c>
      <c r="E170" t="s">
        <v>189</v>
      </c>
      <c r="G170" s="2">
        <v>2604.8885</v>
      </c>
      <c r="H170" s="2">
        <v>-1161353.2305999999</v>
      </c>
      <c r="J170" t="s">
        <v>735</v>
      </c>
      <c r="K170" t="s">
        <v>736</v>
      </c>
      <c r="L170" t="s">
        <v>23</v>
      </c>
      <c r="M170" t="s">
        <v>24</v>
      </c>
      <c r="N170" s="5">
        <v>1004</v>
      </c>
    </row>
    <row r="171" spans="1:14" x14ac:dyDescent="0.35">
      <c r="A171" s="1">
        <v>45917</v>
      </c>
      <c r="B171" t="s">
        <v>261</v>
      </c>
      <c r="C171" t="s">
        <v>737</v>
      </c>
      <c r="D171" t="s">
        <v>19</v>
      </c>
      <c r="E171" t="s">
        <v>738</v>
      </c>
      <c r="G171" s="2">
        <v>8576.4330000000009</v>
      </c>
      <c r="H171" s="2">
        <v>-1169929.6636000001</v>
      </c>
      <c r="J171" t="s">
        <v>216</v>
      </c>
      <c r="K171" t="s">
        <v>739</v>
      </c>
      <c r="L171" t="s">
        <v>23</v>
      </c>
      <c r="M171" t="s">
        <v>24</v>
      </c>
      <c r="N171" s="5">
        <v>256779417434</v>
      </c>
    </row>
    <row r="172" spans="1:14" x14ac:dyDescent="0.35">
      <c r="A172" s="1">
        <v>45918</v>
      </c>
      <c r="B172" t="s">
        <v>261</v>
      </c>
      <c r="C172" t="s">
        <v>740</v>
      </c>
      <c r="D172" t="s">
        <v>19</v>
      </c>
      <c r="E172" t="s">
        <v>63</v>
      </c>
      <c r="G172" s="2">
        <v>7876.433</v>
      </c>
      <c r="H172" s="2">
        <v>-1177806.0966</v>
      </c>
      <c r="J172" t="s">
        <v>403</v>
      </c>
      <c r="K172" t="s">
        <v>741</v>
      </c>
      <c r="L172" t="s">
        <v>23</v>
      </c>
      <c r="M172" t="s">
        <v>24</v>
      </c>
      <c r="N172" s="5">
        <v>256779417490</v>
      </c>
    </row>
    <row r="173" spans="1:14" x14ac:dyDescent="0.35">
      <c r="A173" s="1">
        <v>45918</v>
      </c>
      <c r="B173" t="s">
        <v>261</v>
      </c>
      <c r="C173" t="s">
        <v>742</v>
      </c>
      <c r="D173" t="s">
        <v>19</v>
      </c>
      <c r="E173" t="s">
        <v>189</v>
      </c>
      <c r="G173" s="2">
        <v>64322.747499999998</v>
      </c>
      <c r="H173" s="2">
        <v>-1242128.8441000001</v>
      </c>
      <c r="J173" t="s">
        <v>743</v>
      </c>
      <c r="K173" t="s">
        <v>744</v>
      </c>
      <c r="L173" t="s">
        <v>23</v>
      </c>
      <c r="M173" t="s">
        <v>24</v>
      </c>
      <c r="N173" s="5">
        <v>256779417490</v>
      </c>
    </row>
    <row r="174" spans="1:14" x14ac:dyDescent="0.35">
      <c r="A174" s="1">
        <v>45918</v>
      </c>
      <c r="B174" t="s">
        <v>261</v>
      </c>
      <c r="C174" t="s">
        <v>745</v>
      </c>
      <c r="D174" t="s">
        <v>19</v>
      </c>
      <c r="E174" t="s">
        <v>54</v>
      </c>
      <c r="G174" s="2">
        <v>3042.15</v>
      </c>
      <c r="H174" s="2">
        <v>-1245170.9941</v>
      </c>
      <c r="J174" t="s">
        <v>175</v>
      </c>
      <c r="K174" t="s">
        <v>746</v>
      </c>
      <c r="L174" t="s">
        <v>23</v>
      </c>
      <c r="M174" t="s">
        <v>24</v>
      </c>
      <c r="N174" s="5">
        <v>256779417420</v>
      </c>
    </row>
    <row r="175" spans="1:14" x14ac:dyDescent="0.35">
      <c r="A175" s="1">
        <v>45904</v>
      </c>
      <c r="B175" t="s">
        <v>261</v>
      </c>
      <c r="C175" t="s">
        <v>747</v>
      </c>
      <c r="D175" t="s">
        <v>19</v>
      </c>
      <c r="E175" t="s">
        <v>54</v>
      </c>
      <c r="G175" s="2">
        <v>7194.5771000000004</v>
      </c>
      <c r="H175" s="2">
        <v>-1252365.5711999999</v>
      </c>
      <c r="J175" t="s">
        <v>748</v>
      </c>
      <c r="K175" t="s">
        <v>749</v>
      </c>
      <c r="L175" t="s">
        <v>23</v>
      </c>
      <c r="M175" t="s">
        <v>24</v>
      </c>
      <c r="N175" s="5">
        <v>256779417245</v>
      </c>
    </row>
    <row r="176" spans="1:14" x14ac:dyDescent="0.35">
      <c r="A176" s="1">
        <v>45904</v>
      </c>
      <c r="B176" t="s">
        <v>261</v>
      </c>
      <c r="C176" t="s">
        <v>750</v>
      </c>
      <c r="D176" t="s">
        <v>19</v>
      </c>
      <c r="E176" t="s">
        <v>546</v>
      </c>
      <c r="G176" s="2">
        <v>13059.682199999999</v>
      </c>
      <c r="H176" s="2">
        <v>-1265425.2534</v>
      </c>
      <c r="J176" t="s">
        <v>751</v>
      </c>
      <c r="K176" t="s">
        <v>752</v>
      </c>
      <c r="L176" t="s">
        <v>23</v>
      </c>
      <c r="M176" t="s">
        <v>24</v>
      </c>
      <c r="N176" s="5">
        <v>256779417206</v>
      </c>
    </row>
    <row r="177" spans="1:14" x14ac:dyDescent="0.35">
      <c r="A177" s="1">
        <v>45918</v>
      </c>
      <c r="B177" t="s">
        <v>261</v>
      </c>
      <c r="C177" t="s">
        <v>753</v>
      </c>
      <c r="D177" t="s">
        <v>19</v>
      </c>
      <c r="E177" t="s">
        <v>54</v>
      </c>
      <c r="G177" s="2">
        <v>3002.0016000000001</v>
      </c>
      <c r="H177" s="2">
        <v>-1268427.2549999999</v>
      </c>
      <c r="J177" t="s">
        <v>175</v>
      </c>
      <c r="K177" t="s">
        <v>754</v>
      </c>
      <c r="L177" t="s">
        <v>23</v>
      </c>
      <c r="M177" t="s">
        <v>24</v>
      </c>
      <c r="N177" s="5">
        <v>256779417420</v>
      </c>
    </row>
    <row r="178" spans="1:14" x14ac:dyDescent="0.35">
      <c r="A178" s="1">
        <v>45941</v>
      </c>
      <c r="B178" t="s">
        <v>300</v>
      </c>
      <c r="C178" t="s">
        <v>755</v>
      </c>
      <c r="D178" t="s">
        <v>37</v>
      </c>
      <c r="E178" t="s">
        <v>54</v>
      </c>
      <c r="G178" s="2">
        <v>-3042.15</v>
      </c>
      <c r="H178" s="2">
        <v>-1265385.105</v>
      </c>
      <c r="J178" t="s">
        <v>756</v>
      </c>
      <c r="K178" t="s">
        <v>752</v>
      </c>
      <c r="L178" t="s">
        <v>23</v>
      </c>
      <c r="M178" t="s">
        <v>24</v>
      </c>
      <c r="N178" s="5">
        <v>256779417420</v>
      </c>
    </row>
    <row r="179" spans="1:14" x14ac:dyDescent="0.35">
      <c r="A179" s="1">
        <v>45924</v>
      </c>
      <c r="B179" t="s">
        <v>261</v>
      </c>
      <c r="C179" t="s">
        <v>757</v>
      </c>
      <c r="D179" t="s">
        <v>19</v>
      </c>
      <c r="E179" t="s">
        <v>63</v>
      </c>
      <c r="G179" s="2">
        <v>1498.6443999999999</v>
      </c>
      <c r="H179" s="2">
        <v>-1266883.7494000001</v>
      </c>
      <c r="J179" t="s">
        <v>758</v>
      </c>
      <c r="K179" t="s">
        <v>759</v>
      </c>
      <c r="L179" t="s">
        <v>23</v>
      </c>
      <c r="M179" t="s">
        <v>24</v>
      </c>
      <c r="N179" s="5">
        <v>256779417818</v>
      </c>
    </row>
    <row r="180" spans="1:14" x14ac:dyDescent="0.35">
      <c r="A180" s="1">
        <v>45904</v>
      </c>
      <c r="B180" t="s">
        <v>698</v>
      </c>
      <c r="C180" t="s">
        <v>760</v>
      </c>
      <c r="D180" t="s">
        <v>700</v>
      </c>
      <c r="E180" t="s">
        <v>189</v>
      </c>
      <c r="G180" s="2">
        <v>-5316.8885</v>
      </c>
      <c r="H180" s="2">
        <v>-1261566.8609</v>
      </c>
      <c r="J180" t="s">
        <v>761</v>
      </c>
      <c r="K180" t="s">
        <v>762</v>
      </c>
      <c r="L180" t="s">
        <v>23</v>
      </c>
      <c r="M180" t="s">
        <v>24</v>
      </c>
      <c r="N180" s="5">
        <v>7360262</v>
      </c>
    </row>
    <row r="181" spans="1:14" x14ac:dyDescent="0.35">
      <c r="A181" s="1">
        <v>45904</v>
      </c>
      <c r="B181" t="s">
        <v>698</v>
      </c>
      <c r="C181" t="s">
        <v>763</v>
      </c>
      <c r="D181" t="s">
        <v>700</v>
      </c>
      <c r="E181" t="s">
        <v>189</v>
      </c>
      <c r="G181" s="2">
        <v>-5250.8598000000002</v>
      </c>
      <c r="H181" s="2">
        <v>-1256316.0011</v>
      </c>
      <c r="J181" t="s">
        <v>764</v>
      </c>
      <c r="K181" t="s">
        <v>765</v>
      </c>
      <c r="L181" t="s">
        <v>23</v>
      </c>
      <c r="M181" t="s">
        <v>24</v>
      </c>
      <c r="N181" s="5">
        <v>7360258</v>
      </c>
    </row>
    <row r="182" spans="1:14" x14ac:dyDescent="0.35">
      <c r="A182" s="1">
        <v>45941</v>
      </c>
      <c r="B182" t="s">
        <v>698</v>
      </c>
      <c r="C182" t="s">
        <v>766</v>
      </c>
      <c r="D182" t="s">
        <v>727</v>
      </c>
      <c r="E182" t="s">
        <v>189</v>
      </c>
      <c r="G182" s="2">
        <v>5250.8598000000002</v>
      </c>
      <c r="H182" s="2">
        <v>-1261566.8609</v>
      </c>
      <c r="J182" t="s">
        <v>767</v>
      </c>
      <c r="K182" t="s">
        <v>762</v>
      </c>
      <c r="L182" t="s">
        <v>23</v>
      </c>
      <c r="M182" t="s">
        <v>24</v>
      </c>
      <c r="N182" s="5">
        <v>1008</v>
      </c>
    </row>
    <row r="183" spans="1:14" x14ac:dyDescent="0.35">
      <c r="A183" s="1">
        <v>45904</v>
      </c>
      <c r="B183" t="s">
        <v>698</v>
      </c>
      <c r="C183" t="s">
        <v>768</v>
      </c>
      <c r="D183" t="s">
        <v>700</v>
      </c>
      <c r="E183" t="s">
        <v>189</v>
      </c>
      <c r="G183" s="2">
        <v>-5145.8598000000002</v>
      </c>
      <c r="H183" s="2">
        <v>-1256421.0011</v>
      </c>
      <c r="J183" t="s">
        <v>769</v>
      </c>
      <c r="K183" t="s">
        <v>770</v>
      </c>
      <c r="L183" t="s">
        <v>23</v>
      </c>
      <c r="M183" t="s">
        <v>24</v>
      </c>
      <c r="N183" s="5">
        <v>7360258</v>
      </c>
    </row>
    <row r="184" spans="1:14" x14ac:dyDescent="0.35">
      <c r="A184" s="1">
        <v>45904</v>
      </c>
      <c r="B184" t="s">
        <v>698</v>
      </c>
      <c r="C184" t="s">
        <v>771</v>
      </c>
      <c r="D184" t="s">
        <v>700</v>
      </c>
      <c r="E184" t="s">
        <v>189</v>
      </c>
      <c r="G184" s="2">
        <v>-5145.8598000000002</v>
      </c>
      <c r="H184" s="2">
        <v>-1251275.1413</v>
      </c>
      <c r="J184" t="s">
        <v>769</v>
      </c>
      <c r="K184" t="s">
        <v>772</v>
      </c>
      <c r="L184" t="s">
        <v>23</v>
      </c>
      <c r="M184" t="s">
        <v>24</v>
      </c>
      <c r="N184" s="5">
        <v>7360257</v>
      </c>
    </row>
    <row r="185" spans="1:14" x14ac:dyDescent="0.35">
      <c r="A185" s="1">
        <v>45904</v>
      </c>
      <c r="B185" t="s">
        <v>698</v>
      </c>
      <c r="C185" t="s">
        <v>773</v>
      </c>
      <c r="D185" t="s">
        <v>700</v>
      </c>
      <c r="E185" t="s">
        <v>189</v>
      </c>
      <c r="G185" s="2">
        <v>-5316.8885</v>
      </c>
      <c r="H185" s="2">
        <v>-1245958.2527999999</v>
      </c>
      <c r="J185" t="s">
        <v>761</v>
      </c>
      <c r="K185" t="s">
        <v>774</v>
      </c>
      <c r="L185" t="s">
        <v>23</v>
      </c>
      <c r="M185" t="s">
        <v>24</v>
      </c>
      <c r="N185" s="5">
        <v>7360259</v>
      </c>
    </row>
    <row r="186" spans="1:14" x14ac:dyDescent="0.35">
      <c r="A186" s="1">
        <v>45959</v>
      </c>
      <c r="B186" t="s">
        <v>280</v>
      </c>
      <c r="C186" t="s">
        <v>775</v>
      </c>
      <c r="D186" t="s">
        <v>776</v>
      </c>
      <c r="E186" t="s">
        <v>434</v>
      </c>
      <c r="F186" s="2">
        <v>153004.0963</v>
      </c>
      <c r="G186" s="2"/>
      <c r="H186" s="2">
        <v>-1092954.1565</v>
      </c>
      <c r="I186" t="s">
        <v>777</v>
      </c>
      <c r="K186" t="s">
        <v>778</v>
      </c>
      <c r="L186" t="s">
        <v>75</v>
      </c>
      <c r="M186" t="s">
        <v>24</v>
      </c>
      <c r="N186" s="5">
        <v>7360566</v>
      </c>
    </row>
    <row r="187" spans="1:14" x14ac:dyDescent="0.35">
      <c r="A187" s="1">
        <v>45935</v>
      </c>
      <c r="B187" t="s">
        <v>261</v>
      </c>
      <c r="C187" t="s">
        <v>779</v>
      </c>
      <c r="D187" t="s">
        <v>19</v>
      </c>
      <c r="E187" t="s">
        <v>30</v>
      </c>
      <c r="G187" s="2">
        <v>89999.522899999996</v>
      </c>
      <c r="H187" s="2">
        <v>-1182953.6794</v>
      </c>
      <c r="J187" t="s">
        <v>780</v>
      </c>
      <c r="K187" t="s">
        <v>781</v>
      </c>
      <c r="L187" t="s">
        <v>23</v>
      </c>
      <c r="M187" t="s">
        <v>24</v>
      </c>
      <c r="N187" s="5">
        <v>256779417873</v>
      </c>
    </row>
    <row r="188" spans="1:14" x14ac:dyDescent="0.35">
      <c r="A188" s="1">
        <v>45935</v>
      </c>
      <c r="B188" t="s">
        <v>261</v>
      </c>
      <c r="C188" t="s">
        <v>782</v>
      </c>
      <c r="D188" t="s">
        <v>19</v>
      </c>
      <c r="E188" t="s">
        <v>46</v>
      </c>
      <c r="G188" s="2">
        <v>34299.965300000003</v>
      </c>
      <c r="H188" s="2">
        <v>-1217253.6447000001</v>
      </c>
      <c r="J188" t="s">
        <v>783</v>
      </c>
      <c r="K188" t="s">
        <v>784</v>
      </c>
      <c r="L188" t="s">
        <v>23</v>
      </c>
      <c r="M188" t="s">
        <v>24</v>
      </c>
      <c r="N188" s="5">
        <v>256779417874</v>
      </c>
    </row>
    <row r="189" spans="1:14" x14ac:dyDescent="0.35">
      <c r="A189" s="1">
        <v>45935</v>
      </c>
      <c r="B189" t="s">
        <v>261</v>
      </c>
      <c r="C189" t="s">
        <v>785</v>
      </c>
      <c r="D189" t="s">
        <v>19</v>
      </c>
      <c r="E189" t="s">
        <v>63</v>
      </c>
      <c r="G189" s="2">
        <v>7937</v>
      </c>
      <c r="H189" s="2">
        <v>-1225190.6447000001</v>
      </c>
      <c r="J189" t="s">
        <v>403</v>
      </c>
      <c r="K189" t="s">
        <v>786</v>
      </c>
      <c r="L189" t="s">
        <v>23</v>
      </c>
      <c r="M189" t="s">
        <v>24</v>
      </c>
      <c r="N189" s="5">
        <v>256779418095</v>
      </c>
    </row>
    <row r="190" spans="1:14" x14ac:dyDescent="0.35">
      <c r="A190" s="1">
        <v>45935</v>
      </c>
      <c r="B190" t="s">
        <v>261</v>
      </c>
      <c r="C190" t="s">
        <v>787</v>
      </c>
      <c r="D190" t="s">
        <v>19</v>
      </c>
      <c r="E190" t="s">
        <v>189</v>
      </c>
      <c r="G190" s="2">
        <v>64819.5</v>
      </c>
      <c r="H190" s="2">
        <v>-1290010.1447000001</v>
      </c>
      <c r="J190" t="s">
        <v>743</v>
      </c>
      <c r="K190" t="s">
        <v>788</v>
      </c>
      <c r="L190" t="s">
        <v>23</v>
      </c>
      <c r="M190" t="s">
        <v>24</v>
      </c>
      <c r="N190" s="5">
        <v>256779418095</v>
      </c>
    </row>
    <row r="191" spans="1:14" x14ac:dyDescent="0.35">
      <c r="A191" s="1">
        <v>45935</v>
      </c>
      <c r="B191" t="s">
        <v>261</v>
      </c>
      <c r="C191" t="s">
        <v>789</v>
      </c>
      <c r="D191" t="s">
        <v>19</v>
      </c>
      <c r="E191" t="s">
        <v>453</v>
      </c>
      <c r="F191" s="2"/>
      <c r="G191" s="2">
        <v>11795.171200000001</v>
      </c>
      <c r="H191" s="2">
        <v>-1301805.3159</v>
      </c>
      <c r="J191" t="s">
        <v>790</v>
      </c>
      <c r="K191" t="s">
        <v>791</v>
      </c>
      <c r="L191" t="s">
        <v>23</v>
      </c>
      <c r="M191" t="s">
        <v>24</v>
      </c>
      <c r="N191" s="5">
        <v>256779417979</v>
      </c>
    </row>
    <row r="192" spans="1:14" x14ac:dyDescent="0.35">
      <c r="A192" s="1">
        <v>45961</v>
      </c>
      <c r="B192" t="s">
        <v>280</v>
      </c>
      <c r="C192" t="s">
        <v>792</v>
      </c>
      <c r="D192" t="s">
        <v>793</v>
      </c>
      <c r="E192" t="s">
        <v>434</v>
      </c>
      <c r="F192" s="2">
        <v>176448.3726</v>
      </c>
      <c r="G192" s="2"/>
      <c r="H192" s="2">
        <v>-1125356.9432999999</v>
      </c>
      <c r="I192" t="s">
        <v>658</v>
      </c>
      <c r="K192" t="s">
        <v>794</v>
      </c>
      <c r="L192" t="s">
        <v>75</v>
      </c>
      <c r="M192" t="s">
        <v>24</v>
      </c>
    </row>
    <row r="193" spans="1:14" x14ac:dyDescent="0.35">
      <c r="A193" s="1">
        <v>45961</v>
      </c>
      <c r="B193" t="s">
        <v>280</v>
      </c>
      <c r="C193" t="s">
        <v>795</v>
      </c>
      <c r="D193" t="s">
        <v>796</v>
      </c>
      <c r="E193" t="s">
        <v>434</v>
      </c>
      <c r="F193" s="2">
        <v>916796.68830000004</v>
      </c>
      <c r="G193" s="2"/>
      <c r="H193" s="2">
        <v>-208560.255</v>
      </c>
      <c r="I193" t="s">
        <v>797</v>
      </c>
      <c r="K193" t="s">
        <v>798</v>
      </c>
      <c r="L193" t="s">
        <v>75</v>
      </c>
      <c r="M193" t="s">
        <v>24</v>
      </c>
    </row>
    <row r="194" spans="1:14" x14ac:dyDescent="0.35">
      <c r="A194" s="1">
        <v>45935</v>
      </c>
      <c r="B194" t="s">
        <v>261</v>
      </c>
      <c r="C194" t="s">
        <v>799</v>
      </c>
      <c r="D194" t="s">
        <v>19</v>
      </c>
      <c r="E194" t="s">
        <v>546</v>
      </c>
      <c r="G194" s="2">
        <v>2432.5484999999999</v>
      </c>
      <c r="H194" s="2">
        <v>-210992.80350000001</v>
      </c>
      <c r="J194" t="s">
        <v>800</v>
      </c>
      <c r="K194" t="s">
        <v>801</v>
      </c>
      <c r="L194" t="s">
        <v>802</v>
      </c>
      <c r="M194" t="s">
        <v>24</v>
      </c>
      <c r="N194" s="5">
        <v>256779417902</v>
      </c>
    </row>
    <row r="195" spans="1:14" x14ac:dyDescent="0.35">
      <c r="A195" s="1">
        <v>45935</v>
      </c>
      <c r="B195" t="s">
        <v>261</v>
      </c>
      <c r="C195" t="s">
        <v>803</v>
      </c>
      <c r="D195" t="s">
        <v>19</v>
      </c>
      <c r="E195" t="s">
        <v>385</v>
      </c>
      <c r="G195" s="2">
        <v>28649.985000000001</v>
      </c>
      <c r="H195" s="2">
        <v>-239642.7885</v>
      </c>
      <c r="J195" t="s">
        <v>804</v>
      </c>
      <c r="K195" t="s">
        <v>805</v>
      </c>
      <c r="L195" t="s">
        <v>806</v>
      </c>
      <c r="M195" t="s">
        <v>24</v>
      </c>
      <c r="N195" s="5">
        <v>256779417940</v>
      </c>
    </row>
    <row r="196" spans="1:14" x14ac:dyDescent="0.35">
      <c r="A196" s="1">
        <v>45935</v>
      </c>
      <c r="B196" t="s">
        <v>261</v>
      </c>
      <c r="C196" t="s">
        <v>807</v>
      </c>
      <c r="D196" t="s">
        <v>19</v>
      </c>
      <c r="E196" t="s">
        <v>54</v>
      </c>
      <c r="G196" s="2">
        <v>25349.127</v>
      </c>
      <c r="H196" s="2">
        <v>-264991.9155</v>
      </c>
      <c r="J196" t="s">
        <v>808</v>
      </c>
      <c r="K196" t="s">
        <v>809</v>
      </c>
      <c r="L196" t="s">
        <v>810</v>
      </c>
      <c r="M196" t="s">
        <v>24</v>
      </c>
      <c r="N196" s="5">
        <v>256779418400</v>
      </c>
    </row>
    <row r="197" spans="1:14" x14ac:dyDescent="0.35">
      <c r="A197" s="1">
        <v>45950</v>
      </c>
      <c r="B197" t="s">
        <v>261</v>
      </c>
      <c r="C197" t="s">
        <v>811</v>
      </c>
      <c r="D197" t="s">
        <v>19</v>
      </c>
      <c r="E197" t="s">
        <v>189</v>
      </c>
      <c r="F197" s="2"/>
      <c r="G197" s="2">
        <v>64819.5</v>
      </c>
      <c r="H197" s="2">
        <v>-329811.4155</v>
      </c>
      <c r="J197" t="s">
        <v>743</v>
      </c>
      <c r="K197" t="s">
        <v>812</v>
      </c>
      <c r="L197" t="s">
        <v>813</v>
      </c>
      <c r="M197" t="s">
        <v>24</v>
      </c>
      <c r="N197" s="5">
        <v>256779418621</v>
      </c>
    </row>
    <row r="198" spans="1:14" x14ac:dyDescent="0.35">
      <c r="A198" s="1">
        <v>45950</v>
      </c>
      <c r="B198" t="s">
        <v>261</v>
      </c>
      <c r="C198" t="s">
        <v>814</v>
      </c>
      <c r="D198" t="s">
        <v>19</v>
      </c>
      <c r="E198" t="s">
        <v>63</v>
      </c>
      <c r="F198" s="2"/>
      <c r="G198" s="2">
        <v>7937</v>
      </c>
      <c r="H198" s="2">
        <v>-337748.4155</v>
      </c>
      <c r="J198" t="s">
        <v>403</v>
      </c>
      <c r="K198" t="s">
        <v>815</v>
      </c>
      <c r="L198" t="s">
        <v>816</v>
      </c>
      <c r="M198" t="s">
        <v>24</v>
      </c>
      <c r="N198" s="5">
        <v>256779418621</v>
      </c>
    </row>
    <row r="199" spans="1:14" x14ac:dyDescent="0.35">
      <c r="A199" s="1">
        <v>45950</v>
      </c>
      <c r="B199" t="s">
        <v>261</v>
      </c>
      <c r="C199" t="s">
        <v>817</v>
      </c>
      <c r="D199" t="s">
        <v>19</v>
      </c>
      <c r="E199" t="s">
        <v>54</v>
      </c>
      <c r="F199" s="2"/>
      <c r="G199" s="2">
        <v>3024.65</v>
      </c>
      <c r="H199" s="2">
        <v>-340773.06550000003</v>
      </c>
      <c r="J199" t="s">
        <v>175</v>
      </c>
      <c r="K199" t="s">
        <v>818</v>
      </c>
      <c r="L199" t="s">
        <v>819</v>
      </c>
      <c r="M199" t="s">
        <v>24</v>
      </c>
      <c r="N199" s="5">
        <v>256779418633</v>
      </c>
    </row>
    <row r="200" spans="1:14" x14ac:dyDescent="0.35">
      <c r="A200" s="1">
        <v>45950</v>
      </c>
      <c r="B200" t="s">
        <v>261</v>
      </c>
      <c r="C200" t="s">
        <v>820</v>
      </c>
      <c r="D200" t="s">
        <v>19</v>
      </c>
      <c r="E200" t="s">
        <v>385</v>
      </c>
      <c r="G200" s="2">
        <v>25400.159100000001</v>
      </c>
      <c r="H200" s="2">
        <v>-366173.22460000002</v>
      </c>
      <c r="J200" t="s">
        <v>721</v>
      </c>
      <c r="K200" t="s">
        <v>821</v>
      </c>
      <c r="L200" t="s">
        <v>822</v>
      </c>
      <c r="M200" t="s">
        <v>24</v>
      </c>
      <c r="N200" s="5">
        <v>256779418663</v>
      </c>
    </row>
    <row r="201" spans="1:14" x14ac:dyDescent="0.35">
      <c r="A201" s="1">
        <v>45937</v>
      </c>
      <c r="B201" t="s">
        <v>261</v>
      </c>
      <c r="C201" t="s">
        <v>823</v>
      </c>
      <c r="D201" t="s">
        <v>19</v>
      </c>
      <c r="E201" t="s">
        <v>54</v>
      </c>
      <c r="G201" s="2">
        <v>14970.2718</v>
      </c>
      <c r="H201" s="2">
        <v>-381143.4964</v>
      </c>
      <c r="J201" t="s">
        <v>824</v>
      </c>
      <c r="K201" t="s">
        <v>825</v>
      </c>
      <c r="L201" t="s">
        <v>826</v>
      </c>
      <c r="M201" t="s">
        <v>24</v>
      </c>
      <c r="N201" s="5">
        <v>256779418180</v>
      </c>
    </row>
    <row r="202" spans="1:14" x14ac:dyDescent="0.35">
      <c r="A202" s="1">
        <v>45937</v>
      </c>
      <c r="B202" t="s">
        <v>261</v>
      </c>
      <c r="C202" t="s">
        <v>827</v>
      </c>
      <c r="D202" t="s">
        <v>19</v>
      </c>
      <c r="E202" t="s">
        <v>738</v>
      </c>
      <c r="G202" s="2">
        <v>8643</v>
      </c>
      <c r="H202" s="2">
        <v>-389786.4964</v>
      </c>
      <c r="J202" t="s">
        <v>216</v>
      </c>
      <c r="K202" t="s">
        <v>828</v>
      </c>
      <c r="L202" t="s">
        <v>829</v>
      </c>
      <c r="M202" t="s">
        <v>24</v>
      </c>
      <c r="N202" s="5">
        <v>256779418170</v>
      </c>
    </row>
    <row r="203" spans="1:14" x14ac:dyDescent="0.35">
      <c r="A203" s="1">
        <v>45966</v>
      </c>
      <c r="B203" t="s">
        <v>261</v>
      </c>
      <c r="C203" t="s">
        <v>830</v>
      </c>
      <c r="D203" t="s">
        <v>19</v>
      </c>
      <c r="E203" t="s">
        <v>54</v>
      </c>
      <c r="G203" s="2">
        <v>30281.439999999999</v>
      </c>
      <c r="H203" s="2">
        <v>-420067.93640000001</v>
      </c>
      <c r="J203" t="s">
        <v>831</v>
      </c>
      <c r="K203" t="s">
        <v>832</v>
      </c>
      <c r="L203" t="s">
        <v>833</v>
      </c>
      <c r="M203" t="s">
        <v>24</v>
      </c>
      <c r="N203" s="5">
        <v>256779418820</v>
      </c>
    </row>
    <row r="204" spans="1:14" x14ac:dyDescent="0.35">
      <c r="A204" s="1">
        <v>45950</v>
      </c>
      <c r="B204" t="s">
        <v>261</v>
      </c>
      <c r="C204" t="s">
        <v>834</v>
      </c>
      <c r="D204" t="s">
        <v>19</v>
      </c>
      <c r="E204" t="s">
        <v>453</v>
      </c>
      <c r="G204" s="2">
        <v>849.90769999999998</v>
      </c>
      <c r="H204" s="2">
        <v>-420917.84409999999</v>
      </c>
      <c r="J204" t="s">
        <v>835</v>
      </c>
      <c r="K204" t="s">
        <v>836</v>
      </c>
      <c r="L204" t="s">
        <v>837</v>
      </c>
      <c r="M204" t="s">
        <v>24</v>
      </c>
      <c r="N204" s="5">
        <v>256779418703</v>
      </c>
    </row>
    <row r="205" spans="1:14" x14ac:dyDescent="0.35">
      <c r="A205" s="1">
        <v>45966</v>
      </c>
      <c r="B205" t="s">
        <v>261</v>
      </c>
      <c r="C205" t="s">
        <v>838</v>
      </c>
      <c r="D205" t="s">
        <v>19</v>
      </c>
      <c r="E205" t="s">
        <v>453</v>
      </c>
      <c r="G205" s="2">
        <v>708.50779999999997</v>
      </c>
      <c r="H205" s="2">
        <v>-421626.35190000001</v>
      </c>
      <c r="J205" t="s">
        <v>839</v>
      </c>
      <c r="K205" t="s">
        <v>840</v>
      </c>
      <c r="L205" t="s">
        <v>841</v>
      </c>
      <c r="M205" t="s">
        <v>24</v>
      </c>
      <c r="N205" s="5">
        <v>256779419174</v>
      </c>
    </row>
    <row r="206" spans="1:14" x14ac:dyDescent="0.35">
      <c r="A206" s="1">
        <v>45964</v>
      </c>
      <c r="B206" t="s">
        <v>261</v>
      </c>
      <c r="C206" t="s">
        <v>842</v>
      </c>
      <c r="D206" t="s">
        <v>19</v>
      </c>
      <c r="E206" t="s">
        <v>219</v>
      </c>
      <c r="G206" s="2">
        <v>4545.4799999999996</v>
      </c>
      <c r="H206" s="2">
        <v>-426171.83189999999</v>
      </c>
      <c r="J206" t="s">
        <v>843</v>
      </c>
      <c r="K206" t="s">
        <v>844</v>
      </c>
      <c r="L206" t="s">
        <v>845</v>
      </c>
      <c r="M206" t="s">
        <v>24</v>
      </c>
      <c r="N206" s="5">
        <v>256779419130</v>
      </c>
    </row>
    <row r="207" spans="1:14" x14ac:dyDescent="0.35">
      <c r="A207" s="1">
        <v>45966</v>
      </c>
      <c r="B207" t="s">
        <v>261</v>
      </c>
      <c r="C207" t="s">
        <v>846</v>
      </c>
      <c r="D207" t="s">
        <v>19</v>
      </c>
      <c r="E207" t="s">
        <v>63</v>
      </c>
      <c r="G207" s="2">
        <v>7920</v>
      </c>
      <c r="H207" s="2">
        <v>-434091.83189999999</v>
      </c>
      <c r="J207" t="s">
        <v>403</v>
      </c>
      <c r="K207" t="s">
        <v>847</v>
      </c>
      <c r="L207" t="s">
        <v>816</v>
      </c>
      <c r="M207" t="s">
        <v>24</v>
      </c>
      <c r="N207" s="5">
        <v>256779419077</v>
      </c>
    </row>
    <row r="208" spans="1:14" x14ac:dyDescent="0.35">
      <c r="A208" s="1">
        <v>45966</v>
      </c>
      <c r="B208" t="s">
        <v>261</v>
      </c>
      <c r="C208" t="s">
        <v>848</v>
      </c>
      <c r="D208" t="s">
        <v>19</v>
      </c>
      <c r="E208" t="s">
        <v>189</v>
      </c>
      <c r="G208" s="2">
        <v>68992</v>
      </c>
      <c r="H208" s="2">
        <v>-503083.83189999999</v>
      </c>
      <c r="J208" t="s">
        <v>849</v>
      </c>
      <c r="K208" t="s">
        <v>850</v>
      </c>
      <c r="L208" t="s">
        <v>851</v>
      </c>
      <c r="M208" t="s">
        <v>24</v>
      </c>
      <c r="N208" s="5">
        <v>256779419077</v>
      </c>
    </row>
    <row r="209" spans="1:14" x14ac:dyDescent="0.35">
      <c r="A209" s="1">
        <v>45966</v>
      </c>
      <c r="B209" t="s">
        <v>261</v>
      </c>
      <c r="C209" t="s">
        <v>852</v>
      </c>
      <c r="D209" t="s">
        <v>19</v>
      </c>
      <c r="E209" t="s">
        <v>30</v>
      </c>
      <c r="G209" s="2">
        <v>89996.160000000003</v>
      </c>
      <c r="H209" s="2">
        <v>-593079.99190000002</v>
      </c>
      <c r="J209" t="s">
        <v>853</v>
      </c>
      <c r="K209" t="s">
        <v>854</v>
      </c>
      <c r="L209" t="s">
        <v>855</v>
      </c>
      <c r="M209" t="s">
        <v>24</v>
      </c>
      <c r="N209" s="5">
        <v>256779418775</v>
      </c>
    </row>
    <row r="210" spans="1:14" x14ac:dyDescent="0.35">
      <c r="A210" s="1">
        <v>45966</v>
      </c>
      <c r="B210" t="s">
        <v>261</v>
      </c>
      <c r="C210" t="s">
        <v>856</v>
      </c>
      <c r="D210" t="s">
        <v>19</v>
      </c>
      <c r="E210" t="s">
        <v>453</v>
      </c>
      <c r="G210" s="2">
        <v>34298.480000000003</v>
      </c>
      <c r="H210" s="2">
        <v>-627378.4719</v>
      </c>
      <c r="J210" t="s">
        <v>857</v>
      </c>
      <c r="K210" t="s">
        <v>858</v>
      </c>
      <c r="L210" t="s">
        <v>23</v>
      </c>
      <c r="M210" t="s">
        <v>24</v>
      </c>
      <c r="N210" s="5">
        <v>256779418776</v>
      </c>
    </row>
    <row r="211" spans="1:14" x14ac:dyDescent="0.35">
      <c r="A211" s="1">
        <v>46021</v>
      </c>
      <c r="B211" t="s">
        <v>300</v>
      </c>
      <c r="C211" t="s">
        <v>43</v>
      </c>
      <c r="D211" t="s">
        <v>37</v>
      </c>
      <c r="E211" t="s">
        <v>453</v>
      </c>
      <c r="G211" s="2">
        <v>-34298.480000000003</v>
      </c>
      <c r="H211" s="2">
        <v>-593079.99190000002</v>
      </c>
      <c r="J211" t="s">
        <v>859</v>
      </c>
      <c r="K211" t="s">
        <v>854</v>
      </c>
      <c r="L211" t="s">
        <v>23</v>
      </c>
      <c r="M211" t="s">
        <v>24</v>
      </c>
      <c r="N211" s="5">
        <v>256779418776</v>
      </c>
    </row>
    <row r="212" spans="1:14" x14ac:dyDescent="0.35">
      <c r="A212" s="1">
        <v>45966</v>
      </c>
      <c r="B212" t="s">
        <v>261</v>
      </c>
      <c r="C212" t="s">
        <v>860</v>
      </c>
      <c r="D212" t="s">
        <v>19</v>
      </c>
      <c r="E212" t="s">
        <v>46</v>
      </c>
      <c r="G212" s="2">
        <v>34299.828200000004</v>
      </c>
      <c r="H212" s="2">
        <v>-627379.82010000001</v>
      </c>
      <c r="J212" t="s">
        <v>857</v>
      </c>
      <c r="K212" t="s">
        <v>858</v>
      </c>
      <c r="L212" t="s">
        <v>861</v>
      </c>
      <c r="M212" t="s">
        <v>24</v>
      </c>
      <c r="N212" s="5">
        <v>256779418776</v>
      </c>
    </row>
    <row r="213" spans="1:14" x14ac:dyDescent="0.35">
      <c r="A213" s="1">
        <v>45981</v>
      </c>
      <c r="B213" t="s">
        <v>261</v>
      </c>
      <c r="C213" t="s">
        <v>862</v>
      </c>
      <c r="D213" t="s">
        <v>19</v>
      </c>
      <c r="E213" t="s">
        <v>453</v>
      </c>
      <c r="G213" s="2">
        <v>9709.4215999999997</v>
      </c>
      <c r="H213" s="2">
        <v>-637089.24170000001</v>
      </c>
      <c r="J213" t="s">
        <v>863</v>
      </c>
      <c r="K213" t="s">
        <v>864</v>
      </c>
      <c r="L213" t="s">
        <v>865</v>
      </c>
      <c r="M213" t="s">
        <v>24</v>
      </c>
      <c r="N213" s="5">
        <v>256779419630</v>
      </c>
    </row>
    <row r="214" spans="1:14" x14ac:dyDescent="0.35">
      <c r="A214" s="1">
        <v>45996</v>
      </c>
      <c r="B214" t="s">
        <v>261</v>
      </c>
      <c r="C214" t="s">
        <v>866</v>
      </c>
      <c r="D214" t="s">
        <v>19</v>
      </c>
      <c r="E214" t="s">
        <v>453</v>
      </c>
      <c r="G214" s="2">
        <v>9607.5776000000005</v>
      </c>
      <c r="H214" s="2">
        <v>-646696.81929999997</v>
      </c>
      <c r="J214" t="s">
        <v>867</v>
      </c>
      <c r="K214" t="s">
        <v>868</v>
      </c>
      <c r="L214" t="s">
        <v>869</v>
      </c>
      <c r="M214" t="s">
        <v>24</v>
      </c>
      <c r="N214" s="5">
        <v>256779419918</v>
      </c>
    </row>
    <row r="215" spans="1:14" x14ac:dyDescent="0.35">
      <c r="A215" s="1">
        <v>45996</v>
      </c>
      <c r="B215" t="s">
        <v>261</v>
      </c>
      <c r="C215" t="s">
        <v>870</v>
      </c>
      <c r="D215" t="s">
        <v>19</v>
      </c>
      <c r="E215" t="s">
        <v>63</v>
      </c>
      <c r="G215" s="2">
        <v>7983</v>
      </c>
      <c r="H215" s="2">
        <v>-654679.81929999997</v>
      </c>
      <c r="J215" t="s">
        <v>403</v>
      </c>
      <c r="K215" t="s">
        <v>871</v>
      </c>
      <c r="L215" t="s">
        <v>816</v>
      </c>
      <c r="M215" t="s">
        <v>24</v>
      </c>
      <c r="N215" s="5">
        <v>256779419796</v>
      </c>
    </row>
    <row r="216" spans="1:14" x14ac:dyDescent="0.35">
      <c r="A216" s="1">
        <v>45996</v>
      </c>
      <c r="B216" t="s">
        <v>261</v>
      </c>
      <c r="C216" t="s">
        <v>872</v>
      </c>
      <c r="D216" t="s">
        <v>19</v>
      </c>
      <c r="E216" t="s">
        <v>189</v>
      </c>
      <c r="G216" s="2">
        <v>65194</v>
      </c>
      <c r="H216" s="2">
        <v>-719873.81929999997</v>
      </c>
      <c r="J216" t="s">
        <v>743</v>
      </c>
      <c r="K216" t="s">
        <v>873</v>
      </c>
      <c r="L216" t="s">
        <v>813</v>
      </c>
      <c r="M216" t="s">
        <v>24</v>
      </c>
      <c r="N216" s="5">
        <v>256779419796</v>
      </c>
    </row>
    <row r="217" spans="1:14" x14ac:dyDescent="0.35">
      <c r="A217" s="1">
        <v>45981</v>
      </c>
      <c r="B217" t="s">
        <v>261</v>
      </c>
      <c r="C217" t="s">
        <v>874</v>
      </c>
      <c r="D217" t="s">
        <v>19</v>
      </c>
      <c r="E217" t="s">
        <v>453</v>
      </c>
      <c r="G217" s="2">
        <v>28590.123800000001</v>
      </c>
      <c r="H217" s="2">
        <v>-748463.94310000003</v>
      </c>
      <c r="J217" t="s">
        <v>804</v>
      </c>
      <c r="K217" t="s">
        <v>875</v>
      </c>
      <c r="L217" t="s">
        <v>806</v>
      </c>
      <c r="M217" t="s">
        <v>24</v>
      </c>
      <c r="N217" s="5">
        <v>256779419590</v>
      </c>
    </row>
    <row r="218" spans="1:14" x14ac:dyDescent="0.35">
      <c r="A218" s="1">
        <v>45997</v>
      </c>
      <c r="B218" t="s">
        <v>261</v>
      </c>
      <c r="C218" t="s">
        <v>876</v>
      </c>
      <c r="D218" t="s">
        <v>19</v>
      </c>
      <c r="E218" t="s">
        <v>546</v>
      </c>
      <c r="G218" s="2">
        <v>5388.5217000000002</v>
      </c>
      <c r="H218" s="2">
        <v>-753852.46479999996</v>
      </c>
      <c r="J218" t="s">
        <v>877</v>
      </c>
      <c r="K218" t="s">
        <v>878</v>
      </c>
      <c r="L218" t="s">
        <v>879</v>
      </c>
      <c r="M218" t="s">
        <v>24</v>
      </c>
      <c r="N218" s="5">
        <v>256779419955</v>
      </c>
    </row>
    <row r="219" spans="1:14" x14ac:dyDescent="0.35">
      <c r="A219" s="1">
        <v>45995</v>
      </c>
      <c r="B219" t="s">
        <v>261</v>
      </c>
      <c r="C219" t="s">
        <v>880</v>
      </c>
      <c r="D219" t="s">
        <v>19</v>
      </c>
      <c r="E219" t="s">
        <v>30</v>
      </c>
      <c r="G219" s="2">
        <v>89999.493000000002</v>
      </c>
      <c r="H219" s="2">
        <v>-843851.95779999997</v>
      </c>
      <c r="J219" t="s">
        <v>881</v>
      </c>
      <c r="K219" t="s">
        <v>882</v>
      </c>
      <c r="L219" t="s">
        <v>883</v>
      </c>
      <c r="M219" t="s">
        <v>24</v>
      </c>
      <c r="N219" s="5">
        <v>256779419968</v>
      </c>
    </row>
    <row r="220" spans="1:14" x14ac:dyDescent="0.35">
      <c r="A220" s="1">
        <v>45995</v>
      </c>
      <c r="B220" t="s">
        <v>261</v>
      </c>
      <c r="C220" t="s">
        <v>884</v>
      </c>
      <c r="D220" t="s">
        <v>19</v>
      </c>
      <c r="E220" t="s">
        <v>30</v>
      </c>
      <c r="G220" s="2">
        <v>34300.133000000002</v>
      </c>
      <c r="H220" s="2">
        <v>-878152.09080000001</v>
      </c>
      <c r="J220" t="s">
        <v>885</v>
      </c>
      <c r="K220" t="s">
        <v>886</v>
      </c>
      <c r="L220" t="s">
        <v>23</v>
      </c>
      <c r="M220" t="s">
        <v>24</v>
      </c>
      <c r="N220" s="5">
        <v>256779419969</v>
      </c>
    </row>
    <row r="221" spans="1:14" x14ac:dyDescent="0.35">
      <c r="A221" s="1">
        <v>46021</v>
      </c>
      <c r="B221" t="s">
        <v>300</v>
      </c>
      <c r="C221" t="s">
        <v>90</v>
      </c>
      <c r="D221" t="s">
        <v>37</v>
      </c>
      <c r="E221" t="s">
        <v>30</v>
      </c>
      <c r="G221" s="2">
        <v>-34300.133000000002</v>
      </c>
      <c r="H221" s="2">
        <v>-843851.95779999997</v>
      </c>
      <c r="J221" t="s">
        <v>887</v>
      </c>
      <c r="K221" t="s">
        <v>882</v>
      </c>
      <c r="L221" t="s">
        <v>23</v>
      </c>
      <c r="M221" t="s">
        <v>24</v>
      </c>
      <c r="N221" s="5">
        <v>256779419969</v>
      </c>
    </row>
    <row r="222" spans="1:14" x14ac:dyDescent="0.35">
      <c r="A222" s="1">
        <v>45995</v>
      </c>
      <c r="B222" t="s">
        <v>261</v>
      </c>
      <c r="C222" t="s">
        <v>888</v>
      </c>
      <c r="D222" t="s">
        <v>19</v>
      </c>
      <c r="E222" t="s">
        <v>46</v>
      </c>
      <c r="G222" s="2">
        <v>34300.133000000002</v>
      </c>
      <c r="H222" s="2">
        <v>-878152.09080000001</v>
      </c>
      <c r="J222" t="s">
        <v>885</v>
      </c>
      <c r="K222" t="s">
        <v>886</v>
      </c>
      <c r="L222" t="s">
        <v>889</v>
      </c>
      <c r="M222" t="s">
        <v>24</v>
      </c>
      <c r="N222" s="5">
        <v>256779419969</v>
      </c>
    </row>
    <row r="223" spans="1:14" x14ac:dyDescent="0.35">
      <c r="A223" s="1">
        <v>45981</v>
      </c>
      <c r="B223" t="s">
        <v>261</v>
      </c>
      <c r="C223" t="s">
        <v>890</v>
      </c>
      <c r="D223" t="s">
        <v>19</v>
      </c>
      <c r="E223" t="s">
        <v>63</v>
      </c>
      <c r="G223" s="2">
        <v>7920.3389999999999</v>
      </c>
      <c r="H223" s="2">
        <v>-886072.42980000004</v>
      </c>
      <c r="J223" t="s">
        <v>403</v>
      </c>
      <c r="K223" t="s">
        <v>891</v>
      </c>
      <c r="L223" t="s">
        <v>816</v>
      </c>
      <c r="M223" t="s">
        <v>24</v>
      </c>
      <c r="N223" s="5">
        <v>256779419558</v>
      </c>
    </row>
    <row r="224" spans="1:14" x14ac:dyDescent="0.35">
      <c r="A224" s="1">
        <v>45981</v>
      </c>
      <c r="B224" t="s">
        <v>261</v>
      </c>
      <c r="C224" t="s">
        <v>892</v>
      </c>
      <c r="D224" t="s">
        <v>19</v>
      </c>
      <c r="E224" t="s">
        <v>189</v>
      </c>
      <c r="G224" s="2">
        <v>64682.542500000003</v>
      </c>
      <c r="H224" s="2">
        <v>-950754.97230000002</v>
      </c>
      <c r="J224" t="s">
        <v>743</v>
      </c>
      <c r="K224" t="s">
        <v>893</v>
      </c>
      <c r="L224" t="s">
        <v>813</v>
      </c>
      <c r="M224" t="s">
        <v>24</v>
      </c>
      <c r="N224" s="5">
        <v>256779419558</v>
      </c>
    </row>
    <row r="225" spans="1:14" x14ac:dyDescent="0.35">
      <c r="A225" s="1">
        <v>45805</v>
      </c>
      <c r="B225" t="s">
        <v>261</v>
      </c>
      <c r="C225" t="s">
        <v>894</v>
      </c>
      <c r="D225" t="s">
        <v>19</v>
      </c>
      <c r="E225" t="s">
        <v>30</v>
      </c>
      <c r="G225" s="2">
        <v>42810.575199999999</v>
      </c>
      <c r="H225" s="2">
        <v>-993565.54749999999</v>
      </c>
      <c r="J225" t="s">
        <v>895</v>
      </c>
      <c r="K225" t="s">
        <v>896</v>
      </c>
      <c r="L225" t="s">
        <v>897</v>
      </c>
      <c r="M225" t="s">
        <v>24</v>
      </c>
      <c r="N225" s="5">
        <v>256779413897</v>
      </c>
    </row>
    <row r="226" spans="1:14" x14ac:dyDescent="0.35">
      <c r="A226" s="1">
        <v>45877</v>
      </c>
      <c r="B226" t="s">
        <v>261</v>
      </c>
      <c r="C226" t="s">
        <v>898</v>
      </c>
      <c r="D226" t="s">
        <v>19</v>
      </c>
      <c r="E226" t="s">
        <v>30</v>
      </c>
      <c r="G226" s="2">
        <v>114392.44259999999</v>
      </c>
      <c r="H226" s="2">
        <v>-1107957.9901000001</v>
      </c>
      <c r="J226" t="s">
        <v>899</v>
      </c>
      <c r="K226" t="s">
        <v>900</v>
      </c>
      <c r="L226" t="s">
        <v>901</v>
      </c>
      <c r="M226" t="s">
        <v>24</v>
      </c>
      <c r="N226" s="5">
        <v>256779416078</v>
      </c>
    </row>
    <row r="227" spans="1:14" x14ac:dyDescent="0.35">
      <c r="A227" s="1">
        <v>45842</v>
      </c>
      <c r="B227" t="s">
        <v>261</v>
      </c>
      <c r="C227" t="s">
        <v>902</v>
      </c>
      <c r="D227" t="s">
        <v>19</v>
      </c>
      <c r="E227" t="s">
        <v>30</v>
      </c>
      <c r="G227" s="2">
        <v>1353.28</v>
      </c>
      <c r="H227" s="2">
        <v>-1109311.2701000001</v>
      </c>
      <c r="J227" t="s">
        <v>903</v>
      </c>
      <c r="K227" t="s">
        <v>904</v>
      </c>
      <c r="L227" t="s">
        <v>905</v>
      </c>
      <c r="M227" t="s">
        <v>24</v>
      </c>
      <c r="N227" s="5">
        <v>256779415196</v>
      </c>
    </row>
    <row r="228" spans="1:14" x14ac:dyDescent="0.35">
      <c r="A228" s="1">
        <v>45877</v>
      </c>
      <c r="B228" t="s">
        <v>261</v>
      </c>
      <c r="C228" t="s">
        <v>906</v>
      </c>
      <c r="D228" t="s">
        <v>19</v>
      </c>
      <c r="E228" t="s">
        <v>30</v>
      </c>
      <c r="G228" s="2">
        <v>112251.02680000001</v>
      </c>
      <c r="H228" s="2">
        <v>-1221562.2969</v>
      </c>
      <c r="J228" t="s">
        <v>907</v>
      </c>
      <c r="K228" t="s">
        <v>908</v>
      </c>
      <c r="L228" t="s">
        <v>909</v>
      </c>
      <c r="M228" t="s">
        <v>24</v>
      </c>
      <c r="N228" s="5">
        <v>256779416086</v>
      </c>
    </row>
    <row r="229" spans="1:14" x14ac:dyDescent="0.35">
      <c r="A229" s="1">
        <v>45906</v>
      </c>
      <c r="B229" t="s">
        <v>261</v>
      </c>
      <c r="C229" t="s">
        <v>910</v>
      </c>
      <c r="D229" t="s">
        <v>19</v>
      </c>
      <c r="E229" t="s">
        <v>30</v>
      </c>
      <c r="G229" s="2">
        <v>131062.7203</v>
      </c>
      <c r="H229" s="2">
        <v>-1352625.0171999999</v>
      </c>
      <c r="J229" t="s">
        <v>911</v>
      </c>
      <c r="K229" t="s">
        <v>912</v>
      </c>
      <c r="L229" t="s">
        <v>913</v>
      </c>
      <c r="M229" t="s">
        <v>24</v>
      </c>
      <c r="N229" s="5">
        <v>256779417082</v>
      </c>
    </row>
    <row r="230" spans="1:14" x14ac:dyDescent="0.35">
      <c r="A230" s="1">
        <v>45936</v>
      </c>
      <c r="B230" t="s">
        <v>261</v>
      </c>
      <c r="C230" t="s">
        <v>914</v>
      </c>
      <c r="D230" t="s">
        <v>19</v>
      </c>
      <c r="E230" t="s">
        <v>30</v>
      </c>
      <c r="G230" s="2">
        <v>73826.046600000001</v>
      </c>
      <c r="H230" s="2">
        <v>-1426451.0637999999</v>
      </c>
      <c r="J230" t="s">
        <v>915</v>
      </c>
      <c r="K230" t="s">
        <v>916</v>
      </c>
      <c r="L230" t="s">
        <v>917</v>
      </c>
      <c r="M230" t="s">
        <v>24</v>
      </c>
      <c r="N230" s="5">
        <v>256779418011</v>
      </c>
    </row>
    <row r="231" spans="1:14" x14ac:dyDescent="0.35">
      <c r="A231" s="1">
        <v>45966</v>
      </c>
      <c r="B231" t="s">
        <v>261</v>
      </c>
      <c r="C231" t="s">
        <v>918</v>
      </c>
      <c r="D231" t="s">
        <v>19</v>
      </c>
      <c r="E231" t="s">
        <v>30</v>
      </c>
      <c r="G231" s="2">
        <v>59082.888800000001</v>
      </c>
      <c r="H231" s="2">
        <v>-1485533.9526</v>
      </c>
      <c r="J231" t="s">
        <v>919</v>
      </c>
      <c r="K231" t="s">
        <v>920</v>
      </c>
      <c r="L231" t="s">
        <v>921</v>
      </c>
      <c r="M231" t="s">
        <v>24</v>
      </c>
      <c r="N231" s="5">
        <v>256779418876</v>
      </c>
    </row>
    <row r="232" spans="1:14" x14ac:dyDescent="0.35">
      <c r="A232" s="1">
        <v>46022</v>
      </c>
      <c r="B232" t="s">
        <v>280</v>
      </c>
      <c r="C232" t="s">
        <v>922</v>
      </c>
      <c r="D232" t="s">
        <v>923</v>
      </c>
      <c r="E232" t="s">
        <v>924</v>
      </c>
      <c r="F232" s="2">
        <v>208851.1594</v>
      </c>
      <c r="G232" s="2"/>
      <c r="H232" s="2">
        <v>-1276682.7932</v>
      </c>
      <c r="I232" t="s">
        <v>925</v>
      </c>
      <c r="K232" t="s">
        <v>926</v>
      </c>
      <c r="L232" t="s">
        <v>75</v>
      </c>
      <c r="M232" t="s">
        <v>24</v>
      </c>
    </row>
    <row r="233" spans="1:14" x14ac:dyDescent="0.35">
      <c r="A233" s="1">
        <v>45883</v>
      </c>
      <c r="B233" t="s">
        <v>267</v>
      </c>
      <c r="C233" t="s">
        <v>927</v>
      </c>
      <c r="D233" t="s">
        <v>928</v>
      </c>
      <c r="E233" t="s">
        <v>30</v>
      </c>
      <c r="F233" s="2">
        <v>179999.96679999999</v>
      </c>
      <c r="G233" s="2"/>
      <c r="H233" s="2">
        <v>-1096682.8263999999</v>
      </c>
      <c r="I233" t="s">
        <v>929</v>
      </c>
      <c r="K233" t="s">
        <v>930</v>
      </c>
      <c r="L233" t="s">
        <v>931</v>
      </c>
      <c r="M233" t="s">
        <v>24</v>
      </c>
      <c r="N233" s="5">
        <v>256779421715</v>
      </c>
    </row>
    <row r="234" spans="1:14" x14ac:dyDescent="0.35">
      <c r="A234" s="1">
        <v>46027</v>
      </c>
      <c r="B234" t="s">
        <v>261</v>
      </c>
      <c r="C234" t="s">
        <v>932</v>
      </c>
      <c r="D234" t="s">
        <v>19</v>
      </c>
      <c r="E234" t="s">
        <v>63</v>
      </c>
      <c r="G234" s="2">
        <v>7902.9098000000004</v>
      </c>
      <c r="H234" s="2">
        <v>-1104585.7361999999</v>
      </c>
      <c r="J234" t="s">
        <v>933</v>
      </c>
      <c r="K234" t="s">
        <v>934</v>
      </c>
      <c r="L234" t="s">
        <v>935</v>
      </c>
      <c r="M234" t="s">
        <v>24</v>
      </c>
      <c r="N234" s="5">
        <v>256779440052</v>
      </c>
    </row>
    <row r="235" spans="1:14" x14ac:dyDescent="0.35">
      <c r="A235" s="1">
        <v>46027</v>
      </c>
      <c r="B235" t="s">
        <v>261</v>
      </c>
      <c r="C235" t="s">
        <v>936</v>
      </c>
      <c r="D235" t="s">
        <v>19</v>
      </c>
      <c r="E235" t="s">
        <v>189</v>
      </c>
      <c r="G235" s="2">
        <v>66694</v>
      </c>
      <c r="H235" s="2">
        <v>-1171279.7361999999</v>
      </c>
      <c r="J235" t="s">
        <v>743</v>
      </c>
      <c r="K235" t="s">
        <v>937</v>
      </c>
      <c r="L235" t="s">
        <v>813</v>
      </c>
      <c r="M235" t="s">
        <v>24</v>
      </c>
      <c r="N235" s="5">
        <v>256779440052</v>
      </c>
    </row>
    <row r="236" spans="1:14" x14ac:dyDescent="0.35">
      <c r="A236" s="1">
        <v>46027</v>
      </c>
      <c r="B236" t="s">
        <v>261</v>
      </c>
      <c r="C236" t="s">
        <v>938</v>
      </c>
      <c r="D236" t="s">
        <v>19</v>
      </c>
      <c r="E236" t="s">
        <v>453</v>
      </c>
      <c r="G236" s="2">
        <v>307.053</v>
      </c>
      <c r="H236" s="2">
        <v>-1171586.7892</v>
      </c>
      <c r="J236" t="s">
        <v>939</v>
      </c>
      <c r="K236" t="s">
        <v>940</v>
      </c>
      <c r="L236" t="s">
        <v>941</v>
      </c>
      <c r="M236" t="s">
        <v>24</v>
      </c>
      <c r="N236" s="5">
        <v>256779440081</v>
      </c>
    </row>
    <row r="237" spans="1:14" x14ac:dyDescent="0.35">
      <c r="A237" s="1">
        <v>45966</v>
      </c>
      <c r="B237" t="s">
        <v>261</v>
      </c>
      <c r="C237" t="s">
        <v>942</v>
      </c>
      <c r="D237" t="s">
        <v>19</v>
      </c>
      <c r="E237" t="s">
        <v>54</v>
      </c>
      <c r="G237" s="2">
        <v>2233.4737</v>
      </c>
      <c r="H237" s="2">
        <v>-1173820.2629</v>
      </c>
      <c r="J237" t="s">
        <v>943</v>
      </c>
      <c r="K237" t="s">
        <v>944</v>
      </c>
      <c r="L237" t="s">
        <v>945</v>
      </c>
      <c r="M237" t="s">
        <v>24</v>
      </c>
      <c r="N237" s="5">
        <v>256779419232</v>
      </c>
    </row>
    <row r="238" spans="1:14" x14ac:dyDescent="0.35">
      <c r="A238" s="1">
        <v>45966</v>
      </c>
      <c r="B238" t="s">
        <v>261</v>
      </c>
      <c r="C238" t="s">
        <v>946</v>
      </c>
      <c r="D238" t="s">
        <v>19</v>
      </c>
      <c r="E238" t="s">
        <v>54</v>
      </c>
      <c r="F238" s="2"/>
      <c r="G238" s="2">
        <v>13131.454</v>
      </c>
      <c r="H238" s="2">
        <v>-1186951.7169000001</v>
      </c>
      <c r="J238" t="s">
        <v>947</v>
      </c>
      <c r="K238" t="s">
        <v>948</v>
      </c>
      <c r="L238" t="s">
        <v>949</v>
      </c>
      <c r="M238" t="s">
        <v>24</v>
      </c>
      <c r="N238" s="5">
        <v>256779419200</v>
      </c>
    </row>
    <row r="239" spans="1:14" x14ac:dyDescent="0.35">
      <c r="A239" s="1">
        <v>45997</v>
      </c>
      <c r="B239" t="s">
        <v>261</v>
      </c>
      <c r="C239" t="s">
        <v>950</v>
      </c>
      <c r="D239" t="s">
        <v>19</v>
      </c>
      <c r="E239" t="s">
        <v>54</v>
      </c>
      <c r="F239" s="2"/>
      <c r="G239" s="2">
        <v>10788.5744</v>
      </c>
      <c r="H239" s="2">
        <v>-1197740.2912999999</v>
      </c>
      <c r="J239" t="s">
        <v>951</v>
      </c>
      <c r="K239" t="s">
        <v>982</v>
      </c>
      <c r="L239" t="s">
        <v>953</v>
      </c>
      <c r="M239" t="s">
        <v>24</v>
      </c>
      <c r="N239" s="5">
        <v>256779419992</v>
      </c>
    </row>
    <row r="240" spans="1:14" x14ac:dyDescent="0.35">
      <c r="A240" s="1"/>
      <c r="D240" t="s">
        <v>260</v>
      </c>
      <c r="F240" s="2">
        <v>6179587.1298000002</v>
      </c>
      <c r="G240" s="2">
        <v>5240052.0047000004</v>
      </c>
      <c r="H240" s="2"/>
      <c r="I240" t="s">
        <v>954</v>
      </c>
      <c r="J240" t="s">
        <v>955</v>
      </c>
    </row>
    <row r="241" spans="1:8" x14ac:dyDescent="0.35">
      <c r="A241" s="1"/>
      <c r="G241" s="2"/>
      <c r="H241" s="2"/>
    </row>
    <row r="242" spans="1:8" x14ac:dyDescent="0.35">
      <c r="A242" s="1"/>
      <c r="G242" s="2"/>
      <c r="H242" s="2"/>
    </row>
    <row r="243" spans="1:8" x14ac:dyDescent="0.35">
      <c r="A243" s="1"/>
      <c r="H243" s="2"/>
    </row>
    <row r="244" spans="1:8" x14ac:dyDescent="0.35">
      <c r="A244" s="1"/>
      <c r="G244" s="2"/>
      <c r="H244" s="2"/>
    </row>
    <row r="245" spans="1:8" x14ac:dyDescent="0.35">
      <c r="A245" s="1"/>
      <c r="G245" s="2"/>
      <c r="H245" s="2"/>
    </row>
    <row r="246" spans="1:8" x14ac:dyDescent="0.35">
      <c r="A246" s="1"/>
      <c r="G246" s="2"/>
      <c r="H246" s="2"/>
    </row>
    <row r="247" spans="1:8" x14ac:dyDescent="0.35">
      <c r="F247" s="2"/>
      <c r="G247" s="2"/>
    </row>
    <row r="248" spans="1:8" x14ac:dyDescent="0.35">
      <c r="F248" s="2"/>
      <c r="G248" s="2"/>
    </row>
  </sheetData>
  <autoFilter ref="A1:U1" xr:uid="{E3A150AE-5AD9-47DB-A9B7-BED4E47780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F742-4E17-45E3-AEE7-774DA3A4F759}">
  <dimension ref="A2:L16"/>
  <sheetViews>
    <sheetView workbookViewId="0">
      <selection activeCell="J7" sqref="J7"/>
    </sheetView>
  </sheetViews>
  <sheetFormatPr defaultRowHeight="14.5" x14ac:dyDescent="0.35"/>
  <cols>
    <col min="1" max="1" width="12.54296875" bestFit="1" customWidth="1"/>
    <col min="2" max="2" width="15.81640625" bestFit="1" customWidth="1"/>
    <col min="3" max="3" width="16.453125" bestFit="1" customWidth="1"/>
    <col min="4" max="4" width="15.81640625" bestFit="1" customWidth="1"/>
    <col min="5" max="5" width="16.36328125" bestFit="1" customWidth="1"/>
    <col min="11" max="12" width="12.36328125" bestFit="1" customWidth="1"/>
  </cols>
  <sheetData>
    <row r="2" spans="1:12" x14ac:dyDescent="0.35">
      <c r="K2" s="11">
        <f>SUBTOTAL(9,K4:K15)</f>
        <v>6183010.3298000004</v>
      </c>
      <c r="L2" s="11">
        <f>SUBTOTAL(9,L4:L15)</f>
        <v>7380750.6211000001</v>
      </c>
    </row>
    <row r="3" spans="1:12" x14ac:dyDescent="0.35">
      <c r="A3" s="9" t="s">
        <v>977</v>
      </c>
      <c r="B3" s="9" t="s">
        <v>978</v>
      </c>
      <c r="C3" s="9" t="s">
        <v>0</v>
      </c>
      <c r="D3" t="s">
        <v>975</v>
      </c>
      <c r="E3" t="s">
        <v>976</v>
      </c>
      <c r="H3" s="7" t="s">
        <v>977</v>
      </c>
      <c r="I3" s="7" t="s">
        <v>978</v>
      </c>
      <c r="J3" s="7" t="s">
        <v>0</v>
      </c>
      <c r="K3" s="7" t="s">
        <v>975</v>
      </c>
      <c r="L3" s="7" t="s">
        <v>976</v>
      </c>
    </row>
    <row r="4" spans="1:12" x14ac:dyDescent="0.35">
      <c r="A4" t="s">
        <v>957</v>
      </c>
      <c r="B4" t="s">
        <v>958</v>
      </c>
      <c r="C4" s="1" t="s">
        <v>959</v>
      </c>
      <c r="D4" s="10"/>
      <c r="E4" s="10">
        <v>1176894.5044000002</v>
      </c>
      <c r="H4" s="7" t="s">
        <v>957</v>
      </c>
      <c r="I4" s="7" t="s">
        <v>958</v>
      </c>
      <c r="J4" s="7" t="s">
        <v>959</v>
      </c>
      <c r="K4" s="7"/>
      <c r="L4" s="7">
        <v>1176894.5044000002</v>
      </c>
    </row>
    <row r="5" spans="1:12" x14ac:dyDescent="0.35">
      <c r="C5" s="1" t="s">
        <v>960</v>
      </c>
      <c r="D5" s="10">
        <v>3423.2</v>
      </c>
      <c r="E5" s="10">
        <v>963804.11200000008</v>
      </c>
      <c r="H5" s="7" t="s">
        <v>957</v>
      </c>
      <c r="I5" s="7" t="s">
        <v>958</v>
      </c>
      <c r="J5" s="7" t="s">
        <v>960</v>
      </c>
      <c r="K5" s="7">
        <v>3423.2</v>
      </c>
      <c r="L5" s="7">
        <v>963804.11200000008</v>
      </c>
    </row>
    <row r="6" spans="1:12" x14ac:dyDescent="0.35">
      <c r="B6" t="s">
        <v>961</v>
      </c>
      <c r="C6" s="1" t="s">
        <v>962</v>
      </c>
      <c r="D6" s="10">
        <v>6857</v>
      </c>
      <c r="E6" s="10">
        <v>965734.79319999996</v>
      </c>
      <c r="H6" s="7" t="s">
        <v>957</v>
      </c>
      <c r="I6" s="7" t="s">
        <v>961</v>
      </c>
      <c r="J6" s="7" t="s">
        <v>962</v>
      </c>
      <c r="K6" s="7">
        <v>6857</v>
      </c>
      <c r="L6" s="7">
        <v>965734.79319999996</v>
      </c>
    </row>
    <row r="7" spans="1:12" x14ac:dyDescent="0.35">
      <c r="C7" s="1" t="s">
        <v>963</v>
      </c>
      <c r="D7" s="10"/>
      <c r="E7" s="10">
        <v>314121.81470000005</v>
      </c>
      <c r="H7" s="7" t="s">
        <v>957</v>
      </c>
      <c r="I7" s="7" t="s">
        <v>961</v>
      </c>
      <c r="J7" s="7" t="s">
        <v>963</v>
      </c>
      <c r="K7" s="7"/>
      <c r="L7" s="7">
        <v>314121.81470000005</v>
      </c>
    </row>
    <row r="8" spans="1:12" x14ac:dyDescent="0.35">
      <c r="C8" s="1" t="s">
        <v>964</v>
      </c>
      <c r="D8" s="10">
        <v>2325813.5085999998</v>
      </c>
      <c r="E8" s="10">
        <v>383274.0626</v>
      </c>
      <c r="H8" s="7" t="s">
        <v>957</v>
      </c>
      <c r="I8" s="7" t="s">
        <v>961</v>
      </c>
      <c r="J8" s="7" t="s">
        <v>964</v>
      </c>
      <c r="K8" s="7">
        <v>2325813.5085999998</v>
      </c>
      <c r="L8" s="7">
        <v>383274.0626</v>
      </c>
    </row>
    <row r="9" spans="1:12" x14ac:dyDescent="0.35">
      <c r="B9" t="s">
        <v>965</v>
      </c>
      <c r="C9" s="1" t="s">
        <v>966</v>
      </c>
      <c r="D9" s="10">
        <v>319981.4313</v>
      </c>
      <c r="E9" s="10">
        <v>525725.72680000006</v>
      </c>
      <c r="H9" s="7" t="s">
        <v>957</v>
      </c>
      <c r="I9" s="7" t="s">
        <v>965</v>
      </c>
      <c r="J9" s="7" t="s">
        <v>966</v>
      </c>
      <c r="K9" s="7">
        <v>319981.4313</v>
      </c>
      <c r="L9" s="7">
        <v>525725.72680000006</v>
      </c>
    </row>
    <row r="10" spans="1:12" x14ac:dyDescent="0.35">
      <c r="C10" s="1" t="s">
        <v>967</v>
      </c>
      <c r="D10" s="10">
        <v>677925.26790000009</v>
      </c>
      <c r="E10" s="10">
        <v>795781.7463</v>
      </c>
      <c r="H10" s="7" t="s">
        <v>957</v>
      </c>
      <c r="I10" s="7" t="s">
        <v>965</v>
      </c>
      <c r="J10" s="7" t="s">
        <v>967</v>
      </c>
      <c r="K10" s="7">
        <v>677925.26790000009</v>
      </c>
      <c r="L10" s="7">
        <v>795781.7463</v>
      </c>
    </row>
    <row r="11" spans="1:12" x14ac:dyDescent="0.35">
      <c r="C11" s="1" t="s">
        <v>968</v>
      </c>
      <c r="D11" s="10">
        <v>1393909.6054</v>
      </c>
      <c r="E11" s="10">
        <v>931531.18060000031</v>
      </c>
      <c r="H11" s="7" t="s">
        <v>957</v>
      </c>
      <c r="I11" s="7" t="s">
        <v>965</v>
      </c>
      <c r="J11" s="7" t="s">
        <v>968</v>
      </c>
      <c r="K11" s="7">
        <v>1393909.6054</v>
      </c>
      <c r="L11" s="7">
        <v>931531.18060000031</v>
      </c>
    </row>
    <row r="12" spans="1:12" x14ac:dyDescent="0.35">
      <c r="B12" t="s">
        <v>969</v>
      </c>
      <c r="C12" s="1" t="s">
        <v>970</v>
      </c>
      <c r="D12" s="10">
        <v>1246249.1572</v>
      </c>
      <c r="E12" s="10">
        <v>603623.75859999994</v>
      </c>
      <c r="H12" s="7" t="s">
        <v>957</v>
      </c>
      <c r="I12" s="7" t="s">
        <v>969</v>
      </c>
      <c r="J12" s="7" t="s">
        <v>970</v>
      </c>
      <c r="K12" s="7">
        <v>1246249.1572</v>
      </c>
      <c r="L12" s="7">
        <v>603623.75859999994</v>
      </c>
    </row>
    <row r="13" spans="1:12" x14ac:dyDescent="0.35">
      <c r="C13" s="1" t="s">
        <v>971</v>
      </c>
      <c r="D13" s="10"/>
      <c r="E13" s="10">
        <v>456392.13939999999</v>
      </c>
      <c r="H13" s="7" t="s">
        <v>957</v>
      </c>
      <c r="I13" s="7" t="s">
        <v>969</v>
      </c>
      <c r="J13" s="7" t="s">
        <v>971</v>
      </c>
      <c r="K13" s="7"/>
      <c r="L13" s="7">
        <v>456392.13939999999</v>
      </c>
    </row>
    <row r="14" spans="1:12" x14ac:dyDescent="0.35">
      <c r="C14" s="1" t="s">
        <v>972</v>
      </c>
      <c r="D14" s="10">
        <v>208851.1594</v>
      </c>
      <c r="E14" s="10">
        <v>188962.81969999999</v>
      </c>
      <c r="H14" s="7" t="s">
        <v>957</v>
      </c>
      <c r="I14" s="7" t="s">
        <v>969</v>
      </c>
      <c r="J14" s="7" t="s">
        <v>972</v>
      </c>
      <c r="K14" s="7">
        <v>208851.1594</v>
      </c>
      <c r="L14" s="7">
        <v>188962.81969999999</v>
      </c>
    </row>
    <row r="15" spans="1:12" x14ac:dyDescent="0.35">
      <c r="A15" t="s">
        <v>973</v>
      </c>
      <c r="B15" t="s">
        <v>958</v>
      </c>
      <c r="C15" s="1" t="s">
        <v>974</v>
      </c>
      <c r="D15" s="10"/>
      <c r="E15" s="10">
        <v>74903.962799999994</v>
      </c>
      <c r="H15" s="7" t="s">
        <v>973</v>
      </c>
      <c r="I15" s="7" t="s">
        <v>958</v>
      </c>
      <c r="J15" s="7" t="s">
        <v>974</v>
      </c>
      <c r="K15" s="7"/>
      <c r="L15" s="7">
        <v>74903.962799999994</v>
      </c>
    </row>
    <row r="16" spans="1:12" x14ac:dyDescent="0.35">
      <c r="A16" t="s">
        <v>956</v>
      </c>
      <c r="D16" s="10">
        <v>6183010.3298000004</v>
      </c>
      <c r="E16" s="10">
        <v>7380750.6211000001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D538-2C0D-4213-BD96-BED0EA48D6A5}">
  <dimension ref="A1:S280"/>
  <sheetViews>
    <sheetView tabSelected="1" workbookViewId="0">
      <selection activeCell="A279" sqref="A279"/>
    </sheetView>
  </sheetViews>
  <sheetFormatPr defaultRowHeight="14.5" x14ac:dyDescent="0.35"/>
  <cols>
    <col min="1" max="1" width="13.08984375" bestFit="1" customWidth="1"/>
    <col min="2" max="2" width="13.90625" bestFit="1" customWidth="1"/>
    <col min="3" max="3" width="10" bestFit="1" customWidth="1"/>
    <col min="4" max="4" width="10.81640625" bestFit="1" customWidth="1"/>
    <col min="5" max="5" width="55.1796875" bestFit="1" customWidth="1"/>
    <col min="6" max="6" width="25.453125" bestFit="1" customWidth="1"/>
    <col min="7" max="8" width="12.36328125" bestFit="1" customWidth="1"/>
    <col min="9" max="9" width="24" bestFit="1" customWidth="1"/>
    <col min="10" max="10" width="12.08984375" bestFit="1" customWidth="1"/>
    <col min="11" max="11" width="15" bestFit="1" customWidth="1"/>
    <col min="12" max="12" width="20.81640625" bestFit="1" customWidth="1"/>
    <col min="13" max="13" width="14.81640625" bestFit="1" customWidth="1"/>
    <col min="14" max="14" width="29.36328125" bestFit="1" customWidth="1"/>
    <col min="15" max="15" width="17.81640625" bestFit="1" customWidth="1"/>
    <col min="16" max="16" width="12" bestFit="1" customWidth="1"/>
    <col min="18" max="18" width="9.08984375" bestFit="1" customWidth="1"/>
    <col min="19" max="19" width="11.54296875" bestFit="1" customWidth="1"/>
  </cols>
  <sheetData>
    <row r="1" spans="1:19" x14ac:dyDescent="0.35">
      <c r="G1" s="12">
        <f>SUM(G3:G280)</f>
        <v>6183010.3298000004</v>
      </c>
      <c r="H1" s="12">
        <f>SUM(H3:H280)</f>
        <v>7380750.621100002</v>
      </c>
      <c r="I1" s="15">
        <f>H1-G1</f>
        <v>1197740.2913000016</v>
      </c>
      <c r="K1" s="12"/>
      <c r="L1" s="15"/>
      <c r="M1" s="15"/>
    </row>
    <row r="2" spans="1:19" x14ac:dyDescent="0.35">
      <c r="A2" s="3" t="s">
        <v>13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6" t="s">
        <v>979</v>
      </c>
      <c r="P2" s="6" t="s">
        <v>980</v>
      </c>
      <c r="Q2" s="6" t="s">
        <v>3</v>
      </c>
    </row>
    <row r="3" spans="1:19" x14ac:dyDescent="0.35">
      <c r="A3" s="8">
        <v>246779410276</v>
      </c>
      <c r="B3" s="1">
        <v>45708</v>
      </c>
      <c r="C3" t="s">
        <v>17</v>
      </c>
      <c r="D3" t="s">
        <v>29</v>
      </c>
      <c r="E3" t="s">
        <v>19</v>
      </c>
      <c r="F3" t="s">
        <v>30</v>
      </c>
      <c r="G3" s="7"/>
      <c r="H3" s="7">
        <v>91693.278399999996</v>
      </c>
      <c r="I3" s="7">
        <v>-216491.6692</v>
      </c>
      <c r="J3" s="7"/>
      <c r="K3" s="7" t="s">
        <v>31</v>
      </c>
      <c r="L3" s="7" t="s">
        <v>32</v>
      </c>
      <c r="M3" s="7" t="s">
        <v>23</v>
      </c>
      <c r="N3" t="s">
        <v>24</v>
      </c>
      <c r="O3" s="7">
        <f>VLOOKUP(A3,[1]Workings!$M:$U,9,0)</f>
        <v>102742.78</v>
      </c>
      <c r="P3" s="12">
        <f t="shared" ref="P3:P60" si="0">H3-O3</f>
        <v>-11049.501600000003</v>
      </c>
      <c r="S3">
        <f>P3/O3*100</f>
        <v>-10.754528542054247</v>
      </c>
    </row>
    <row r="4" spans="1:19" x14ac:dyDescent="0.35">
      <c r="A4" s="8">
        <v>246779410209</v>
      </c>
      <c r="B4" s="14">
        <v>45708</v>
      </c>
      <c r="C4" t="s">
        <v>17</v>
      </c>
      <c r="D4" t="s">
        <v>33</v>
      </c>
      <c r="E4" t="s">
        <v>19</v>
      </c>
      <c r="F4" t="s">
        <v>30</v>
      </c>
      <c r="G4" s="7"/>
      <c r="H4" s="7">
        <v>89852.772200000007</v>
      </c>
      <c r="I4" s="7">
        <v>-306344.44140000001</v>
      </c>
      <c r="J4" s="7"/>
      <c r="K4" s="7" t="s">
        <v>27</v>
      </c>
      <c r="L4" s="7" t="s">
        <v>34</v>
      </c>
      <c r="M4" s="7" t="s">
        <v>23</v>
      </c>
      <c r="N4" t="s">
        <v>24</v>
      </c>
      <c r="O4" s="7" t="e">
        <v>#N/A</v>
      </c>
      <c r="P4" s="12" t="e">
        <f t="shared" si="0"/>
        <v>#N/A</v>
      </c>
    </row>
    <row r="5" spans="1:19" x14ac:dyDescent="0.35">
      <c r="A5" s="8">
        <v>246779414604</v>
      </c>
      <c r="B5" s="1">
        <v>45708</v>
      </c>
      <c r="C5" t="s">
        <v>17</v>
      </c>
      <c r="D5" t="s">
        <v>39</v>
      </c>
      <c r="E5" t="s">
        <v>19</v>
      </c>
      <c r="F5" t="s">
        <v>40</v>
      </c>
      <c r="G5" s="7"/>
      <c r="H5" s="7">
        <v>38416.774799999999</v>
      </c>
      <c r="I5" s="7">
        <v>-254908.44399999999</v>
      </c>
      <c r="J5" s="7"/>
      <c r="K5" s="7" t="s">
        <v>41</v>
      </c>
      <c r="L5" s="7" t="s">
        <v>42</v>
      </c>
      <c r="M5" s="7" t="s">
        <v>23</v>
      </c>
      <c r="N5" t="s">
        <v>24</v>
      </c>
      <c r="O5" s="7">
        <f>VLOOKUP(A5,[1]Workings!$M:$U,9,0)</f>
        <v>39709.800000000003</v>
      </c>
      <c r="P5" s="12">
        <f t="shared" si="0"/>
        <v>-1293.0252000000037</v>
      </c>
      <c r="S5">
        <f t="shared" ref="S5:S13" si="1">P5/O5*100</f>
        <v>-3.2561866340298957</v>
      </c>
    </row>
    <row r="6" spans="1:19" x14ac:dyDescent="0.35">
      <c r="A6" s="8">
        <v>246779410209</v>
      </c>
      <c r="B6" s="14">
        <v>45708</v>
      </c>
      <c r="C6" t="s">
        <v>17</v>
      </c>
      <c r="D6" t="s">
        <v>45</v>
      </c>
      <c r="E6" t="s">
        <v>19</v>
      </c>
      <c r="F6" t="s">
        <v>46</v>
      </c>
      <c r="G6" s="7"/>
      <c r="H6" s="7">
        <v>34244.169800000003</v>
      </c>
      <c r="I6" s="7">
        <v>-254206.9952</v>
      </c>
      <c r="J6" s="7"/>
      <c r="K6" s="7" t="s">
        <v>47</v>
      </c>
      <c r="L6" s="7" t="s">
        <v>48</v>
      </c>
      <c r="M6" s="7" t="s">
        <v>23</v>
      </c>
      <c r="N6" t="s">
        <v>24</v>
      </c>
      <c r="O6" s="7">
        <f>VLOOKUP(A6,[1]Workings!$M:$U,9,0)</f>
        <v>35238.65</v>
      </c>
      <c r="P6" s="12">
        <f t="shared" si="0"/>
        <v>-994.48019999999815</v>
      </c>
      <c r="S6">
        <f t="shared" si="1"/>
        <v>-2.8221291110754754</v>
      </c>
    </row>
    <row r="7" spans="1:19" x14ac:dyDescent="0.35">
      <c r="A7" s="8">
        <v>246779410308</v>
      </c>
      <c r="B7" s="14">
        <v>45708</v>
      </c>
      <c r="C7" t="s">
        <v>17</v>
      </c>
      <c r="D7" t="s">
        <v>49</v>
      </c>
      <c r="E7" t="s">
        <v>19</v>
      </c>
      <c r="F7" t="s">
        <v>46</v>
      </c>
      <c r="G7" s="7"/>
      <c r="H7" s="7">
        <v>34945.618600000002</v>
      </c>
      <c r="I7" s="7">
        <v>-289152.61379999999</v>
      </c>
      <c r="J7" s="7"/>
      <c r="K7" s="7" t="s">
        <v>21</v>
      </c>
      <c r="L7" s="7" t="s">
        <v>50</v>
      </c>
      <c r="M7" s="7" t="s">
        <v>23</v>
      </c>
      <c r="N7" t="s">
        <v>24</v>
      </c>
      <c r="O7" s="7">
        <f>VLOOKUP(A7,[1]Workings!$M:$U,9,0)</f>
        <v>35960.15</v>
      </c>
      <c r="P7" s="12">
        <f t="shared" si="0"/>
        <v>-1014.5313999999998</v>
      </c>
      <c r="S7">
        <f t="shared" si="1"/>
        <v>-2.8212657622395896</v>
      </c>
    </row>
    <row r="8" spans="1:19" x14ac:dyDescent="0.35">
      <c r="A8" s="8">
        <v>246779410097</v>
      </c>
      <c r="B8" s="1">
        <v>45708</v>
      </c>
      <c r="C8" t="s">
        <v>17</v>
      </c>
      <c r="D8" t="s">
        <v>51</v>
      </c>
      <c r="E8" t="s">
        <v>19</v>
      </c>
      <c r="F8" t="s">
        <v>30</v>
      </c>
      <c r="G8" s="7"/>
      <c r="H8" s="7">
        <v>91693.278399999996</v>
      </c>
      <c r="I8" s="7">
        <v>-380845.8922</v>
      </c>
      <c r="J8" s="7"/>
      <c r="K8" s="7" t="s">
        <v>31</v>
      </c>
      <c r="L8" s="7" t="s">
        <v>52</v>
      </c>
      <c r="M8" s="7" t="s">
        <v>23</v>
      </c>
      <c r="N8" t="s">
        <v>24</v>
      </c>
      <c r="O8" s="7">
        <f>VLOOKUP(A8,[1]Workings!$M:$U,9,0)</f>
        <v>102742.78</v>
      </c>
      <c r="P8" s="12">
        <f t="shared" si="0"/>
        <v>-11049.501600000003</v>
      </c>
      <c r="S8">
        <f t="shared" si="1"/>
        <v>-10.754528542054247</v>
      </c>
    </row>
    <row r="9" spans="1:19" x14ac:dyDescent="0.35">
      <c r="A9" s="8">
        <v>246779413214</v>
      </c>
      <c r="B9" s="1">
        <v>45735</v>
      </c>
      <c r="C9" t="s">
        <v>17</v>
      </c>
      <c r="D9" t="s">
        <v>53</v>
      </c>
      <c r="E9" t="s">
        <v>19</v>
      </c>
      <c r="F9" t="s">
        <v>54</v>
      </c>
      <c r="G9" s="7"/>
      <c r="H9" s="7">
        <v>6551.5096000000003</v>
      </c>
      <c r="I9" s="7">
        <v>-387397.40179999999</v>
      </c>
      <c r="J9" s="7"/>
      <c r="K9" s="7" t="s">
        <v>55</v>
      </c>
      <c r="L9" s="7" t="s">
        <v>56</v>
      </c>
      <c r="M9" s="7" t="s">
        <v>23</v>
      </c>
      <c r="N9" t="s">
        <v>24</v>
      </c>
      <c r="O9" s="7">
        <f>VLOOKUP(A9,[1]Workings!$M:$U,9,0)</f>
        <v>6772.32</v>
      </c>
      <c r="P9" s="12">
        <f t="shared" si="0"/>
        <v>-220.81039999999939</v>
      </c>
      <c r="S9">
        <f t="shared" si="1"/>
        <v>-3.2604838519148442</v>
      </c>
    </row>
    <row r="10" spans="1:19" x14ac:dyDescent="0.35">
      <c r="A10" s="8">
        <v>246779410123</v>
      </c>
      <c r="B10" s="1">
        <v>45708</v>
      </c>
      <c r="C10" t="s">
        <v>17</v>
      </c>
      <c r="D10" t="s">
        <v>57</v>
      </c>
      <c r="E10" t="s">
        <v>19</v>
      </c>
      <c r="F10" t="s">
        <v>46</v>
      </c>
      <c r="G10" s="7"/>
      <c r="H10" s="7">
        <v>34945.618600000002</v>
      </c>
      <c r="I10" s="7">
        <v>-422343.02039999998</v>
      </c>
      <c r="J10" s="7"/>
      <c r="K10" s="7" t="s">
        <v>21</v>
      </c>
      <c r="L10" s="7" t="s">
        <v>58</v>
      </c>
      <c r="M10" s="7" t="s">
        <v>23</v>
      </c>
      <c r="N10" t="s">
        <v>24</v>
      </c>
      <c r="O10" s="7">
        <f>VLOOKUP(A10,[1]Workings!$M:$U,9,0)</f>
        <v>35960.15</v>
      </c>
      <c r="P10" s="12">
        <f t="shared" si="0"/>
        <v>-1014.5313999999998</v>
      </c>
      <c r="S10">
        <f t="shared" si="1"/>
        <v>-2.8212657622395896</v>
      </c>
    </row>
    <row r="11" spans="1:19" x14ac:dyDescent="0.35">
      <c r="A11" s="8">
        <v>246779411940</v>
      </c>
      <c r="B11" s="1">
        <v>45733</v>
      </c>
      <c r="C11" t="s">
        <v>17</v>
      </c>
      <c r="D11" t="s">
        <v>59</v>
      </c>
      <c r="E11" t="s">
        <v>19</v>
      </c>
      <c r="F11" t="s">
        <v>54</v>
      </c>
      <c r="G11" s="7"/>
      <c r="H11" s="7">
        <v>4422.6333999999997</v>
      </c>
      <c r="I11" s="7">
        <v>-426765.65379999997</v>
      </c>
      <c r="J11" s="7"/>
      <c r="K11" s="7" t="s">
        <v>60</v>
      </c>
      <c r="L11" s="7" t="s">
        <v>61</v>
      </c>
      <c r="M11" s="7" t="s">
        <v>23</v>
      </c>
      <c r="N11" t="s">
        <v>24</v>
      </c>
      <c r="O11" s="7">
        <f>VLOOKUP(A11,[1]Workings!$M:$U,9,0)</f>
        <v>4571.2299999999996</v>
      </c>
      <c r="P11" s="12">
        <f t="shared" si="0"/>
        <v>-148.59659999999985</v>
      </c>
      <c r="S11">
        <f t="shared" si="1"/>
        <v>-3.250691826926229</v>
      </c>
    </row>
    <row r="12" spans="1:19" x14ac:dyDescent="0.35">
      <c r="A12" s="8">
        <v>246779413797</v>
      </c>
      <c r="B12" s="1">
        <v>45736</v>
      </c>
      <c r="C12" t="s">
        <v>17</v>
      </c>
      <c r="D12" t="s">
        <v>62</v>
      </c>
      <c r="E12" t="s">
        <v>19</v>
      </c>
      <c r="F12" t="s">
        <v>63</v>
      </c>
      <c r="G12" s="7"/>
      <c r="H12" s="7">
        <v>147112</v>
      </c>
      <c r="I12" s="7">
        <v>-573877.65379999997</v>
      </c>
      <c r="J12" s="7"/>
      <c r="K12" s="7" t="s">
        <v>64</v>
      </c>
      <c r="L12" s="7" t="s">
        <v>65</v>
      </c>
      <c r="M12" s="7" t="s">
        <v>23</v>
      </c>
      <c r="N12" t="s">
        <v>24</v>
      </c>
      <c r="O12" s="7">
        <f>VLOOKUP(A12,[1]Workings!$M:$U,9,0)</f>
        <v>151709.71</v>
      </c>
      <c r="P12" s="12">
        <f t="shared" si="0"/>
        <v>-4597.7099999999919</v>
      </c>
      <c r="S12">
        <f t="shared" si="1"/>
        <v>-3.0305970527529138</v>
      </c>
    </row>
    <row r="13" spans="1:19" x14ac:dyDescent="0.35">
      <c r="A13" s="8">
        <v>246779411941</v>
      </c>
      <c r="B13" s="1">
        <v>45733</v>
      </c>
      <c r="C13" t="s">
        <v>17</v>
      </c>
      <c r="D13" t="s">
        <v>66</v>
      </c>
      <c r="E13" t="s">
        <v>19</v>
      </c>
      <c r="F13" t="s">
        <v>54</v>
      </c>
      <c r="G13" s="7"/>
      <c r="H13" s="7">
        <v>6375.7915999999996</v>
      </c>
      <c r="I13" s="7">
        <v>-580253.44539999997</v>
      </c>
      <c r="J13" s="7"/>
      <c r="K13" s="7" t="s">
        <v>67</v>
      </c>
      <c r="L13" s="7" t="s">
        <v>68</v>
      </c>
      <c r="M13" s="7" t="s">
        <v>23</v>
      </c>
      <c r="N13" t="s">
        <v>24</v>
      </c>
      <c r="O13" s="7">
        <f>VLOOKUP(A13,[1]Workings!$M:$U,9,0)</f>
        <v>6590.27</v>
      </c>
      <c r="P13" s="12">
        <f t="shared" si="0"/>
        <v>-214.47840000000087</v>
      </c>
      <c r="S13">
        <f t="shared" si="1"/>
        <v>-3.2544706059084203</v>
      </c>
    </row>
    <row r="14" spans="1:19" x14ac:dyDescent="0.35">
      <c r="A14" s="8"/>
      <c r="B14" s="1">
        <v>45736</v>
      </c>
      <c r="C14" t="s">
        <v>69</v>
      </c>
      <c r="D14" t="s">
        <v>70</v>
      </c>
      <c r="E14" t="s">
        <v>71</v>
      </c>
      <c r="F14" t="s">
        <v>72</v>
      </c>
      <c r="G14" s="7">
        <v>1711.6</v>
      </c>
      <c r="H14" s="7"/>
      <c r="I14" s="7">
        <v>-578541.84539999999</v>
      </c>
      <c r="J14" s="7" t="s">
        <v>73</v>
      </c>
      <c r="K14" s="7"/>
      <c r="L14" s="7" t="s">
        <v>74</v>
      </c>
      <c r="M14" s="7" t="s">
        <v>75</v>
      </c>
      <c r="N14" t="s">
        <v>24</v>
      </c>
      <c r="O14" s="7" t="e">
        <f>VLOOKUP(A14,[1]Workings!$M:$U,9,0)</f>
        <v>#N/A</v>
      </c>
      <c r="P14" s="12" t="e">
        <f t="shared" si="0"/>
        <v>#N/A</v>
      </c>
    </row>
    <row r="15" spans="1:19" x14ac:dyDescent="0.35">
      <c r="A15" s="8">
        <v>246779413828</v>
      </c>
      <c r="B15" s="14">
        <v>45736</v>
      </c>
      <c r="C15" t="s">
        <v>17</v>
      </c>
      <c r="D15" t="s">
        <v>76</v>
      </c>
      <c r="E15" t="s">
        <v>19</v>
      </c>
      <c r="F15" t="s">
        <v>54</v>
      </c>
      <c r="G15" s="7"/>
      <c r="H15" s="7">
        <v>4193</v>
      </c>
      <c r="I15" s="7">
        <v>-582734.84539999999</v>
      </c>
      <c r="J15" s="7"/>
      <c r="K15" s="7" t="s">
        <v>77</v>
      </c>
      <c r="L15" s="7" t="s">
        <v>78</v>
      </c>
      <c r="M15" s="7" t="s">
        <v>23</v>
      </c>
      <c r="N15" t="s">
        <v>24</v>
      </c>
      <c r="O15" s="7">
        <f>VLOOKUP(A15,[1]Workings!$M:$U,9,0)</f>
        <v>4334.5600000000004</v>
      </c>
      <c r="P15" s="12">
        <f t="shared" si="0"/>
        <v>-141.5600000000004</v>
      </c>
      <c r="S15">
        <f t="shared" ref="S15:S24" si="2">P15/O15*100</f>
        <v>-3.2658447454874402</v>
      </c>
    </row>
    <row r="16" spans="1:19" x14ac:dyDescent="0.35">
      <c r="A16" s="8">
        <v>246779411938</v>
      </c>
      <c r="B16" s="1">
        <v>45733</v>
      </c>
      <c r="C16" t="s">
        <v>17</v>
      </c>
      <c r="D16" t="s">
        <v>79</v>
      </c>
      <c r="E16" t="s">
        <v>19</v>
      </c>
      <c r="F16" t="s">
        <v>54</v>
      </c>
      <c r="G16" s="7"/>
      <c r="H16" s="7">
        <v>4466.9907999999996</v>
      </c>
      <c r="I16" s="7">
        <v>-587201.83620000002</v>
      </c>
      <c r="J16" s="7"/>
      <c r="K16" s="7" t="s">
        <v>80</v>
      </c>
      <c r="L16" s="7" t="s">
        <v>81</v>
      </c>
      <c r="M16" s="7" t="s">
        <v>23</v>
      </c>
      <c r="N16" t="s">
        <v>24</v>
      </c>
      <c r="O16" s="7">
        <f>VLOOKUP(A16,[1]Workings!$M:$U,9,0)</f>
        <v>4617.18</v>
      </c>
      <c r="P16" s="12">
        <f t="shared" si="0"/>
        <v>-150.18920000000071</v>
      </c>
      <c r="S16">
        <f t="shared" si="2"/>
        <v>-3.2528339809147724</v>
      </c>
    </row>
    <row r="17" spans="1:19" x14ac:dyDescent="0.35">
      <c r="A17" s="8">
        <v>246779411937</v>
      </c>
      <c r="B17" s="1">
        <v>45733</v>
      </c>
      <c r="C17" t="s">
        <v>17</v>
      </c>
      <c r="D17" t="s">
        <v>84</v>
      </c>
      <c r="E17" t="s">
        <v>19</v>
      </c>
      <c r="F17" t="s">
        <v>54</v>
      </c>
      <c r="G17" s="7"/>
      <c r="H17" s="7">
        <v>610.16660000000002</v>
      </c>
      <c r="I17" s="7">
        <v>-592005.00280000002</v>
      </c>
      <c r="J17" s="7"/>
      <c r="K17" s="7" t="s">
        <v>85</v>
      </c>
      <c r="L17" s="7" t="s">
        <v>86</v>
      </c>
      <c r="M17" s="7" t="s">
        <v>23</v>
      </c>
      <c r="N17" t="s">
        <v>24</v>
      </c>
      <c r="O17" s="7">
        <f>VLOOKUP(A17,[1]Workings!$M:$U,9,0)</f>
        <v>630.25</v>
      </c>
      <c r="P17" s="12">
        <f t="shared" si="0"/>
        <v>-20.083399999999983</v>
      </c>
      <c r="S17">
        <f t="shared" si="2"/>
        <v>-3.1865767552558482</v>
      </c>
    </row>
    <row r="18" spans="1:19" x14ac:dyDescent="0.35">
      <c r="A18" s="8">
        <v>246779411939</v>
      </c>
      <c r="B18" s="1">
        <v>45733</v>
      </c>
      <c r="C18" t="s">
        <v>17</v>
      </c>
      <c r="D18" t="s">
        <v>87</v>
      </c>
      <c r="E18" t="s">
        <v>19</v>
      </c>
      <c r="F18" t="s">
        <v>54</v>
      </c>
      <c r="G18" s="7"/>
      <c r="H18" s="7">
        <v>1935.1864</v>
      </c>
      <c r="I18" s="7">
        <v>-593940.18920000002</v>
      </c>
      <c r="J18" s="7"/>
      <c r="K18" s="7" t="s">
        <v>88</v>
      </c>
      <c r="L18" s="7" t="s">
        <v>89</v>
      </c>
      <c r="M18" s="7" t="s">
        <v>23</v>
      </c>
      <c r="N18" t="s">
        <v>24</v>
      </c>
      <c r="O18" s="7">
        <f>VLOOKUP(A18,[1]Workings!$M:$U,9,0)</f>
        <v>2000.83</v>
      </c>
      <c r="P18" s="12">
        <f t="shared" si="0"/>
        <v>-65.643599999999878</v>
      </c>
      <c r="S18">
        <f t="shared" si="2"/>
        <v>-3.2808184603389536</v>
      </c>
    </row>
    <row r="19" spans="1:19" x14ac:dyDescent="0.35">
      <c r="A19" s="8">
        <v>246779414468</v>
      </c>
      <c r="B19" s="1">
        <v>45736</v>
      </c>
      <c r="C19" t="s">
        <v>17</v>
      </c>
      <c r="D19" t="s">
        <v>93</v>
      </c>
      <c r="E19" t="s">
        <v>19</v>
      </c>
      <c r="F19" t="s">
        <v>40</v>
      </c>
      <c r="G19" s="7"/>
      <c r="H19" s="7">
        <v>7734.1876000000002</v>
      </c>
      <c r="I19" s="7">
        <v>-597481.37679999997</v>
      </c>
      <c r="J19" s="7"/>
      <c r="K19" s="7" t="s">
        <v>94</v>
      </c>
      <c r="L19" s="7" t="s">
        <v>95</v>
      </c>
      <c r="M19" s="7" t="s">
        <v>23</v>
      </c>
      <c r="N19" t="s">
        <v>24</v>
      </c>
      <c r="O19" s="7">
        <f>VLOOKUP(A19,[1]Workings!$M:$U,9,0)</f>
        <v>7994.67</v>
      </c>
      <c r="P19" s="12">
        <f t="shared" si="0"/>
        <v>-260.48239999999987</v>
      </c>
      <c r="S19">
        <f t="shared" si="2"/>
        <v>-3.2582007762671865</v>
      </c>
    </row>
    <row r="20" spans="1:19" x14ac:dyDescent="0.35">
      <c r="A20" s="8">
        <v>246779414682</v>
      </c>
      <c r="B20" s="1">
        <v>45736</v>
      </c>
      <c r="C20" t="s">
        <v>17</v>
      </c>
      <c r="D20" t="s">
        <v>96</v>
      </c>
      <c r="E20" t="s">
        <v>19</v>
      </c>
      <c r="F20" t="s">
        <v>40</v>
      </c>
      <c r="G20" s="7"/>
      <c r="H20" s="7">
        <v>7619.7987999999996</v>
      </c>
      <c r="I20" s="7">
        <v>-605101.17559999996</v>
      </c>
      <c r="J20" s="7"/>
      <c r="K20" s="7" t="s">
        <v>97</v>
      </c>
      <c r="L20" s="7" t="s">
        <v>98</v>
      </c>
      <c r="M20" s="7" t="s">
        <v>23</v>
      </c>
      <c r="N20" t="s">
        <v>24</v>
      </c>
      <c r="O20" s="7">
        <f>VLOOKUP(A20,[1]Workings!$M:$U,9,0)</f>
        <v>7876.77</v>
      </c>
      <c r="P20" s="12">
        <f t="shared" si="0"/>
        <v>-256.97120000000086</v>
      </c>
      <c r="S20">
        <f t="shared" si="2"/>
        <v>-3.2623930875219269</v>
      </c>
    </row>
    <row r="21" spans="1:19" x14ac:dyDescent="0.35">
      <c r="A21" s="8">
        <v>246779414735</v>
      </c>
      <c r="B21" s="1">
        <v>45736</v>
      </c>
      <c r="C21" t="s">
        <v>17</v>
      </c>
      <c r="D21" t="s">
        <v>99</v>
      </c>
      <c r="E21" t="s">
        <v>19</v>
      </c>
      <c r="F21" t="s">
        <v>40</v>
      </c>
      <c r="G21" s="7"/>
      <c r="H21" s="7">
        <v>8168.4920000000002</v>
      </c>
      <c r="I21" s="7">
        <v>-613269.66760000004</v>
      </c>
      <c r="J21" s="7"/>
      <c r="K21" s="7" t="s">
        <v>100</v>
      </c>
      <c r="L21" s="7" t="s">
        <v>101</v>
      </c>
      <c r="M21" s="7" t="s">
        <v>23</v>
      </c>
      <c r="N21" t="s">
        <v>24</v>
      </c>
      <c r="O21" s="7">
        <f>VLOOKUP(A21,[1]Workings!$M:$U,9,0)</f>
        <v>8443.73</v>
      </c>
      <c r="P21" s="12">
        <f t="shared" si="0"/>
        <v>-275.23799999999937</v>
      </c>
      <c r="S21">
        <f t="shared" si="2"/>
        <v>-3.259673153926042</v>
      </c>
    </row>
    <row r="22" spans="1:19" x14ac:dyDescent="0.35">
      <c r="A22" s="8">
        <v>246779414886</v>
      </c>
      <c r="B22" s="1">
        <v>45736</v>
      </c>
      <c r="C22" t="s">
        <v>17</v>
      </c>
      <c r="D22" t="s">
        <v>102</v>
      </c>
      <c r="E22" t="s">
        <v>19</v>
      </c>
      <c r="F22" t="s">
        <v>40</v>
      </c>
      <c r="G22" s="7"/>
      <c r="H22" s="7">
        <v>2582.864</v>
      </c>
      <c r="I22" s="7">
        <v>-615852.53159999999</v>
      </c>
      <c r="J22" s="7"/>
      <c r="K22" s="7" t="s">
        <v>103</v>
      </c>
      <c r="L22" s="7" t="s">
        <v>104</v>
      </c>
      <c r="M22" s="7" t="s">
        <v>23</v>
      </c>
      <c r="N22" t="s">
        <v>24</v>
      </c>
      <c r="O22" s="7">
        <f>VLOOKUP(A22,[1]Workings!$M:$U,9,0)</f>
        <v>2670.09</v>
      </c>
      <c r="P22" s="12">
        <f t="shared" si="0"/>
        <v>-87.226000000000113</v>
      </c>
      <c r="S22">
        <f t="shared" si="2"/>
        <v>-3.2667812695452256</v>
      </c>
    </row>
    <row r="23" spans="1:19" x14ac:dyDescent="0.35">
      <c r="A23" s="8">
        <v>246779414397</v>
      </c>
      <c r="B23" s="1">
        <v>45736</v>
      </c>
      <c r="C23" t="s">
        <v>17</v>
      </c>
      <c r="D23" t="s">
        <v>105</v>
      </c>
      <c r="E23" t="s">
        <v>19</v>
      </c>
      <c r="F23" t="s">
        <v>40</v>
      </c>
      <c r="G23" s="7"/>
      <c r="H23" s="7">
        <v>589.62739999999997</v>
      </c>
      <c r="I23" s="7">
        <v>-616442.15899999999</v>
      </c>
      <c r="J23" s="7"/>
      <c r="K23" s="7" t="s">
        <v>106</v>
      </c>
      <c r="L23" s="7" t="s">
        <v>107</v>
      </c>
      <c r="M23" s="7" t="s">
        <v>23</v>
      </c>
      <c r="N23" t="s">
        <v>24</v>
      </c>
      <c r="O23" s="7">
        <f>VLOOKUP(A23,[1]Workings!$M:$U,9,0)</f>
        <v>609.44000000000005</v>
      </c>
      <c r="P23" s="12">
        <f t="shared" si="0"/>
        <v>-19.812600000000089</v>
      </c>
      <c r="S23">
        <f t="shared" si="2"/>
        <v>-3.2509516933578508</v>
      </c>
    </row>
    <row r="24" spans="1:19" x14ac:dyDescent="0.35">
      <c r="A24" s="8">
        <v>246779414887</v>
      </c>
      <c r="B24" s="1">
        <v>45736</v>
      </c>
      <c r="C24" t="s">
        <v>17</v>
      </c>
      <c r="D24" t="s">
        <v>108</v>
      </c>
      <c r="E24" t="s">
        <v>19</v>
      </c>
      <c r="F24" t="s">
        <v>40</v>
      </c>
      <c r="G24" s="7"/>
      <c r="H24" s="7">
        <v>610.16660000000002</v>
      </c>
      <c r="I24" s="7">
        <v>-617052.32559999998</v>
      </c>
      <c r="J24" s="7"/>
      <c r="K24" s="7" t="s">
        <v>85</v>
      </c>
      <c r="L24" s="7" t="s">
        <v>109</v>
      </c>
      <c r="M24" s="7" t="s">
        <v>23</v>
      </c>
      <c r="N24" t="s">
        <v>24</v>
      </c>
      <c r="O24" s="7">
        <f>VLOOKUP(A24,[1]Workings!$M:$U,9,0)</f>
        <v>630.25</v>
      </c>
      <c r="P24" s="12">
        <f t="shared" si="0"/>
        <v>-20.083399999999983</v>
      </c>
      <c r="S24">
        <f t="shared" si="2"/>
        <v>-3.1865767552558482</v>
      </c>
    </row>
    <row r="25" spans="1:19" x14ac:dyDescent="0.35">
      <c r="A25" s="8">
        <v>256779414888</v>
      </c>
      <c r="B25" s="1">
        <v>45736</v>
      </c>
      <c r="C25" t="s">
        <v>17</v>
      </c>
      <c r="D25" t="s">
        <v>110</v>
      </c>
      <c r="E25" t="s">
        <v>19</v>
      </c>
      <c r="F25" t="s">
        <v>40</v>
      </c>
      <c r="G25" s="7"/>
      <c r="H25" s="7">
        <v>914.67780000000005</v>
      </c>
      <c r="I25" s="7">
        <v>-617967.00340000005</v>
      </c>
      <c r="J25" s="7"/>
      <c r="K25" s="7" t="s">
        <v>111</v>
      </c>
      <c r="L25" s="7" t="s">
        <v>112</v>
      </c>
      <c r="M25" s="7" t="s">
        <v>23</v>
      </c>
      <c r="N25" t="s">
        <v>24</v>
      </c>
      <c r="O25" s="7" t="e">
        <f>VLOOKUP(A25,[1]Workings!$M:$U,9,0)</f>
        <v>#N/A</v>
      </c>
      <c r="P25" s="12" t="e">
        <f t="shared" si="0"/>
        <v>#N/A</v>
      </c>
    </row>
    <row r="26" spans="1:19" x14ac:dyDescent="0.35">
      <c r="A26" s="8">
        <v>246779414889</v>
      </c>
      <c r="B26" s="1">
        <v>45736</v>
      </c>
      <c r="C26" t="s">
        <v>17</v>
      </c>
      <c r="D26" t="s">
        <v>113</v>
      </c>
      <c r="E26" t="s">
        <v>19</v>
      </c>
      <c r="F26" t="s">
        <v>40</v>
      </c>
      <c r="G26" s="7"/>
      <c r="H26" s="7">
        <v>211.66159999999999</v>
      </c>
      <c r="I26" s="7">
        <v>-618178.66500000004</v>
      </c>
      <c r="J26" s="7"/>
      <c r="K26" s="7" t="s">
        <v>114</v>
      </c>
      <c r="L26" s="7" t="s">
        <v>115</v>
      </c>
      <c r="M26" s="7" t="s">
        <v>23</v>
      </c>
      <c r="N26" t="s">
        <v>24</v>
      </c>
      <c r="O26" s="7">
        <f>VLOOKUP(A26,[1]Workings!$M:$U,9,0)</f>
        <v>218.46</v>
      </c>
      <c r="P26" s="12">
        <f t="shared" si="0"/>
        <v>-6.7984000000000151</v>
      </c>
      <c r="S26">
        <f t="shared" ref="S26:S30" si="3">P26/O26*100</f>
        <v>-3.1119655772223815</v>
      </c>
    </row>
    <row r="27" spans="1:19" x14ac:dyDescent="0.35">
      <c r="A27" s="8">
        <v>246779414398</v>
      </c>
      <c r="B27" s="1">
        <v>45736</v>
      </c>
      <c r="C27" t="s">
        <v>17</v>
      </c>
      <c r="D27" t="s">
        <v>116</v>
      </c>
      <c r="E27" t="s">
        <v>19</v>
      </c>
      <c r="F27" t="s">
        <v>40</v>
      </c>
      <c r="G27" s="7"/>
      <c r="H27" s="7">
        <v>2716.0803999999998</v>
      </c>
      <c r="I27" s="7">
        <v>-620894.74540000001</v>
      </c>
      <c r="J27" s="7"/>
      <c r="K27" s="7" t="s">
        <v>117</v>
      </c>
      <c r="L27" s="7" t="s">
        <v>118</v>
      </c>
      <c r="M27" s="7" t="s">
        <v>23</v>
      </c>
      <c r="N27" t="s">
        <v>24</v>
      </c>
      <c r="O27" s="7">
        <f>VLOOKUP(A27,[1]Workings!$M:$U,9,0)</f>
        <v>2807.06</v>
      </c>
      <c r="P27" s="12">
        <f t="shared" si="0"/>
        <v>-90.979600000000119</v>
      </c>
      <c r="S27">
        <f t="shared" si="3"/>
        <v>-3.2410992283741753</v>
      </c>
    </row>
    <row r="28" spans="1:19" x14ac:dyDescent="0.35">
      <c r="A28" s="8">
        <v>246779414890</v>
      </c>
      <c r="B28" s="1">
        <v>45736</v>
      </c>
      <c r="C28" t="s">
        <v>17</v>
      </c>
      <c r="D28" t="s">
        <v>119</v>
      </c>
      <c r="E28" t="s">
        <v>19</v>
      </c>
      <c r="F28" t="s">
        <v>40</v>
      </c>
      <c r="G28" s="7"/>
      <c r="H28" s="7">
        <v>3690.52</v>
      </c>
      <c r="I28" s="7">
        <v>-624585.26540000003</v>
      </c>
      <c r="J28" s="7"/>
      <c r="K28" s="7" t="s">
        <v>120</v>
      </c>
      <c r="L28" s="7" t="s">
        <v>121</v>
      </c>
      <c r="M28" s="7" t="s">
        <v>23</v>
      </c>
      <c r="N28" t="s">
        <v>24</v>
      </c>
      <c r="O28" s="7">
        <f>VLOOKUP(A28,[1]Workings!$M:$U,9,0)</f>
        <v>3814.42</v>
      </c>
      <c r="P28" s="12">
        <f t="shared" si="0"/>
        <v>-123.90000000000009</v>
      </c>
      <c r="S28">
        <f t="shared" si="3"/>
        <v>-3.2482002506278826</v>
      </c>
    </row>
    <row r="29" spans="1:19" x14ac:dyDescent="0.35">
      <c r="A29" s="8">
        <v>246779412066</v>
      </c>
      <c r="B29" s="1">
        <v>45733</v>
      </c>
      <c r="C29" t="s">
        <v>17</v>
      </c>
      <c r="D29" t="s">
        <v>122</v>
      </c>
      <c r="E29" t="s">
        <v>19</v>
      </c>
      <c r="F29" t="s">
        <v>54</v>
      </c>
      <c r="G29" s="7"/>
      <c r="H29" s="7">
        <v>5577.07</v>
      </c>
      <c r="I29" s="7">
        <v>-630162.33539999998</v>
      </c>
      <c r="J29" s="7"/>
      <c r="K29" s="7" t="s">
        <v>123</v>
      </c>
      <c r="L29" s="7" t="s">
        <v>124</v>
      </c>
      <c r="M29" s="7" t="s">
        <v>23</v>
      </c>
      <c r="N29" t="s">
        <v>24</v>
      </c>
      <c r="O29" s="7">
        <f>VLOOKUP(A29,[1]Workings!$M:$U,9,0)</f>
        <v>5764.97</v>
      </c>
      <c r="P29" s="12">
        <f t="shared" si="0"/>
        <v>-187.90000000000055</v>
      </c>
      <c r="S29">
        <f t="shared" si="3"/>
        <v>-3.2593404649113618</v>
      </c>
    </row>
    <row r="30" spans="1:19" x14ac:dyDescent="0.35">
      <c r="A30" s="8">
        <v>246779414318</v>
      </c>
      <c r="B30" s="1">
        <v>45737</v>
      </c>
      <c r="C30" t="s">
        <v>17</v>
      </c>
      <c r="D30" t="s">
        <v>125</v>
      </c>
      <c r="E30" t="s">
        <v>19</v>
      </c>
      <c r="F30" t="s">
        <v>40</v>
      </c>
      <c r="G30" s="7"/>
      <c r="H30" s="7">
        <v>3836.4292</v>
      </c>
      <c r="I30" s="7">
        <v>-633998.76459999999</v>
      </c>
      <c r="J30" s="7"/>
      <c r="K30" s="7" t="s">
        <v>126</v>
      </c>
      <c r="L30" s="7" t="s">
        <v>127</v>
      </c>
      <c r="M30" s="7" t="s">
        <v>23</v>
      </c>
      <c r="N30" t="s">
        <v>24</v>
      </c>
      <c r="O30" s="7">
        <f>VLOOKUP(A30,[1]Workings!$M:$U,9,0)</f>
        <v>3965.26</v>
      </c>
      <c r="P30" s="12">
        <f t="shared" si="0"/>
        <v>-128.83080000000018</v>
      </c>
      <c r="S30">
        <f t="shared" si="3"/>
        <v>-3.2489874560558496</v>
      </c>
    </row>
    <row r="31" spans="1:19" x14ac:dyDescent="0.35">
      <c r="A31" s="8"/>
      <c r="B31" s="1">
        <v>45736</v>
      </c>
      <c r="C31" t="s">
        <v>69</v>
      </c>
      <c r="D31" t="s">
        <v>128</v>
      </c>
      <c r="E31" t="s">
        <v>71</v>
      </c>
      <c r="F31" t="s">
        <v>72</v>
      </c>
      <c r="G31" s="7"/>
      <c r="H31" s="7">
        <v>1711.6</v>
      </c>
      <c r="I31" s="7">
        <v>-635710.36459999997</v>
      </c>
      <c r="J31" s="7"/>
      <c r="K31" s="7" t="s">
        <v>73</v>
      </c>
      <c r="L31" s="7" t="s">
        <v>129</v>
      </c>
      <c r="M31" s="7" t="s">
        <v>23</v>
      </c>
      <c r="N31" t="s">
        <v>24</v>
      </c>
      <c r="O31" s="7" t="e">
        <f>VLOOKUP(A31,[1]Workings!$M:$U,9,0)</f>
        <v>#N/A</v>
      </c>
      <c r="P31" s="12" t="e">
        <f t="shared" si="0"/>
        <v>#N/A</v>
      </c>
    </row>
    <row r="32" spans="1:19" x14ac:dyDescent="0.35">
      <c r="A32" s="8"/>
      <c r="B32" s="1">
        <v>45736</v>
      </c>
      <c r="C32" t="s">
        <v>69</v>
      </c>
      <c r="D32" t="s">
        <v>130</v>
      </c>
      <c r="E32" t="s">
        <v>131</v>
      </c>
      <c r="F32" t="s">
        <v>72</v>
      </c>
      <c r="G32" s="7">
        <v>-1711.6</v>
      </c>
      <c r="H32" s="7"/>
      <c r="I32" s="7">
        <v>-637421.96459999995</v>
      </c>
      <c r="J32" s="7" t="s">
        <v>132</v>
      </c>
      <c r="K32" s="7"/>
      <c r="L32" s="7" t="s">
        <v>133</v>
      </c>
      <c r="M32" s="7" t="s">
        <v>75</v>
      </c>
      <c r="N32" t="s">
        <v>24</v>
      </c>
      <c r="O32" s="7" t="e">
        <f>VLOOKUP(A32,[1]Workings!$M:$U,9,0)</f>
        <v>#N/A</v>
      </c>
      <c r="P32" s="12" t="e">
        <f t="shared" si="0"/>
        <v>#N/A</v>
      </c>
    </row>
    <row r="33" spans="1:19" x14ac:dyDescent="0.35">
      <c r="A33" s="8">
        <v>246779410252</v>
      </c>
      <c r="B33" s="1">
        <v>45708</v>
      </c>
      <c r="C33" t="s">
        <v>17</v>
      </c>
      <c r="D33" t="s">
        <v>134</v>
      </c>
      <c r="E33" t="s">
        <v>19</v>
      </c>
      <c r="F33" t="s">
        <v>46</v>
      </c>
      <c r="G33" s="7"/>
      <c r="H33" s="7">
        <v>33554.7022</v>
      </c>
      <c r="I33" s="7">
        <v>-670976.66680000001</v>
      </c>
      <c r="J33" s="7"/>
      <c r="K33" s="7" t="s">
        <v>135</v>
      </c>
      <c r="L33" s="7" t="s">
        <v>136</v>
      </c>
      <c r="M33" s="7" t="s">
        <v>23</v>
      </c>
      <c r="N33" t="s">
        <v>24</v>
      </c>
      <c r="O33" s="7">
        <f>VLOOKUP(A33,[1]Workings!$M:$U,9,0)</f>
        <v>34529.230000000003</v>
      </c>
      <c r="P33" s="12">
        <f t="shared" si="0"/>
        <v>-974.52780000000348</v>
      </c>
      <c r="S33">
        <f t="shared" ref="S33:S51" si="4">P33/O33*100</f>
        <v>-2.8223270544984738</v>
      </c>
    </row>
    <row r="34" spans="1:19" x14ac:dyDescent="0.35">
      <c r="A34" s="8">
        <v>246779410166</v>
      </c>
      <c r="B34" s="1">
        <v>45708</v>
      </c>
      <c r="C34" t="s">
        <v>17</v>
      </c>
      <c r="D34" t="s">
        <v>137</v>
      </c>
      <c r="E34" t="s">
        <v>19</v>
      </c>
      <c r="F34" t="s">
        <v>46</v>
      </c>
      <c r="G34" s="7"/>
      <c r="H34" s="7">
        <v>34945.618600000002</v>
      </c>
      <c r="I34" s="7">
        <v>-705922.28540000005</v>
      </c>
      <c r="J34" s="7"/>
      <c r="K34" s="7" t="s">
        <v>21</v>
      </c>
      <c r="L34" s="7" t="s">
        <v>138</v>
      </c>
      <c r="M34" s="7" t="s">
        <v>23</v>
      </c>
      <c r="N34" t="s">
        <v>24</v>
      </c>
      <c r="O34" s="7">
        <f>VLOOKUP(A34,[1]Workings!$M:$U,9,0)</f>
        <v>35960.15</v>
      </c>
      <c r="P34" s="12">
        <f t="shared" si="0"/>
        <v>-1014.5313999999998</v>
      </c>
      <c r="S34">
        <f t="shared" si="4"/>
        <v>-2.8212657622395896</v>
      </c>
    </row>
    <row r="35" spans="1:19" x14ac:dyDescent="0.35">
      <c r="A35" s="8">
        <v>246779410140</v>
      </c>
      <c r="B35" s="1">
        <v>45708</v>
      </c>
      <c r="C35" t="s">
        <v>17</v>
      </c>
      <c r="D35" t="s">
        <v>139</v>
      </c>
      <c r="E35" t="s">
        <v>19</v>
      </c>
      <c r="F35" t="s">
        <v>30</v>
      </c>
      <c r="G35" s="7"/>
      <c r="H35" s="7">
        <v>91693.278399999996</v>
      </c>
      <c r="I35" s="7">
        <v>-797615.5638</v>
      </c>
      <c r="J35" s="7"/>
      <c r="K35" s="7" t="s">
        <v>31</v>
      </c>
      <c r="L35" s="7" t="s">
        <v>140</v>
      </c>
      <c r="M35" s="7" t="s">
        <v>23</v>
      </c>
      <c r="N35" t="s">
        <v>24</v>
      </c>
      <c r="O35" s="7">
        <f>VLOOKUP(A35,[1]Workings!$M:$U,9,0)</f>
        <v>102742.78</v>
      </c>
      <c r="P35" s="12">
        <f t="shared" si="0"/>
        <v>-11049.501600000003</v>
      </c>
      <c r="S35">
        <f t="shared" si="4"/>
        <v>-10.754528542054247</v>
      </c>
    </row>
    <row r="36" spans="1:19" x14ac:dyDescent="0.35">
      <c r="A36" s="8">
        <v>246779410226</v>
      </c>
      <c r="B36" s="1">
        <v>45708</v>
      </c>
      <c r="C36" t="s">
        <v>17</v>
      </c>
      <c r="D36" t="s">
        <v>141</v>
      </c>
      <c r="E36" t="s">
        <v>19</v>
      </c>
      <c r="F36" t="s">
        <v>30</v>
      </c>
      <c r="G36" s="7"/>
      <c r="H36" s="7">
        <v>88045.209600000002</v>
      </c>
      <c r="I36" s="7">
        <v>-885660.77339999995</v>
      </c>
      <c r="J36" s="7"/>
      <c r="K36" s="7" t="s">
        <v>142</v>
      </c>
      <c r="L36" s="7" t="s">
        <v>143</v>
      </c>
      <c r="M36" s="7" t="s">
        <v>23</v>
      </c>
      <c r="N36" t="s">
        <v>24</v>
      </c>
      <c r="O36" s="7">
        <f>VLOOKUP(A36,[1]Workings!$M:$U,9,0)</f>
        <v>98655.44</v>
      </c>
      <c r="P36" s="12">
        <f t="shared" si="0"/>
        <v>-10610.2304</v>
      </c>
      <c r="S36">
        <f t="shared" si="4"/>
        <v>-10.754835617782456</v>
      </c>
    </row>
    <row r="37" spans="1:19" x14ac:dyDescent="0.35">
      <c r="A37" s="8">
        <v>246779411760</v>
      </c>
      <c r="B37" s="1">
        <v>45733</v>
      </c>
      <c r="C37" t="s">
        <v>17</v>
      </c>
      <c r="D37" t="s">
        <v>144</v>
      </c>
      <c r="E37" t="s">
        <v>19</v>
      </c>
      <c r="F37" t="s">
        <v>54</v>
      </c>
      <c r="G37" s="7"/>
      <c r="H37" s="7">
        <v>43626.1486</v>
      </c>
      <c r="I37" s="7">
        <v>-929286.92200000002</v>
      </c>
      <c r="J37" s="7"/>
      <c r="K37" s="7" t="s">
        <v>145</v>
      </c>
      <c r="L37" s="7" t="s">
        <v>146</v>
      </c>
      <c r="M37" s="7" t="s">
        <v>23</v>
      </c>
      <c r="N37" t="s">
        <v>24</v>
      </c>
      <c r="O37" s="7">
        <f>VLOOKUP(A37,[1]Workings!$M:$U,9,0)</f>
        <v>45094.19</v>
      </c>
      <c r="P37" s="12">
        <f t="shared" si="0"/>
        <v>-1468.0414000000019</v>
      </c>
      <c r="S37">
        <f t="shared" si="4"/>
        <v>-3.255500098793219</v>
      </c>
    </row>
    <row r="38" spans="1:19" x14ac:dyDescent="0.35">
      <c r="A38" s="8">
        <v>246779413905</v>
      </c>
      <c r="B38" s="1">
        <v>45736</v>
      </c>
      <c r="C38" t="s">
        <v>17</v>
      </c>
      <c r="D38" t="s">
        <v>147</v>
      </c>
      <c r="E38" t="s">
        <v>19</v>
      </c>
      <c r="F38" t="s">
        <v>40</v>
      </c>
      <c r="G38" s="7"/>
      <c r="H38" s="7">
        <v>368.55200000000002</v>
      </c>
      <c r="I38" s="7">
        <v>-929655.47400000005</v>
      </c>
      <c r="J38" s="7"/>
      <c r="K38" s="7" t="s">
        <v>148</v>
      </c>
      <c r="L38" s="7" t="s">
        <v>149</v>
      </c>
      <c r="M38" s="7" t="s">
        <v>23</v>
      </c>
      <c r="N38" t="s">
        <v>24</v>
      </c>
      <c r="O38" s="7">
        <f>VLOOKUP(A38,[1]Workings!$M:$U,9,0)</f>
        <v>381.44</v>
      </c>
      <c r="P38" s="12">
        <f t="shared" si="0"/>
        <v>-12.887999999999977</v>
      </c>
      <c r="S38">
        <f t="shared" si="4"/>
        <v>-3.3787751677852285</v>
      </c>
    </row>
    <row r="39" spans="1:19" x14ac:dyDescent="0.35">
      <c r="A39" s="8">
        <v>246779414399</v>
      </c>
      <c r="B39" s="1">
        <v>45736</v>
      </c>
      <c r="C39" t="s">
        <v>17</v>
      </c>
      <c r="D39" t="s">
        <v>150</v>
      </c>
      <c r="E39" t="s">
        <v>19</v>
      </c>
      <c r="F39" t="s">
        <v>40</v>
      </c>
      <c r="G39" s="7"/>
      <c r="H39" s="7">
        <v>6461.0832</v>
      </c>
      <c r="I39" s="7">
        <v>-936116.55720000004</v>
      </c>
      <c r="J39" s="7"/>
      <c r="K39" s="7" t="s">
        <v>151</v>
      </c>
      <c r="L39" s="7" t="s">
        <v>152</v>
      </c>
      <c r="M39" s="7" t="s">
        <v>23</v>
      </c>
      <c r="N39" t="s">
        <v>24</v>
      </c>
      <c r="O39" s="7">
        <f>VLOOKUP(A39,[1]Workings!$M:$U,9,0)</f>
        <v>6678.69</v>
      </c>
      <c r="P39" s="12">
        <f t="shared" si="0"/>
        <v>-217.60679999999957</v>
      </c>
      <c r="S39">
        <f t="shared" si="4"/>
        <v>-3.2582257897881108</v>
      </c>
    </row>
    <row r="40" spans="1:19" x14ac:dyDescent="0.35">
      <c r="A40" s="8">
        <v>246779410009</v>
      </c>
      <c r="B40" s="1">
        <v>45707</v>
      </c>
      <c r="C40" t="s">
        <v>17</v>
      </c>
      <c r="D40" t="s">
        <v>153</v>
      </c>
      <c r="E40" t="s">
        <v>19</v>
      </c>
      <c r="F40" t="s">
        <v>30</v>
      </c>
      <c r="G40" s="7"/>
      <c r="H40" s="7">
        <v>91693.278399999996</v>
      </c>
      <c r="I40" s="7">
        <v>-1027809.8356</v>
      </c>
      <c r="J40" s="7"/>
      <c r="K40" s="7" t="s">
        <v>31</v>
      </c>
      <c r="L40" s="7" t="s">
        <v>154</v>
      </c>
      <c r="M40" s="7" t="s">
        <v>23</v>
      </c>
      <c r="N40" t="s">
        <v>24</v>
      </c>
      <c r="O40" s="7">
        <f>VLOOKUP(A40,[1]Workings!$M:$U,9,0)</f>
        <v>102742.78</v>
      </c>
      <c r="P40" s="12">
        <f t="shared" si="0"/>
        <v>-11049.501600000003</v>
      </c>
      <c r="S40">
        <f t="shared" si="4"/>
        <v>-10.754528542054247</v>
      </c>
    </row>
    <row r="41" spans="1:19" x14ac:dyDescent="0.35">
      <c r="A41" s="8">
        <v>246779410077</v>
      </c>
      <c r="B41" s="1">
        <v>45708</v>
      </c>
      <c r="C41" t="s">
        <v>17</v>
      </c>
      <c r="D41" t="s">
        <v>155</v>
      </c>
      <c r="E41" t="s">
        <v>19</v>
      </c>
      <c r="F41" t="s">
        <v>46</v>
      </c>
      <c r="G41" s="7"/>
      <c r="H41" s="7">
        <v>34945.618600000002</v>
      </c>
      <c r="I41" s="7">
        <v>-1062755.4542</v>
      </c>
      <c r="J41" s="7"/>
      <c r="K41" s="7" t="s">
        <v>21</v>
      </c>
      <c r="L41" s="7" t="s">
        <v>156</v>
      </c>
      <c r="M41" s="7" t="s">
        <v>23</v>
      </c>
      <c r="N41" t="s">
        <v>24</v>
      </c>
      <c r="O41" s="7">
        <f>VLOOKUP(A41,[1]Workings!$M:$U,9,0)</f>
        <v>35960.15</v>
      </c>
      <c r="P41" s="12">
        <f t="shared" si="0"/>
        <v>-1014.5313999999998</v>
      </c>
      <c r="S41">
        <f t="shared" si="4"/>
        <v>-2.8212657622395896</v>
      </c>
    </row>
    <row r="42" spans="1:19" x14ac:dyDescent="0.35">
      <c r="A42" s="8">
        <v>246779411449</v>
      </c>
      <c r="B42" s="1">
        <v>45730</v>
      </c>
      <c r="C42" t="s">
        <v>17</v>
      </c>
      <c r="D42" t="s">
        <v>157</v>
      </c>
      <c r="E42" t="s">
        <v>19</v>
      </c>
      <c r="F42" t="s">
        <v>54</v>
      </c>
      <c r="G42" s="7"/>
      <c r="H42" s="7">
        <v>79318.285000000003</v>
      </c>
      <c r="I42" s="7">
        <v>-1142073.7392</v>
      </c>
      <c r="J42" s="7"/>
      <c r="K42" s="7" t="s">
        <v>158</v>
      </c>
      <c r="L42" s="7" t="s">
        <v>159</v>
      </c>
      <c r="M42" s="7" t="s">
        <v>23</v>
      </c>
      <c r="N42" t="s">
        <v>24</v>
      </c>
      <c r="O42" s="7">
        <f>VLOOKUP(A42,[1]Workings!$M:$U,9,0)</f>
        <v>81988.259999999995</v>
      </c>
      <c r="P42" s="12">
        <f t="shared" si="0"/>
        <v>-2669.9749999999913</v>
      </c>
      <c r="S42">
        <f t="shared" si="4"/>
        <v>-3.2565333134280339</v>
      </c>
    </row>
    <row r="43" spans="1:19" x14ac:dyDescent="0.35">
      <c r="A43" s="8">
        <v>246779412238</v>
      </c>
      <c r="B43" s="14">
        <v>45730</v>
      </c>
      <c r="C43" t="s">
        <v>17</v>
      </c>
      <c r="D43" t="s">
        <v>160</v>
      </c>
      <c r="E43" t="s">
        <v>19</v>
      </c>
      <c r="F43" t="s">
        <v>54</v>
      </c>
      <c r="G43" s="7"/>
      <c r="H43" s="7">
        <v>79318.285000000003</v>
      </c>
      <c r="I43" s="7">
        <v>-1221392.0242000001</v>
      </c>
      <c r="J43" s="7"/>
      <c r="K43" s="7" t="s">
        <v>158</v>
      </c>
      <c r="L43" s="7" t="s">
        <v>161</v>
      </c>
      <c r="M43" s="7" t="s">
        <v>23</v>
      </c>
      <c r="N43" t="s">
        <v>24</v>
      </c>
      <c r="O43" s="7">
        <f>VLOOKUP(A43,[1]Workings!$M:$U,9,0)</f>
        <v>81988.259999999995</v>
      </c>
      <c r="P43" s="12">
        <f t="shared" si="0"/>
        <v>-2669.9749999999913</v>
      </c>
      <c r="S43">
        <f t="shared" si="4"/>
        <v>-3.2565333134280339</v>
      </c>
    </row>
    <row r="44" spans="1:19" x14ac:dyDescent="0.35">
      <c r="A44" s="8">
        <v>246779414222</v>
      </c>
      <c r="B44" s="1">
        <v>45736</v>
      </c>
      <c r="C44" t="s">
        <v>17</v>
      </c>
      <c r="D44" t="s">
        <v>162</v>
      </c>
      <c r="E44" t="s">
        <v>19</v>
      </c>
      <c r="F44" t="s">
        <v>40</v>
      </c>
      <c r="G44" s="7"/>
      <c r="H44" s="7">
        <v>16503.432400000002</v>
      </c>
      <c r="I44" s="7">
        <v>-1237895.4565999999</v>
      </c>
      <c r="J44" s="7"/>
      <c r="K44" s="7" t="s">
        <v>163</v>
      </c>
      <c r="L44" s="7" t="s">
        <v>164</v>
      </c>
      <c r="M44" s="7" t="s">
        <v>23</v>
      </c>
      <c r="N44" t="s">
        <v>24</v>
      </c>
      <c r="O44" s="7">
        <f>VLOOKUP(A44,[1]Workings!$M:$U,9,0)</f>
        <v>17059.11</v>
      </c>
      <c r="P44" s="12">
        <f t="shared" si="0"/>
        <v>-555.67759999999907</v>
      </c>
      <c r="S44">
        <f t="shared" si="4"/>
        <v>-3.2573657125137192</v>
      </c>
    </row>
    <row r="45" spans="1:19" x14ac:dyDescent="0.35">
      <c r="A45" s="8">
        <v>246779414143</v>
      </c>
      <c r="B45" s="1">
        <v>45736</v>
      </c>
      <c r="C45" t="s">
        <v>17</v>
      </c>
      <c r="D45" t="s">
        <v>165</v>
      </c>
      <c r="E45" t="s">
        <v>19</v>
      </c>
      <c r="F45" t="s">
        <v>40</v>
      </c>
      <c r="G45" s="7"/>
      <c r="H45" s="7">
        <v>47478.693800000001</v>
      </c>
      <c r="I45" s="7">
        <v>-1285374.1503999999</v>
      </c>
      <c r="J45" s="7"/>
      <c r="K45" s="7" t="s">
        <v>166</v>
      </c>
      <c r="L45" s="7" t="s">
        <v>167</v>
      </c>
      <c r="M45" s="7" t="s">
        <v>23</v>
      </c>
      <c r="N45" t="s">
        <v>24</v>
      </c>
      <c r="O45" s="7">
        <f>VLOOKUP(A45,[1]Workings!$M:$U,9,0)</f>
        <v>49076.79</v>
      </c>
      <c r="P45" s="12">
        <f t="shared" si="0"/>
        <v>-1598.0962</v>
      </c>
      <c r="S45">
        <f t="shared" si="4"/>
        <v>-3.2563177013003499</v>
      </c>
    </row>
    <row r="46" spans="1:19" x14ac:dyDescent="0.35">
      <c r="A46" s="8">
        <v>246779411621</v>
      </c>
      <c r="B46" s="1">
        <v>45733</v>
      </c>
      <c r="C46" t="s">
        <v>17</v>
      </c>
      <c r="D46" t="s">
        <v>168</v>
      </c>
      <c r="E46" t="s">
        <v>19</v>
      </c>
      <c r="F46" t="s">
        <v>54</v>
      </c>
      <c r="G46" s="7"/>
      <c r="H46" s="7">
        <v>37240.943200000002</v>
      </c>
      <c r="I46" s="7">
        <v>-1322615.0936</v>
      </c>
      <c r="J46" s="7"/>
      <c r="K46" s="7" t="s">
        <v>169</v>
      </c>
      <c r="L46" s="7" t="s">
        <v>170</v>
      </c>
      <c r="M46" s="7" t="s">
        <v>23</v>
      </c>
      <c r="N46" t="s">
        <v>24</v>
      </c>
      <c r="O46" s="7">
        <f>VLOOKUP(A46,[1]Workings!$M:$U,9,0)</f>
        <v>38494.39</v>
      </c>
      <c r="P46" s="12">
        <f t="shared" si="0"/>
        <v>-1253.4467999999979</v>
      </c>
      <c r="S46">
        <f t="shared" si="4"/>
        <v>-3.2561804460338193</v>
      </c>
    </row>
    <row r="47" spans="1:19" x14ac:dyDescent="0.35">
      <c r="A47" s="8">
        <v>246779411301</v>
      </c>
      <c r="B47" s="1">
        <v>45729</v>
      </c>
      <c r="C47" t="s">
        <v>17</v>
      </c>
      <c r="D47" t="s">
        <v>171</v>
      </c>
      <c r="E47" t="s">
        <v>19</v>
      </c>
      <c r="F47" t="s">
        <v>54</v>
      </c>
      <c r="G47" s="7"/>
      <c r="H47" s="7">
        <v>7129.3</v>
      </c>
      <c r="I47" s="7">
        <v>-1329744.3936000001</v>
      </c>
      <c r="J47" s="7"/>
      <c r="K47" s="7" t="s">
        <v>172</v>
      </c>
      <c r="L47" s="7" t="s">
        <v>173</v>
      </c>
      <c r="M47" s="7" t="s">
        <v>23</v>
      </c>
      <c r="N47" t="s">
        <v>24</v>
      </c>
      <c r="O47" s="7">
        <f>VLOOKUP(A47,[1]Workings!$M:$U,9,0)</f>
        <v>7368.76</v>
      </c>
      <c r="P47" s="12">
        <f t="shared" si="0"/>
        <v>-239.46000000000004</v>
      </c>
      <c r="S47">
        <f t="shared" si="4"/>
        <v>-3.2496648011334339</v>
      </c>
    </row>
    <row r="48" spans="1:19" x14ac:dyDescent="0.35">
      <c r="A48" s="8">
        <v>246779411315</v>
      </c>
      <c r="B48" s="1">
        <v>45729</v>
      </c>
      <c r="C48" t="s">
        <v>17</v>
      </c>
      <c r="D48" t="s">
        <v>174</v>
      </c>
      <c r="E48" t="s">
        <v>19</v>
      </c>
      <c r="F48" t="s">
        <v>54</v>
      </c>
      <c r="G48" s="7"/>
      <c r="H48" s="7">
        <v>2935.3</v>
      </c>
      <c r="I48" s="7">
        <v>-1332679.6936000001</v>
      </c>
      <c r="J48" s="7"/>
      <c r="K48" s="7" t="s">
        <v>175</v>
      </c>
      <c r="L48" s="7" t="s">
        <v>176</v>
      </c>
      <c r="M48" s="7" t="s">
        <v>23</v>
      </c>
      <c r="N48" t="s">
        <v>24</v>
      </c>
      <c r="O48" s="7">
        <f>VLOOKUP(A48,[1]Workings!$M:$U,9,0)</f>
        <v>3034.19</v>
      </c>
      <c r="P48" s="12">
        <f t="shared" si="0"/>
        <v>-98.889999999999873</v>
      </c>
      <c r="S48">
        <f t="shared" si="4"/>
        <v>-3.2591894377082471</v>
      </c>
    </row>
    <row r="49" spans="1:19" x14ac:dyDescent="0.35">
      <c r="A49" s="8">
        <v>246779413817</v>
      </c>
      <c r="B49" s="1">
        <v>45736</v>
      </c>
      <c r="C49" t="s">
        <v>17</v>
      </c>
      <c r="D49" t="s">
        <v>177</v>
      </c>
      <c r="E49" t="s">
        <v>19</v>
      </c>
      <c r="F49" t="s">
        <v>54</v>
      </c>
      <c r="G49" s="7"/>
      <c r="H49" s="7">
        <v>4193</v>
      </c>
      <c r="I49" s="7">
        <v>-1336872.6936000001</v>
      </c>
      <c r="J49" s="7"/>
      <c r="K49" s="7" t="s">
        <v>77</v>
      </c>
      <c r="L49" s="7" t="s">
        <v>178</v>
      </c>
      <c r="M49" s="7" t="s">
        <v>23</v>
      </c>
      <c r="N49" t="s">
        <v>24</v>
      </c>
      <c r="O49" s="7">
        <f>VLOOKUP(A49,[1]Workings!$M:$U,9,0)</f>
        <v>4334.5600000000004</v>
      </c>
      <c r="P49" s="12">
        <f t="shared" si="0"/>
        <v>-141.5600000000004</v>
      </c>
      <c r="S49">
        <f t="shared" si="4"/>
        <v>-3.2658447454874402</v>
      </c>
    </row>
    <row r="50" spans="1:19" x14ac:dyDescent="0.35">
      <c r="A50" s="8">
        <v>246779414146</v>
      </c>
      <c r="B50" s="1">
        <v>45736</v>
      </c>
      <c r="C50" t="s">
        <v>17</v>
      </c>
      <c r="D50" t="s">
        <v>179</v>
      </c>
      <c r="E50" t="s">
        <v>19</v>
      </c>
      <c r="F50" t="s">
        <v>63</v>
      </c>
      <c r="G50" s="7"/>
      <c r="H50" s="7">
        <v>1489.973</v>
      </c>
      <c r="I50" s="7">
        <v>-1338362.6666000001</v>
      </c>
      <c r="J50" s="7"/>
      <c r="K50" s="7" t="s">
        <v>180</v>
      </c>
      <c r="L50" s="7" t="s">
        <v>181</v>
      </c>
      <c r="M50" s="7" t="s">
        <v>23</v>
      </c>
      <c r="N50" t="s">
        <v>24</v>
      </c>
      <c r="O50" s="7">
        <f>VLOOKUP(A50,[1]Workings!$M:$U,9,0)</f>
        <v>1677.48</v>
      </c>
      <c r="P50" s="12">
        <f t="shared" si="0"/>
        <v>-187.50700000000006</v>
      </c>
      <c r="S50">
        <f t="shared" si="4"/>
        <v>-11.177897799079576</v>
      </c>
    </row>
    <row r="51" spans="1:19" x14ac:dyDescent="0.35">
      <c r="A51" s="8">
        <v>246779413808</v>
      </c>
      <c r="B51" s="1">
        <v>45736</v>
      </c>
      <c r="C51" t="s">
        <v>17</v>
      </c>
      <c r="D51" t="s">
        <v>182</v>
      </c>
      <c r="E51" t="s">
        <v>19</v>
      </c>
      <c r="F51" t="s">
        <v>63</v>
      </c>
      <c r="G51" s="7"/>
      <c r="H51" s="7">
        <v>134532</v>
      </c>
      <c r="I51" s="7">
        <v>-1472894.6666000001</v>
      </c>
      <c r="J51" s="7"/>
      <c r="K51" s="7" t="s">
        <v>183</v>
      </c>
      <c r="L51" s="7" t="s">
        <v>184</v>
      </c>
      <c r="M51" s="7" t="s">
        <v>23</v>
      </c>
      <c r="N51" t="s">
        <v>24</v>
      </c>
      <c r="O51" s="7">
        <f>VLOOKUP(A51,[1]Workings!$M:$U,9,0)</f>
        <v>138706.01999999999</v>
      </c>
      <c r="P51" s="12">
        <f t="shared" si="0"/>
        <v>-4174.0199999999895</v>
      </c>
      <c r="S51">
        <f t="shared" si="4"/>
        <v>-3.0092565556995936</v>
      </c>
    </row>
    <row r="52" spans="1:19" x14ac:dyDescent="0.35">
      <c r="A52" s="8"/>
      <c r="B52" s="1">
        <v>45736</v>
      </c>
      <c r="C52" t="s">
        <v>69</v>
      </c>
      <c r="D52" t="s">
        <v>185</v>
      </c>
      <c r="E52" t="s">
        <v>186</v>
      </c>
      <c r="F52" t="s">
        <v>72</v>
      </c>
      <c r="G52" s="7">
        <v>1711.6</v>
      </c>
      <c r="H52" s="7"/>
      <c r="I52" s="7">
        <v>-1471183.0666</v>
      </c>
      <c r="J52" s="7" t="s">
        <v>73</v>
      </c>
      <c r="K52" s="7"/>
      <c r="L52" s="7" t="s">
        <v>187</v>
      </c>
      <c r="M52" s="7" t="s">
        <v>75</v>
      </c>
      <c r="N52" t="s">
        <v>24</v>
      </c>
      <c r="O52" s="7" t="e">
        <f>VLOOKUP(A52,[1]Workings!$M:$U,9,0)</f>
        <v>#N/A</v>
      </c>
      <c r="P52" s="12" t="e">
        <f t="shared" si="0"/>
        <v>#N/A</v>
      </c>
    </row>
    <row r="53" spans="1:19" x14ac:dyDescent="0.35">
      <c r="A53" s="8">
        <v>246779414145</v>
      </c>
      <c r="B53" s="1">
        <v>45736</v>
      </c>
      <c r="C53" t="s">
        <v>17</v>
      </c>
      <c r="D53" t="s">
        <v>188</v>
      </c>
      <c r="E53" t="s">
        <v>19</v>
      </c>
      <c r="F53" t="s">
        <v>189</v>
      </c>
      <c r="G53" s="7"/>
      <c r="H53" s="7">
        <v>12580</v>
      </c>
      <c r="I53" s="7">
        <v>-1483763.0666</v>
      </c>
      <c r="J53" s="7"/>
      <c r="K53" s="7" t="s">
        <v>190</v>
      </c>
      <c r="L53" s="7" t="s">
        <v>191</v>
      </c>
      <c r="M53" s="7" t="s">
        <v>23</v>
      </c>
      <c r="N53" t="s">
        <v>24</v>
      </c>
      <c r="O53" s="7">
        <f>VLOOKUP(A53,[1]Workings!$M:$U,9,0)</f>
        <v>13003.69</v>
      </c>
      <c r="P53" s="12">
        <f t="shared" si="0"/>
        <v>-423.69000000000051</v>
      </c>
      <c r="S53">
        <f t="shared" ref="S53:S54" si="5">P53/O53*100</f>
        <v>-3.2582290103809033</v>
      </c>
    </row>
    <row r="54" spans="1:19" x14ac:dyDescent="0.35">
      <c r="A54" s="8">
        <v>246779410029</v>
      </c>
      <c r="B54" s="1">
        <v>45708</v>
      </c>
      <c r="C54" t="s">
        <v>17</v>
      </c>
      <c r="D54" t="s">
        <v>192</v>
      </c>
      <c r="E54" t="s">
        <v>19</v>
      </c>
      <c r="F54" t="s">
        <v>30</v>
      </c>
      <c r="G54" s="7"/>
      <c r="H54" s="7">
        <v>91693.278399999996</v>
      </c>
      <c r="I54" s="7">
        <v>-1575456.345</v>
      </c>
      <c r="J54" s="7"/>
      <c r="K54" s="7" t="s">
        <v>31</v>
      </c>
      <c r="L54" s="7" t="s">
        <v>193</v>
      </c>
      <c r="M54" s="7" t="s">
        <v>23</v>
      </c>
      <c r="N54" t="s">
        <v>24</v>
      </c>
      <c r="O54" s="7">
        <f>VLOOKUP(A54,[1]Workings!$M:$U,9,0)</f>
        <v>102742.78</v>
      </c>
      <c r="P54" s="12">
        <f t="shared" si="0"/>
        <v>-11049.501600000003</v>
      </c>
      <c r="S54">
        <f t="shared" si="5"/>
        <v>-10.754528542054247</v>
      </c>
    </row>
    <row r="55" spans="1:19" x14ac:dyDescent="0.35">
      <c r="A55" s="8">
        <v>24677910055</v>
      </c>
      <c r="B55" s="1">
        <v>45708</v>
      </c>
      <c r="C55" t="s">
        <v>17</v>
      </c>
      <c r="D55" t="s">
        <v>194</v>
      </c>
      <c r="E55" t="s">
        <v>19</v>
      </c>
      <c r="F55" t="s">
        <v>46</v>
      </c>
      <c r="G55" s="7"/>
      <c r="H55" s="7">
        <v>34945.618600000002</v>
      </c>
      <c r="I55" s="7">
        <v>-1610401.9635999999</v>
      </c>
      <c r="J55" s="7"/>
      <c r="K55" s="7" t="s">
        <v>21</v>
      </c>
      <c r="L55" s="7" t="s">
        <v>195</v>
      </c>
      <c r="M55" s="7" t="s">
        <v>23</v>
      </c>
      <c r="N55" t="s">
        <v>24</v>
      </c>
      <c r="O55" s="7" t="e">
        <f>VLOOKUP(A55,[1]Workings!$M:$U,9,0)</f>
        <v>#N/A</v>
      </c>
      <c r="P55" s="12" t="e">
        <f t="shared" si="0"/>
        <v>#N/A</v>
      </c>
    </row>
    <row r="56" spans="1:19" x14ac:dyDescent="0.35">
      <c r="A56" s="8">
        <v>246779411279</v>
      </c>
      <c r="B56" s="1">
        <v>45729</v>
      </c>
      <c r="C56" t="s">
        <v>17</v>
      </c>
      <c r="D56" t="s">
        <v>196</v>
      </c>
      <c r="E56" t="s">
        <v>19</v>
      </c>
      <c r="F56" t="s">
        <v>54</v>
      </c>
      <c r="G56" s="7"/>
      <c r="H56" s="7">
        <v>2935.3</v>
      </c>
      <c r="I56" s="7">
        <v>-1613337.2635999999</v>
      </c>
      <c r="J56" s="7"/>
      <c r="K56" s="7" t="s">
        <v>175</v>
      </c>
      <c r="L56" s="7" t="s">
        <v>197</v>
      </c>
      <c r="M56" s="7" t="s">
        <v>23</v>
      </c>
      <c r="N56" t="s">
        <v>24</v>
      </c>
      <c r="O56" s="7">
        <f>VLOOKUP(A56,[1]Workings!$M:$U,9,0)</f>
        <v>3034.19</v>
      </c>
      <c r="P56" s="12">
        <f t="shared" si="0"/>
        <v>-98.889999999999873</v>
      </c>
      <c r="S56">
        <f t="shared" ref="S56:S68" si="6">P56/O56*100</f>
        <v>-3.2591894377082471</v>
      </c>
    </row>
    <row r="57" spans="1:19" x14ac:dyDescent="0.35">
      <c r="A57" s="8">
        <v>246779413089</v>
      </c>
      <c r="B57" s="14">
        <v>45735</v>
      </c>
      <c r="C57" t="s">
        <v>17</v>
      </c>
      <c r="D57" t="s">
        <v>198</v>
      </c>
      <c r="E57" t="s">
        <v>19</v>
      </c>
      <c r="F57" t="s">
        <v>54</v>
      </c>
      <c r="G57" s="7"/>
      <c r="H57" s="7">
        <v>6630.0990000000002</v>
      </c>
      <c r="I57" s="7">
        <v>-1619967.3626000001</v>
      </c>
      <c r="J57" s="7"/>
      <c r="K57" s="7" t="s">
        <v>199</v>
      </c>
      <c r="L57" s="7" t="s">
        <v>200</v>
      </c>
      <c r="M57" s="7" t="s">
        <v>23</v>
      </c>
      <c r="N57" t="s">
        <v>24</v>
      </c>
      <c r="O57" s="7">
        <f>VLOOKUP(A57,[1]Workings!$M:$U,9,0)</f>
        <v>6852.94</v>
      </c>
      <c r="P57" s="12">
        <f t="shared" si="0"/>
        <v>-222.84099999999944</v>
      </c>
      <c r="S57">
        <f t="shared" si="6"/>
        <v>-3.2517576397867112</v>
      </c>
    </row>
    <row r="58" spans="1:19" x14ac:dyDescent="0.35">
      <c r="A58" s="8">
        <v>246779410324</v>
      </c>
      <c r="B58" s="1">
        <v>45713</v>
      </c>
      <c r="C58" t="s">
        <v>17</v>
      </c>
      <c r="D58" t="s">
        <v>201</v>
      </c>
      <c r="E58" t="s">
        <v>19</v>
      </c>
      <c r="F58" t="s">
        <v>63</v>
      </c>
      <c r="G58" s="7"/>
      <c r="H58" s="7">
        <v>134788</v>
      </c>
      <c r="I58" s="7">
        <v>-1754755.3626000001</v>
      </c>
      <c r="J58" s="7"/>
      <c r="K58" s="7" t="s">
        <v>202</v>
      </c>
      <c r="L58" s="7" t="s">
        <v>203</v>
      </c>
      <c r="M58" s="7" t="s">
        <v>23</v>
      </c>
      <c r="N58" t="s">
        <v>24</v>
      </c>
      <c r="O58" s="7">
        <f>VLOOKUP(A58,[1]Workings!$M:$U,9,0)</f>
        <v>151031.41</v>
      </c>
      <c r="P58" s="12">
        <f t="shared" si="0"/>
        <v>-16243.410000000003</v>
      </c>
      <c r="S58">
        <f t="shared" si="6"/>
        <v>-10.754987985611738</v>
      </c>
    </row>
    <row r="59" spans="1:19" x14ac:dyDescent="0.35">
      <c r="A59" s="8">
        <v>246779410893</v>
      </c>
      <c r="B59" s="1">
        <v>45722</v>
      </c>
      <c r="C59" t="s">
        <v>17</v>
      </c>
      <c r="D59" t="s">
        <v>206</v>
      </c>
      <c r="E59" t="s">
        <v>19</v>
      </c>
      <c r="F59" t="s">
        <v>30</v>
      </c>
      <c r="G59" s="7"/>
      <c r="H59" s="7">
        <v>13647.064399999999</v>
      </c>
      <c r="I59" s="7">
        <v>-1775032.5260000001</v>
      </c>
      <c r="J59" s="7"/>
      <c r="K59" s="7" t="s">
        <v>207</v>
      </c>
      <c r="L59" s="7" t="s">
        <v>208</v>
      </c>
      <c r="M59" s="7" t="s">
        <v>23</v>
      </c>
      <c r="N59" t="s">
        <v>24</v>
      </c>
      <c r="O59" s="7">
        <f>VLOOKUP(A59,[1]Workings!$M:$U,9,0)</f>
        <v>15359.96</v>
      </c>
      <c r="P59" s="12">
        <f t="shared" si="0"/>
        <v>-1712.8955999999998</v>
      </c>
      <c r="S59">
        <f t="shared" si="6"/>
        <v>-11.151693103367457</v>
      </c>
    </row>
    <row r="60" spans="1:19" x14ac:dyDescent="0.35">
      <c r="A60" s="8">
        <v>246779410871</v>
      </c>
      <c r="B60" s="14">
        <v>45722</v>
      </c>
      <c r="C60" t="s">
        <v>17</v>
      </c>
      <c r="D60" t="s">
        <v>209</v>
      </c>
      <c r="E60" t="s">
        <v>19</v>
      </c>
      <c r="F60" t="s">
        <v>30</v>
      </c>
      <c r="G60" s="7"/>
      <c r="H60" s="7">
        <v>3274.0057999999999</v>
      </c>
      <c r="I60" s="7">
        <v>-1778306.5318</v>
      </c>
      <c r="J60" s="7"/>
      <c r="K60" s="7" t="s">
        <v>210</v>
      </c>
      <c r="L60" s="7" t="s">
        <v>211</v>
      </c>
      <c r="M60" s="7" t="s">
        <v>23</v>
      </c>
      <c r="N60" t="s">
        <v>24</v>
      </c>
      <c r="O60" s="7">
        <f>VLOOKUP(A60,[1]Workings!$M:$U,9,0)</f>
        <v>3685.25</v>
      </c>
      <c r="P60" s="12">
        <f t="shared" si="0"/>
        <v>-411.24420000000009</v>
      </c>
      <c r="S60">
        <f t="shared" si="6"/>
        <v>-11.159194084526154</v>
      </c>
    </row>
    <row r="61" spans="1:19" x14ac:dyDescent="0.35">
      <c r="A61" s="8">
        <v>246779412119</v>
      </c>
      <c r="B61" s="1">
        <v>45733</v>
      </c>
      <c r="C61" t="s">
        <v>17</v>
      </c>
      <c r="D61" t="s">
        <v>215</v>
      </c>
      <c r="E61" t="s">
        <v>19</v>
      </c>
      <c r="F61" t="s">
        <v>54</v>
      </c>
      <c r="G61" s="7"/>
      <c r="H61" s="7">
        <v>8387</v>
      </c>
      <c r="I61" s="7">
        <v>-1780063.4328000001</v>
      </c>
      <c r="J61" s="7"/>
      <c r="K61" s="7" t="s">
        <v>216</v>
      </c>
      <c r="L61" s="7" t="s">
        <v>217</v>
      </c>
      <c r="M61" s="7" t="s">
        <v>23</v>
      </c>
      <c r="N61" t="s">
        <v>24</v>
      </c>
      <c r="O61" s="7">
        <f>VLOOKUP(A61,[1]Workings!$M:$U,9,0)</f>
        <v>8669.1299999999992</v>
      </c>
      <c r="P61" s="12">
        <f t="shared" ref="P61:P114" si="7">H61-O61</f>
        <v>-282.1299999999992</v>
      </c>
      <c r="S61">
        <f t="shared" si="6"/>
        <v>-3.2544211472200697</v>
      </c>
    </row>
    <row r="62" spans="1:19" x14ac:dyDescent="0.35">
      <c r="A62" s="8">
        <v>246779414144</v>
      </c>
      <c r="B62" s="1">
        <v>45736</v>
      </c>
      <c r="C62" t="s">
        <v>17</v>
      </c>
      <c r="D62" t="s">
        <v>218</v>
      </c>
      <c r="E62" t="s">
        <v>19</v>
      </c>
      <c r="F62" t="s">
        <v>219</v>
      </c>
      <c r="G62" s="7"/>
      <c r="H62" s="7">
        <v>10567.08</v>
      </c>
      <c r="I62" s="7">
        <v>-1790630.5127999999</v>
      </c>
      <c r="J62" s="7"/>
      <c r="K62" s="7" t="s">
        <v>220</v>
      </c>
      <c r="L62" s="7" t="s">
        <v>221</v>
      </c>
      <c r="M62" s="7" t="s">
        <v>23</v>
      </c>
      <c r="N62" t="s">
        <v>24</v>
      </c>
      <c r="O62" s="7">
        <f>VLOOKUP(A62,[1]Workings!$M:$U,9,0)</f>
        <v>10923.1</v>
      </c>
      <c r="P62" s="12">
        <f t="shared" si="7"/>
        <v>-356.02000000000044</v>
      </c>
      <c r="S62">
        <f t="shared" si="6"/>
        <v>-3.2593311422581541</v>
      </c>
    </row>
    <row r="63" spans="1:19" x14ac:dyDescent="0.35">
      <c r="A63" s="8">
        <v>246779412121</v>
      </c>
      <c r="B63" s="1">
        <v>45733</v>
      </c>
      <c r="C63" t="s">
        <v>17</v>
      </c>
      <c r="D63" t="s">
        <v>222</v>
      </c>
      <c r="E63" t="s">
        <v>19</v>
      </c>
      <c r="F63" t="s">
        <v>54</v>
      </c>
      <c r="G63" s="7"/>
      <c r="H63" s="7">
        <v>8387</v>
      </c>
      <c r="I63" s="7">
        <v>-1799017.5127999999</v>
      </c>
      <c r="J63" s="7"/>
      <c r="K63" s="7" t="s">
        <v>216</v>
      </c>
      <c r="L63" s="7" t="s">
        <v>223</v>
      </c>
      <c r="M63" s="7" t="s">
        <v>23</v>
      </c>
      <c r="N63" t="s">
        <v>24</v>
      </c>
      <c r="O63" s="7">
        <f>VLOOKUP(A63,[1]Workings!$M:$U,9,0)</f>
        <v>8669.1299999999992</v>
      </c>
      <c r="P63" s="12">
        <f t="shared" si="7"/>
        <v>-282.1299999999992</v>
      </c>
      <c r="S63">
        <f t="shared" si="6"/>
        <v>-3.2544211472200697</v>
      </c>
    </row>
    <row r="64" spans="1:19" x14ac:dyDescent="0.35">
      <c r="A64" s="8">
        <v>246779412116</v>
      </c>
      <c r="B64" s="1">
        <v>45733</v>
      </c>
      <c r="C64" t="s">
        <v>17</v>
      </c>
      <c r="D64" t="s">
        <v>224</v>
      </c>
      <c r="E64" t="s">
        <v>19</v>
      </c>
      <c r="F64" t="s">
        <v>54</v>
      </c>
      <c r="G64" s="7"/>
      <c r="H64" s="7">
        <v>8387</v>
      </c>
      <c r="I64" s="7">
        <v>-1807404.5127999999</v>
      </c>
      <c r="J64" s="7"/>
      <c r="K64" s="7" t="s">
        <v>216</v>
      </c>
      <c r="L64" s="7" t="s">
        <v>225</v>
      </c>
      <c r="M64" s="7" t="s">
        <v>23</v>
      </c>
      <c r="N64" t="s">
        <v>24</v>
      </c>
      <c r="O64" s="7">
        <f>VLOOKUP(A64,[1]Workings!$M:$U,9,0)</f>
        <v>8669.1299999999992</v>
      </c>
      <c r="P64" s="12">
        <f t="shared" si="7"/>
        <v>-282.1299999999992</v>
      </c>
      <c r="S64">
        <f t="shared" si="6"/>
        <v>-3.2544211472200697</v>
      </c>
    </row>
    <row r="65" spans="1:19" x14ac:dyDescent="0.35">
      <c r="A65" s="8">
        <v>246779411515</v>
      </c>
      <c r="B65" s="1">
        <v>45730</v>
      </c>
      <c r="C65" t="s">
        <v>17</v>
      </c>
      <c r="D65" t="s">
        <v>226</v>
      </c>
      <c r="E65" t="s">
        <v>19</v>
      </c>
      <c r="F65" t="s">
        <v>54</v>
      </c>
      <c r="G65" s="7"/>
      <c r="H65" s="7">
        <v>8387</v>
      </c>
      <c r="I65" s="7">
        <v>-1815791.5127999999</v>
      </c>
      <c r="J65" s="7"/>
      <c r="K65" s="7" t="s">
        <v>216</v>
      </c>
      <c r="L65" s="7" t="s">
        <v>227</v>
      </c>
      <c r="M65" s="7" t="s">
        <v>23</v>
      </c>
      <c r="N65" t="s">
        <v>24</v>
      </c>
      <c r="O65" s="7">
        <f>VLOOKUP(A65,[1]Workings!$M:$U,9,0)</f>
        <v>8669.1299999999992</v>
      </c>
      <c r="P65" s="12">
        <f t="shared" si="7"/>
        <v>-282.1299999999992</v>
      </c>
      <c r="S65">
        <f t="shared" si="6"/>
        <v>-3.2544211472200697</v>
      </c>
    </row>
    <row r="66" spans="1:19" x14ac:dyDescent="0.35">
      <c r="A66" s="8">
        <v>246779413016</v>
      </c>
      <c r="B66" s="1">
        <v>45735</v>
      </c>
      <c r="C66" t="s">
        <v>17</v>
      </c>
      <c r="D66" t="s">
        <v>231</v>
      </c>
      <c r="E66" t="s">
        <v>19</v>
      </c>
      <c r="F66" t="s">
        <v>30</v>
      </c>
      <c r="G66" s="7"/>
      <c r="H66" s="7">
        <v>30964.871599999999</v>
      </c>
      <c r="I66" s="7">
        <v>-1935071.9798000001</v>
      </c>
      <c r="J66" s="7"/>
      <c r="K66" s="7" t="s">
        <v>232</v>
      </c>
      <c r="L66" s="7" t="s">
        <v>233</v>
      </c>
      <c r="M66" s="7" t="s">
        <v>23</v>
      </c>
      <c r="N66" t="s">
        <v>24</v>
      </c>
      <c r="O66" s="7">
        <f>VLOOKUP(A66,[1]Workings!$M:$U,9,0)</f>
        <v>34851.620000000003</v>
      </c>
      <c r="P66" s="12">
        <f t="shared" si="7"/>
        <v>-3886.748400000004</v>
      </c>
      <c r="S66">
        <f t="shared" si="6"/>
        <v>-11.152274700573471</v>
      </c>
    </row>
    <row r="67" spans="1:19" x14ac:dyDescent="0.35">
      <c r="A67" s="13">
        <v>246779412238</v>
      </c>
      <c r="B67" s="14">
        <v>45747</v>
      </c>
      <c r="C67" t="s">
        <v>35</v>
      </c>
      <c r="D67" t="s">
        <v>234</v>
      </c>
      <c r="E67" t="s">
        <v>37</v>
      </c>
      <c r="F67" t="s">
        <v>54</v>
      </c>
      <c r="G67" s="7"/>
      <c r="H67" s="7">
        <v>-79318.285000000003</v>
      </c>
      <c r="I67" s="7">
        <v>-1855753.6947999999</v>
      </c>
      <c r="J67" s="7"/>
      <c r="K67" s="7" t="s">
        <v>235</v>
      </c>
      <c r="L67" s="7" t="s">
        <v>236</v>
      </c>
      <c r="M67" s="7" t="s">
        <v>23</v>
      </c>
      <c r="N67" t="s">
        <v>24</v>
      </c>
      <c r="O67" s="7">
        <v>-81988.259999999995</v>
      </c>
      <c r="P67" s="12">
        <f t="shared" si="7"/>
        <v>2669.9749999999913</v>
      </c>
      <c r="S67">
        <f t="shared" si="6"/>
        <v>-3.2565333134280339</v>
      </c>
    </row>
    <row r="68" spans="1:19" x14ac:dyDescent="0.35">
      <c r="A68" s="8">
        <v>246779412981</v>
      </c>
      <c r="B68" s="14">
        <v>45735</v>
      </c>
      <c r="C68" t="s">
        <v>17</v>
      </c>
      <c r="D68" t="s">
        <v>237</v>
      </c>
      <c r="E68" t="s">
        <v>19</v>
      </c>
      <c r="F68" t="s">
        <v>30</v>
      </c>
      <c r="G68" s="7"/>
      <c r="H68" s="7">
        <v>88469.755399999995</v>
      </c>
      <c r="I68" s="7">
        <v>-1944223.4502000001</v>
      </c>
      <c r="J68" s="7"/>
      <c r="K68" s="7" t="s">
        <v>238</v>
      </c>
      <c r="L68" s="7" t="s">
        <v>239</v>
      </c>
      <c r="M68" s="7" t="s">
        <v>23</v>
      </c>
      <c r="N68" t="s">
        <v>24</v>
      </c>
      <c r="O68" s="7">
        <f>VLOOKUP(A68,[1]Workings!$M:$U,9,0)</f>
        <v>99576.18</v>
      </c>
      <c r="P68" s="12">
        <f t="shared" si="7"/>
        <v>-11106.424599999998</v>
      </c>
      <c r="S68">
        <f t="shared" si="6"/>
        <v>-11.153696195214557</v>
      </c>
    </row>
    <row r="69" spans="1:19" x14ac:dyDescent="0.35">
      <c r="A69" s="8"/>
      <c r="B69" s="1">
        <v>45736</v>
      </c>
      <c r="C69" t="s">
        <v>69</v>
      </c>
      <c r="D69" t="s">
        <v>243</v>
      </c>
      <c r="E69" t="s">
        <v>71</v>
      </c>
      <c r="F69" t="s">
        <v>72</v>
      </c>
      <c r="G69" s="7">
        <v>1711.6</v>
      </c>
      <c r="H69" s="7"/>
      <c r="I69" s="7">
        <v>-1854196.2548</v>
      </c>
      <c r="J69" s="7" t="s">
        <v>73</v>
      </c>
      <c r="K69" s="7"/>
      <c r="L69" s="7" t="s">
        <v>244</v>
      </c>
      <c r="M69" s="7" t="s">
        <v>75</v>
      </c>
      <c r="N69" t="s">
        <v>24</v>
      </c>
      <c r="O69" s="7" t="e">
        <f>VLOOKUP(A69,[1]Workings!$M:$U,9,0)</f>
        <v>#N/A</v>
      </c>
      <c r="P69" s="12" t="e">
        <f t="shared" si="7"/>
        <v>#N/A</v>
      </c>
    </row>
    <row r="70" spans="1:19" x14ac:dyDescent="0.35">
      <c r="A70" s="8"/>
      <c r="B70" s="1">
        <v>45736</v>
      </c>
      <c r="C70" t="s">
        <v>69</v>
      </c>
      <c r="D70" t="s">
        <v>245</v>
      </c>
      <c r="E70" t="s">
        <v>246</v>
      </c>
      <c r="F70" t="s">
        <v>72</v>
      </c>
      <c r="G70" s="7"/>
      <c r="H70" s="7">
        <v>-1711.6</v>
      </c>
      <c r="I70" s="7">
        <v>-1852484.6547999999</v>
      </c>
      <c r="J70" s="7"/>
      <c r="K70" s="7" t="s">
        <v>132</v>
      </c>
      <c r="L70" s="7" t="s">
        <v>247</v>
      </c>
      <c r="M70" s="7" t="s">
        <v>23</v>
      </c>
      <c r="N70" t="s">
        <v>24</v>
      </c>
      <c r="O70" s="7" t="e">
        <f>VLOOKUP(A70,[1]Workings!$M:$U,9,0)</f>
        <v>#N/A</v>
      </c>
      <c r="P70" s="12" t="e">
        <f t="shared" si="7"/>
        <v>#N/A</v>
      </c>
    </row>
    <row r="71" spans="1:19" x14ac:dyDescent="0.35">
      <c r="A71" s="8">
        <v>246779410425</v>
      </c>
      <c r="B71" s="1">
        <v>45719</v>
      </c>
      <c r="C71" t="s">
        <v>17</v>
      </c>
      <c r="D71" t="s">
        <v>248</v>
      </c>
      <c r="E71" t="s">
        <v>19</v>
      </c>
      <c r="F71" t="s">
        <v>30</v>
      </c>
      <c r="G71" s="7"/>
      <c r="H71" s="7">
        <v>129952.43180000001</v>
      </c>
      <c r="I71" s="7">
        <v>-1982437.0866</v>
      </c>
      <c r="J71" s="7"/>
      <c r="K71" s="7" t="s">
        <v>249</v>
      </c>
      <c r="L71" s="7" t="s">
        <v>250</v>
      </c>
      <c r="M71" s="7" t="s">
        <v>23</v>
      </c>
      <c r="N71" t="s">
        <v>24</v>
      </c>
      <c r="O71" s="7">
        <f>VLOOKUP(A71,[1]Workings!$M:$U,9,0)</f>
        <v>146266.35999999999</v>
      </c>
      <c r="P71" s="12">
        <f t="shared" si="7"/>
        <v>-16313.92819999998</v>
      </c>
      <c r="S71">
        <f t="shared" ref="S71:S79" si="8">P71/O71*100</f>
        <v>-11.153575025727024</v>
      </c>
    </row>
    <row r="72" spans="1:19" x14ac:dyDescent="0.35">
      <c r="A72" s="8">
        <v>246779410401</v>
      </c>
      <c r="B72" s="1">
        <v>45719</v>
      </c>
      <c r="C72" t="s">
        <v>17</v>
      </c>
      <c r="D72" t="s">
        <v>251</v>
      </c>
      <c r="E72" t="s">
        <v>19</v>
      </c>
      <c r="F72" t="s">
        <v>30</v>
      </c>
      <c r="G72" s="7"/>
      <c r="H72" s="7">
        <v>100048.99679999999</v>
      </c>
      <c r="I72" s="7">
        <v>-2082486.0833999999</v>
      </c>
      <c r="J72" s="7"/>
      <c r="K72" s="7" t="s">
        <v>252</v>
      </c>
      <c r="L72" s="7" t="s">
        <v>253</v>
      </c>
      <c r="M72" s="7" t="s">
        <v>23</v>
      </c>
      <c r="N72" t="s">
        <v>24</v>
      </c>
      <c r="O72" s="7">
        <f>VLOOKUP(A72,[1]Workings!$M:$U,9,0)</f>
        <v>112608.48</v>
      </c>
      <c r="P72" s="12">
        <f t="shared" si="7"/>
        <v>-12559.483200000002</v>
      </c>
      <c r="S72">
        <f t="shared" si="8"/>
        <v>-11.153230378387137</v>
      </c>
    </row>
    <row r="73" spans="1:19" x14ac:dyDescent="0.35">
      <c r="A73" s="8">
        <v>246779410376</v>
      </c>
      <c r="B73" s="1">
        <v>45719</v>
      </c>
      <c r="C73" t="s">
        <v>17</v>
      </c>
      <c r="D73" t="s">
        <v>254</v>
      </c>
      <c r="E73" t="s">
        <v>19</v>
      </c>
      <c r="F73" t="s">
        <v>30</v>
      </c>
      <c r="G73" s="7"/>
      <c r="H73" s="7">
        <v>54789.332999999999</v>
      </c>
      <c r="I73" s="7">
        <v>-2137275.4164</v>
      </c>
      <c r="J73" s="7"/>
      <c r="K73" s="7" t="s">
        <v>255</v>
      </c>
      <c r="L73" s="7" t="s">
        <v>256</v>
      </c>
      <c r="M73" s="7" t="s">
        <v>23</v>
      </c>
      <c r="N73" t="s">
        <v>24</v>
      </c>
      <c r="O73" s="7">
        <f>VLOOKUP(A73,[1]Workings!$M:$U,9,0)</f>
        <v>61667.83</v>
      </c>
      <c r="P73" s="12">
        <f t="shared" si="7"/>
        <v>-6878.497000000003</v>
      </c>
      <c r="S73">
        <f t="shared" si="8"/>
        <v>-11.154109038699762</v>
      </c>
    </row>
    <row r="74" spans="1:19" x14ac:dyDescent="0.35">
      <c r="A74" s="8">
        <v>256779411887</v>
      </c>
      <c r="B74" s="1">
        <v>45763</v>
      </c>
      <c r="C74" t="s">
        <v>261</v>
      </c>
      <c r="D74" t="s">
        <v>262</v>
      </c>
      <c r="E74" t="s">
        <v>19</v>
      </c>
      <c r="F74" t="s">
        <v>40</v>
      </c>
      <c r="G74" s="7"/>
      <c r="H74" s="7">
        <v>5965.8855999999996</v>
      </c>
      <c r="I74" s="7">
        <v>-2143241.3020000001</v>
      </c>
      <c r="J74" s="7"/>
      <c r="K74" s="7" t="s">
        <v>263</v>
      </c>
      <c r="L74" s="7" t="s">
        <v>264</v>
      </c>
      <c r="M74" s="7" t="s">
        <v>23</v>
      </c>
      <c r="N74" t="s">
        <v>24</v>
      </c>
      <c r="O74" s="7">
        <f>VLOOKUP(A74,[1]Workings!$M:$U,9,0)</f>
        <v>6190.57</v>
      </c>
      <c r="P74" s="12">
        <f t="shared" si="7"/>
        <v>-224.6844000000001</v>
      </c>
      <c r="S74">
        <f t="shared" si="8"/>
        <v>-3.629462230456971</v>
      </c>
    </row>
    <row r="75" spans="1:19" x14ac:dyDescent="0.35">
      <c r="A75" s="8">
        <v>256779410224</v>
      </c>
      <c r="B75" s="14">
        <v>45750</v>
      </c>
      <c r="C75" t="s">
        <v>261</v>
      </c>
      <c r="D75" t="s">
        <v>265</v>
      </c>
      <c r="E75" t="s">
        <v>19</v>
      </c>
      <c r="F75" t="s">
        <v>63</v>
      </c>
      <c r="G75" s="7"/>
      <c r="H75" s="7">
        <v>146940</v>
      </c>
      <c r="I75" s="7">
        <v>-2290181.3020000001</v>
      </c>
      <c r="J75" s="7"/>
      <c r="K75" s="7" t="s">
        <v>64</v>
      </c>
      <c r="L75" s="7" t="s">
        <v>266</v>
      </c>
      <c r="M75" s="7" t="s">
        <v>23</v>
      </c>
      <c r="N75" t="s">
        <v>24</v>
      </c>
      <c r="O75" s="7">
        <f>VLOOKUP(A75,[1]Workings!$M:$U,9,0)</f>
        <v>152113.19</v>
      </c>
      <c r="P75" s="12">
        <f t="shared" si="7"/>
        <v>-5173.1900000000023</v>
      </c>
      <c r="S75">
        <f t="shared" si="8"/>
        <v>-3.4008819353535364</v>
      </c>
    </row>
    <row r="76" spans="1:19" x14ac:dyDescent="0.35">
      <c r="A76" s="8">
        <v>256779410224</v>
      </c>
      <c r="B76" s="14">
        <v>45750</v>
      </c>
      <c r="C76" t="s">
        <v>267</v>
      </c>
      <c r="D76" t="s">
        <v>268</v>
      </c>
      <c r="E76" t="s">
        <v>269</v>
      </c>
      <c r="F76" t="s">
        <v>72</v>
      </c>
      <c r="G76" s="7">
        <v>1709.6</v>
      </c>
      <c r="H76" s="7"/>
      <c r="I76" s="7">
        <v>-2288471.702</v>
      </c>
      <c r="J76" s="7" t="s">
        <v>73</v>
      </c>
      <c r="K76" s="7"/>
      <c r="L76" s="7" t="s">
        <v>270</v>
      </c>
      <c r="M76" s="7" t="s">
        <v>75</v>
      </c>
      <c r="N76" t="s">
        <v>24</v>
      </c>
      <c r="O76" s="7">
        <f>VLOOKUP(A76,[1]Workings!$M:$U,9,0)</f>
        <v>152113.19</v>
      </c>
      <c r="P76" s="12">
        <f t="shared" si="7"/>
        <v>-152113.19</v>
      </c>
      <c r="S76">
        <f t="shared" si="8"/>
        <v>-100</v>
      </c>
    </row>
    <row r="77" spans="1:19" x14ac:dyDescent="0.35">
      <c r="A77" s="8">
        <v>256779412020</v>
      </c>
      <c r="B77" s="1">
        <v>45763</v>
      </c>
      <c r="C77" t="s">
        <v>261</v>
      </c>
      <c r="D77" t="s">
        <v>271</v>
      </c>
      <c r="E77" t="s">
        <v>19</v>
      </c>
      <c r="F77" t="s">
        <v>54</v>
      </c>
      <c r="G77" s="7"/>
      <c r="H77" s="7">
        <v>7137.7507999999998</v>
      </c>
      <c r="I77" s="7">
        <v>-2295609.4528000001</v>
      </c>
      <c r="J77" s="7"/>
      <c r="K77" s="7" t="s">
        <v>272</v>
      </c>
      <c r="L77" s="7" t="s">
        <v>273</v>
      </c>
      <c r="M77" s="7" t="s">
        <v>23</v>
      </c>
      <c r="N77" t="s">
        <v>24</v>
      </c>
      <c r="O77" s="7">
        <f>VLOOKUP(A77,[1]Workings!$M:$U,9,0)</f>
        <v>7406.61</v>
      </c>
      <c r="P77" s="12">
        <f t="shared" si="7"/>
        <v>-268.85919999999987</v>
      </c>
      <c r="S77">
        <f t="shared" si="8"/>
        <v>-3.6299899684200989</v>
      </c>
    </row>
    <row r="78" spans="1:19" x14ac:dyDescent="0.35">
      <c r="A78" s="8">
        <v>256779412550</v>
      </c>
      <c r="B78" s="1">
        <v>45769</v>
      </c>
      <c r="C78" t="s">
        <v>261</v>
      </c>
      <c r="D78" t="s">
        <v>274</v>
      </c>
      <c r="E78" t="s">
        <v>19</v>
      </c>
      <c r="F78" t="s">
        <v>40</v>
      </c>
      <c r="G78" s="7"/>
      <c r="H78" s="7">
        <v>7304.8559999999998</v>
      </c>
      <c r="I78" s="7">
        <v>-2302914.3088000002</v>
      </c>
      <c r="J78" s="7"/>
      <c r="K78" s="7" t="s">
        <v>275</v>
      </c>
      <c r="L78" s="7" t="s">
        <v>276</v>
      </c>
      <c r="M78" s="7" t="s">
        <v>23</v>
      </c>
      <c r="N78" t="s">
        <v>24</v>
      </c>
      <c r="O78" s="7">
        <f>VLOOKUP(A78,[1]Workings!$M:$U,9,0)</f>
        <v>7579.58</v>
      </c>
      <c r="P78" s="12">
        <f t="shared" si="7"/>
        <v>-274.72400000000016</v>
      </c>
      <c r="S78">
        <f t="shared" si="8"/>
        <v>-3.6245280081482112</v>
      </c>
    </row>
    <row r="79" spans="1:19" x14ac:dyDescent="0.35">
      <c r="A79" s="8">
        <v>256779412582</v>
      </c>
      <c r="B79" s="1">
        <v>45769</v>
      </c>
      <c r="C79" t="s">
        <v>261</v>
      </c>
      <c r="D79" t="s">
        <v>277</v>
      </c>
      <c r="E79" t="s">
        <v>19</v>
      </c>
      <c r="F79" t="s">
        <v>40</v>
      </c>
      <c r="G79" s="7"/>
      <c r="H79" s="7">
        <v>4771.0860000000002</v>
      </c>
      <c r="I79" s="7">
        <v>-2307685.3947999999</v>
      </c>
      <c r="J79" s="7"/>
      <c r="K79" s="7" t="s">
        <v>278</v>
      </c>
      <c r="L79" s="7" t="s">
        <v>279</v>
      </c>
      <c r="M79" s="7" t="s">
        <v>23</v>
      </c>
      <c r="N79" t="s">
        <v>24</v>
      </c>
      <c r="O79" s="7">
        <f>VLOOKUP(A79,[1]Workings!$M:$U,9,0)</f>
        <v>4950.2</v>
      </c>
      <c r="P79" s="12">
        <f t="shared" si="7"/>
        <v>-179.11399999999958</v>
      </c>
      <c r="S79">
        <f t="shared" si="8"/>
        <v>-3.6183184517797171</v>
      </c>
    </row>
    <row r="80" spans="1:19" x14ac:dyDescent="0.35">
      <c r="A80" s="8"/>
      <c r="B80" s="1">
        <v>45813</v>
      </c>
      <c r="C80" t="s">
        <v>280</v>
      </c>
      <c r="D80" t="s">
        <v>281</v>
      </c>
      <c r="E80" t="s">
        <v>282</v>
      </c>
      <c r="F80" t="s">
        <v>283</v>
      </c>
      <c r="G80" s="7">
        <v>302049.55200000003</v>
      </c>
      <c r="H80" s="7"/>
      <c r="I80" s="7">
        <v>-2005635.8428</v>
      </c>
      <c r="J80" s="7" t="s">
        <v>284</v>
      </c>
      <c r="K80" s="7"/>
      <c r="L80" s="7" t="s">
        <v>285</v>
      </c>
      <c r="M80" s="7" t="s">
        <v>75</v>
      </c>
      <c r="N80" t="s">
        <v>24</v>
      </c>
      <c r="O80" s="7" t="e">
        <f>VLOOKUP(A80,[1]Workings!$M:$U,9,0)</f>
        <v>#N/A</v>
      </c>
      <c r="P80" s="12" t="e">
        <f t="shared" si="7"/>
        <v>#N/A</v>
      </c>
    </row>
    <row r="81" spans="1:19" x14ac:dyDescent="0.35">
      <c r="A81" s="8"/>
      <c r="B81" s="1">
        <v>45813</v>
      </c>
      <c r="C81" t="s">
        <v>280</v>
      </c>
      <c r="D81" t="s">
        <v>286</v>
      </c>
      <c r="E81" t="s">
        <v>287</v>
      </c>
      <c r="F81" t="s">
        <v>283</v>
      </c>
      <c r="G81" s="7">
        <v>271057.80579999997</v>
      </c>
      <c r="H81" s="7"/>
      <c r="I81" s="7">
        <v>-1734578.037</v>
      </c>
      <c r="J81" s="7" t="s">
        <v>288</v>
      </c>
      <c r="K81" s="7"/>
      <c r="L81" s="7" t="s">
        <v>289</v>
      </c>
      <c r="M81" s="7" t="s">
        <v>75</v>
      </c>
      <c r="N81" t="s">
        <v>24</v>
      </c>
      <c r="O81" s="7" t="e">
        <f>VLOOKUP(A81,[1]Workings!$M:$U,9,0)</f>
        <v>#N/A</v>
      </c>
      <c r="P81" s="12" t="e">
        <f t="shared" si="7"/>
        <v>#N/A</v>
      </c>
    </row>
    <row r="82" spans="1:19" x14ac:dyDescent="0.35">
      <c r="A82" s="8"/>
      <c r="B82" s="1">
        <v>45813</v>
      </c>
      <c r="C82" t="s">
        <v>280</v>
      </c>
      <c r="D82" t="s">
        <v>290</v>
      </c>
      <c r="E82" t="s">
        <v>291</v>
      </c>
      <c r="F82" t="s">
        <v>283</v>
      </c>
      <c r="G82" s="7">
        <v>315203.35159999999</v>
      </c>
      <c r="H82" s="7"/>
      <c r="I82" s="7">
        <v>-1419374.6854000001</v>
      </c>
      <c r="J82" s="7" t="s">
        <v>292</v>
      </c>
      <c r="K82" s="7"/>
      <c r="L82" s="7" t="s">
        <v>293</v>
      </c>
      <c r="M82" s="7" t="s">
        <v>75</v>
      </c>
      <c r="N82" t="s">
        <v>24</v>
      </c>
      <c r="O82" s="7" t="e">
        <f>VLOOKUP(A82,[1]Workings!$M:$U,9,0)</f>
        <v>#N/A</v>
      </c>
      <c r="P82" s="12" t="e">
        <f t="shared" si="7"/>
        <v>#N/A</v>
      </c>
    </row>
    <row r="83" spans="1:19" x14ac:dyDescent="0.35">
      <c r="A83" s="8">
        <v>256779412126</v>
      </c>
      <c r="B83" s="1">
        <v>45763</v>
      </c>
      <c r="C83" t="s">
        <v>261</v>
      </c>
      <c r="D83" t="s">
        <v>294</v>
      </c>
      <c r="E83" t="s">
        <v>19</v>
      </c>
      <c r="F83" t="s">
        <v>30</v>
      </c>
      <c r="G83" s="7"/>
      <c r="H83" s="7">
        <v>38650.758199999997</v>
      </c>
      <c r="I83" s="7">
        <v>-1458025.4436000001</v>
      </c>
      <c r="J83" s="7"/>
      <c r="K83" s="7" t="s">
        <v>295</v>
      </c>
      <c r="L83" s="7" t="s">
        <v>296</v>
      </c>
      <c r="M83" s="7" t="s">
        <v>23</v>
      </c>
      <c r="N83" t="s">
        <v>24</v>
      </c>
      <c r="O83" s="7">
        <f>VLOOKUP(A83,[1]Workings!$M:$U,9,0)</f>
        <v>43511.32</v>
      </c>
      <c r="P83" s="12">
        <f t="shared" si="7"/>
        <v>-4860.5618000000031</v>
      </c>
      <c r="S83">
        <f t="shared" ref="S83:S100" si="9">P83/O83*100</f>
        <v>-11.17079831179565</v>
      </c>
    </row>
    <row r="84" spans="1:19" x14ac:dyDescent="0.35">
      <c r="A84" s="8">
        <v>256779413185</v>
      </c>
      <c r="B84" s="14">
        <v>45815</v>
      </c>
      <c r="C84" t="s">
        <v>261</v>
      </c>
      <c r="D84" t="s">
        <v>297</v>
      </c>
      <c r="E84" t="s">
        <v>19</v>
      </c>
      <c r="F84" t="s">
        <v>63</v>
      </c>
      <c r="G84" s="7"/>
      <c r="H84" s="7">
        <v>15442</v>
      </c>
      <c r="I84" s="7">
        <v>-1473467.4436000001</v>
      </c>
      <c r="J84" s="7"/>
      <c r="K84" s="7" t="s">
        <v>298</v>
      </c>
      <c r="L84" s="7" t="s">
        <v>299</v>
      </c>
      <c r="M84" s="7" t="s">
        <v>23</v>
      </c>
      <c r="N84" t="s">
        <v>24</v>
      </c>
      <c r="O84" s="7">
        <f>VLOOKUP(A84,[1]Workings!$M:$U,9,0)</f>
        <v>17196.740000000002</v>
      </c>
      <c r="P84" s="12">
        <f t="shared" si="7"/>
        <v>-1754.7400000000016</v>
      </c>
      <c r="S84">
        <f t="shared" si="9"/>
        <v>-10.203910741221891</v>
      </c>
    </row>
    <row r="85" spans="1:19" x14ac:dyDescent="0.35">
      <c r="A85" s="8">
        <v>256779413847</v>
      </c>
      <c r="B85" s="14">
        <v>45797</v>
      </c>
      <c r="C85" t="s">
        <v>304</v>
      </c>
      <c r="D85" t="s">
        <v>305</v>
      </c>
      <c r="E85" t="s">
        <v>19</v>
      </c>
      <c r="F85" t="s">
        <v>54</v>
      </c>
      <c r="G85" s="7"/>
      <c r="H85" s="7">
        <v>8407</v>
      </c>
      <c r="I85" s="7">
        <v>-1481874.4436000001</v>
      </c>
      <c r="J85" s="7"/>
      <c r="K85" s="7" t="s">
        <v>216</v>
      </c>
      <c r="L85" s="7" t="s">
        <v>306</v>
      </c>
      <c r="M85" s="7" t="s">
        <v>23</v>
      </c>
      <c r="N85" t="s">
        <v>307</v>
      </c>
      <c r="O85" s="7">
        <f>VLOOKUP(A85,[1]Workings!$M:$U,9,0)</f>
        <v>8598.3700000000008</v>
      </c>
      <c r="P85" s="12">
        <f t="shared" si="7"/>
        <v>-191.3700000000008</v>
      </c>
      <c r="S85">
        <f t="shared" si="9"/>
        <v>-2.2256543972869367</v>
      </c>
    </row>
    <row r="86" spans="1:19" x14ac:dyDescent="0.35">
      <c r="A86" s="8">
        <v>256779413841</v>
      </c>
      <c r="B86" s="1">
        <v>45797</v>
      </c>
      <c r="C86" t="s">
        <v>261</v>
      </c>
      <c r="D86" t="s">
        <v>308</v>
      </c>
      <c r="E86" t="s">
        <v>19</v>
      </c>
      <c r="F86" t="s">
        <v>54</v>
      </c>
      <c r="G86" s="7"/>
      <c r="H86" s="7">
        <v>8407</v>
      </c>
      <c r="I86" s="7">
        <v>-1490281.4436000001</v>
      </c>
      <c r="J86" s="7"/>
      <c r="K86" s="7" t="s">
        <v>216</v>
      </c>
      <c r="L86" s="7" t="s">
        <v>309</v>
      </c>
      <c r="M86" s="7" t="s">
        <v>23</v>
      </c>
      <c r="N86" t="s">
        <v>24</v>
      </c>
      <c r="O86" s="7">
        <f>VLOOKUP(A86,[1]Workings!$M:$U,9,0)</f>
        <v>8598.3700000000008</v>
      </c>
      <c r="P86" s="12">
        <f t="shared" si="7"/>
        <v>-191.3700000000008</v>
      </c>
      <c r="S86">
        <f t="shared" si="9"/>
        <v>-2.2256543972869367</v>
      </c>
    </row>
    <row r="87" spans="1:19" x14ac:dyDescent="0.35">
      <c r="A87" s="8">
        <v>256779413244</v>
      </c>
      <c r="B87" s="1">
        <v>45787</v>
      </c>
      <c r="C87" t="s">
        <v>261</v>
      </c>
      <c r="D87" t="s">
        <v>311</v>
      </c>
      <c r="E87" t="s">
        <v>19</v>
      </c>
      <c r="F87" t="s">
        <v>54</v>
      </c>
      <c r="G87" s="7"/>
      <c r="H87" s="7">
        <v>33734.3796</v>
      </c>
      <c r="I87" s="7">
        <v>-1524113.8232</v>
      </c>
      <c r="J87" s="7"/>
      <c r="K87" s="7" t="s">
        <v>312</v>
      </c>
      <c r="L87" s="7" t="s">
        <v>313</v>
      </c>
      <c r="M87" s="7" t="s">
        <v>23</v>
      </c>
      <c r="N87" t="s">
        <v>24</v>
      </c>
      <c r="O87" s="7">
        <f>VLOOKUP(A87,[1]Workings!$M:$U,9,0)</f>
        <v>34500.1</v>
      </c>
      <c r="P87" s="12">
        <f t="shared" si="7"/>
        <v>-765.72039999999834</v>
      </c>
      <c r="S87">
        <f t="shared" si="9"/>
        <v>-2.2194729870348153</v>
      </c>
    </row>
    <row r="88" spans="1:19" x14ac:dyDescent="0.35">
      <c r="A88" s="8">
        <v>256779413231</v>
      </c>
      <c r="B88" s="1">
        <v>45787</v>
      </c>
      <c r="C88" t="s">
        <v>261</v>
      </c>
      <c r="D88" t="s">
        <v>314</v>
      </c>
      <c r="E88" t="s">
        <v>19</v>
      </c>
      <c r="F88" t="s">
        <v>54</v>
      </c>
      <c r="G88" s="7"/>
      <c r="H88" s="7">
        <v>8407</v>
      </c>
      <c r="I88" s="7">
        <v>-1532520.8232</v>
      </c>
      <c r="J88" s="7"/>
      <c r="K88" s="7" t="s">
        <v>216</v>
      </c>
      <c r="L88" s="7" t="s">
        <v>315</v>
      </c>
      <c r="M88" s="7" t="s">
        <v>23</v>
      </c>
      <c r="N88" t="s">
        <v>24</v>
      </c>
      <c r="O88" s="7">
        <f>VLOOKUP(A88,[1]Workings!$M:$U,9,0)</f>
        <v>8598.3700000000008</v>
      </c>
      <c r="P88" s="12">
        <f t="shared" si="7"/>
        <v>-191.3700000000008</v>
      </c>
      <c r="S88">
        <f t="shared" si="9"/>
        <v>-2.2256543972869367</v>
      </c>
    </row>
    <row r="89" spans="1:19" x14ac:dyDescent="0.35">
      <c r="A89" s="8">
        <v>256779412177</v>
      </c>
      <c r="B89" s="14">
        <v>45768</v>
      </c>
      <c r="C89" t="s">
        <v>261</v>
      </c>
      <c r="D89" t="s">
        <v>316</v>
      </c>
      <c r="E89" t="s">
        <v>19</v>
      </c>
      <c r="F89" t="s">
        <v>46</v>
      </c>
      <c r="G89" s="7"/>
      <c r="H89" s="7">
        <v>34292.025199999996</v>
      </c>
      <c r="I89" s="7">
        <v>-1566812.8484</v>
      </c>
      <c r="J89" s="7"/>
      <c r="K89" s="7" t="s">
        <v>317</v>
      </c>
      <c r="L89" s="7" t="s">
        <v>318</v>
      </c>
      <c r="M89" s="7" t="s">
        <v>23</v>
      </c>
      <c r="N89" t="s">
        <v>24</v>
      </c>
      <c r="O89" s="7">
        <f>VLOOKUP(A89,[1]Workings!$M:$U,9,0)</f>
        <v>35000.18</v>
      </c>
      <c r="P89" s="12">
        <f t="shared" si="7"/>
        <v>-708.15480000000389</v>
      </c>
      <c r="S89">
        <f t="shared" si="9"/>
        <v>-2.0232890230850353</v>
      </c>
    </row>
    <row r="90" spans="1:19" x14ac:dyDescent="0.35">
      <c r="A90" s="8">
        <v>256779412142</v>
      </c>
      <c r="B90" s="14">
        <v>45768</v>
      </c>
      <c r="C90" t="s">
        <v>261</v>
      </c>
      <c r="D90" t="s">
        <v>319</v>
      </c>
      <c r="E90" t="s">
        <v>19</v>
      </c>
      <c r="F90" t="s">
        <v>30</v>
      </c>
      <c r="G90" s="7"/>
      <c r="H90" s="7">
        <v>89979.092300000004</v>
      </c>
      <c r="I90" s="7">
        <v>-1656791.9406999999</v>
      </c>
      <c r="J90" s="7"/>
      <c r="K90" s="7" t="s">
        <v>320</v>
      </c>
      <c r="L90" s="7" t="s">
        <v>321</v>
      </c>
      <c r="M90" s="7" t="s">
        <v>23</v>
      </c>
      <c r="N90" t="s">
        <v>24</v>
      </c>
      <c r="O90" s="7">
        <f>VLOOKUP(A90,[1]Workings!$M:$U,9,0)</f>
        <v>100000.4</v>
      </c>
      <c r="P90" s="12">
        <f t="shared" si="7"/>
        <v>-10021.30769999999</v>
      </c>
      <c r="S90">
        <f t="shared" si="9"/>
        <v>-10.021267614929531</v>
      </c>
    </row>
    <row r="91" spans="1:19" x14ac:dyDescent="0.35">
      <c r="A91" s="8">
        <v>256779413848</v>
      </c>
      <c r="B91" s="14">
        <v>45797</v>
      </c>
      <c r="C91" t="s">
        <v>261</v>
      </c>
      <c r="D91" t="s">
        <v>328</v>
      </c>
      <c r="E91" t="s">
        <v>19</v>
      </c>
      <c r="F91" t="s">
        <v>54</v>
      </c>
      <c r="G91" s="7"/>
      <c r="H91" s="7">
        <v>8407</v>
      </c>
      <c r="I91" s="7">
        <v>-1665100.9406999999</v>
      </c>
      <c r="J91" s="7"/>
      <c r="K91" s="7" t="s">
        <v>216</v>
      </c>
      <c r="L91" s="7" t="s">
        <v>323</v>
      </c>
      <c r="M91" s="7" t="s">
        <v>23</v>
      </c>
      <c r="N91" t="s">
        <v>24</v>
      </c>
      <c r="O91" s="7">
        <f>VLOOKUP(A91,[1]Workings!$M:$U,9,0)</f>
        <v>8598.3700000000008</v>
      </c>
      <c r="P91" s="12">
        <f t="shared" si="7"/>
        <v>-191.3700000000008</v>
      </c>
      <c r="S91">
        <f t="shared" si="9"/>
        <v>-2.2256543972869367</v>
      </c>
    </row>
    <row r="92" spans="1:19" x14ac:dyDescent="0.35">
      <c r="A92" s="8">
        <v>256779411984</v>
      </c>
      <c r="B92" s="1">
        <v>45763</v>
      </c>
      <c r="C92" t="s">
        <v>261</v>
      </c>
      <c r="D92" t="s">
        <v>329</v>
      </c>
      <c r="E92" t="s">
        <v>19</v>
      </c>
      <c r="F92" t="s">
        <v>54</v>
      </c>
      <c r="G92" s="7"/>
      <c r="H92" s="7">
        <v>3324.1365999999998</v>
      </c>
      <c r="I92" s="7">
        <v>-1668425.0773</v>
      </c>
      <c r="J92" s="7"/>
      <c r="K92" s="7" t="s">
        <v>330</v>
      </c>
      <c r="L92" s="7" t="s">
        <v>331</v>
      </c>
      <c r="M92" s="7" t="s">
        <v>23</v>
      </c>
      <c r="N92" t="s">
        <v>24</v>
      </c>
      <c r="O92" s="7">
        <f>VLOOKUP(A92,[1]Workings!$M:$U,9,0)</f>
        <v>3436.89</v>
      </c>
      <c r="P92" s="12">
        <f t="shared" si="7"/>
        <v>-112.75340000000006</v>
      </c>
      <c r="S92">
        <f t="shared" si="9"/>
        <v>-3.2806810808608962</v>
      </c>
    </row>
    <row r="93" spans="1:19" x14ac:dyDescent="0.35">
      <c r="A93" s="8">
        <v>256779412657</v>
      </c>
      <c r="B93" s="1">
        <v>45769</v>
      </c>
      <c r="C93" t="s">
        <v>261</v>
      </c>
      <c r="D93" t="s">
        <v>332</v>
      </c>
      <c r="E93" t="s">
        <v>19</v>
      </c>
      <c r="F93" t="s">
        <v>40</v>
      </c>
      <c r="G93" s="7"/>
      <c r="H93" s="7">
        <v>414.94470000000001</v>
      </c>
      <c r="I93" s="7">
        <v>-1668840.0220000001</v>
      </c>
      <c r="J93" s="7"/>
      <c r="K93" s="7" t="s">
        <v>333</v>
      </c>
      <c r="L93" s="7" t="s">
        <v>334</v>
      </c>
      <c r="M93" s="7" t="s">
        <v>23</v>
      </c>
      <c r="N93" t="s">
        <v>24</v>
      </c>
      <c r="O93" s="7">
        <f>VLOOKUP(A93,[1]Workings!$M:$U,9,0)</f>
        <v>428.52</v>
      </c>
      <c r="P93" s="12">
        <f t="shared" si="7"/>
        <v>-13.57529999999997</v>
      </c>
      <c r="S93">
        <f t="shared" si="9"/>
        <v>-3.1679501540184756</v>
      </c>
    </row>
    <row r="94" spans="1:19" x14ac:dyDescent="0.35">
      <c r="A94" s="8">
        <v>256779412615</v>
      </c>
      <c r="B94" s="1">
        <v>45769</v>
      </c>
      <c r="C94" t="s">
        <v>261</v>
      </c>
      <c r="D94" t="s">
        <v>335</v>
      </c>
      <c r="E94" t="s">
        <v>19</v>
      </c>
      <c r="F94" t="s">
        <v>40</v>
      </c>
      <c r="G94" s="7"/>
      <c r="H94" s="7">
        <v>7330.8879999999999</v>
      </c>
      <c r="I94" s="7">
        <v>-1676170.91</v>
      </c>
      <c r="J94" s="7"/>
      <c r="K94" s="7" t="s">
        <v>275</v>
      </c>
      <c r="L94" s="7" t="s">
        <v>336</v>
      </c>
      <c r="M94" s="7" t="s">
        <v>23</v>
      </c>
      <c r="N94" t="s">
        <v>24</v>
      </c>
      <c r="O94" s="7">
        <f>VLOOKUP(A94,[1]Workings!$M:$U,9,0)</f>
        <v>7579.58</v>
      </c>
      <c r="P94" s="12">
        <f t="shared" si="7"/>
        <v>-248.69200000000001</v>
      </c>
      <c r="S94">
        <f t="shared" si="9"/>
        <v>-3.2810788988308062</v>
      </c>
    </row>
    <row r="95" spans="1:19" x14ac:dyDescent="0.35">
      <c r="A95" s="8">
        <v>256779410006</v>
      </c>
      <c r="B95" s="14">
        <v>45750</v>
      </c>
      <c r="C95" t="s">
        <v>261</v>
      </c>
      <c r="D95" t="s">
        <v>337</v>
      </c>
      <c r="E95" t="s">
        <v>19</v>
      </c>
      <c r="F95" t="s">
        <v>30</v>
      </c>
      <c r="G95" s="7"/>
      <c r="H95" s="7">
        <v>143269</v>
      </c>
      <c r="I95" s="7">
        <v>-1819439.91</v>
      </c>
      <c r="J95" s="7"/>
      <c r="K95" s="7" t="s">
        <v>338</v>
      </c>
      <c r="L95" s="7" t="s">
        <v>339</v>
      </c>
      <c r="M95" s="7" t="s">
        <v>23</v>
      </c>
      <c r="N95" t="s">
        <v>24</v>
      </c>
      <c r="O95" s="7">
        <f>VLOOKUP(A95,[1]Workings!$M:$U,9,0)</f>
        <v>147767.09</v>
      </c>
      <c r="P95" s="12">
        <f t="shared" si="7"/>
        <v>-4498.0899999999965</v>
      </c>
      <c r="S95">
        <f t="shared" si="9"/>
        <v>-3.0440404558281524</v>
      </c>
    </row>
    <row r="96" spans="1:19" x14ac:dyDescent="0.35">
      <c r="A96" s="8">
        <v>256779410006</v>
      </c>
      <c r="B96" s="14">
        <v>45750</v>
      </c>
      <c r="C96" t="s">
        <v>267</v>
      </c>
      <c r="D96" t="s">
        <v>340</v>
      </c>
      <c r="E96" t="s">
        <v>341</v>
      </c>
      <c r="F96" t="s">
        <v>72</v>
      </c>
      <c r="G96" s="7">
        <v>1715.8</v>
      </c>
      <c r="H96" s="7"/>
      <c r="I96" s="7">
        <v>-1817724.11</v>
      </c>
      <c r="J96" s="7" t="s">
        <v>73</v>
      </c>
      <c r="K96" s="7"/>
      <c r="L96" s="7" t="s">
        <v>342</v>
      </c>
      <c r="M96" s="7" t="s">
        <v>75</v>
      </c>
      <c r="N96" t="s">
        <v>24</v>
      </c>
      <c r="O96" s="7">
        <f>VLOOKUP(A96,[1]Workings!$M:$U,9,0)</f>
        <v>147767.09</v>
      </c>
      <c r="P96" s="12">
        <f t="shared" si="7"/>
        <v>-147767.09</v>
      </c>
      <c r="S96">
        <f t="shared" si="9"/>
        <v>-100</v>
      </c>
    </row>
    <row r="97" spans="1:19" x14ac:dyDescent="0.35">
      <c r="A97" s="8">
        <v>256779410012</v>
      </c>
      <c r="B97" s="14">
        <v>45750</v>
      </c>
      <c r="C97" t="s">
        <v>261</v>
      </c>
      <c r="D97" t="s">
        <v>343</v>
      </c>
      <c r="E97" t="s">
        <v>19</v>
      </c>
      <c r="F97" t="s">
        <v>30</v>
      </c>
      <c r="G97" s="7"/>
      <c r="H97" s="7">
        <v>147473.5</v>
      </c>
      <c r="I97" s="7">
        <v>-1965197.61</v>
      </c>
      <c r="J97" s="7"/>
      <c r="K97" s="7" t="s">
        <v>64</v>
      </c>
      <c r="L97" s="7" t="s">
        <v>344</v>
      </c>
      <c r="M97" s="7" t="s">
        <v>23</v>
      </c>
      <c r="N97" t="s">
        <v>24</v>
      </c>
      <c r="O97" s="7">
        <f>VLOOKUP(A97,[1]Workings!$M:$U,9,0)</f>
        <v>152113.19</v>
      </c>
      <c r="P97" s="12">
        <f t="shared" si="7"/>
        <v>-4639.6900000000023</v>
      </c>
      <c r="S97">
        <f t="shared" si="9"/>
        <v>-3.0501562684997943</v>
      </c>
    </row>
    <row r="98" spans="1:19" x14ac:dyDescent="0.35">
      <c r="A98" s="8">
        <v>256779410015</v>
      </c>
      <c r="B98" s="14">
        <v>45750</v>
      </c>
      <c r="C98" t="s">
        <v>261</v>
      </c>
      <c r="D98" t="s">
        <v>345</v>
      </c>
      <c r="E98" t="s">
        <v>19</v>
      </c>
      <c r="F98" t="s">
        <v>30</v>
      </c>
      <c r="G98" s="7"/>
      <c r="H98" s="7">
        <v>143269</v>
      </c>
      <c r="I98" s="7">
        <v>-2108466.61</v>
      </c>
      <c r="J98" s="7"/>
      <c r="K98" s="7" t="s">
        <v>338</v>
      </c>
      <c r="L98" s="7" t="s">
        <v>346</v>
      </c>
      <c r="M98" s="7" t="s">
        <v>23</v>
      </c>
      <c r="N98" t="s">
        <v>24</v>
      </c>
      <c r="O98" s="7">
        <f>VLOOKUP(A98,[1]Workings!$M:$U,9,0)</f>
        <v>147767.09</v>
      </c>
      <c r="P98" s="12">
        <f t="shared" si="7"/>
        <v>-4498.0899999999965</v>
      </c>
      <c r="S98">
        <f t="shared" si="9"/>
        <v>-3.0440404558281524</v>
      </c>
    </row>
    <row r="99" spans="1:19" x14ac:dyDescent="0.35">
      <c r="A99" s="8">
        <v>256779410015</v>
      </c>
      <c r="B99" s="14">
        <v>45750</v>
      </c>
      <c r="C99" t="s">
        <v>267</v>
      </c>
      <c r="D99" t="s">
        <v>347</v>
      </c>
      <c r="E99" t="s">
        <v>348</v>
      </c>
      <c r="F99" t="s">
        <v>72</v>
      </c>
      <c r="G99" s="7">
        <v>1715.8</v>
      </c>
      <c r="H99" s="7"/>
      <c r="I99" s="7">
        <v>-2106750.81</v>
      </c>
      <c r="J99" s="7" t="s">
        <v>73</v>
      </c>
      <c r="K99" s="7"/>
      <c r="L99" s="7" t="s">
        <v>349</v>
      </c>
      <c r="M99" s="7" t="s">
        <v>75</v>
      </c>
      <c r="N99" t="s">
        <v>24</v>
      </c>
      <c r="O99" s="7">
        <f>VLOOKUP(A99,[1]Workings!$M:$U,9,0)</f>
        <v>147767.09</v>
      </c>
      <c r="P99" s="12">
        <f t="shared" si="7"/>
        <v>-147767.09</v>
      </c>
      <c r="S99">
        <f t="shared" si="9"/>
        <v>-100</v>
      </c>
    </row>
    <row r="100" spans="1:19" x14ac:dyDescent="0.35">
      <c r="A100" s="8">
        <v>256779410012</v>
      </c>
      <c r="B100" s="14">
        <v>45750</v>
      </c>
      <c r="C100" t="s">
        <v>267</v>
      </c>
      <c r="D100" t="s">
        <v>350</v>
      </c>
      <c r="E100" t="s">
        <v>351</v>
      </c>
      <c r="F100" t="s">
        <v>72</v>
      </c>
      <c r="G100" s="7">
        <v>1715.8</v>
      </c>
      <c r="H100" s="7"/>
      <c r="I100" s="7">
        <v>-2105035.0099999998</v>
      </c>
      <c r="J100" s="7" t="s">
        <v>73</v>
      </c>
      <c r="K100" s="7"/>
      <c r="L100" s="7" t="s">
        <v>352</v>
      </c>
      <c r="M100" s="7" t="s">
        <v>75</v>
      </c>
      <c r="N100" t="s">
        <v>24</v>
      </c>
      <c r="O100" s="7">
        <f>VLOOKUP(A100,[1]Workings!$M:$U,9,0)</f>
        <v>152113.19</v>
      </c>
      <c r="P100" s="12">
        <f t="shared" si="7"/>
        <v>-152113.19</v>
      </c>
      <c r="S100">
        <f t="shared" si="9"/>
        <v>-100</v>
      </c>
    </row>
    <row r="101" spans="1:19" x14ac:dyDescent="0.35">
      <c r="A101" s="8"/>
      <c r="B101" s="1">
        <v>45821</v>
      </c>
      <c r="C101" t="s">
        <v>280</v>
      </c>
      <c r="D101" t="s">
        <v>353</v>
      </c>
      <c r="E101" t="s">
        <v>354</v>
      </c>
      <c r="F101" t="s">
        <v>355</v>
      </c>
      <c r="G101" s="7">
        <v>1075024.8446</v>
      </c>
      <c r="H101" s="7"/>
      <c r="I101" s="7">
        <v>-1030010.1654000001</v>
      </c>
      <c r="J101" s="7" t="s">
        <v>356</v>
      </c>
      <c r="K101" s="7"/>
      <c r="L101" s="7" t="s">
        <v>357</v>
      </c>
      <c r="M101" s="7" t="s">
        <v>75</v>
      </c>
      <c r="N101" t="s">
        <v>24</v>
      </c>
      <c r="O101" s="7" t="e">
        <f>VLOOKUP(A101,[1]Workings!$M:$U,9,0)</f>
        <v>#N/A</v>
      </c>
      <c r="P101" s="12" t="e">
        <f t="shared" si="7"/>
        <v>#N/A</v>
      </c>
    </row>
    <row r="102" spans="1:19" x14ac:dyDescent="0.35">
      <c r="A102" s="8"/>
      <c r="B102" s="1">
        <v>45821</v>
      </c>
      <c r="C102" t="s">
        <v>280</v>
      </c>
      <c r="D102" t="s">
        <v>358</v>
      </c>
      <c r="E102" t="s">
        <v>359</v>
      </c>
      <c r="F102" t="s">
        <v>355</v>
      </c>
      <c r="G102" s="7">
        <v>353878.0502</v>
      </c>
      <c r="H102" s="7"/>
      <c r="I102" s="7">
        <v>-676132.1152</v>
      </c>
      <c r="J102" s="7"/>
      <c r="K102" s="7"/>
      <c r="L102" s="7" t="s">
        <v>357</v>
      </c>
      <c r="M102" s="7"/>
      <c r="N102" t="s">
        <v>24</v>
      </c>
      <c r="O102" s="7" t="e">
        <f>VLOOKUP(A102,[1]Workings!$M:$U,9,0)</f>
        <v>#N/A</v>
      </c>
      <c r="P102" s="12" t="e">
        <f t="shared" si="7"/>
        <v>#N/A</v>
      </c>
    </row>
    <row r="103" spans="1:19" x14ac:dyDescent="0.35">
      <c r="A103" s="8"/>
      <c r="B103" s="1">
        <v>45821</v>
      </c>
      <c r="C103" t="s">
        <v>280</v>
      </c>
      <c r="D103" t="s">
        <v>358</v>
      </c>
      <c r="E103" t="s">
        <v>360</v>
      </c>
      <c r="F103" t="s">
        <v>355</v>
      </c>
      <c r="G103" s="7">
        <v>-353878.0502</v>
      </c>
      <c r="H103" s="7"/>
      <c r="I103" s="7">
        <v>-1030010.1654000001</v>
      </c>
      <c r="J103" s="7"/>
      <c r="K103" s="7"/>
      <c r="L103" s="7" t="s">
        <v>357</v>
      </c>
      <c r="M103" s="7"/>
      <c r="N103" t="s">
        <v>24</v>
      </c>
      <c r="O103" s="7" t="e">
        <f>VLOOKUP(A103,[1]Workings!$M:$U,9,0)</f>
        <v>#N/A</v>
      </c>
      <c r="P103" s="12" t="e">
        <f t="shared" si="7"/>
        <v>#N/A</v>
      </c>
    </row>
    <row r="104" spans="1:19" x14ac:dyDescent="0.35">
      <c r="A104" s="8"/>
      <c r="B104" s="1">
        <v>45821</v>
      </c>
      <c r="C104" t="s">
        <v>280</v>
      </c>
      <c r="D104" t="s">
        <v>361</v>
      </c>
      <c r="E104" t="s">
        <v>359</v>
      </c>
      <c r="F104" t="s">
        <v>355</v>
      </c>
      <c r="G104" s="7">
        <v>353878.0502</v>
      </c>
      <c r="H104" s="7"/>
      <c r="I104" s="7">
        <v>-676132.1152</v>
      </c>
      <c r="J104" s="7" t="s">
        <v>362</v>
      </c>
      <c r="K104" s="7"/>
      <c r="L104" s="7" t="s">
        <v>363</v>
      </c>
      <c r="M104" s="7" t="s">
        <v>75</v>
      </c>
      <c r="N104" t="s">
        <v>24</v>
      </c>
      <c r="O104" s="7" t="e">
        <f>VLOOKUP(A104,[1]Workings!$M:$U,9,0)</f>
        <v>#N/A</v>
      </c>
      <c r="P104" s="12" t="e">
        <f t="shared" si="7"/>
        <v>#N/A</v>
      </c>
    </row>
    <row r="105" spans="1:19" x14ac:dyDescent="0.35">
      <c r="A105" s="8">
        <v>246779410871</v>
      </c>
      <c r="B105" s="14">
        <v>45821</v>
      </c>
      <c r="C105" t="s">
        <v>267</v>
      </c>
      <c r="D105" t="s">
        <v>364</v>
      </c>
      <c r="E105" t="s">
        <v>365</v>
      </c>
      <c r="F105" t="s">
        <v>355</v>
      </c>
      <c r="G105" s="7">
        <v>290.90440000000001</v>
      </c>
      <c r="H105" s="7"/>
      <c r="I105" s="7">
        <v>-675841.2108</v>
      </c>
      <c r="J105" s="7" t="s">
        <v>366</v>
      </c>
      <c r="K105" s="7"/>
      <c r="L105" s="7" t="s">
        <v>367</v>
      </c>
      <c r="M105" s="7" t="s">
        <v>368</v>
      </c>
      <c r="N105" t="s">
        <v>24</v>
      </c>
      <c r="O105" s="7">
        <f>VLOOKUP(A105,[1]Workings!$M:$U,9,0)</f>
        <v>3685.25</v>
      </c>
      <c r="P105" s="12">
        <f t="shared" si="7"/>
        <v>-3685.25</v>
      </c>
      <c r="S105">
        <f>P105/O105*100</f>
        <v>-100</v>
      </c>
    </row>
    <row r="106" spans="1:19" x14ac:dyDescent="0.35">
      <c r="A106" s="8"/>
      <c r="B106" s="1">
        <v>45821</v>
      </c>
      <c r="C106" t="s">
        <v>280</v>
      </c>
      <c r="D106" t="s">
        <v>361</v>
      </c>
      <c r="E106" t="s">
        <v>369</v>
      </c>
      <c r="F106" t="s">
        <v>355</v>
      </c>
      <c r="G106" s="7">
        <v>-353878.0502</v>
      </c>
      <c r="H106" s="7"/>
      <c r="I106" s="7">
        <v>-1029719.2610000001</v>
      </c>
      <c r="J106" s="7" t="s">
        <v>370</v>
      </c>
      <c r="K106" s="7"/>
      <c r="L106" s="7" t="s">
        <v>371</v>
      </c>
      <c r="M106" s="7" t="s">
        <v>75</v>
      </c>
      <c r="N106" t="s">
        <v>24</v>
      </c>
      <c r="O106" s="7" t="e">
        <f>VLOOKUP(A106,[1]Workings!$M:$U,9,0)</f>
        <v>#N/A</v>
      </c>
      <c r="P106" s="12" t="e">
        <f t="shared" si="7"/>
        <v>#N/A</v>
      </c>
    </row>
    <row r="107" spans="1:19" x14ac:dyDescent="0.35">
      <c r="A107" s="8"/>
      <c r="B107" s="1">
        <v>45821</v>
      </c>
      <c r="C107" t="s">
        <v>280</v>
      </c>
      <c r="D107" t="s">
        <v>372</v>
      </c>
      <c r="E107" t="s">
        <v>359</v>
      </c>
      <c r="F107" t="s">
        <v>355</v>
      </c>
      <c r="G107" s="7">
        <v>362187.0502</v>
      </c>
      <c r="H107" s="7"/>
      <c r="I107" s="7">
        <v>-667532.2108</v>
      </c>
      <c r="J107" s="7" t="s">
        <v>373</v>
      </c>
      <c r="K107" s="7"/>
      <c r="L107" s="7" t="s">
        <v>374</v>
      </c>
      <c r="M107" s="7" t="s">
        <v>75</v>
      </c>
      <c r="N107" t="s">
        <v>24</v>
      </c>
      <c r="O107" s="7" t="e">
        <f>VLOOKUP(A107,[1]Workings!$M:$U,9,0)</f>
        <v>#N/A</v>
      </c>
      <c r="P107" s="12" t="e">
        <f t="shared" si="7"/>
        <v>#N/A</v>
      </c>
    </row>
    <row r="108" spans="1:19" x14ac:dyDescent="0.35">
      <c r="A108" s="8">
        <v>256779414240</v>
      </c>
      <c r="B108" s="1">
        <v>45815</v>
      </c>
      <c r="C108" t="s">
        <v>261</v>
      </c>
      <c r="D108" t="s">
        <v>375</v>
      </c>
      <c r="E108" t="s">
        <v>19</v>
      </c>
      <c r="F108" t="s">
        <v>30</v>
      </c>
      <c r="G108" s="7"/>
      <c r="H108" s="7">
        <v>103047.89</v>
      </c>
      <c r="I108" s="7">
        <v>-770580.10080000001</v>
      </c>
      <c r="J108" s="7"/>
      <c r="K108" s="7" t="s">
        <v>376</v>
      </c>
      <c r="L108" s="7" t="s">
        <v>377</v>
      </c>
      <c r="M108" s="7" t="s">
        <v>23</v>
      </c>
      <c r="N108" t="s">
        <v>24</v>
      </c>
      <c r="O108" s="7">
        <f>VLOOKUP(A108,[1]Workings!$M:$U,9,0)</f>
        <v>114472.15</v>
      </c>
      <c r="P108" s="12">
        <f t="shared" si="7"/>
        <v>-11424.259999999995</v>
      </c>
      <c r="S108">
        <f t="shared" ref="S108:S114" si="10">P108/O108*100</f>
        <v>-9.9799470875667105</v>
      </c>
    </row>
    <row r="109" spans="1:19" x14ac:dyDescent="0.35">
      <c r="A109" s="8">
        <v>256779414357</v>
      </c>
      <c r="B109" s="1">
        <v>45818</v>
      </c>
      <c r="C109" t="s">
        <v>261</v>
      </c>
      <c r="D109" t="s">
        <v>378</v>
      </c>
      <c r="E109" t="s">
        <v>19</v>
      </c>
      <c r="F109" t="s">
        <v>30</v>
      </c>
      <c r="G109" s="7"/>
      <c r="H109" s="7">
        <v>31506.794000000002</v>
      </c>
      <c r="I109" s="7">
        <v>-802086.89480000001</v>
      </c>
      <c r="J109" s="7"/>
      <c r="K109" s="7" t="s">
        <v>379</v>
      </c>
      <c r="L109" s="7" t="s">
        <v>380</v>
      </c>
      <c r="M109" s="7" t="s">
        <v>23</v>
      </c>
      <c r="N109" t="s">
        <v>24</v>
      </c>
      <c r="O109" s="7">
        <f>VLOOKUP(A109,[1]Workings!$M:$U,9,0)</f>
        <v>35000</v>
      </c>
      <c r="P109" s="12">
        <f t="shared" si="7"/>
        <v>-3493.2059999999983</v>
      </c>
      <c r="S109">
        <f t="shared" si="10"/>
        <v>-9.9805885714285676</v>
      </c>
    </row>
    <row r="110" spans="1:19" x14ac:dyDescent="0.35">
      <c r="A110" s="8">
        <v>256779414356</v>
      </c>
      <c r="B110" s="1">
        <v>45818</v>
      </c>
      <c r="C110" t="s">
        <v>261</v>
      </c>
      <c r="D110" t="s">
        <v>381</v>
      </c>
      <c r="E110" t="s">
        <v>19</v>
      </c>
      <c r="F110" t="s">
        <v>30</v>
      </c>
      <c r="G110" s="7"/>
      <c r="H110" s="7">
        <v>90020.757199999993</v>
      </c>
      <c r="I110" s="7">
        <v>-892107.652</v>
      </c>
      <c r="J110" s="7"/>
      <c r="K110" s="7" t="s">
        <v>382</v>
      </c>
      <c r="L110" s="7" t="s">
        <v>383</v>
      </c>
      <c r="M110" s="7" t="s">
        <v>23</v>
      </c>
      <c r="N110" t="s">
        <v>24</v>
      </c>
      <c r="O110" s="7">
        <f>VLOOKUP(A110,[1]Workings!$M:$U,9,0)</f>
        <v>100000</v>
      </c>
      <c r="P110" s="12">
        <f t="shared" si="7"/>
        <v>-9979.2428000000073</v>
      </c>
      <c r="S110">
        <f t="shared" si="10"/>
        <v>-9.9792428000000069</v>
      </c>
    </row>
    <row r="111" spans="1:19" x14ac:dyDescent="0.35">
      <c r="A111" s="8">
        <v>256779413256</v>
      </c>
      <c r="B111" s="1">
        <v>45793</v>
      </c>
      <c r="C111" t="s">
        <v>261</v>
      </c>
      <c r="D111" t="s">
        <v>384</v>
      </c>
      <c r="E111" t="s">
        <v>19</v>
      </c>
      <c r="F111" t="s">
        <v>385</v>
      </c>
      <c r="G111" s="7"/>
      <c r="H111" s="7">
        <v>22625.7</v>
      </c>
      <c r="I111" s="7">
        <v>-914733.35199999996</v>
      </c>
      <c r="J111" s="7"/>
      <c r="K111" s="7" t="s">
        <v>386</v>
      </c>
      <c r="L111" s="7" t="s">
        <v>387</v>
      </c>
      <c r="M111" s="7" t="s">
        <v>23</v>
      </c>
      <c r="N111" t="s">
        <v>24</v>
      </c>
      <c r="O111" s="7">
        <f>VLOOKUP(A111,[1]Workings!$M:$U,9,0)</f>
        <v>23215.599999999999</v>
      </c>
      <c r="P111" s="12">
        <f t="shared" si="7"/>
        <v>-589.89999999999782</v>
      </c>
      <c r="S111">
        <f t="shared" si="10"/>
        <v>-2.5409638346628896</v>
      </c>
    </row>
    <row r="112" spans="1:19" x14ac:dyDescent="0.35">
      <c r="A112" s="8">
        <v>256779413284</v>
      </c>
      <c r="B112" s="1">
        <v>45793</v>
      </c>
      <c r="C112" t="s">
        <v>261</v>
      </c>
      <c r="D112" t="s">
        <v>388</v>
      </c>
      <c r="E112" t="s">
        <v>19</v>
      </c>
      <c r="F112" t="s">
        <v>54</v>
      </c>
      <c r="G112" s="7"/>
      <c r="H112" s="7">
        <v>2932.85</v>
      </c>
      <c r="I112" s="7">
        <v>-917666.20200000005</v>
      </c>
      <c r="J112" s="7"/>
      <c r="K112" s="7" t="s">
        <v>175</v>
      </c>
      <c r="L112" s="7" t="s">
        <v>389</v>
      </c>
      <c r="M112" s="7" t="s">
        <v>23</v>
      </c>
      <c r="N112" t="s">
        <v>24</v>
      </c>
      <c r="O112" s="7">
        <f>VLOOKUP(A112,[1]Workings!$M:$U,9,0)</f>
        <v>3009.43</v>
      </c>
      <c r="P112" s="12">
        <f t="shared" si="7"/>
        <v>-76.579999999999927</v>
      </c>
      <c r="S112">
        <f t="shared" si="10"/>
        <v>-2.5446679271489927</v>
      </c>
    </row>
    <row r="113" spans="1:19" x14ac:dyDescent="0.35">
      <c r="A113" s="8">
        <v>256779414275</v>
      </c>
      <c r="B113" s="1">
        <v>45812</v>
      </c>
      <c r="C113" t="s">
        <v>261</v>
      </c>
      <c r="D113" t="s">
        <v>390</v>
      </c>
      <c r="E113" t="s">
        <v>19</v>
      </c>
      <c r="F113" t="s">
        <v>54</v>
      </c>
      <c r="G113" s="7"/>
      <c r="H113" s="7">
        <v>11403.200800000001</v>
      </c>
      <c r="I113" s="7">
        <v>-929069.40280000004</v>
      </c>
      <c r="J113" s="7"/>
      <c r="K113" s="7" t="s">
        <v>391</v>
      </c>
      <c r="L113" s="7" t="s">
        <v>392</v>
      </c>
      <c r="M113" s="7" t="s">
        <v>23</v>
      </c>
      <c r="N113" t="s">
        <v>24</v>
      </c>
      <c r="O113" s="7">
        <f>VLOOKUP(A113,[1]Workings!$M:$U,9,0)</f>
        <v>11633.59</v>
      </c>
      <c r="P113" s="12">
        <f t="shared" si="7"/>
        <v>-230.38919999999962</v>
      </c>
      <c r="S113">
        <f t="shared" si="10"/>
        <v>-1.9803792294553928</v>
      </c>
    </row>
    <row r="114" spans="1:19" x14ac:dyDescent="0.35">
      <c r="A114" s="8">
        <v>256779414317</v>
      </c>
      <c r="B114" s="1">
        <v>45827</v>
      </c>
      <c r="C114" t="s">
        <v>261</v>
      </c>
      <c r="D114" t="s">
        <v>393</v>
      </c>
      <c r="E114" t="s">
        <v>19</v>
      </c>
      <c r="F114" t="s">
        <v>54</v>
      </c>
      <c r="G114" s="7"/>
      <c r="H114" s="7">
        <v>58444.239300000001</v>
      </c>
      <c r="I114" s="7">
        <v>-987513.64210000006</v>
      </c>
      <c r="J114" s="7"/>
      <c r="K114" s="7" t="s">
        <v>394</v>
      </c>
      <c r="L114" s="7" t="s">
        <v>395</v>
      </c>
      <c r="M114" s="7" t="s">
        <v>23</v>
      </c>
      <c r="N114" t="s">
        <v>24</v>
      </c>
      <c r="O114" s="7">
        <f>VLOOKUP(A114,[1]Workings!$M:$U,9,0)</f>
        <v>59623.83</v>
      </c>
      <c r="P114" s="12">
        <f t="shared" si="7"/>
        <v>-1179.5907000000007</v>
      </c>
      <c r="S114">
        <f t="shared" si="10"/>
        <v>-1.9783880035884989</v>
      </c>
    </row>
    <row r="115" spans="1:19" x14ac:dyDescent="0.35">
      <c r="A115" s="8">
        <v>246779414733</v>
      </c>
      <c r="B115" s="14">
        <v>45827</v>
      </c>
      <c r="C115" t="s">
        <v>261</v>
      </c>
      <c r="D115" t="s">
        <v>405</v>
      </c>
      <c r="E115" t="s">
        <v>19</v>
      </c>
      <c r="F115" t="s">
        <v>30</v>
      </c>
      <c r="G115" s="7"/>
      <c r="H115" s="7">
        <v>7725</v>
      </c>
      <c r="I115" s="7">
        <v>-1002963.6421000001</v>
      </c>
      <c r="J115" s="7"/>
      <c r="K115" s="7" t="s">
        <v>403</v>
      </c>
      <c r="L115" s="7" t="s">
        <v>406</v>
      </c>
      <c r="M115" s="7" t="s">
        <v>23</v>
      </c>
      <c r="N115" t="s">
        <v>24</v>
      </c>
      <c r="O115" s="7" t="e">
        <f>VLOOKUP(A115,[1]Workings!$M:$U,9,0)</f>
        <v>#N/A</v>
      </c>
      <c r="P115" s="12" t="e">
        <f t="shared" ref="P115:P163" si="11">H115-O115</f>
        <v>#N/A</v>
      </c>
    </row>
    <row r="116" spans="1:19" x14ac:dyDescent="0.35">
      <c r="A116" s="8">
        <v>246779414732</v>
      </c>
      <c r="B116" s="14">
        <v>45827</v>
      </c>
      <c r="C116" t="s">
        <v>261</v>
      </c>
      <c r="D116" t="s">
        <v>407</v>
      </c>
      <c r="E116" t="s">
        <v>19</v>
      </c>
      <c r="F116" t="s">
        <v>30</v>
      </c>
      <c r="G116" s="7"/>
      <c r="H116" s="7">
        <v>7725</v>
      </c>
      <c r="I116" s="7">
        <v>-1010688.6421000001</v>
      </c>
      <c r="J116" s="7"/>
      <c r="K116" s="7" t="s">
        <v>403</v>
      </c>
      <c r="L116" s="7" t="s">
        <v>408</v>
      </c>
      <c r="M116" s="7" t="s">
        <v>23</v>
      </c>
      <c r="N116" t="s">
        <v>24</v>
      </c>
      <c r="O116" s="7" t="e">
        <f>VLOOKUP(A116,[1]Workings!$M:$U,9,0)</f>
        <v>#N/A</v>
      </c>
      <c r="P116" s="12" t="e">
        <f t="shared" si="11"/>
        <v>#N/A</v>
      </c>
    </row>
    <row r="117" spans="1:19" x14ac:dyDescent="0.35">
      <c r="A117" s="8">
        <v>246779414731</v>
      </c>
      <c r="B117" s="14">
        <v>45827</v>
      </c>
      <c r="C117" t="s">
        <v>261</v>
      </c>
      <c r="D117" t="s">
        <v>409</v>
      </c>
      <c r="E117" t="s">
        <v>19</v>
      </c>
      <c r="F117" t="s">
        <v>30</v>
      </c>
      <c r="G117" s="7"/>
      <c r="H117" s="7">
        <v>7725</v>
      </c>
      <c r="I117" s="7">
        <v>-1018413.6421000001</v>
      </c>
      <c r="J117" s="7"/>
      <c r="K117" s="7" t="s">
        <v>403</v>
      </c>
      <c r="L117" s="7" t="s">
        <v>410</v>
      </c>
      <c r="M117" s="7" t="s">
        <v>23</v>
      </c>
      <c r="N117" t="s">
        <v>24</v>
      </c>
      <c r="O117" s="7" t="e">
        <f>VLOOKUP(A117,[1]Workings!$M:$U,9,0)</f>
        <v>#N/A</v>
      </c>
      <c r="P117" s="12" t="e">
        <f t="shared" si="11"/>
        <v>#N/A</v>
      </c>
    </row>
    <row r="118" spans="1:19" x14ac:dyDescent="0.35">
      <c r="A118" s="8">
        <v>246779414734</v>
      </c>
      <c r="B118" s="14">
        <v>45827</v>
      </c>
      <c r="C118" t="s">
        <v>261</v>
      </c>
      <c r="D118" t="s">
        <v>416</v>
      </c>
      <c r="E118" t="s">
        <v>19</v>
      </c>
      <c r="F118" t="s">
        <v>30</v>
      </c>
      <c r="G118" s="7"/>
      <c r="H118" s="7">
        <v>7725</v>
      </c>
      <c r="I118" s="7">
        <v>-995238.64210000006</v>
      </c>
      <c r="J118" s="7"/>
      <c r="K118" s="7" t="s">
        <v>403</v>
      </c>
      <c r="L118" s="7" t="s">
        <v>404</v>
      </c>
      <c r="M118" s="7" t="s">
        <v>23</v>
      </c>
      <c r="N118" t="s">
        <v>24</v>
      </c>
      <c r="O118" s="7" t="e">
        <f>VLOOKUP(A118,[1]Workings!$M:$U,9,0)</f>
        <v>#N/A</v>
      </c>
      <c r="P118" s="12" t="e">
        <f t="shared" si="11"/>
        <v>#N/A</v>
      </c>
    </row>
    <row r="119" spans="1:19" x14ac:dyDescent="0.35">
      <c r="A119" s="8">
        <v>256779414341</v>
      </c>
      <c r="B119" s="1">
        <v>45821</v>
      </c>
      <c r="C119" t="s">
        <v>261</v>
      </c>
      <c r="D119" t="s">
        <v>420</v>
      </c>
      <c r="E119" t="s">
        <v>19</v>
      </c>
      <c r="F119" t="s">
        <v>54</v>
      </c>
      <c r="G119" s="7"/>
      <c r="H119" s="7">
        <v>16823</v>
      </c>
      <c r="I119" s="7">
        <v>-1035236.6421000001</v>
      </c>
      <c r="J119" s="7"/>
      <c r="K119" s="7" t="s">
        <v>421</v>
      </c>
      <c r="L119" s="7" t="s">
        <v>422</v>
      </c>
      <c r="M119" s="7" t="s">
        <v>23</v>
      </c>
      <c r="N119" t="s">
        <v>24</v>
      </c>
      <c r="O119" s="7">
        <f>VLOOKUP(A119,[1]Workings!$M:$U,9,0)</f>
        <v>17098.16</v>
      </c>
      <c r="P119" s="12">
        <f t="shared" si="11"/>
        <v>-275.15999999999985</v>
      </c>
      <c r="S119">
        <f>P119/O119*100</f>
        <v>-1.6092959710284607</v>
      </c>
    </row>
    <row r="120" spans="1:19" x14ac:dyDescent="0.35">
      <c r="A120" s="8"/>
      <c r="B120" s="1">
        <v>45856</v>
      </c>
      <c r="C120" t="s">
        <v>280</v>
      </c>
      <c r="D120" t="s">
        <v>432</v>
      </c>
      <c r="E120" t="s">
        <v>433</v>
      </c>
      <c r="F120" t="s">
        <v>434</v>
      </c>
      <c r="G120" s="7">
        <v>319981.4313</v>
      </c>
      <c r="H120" s="7"/>
      <c r="I120" s="7">
        <v>-715255.2108</v>
      </c>
      <c r="J120" s="7" t="s">
        <v>435</v>
      </c>
      <c r="K120" s="7"/>
      <c r="L120" s="7" t="s">
        <v>436</v>
      </c>
      <c r="M120" s="7" t="s">
        <v>75</v>
      </c>
      <c r="N120" t="s">
        <v>24</v>
      </c>
      <c r="O120" s="7" t="e">
        <f>VLOOKUP(A120,[1]Workings!$M:$U,9,0)</f>
        <v>#N/A</v>
      </c>
      <c r="P120" s="12" t="e">
        <f t="shared" si="11"/>
        <v>#N/A</v>
      </c>
    </row>
    <row r="121" spans="1:19" x14ac:dyDescent="0.35">
      <c r="A121" s="8"/>
      <c r="B121" s="1">
        <v>45856</v>
      </c>
      <c r="C121" t="s">
        <v>280</v>
      </c>
      <c r="D121" t="s">
        <v>432</v>
      </c>
      <c r="E121" t="s">
        <v>437</v>
      </c>
      <c r="F121" t="s">
        <v>434</v>
      </c>
      <c r="G121" s="7">
        <v>-319981.4313</v>
      </c>
      <c r="H121" s="7"/>
      <c r="I121" s="7">
        <v>-1035236.6421000001</v>
      </c>
      <c r="J121" s="7" t="s">
        <v>438</v>
      </c>
      <c r="K121" s="7"/>
      <c r="L121" s="7" t="s">
        <v>422</v>
      </c>
      <c r="M121" s="7" t="s">
        <v>75</v>
      </c>
      <c r="N121" t="s">
        <v>24</v>
      </c>
      <c r="O121" s="7" t="e">
        <f>VLOOKUP(A121,[1]Workings!$M:$U,9,0)</f>
        <v>#N/A</v>
      </c>
      <c r="P121" s="12" t="e">
        <f t="shared" si="11"/>
        <v>#N/A</v>
      </c>
    </row>
    <row r="122" spans="1:19" x14ac:dyDescent="0.35">
      <c r="A122" s="8"/>
      <c r="B122" s="1">
        <v>45856</v>
      </c>
      <c r="C122" t="s">
        <v>280</v>
      </c>
      <c r="D122" t="s">
        <v>439</v>
      </c>
      <c r="E122" t="s">
        <v>433</v>
      </c>
      <c r="F122" t="s">
        <v>434</v>
      </c>
      <c r="G122" s="7">
        <v>319981.4313</v>
      </c>
      <c r="H122" s="7"/>
      <c r="I122" s="7">
        <v>-715255.2108</v>
      </c>
      <c r="J122" s="7" t="s">
        <v>435</v>
      </c>
      <c r="K122" s="7"/>
      <c r="L122" s="7" t="s">
        <v>436</v>
      </c>
      <c r="M122" s="7" t="s">
        <v>75</v>
      </c>
      <c r="N122" t="s">
        <v>24</v>
      </c>
      <c r="O122" s="7" t="e">
        <f>VLOOKUP(A122,[1]Workings!$M:$U,9,0)</f>
        <v>#N/A</v>
      </c>
      <c r="P122" s="12" t="e">
        <f t="shared" si="11"/>
        <v>#N/A</v>
      </c>
    </row>
    <row r="123" spans="1:19" x14ac:dyDescent="0.35">
      <c r="A123" s="8">
        <v>256779414735</v>
      </c>
      <c r="B123" s="1">
        <v>45827</v>
      </c>
      <c r="C123" t="s">
        <v>261</v>
      </c>
      <c r="D123" t="s">
        <v>440</v>
      </c>
      <c r="E123" t="s">
        <v>19</v>
      </c>
      <c r="F123" t="s">
        <v>30</v>
      </c>
      <c r="G123" s="7"/>
      <c r="H123" s="7">
        <v>7758</v>
      </c>
      <c r="I123" s="7">
        <v>-723013.2108</v>
      </c>
      <c r="J123" s="7"/>
      <c r="K123" s="7" t="s">
        <v>403</v>
      </c>
      <c r="L123" s="7" t="s">
        <v>441</v>
      </c>
      <c r="M123" s="7" t="s">
        <v>23</v>
      </c>
      <c r="N123" t="s">
        <v>24</v>
      </c>
      <c r="O123" s="7">
        <f>VLOOKUP(A123,[1]Workings!$M:$U,9,0)</f>
        <v>8549.08</v>
      </c>
      <c r="P123" s="12">
        <f t="shared" si="11"/>
        <v>-791.07999999999993</v>
      </c>
      <c r="S123">
        <f t="shared" ref="S123:S162" si="12">P123/O123*100</f>
        <v>-9.2533933475882773</v>
      </c>
    </row>
    <row r="124" spans="1:19" x14ac:dyDescent="0.35">
      <c r="A124" s="8">
        <v>256779411152</v>
      </c>
      <c r="B124" s="1">
        <v>45762</v>
      </c>
      <c r="C124" t="s">
        <v>261</v>
      </c>
      <c r="D124" t="s">
        <v>442</v>
      </c>
      <c r="E124" t="s">
        <v>19</v>
      </c>
      <c r="F124" t="s">
        <v>443</v>
      </c>
      <c r="G124" s="7"/>
      <c r="H124" s="7">
        <v>13942.089</v>
      </c>
      <c r="I124" s="7">
        <v>-736955.29980000004</v>
      </c>
      <c r="J124" s="7"/>
      <c r="K124" s="7" t="s">
        <v>444</v>
      </c>
      <c r="L124" s="7" t="s">
        <v>445</v>
      </c>
      <c r="M124" s="7" t="s">
        <v>23</v>
      </c>
      <c r="N124" t="s">
        <v>24</v>
      </c>
      <c r="O124" s="7">
        <f>VLOOKUP(A124,[1]Workings!$M:$U,9,0)</f>
        <v>14288.21</v>
      </c>
      <c r="P124" s="12">
        <f t="shared" si="11"/>
        <v>-346.12099999999919</v>
      </c>
      <c r="S124">
        <f t="shared" si="12"/>
        <v>-2.4224238025616867</v>
      </c>
    </row>
    <row r="125" spans="1:19" x14ac:dyDescent="0.35">
      <c r="A125" s="8">
        <v>256779411153</v>
      </c>
      <c r="B125" s="1">
        <v>45762</v>
      </c>
      <c r="C125" t="s">
        <v>261</v>
      </c>
      <c r="D125" t="s">
        <v>446</v>
      </c>
      <c r="E125" t="s">
        <v>19</v>
      </c>
      <c r="F125" t="s">
        <v>219</v>
      </c>
      <c r="G125" s="7"/>
      <c r="H125" s="7">
        <v>2251.0369999999998</v>
      </c>
      <c r="I125" s="7">
        <v>-739206.33680000005</v>
      </c>
      <c r="J125" s="7"/>
      <c r="K125" s="7" t="s">
        <v>447</v>
      </c>
      <c r="L125" s="7" t="s">
        <v>448</v>
      </c>
      <c r="M125" s="7" t="s">
        <v>23</v>
      </c>
      <c r="N125" t="s">
        <v>24</v>
      </c>
      <c r="O125" s="7">
        <f>VLOOKUP(A125,[1]Workings!$M:$U,9,0)</f>
        <v>2306.91</v>
      </c>
      <c r="P125" s="12">
        <f t="shared" si="11"/>
        <v>-55.873000000000047</v>
      </c>
      <c r="S125">
        <f t="shared" si="12"/>
        <v>-2.4219843860402031</v>
      </c>
    </row>
    <row r="126" spans="1:19" x14ac:dyDescent="0.35">
      <c r="A126" s="8">
        <v>256779411154</v>
      </c>
      <c r="B126" s="1">
        <v>45762</v>
      </c>
      <c r="C126" t="s">
        <v>261</v>
      </c>
      <c r="D126" t="s">
        <v>449</v>
      </c>
      <c r="E126" t="s">
        <v>19</v>
      </c>
      <c r="F126" t="s">
        <v>219</v>
      </c>
      <c r="G126" s="7"/>
      <c r="H126" s="7">
        <v>7146.7030000000004</v>
      </c>
      <c r="I126" s="7">
        <v>-746353.03980000003</v>
      </c>
      <c r="J126" s="7"/>
      <c r="K126" s="7" t="s">
        <v>450</v>
      </c>
      <c r="L126" s="7" t="s">
        <v>451</v>
      </c>
      <c r="M126" s="7" t="s">
        <v>23</v>
      </c>
      <c r="N126" t="s">
        <v>24</v>
      </c>
      <c r="O126" s="7">
        <f>VLOOKUP(A126,[1]Workings!$M:$U,9,0)</f>
        <v>7324.03</v>
      </c>
      <c r="P126" s="12">
        <f t="shared" si="11"/>
        <v>-177.32699999999932</v>
      </c>
      <c r="S126">
        <f t="shared" si="12"/>
        <v>-2.4211670350885965</v>
      </c>
    </row>
    <row r="127" spans="1:19" x14ac:dyDescent="0.35">
      <c r="A127" s="8">
        <v>256779411155</v>
      </c>
      <c r="B127" s="1">
        <v>45762</v>
      </c>
      <c r="C127" t="s">
        <v>261</v>
      </c>
      <c r="D127" t="s">
        <v>452</v>
      </c>
      <c r="E127" t="s">
        <v>19</v>
      </c>
      <c r="F127" t="s">
        <v>453</v>
      </c>
      <c r="G127" s="7"/>
      <c r="H127" s="7">
        <v>3129.6950000000002</v>
      </c>
      <c r="I127" s="7">
        <v>-749482.73479999998</v>
      </c>
      <c r="J127" s="7"/>
      <c r="K127" s="7" t="s">
        <v>454</v>
      </c>
      <c r="L127" s="7" t="s">
        <v>455</v>
      </c>
      <c r="M127" s="7" t="s">
        <v>23</v>
      </c>
      <c r="N127" t="s">
        <v>24</v>
      </c>
      <c r="O127" s="7">
        <f>VLOOKUP(A127,[1]Workings!$M:$U,9,0)</f>
        <v>3207.42</v>
      </c>
      <c r="P127" s="12">
        <f t="shared" si="11"/>
        <v>-77.724999999999909</v>
      </c>
      <c r="S127">
        <f t="shared" si="12"/>
        <v>-2.4232872526828388</v>
      </c>
    </row>
    <row r="128" spans="1:19" x14ac:dyDescent="0.35">
      <c r="A128" s="8">
        <v>256779411156</v>
      </c>
      <c r="B128" s="1">
        <v>45762</v>
      </c>
      <c r="C128" t="s">
        <v>261</v>
      </c>
      <c r="D128" t="s">
        <v>456</v>
      </c>
      <c r="E128" t="s">
        <v>19</v>
      </c>
      <c r="F128" t="s">
        <v>453</v>
      </c>
      <c r="G128" s="7"/>
      <c r="H128" s="7">
        <v>1715.9065000000001</v>
      </c>
      <c r="I128" s="7">
        <v>-751198.64130000002</v>
      </c>
      <c r="J128" s="7"/>
      <c r="K128" s="7" t="s">
        <v>457</v>
      </c>
      <c r="L128" s="7" t="s">
        <v>458</v>
      </c>
      <c r="M128" s="7" t="s">
        <v>23</v>
      </c>
      <c r="N128" t="s">
        <v>24</v>
      </c>
      <c r="O128" s="7">
        <f>VLOOKUP(A128,[1]Workings!$M:$U,9,0)</f>
        <v>1758.43</v>
      </c>
      <c r="P128" s="12">
        <f t="shared" si="11"/>
        <v>-42.523500000000013</v>
      </c>
      <c r="S128">
        <f t="shared" si="12"/>
        <v>-2.4182651569866307</v>
      </c>
    </row>
    <row r="129" spans="1:19" x14ac:dyDescent="0.35">
      <c r="A129" s="8">
        <v>256779411157</v>
      </c>
      <c r="B129" s="1">
        <v>45762</v>
      </c>
      <c r="C129" t="s">
        <v>261</v>
      </c>
      <c r="D129" t="s">
        <v>459</v>
      </c>
      <c r="E129" t="s">
        <v>19</v>
      </c>
      <c r="F129" t="s">
        <v>453</v>
      </c>
      <c r="G129" s="7"/>
      <c r="H129" s="7">
        <v>9866.4959999999992</v>
      </c>
      <c r="I129" s="7">
        <v>-761065.13729999994</v>
      </c>
      <c r="J129" s="7"/>
      <c r="K129" s="7" t="s">
        <v>460</v>
      </c>
      <c r="L129" s="7" t="s">
        <v>461</v>
      </c>
      <c r="M129" s="7" t="s">
        <v>23</v>
      </c>
      <c r="N129" t="s">
        <v>24</v>
      </c>
      <c r="O129" s="7">
        <f>VLOOKUP(A129,[1]Workings!$M:$U,9,0)</f>
        <v>10110.75</v>
      </c>
      <c r="P129" s="12">
        <f t="shared" si="11"/>
        <v>-244.25400000000081</v>
      </c>
      <c r="S129">
        <f t="shared" si="12"/>
        <v>-2.4157851791410212</v>
      </c>
    </row>
    <row r="130" spans="1:19" x14ac:dyDescent="0.35">
      <c r="A130" s="8">
        <v>256779411565</v>
      </c>
      <c r="B130" s="1">
        <v>45762</v>
      </c>
      <c r="C130" t="s">
        <v>261</v>
      </c>
      <c r="D130" t="s">
        <v>462</v>
      </c>
      <c r="E130" t="s">
        <v>19</v>
      </c>
      <c r="F130" t="s">
        <v>453</v>
      </c>
      <c r="G130" s="7"/>
      <c r="H130" s="7">
        <v>1866.1</v>
      </c>
      <c r="I130" s="7">
        <v>-762931.23730000004</v>
      </c>
      <c r="J130" s="7"/>
      <c r="K130" s="7" t="s">
        <v>463</v>
      </c>
      <c r="L130" s="7" t="s">
        <v>464</v>
      </c>
      <c r="M130" s="7" t="s">
        <v>23</v>
      </c>
      <c r="N130" t="s">
        <v>24</v>
      </c>
      <c r="O130" s="7">
        <f>VLOOKUP(A130,[1]Workings!$M:$U,9,0)</f>
        <v>1912.28</v>
      </c>
      <c r="P130" s="12">
        <f t="shared" si="11"/>
        <v>-46.180000000000064</v>
      </c>
      <c r="S130">
        <f t="shared" si="12"/>
        <v>-2.414918317401221</v>
      </c>
    </row>
    <row r="131" spans="1:19" x14ac:dyDescent="0.35">
      <c r="A131" s="8">
        <v>256779411566</v>
      </c>
      <c r="B131" s="1">
        <v>45762</v>
      </c>
      <c r="C131" t="s">
        <v>261</v>
      </c>
      <c r="D131" t="s">
        <v>465</v>
      </c>
      <c r="E131" t="s">
        <v>19</v>
      </c>
      <c r="F131" t="s">
        <v>453</v>
      </c>
      <c r="G131" s="7"/>
      <c r="H131" s="7">
        <v>372.82</v>
      </c>
      <c r="I131" s="7">
        <v>-763304.05729999999</v>
      </c>
      <c r="J131" s="7"/>
      <c r="K131" s="7" t="s">
        <v>466</v>
      </c>
      <c r="L131" s="7" t="s">
        <v>467</v>
      </c>
      <c r="M131" s="7" t="s">
        <v>23</v>
      </c>
      <c r="N131" t="s">
        <v>24</v>
      </c>
      <c r="O131" s="7">
        <f>VLOOKUP(A131,[1]Workings!$M:$U,9,0)</f>
        <v>382.46</v>
      </c>
      <c r="P131" s="12">
        <f t="shared" si="11"/>
        <v>-9.6399999999999864</v>
      </c>
      <c r="S131">
        <f t="shared" si="12"/>
        <v>-2.5205250222245428</v>
      </c>
    </row>
    <row r="132" spans="1:19" x14ac:dyDescent="0.35">
      <c r="A132" s="8">
        <v>256779411567</v>
      </c>
      <c r="B132" s="1">
        <v>45762</v>
      </c>
      <c r="C132" t="s">
        <v>261</v>
      </c>
      <c r="D132" t="s">
        <v>468</v>
      </c>
      <c r="E132" t="s">
        <v>19</v>
      </c>
      <c r="F132" t="s">
        <v>453</v>
      </c>
      <c r="G132" s="7"/>
      <c r="H132" s="7">
        <v>495.452</v>
      </c>
      <c r="I132" s="7">
        <v>-763799.50930000003</v>
      </c>
      <c r="J132" s="7"/>
      <c r="K132" s="7" t="s">
        <v>469</v>
      </c>
      <c r="L132" s="7" t="s">
        <v>470</v>
      </c>
      <c r="M132" s="7" t="s">
        <v>23</v>
      </c>
      <c r="N132" t="s">
        <v>24</v>
      </c>
      <c r="O132" s="7">
        <f>VLOOKUP(A132,[1]Workings!$M:$U,9,0)</f>
        <v>507.62</v>
      </c>
      <c r="P132" s="12">
        <f t="shared" si="11"/>
        <v>-12.168000000000006</v>
      </c>
      <c r="S132">
        <f t="shared" si="12"/>
        <v>-2.3970686734171243</v>
      </c>
    </row>
    <row r="133" spans="1:19" x14ac:dyDescent="0.35">
      <c r="A133" s="8">
        <v>256779411568</v>
      </c>
      <c r="B133" s="1">
        <v>45762</v>
      </c>
      <c r="C133" t="s">
        <v>261</v>
      </c>
      <c r="D133" t="s">
        <v>471</v>
      </c>
      <c r="E133" t="s">
        <v>19</v>
      </c>
      <c r="F133" t="s">
        <v>453</v>
      </c>
      <c r="G133" s="7"/>
      <c r="H133" s="7">
        <v>68.239999999999995</v>
      </c>
      <c r="I133" s="7">
        <v>-763867.74930000002</v>
      </c>
      <c r="J133" s="7"/>
      <c r="K133" s="7" t="s">
        <v>472</v>
      </c>
      <c r="L133" s="7" t="s">
        <v>473</v>
      </c>
      <c r="M133" s="7" t="s">
        <v>23</v>
      </c>
      <c r="N133" t="s">
        <v>24</v>
      </c>
      <c r="O133" s="7">
        <f>VLOOKUP(A133,[1]Workings!$M:$U,9,0)</f>
        <v>69.540000000000006</v>
      </c>
      <c r="P133" s="12">
        <f t="shared" si="11"/>
        <v>-1.3000000000000114</v>
      </c>
      <c r="S133">
        <f t="shared" si="12"/>
        <v>-1.8694276675294954</v>
      </c>
    </row>
    <row r="134" spans="1:19" x14ac:dyDescent="0.35">
      <c r="A134" s="8">
        <v>256779411569</v>
      </c>
      <c r="B134" s="1">
        <v>45762</v>
      </c>
      <c r="C134" t="s">
        <v>261</v>
      </c>
      <c r="D134" t="s">
        <v>474</v>
      </c>
      <c r="E134" t="s">
        <v>19</v>
      </c>
      <c r="F134" t="s">
        <v>453</v>
      </c>
      <c r="G134" s="7"/>
      <c r="H134" s="7">
        <v>1174.7175</v>
      </c>
      <c r="I134" s="7">
        <v>-765042.46680000005</v>
      </c>
      <c r="J134" s="7"/>
      <c r="K134" s="7" t="s">
        <v>475</v>
      </c>
      <c r="L134" s="7" t="s">
        <v>476</v>
      </c>
      <c r="M134" s="7" t="s">
        <v>23</v>
      </c>
      <c r="N134" t="s">
        <v>24</v>
      </c>
      <c r="O134" s="7">
        <f>VLOOKUP(A134,[1]Workings!$M:$U,9,0)</f>
        <v>1203.8699999999999</v>
      </c>
      <c r="P134" s="12">
        <f t="shared" si="11"/>
        <v>-29.152499999999918</v>
      </c>
      <c r="S134">
        <f t="shared" si="12"/>
        <v>-2.4215654514191662</v>
      </c>
    </row>
    <row r="135" spans="1:19" x14ac:dyDescent="0.35">
      <c r="A135" s="8">
        <v>256779411570</v>
      </c>
      <c r="B135" s="1">
        <v>45762</v>
      </c>
      <c r="C135" t="s">
        <v>261</v>
      </c>
      <c r="D135" t="s">
        <v>477</v>
      </c>
      <c r="E135" t="s">
        <v>19</v>
      </c>
      <c r="F135" t="s">
        <v>453</v>
      </c>
      <c r="G135" s="7"/>
      <c r="H135" s="7">
        <v>1539.8824999999999</v>
      </c>
      <c r="I135" s="7">
        <v>-766582.3493</v>
      </c>
      <c r="J135" s="7"/>
      <c r="K135" s="7" t="s">
        <v>478</v>
      </c>
      <c r="L135" s="7" t="s">
        <v>479</v>
      </c>
      <c r="M135" s="7" t="s">
        <v>23</v>
      </c>
      <c r="N135" t="s">
        <v>24</v>
      </c>
      <c r="O135" s="7">
        <f>VLOOKUP(A135,[1]Workings!$M:$U,9,0)</f>
        <v>1577.63</v>
      </c>
      <c r="P135" s="12">
        <f t="shared" si="11"/>
        <v>-37.747500000000173</v>
      </c>
      <c r="S135">
        <f t="shared" si="12"/>
        <v>-2.3926712854091372</v>
      </c>
    </row>
    <row r="136" spans="1:19" x14ac:dyDescent="0.35">
      <c r="A136" s="8">
        <v>256779411571</v>
      </c>
      <c r="B136" s="1">
        <v>45762</v>
      </c>
      <c r="C136" t="s">
        <v>261</v>
      </c>
      <c r="D136" t="s">
        <v>480</v>
      </c>
      <c r="E136" t="s">
        <v>19</v>
      </c>
      <c r="F136" t="s">
        <v>453</v>
      </c>
      <c r="G136" s="7"/>
      <c r="H136" s="7">
        <v>1811.7080000000001</v>
      </c>
      <c r="I136" s="7">
        <v>-768394.05729999999</v>
      </c>
      <c r="J136" s="7"/>
      <c r="K136" s="7" t="s">
        <v>481</v>
      </c>
      <c r="L136" s="7" t="s">
        <v>482</v>
      </c>
      <c r="M136" s="7" t="s">
        <v>23</v>
      </c>
      <c r="N136" t="s">
        <v>24</v>
      </c>
      <c r="O136" s="7">
        <f>VLOOKUP(A136,[1]Workings!$M:$U,9,0)</f>
        <v>1856.65</v>
      </c>
      <c r="P136" s="12">
        <f t="shared" si="11"/>
        <v>-44.942000000000007</v>
      </c>
      <c r="S136">
        <f t="shared" si="12"/>
        <v>-2.4205962351547141</v>
      </c>
    </row>
    <row r="137" spans="1:19" x14ac:dyDescent="0.35">
      <c r="A137" s="8">
        <v>256779411572</v>
      </c>
      <c r="B137" s="1">
        <v>45762</v>
      </c>
      <c r="C137" t="s">
        <v>261</v>
      </c>
      <c r="D137" t="s">
        <v>483</v>
      </c>
      <c r="E137" t="s">
        <v>19</v>
      </c>
      <c r="F137" t="s">
        <v>453</v>
      </c>
      <c r="G137" s="7"/>
      <c r="H137" s="7">
        <v>167.5035</v>
      </c>
      <c r="I137" s="7">
        <v>-768561.56079999998</v>
      </c>
      <c r="J137" s="7"/>
      <c r="K137" s="7" t="s">
        <v>484</v>
      </c>
      <c r="L137" s="7" t="s">
        <v>485</v>
      </c>
      <c r="M137" s="7" t="s">
        <v>23</v>
      </c>
      <c r="N137" t="s">
        <v>24</v>
      </c>
      <c r="O137" s="7">
        <f>VLOOKUP(A137,[1]Workings!$M:$U,9,0)</f>
        <v>171.24</v>
      </c>
      <c r="P137" s="12">
        <f t="shared" si="11"/>
        <v>-3.7365000000000066</v>
      </c>
      <c r="S137">
        <f t="shared" si="12"/>
        <v>-2.1820252277505294</v>
      </c>
    </row>
    <row r="138" spans="1:19" x14ac:dyDescent="0.35">
      <c r="A138" s="8">
        <v>256779411573</v>
      </c>
      <c r="B138" s="14">
        <v>45867</v>
      </c>
      <c r="C138" t="s">
        <v>261</v>
      </c>
      <c r="D138" t="s">
        <v>486</v>
      </c>
      <c r="E138" t="s">
        <v>19</v>
      </c>
      <c r="F138" t="s">
        <v>453</v>
      </c>
      <c r="G138" s="7"/>
      <c r="H138" s="7">
        <v>2053.3755000000001</v>
      </c>
      <c r="I138" s="7">
        <v>-770614.93629999994</v>
      </c>
      <c r="J138" s="7"/>
      <c r="K138" s="7" t="s">
        <v>487</v>
      </c>
      <c r="L138" s="7" t="s">
        <v>488</v>
      </c>
      <c r="M138" s="7" t="s">
        <v>23</v>
      </c>
      <c r="N138" t="s">
        <v>24</v>
      </c>
      <c r="O138" s="7">
        <f>VLOOKUP(A138,[1]Workings!$M:$U,9,0)</f>
        <v>2104.38</v>
      </c>
      <c r="P138" s="12">
        <f t="shared" si="11"/>
        <v>-51.004500000000007</v>
      </c>
      <c r="S138">
        <f t="shared" si="12"/>
        <v>-2.4237305049468252</v>
      </c>
    </row>
    <row r="139" spans="1:19" x14ac:dyDescent="0.35">
      <c r="A139" s="8">
        <v>256779411574</v>
      </c>
      <c r="B139" s="1">
        <v>45762</v>
      </c>
      <c r="C139" t="s">
        <v>261</v>
      </c>
      <c r="D139" t="s">
        <v>489</v>
      </c>
      <c r="E139" t="s">
        <v>19</v>
      </c>
      <c r="F139" t="s">
        <v>453</v>
      </c>
      <c r="G139" s="7"/>
      <c r="H139" s="7">
        <v>1247.2850000000001</v>
      </c>
      <c r="I139" s="7">
        <v>-771862.22129999998</v>
      </c>
      <c r="J139" s="7"/>
      <c r="K139" s="7" t="s">
        <v>490</v>
      </c>
      <c r="L139" s="7" t="s">
        <v>491</v>
      </c>
      <c r="M139" s="7" t="s">
        <v>23</v>
      </c>
      <c r="N139" t="s">
        <v>24</v>
      </c>
      <c r="O139" s="7">
        <f>VLOOKUP(A139,[1]Workings!$M:$U,9,0)</f>
        <v>1277.75</v>
      </c>
      <c r="P139" s="12">
        <f t="shared" si="11"/>
        <v>-30.464999999999918</v>
      </c>
      <c r="S139">
        <f t="shared" si="12"/>
        <v>-2.3842692232439773</v>
      </c>
    </row>
    <row r="140" spans="1:19" x14ac:dyDescent="0.35">
      <c r="A140" s="8">
        <v>256779411575</v>
      </c>
      <c r="B140" s="1">
        <v>45762</v>
      </c>
      <c r="C140" t="s">
        <v>261</v>
      </c>
      <c r="D140" t="s">
        <v>492</v>
      </c>
      <c r="E140" t="s">
        <v>19</v>
      </c>
      <c r="F140" t="s">
        <v>453</v>
      </c>
      <c r="G140" s="7"/>
      <c r="H140" s="7">
        <v>1895.3924999999999</v>
      </c>
      <c r="I140" s="7">
        <v>-773757.61380000005</v>
      </c>
      <c r="J140" s="7"/>
      <c r="K140" s="7" t="s">
        <v>493</v>
      </c>
      <c r="L140" s="7" t="s">
        <v>494</v>
      </c>
      <c r="M140" s="7" t="s">
        <v>23</v>
      </c>
      <c r="N140" t="s">
        <v>24</v>
      </c>
      <c r="O140" s="7">
        <f>VLOOKUP(A140,[1]Workings!$M:$U,9,0)</f>
        <v>1942.7</v>
      </c>
      <c r="P140" s="12">
        <f t="shared" si="11"/>
        <v>-47.307500000000118</v>
      </c>
      <c r="S140">
        <f t="shared" si="12"/>
        <v>-2.4351418129407585</v>
      </c>
    </row>
    <row r="141" spans="1:19" x14ac:dyDescent="0.35">
      <c r="A141" s="8">
        <v>256779411576</v>
      </c>
      <c r="B141" s="1">
        <v>45762</v>
      </c>
      <c r="C141" t="s">
        <v>261</v>
      </c>
      <c r="D141" t="s">
        <v>495</v>
      </c>
      <c r="E141" t="s">
        <v>19</v>
      </c>
      <c r="F141" t="s">
        <v>453</v>
      </c>
      <c r="G141" s="7"/>
      <c r="H141" s="7">
        <v>1825.556</v>
      </c>
      <c r="I141" s="7">
        <v>-775583.16980000003</v>
      </c>
      <c r="J141" s="7"/>
      <c r="K141" s="7" t="s">
        <v>496</v>
      </c>
      <c r="L141" s="7" t="s">
        <v>497</v>
      </c>
      <c r="M141" s="7" t="s">
        <v>23</v>
      </c>
      <c r="N141" t="s">
        <v>24</v>
      </c>
      <c r="O141" s="7">
        <f>VLOOKUP(A141,[1]Workings!$M:$U,9,0)</f>
        <v>1870.56</v>
      </c>
      <c r="P141" s="12">
        <f t="shared" si="11"/>
        <v>-45.003999999999905</v>
      </c>
      <c r="S141">
        <f t="shared" si="12"/>
        <v>-2.4059105294671066</v>
      </c>
    </row>
    <row r="142" spans="1:19" x14ac:dyDescent="0.35">
      <c r="A142" s="8">
        <v>256779411577</v>
      </c>
      <c r="B142" s="1">
        <v>45762</v>
      </c>
      <c r="C142" t="s">
        <v>261</v>
      </c>
      <c r="D142" t="s">
        <v>498</v>
      </c>
      <c r="E142" t="s">
        <v>19</v>
      </c>
      <c r="F142" t="s">
        <v>453</v>
      </c>
      <c r="G142" s="7"/>
      <c r="H142" s="7">
        <v>130.28700000000001</v>
      </c>
      <c r="I142" s="7">
        <v>-775713.45680000004</v>
      </c>
      <c r="J142" s="7"/>
      <c r="K142" s="7" t="s">
        <v>499</v>
      </c>
      <c r="L142" s="7" t="s">
        <v>500</v>
      </c>
      <c r="M142" s="7" t="s">
        <v>23</v>
      </c>
      <c r="N142" t="s">
        <v>24</v>
      </c>
      <c r="O142" s="7">
        <f>VLOOKUP(A142,[1]Workings!$M:$U,9,0)</f>
        <v>133.86000000000001</v>
      </c>
      <c r="P142" s="12">
        <f t="shared" si="11"/>
        <v>-3.5730000000000075</v>
      </c>
      <c r="S142">
        <f t="shared" si="12"/>
        <v>-2.669206633796509</v>
      </c>
    </row>
    <row r="143" spans="1:19" x14ac:dyDescent="0.35">
      <c r="A143" s="8">
        <v>256779411578</v>
      </c>
      <c r="B143" s="1">
        <v>45762</v>
      </c>
      <c r="C143" t="s">
        <v>261</v>
      </c>
      <c r="D143" t="s">
        <v>501</v>
      </c>
      <c r="E143" t="s">
        <v>19</v>
      </c>
      <c r="F143" t="s">
        <v>453</v>
      </c>
      <c r="G143" s="7"/>
      <c r="H143" s="7">
        <v>610.29449999999997</v>
      </c>
      <c r="I143" s="7">
        <v>-776323.7513</v>
      </c>
      <c r="J143" s="7"/>
      <c r="K143" s="7" t="s">
        <v>502</v>
      </c>
      <c r="L143" s="7" t="s">
        <v>503</v>
      </c>
      <c r="M143" s="7" t="s">
        <v>23</v>
      </c>
      <c r="N143" t="s">
        <v>24</v>
      </c>
      <c r="O143" s="7">
        <f>VLOOKUP(A143,[1]Workings!$M:$U,9,0)</f>
        <v>624.97</v>
      </c>
      <c r="P143" s="12">
        <f t="shared" si="11"/>
        <v>-14.675500000000056</v>
      </c>
      <c r="S143">
        <f t="shared" si="12"/>
        <v>-2.3481927132502451</v>
      </c>
    </row>
    <row r="144" spans="1:19" x14ac:dyDescent="0.35">
      <c r="A144" s="8">
        <v>256779411579</v>
      </c>
      <c r="B144" s="1">
        <v>45762</v>
      </c>
      <c r="C144" t="s">
        <v>261</v>
      </c>
      <c r="D144" t="s">
        <v>504</v>
      </c>
      <c r="E144" t="s">
        <v>19</v>
      </c>
      <c r="F144" t="s">
        <v>453</v>
      </c>
      <c r="G144" s="7"/>
      <c r="H144" s="7">
        <v>411.76749999999998</v>
      </c>
      <c r="I144" s="7">
        <v>-776735.51879999996</v>
      </c>
      <c r="J144" s="7"/>
      <c r="K144" s="7" t="s">
        <v>505</v>
      </c>
      <c r="L144" s="7" t="s">
        <v>506</v>
      </c>
      <c r="M144" s="7" t="s">
        <v>23</v>
      </c>
      <c r="N144" t="s">
        <v>24</v>
      </c>
      <c r="O144" s="7">
        <f>VLOOKUP(A144,[1]Workings!$M:$U,9,0)</f>
        <v>421.57</v>
      </c>
      <c r="P144" s="12">
        <f t="shared" si="11"/>
        <v>-9.8025000000000091</v>
      </c>
      <c r="S144">
        <f t="shared" si="12"/>
        <v>-2.3252366155086959</v>
      </c>
    </row>
    <row r="145" spans="1:19" x14ac:dyDescent="0.35">
      <c r="A145" s="8">
        <v>256779411580</v>
      </c>
      <c r="B145" s="1">
        <v>45762</v>
      </c>
      <c r="C145" t="s">
        <v>261</v>
      </c>
      <c r="D145" t="s">
        <v>507</v>
      </c>
      <c r="E145" t="s">
        <v>19</v>
      </c>
      <c r="F145" t="s">
        <v>453</v>
      </c>
      <c r="G145" s="7"/>
      <c r="H145" s="7">
        <v>1845.328</v>
      </c>
      <c r="I145" s="7">
        <v>-778580.84680000006</v>
      </c>
      <c r="J145" s="7"/>
      <c r="K145" s="7" t="s">
        <v>508</v>
      </c>
      <c r="L145" s="7" t="s">
        <v>509</v>
      </c>
      <c r="M145" s="7" t="s">
        <v>23</v>
      </c>
      <c r="N145" t="s">
        <v>24</v>
      </c>
      <c r="O145" s="7">
        <f>VLOOKUP(A145,[1]Workings!$M:$U,9,0)</f>
        <v>1891.42</v>
      </c>
      <c r="P145" s="12">
        <f t="shared" si="11"/>
        <v>-46.092000000000098</v>
      </c>
      <c r="S145">
        <f t="shared" si="12"/>
        <v>-2.4368992608727886</v>
      </c>
    </row>
    <row r="146" spans="1:19" x14ac:dyDescent="0.35">
      <c r="A146" s="8">
        <v>256779411581</v>
      </c>
      <c r="B146" s="1">
        <v>45762</v>
      </c>
      <c r="C146" t="s">
        <v>261</v>
      </c>
      <c r="D146" t="s">
        <v>510</v>
      </c>
      <c r="E146" t="s">
        <v>19</v>
      </c>
      <c r="F146" t="s">
        <v>453</v>
      </c>
      <c r="G146" s="7"/>
      <c r="H146" s="7">
        <v>186.41</v>
      </c>
      <c r="I146" s="7">
        <v>-778767.25679999997</v>
      </c>
      <c r="J146" s="7"/>
      <c r="K146" s="7" t="s">
        <v>511</v>
      </c>
      <c r="L146" s="7" t="s">
        <v>512</v>
      </c>
      <c r="M146" s="7" t="s">
        <v>23</v>
      </c>
      <c r="N146" t="s">
        <v>24</v>
      </c>
      <c r="O146" s="7">
        <f>VLOOKUP(A146,[1]Workings!$M:$U,9,0)</f>
        <v>191.23</v>
      </c>
      <c r="P146" s="12">
        <f t="shared" si="11"/>
        <v>-4.8199999999999932</v>
      </c>
      <c r="S146">
        <f t="shared" si="12"/>
        <v>-2.5205250222245428</v>
      </c>
    </row>
    <row r="147" spans="1:19" x14ac:dyDescent="0.35">
      <c r="A147" s="8">
        <v>256779411582</v>
      </c>
      <c r="B147" s="1">
        <v>45762</v>
      </c>
      <c r="C147" t="s">
        <v>261</v>
      </c>
      <c r="D147" t="s">
        <v>513</v>
      </c>
      <c r="E147" t="s">
        <v>19</v>
      </c>
      <c r="F147" t="s">
        <v>453</v>
      </c>
      <c r="G147" s="7"/>
      <c r="H147" s="7">
        <v>94.070499999999996</v>
      </c>
      <c r="I147" s="7">
        <v>-778861.3273</v>
      </c>
      <c r="J147" s="7"/>
      <c r="K147" s="7" t="s">
        <v>514</v>
      </c>
      <c r="L147" s="7" t="s">
        <v>515</v>
      </c>
      <c r="M147" s="7" t="s">
        <v>23</v>
      </c>
      <c r="N147" t="s">
        <v>24</v>
      </c>
      <c r="O147" s="7">
        <f>VLOOKUP(A147,[1]Workings!$M:$U,9,0)</f>
        <v>96.48</v>
      </c>
      <c r="P147" s="12">
        <f t="shared" si="11"/>
        <v>-2.4095000000000084</v>
      </c>
      <c r="S147">
        <f t="shared" si="12"/>
        <v>-2.4974087893864101</v>
      </c>
    </row>
    <row r="148" spans="1:19" x14ac:dyDescent="0.35">
      <c r="A148" s="8">
        <v>256779411583</v>
      </c>
      <c r="B148" s="1">
        <v>45762</v>
      </c>
      <c r="C148" t="s">
        <v>261</v>
      </c>
      <c r="D148" t="s">
        <v>516</v>
      </c>
      <c r="E148" t="s">
        <v>19</v>
      </c>
      <c r="F148" t="s">
        <v>453</v>
      </c>
      <c r="G148" s="7"/>
      <c r="H148" s="7">
        <v>933.05</v>
      </c>
      <c r="I148" s="7">
        <v>-779794.37730000005</v>
      </c>
      <c r="J148" s="7"/>
      <c r="K148" s="7" t="s">
        <v>517</v>
      </c>
      <c r="L148" s="7" t="s">
        <v>518</v>
      </c>
      <c r="M148" s="7" t="s">
        <v>23</v>
      </c>
      <c r="N148" t="s">
        <v>24</v>
      </c>
      <c r="O148" s="7">
        <f>VLOOKUP(A148,[1]Workings!$M:$U,9,0)</f>
        <v>956.14</v>
      </c>
      <c r="P148" s="12">
        <f t="shared" si="11"/>
        <v>-23.090000000000032</v>
      </c>
      <c r="S148">
        <f t="shared" si="12"/>
        <v>-2.414918317401221</v>
      </c>
    </row>
    <row r="149" spans="1:19" x14ac:dyDescent="0.35">
      <c r="A149" s="8">
        <v>256779411584</v>
      </c>
      <c r="B149" s="1">
        <v>45762</v>
      </c>
      <c r="C149" t="s">
        <v>261</v>
      </c>
      <c r="D149" t="s">
        <v>519</v>
      </c>
      <c r="E149" t="s">
        <v>19</v>
      </c>
      <c r="F149" t="s">
        <v>453</v>
      </c>
      <c r="G149" s="7"/>
      <c r="H149" s="7">
        <v>1968.8254999999999</v>
      </c>
      <c r="I149" s="7">
        <v>-781763.20279999997</v>
      </c>
      <c r="J149" s="7"/>
      <c r="K149" s="7" t="s">
        <v>520</v>
      </c>
      <c r="L149" s="7" t="s">
        <v>521</v>
      </c>
      <c r="M149" s="7" t="s">
        <v>23</v>
      </c>
      <c r="N149" t="s">
        <v>24</v>
      </c>
      <c r="O149" s="7">
        <f>VLOOKUP(A149,[1]Workings!$M:$U,9,0)</f>
        <v>2017.46</v>
      </c>
      <c r="P149" s="12">
        <f t="shared" si="11"/>
        <v>-48.634500000000116</v>
      </c>
      <c r="S149">
        <f t="shared" si="12"/>
        <v>-2.4106797656459169</v>
      </c>
    </row>
    <row r="150" spans="1:19" x14ac:dyDescent="0.35">
      <c r="A150" s="8">
        <v>256779411585</v>
      </c>
      <c r="B150" s="1">
        <v>45762</v>
      </c>
      <c r="C150" t="s">
        <v>261</v>
      </c>
      <c r="D150" t="s">
        <v>522</v>
      </c>
      <c r="E150" t="s">
        <v>19</v>
      </c>
      <c r="F150" t="s">
        <v>453</v>
      </c>
      <c r="G150" s="7"/>
      <c r="H150" s="7">
        <v>661.95550000000003</v>
      </c>
      <c r="I150" s="7">
        <v>-782425.15830000001</v>
      </c>
      <c r="J150" s="7"/>
      <c r="K150" s="7" t="s">
        <v>523</v>
      </c>
      <c r="L150" s="7" t="s">
        <v>524</v>
      </c>
      <c r="M150" s="7" t="s">
        <v>23</v>
      </c>
      <c r="N150" t="s">
        <v>24</v>
      </c>
      <c r="O150" s="7">
        <f>VLOOKUP(A150,[1]Workings!$M:$U,9,0)</f>
        <v>678.86</v>
      </c>
      <c r="P150" s="12">
        <f t="shared" si="11"/>
        <v>-16.904499999999985</v>
      </c>
      <c r="S150">
        <f t="shared" si="12"/>
        <v>-2.4901305129187143</v>
      </c>
    </row>
    <row r="151" spans="1:19" x14ac:dyDescent="0.35">
      <c r="A151" s="8">
        <v>256779414772</v>
      </c>
      <c r="B151" s="1">
        <v>45842</v>
      </c>
      <c r="C151" t="s">
        <v>261</v>
      </c>
      <c r="D151" t="s">
        <v>529</v>
      </c>
      <c r="E151" t="s">
        <v>19</v>
      </c>
      <c r="F151" t="s">
        <v>385</v>
      </c>
      <c r="G151" s="7"/>
      <c r="H151" s="7">
        <v>18722.8</v>
      </c>
      <c r="I151" s="7">
        <v>-801147.95830000006</v>
      </c>
      <c r="J151" s="7"/>
      <c r="K151" s="7" t="s">
        <v>530</v>
      </c>
      <c r="L151" s="7" t="s">
        <v>531</v>
      </c>
      <c r="M151" s="7" t="s">
        <v>23</v>
      </c>
      <c r="N151" t="s">
        <v>24</v>
      </c>
      <c r="O151" s="7">
        <f>VLOOKUP(A151,[1]Workings!$M:$U,9,0)</f>
        <v>18920.150000000001</v>
      </c>
      <c r="P151" s="12">
        <f t="shared" si="11"/>
        <v>-197.35000000000218</v>
      </c>
      <c r="S151">
        <f t="shared" si="12"/>
        <v>-1.0430678403712559</v>
      </c>
    </row>
    <row r="152" spans="1:19" x14ac:dyDescent="0.35">
      <c r="A152" s="8">
        <v>256779414956</v>
      </c>
      <c r="B152" s="1">
        <v>45842</v>
      </c>
      <c r="C152" t="s">
        <v>261</v>
      </c>
      <c r="D152" t="s">
        <v>532</v>
      </c>
      <c r="E152" t="s">
        <v>19</v>
      </c>
      <c r="F152" t="s">
        <v>443</v>
      </c>
      <c r="G152" s="7"/>
      <c r="H152" s="7">
        <v>4255</v>
      </c>
      <c r="I152" s="7">
        <v>-805402.95830000006</v>
      </c>
      <c r="J152" s="7"/>
      <c r="K152" s="7" t="s">
        <v>77</v>
      </c>
      <c r="L152" s="7" t="s">
        <v>533</v>
      </c>
      <c r="M152" s="7" t="s">
        <v>23</v>
      </c>
      <c r="N152" t="s">
        <v>24</v>
      </c>
      <c r="O152" s="7">
        <f>VLOOKUP(A152,[1]Workings!$M:$U,9,0)</f>
        <v>4300.03</v>
      </c>
      <c r="P152" s="12">
        <f t="shared" si="11"/>
        <v>-45.029999999999745</v>
      </c>
      <c r="S152">
        <f t="shared" si="12"/>
        <v>-1.0472019962651364</v>
      </c>
    </row>
    <row r="153" spans="1:19" x14ac:dyDescent="0.35">
      <c r="A153" s="8">
        <v>256779414957</v>
      </c>
      <c r="B153" s="1">
        <v>45842</v>
      </c>
      <c r="C153" t="s">
        <v>261</v>
      </c>
      <c r="D153" t="s">
        <v>534</v>
      </c>
      <c r="E153" t="s">
        <v>19</v>
      </c>
      <c r="F153" t="s">
        <v>443</v>
      </c>
      <c r="G153" s="7"/>
      <c r="H153" s="7">
        <v>4255</v>
      </c>
      <c r="I153" s="7">
        <v>-809657.95830000006</v>
      </c>
      <c r="J153" s="7"/>
      <c r="K153" s="7" t="s">
        <v>77</v>
      </c>
      <c r="L153" s="7" t="s">
        <v>535</v>
      </c>
      <c r="M153" s="7" t="s">
        <v>23</v>
      </c>
      <c r="N153" t="s">
        <v>24</v>
      </c>
      <c r="O153" s="7">
        <f>VLOOKUP(A153,[1]Workings!$M:$U,9,0)</f>
        <v>4300.03</v>
      </c>
      <c r="P153" s="12">
        <f t="shared" si="11"/>
        <v>-45.029999999999745</v>
      </c>
      <c r="S153">
        <f t="shared" si="12"/>
        <v>-1.0472019962651364</v>
      </c>
    </row>
    <row r="154" spans="1:19" x14ac:dyDescent="0.35">
      <c r="A154" s="8">
        <v>256779414830</v>
      </c>
      <c r="B154" s="1">
        <v>45842</v>
      </c>
      <c r="C154" t="s">
        <v>261</v>
      </c>
      <c r="D154" t="s">
        <v>536</v>
      </c>
      <c r="E154" t="s">
        <v>19</v>
      </c>
      <c r="F154" t="s">
        <v>453</v>
      </c>
      <c r="G154" s="7"/>
      <c r="H154" s="7">
        <v>12112.068799999999</v>
      </c>
      <c r="I154" s="7">
        <v>-821770.02709999995</v>
      </c>
      <c r="J154" s="7"/>
      <c r="K154" s="7" t="s">
        <v>537</v>
      </c>
      <c r="L154" s="7" t="s">
        <v>538</v>
      </c>
      <c r="M154" s="7" t="s">
        <v>23</v>
      </c>
      <c r="N154" t="s">
        <v>24</v>
      </c>
      <c r="O154" s="7">
        <f>VLOOKUP(A154,[1]Workings!$M:$U,9,0)</f>
        <v>12239.62</v>
      </c>
      <c r="P154" s="12">
        <f t="shared" si="11"/>
        <v>-127.5512000000017</v>
      </c>
      <c r="S154">
        <f t="shared" si="12"/>
        <v>-1.0421173206357852</v>
      </c>
    </row>
    <row r="155" spans="1:19" x14ac:dyDescent="0.35">
      <c r="A155" s="8">
        <v>256779415017</v>
      </c>
      <c r="B155" s="1">
        <v>45842</v>
      </c>
      <c r="C155" t="s">
        <v>261</v>
      </c>
      <c r="D155" t="s">
        <v>539</v>
      </c>
      <c r="E155" t="s">
        <v>19</v>
      </c>
      <c r="F155" t="s">
        <v>453</v>
      </c>
      <c r="G155" s="7"/>
      <c r="H155" s="7">
        <v>29722.738399999998</v>
      </c>
      <c r="I155" s="7">
        <v>-851492.76549999998</v>
      </c>
      <c r="J155" s="7"/>
      <c r="K155" s="7" t="s">
        <v>540</v>
      </c>
      <c r="L155" s="7" t="s">
        <v>541</v>
      </c>
      <c r="M155" s="7" t="s">
        <v>23</v>
      </c>
      <c r="N155" t="s">
        <v>24</v>
      </c>
      <c r="O155" s="7">
        <f>VLOOKUP(A155,[1]Workings!$M:$U,9,0)</f>
        <v>30036.59</v>
      </c>
      <c r="P155" s="12">
        <f t="shared" si="11"/>
        <v>-313.85160000000178</v>
      </c>
      <c r="S155">
        <f t="shared" si="12"/>
        <v>-1.04489757325982</v>
      </c>
    </row>
    <row r="156" spans="1:19" x14ac:dyDescent="0.35">
      <c r="A156" s="8">
        <v>256779414891</v>
      </c>
      <c r="B156" s="1">
        <v>45842</v>
      </c>
      <c r="C156" t="s">
        <v>261</v>
      </c>
      <c r="D156" t="s">
        <v>542</v>
      </c>
      <c r="E156" t="s">
        <v>19</v>
      </c>
      <c r="F156" t="s">
        <v>63</v>
      </c>
      <c r="G156" s="7"/>
      <c r="H156" s="7">
        <v>32304.5772</v>
      </c>
      <c r="I156" s="7">
        <v>-883797.34270000004</v>
      </c>
      <c r="J156" s="7"/>
      <c r="K156" s="7" t="s">
        <v>543</v>
      </c>
      <c r="L156" s="7" t="s">
        <v>544</v>
      </c>
      <c r="M156" s="7" t="s">
        <v>23</v>
      </c>
      <c r="N156" t="s">
        <v>24</v>
      </c>
      <c r="O156" s="7">
        <f>VLOOKUP(A156,[1]Workings!$M:$U,9,0)</f>
        <v>35546.660000000003</v>
      </c>
      <c r="P156" s="12">
        <f t="shared" si="11"/>
        <v>-3242.0828000000038</v>
      </c>
      <c r="S156">
        <f t="shared" si="12"/>
        <v>-9.1206397450562271</v>
      </c>
    </row>
    <row r="157" spans="1:19" x14ac:dyDescent="0.35">
      <c r="A157" s="8">
        <v>256779414904</v>
      </c>
      <c r="B157" s="1">
        <v>45842</v>
      </c>
      <c r="C157" t="s">
        <v>261</v>
      </c>
      <c r="D157" t="s">
        <v>545</v>
      </c>
      <c r="E157" t="s">
        <v>19</v>
      </c>
      <c r="F157" t="s">
        <v>546</v>
      </c>
      <c r="G157" s="7"/>
      <c r="H157" s="7">
        <v>5869.3548000000001</v>
      </c>
      <c r="I157" s="7">
        <v>-889666.69750000001</v>
      </c>
      <c r="J157" s="7"/>
      <c r="K157" s="7" t="s">
        <v>547</v>
      </c>
      <c r="L157" s="7" t="s">
        <v>548</v>
      </c>
      <c r="M157" s="7" t="s">
        <v>23</v>
      </c>
      <c r="N157" t="s">
        <v>24</v>
      </c>
      <c r="O157" s="7">
        <f>VLOOKUP(A157,[1]Workings!$M:$U,9,0)</f>
        <v>5931.47</v>
      </c>
      <c r="P157" s="12">
        <f t="shared" si="11"/>
        <v>-62.115200000000186</v>
      </c>
      <c r="S157">
        <f t="shared" si="12"/>
        <v>-1.0472142656036392</v>
      </c>
    </row>
    <row r="158" spans="1:19" x14ac:dyDescent="0.35">
      <c r="A158" s="8">
        <v>256779414217</v>
      </c>
      <c r="B158" s="1">
        <v>45812</v>
      </c>
      <c r="C158" t="s">
        <v>261</v>
      </c>
      <c r="D158" t="s">
        <v>549</v>
      </c>
      <c r="E158" t="s">
        <v>19</v>
      </c>
      <c r="F158" t="s">
        <v>453</v>
      </c>
      <c r="G158" s="7"/>
      <c r="H158" s="7">
        <v>6106.6383999999998</v>
      </c>
      <c r="I158" s="7">
        <v>-895773.33589999995</v>
      </c>
      <c r="J158" s="7"/>
      <c r="K158" s="7" t="s">
        <v>550</v>
      </c>
      <c r="L158" s="7" t="s">
        <v>551</v>
      </c>
      <c r="M158" s="7" t="s">
        <v>23</v>
      </c>
      <c r="N158" t="s">
        <v>24</v>
      </c>
      <c r="O158" s="7">
        <f>VLOOKUP(A158,[1]Workings!$M:$U,9,0)</f>
        <v>6134.82</v>
      </c>
      <c r="P158" s="12">
        <f t="shared" si="11"/>
        <v>-28.181599999999889</v>
      </c>
      <c r="S158">
        <f t="shared" si="12"/>
        <v>-0.45937126109649329</v>
      </c>
    </row>
    <row r="159" spans="1:19" x14ac:dyDescent="0.35">
      <c r="A159" s="8">
        <v>256779410136</v>
      </c>
      <c r="B159" s="1">
        <v>45750</v>
      </c>
      <c r="C159" t="s">
        <v>261</v>
      </c>
      <c r="D159" t="s">
        <v>552</v>
      </c>
      <c r="E159" t="s">
        <v>19</v>
      </c>
      <c r="F159" t="s">
        <v>453</v>
      </c>
      <c r="G159" s="7"/>
      <c r="H159" s="7">
        <v>838.37400000000002</v>
      </c>
      <c r="I159" s="7">
        <v>-896611.70990000002</v>
      </c>
      <c r="J159" s="7"/>
      <c r="K159" s="7" t="s">
        <v>553</v>
      </c>
      <c r="L159" s="7" t="s">
        <v>554</v>
      </c>
      <c r="M159" s="7" t="s">
        <v>23</v>
      </c>
      <c r="N159" t="s">
        <v>24</v>
      </c>
      <c r="O159" s="7">
        <f>VLOOKUP(A159,[1]Workings!$M:$U,9,0)</f>
        <v>856.18</v>
      </c>
      <c r="P159" s="12">
        <f t="shared" si="11"/>
        <v>-17.805999999999926</v>
      </c>
      <c r="S159">
        <f t="shared" si="12"/>
        <v>-2.0797028662197117</v>
      </c>
    </row>
    <row r="160" spans="1:19" x14ac:dyDescent="0.35">
      <c r="A160" s="8">
        <v>256779412928</v>
      </c>
      <c r="B160" s="1">
        <v>45770</v>
      </c>
      <c r="C160" t="s">
        <v>261</v>
      </c>
      <c r="D160" t="s">
        <v>555</v>
      </c>
      <c r="E160" t="s">
        <v>19</v>
      </c>
      <c r="F160" t="s">
        <v>453</v>
      </c>
      <c r="G160" s="7"/>
      <c r="H160" s="7">
        <v>1031.5008</v>
      </c>
      <c r="I160" s="7">
        <v>-897643.21070000005</v>
      </c>
      <c r="J160" s="7"/>
      <c r="K160" s="7" t="s">
        <v>556</v>
      </c>
      <c r="L160" s="7" t="s">
        <v>557</v>
      </c>
      <c r="M160" s="7" t="s">
        <v>23</v>
      </c>
      <c r="N160" t="s">
        <v>24</v>
      </c>
      <c r="O160" s="7">
        <f>VLOOKUP(A160,[1]Workings!$M:$U,9,0)</f>
        <v>1053.49</v>
      </c>
      <c r="P160" s="12">
        <f t="shared" si="11"/>
        <v>-21.989199999999983</v>
      </c>
      <c r="S160">
        <f t="shared" si="12"/>
        <v>-2.0872718298227779</v>
      </c>
    </row>
    <row r="161" spans="1:19" x14ac:dyDescent="0.35">
      <c r="A161" s="8">
        <v>256779414879</v>
      </c>
      <c r="B161" s="14">
        <v>45842</v>
      </c>
      <c r="C161" t="s">
        <v>261</v>
      </c>
      <c r="D161" t="s">
        <v>558</v>
      </c>
      <c r="E161" t="s">
        <v>19</v>
      </c>
      <c r="F161" t="s">
        <v>385</v>
      </c>
      <c r="G161" s="7"/>
      <c r="H161" s="7">
        <v>138310.23639999999</v>
      </c>
      <c r="I161" s="7">
        <v>-1035953.4471</v>
      </c>
      <c r="J161" s="7"/>
      <c r="K161" s="7" t="s">
        <v>559</v>
      </c>
      <c r="L161" s="7" t="s">
        <v>560</v>
      </c>
      <c r="M161" s="7" t="s">
        <v>23</v>
      </c>
      <c r="N161" t="s">
        <v>24</v>
      </c>
      <c r="O161" s="7">
        <f>VLOOKUP(A161,[1]Workings!$M:$U,9,0)</f>
        <v>143098.23000000001</v>
      </c>
      <c r="P161" s="12">
        <f t="shared" si="11"/>
        <v>-4787.9936000000162</v>
      </c>
      <c r="Q161" s="12" t="s">
        <v>981</v>
      </c>
      <c r="R161" s="15"/>
      <c r="S161">
        <f t="shared" si="12"/>
        <v>-3.3459488632389207</v>
      </c>
    </row>
    <row r="162" spans="1:19" x14ac:dyDescent="0.35">
      <c r="A162" s="8">
        <v>256779414879</v>
      </c>
      <c r="B162" s="14">
        <v>45842</v>
      </c>
      <c r="C162" t="s">
        <v>261</v>
      </c>
      <c r="D162" t="s">
        <v>561</v>
      </c>
      <c r="E162" t="s">
        <v>19</v>
      </c>
      <c r="F162" t="s">
        <v>63</v>
      </c>
      <c r="G162" s="7"/>
      <c r="H162" s="7">
        <v>3025.5763999999999</v>
      </c>
      <c r="I162" s="7">
        <v>-1038979.0235</v>
      </c>
      <c r="J162" s="7"/>
      <c r="K162" s="7" t="s">
        <v>562</v>
      </c>
      <c r="L162" s="7" t="s">
        <v>563</v>
      </c>
      <c r="M162" s="7" t="s">
        <v>23</v>
      </c>
      <c r="N162" t="s">
        <v>24</v>
      </c>
      <c r="O162" s="7">
        <f>VLOOKUP(A162,[1]Workings!$M:$U,9,0)</f>
        <v>143098.23000000001</v>
      </c>
      <c r="P162" s="12">
        <f t="shared" si="11"/>
        <v>-140072.65360000002</v>
      </c>
      <c r="Q162" s="12" t="s">
        <v>981</v>
      </c>
      <c r="S162">
        <f t="shared" si="12"/>
        <v>-97.885664693406767</v>
      </c>
    </row>
    <row r="163" spans="1:19" x14ac:dyDescent="0.35">
      <c r="A163" s="8"/>
      <c r="B163" s="1">
        <v>45876</v>
      </c>
      <c r="C163" t="s">
        <v>280</v>
      </c>
      <c r="D163" t="s">
        <v>564</v>
      </c>
      <c r="E163" t="s">
        <v>565</v>
      </c>
      <c r="F163" t="s">
        <v>434</v>
      </c>
      <c r="G163" s="7">
        <v>86445.871599999999</v>
      </c>
      <c r="H163" s="7"/>
      <c r="I163" s="7">
        <v>-952533.15190000006</v>
      </c>
      <c r="J163" s="7" t="s">
        <v>566</v>
      </c>
      <c r="K163" s="7"/>
      <c r="L163" s="7" t="s">
        <v>567</v>
      </c>
      <c r="M163" s="7" t="s">
        <v>75</v>
      </c>
      <c r="N163" t="s">
        <v>24</v>
      </c>
      <c r="O163" s="7" t="e">
        <f>VLOOKUP(A163,[1]Workings!$M:$U,9,0)</f>
        <v>#N/A</v>
      </c>
      <c r="P163" s="12" t="e">
        <f t="shared" si="11"/>
        <v>#N/A</v>
      </c>
    </row>
    <row r="164" spans="1:19" x14ac:dyDescent="0.35">
      <c r="A164" s="8"/>
      <c r="B164" s="1">
        <v>45877</v>
      </c>
      <c r="C164" t="s">
        <v>280</v>
      </c>
      <c r="D164" t="s">
        <v>568</v>
      </c>
      <c r="E164" t="s">
        <v>569</v>
      </c>
      <c r="F164" t="s">
        <v>434</v>
      </c>
      <c r="G164" s="7">
        <v>411479.42950000003</v>
      </c>
      <c r="H164" s="7"/>
      <c r="I164" s="7">
        <v>-541053.72239999997</v>
      </c>
      <c r="J164" s="7" t="s">
        <v>570</v>
      </c>
      <c r="K164" s="7"/>
      <c r="L164" s="7" t="s">
        <v>571</v>
      </c>
      <c r="M164" s="7" t="s">
        <v>75</v>
      </c>
      <c r="N164" t="s">
        <v>24</v>
      </c>
      <c r="O164" s="7" t="e">
        <f>VLOOKUP(A164,[1]Workings!$M:$U,9,0)</f>
        <v>#N/A</v>
      </c>
      <c r="P164" s="12" t="e">
        <f t="shared" ref="P164:P223" si="13">H164-O164</f>
        <v>#N/A</v>
      </c>
    </row>
    <row r="165" spans="1:19" x14ac:dyDescent="0.35">
      <c r="A165" s="8">
        <v>256779412101</v>
      </c>
      <c r="B165" s="1">
        <v>45793</v>
      </c>
      <c r="C165" t="s">
        <v>261</v>
      </c>
      <c r="D165" t="s">
        <v>572</v>
      </c>
      <c r="E165" t="s">
        <v>19</v>
      </c>
      <c r="F165" t="s">
        <v>54</v>
      </c>
      <c r="G165" s="7"/>
      <c r="H165" s="7">
        <v>14655.223900000001</v>
      </c>
      <c r="I165" s="7">
        <v>-555708.94629999995</v>
      </c>
      <c r="J165" s="7"/>
      <c r="K165" s="7" t="s">
        <v>573</v>
      </c>
      <c r="L165" s="7" t="s">
        <v>574</v>
      </c>
      <c r="M165" s="7" t="s">
        <v>23</v>
      </c>
      <c r="N165" t="s">
        <v>24</v>
      </c>
      <c r="O165" s="7">
        <f>VLOOKUP(A165,[1]Workings!$M:$U,9,0)</f>
        <v>14925.35</v>
      </c>
      <c r="P165" s="12">
        <f t="shared" si="13"/>
        <v>-270.1260999999995</v>
      </c>
      <c r="S165">
        <f t="shared" ref="S165:S179" si="14">P165/O165*100</f>
        <v>-1.8098476752638932</v>
      </c>
    </row>
    <row r="166" spans="1:19" x14ac:dyDescent="0.35">
      <c r="A166" s="8">
        <v>256779415264</v>
      </c>
      <c r="B166" s="1">
        <v>45842</v>
      </c>
      <c r="C166" t="s">
        <v>261</v>
      </c>
      <c r="D166" t="s">
        <v>575</v>
      </c>
      <c r="E166" t="s">
        <v>19</v>
      </c>
      <c r="F166" t="s">
        <v>54</v>
      </c>
      <c r="G166" s="7"/>
      <c r="H166" s="7">
        <v>79041.919899999994</v>
      </c>
      <c r="I166" s="7">
        <v>-634750.86620000005</v>
      </c>
      <c r="J166" s="7"/>
      <c r="K166" s="7" t="s">
        <v>576</v>
      </c>
      <c r="L166" s="7" t="s">
        <v>577</v>
      </c>
      <c r="M166" s="7" t="s">
        <v>23</v>
      </c>
      <c r="N166" t="s">
        <v>24</v>
      </c>
      <c r="O166" s="7">
        <f>VLOOKUP(A166,[1]Workings!$M:$U,9,0)</f>
        <v>79646.080000000002</v>
      </c>
      <c r="P166" s="12">
        <f t="shared" si="13"/>
        <v>-604.16010000000824</v>
      </c>
      <c r="S166">
        <f t="shared" si="14"/>
        <v>-0.75855597664066854</v>
      </c>
    </row>
    <row r="167" spans="1:19" x14ac:dyDescent="0.35">
      <c r="A167" s="8">
        <v>256779415996</v>
      </c>
      <c r="B167" s="1">
        <v>45863</v>
      </c>
      <c r="C167" t="s">
        <v>261</v>
      </c>
      <c r="D167" t="s">
        <v>578</v>
      </c>
      <c r="E167" t="s">
        <v>19</v>
      </c>
      <c r="F167" t="s">
        <v>54</v>
      </c>
      <c r="G167" s="7"/>
      <c r="H167" s="7">
        <v>63294.9784</v>
      </c>
      <c r="I167" s="7">
        <v>-698045.84459999995</v>
      </c>
      <c r="J167" s="7"/>
      <c r="K167" s="7" t="s">
        <v>579</v>
      </c>
      <c r="L167" s="7" t="s">
        <v>580</v>
      </c>
      <c r="M167" s="7" t="s">
        <v>23</v>
      </c>
      <c r="N167" t="s">
        <v>24</v>
      </c>
      <c r="O167" s="7">
        <f>VLOOKUP(A167,[1]Workings!$M:$U,9,0)</f>
        <v>64980.39</v>
      </c>
      <c r="P167" s="12">
        <f t="shared" si="13"/>
        <v>-1685.4115999999995</v>
      </c>
      <c r="S167">
        <f t="shared" si="14"/>
        <v>-2.5937234294838789</v>
      </c>
    </row>
    <row r="168" spans="1:19" x14ac:dyDescent="0.35">
      <c r="A168" s="8">
        <v>256779415482</v>
      </c>
      <c r="B168" s="14">
        <v>45856</v>
      </c>
      <c r="C168" t="s">
        <v>261</v>
      </c>
      <c r="D168" t="s">
        <v>581</v>
      </c>
      <c r="E168" t="s">
        <v>19</v>
      </c>
      <c r="F168" t="s">
        <v>385</v>
      </c>
      <c r="G168" s="7"/>
      <c r="H168" s="7">
        <v>71830.685800000007</v>
      </c>
      <c r="I168" s="7">
        <v>-769876.53040000005</v>
      </c>
      <c r="J168" s="7"/>
      <c r="K168" s="7" t="s">
        <v>582</v>
      </c>
      <c r="L168" s="7" t="s">
        <v>583</v>
      </c>
      <c r="M168" s="7" t="s">
        <v>23</v>
      </c>
      <c r="N168" t="s">
        <v>24</v>
      </c>
      <c r="O168" s="7">
        <f>VLOOKUP(A168,[1]Workings!$M:$U,9,0)</f>
        <v>74044</v>
      </c>
      <c r="P168" s="12">
        <f t="shared" si="13"/>
        <v>-2213.3141999999934</v>
      </c>
      <c r="Q168" s="12" t="s">
        <v>981</v>
      </c>
      <c r="S168">
        <f t="shared" si="14"/>
        <v>-2.9891877802387681</v>
      </c>
    </row>
    <row r="169" spans="1:19" x14ac:dyDescent="0.35">
      <c r="A169" s="8">
        <v>256779415482</v>
      </c>
      <c r="B169" s="14">
        <v>45856</v>
      </c>
      <c r="C169" t="s">
        <v>261</v>
      </c>
      <c r="D169" t="s">
        <v>584</v>
      </c>
      <c r="E169" t="s">
        <v>19</v>
      </c>
      <c r="F169" t="s">
        <v>63</v>
      </c>
      <c r="G169" s="7"/>
      <c r="H169" s="7">
        <v>1516.1914999999999</v>
      </c>
      <c r="I169" s="7">
        <v>-771392.7219</v>
      </c>
      <c r="J169" s="7"/>
      <c r="K169" s="7" t="s">
        <v>585</v>
      </c>
      <c r="L169" s="7" t="s">
        <v>586</v>
      </c>
      <c r="M169" s="7" t="s">
        <v>23</v>
      </c>
      <c r="N169" t="s">
        <v>24</v>
      </c>
      <c r="O169" s="7">
        <f>VLOOKUP(A169,[1]Workings!$M:$U,9,0)</f>
        <v>74044</v>
      </c>
      <c r="P169" s="12">
        <f t="shared" si="13"/>
        <v>-72527.808499999999</v>
      </c>
      <c r="Q169" s="12" t="s">
        <v>981</v>
      </c>
      <c r="S169">
        <f t="shared" si="14"/>
        <v>-97.952310112905835</v>
      </c>
    </row>
    <row r="170" spans="1:19" x14ac:dyDescent="0.35">
      <c r="A170" s="8">
        <v>256779415701</v>
      </c>
      <c r="B170" s="1">
        <v>45856</v>
      </c>
      <c r="C170" t="s">
        <v>261</v>
      </c>
      <c r="D170" t="s">
        <v>587</v>
      </c>
      <c r="E170" t="s">
        <v>19</v>
      </c>
      <c r="F170" t="s">
        <v>385</v>
      </c>
      <c r="G170" s="7"/>
      <c r="H170" s="7">
        <v>56058.2</v>
      </c>
      <c r="I170" s="7">
        <v>-827450.92189999996</v>
      </c>
      <c r="J170" s="7"/>
      <c r="K170" s="7" t="s">
        <v>588</v>
      </c>
      <c r="L170" s="7" t="s">
        <v>589</v>
      </c>
      <c r="M170" s="7" t="s">
        <v>23</v>
      </c>
      <c r="N170" t="s">
        <v>24</v>
      </c>
      <c r="O170" s="7">
        <f>VLOOKUP(A170,[1]Workings!$M:$U,9,0)</f>
        <v>56760.44</v>
      </c>
      <c r="P170" s="12">
        <f t="shared" si="13"/>
        <v>-702.24000000000524</v>
      </c>
      <c r="S170">
        <f t="shared" si="14"/>
        <v>-1.2371997116301516</v>
      </c>
    </row>
    <row r="171" spans="1:19" x14ac:dyDescent="0.35">
      <c r="A171" s="8">
        <v>256779416012</v>
      </c>
      <c r="B171" s="1">
        <v>45863</v>
      </c>
      <c r="C171" t="s">
        <v>261</v>
      </c>
      <c r="D171" t="s">
        <v>590</v>
      </c>
      <c r="E171" t="s">
        <v>19</v>
      </c>
      <c r="F171" t="s">
        <v>54</v>
      </c>
      <c r="G171" s="7"/>
      <c r="H171" s="7">
        <v>8494</v>
      </c>
      <c r="I171" s="7">
        <v>-835944.92189999996</v>
      </c>
      <c r="J171" s="7"/>
      <c r="K171" s="7" t="s">
        <v>216</v>
      </c>
      <c r="L171" s="7" t="s">
        <v>591</v>
      </c>
      <c r="M171" s="7" t="s">
        <v>23</v>
      </c>
      <c r="N171" t="s">
        <v>24</v>
      </c>
      <c r="O171" s="7">
        <f>VLOOKUP(A171,[1]Workings!$M:$U,9,0)</f>
        <v>8600.07</v>
      </c>
      <c r="P171" s="12">
        <f t="shared" si="13"/>
        <v>-106.06999999999971</v>
      </c>
      <c r="S171">
        <f t="shared" si="14"/>
        <v>-1.2333620540297896</v>
      </c>
    </row>
    <row r="172" spans="1:19" x14ac:dyDescent="0.35">
      <c r="A172" s="8">
        <v>256779415432</v>
      </c>
      <c r="B172" s="1">
        <v>45856</v>
      </c>
      <c r="C172" t="s">
        <v>261</v>
      </c>
      <c r="D172" t="s">
        <v>592</v>
      </c>
      <c r="E172" t="s">
        <v>19</v>
      </c>
      <c r="F172" t="s">
        <v>54</v>
      </c>
      <c r="G172" s="7"/>
      <c r="H172" s="7">
        <v>25195.788799999998</v>
      </c>
      <c r="I172" s="7">
        <v>-861140.71070000005</v>
      </c>
      <c r="J172" s="7"/>
      <c r="K172" s="7" t="s">
        <v>593</v>
      </c>
      <c r="L172" s="7" t="s">
        <v>594</v>
      </c>
      <c r="M172" s="7" t="s">
        <v>23</v>
      </c>
      <c r="N172" t="s">
        <v>24</v>
      </c>
      <c r="O172" s="7">
        <f>VLOOKUP(A172,[1]Workings!$M:$U,9,0)</f>
        <v>25511.24</v>
      </c>
      <c r="P172" s="12">
        <f t="shared" si="13"/>
        <v>-315.45120000000315</v>
      </c>
      <c r="S172">
        <f t="shared" si="14"/>
        <v>-1.2365184914571112</v>
      </c>
    </row>
    <row r="173" spans="1:19" x14ac:dyDescent="0.35">
      <c r="A173" s="8">
        <v>256779413144</v>
      </c>
      <c r="B173" s="1">
        <v>45787</v>
      </c>
      <c r="C173" t="s">
        <v>261</v>
      </c>
      <c r="D173" t="s">
        <v>595</v>
      </c>
      <c r="E173" t="s">
        <v>19</v>
      </c>
      <c r="F173" t="s">
        <v>30</v>
      </c>
      <c r="G173" s="7"/>
      <c r="H173" s="7">
        <v>89577.395799999998</v>
      </c>
      <c r="I173" s="7">
        <v>-950718.10649999999</v>
      </c>
      <c r="J173" s="7"/>
      <c r="K173" s="7" t="s">
        <v>596</v>
      </c>
      <c r="L173" s="7" t="s">
        <v>597</v>
      </c>
      <c r="M173" s="7" t="s">
        <v>23</v>
      </c>
      <c r="N173" t="s">
        <v>24</v>
      </c>
      <c r="O173" s="7">
        <f>VLOOKUP(A173,[1]Workings!$M:$U,9,0)</f>
        <v>100000</v>
      </c>
      <c r="P173" s="12">
        <f t="shared" si="13"/>
        <v>-10422.604200000002</v>
      </c>
      <c r="S173">
        <f t="shared" si="14"/>
        <v>-10.422604200000002</v>
      </c>
    </row>
    <row r="174" spans="1:19" x14ac:dyDescent="0.35">
      <c r="A174" s="8">
        <v>256779416027</v>
      </c>
      <c r="B174" s="1">
        <v>45870</v>
      </c>
      <c r="C174" t="s">
        <v>261</v>
      </c>
      <c r="D174" t="s">
        <v>598</v>
      </c>
      <c r="E174" t="s">
        <v>19</v>
      </c>
      <c r="F174" t="s">
        <v>46</v>
      </c>
      <c r="G174" s="7"/>
      <c r="H174" s="7">
        <v>35025.015500000001</v>
      </c>
      <c r="I174" s="7">
        <v>-985743.12199999997</v>
      </c>
      <c r="J174" s="7"/>
      <c r="K174" s="7" t="s">
        <v>599</v>
      </c>
      <c r="L174" s="7" t="s">
        <v>600</v>
      </c>
      <c r="M174" s="7" t="s">
        <v>23</v>
      </c>
      <c r="N174" t="s">
        <v>24</v>
      </c>
      <c r="O174" s="7">
        <f>VLOOKUP(A174,[1]Workings!$M:$U,9,0)</f>
        <v>35000</v>
      </c>
      <c r="P174" s="12">
        <f t="shared" si="13"/>
        <v>25.015500000001339</v>
      </c>
      <c r="S174">
        <f t="shared" si="14"/>
        <v>7.1472857142860974E-2</v>
      </c>
    </row>
    <row r="175" spans="1:19" x14ac:dyDescent="0.35">
      <c r="A175" s="8">
        <v>256779416026</v>
      </c>
      <c r="B175" s="1">
        <v>45870</v>
      </c>
      <c r="C175" t="s">
        <v>261</v>
      </c>
      <c r="D175" t="s">
        <v>601</v>
      </c>
      <c r="E175" t="s">
        <v>19</v>
      </c>
      <c r="F175" t="s">
        <v>30</v>
      </c>
      <c r="G175" s="7"/>
      <c r="H175" s="7">
        <v>91903.082999999999</v>
      </c>
      <c r="I175" s="7">
        <v>-1077646.2050000001</v>
      </c>
      <c r="J175" s="7"/>
      <c r="K175" s="7" t="s">
        <v>602</v>
      </c>
      <c r="L175" s="7" t="s">
        <v>603</v>
      </c>
      <c r="M175" s="7" t="s">
        <v>23</v>
      </c>
      <c r="N175" t="s">
        <v>24</v>
      </c>
      <c r="O175" s="7">
        <f>VLOOKUP(A175,[1]Workings!$M:$U,9,0)</f>
        <v>100000</v>
      </c>
      <c r="P175" s="12">
        <f t="shared" si="13"/>
        <v>-8096.9170000000013</v>
      </c>
      <c r="S175">
        <f t="shared" si="14"/>
        <v>-8.0969170000000013</v>
      </c>
    </row>
    <row r="176" spans="1:19" x14ac:dyDescent="0.35">
      <c r="A176" s="8">
        <v>256779416224</v>
      </c>
      <c r="B176" s="1">
        <v>45877</v>
      </c>
      <c r="C176" t="s">
        <v>261</v>
      </c>
      <c r="D176" t="s">
        <v>604</v>
      </c>
      <c r="E176" t="s">
        <v>19</v>
      </c>
      <c r="F176" t="s">
        <v>453</v>
      </c>
      <c r="G176" s="7"/>
      <c r="H176" s="7">
        <v>26217.960500000001</v>
      </c>
      <c r="I176" s="7">
        <v>-1103864.1654999999</v>
      </c>
      <c r="J176" s="7"/>
      <c r="K176" s="7" t="s">
        <v>605</v>
      </c>
      <c r="L176" s="7" t="s">
        <v>606</v>
      </c>
      <c r="M176" s="7" t="s">
        <v>23</v>
      </c>
      <c r="N176" t="s">
        <v>24</v>
      </c>
      <c r="O176" s="7">
        <f>VLOOKUP(A176,[1]Workings!$M:$U,9,0)</f>
        <v>26198.75</v>
      </c>
      <c r="P176" s="12">
        <f t="shared" si="13"/>
        <v>19.210500000001048</v>
      </c>
      <c r="S176">
        <f t="shared" si="14"/>
        <v>7.3326017462669202E-2</v>
      </c>
    </row>
    <row r="177" spans="1:19" x14ac:dyDescent="0.35">
      <c r="A177" s="8">
        <v>256779416445</v>
      </c>
      <c r="B177" s="1">
        <v>45877</v>
      </c>
      <c r="C177" t="s">
        <v>261</v>
      </c>
      <c r="D177" t="s">
        <v>607</v>
      </c>
      <c r="E177" t="s">
        <v>19</v>
      </c>
      <c r="F177" t="s">
        <v>54</v>
      </c>
      <c r="G177" s="7"/>
      <c r="H177" s="7">
        <v>50518.501499999998</v>
      </c>
      <c r="I177" s="7">
        <v>-1154382.6669999999</v>
      </c>
      <c r="J177" s="7"/>
      <c r="K177" s="7" t="s">
        <v>608</v>
      </c>
      <c r="L177" s="7" t="s">
        <v>609</v>
      </c>
      <c r="M177" s="7" t="s">
        <v>23</v>
      </c>
      <c r="N177" t="s">
        <v>24</v>
      </c>
      <c r="O177" s="7">
        <f>VLOOKUP(A177,[1]Workings!$M:$U,9,0)</f>
        <v>50481.61</v>
      </c>
      <c r="P177" s="12">
        <f t="shared" si="13"/>
        <v>36.891499999997905</v>
      </c>
      <c r="S177">
        <f t="shared" si="14"/>
        <v>7.3079087612296645E-2</v>
      </c>
    </row>
    <row r="178" spans="1:19" x14ac:dyDescent="0.35">
      <c r="A178" s="8">
        <v>256779416179</v>
      </c>
      <c r="B178" s="14">
        <v>45877</v>
      </c>
      <c r="C178" t="s">
        <v>261</v>
      </c>
      <c r="D178" t="s">
        <v>610</v>
      </c>
      <c r="E178" t="s">
        <v>19</v>
      </c>
      <c r="F178" t="s">
        <v>385</v>
      </c>
      <c r="G178" s="7"/>
      <c r="H178" s="7">
        <v>231074.27849999999</v>
      </c>
      <c r="I178" s="7">
        <v>-1385456.9454999999</v>
      </c>
      <c r="J178" s="7"/>
      <c r="K178" s="7" t="s">
        <v>611</v>
      </c>
      <c r="L178" s="7" t="s">
        <v>612</v>
      </c>
      <c r="M178" s="7" t="s">
        <v>23</v>
      </c>
      <c r="N178" t="s">
        <v>24</v>
      </c>
      <c r="O178" s="7">
        <f>VLOOKUP(A178,[1]Workings!$M:$U,9,0)</f>
        <v>239786.59</v>
      </c>
      <c r="P178" s="12">
        <f t="shared" si="13"/>
        <v>-8712.3115000000107</v>
      </c>
      <c r="Q178" s="12" t="s">
        <v>981</v>
      </c>
      <c r="S178">
        <f t="shared" si="14"/>
        <v>-3.6333606061957053</v>
      </c>
    </row>
    <row r="179" spans="1:19" x14ac:dyDescent="0.35">
      <c r="A179" s="8">
        <v>256779416179</v>
      </c>
      <c r="B179" s="14">
        <v>45877</v>
      </c>
      <c r="C179" t="s">
        <v>261</v>
      </c>
      <c r="D179" t="s">
        <v>613</v>
      </c>
      <c r="E179" t="s">
        <v>19</v>
      </c>
      <c r="F179" t="s">
        <v>63</v>
      </c>
      <c r="G179" s="7"/>
      <c r="H179" s="7">
        <v>8161.7555000000002</v>
      </c>
      <c r="I179" s="7">
        <v>-1393618.7009999999</v>
      </c>
      <c r="J179" s="7"/>
      <c r="K179" s="7" t="s">
        <v>614</v>
      </c>
      <c r="L179" s="7" t="s">
        <v>615</v>
      </c>
      <c r="M179" s="7" t="s">
        <v>23</v>
      </c>
      <c r="N179" t="s">
        <v>24</v>
      </c>
      <c r="O179" s="7">
        <f>VLOOKUP(A179,[1]Workings!$M:$U,9,0)</f>
        <v>239786.59</v>
      </c>
      <c r="P179" s="12">
        <f t="shared" si="13"/>
        <v>-231624.8345</v>
      </c>
      <c r="Q179" s="12" t="s">
        <v>981</v>
      </c>
      <c r="S179">
        <f t="shared" si="14"/>
        <v>-96.596241891592015</v>
      </c>
    </row>
    <row r="180" spans="1:19" x14ac:dyDescent="0.35">
      <c r="A180" s="8"/>
      <c r="B180" s="1">
        <v>45910</v>
      </c>
      <c r="C180" t="s">
        <v>280</v>
      </c>
      <c r="D180" t="s">
        <v>616</v>
      </c>
      <c r="E180" t="s">
        <v>617</v>
      </c>
      <c r="F180" t="s">
        <v>434</v>
      </c>
      <c r="G180" s="7">
        <v>256553.8652</v>
      </c>
      <c r="H180" s="7"/>
      <c r="I180" s="7">
        <v>-1137064.8358</v>
      </c>
      <c r="J180" s="7" t="s">
        <v>618</v>
      </c>
      <c r="K180" s="7"/>
      <c r="L180" s="7" t="s">
        <v>619</v>
      </c>
      <c r="M180" s="7" t="s">
        <v>75</v>
      </c>
      <c r="N180" t="s">
        <v>24</v>
      </c>
      <c r="O180" s="7" t="e">
        <f>VLOOKUP(A180,[1]Workings!$M:$U,9,0)</f>
        <v>#N/A</v>
      </c>
      <c r="P180" s="12" t="e">
        <f t="shared" si="13"/>
        <v>#N/A</v>
      </c>
    </row>
    <row r="181" spans="1:19" x14ac:dyDescent="0.35">
      <c r="A181" s="8"/>
      <c r="B181" s="1">
        <v>45910</v>
      </c>
      <c r="C181" t="s">
        <v>280</v>
      </c>
      <c r="D181" t="s">
        <v>620</v>
      </c>
      <c r="E181" t="s">
        <v>621</v>
      </c>
      <c r="F181" t="s">
        <v>434</v>
      </c>
      <c r="G181" s="7">
        <v>409664.38410000002</v>
      </c>
      <c r="H181" s="7"/>
      <c r="I181" s="7">
        <v>-727400.45169999998</v>
      </c>
      <c r="J181" s="7" t="s">
        <v>622</v>
      </c>
      <c r="K181" s="7"/>
      <c r="L181" s="7" t="s">
        <v>623</v>
      </c>
      <c r="M181" s="7" t="s">
        <v>75</v>
      </c>
      <c r="N181" t="s">
        <v>24</v>
      </c>
      <c r="O181" s="7" t="e">
        <f>VLOOKUP(A181,[1]Workings!$M:$U,9,0)</f>
        <v>#N/A</v>
      </c>
      <c r="P181" s="12" t="e">
        <f t="shared" si="13"/>
        <v>#N/A</v>
      </c>
    </row>
    <row r="182" spans="1:19" x14ac:dyDescent="0.35">
      <c r="A182" s="8"/>
      <c r="B182" s="1">
        <v>45916</v>
      </c>
      <c r="C182" t="s">
        <v>280</v>
      </c>
      <c r="D182" t="s">
        <v>624</v>
      </c>
      <c r="E182" t="s">
        <v>625</v>
      </c>
      <c r="F182" t="s">
        <v>434</v>
      </c>
      <c r="G182" s="7">
        <v>442900.59450000001</v>
      </c>
      <c r="H182" s="7"/>
      <c r="I182" s="7">
        <v>-284499.85720000003</v>
      </c>
      <c r="J182" s="7" t="s">
        <v>626</v>
      </c>
      <c r="K182" s="7"/>
      <c r="L182" s="7" t="s">
        <v>627</v>
      </c>
      <c r="M182" s="7" t="s">
        <v>75</v>
      </c>
      <c r="N182" t="s">
        <v>24</v>
      </c>
      <c r="O182" s="7" t="e">
        <f>VLOOKUP(A182,[1]Workings!$M:$U,9,0)</f>
        <v>#N/A</v>
      </c>
      <c r="P182" s="12" t="e">
        <f t="shared" si="13"/>
        <v>#N/A</v>
      </c>
    </row>
    <row r="183" spans="1:19" x14ac:dyDescent="0.35">
      <c r="A183" s="8"/>
      <c r="B183" s="1">
        <v>45916</v>
      </c>
      <c r="C183" t="s">
        <v>280</v>
      </c>
      <c r="D183" t="s">
        <v>628</v>
      </c>
      <c r="E183" t="s">
        <v>629</v>
      </c>
      <c r="F183" t="s">
        <v>434</v>
      </c>
      <c r="G183" s="7">
        <v>284790.76160000003</v>
      </c>
      <c r="H183" s="7"/>
      <c r="I183" s="7">
        <v>290.90440000000001</v>
      </c>
      <c r="J183" s="7" t="s">
        <v>630</v>
      </c>
      <c r="K183" s="7"/>
      <c r="L183" s="7" t="s">
        <v>366</v>
      </c>
      <c r="M183" s="7" t="s">
        <v>75</v>
      </c>
      <c r="N183" t="s">
        <v>24</v>
      </c>
      <c r="O183" s="7" t="e">
        <f>VLOOKUP(A183,[1]Workings!$M:$U,9,0)</f>
        <v>#N/A</v>
      </c>
      <c r="P183" s="12" t="e">
        <f t="shared" si="13"/>
        <v>#N/A</v>
      </c>
    </row>
    <row r="184" spans="1:19" x14ac:dyDescent="0.35">
      <c r="A184" s="8">
        <v>256779413358</v>
      </c>
      <c r="B184" s="1">
        <v>45793</v>
      </c>
      <c r="C184" t="s">
        <v>261</v>
      </c>
      <c r="D184" t="s">
        <v>631</v>
      </c>
      <c r="E184" t="s">
        <v>19</v>
      </c>
      <c r="F184" t="s">
        <v>453</v>
      </c>
      <c r="G184" s="7"/>
      <c r="H184" s="7">
        <v>1747.1537000000001</v>
      </c>
      <c r="I184" s="7">
        <v>-1456.2492999999999</v>
      </c>
      <c r="J184" s="7"/>
      <c r="K184" s="7" t="s">
        <v>632</v>
      </c>
      <c r="L184" s="7" t="s">
        <v>633</v>
      </c>
      <c r="M184" s="7" t="s">
        <v>23</v>
      </c>
      <c r="N184" t="s">
        <v>24</v>
      </c>
      <c r="O184" s="7">
        <f>VLOOKUP(A184,[1]Workings!$M:$U,9,0)</f>
        <v>1729.13</v>
      </c>
      <c r="P184" s="12">
        <f t="shared" si="13"/>
        <v>18.023699999999963</v>
      </c>
      <c r="S184">
        <f t="shared" ref="S184:S206" si="15">P184/O184*100</f>
        <v>1.0423565608138174</v>
      </c>
    </row>
    <row r="185" spans="1:19" x14ac:dyDescent="0.35">
      <c r="A185" s="8">
        <v>256779413487</v>
      </c>
      <c r="B185" s="1">
        <v>45797</v>
      </c>
      <c r="C185" t="s">
        <v>261</v>
      </c>
      <c r="D185" t="s">
        <v>634</v>
      </c>
      <c r="E185" t="s">
        <v>19</v>
      </c>
      <c r="F185" t="s">
        <v>453</v>
      </c>
      <c r="G185" s="7"/>
      <c r="H185" s="7">
        <v>8506.7929999999997</v>
      </c>
      <c r="I185" s="7">
        <v>-9963.0422999999992</v>
      </c>
      <c r="J185" s="7"/>
      <c r="K185" s="7" t="s">
        <v>635</v>
      </c>
      <c r="L185" s="7" t="s">
        <v>636</v>
      </c>
      <c r="M185" s="7" t="s">
        <v>23</v>
      </c>
      <c r="N185" t="s">
        <v>24</v>
      </c>
      <c r="O185" s="7">
        <f>VLOOKUP(A185,[1]Workings!$M:$U,9,0)</f>
        <v>8417.7999999999993</v>
      </c>
      <c r="P185" s="12">
        <f t="shared" si="13"/>
        <v>88.993000000000393</v>
      </c>
      <c r="S185">
        <f t="shared" si="15"/>
        <v>1.0572002185844329</v>
      </c>
    </row>
    <row r="186" spans="1:19" x14ac:dyDescent="0.35">
      <c r="A186" s="8">
        <v>256779416879</v>
      </c>
      <c r="B186" s="1">
        <v>45889</v>
      </c>
      <c r="C186" t="s">
        <v>261</v>
      </c>
      <c r="D186" t="s">
        <v>637</v>
      </c>
      <c r="E186" t="s">
        <v>19</v>
      </c>
      <c r="F186" t="s">
        <v>453</v>
      </c>
      <c r="G186" s="7"/>
      <c r="H186" s="7">
        <v>7311.6938</v>
      </c>
      <c r="I186" s="7">
        <v>-17274.736099999998</v>
      </c>
      <c r="J186" s="7"/>
      <c r="K186" s="7" t="s">
        <v>638</v>
      </c>
      <c r="L186" s="7" t="s">
        <v>639</v>
      </c>
      <c r="M186" s="7" t="s">
        <v>23</v>
      </c>
      <c r="N186" t="s">
        <v>24</v>
      </c>
      <c r="O186" s="7">
        <f>VLOOKUP(A186,[1]Workings!$M:$U,9,0)</f>
        <v>7238.57</v>
      </c>
      <c r="P186" s="12">
        <f t="shared" si="13"/>
        <v>73.123800000000301</v>
      </c>
      <c r="S186">
        <f t="shared" si="15"/>
        <v>1.010196765383222</v>
      </c>
    </row>
    <row r="187" spans="1:19" x14ac:dyDescent="0.35">
      <c r="A187" s="8">
        <v>256779416845</v>
      </c>
      <c r="B187" s="1">
        <v>45889</v>
      </c>
      <c r="C187" t="s">
        <v>261</v>
      </c>
      <c r="D187" t="s">
        <v>640</v>
      </c>
      <c r="E187" t="s">
        <v>19</v>
      </c>
      <c r="F187" t="s">
        <v>385</v>
      </c>
      <c r="G187" s="7"/>
      <c r="H187" s="7">
        <v>42795.2016</v>
      </c>
      <c r="I187" s="7">
        <v>-60069.937700000002</v>
      </c>
      <c r="J187" s="7"/>
      <c r="K187" s="7" t="s">
        <v>641</v>
      </c>
      <c r="L187" s="7" t="s">
        <v>642</v>
      </c>
      <c r="M187" s="7" t="s">
        <v>23</v>
      </c>
      <c r="N187" t="s">
        <v>24</v>
      </c>
      <c r="O187" s="7">
        <f>VLOOKUP(A187,[1]Workings!$M:$U,9,0)</f>
        <v>42368.11</v>
      </c>
      <c r="P187" s="12">
        <f t="shared" si="13"/>
        <v>427.09159999999974</v>
      </c>
      <c r="S187">
        <f t="shared" si="15"/>
        <v>1.0080496864268897</v>
      </c>
    </row>
    <row r="188" spans="1:19" x14ac:dyDescent="0.35">
      <c r="A188" s="8">
        <v>256779413313</v>
      </c>
      <c r="B188" s="1">
        <v>45793</v>
      </c>
      <c r="C188" t="s">
        <v>261</v>
      </c>
      <c r="D188" t="s">
        <v>643</v>
      </c>
      <c r="E188" t="s">
        <v>19</v>
      </c>
      <c r="F188" t="s">
        <v>453</v>
      </c>
      <c r="G188" s="7"/>
      <c r="H188" s="7">
        <v>7472.62</v>
      </c>
      <c r="I188" s="7">
        <v>-67542.557700000005</v>
      </c>
      <c r="J188" s="7"/>
      <c r="K188" s="7" t="s">
        <v>644</v>
      </c>
      <c r="L188" s="7" t="s">
        <v>645</v>
      </c>
      <c r="M188" s="7" t="s">
        <v>23</v>
      </c>
      <c r="N188" t="s">
        <v>24</v>
      </c>
      <c r="O188" s="7">
        <f>VLOOKUP(A188,[1]Workings!$M:$U,9,0)</f>
        <v>7394.6</v>
      </c>
      <c r="P188" s="12">
        <f t="shared" si="13"/>
        <v>78.019999999999527</v>
      </c>
      <c r="S188">
        <f t="shared" si="15"/>
        <v>1.0550942579720273</v>
      </c>
    </row>
    <row r="189" spans="1:19" x14ac:dyDescent="0.35">
      <c r="A189" s="8">
        <v>256779416515</v>
      </c>
      <c r="B189" s="1">
        <v>45877</v>
      </c>
      <c r="C189" t="s">
        <v>261</v>
      </c>
      <c r="D189" t="s">
        <v>646</v>
      </c>
      <c r="E189" t="s">
        <v>19</v>
      </c>
      <c r="F189" t="s">
        <v>54</v>
      </c>
      <c r="G189" s="7"/>
      <c r="H189" s="7">
        <v>34496.2166</v>
      </c>
      <c r="I189" s="7">
        <v>-102038.7743</v>
      </c>
      <c r="J189" s="7"/>
      <c r="K189" s="7" t="s">
        <v>647</v>
      </c>
      <c r="L189" s="7" t="s">
        <v>648</v>
      </c>
      <c r="M189" s="7" t="s">
        <v>23</v>
      </c>
      <c r="N189" t="s">
        <v>24</v>
      </c>
      <c r="O189" s="7">
        <f>VLOOKUP(A189,[1]Workings!$M:$U,9,0)</f>
        <v>34152.239999999998</v>
      </c>
      <c r="P189" s="12">
        <f t="shared" si="13"/>
        <v>343.97660000000178</v>
      </c>
      <c r="S189">
        <f t="shared" si="15"/>
        <v>1.0071860586597008</v>
      </c>
    </row>
    <row r="190" spans="1:19" x14ac:dyDescent="0.35">
      <c r="A190" s="8">
        <v>256779416141</v>
      </c>
      <c r="B190" s="1">
        <v>45877</v>
      </c>
      <c r="C190" t="s">
        <v>261</v>
      </c>
      <c r="D190" t="s">
        <v>649</v>
      </c>
      <c r="E190" t="s">
        <v>19</v>
      </c>
      <c r="F190" t="s">
        <v>546</v>
      </c>
      <c r="G190" s="7"/>
      <c r="H190" s="7">
        <v>25992.970399999998</v>
      </c>
      <c r="I190" s="7">
        <v>-128031.7447</v>
      </c>
      <c r="J190" s="7"/>
      <c r="K190" s="7" t="s">
        <v>650</v>
      </c>
      <c r="L190" s="7" t="s">
        <v>651</v>
      </c>
      <c r="M190" s="7" t="s">
        <v>23</v>
      </c>
      <c r="N190" t="s">
        <v>24</v>
      </c>
      <c r="O190" s="7">
        <f>VLOOKUP(A190,[1]Workings!$M:$U,9,0)</f>
        <v>25733.33</v>
      </c>
      <c r="P190" s="12">
        <f t="shared" si="13"/>
        <v>259.64039999999659</v>
      </c>
      <c r="S190">
        <f t="shared" si="15"/>
        <v>1.0089654156690819</v>
      </c>
    </row>
    <row r="191" spans="1:19" x14ac:dyDescent="0.35">
      <c r="A191" s="8">
        <v>256779413145</v>
      </c>
      <c r="B191" s="1">
        <v>45787</v>
      </c>
      <c r="C191" t="s">
        <v>261</v>
      </c>
      <c r="D191" t="s">
        <v>652</v>
      </c>
      <c r="E191" t="s">
        <v>19</v>
      </c>
      <c r="F191" t="s">
        <v>30</v>
      </c>
      <c r="G191" s="7"/>
      <c r="H191" s="7">
        <v>32484.123500000002</v>
      </c>
      <c r="I191" s="7">
        <v>-160515.8682</v>
      </c>
      <c r="J191" s="7"/>
      <c r="K191" s="7" t="s">
        <v>653</v>
      </c>
      <c r="L191" s="7" t="s">
        <v>654</v>
      </c>
      <c r="M191" s="7" t="s">
        <v>23</v>
      </c>
      <c r="N191" t="s">
        <v>24</v>
      </c>
      <c r="O191" s="7">
        <f>VLOOKUP(A191,[1]Workings!$M:$U,9,0)</f>
        <v>35000</v>
      </c>
      <c r="P191" s="12">
        <f t="shared" si="13"/>
        <v>-2515.8764999999985</v>
      </c>
      <c r="S191">
        <f t="shared" si="15"/>
        <v>-7.1882185714285676</v>
      </c>
    </row>
    <row r="192" spans="1:19" x14ac:dyDescent="0.35">
      <c r="A192" s="8">
        <v>256779416817</v>
      </c>
      <c r="B192" s="1">
        <v>45889</v>
      </c>
      <c r="C192" t="s">
        <v>261</v>
      </c>
      <c r="D192" t="s">
        <v>655</v>
      </c>
      <c r="E192" t="s">
        <v>19</v>
      </c>
      <c r="F192" t="s">
        <v>385</v>
      </c>
      <c r="G192" s="7"/>
      <c r="H192" s="7">
        <v>15641.6</v>
      </c>
      <c r="I192" s="7">
        <v>-176157.4682</v>
      </c>
      <c r="J192" s="7"/>
      <c r="K192" s="7" t="s">
        <v>656</v>
      </c>
      <c r="L192" s="7" t="s">
        <v>657</v>
      </c>
      <c r="M192" s="7" t="s">
        <v>23</v>
      </c>
      <c r="N192" t="s">
        <v>24</v>
      </c>
      <c r="O192" s="7">
        <f>VLOOKUP(A192,[1]Workings!$M:$U,9,0)</f>
        <v>15485.42</v>
      </c>
      <c r="P192" s="12">
        <f t="shared" si="13"/>
        <v>156.18000000000029</v>
      </c>
      <c r="S192">
        <f t="shared" si="15"/>
        <v>1.0085616018164201</v>
      </c>
    </row>
    <row r="193" spans="1:19" x14ac:dyDescent="0.35">
      <c r="A193" s="8">
        <v>256779417161</v>
      </c>
      <c r="B193" s="1">
        <v>45904</v>
      </c>
      <c r="C193" t="s">
        <v>261</v>
      </c>
      <c r="D193" t="s">
        <v>659</v>
      </c>
      <c r="E193" t="s">
        <v>19</v>
      </c>
      <c r="F193" t="s">
        <v>54</v>
      </c>
      <c r="G193" s="7"/>
      <c r="H193" s="7">
        <v>67577.916299999997</v>
      </c>
      <c r="I193" s="7">
        <v>-243735.38449999999</v>
      </c>
      <c r="J193" s="7"/>
      <c r="K193" s="7" t="s">
        <v>660</v>
      </c>
      <c r="L193" s="7" t="s">
        <v>661</v>
      </c>
      <c r="M193" s="7" t="s">
        <v>23</v>
      </c>
      <c r="N193" t="s">
        <v>24</v>
      </c>
      <c r="O193" s="7">
        <f>VLOOKUP(A193,[1]Workings!$M:$U,9,0)</f>
        <v>68956.92</v>
      </c>
      <c r="P193" s="12">
        <f t="shared" si="13"/>
        <v>-1379.0037000000011</v>
      </c>
      <c r="S193">
        <f t="shared" si="15"/>
        <v>-1.9998046606489981</v>
      </c>
    </row>
    <row r="194" spans="1:19" x14ac:dyDescent="0.35">
      <c r="A194" s="8">
        <v>256779414914</v>
      </c>
      <c r="B194" s="1">
        <v>45852</v>
      </c>
      <c r="C194" t="s">
        <v>261</v>
      </c>
      <c r="D194" t="s">
        <v>662</v>
      </c>
      <c r="E194" t="s">
        <v>19</v>
      </c>
      <c r="F194" t="s">
        <v>30</v>
      </c>
      <c r="G194" s="7"/>
      <c r="H194" s="7">
        <v>89999.859100000001</v>
      </c>
      <c r="I194" s="7">
        <v>-333735.24359999999</v>
      </c>
      <c r="J194" s="7"/>
      <c r="K194" s="7" t="s">
        <v>663</v>
      </c>
      <c r="L194" s="7" t="s">
        <v>664</v>
      </c>
      <c r="M194" s="7" t="s">
        <v>23</v>
      </c>
      <c r="N194" t="s">
        <v>24</v>
      </c>
      <c r="O194" s="7">
        <f>VLOOKUP(A194,[1]Workings!$M:$U,9,0)</f>
        <v>100000</v>
      </c>
      <c r="P194" s="12">
        <f t="shared" si="13"/>
        <v>-10000.140899999999</v>
      </c>
      <c r="S194">
        <f t="shared" si="15"/>
        <v>-10.000140899999998</v>
      </c>
    </row>
    <row r="195" spans="1:19" x14ac:dyDescent="0.35">
      <c r="A195" s="8">
        <v>256779414915</v>
      </c>
      <c r="B195" s="1">
        <v>45852</v>
      </c>
      <c r="C195" t="s">
        <v>261</v>
      </c>
      <c r="D195" t="s">
        <v>665</v>
      </c>
      <c r="E195" t="s">
        <v>19</v>
      </c>
      <c r="F195" t="s">
        <v>54</v>
      </c>
      <c r="G195" s="7"/>
      <c r="H195" s="7">
        <v>34299.6927</v>
      </c>
      <c r="I195" s="7">
        <v>-368034.9363</v>
      </c>
      <c r="J195" s="7"/>
      <c r="K195" s="7" t="s">
        <v>666</v>
      </c>
      <c r="L195" s="7" t="s">
        <v>667</v>
      </c>
      <c r="M195" s="7" t="s">
        <v>23</v>
      </c>
      <c r="N195" t="s">
        <v>24</v>
      </c>
      <c r="O195" s="7">
        <f>VLOOKUP(A195,[1]Workings!$M:$U,9,0)</f>
        <v>35000</v>
      </c>
      <c r="P195" s="12">
        <f t="shared" si="13"/>
        <v>-700.3073000000004</v>
      </c>
      <c r="S195">
        <f t="shared" si="15"/>
        <v>-2.000878000000001</v>
      </c>
    </row>
    <row r="196" spans="1:19" x14ac:dyDescent="0.35">
      <c r="A196" s="8">
        <v>256779417325</v>
      </c>
      <c r="B196" s="1">
        <v>45904</v>
      </c>
      <c r="C196" t="s">
        <v>261</v>
      </c>
      <c r="D196" t="s">
        <v>668</v>
      </c>
      <c r="E196" t="s">
        <v>19</v>
      </c>
      <c r="F196" t="s">
        <v>453</v>
      </c>
      <c r="G196" s="7"/>
      <c r="H196" s="7">
        <v>8391.402</v>
      </c>
      <c r="I196" s="7">
        <v>-376426.3383</v>
      </c>
      <c r="J196" s="7"/>
      <c r="K196" s="7" t="s">
        <v>669</v>
      </c>
      <c r="L196" s="7" t="s">
        <v>670</v>
      </c>
      <c r="M196" s="7" t="s">
        <v>23</v>
      </c>
      <c r="N196" t="s">
        <v>24</v>
      </c>
      <c r="O196" s="7">
        <f>VLOOKUP(A196,[1]Workings!$M:$U,9,0)</f>
        <v>8562.4</v>
      </c>
      <c r="P196" s="12">
        <f t="shared" si="13"/>
        <v>-170.99799999999959</v>
      </c>
      <c r="S196">
        <f t="shared" si="15"/>
        <v>-1.9970802578716202</v>
      </c>
    </row>
    <row r="197" spans="1:19" x14ac:dyDescent="0.35">
      <c r="A197" s="8">
        <v>256779415524</v>
      </c>
      <c r="B197" s="1">
        <v>45856</v>
      </c>
      <c r="C197" t="s">
        <v>261</v>
      </c>
      <c r="D197" t="s">
        <v>671</v>
      </c>
      <c r="E197" t="s">
        <v>19</v>
      </c>
      <c r="F197" t="s">
        <v>453</v>
      </c>
      <c r="G197" s="7"/>
      <c r="H197" s="7">
        <v>6162.3689999999997</v>
      </c>
      <c r="I197" s="7">
        <v>-382588.70730000001</v>
      </c>
      <c r="J197" s="7"/>
      <c r="K197" s="7" t="s">
        <v>672</v>
      </c>
      <c r="L197" s="7" t="s">
        <v>673</v>
      </c>
      <c r="M197" s="7" t="s">
        <v>23</v>
      </c>
      <c r="N197" t="s">
        <v>24</v>
      </c>
      <c r="O197" s="7">
        <f>VLOOKUP(A197,[1]Workings!$M:$U,9,0)</f>
        <v>6288.37</v>
      </c>
      <c r="P197" s="12">
        <f t="shared" si="13"/>
        <v>-126.0010000000002</v>
      </c>
      <c r="S197">
        <f t="shared" si="15"/>
        <v>-2.0037147941358446</v>
      </c>
    </row>
    <row r="198" spans="1:19" x14ac:dyDescent="0.35">
      <c r="A198" s="8">
        <v>256779417287</v>
      </c>
      <c r="B198" s="1">
        <v>45904</v>
      </c>
      <c r="C198" t="s">
        <v>261</v>
      </c>
      <c r="D198" t="s">
        <v>674</v>
      </c>
      <c r="E198" t="s">
        <v>19</v>
      </c>
      <c r="F198" t="s">
        <v>385</v>
      </c>
      <c r="G198" s="7"/>
      <c r="H198" s="7">
        <v>35212.633600000001</v>
      </c>
      <c r="I198" s="7">
        <v>-417801.34090000001</v>
      </c>
      <c r="J198" s="7"/>
      <c r="K198" s="7" t="s">
        <v>675</v>
      </c>
      <c r="L198" s="7" t="s">
        <v>676</v>
      </c>
      <c r="M198" s="7" t="s">
        <v>23</v>
      </c>
      <c r="N198" t="s">
        <v>24</v>
      </c>
      <c r="O198" s="7">
        <f>VLOOKUP(A198,[1]Workings!$M:$U,9,0)</f>
        <v>35931.629999999997</v>
      </c>
      <c r="P198" s="12">
        <f t="shared" si="13"/>
        <v>-718.99639999999636</v>
      </c>
      <c r="S198">
        <f t="shared" si="15"/>
        <v>-2.001012478420813</v>
      </c>
    </row>
    <row r="199" spans="1:19" x14ac:dyDescent="0.35">
      <c r="A199" s="8">
        <v>256779417179</v>
      </c>
      <c r="B199" s="1">
        <v>45904</v>
      </c>
      <c r="C199" t="s">
        <v>261</v>
      </c>
      <c r="D199" t="s">
        <v>677</v>
      </c>
      <c r="E199" t="s">
        <v>19</v>
      </c>
      <c r="F199" t="s">
        <v>189</v>
      </c>
      <c r="G199" s="7"/>
      <c r="H199" s="7">
        <v>133792.3548</v>
      </c>
      <c r="I199" s="7">
        <v>-551593.69570000004</v>
      </c>
      <c r="J199" s="7"/>
      <c r="K199" s="7" t="s">
        <v>678</v>
      </c>
      <c r="L199" s="7" t="s">
        <v>679</v>
      </c>
      <c r="M199" s="7" t="s">
        <v>23</v>
      </c>
      <c r="N199" t="s">
        <v>24</v>
      </c>
      <c r="O199" s="7">
        <f>VLOOKUP(A199,[1]Workings!$M:$U,9,0)</f>
        <v>136522.35</v>
      </c>
      <c r="P199" s="12">
        <f t="shared" si="13"/>
        <v>-2729.9952000000048</v>
      </c>
      <c r="S199">
        <f t="shared" si="15"/>
        <v>-1.9996690651750464</v>
      </c>
    </row>
    <row r="200" spans="1:19" x14ac:dyDescent="0.35">
      <c r="A200" s="8">
        <v>256779417178</v>
      </c>
      <c r="B200" s="1">
        <v>45904</v>
      </c>
      <c r="C200" t="s">
        <v>261</v>
      </c>
      <c r="D200" t="s">
        <v>680</v>
      </c>
      <c r="E200" t="s">
        <v>19</v>
      </c>
      <c r="F200" t="s">
        <v>189</v>
      </c>
      <c r="G200" s="7"/>
      <c r="H200" s="7">
        <v>133792.3548</v>
      </c>
      <c r="I200" s="7">
        <v>-685386.05050000001</v>
      </c>
      <c r="J200" s="7"/>
      <c r="K200" s="7" t="s">
        <v>678</v>
      </c>
      <c r="L200" s="7" t="s">
        <v>681</v>
      </c>
      <c r="M200" s="7" t="s">
        <v>23</v>
      </c>
      <c r="N200" t="s">
        <v>24</v>
      </c>
      <c r="O200" s="7">
        <f>VLOOKUP(A200,[1]Workings!$M:$U,9,0)</f>
        <v>136522.35</v>
      </c>
      <c r="P200" s="12">
        <f t="shared" si="13"/>
        <v>-2729.9952000000048</v>
      </c>
      <c r="S200">
        <f t="shared" si="15"/>
        <v>-1.9996690651750464</v>
      </c>
    </row>
    <row r="201" spans="1:19" x14ac:dyDescent="0.35">
      <c r="A201" s="8">
        <v>256779417180</v>
      </c>
      <c r="B201" s="14">
        <v>45904</v>
      </c>
      <c r="C201" t="s">
        <v>261</v>
      </c>
      <c r="D201" t="s">
        <v>682</v>
      </c>
      <c r="E201" t="s">
        <v>19</v>
      </c>
      <c r="F201" t="s">
        <v>189</v>
      </c>
      <c r="G201" s="7"/>
      <c r="H201" s="7">
        <v>138252.1</v>
      </c>
      <c r="I201" s="7">
        <v>-823638.15049999999</v>
      </c>
      <c r="J201" s="7"/>
      <c r="K201" s="7" t="s">
        <v>683</v>
      </c>
      <c r="L201" s="7" t="s">
        <v>684</v>
      </c>
      <c r="M201" s="7" t="s">
        <v>23</v>
      </c>
      <c r="N201" t="s">
        <v>24</v>
      </c>
      <c r="O201" s="7">
        <f>VLOOKUP(A201,[1]Workings!$M:$U,9,0)</f>
        <v>157447.03</v>
      </c>
      <c r="P201" s="12">
        <f t="shared" si="13"/>
        <v>-19194.929999999993</v>
      </c>
      <c r="Q201" s="12" t="s">
        <v>981</v>
      </c>
      <c r="S201">
        <f t="shared" si="15"/>
        <v>-12.191357309185188</v>
      </c>
    </row>
    <row r="202" spans="1:19" x14ac:dyDescent="0.35">
      <c r="A202" s="8">
        <v>256779417180</v>
      </c>
      <c r="B202" s="14">
        <v>45904</v>
      </c>
      <c r="C202" t="s">
        <v>261</v>
      </c>
      <c r="D202" t="s">
        <v>685</v>
      </c>
      <c r="E202" t="s">
        <v>19</v>
      </c>
      <c r="F202" t="s">
        <v>63</v>
      </c>
      <c r="G202" s="7"/>
      <c r="H202" s="7">
        <v>14736.9311</v>
      </c>
      <c r="I202" s="7">
        <v>-838375.08160000003</v>
      </c>
      <c r="J202" s="7"/>
      <c r="K202" s="7" t="s">
        <v>686</v>
      </c>
      <c r="L202" s="7" t="s">
        <v>687</v>
      </c>
      <c r="M202" s="7" t="s">
        <v>23</v>
      </c>
      <c r="N202" t="s">
        <v>24</v>
      </c>
      <c r="O202" s="7">
        <f>VLOOKUP(A202,[1]Workings!$M:$U,9,0)</f>
        <v>157447.03</v>
      </c>
      <c r="P202" s="12">
        <f t="shared" si="13"/>
        <v>-142710.09890000001</v>
      </c>
      <c r="Q202" s="12" t="s">
        <v>981</v>
      </c>
      <c r="S202">
        <f t="shared" si="15"/>
        <v>-90.640070441468481</v>
      </c>
    </row>
    <row r="203" spans="1:19" x14ac:dyDescent="0.35">
      <c r="A203" s="8">
        <v>256779417181</v>
      </c>
      <c r="B203" s="14">
        <v>45904</v>
      </c>
      <c r="C203" t="s">
        <v>261</v>
      </c>
      <c r="D203" t="s">
        <v>688</v>
      </c>
      <c r="E203" t="s">
        <v>19</v>
      </c>
      <c r="F203" t="s">
        <v>63</v>
      </c>
      <c r="G203" s="7"/>
      <c r="H203" s="7">
        <v>15752.866</v>
      </c>
      <c r="I203" s="7">
        <v>-854127.94759999996</v>
      </c>
      <c r="J203" s="7"/>
      <c r="K203" s="7" t="s">
        <v>298</v>
      </c>
      <c r="L203" s="7" t="s">
        <v>689</v>
      </c>
      <c r="M203" s="7" t="s">
        <v>23</v>
      </c>
      <c r="N203" t="s">
        <v>24</v>
      </c>
      <c r="O203" s="7">
        <f>VLOOKUP(A203,[1]Workings!$M:$U,9,0)</f>
        <v>158575.97</v>
      </c>
      <c r="P203" s="12">
        <f t="shared" si="13"/>
        <v>-142823.10399999999</v>
      </c>
      <c r="Q203" s="12" t="s">
        <v>981</v>
      </c>
      <c r="S203">
        <f t="shared" si="15"/>
        <v>-90.066044685080598</v>
      </c>
    </row>
    <row r="204" spans="1:19" x14ac:dyDescent="0.35">
      <c r="A204" s="8">
        <v>256779417181</v>
      </c>
      <c r="B204" s="14">
        <v>45904</v>
      </c>
      <c r="C204" t="s">
        <v>261</v>
      </c>
      <c r="D204" t="s">
        <v>690</v>
      </c>
      <c r="E204" t="s">
        <v>19</v>
      </c>
      <c r="F204" t="s">
        <v>189</v>
      </c>
      <c r="G204" s="7"/>
      <c r="H204" s="7">
        <v>138252.1</v>
      </c>
      <c r="I204" s="7">
        <v>-992380.04760000005</v>
      </c>
      <c r="J204" s="7"/>
      <c r="K204" s="7" t="s">
        <v>683</v>
      </c>
      <c r="L204" s="7" t="s">
        <v>691</v>
      </c>
      <c r="M204" s="7" t="s">
        <v>23</v>
      </c>
      <c r="N204" t="s">
        <v>24</v>
      </c>
      <c r="O204" s="7">
        <f>VLOOKUP(A204,[1]Workings!$M:$U,9,0)</f>
        <v>158575.97</v>
      </c>
      <c r="P204" s="12">
        <f t="shared" si="13"/>
        <v>-20323.869999999995</v>
      </c>
      <c r="Q204" s="12" t="s">
        <v>981</v>
      </c>
      <c r="S204">
        <f t="shared" si="15"/>
        <v>-12.816487895360181</v>
      </c>
    </row>
    <row r="205" spans="1:19" x14ac:dyDescent="0.35">
      <c r="A205" s="8">
        <v>256779417347</v>
      </c>
      <c r="B205" s="1">
        <v>45904</v>
      </c>
      <c r="C205" t="s">
        <v>261</v>
      </c>
      <c r="D205" t="s">
        <v>692</v>
      </c>
      <c r="E205" t="s">
        <v>19</v>
      </c>
      <c r="F205" t="s">
        <v>30</v>
      </c>
      <c r="G205" s="7"/>
      <c r="H205" s="7">
        <v>31499.606</v>
      </c>
      <c r="I205" s="7">
        <v>-1023879.6536</v>
      </c>
      <c r="J205" s="7"/>
      <c r="K205" s="7" t="s">
        <v>693</v>
      </c>
      <c r="L205" s="7" t="s">
        <v>694</v>
      </c>
      <c r="M205" s="7" t="s">
        <v>23</v>
      </c>
      <c r="N205" t="s">
        <v>24</v>
      </c>
      <c r="O205" s="7">
        <f>VLOOKUP(A205,[1]Workings!$M:$U,9,0)</f>
        <v>35000</v>
      </c>
      <c r="P205" s="12">
        <f t="shared" si="13"/>
        <v>-3500.3940000000002</v>
      </c>
      <c r="S205">
        <f t="shared" si="15"/>
        <v>-10.001125714285715</v>
      </c>
    </row>
    <row r="206" spans="1:19" x14ac:dyDescent="0.35">
      <c r="A206" s="8">
        <v>256779417346</v>
      </c>
      <c r="B206" s="1">
        <v>45904</v>
      </c>
      <c r="C206" t="s">
        <v>261</v>
      </c>
      <c r="D206" t="s">
        <v>695</v>
      </c>
      <c r="E206" t="s">
        <v>19</v>
      </c>
      <c r="F206" t="s">
        <v>30</v>
      </c>
      <c r="G206" s="7"/>
      <c r="H206" s="7">
        <v>89999.999500000005</v>
      </c>
      <c r="I206" s="7">
        <v>-1113879.6531</v>
      </c>
      <c r="J206" s="7"/>
      <c r="K206" s="7" t="s">
        <v>696</v>
      </c>
      <c r="L206" s="7" t="s">
        <v>697</v>
      </c>
      <c r="M206" s="7" t="s">
        <v>23</v>
      </c>
      <c r="N206" t="s">
        <v>24</v>
      </c>
      <c r="O206" s="7">
        <f>VLOOKUP(A206,[1]Workings!$M:$U,9,0)</f>
        <v>100000</v>
      </c>
      <c r="P206" s="12">
        <f t="shared" si="13"/>
        <v>-10000.000499999995</v>
      </c>
      <c r="S206">
        <f t="shared" si="15"/>
        <v>-10.000000499999995</v>
      </c>
    </row>
    <row r="207" spans="1:19" x14ac:dyDescent="0.35">
      <c r="A207" s="8">
        <v>7360258</v>
      </c>
      <c r="B207" s="14">
        <v>45904</v>
      </c>
      <c r="C207" t="s">
        <v>698</v>
      </c>
      <c r="D207" t="s">
        <v>699</v>
      </c>
      <c r="E207" t="s">
        <v>700</v>
      </c>
      <c r="F207" t="s">
        <v>189</v>
      </c>
      <c r="G207" s="7"/>
      <c r="H207" s="7">
        <v>-2520.8598000000002</v>
      </c>
      <c r="I207" s="7">
        <v>-1111358.7933</v>
      </c>
      <c r="J207" s="7"/>
      <c r="K207" s="7" t="s">
        <v>701</v>
      </c>
      <c r="L207" s="7" t="s">
        <v>702</v>
      </c>
      <c r="M207" s="7" t="s">
        <v>23</v>
      </c>
      <c r="N207" t="s">
        <v>24</v>
      </c>
      <c r="O207" s="7" t="e">
        <f>VLOOKUP(A207,[1]Workings!$M:$U,9,0)</f>
        <v>#N/A</v>
      </c>
      <c r="P207" s="12" t="e">
        <f t="shared" si="13"/>
        <v>#N/A</v>
      </c>
    </row>
    <row r="208" spans="1:19" x14ac:dyDescent="0.35">
      <c r="A208" s="8">
        <v>7360257</v>
      </c>
      <c r="B208" s="14">
        <v>45904</v>
      </c>
      <c r="C208" t="s">
        <v>698</v>
      </c>
      <c r="D208" t="s">
        <v>703</v>
      </c>
      <c r="E208" t="s">
        <v>700</v>
      </c>
      <c r="F208" t="s">
        <v>189</v>
      </c>
      <c r="G208" s="7"/>
      <c r="H208" s="7">
        <v>-2520.8598000000002</v>
      </c>
      <c r="I208" s="7">
        <v>-1108837.9335</v>
      </c>
      <c r="J208" s="7"/>
      <c r="K208" s="7" t="s">
        <v>701</v>
      </c>
      <c r="L208" s="7" t="s">
        <v>704</v>
      </c>
      <c r="M208" s="7" t="s">
        <v>23</v>
      </c>
      <c r="N208" t="s">
        <v>24</v>
      </c>
      <c r="O208" s="7" t="e">
        <f>VLOOKUP(A208,[1]Workings!$M:$U,9,0)</f>
        <v>#N/A</v>
      </c>
      <c r="P208" s="12" t="e">
        <f t="shared" si="13"/>
        <v>#N/A</v>
      </c>
    </row>
    <row r="209" spans="1:19" x14ac:dyDescent="0.35">
      <c r="A209" s="8">
        <v>7360259</v>
      </c>
      <c r="B209" s="14">
        <v>45904</v>
      </c>
      <c r="C209" t="s">
        <v>698</v>
      </c>
      <c r="D209" t="s">
        <v>705</v>
      </c>
      <c r="E209" t="s">
        <v>700</v>
      </c>
      <c r="F209" t="s">
        <v>189</v>
      </c>
      <c r="G209" s="7"/>
      <c r="H209" s="7">
        <v>-2604.8885</v>
      </c>
      <c r="I209" s="7">
        <v>-1106233.0449999999</v>
      </c>
      <c r="J209" s="7"/>
      <c r="K209" s="7" t="s">
        <v>706</v>
      </c>
      <c r="L209" s="7" t="s">
        <v>707</v>
      </c>
      <c r="M209" s="7" t="s">
        <v>23</v>
      </c>
      <c r="N209" t="s">
        <v>24</v>
      </c>
      <c r="O209" s="7" t="e">
        <f>VLOOKUP(A209,[1]Workings!$M:$U,9,0)</f>
        <v>#N/A</v>
      </c>
      <c r="P209" s="12" t="e">
        <f t="shared" si="13"/>
        <v>#N/A</v>
      </c>
    </row>
    <row r="210" spans="1:19" x14ac:dyDescent="0.35">
      <c r="A210" s="8">
        <v>7360262</v>
      </c>
      <c r="B210" s="14">
        <v>45904</v>
      </c>
      <c r="C210" t="s">
        <v>698</v>
      </c>
      <c r="D210" t="s">
        <v>708</v>
      </c>
      <c r="E210" t="s">
        <v>700</v>
      </c>
      <c r="F210" t="s">
        <v>189</v>
      </c>
      <c r="G210" s="7"/>
      <c r="H210" s="7">
        <v>-138252.1</v>
      </c>
      <c r="I210" s="7">
        <v>-967980.94499999995</v>
      </c>
      <c r="J210" s="7"/>
      <c r="K210" s="7" t="s">
        <v>709</v>
      </c>
      <c r="L210" s="7" t="s">
        <v>710</v>
      </c>
      <c r="M210" s="7" t="s">
        <v>23</v>
      </c>
      <c r="N210" t="s">
        <v>24</v>
      </c>
      <c r="O210" s="7" t="e">
        <f>VLOOKUP(A210,[1]Workings!$M:$U,9,0)</f>
        <v>#N/A</v>
      </c>
      <c r="P210" s="12" t="e">
        <f t="shared" si="13"/>
        <v>#N/A</v>
      </c>
    </row>
    <row r="211" spans="1:19" x14ac:dyDescent="0.35">
      <c r="A211" s="8">
        <v>256779417818</v>
      </c>
      <c r="B211" s="14">
        <v>45924</v>
      </c>
      <c r="C211" t="s">
        <v>261</v>
      </c>
      <c r="D211" t="s">
        <v>711</v>
      </c>
      <c r="E211" t="s">
        <v>19</v>
      </c>
      <c r="F211" t="s">
        <v>219</v>
      </c>
      <c r="G211" s="7"/>
      <c r="H211" s="7">
        <v>20344.044699999999</v>
      </c>
      <c r="I211" s="7">
        <v>-988324.98970000003</v>
      </c>
      <c r="J211" s="7"/>
      <c r="K211" s="7" t="s">
        <v>712</v>
      </c>
      <c r="L211" s="7" t="s">
        <v>713</v>
      </c>
      <c r="M211" s="7" t="s">
        <v>23</v>
      </c>
      <c r="N211" t="s">
        <v>24</v>
      </c>
      <c r="O211" s="7">
        <f>VLOOKUP(A211,[1]Workings!$M:$U,9,0)</f>
        <v>22423.69</v>
      </c>
      <c r="P211" s="12">
        <f t="shared" si="13"/>
        <v>-2079.6453000000001</v>
      </c>
      <c r="Q211" s="12" t="s">
        <v>981</v>
      </c>
      <c r="S211">
        <f t="shared" ref="S211:S213" si="16">P211/O211*100</f>
        <v>-9.2743223795905152</v>
      </c>
    </row>
    <row r="212" spans="1:19" x14ac:dyDescent="0.35">
      <c r="A212" s="8">
        <v>256779417526</v>
      </c>
      <c r="B212" s="1">
        <v>45918</v>
      </c>
      <c r="C212" t="s">
        <v>261</v>
      </c>
      <c r="D212" t="s">
        <v>717</v>
      </c>
      <c r="E212" t="s">
        <v>19</v>
      </c>
      <c r="F212" t="s">
        <v>453</v>
      </c>
      <c r="G212" s="7"/>
      <c r="H212" s="7">
        <v>1923.9464</v>
      </c>
      <c r="I212" s="7">
        <v>-999485.95050000004</v>
      </c>
      <c r="J212" s="7"/>
      <c r="K212" s="7" t="s">
        <v>718</v>
      </c>
      <c r="L212" s="7" t="s">
        <v>719</v>
      </c>
      <c r="M212" s="7" t="s">
        <v>23</v>
      </c>
      <c r="N212" t="s">
        <v>24</v>
      </c>
      <c r="O212" s="7">
        <f>VLOOKUP(A212,[1]Workings!$M:$U,9,0)</f>
        <v>1962.95</v>
      </c>
      <c r="P212" s="12">
        <f t="shared" si="13"/>
        <v>-39.003600000000006</v>
      </c>
      <c r="S212">
        <f t="shared" si="16"/>
        <v>-1.986988970681882</v>
      </c>
    </row>
    <row r="213" spans="1:19" x14ac:dyDescent="0.35">
      <c r="A213" s="8">
        <v>256779417568</v>
      </c>
      <c r="B213" s="1">
        <v>45918</v>
      </c>
      <c r="C213" t="s">
        <v>261</v>
      </c>
      <c r="D213" t="s">
        <v>720</v>
      </c>
      <c r="E213" t="s">
        <v>19</v>
      </c>
      <c r="F213" t="s">
        <v>385</v>
      </c>
      <c r="G213" s="7"/>
      <c r="H213" s="7">
        <v>25205.5864</v>
      </c>
      <c r="I213" s="7">
        <v>-1024691.5368999999</v>
      </c>
      <c r="J213" s="7"/>
      <c r="K213" s="7" t="s">
        <v>721</v>
      </c>
      <c r="L213" s="7" t="s">
        <v>722</v>
      </c>
      <c r="M213" s="7" t="s">
        <v>23</v>
      </c>
      <c r="N213" t="s">
        <v>24</v>
      </c>
      <c r="O213" s="7">
        <f>VLOOKUP(A213,[1]Workings!$M:$U,9,0)</f>
        <v>25719.59</v>
      </c>
      <c r="P213" s="12">
        <f t="shared" si="13"/>
        <v>-514.00360000000001</v>
      </c>
      <c r="S213">
        <f t="shared" si="16"/>
        <v>-1.9984906446797945</v>
      </c>
    </row>
    <row r="214" spans="1:19" x14ac:dyDescent="0.35">
      <c r="A214" s="8">
        <v>1005</v>
      </c>
      <c r="B214" s="1">
        <v>45940</v>
      </c>
      <c r="C214" t="s">
        <v>698</v>
      </c>
      <c r="D214" t="s">
        <v>726</v>
      </c>
      <c r="E214" t="s">
        <v>727</v>
      </c>
      <c r="F214" t="s">
        <v>189</v>
      </c>
      <c r="G214" s="7"/>
      <c r="H214" s="7">
        <v>138252.1</v>
      </c>
      <c r="I214" s="7">
        <v>-1153706.6225000001</v>
      </c>
      <c r="J214" s="7"/>
      <c r="K214" s="7" t="s">
        <v>683</v>
      </c>
      <c r="L214" s="7" t="s">
        <v>728</v>
      </c>
      <c r="M214" s="7" t="s">
        <v>23</v>
      </c>
      <c r="N214" t="s">
        <v>24</v>
      </c>
      <c r="O214" s="7" t="e">
        <f>VLOOKUP(A214,[1]Workings!$M:$U,9,0)</f>
        <v>#N/A</v>
      </c>
      <c r="P214" s="12" t="e">
        <f t="shared" si="13"/>
        <v>#N/A</v>
      </c>
    </row>
    <row r="215" spans="1:19" x14ac:dyDescent="0.35">
      <c r="A215" s="8">
        <v>1002</v>
      </c>
      <c r="B215" s="1">
        <v>45940</v>
      </c>
      <c r="C215" t="s">
        <v>698</v>
      </c>
      <c r="D215" t="s">
        <v>729</v>
      </c>
      <c r="E215" t="s">
        <v>727</v>
      </c>
      <c r="F215" t="s">
        <v>189</v>
      </c>
      <c r="G215" s="7"/>
      <c r="H215" s="7">
        <v>2520.8598000000002</v>
      </c>
      <c r="I215" s="7">
        <v>-1156227.4823</v>
      </c>
      <c r="J215" s="7"/>
      <c r="K215" s="7" t="s">
        <v>730</v>
      </c>
      <c r="L215" s="7" t="s">
        <v>731</v>
      </c>
      <c r="M215" s="7" t="s">
        <v>23</v>
      </c>
      <c r="N215" t="s">
        <v>24</v>
      </c>
      <c r="O215" s="7" t="e">
        <f>VLOOKUP(A215,[1]Workings!$M:$U,9,0)</f>
        <v>#N/A</v>
      </c>
      <c r="P215" s="12" t="e">
        <f t="shared" si="13"/>
        <v>#N/A</v>
      </c>
    </row>
    <row r="216" spans="1:19" x14ac:dyDescent="0.35">
      <c r="A216" s="8">
        <v>1003</v>
      </c>
      <c r="B216" s="1">
        <v>45940</v>
      </c>
      <c r="C216" t="s">
        <v>698</v>
      </c>
      <c r="D216" t="s">
        <v>732</v>
      </c>
      <c r="E216" t="s">
        <v>727</v>
      </c>
      <c r="F216" t="s">
        <v>189</v>
      </c>
      <c r="G216" s="7"/>
      <c r="H216" s="7">
        <v>2520.8598000000002</v>
      </c>
      <c r="I216" s="7">
        <v>-1158748.3421</v>
      </c>
      <c r="J216" s="7"/>
      <c r="K216" s="7" t="s">
        <v>730</v>
      </c>
      <c r="L216" s="7" t="s">
        <v>733</v>
      </c>
      <c r="M216" s="7" t="s">
        <v>23</v>
      </c>
      <c r="N216" t="s">
        <v>24</v>
      </c>
      <c r="O216" s="7" t="e">
        <f>VLOOKUP(A216,[1]Workings!$M:$U,9,0)</f>
        <v>#N/A</v>
      </c>
      <c r="P216" s="12" t="e">
        <f t="shared" si="13"/>
        <v>#N/A</v>
      </c>
    </row>
    <row r="217" spans="1:19" x14ac:dyDescent="0.35">
      <c r="A217" s="8">
        <v>1004</v>
      </c>
      <c r="B217" s="1">
        <v>45940</v>
      </c>
      <c r="C217" t="s">
        <v>698</v>
      </c>
      <c r="D217" t="s">
        <v>734</v>
      </c>
      <c r="E217" t="s">
        <v>727</v>
      </c>
      <c r="F217" t="s">
        <v>189</v>
      </c>
      <c r="G217" s="7"/>
      <c r="H217" s="7">
        <v>2604.8885</v>
      </c>
      <c r="I217" s="7">
        <v>-1161353.2305999999</v>
      </c>
      <c r="J217" s="7"/>
      <c r="K217" s="7" t="s">
        <v>735</v>
      </c>
      <c r="L217" s="7" t="s">
        <v>736</v>
      </c>
      <c r="M217" s="7" t="s">
        <v>23</v>
      </c>
      <c r="N217" t="s">
        <v>24</v>
      </c>
      <c r="O217" s="7" t="e">
        <f>VLOOKUP(A217,[1]Workings!$M:$U,9,0)</f>
        <v>#N/A</v>
      </c>
      <c r="P217" s="12" t="e">
        <f t="shared" si="13"/>
        <v>#N/A</v>
      </c>
    </row>
    <row r="218" spans="1:19" x14ac:dyDescent="0.35">
      <c r="A218" s="8">
        <v>256779417434</v>
      </c>
      <c r="B218" s="1">
        <v>45917</v>
      </c>
      <c r="C218" t="s">
        <v>261</v>
      </c>
      <c r="D218" t="s">
        <v>737</v>
      </c>
      <c r="E218" t="s">
        <v>19</v>
      </c>
      <c r="F218" t="s">
        <v>738</v>
      </c>
      <c r="G218" s="7"/>
      <c r="H218" s="7">
        <v>8576.4330000000009</v>
      </c>
      <c r="I218" s="7">
        <v>-1169929.6636000001</v>
      </c>
      <c r="J218" s="7"/>
      <c r="K218" s="7" t="s">
        <v>216</v>
      </c>
      <c r="L218" s="7" t="s">
        <v>739</v>
      </c>
      <c r="M218" s="7" t="s">
        <v>23</v>
      </c>
      <c r="N218" t="s">
        <v>24</v>
      </c>
      <c r="O218" s="7">
        <f>VLOOKUP(A218,[1]Workings!$M:$U,9,0)</f>
        <v>8751.43</v>
      </c>
      <c r="P218" s="12">
        <f t="shared" si="13"/>
        <v>-174.99699999999939</v>
      </c>
      <c r="S218">
        <f t="shared" ref="S218:S224" si="17">P218/O218*100</f>
        <v>-1.9996389161542671</v>
      </c>
    </row>
    <row r="219" spans="1:19" x14ac:dyDescent="0.35">
      <c r="A219" s="8">
        <v>256779417490</v>
      </c>
      <c r="B219" s="14">
        <v>45918</v>
      </c>
      <c r="C219" t="s">
        <v>261</v>
      </c>
      <c r="D219" t="s">
        <v>740</v>
      </c>
      <c r="E219" t="s">
        <v>19</v>
      </c>
      <c r="F219" t="s">
        <v>63</v>
      </c>
      <c r="G219" s="7"/>
      <c r="H219" s="7">
        <v>7876.433</v>
      </c>
      <c r="I219" s="7">
        <v>-1177806.0966</v>
      </c>
      <c r="J219" s="7"/>
      <c r="K219" s="7" t="s">
        <v>403</v>
      </c>
      <c r="L219" s="7" t="s">
        <v>741</v>
      </c>
      <c r="M219" s="7" t="s">
        <v>23</v>
      </c>
      <c r="N219" t="s">
        <v>24</v>
      </c>
      <c r="O219" s="7">
        <f>VLOOKUP(A219,[1]Workings!$M:$U,9,0)</f>
        <v>74387.179999999993</v>
      </c>
      <c r="P219" s="12">
        <f t="shared" si="13"/>
        <v>-66510.746999999988</v>
      </c>
      <c r="Q219" s="12" t="s">
        <v>981</v>
      </c>
      <c r="S219">
        <f t="shared" si="17"/>
        <v>-89.41157199399143</v>
      </c>
    </row>
    <row r="220" spans="1:19" x14ac:dyDescent="0.35">
      <c r="A220" s="8">
        <v>256779417490</v>
      </c>
      <c r="B220" s="14">
        <v>45918</v>
      </c>
      <c r="C220" t="s">
        <v>261</v>
      </c>
      <c r="D220" t="s">
        <v>742</v>
      </c>
      <c r="E220" t="s">
        <v>19</v>
      </c>
      <c r="F220" t="s">
        <v>189</v>
      </c>
      <c r="G220" s="7"/>
      <c r="H220" s="7">
        <v>64322.747499999998</v>
      </c>
      <c r="I220" s="7">
        <v>-1242128.8441000001</v>
      </c>
      <c r="J220" s="7"/>
      <c r="K220" s="7" t="s">
        <v>743</v>
      </c>
      <c r="L220" s="7" t="s">
        <v>744</v>
      </c>
      <c r="M220" s="7" t="s">
        <v>23</v>
      </c>
      <c r="N220" t="s">
        <v>24</v>
      </c>
      <c r="O220" s="7">
        <f>VLOOKUP(A220,[1]Workings!$M:$U,9,0)</f>
        <v>74387.179999999993</v>
      </c>
      <c r="P220" s="12">
        <f t="shared" si="13"/>
        <v>-10064.432499999995</v>
      </c>
      <c r="Q220" s="12" t="s">
        <v>981</v>
      </c>
      <c r="S220">
        <f t="shared" si="17"/>
        <v>-13.529794381236115</v>
      </c>
    </row>
    <row r="221" spans="1:19" x14ac:dyDescent="0.35">
      <c r="A221" s="8">
        <v>256779417245</v>
      </c>
      <c r="B221" s="1">
        <v>45904</v>
      </c>
      <c r="C221" t="s">
        <v>261</v>
      </c>
      <c r="D221" t="s">
        <v>747</v>
      </c>
      <c r="E221" t="s">
        <v>19</v>
      </c>
      <c r="F221" t="s">
        <v>54</v>
      </c>
      <c r="G221" s="7"/>
      <c r="H221" s="7">
        <v>7194.5771000000004</v>
      </c>
      <c r="I221" s="7">
        <v>-1252365.5711999999</v>
      </c>
      <c r="J221" s="7"/>
      <c r="K221" s="7" t="s">
        <v>748</v>
      </c>
      <c r="L221" s="7" t="s">
        <v>749</v>
      </c>
      <c r="M221" s="7" t="s">
        <v>23</v>
      </c>
      <c r="N221" t="s">
        <v>24</v>
      </c>
      <c r="O221" s="7">
        <f>VLOOKUP(A221,[1]Workings!$M:$U,9,0)</f>
        <v>7341.58</v>
      </c>
      <c r="P221" s="12">
        <f t="shared" si="13"/>
        <v>-147.0028999999995</v>
      </c>
      <c r="S221">
        <f t="shared" si="17"/>
        <v>-2.0023332852056304</v>
      </c>
    </row>
    <row r="222" spans="1:19" x14ac:dyDescent="0.35">
      <c r="A222" s="8">
        <v>256779417206</v>
      </c>
      <c r="B222" s="1">
        <v>45904</v>
      </c>
      <c r="C222" t="s">
        <v>261</v>
      </c>
      <c r="D222" t="s">
        <v>750</v>
      </c>
      <c r="E222" t="s">
        <v>19</v>
      </c>
      <c r="F222" t="s">
        <v>546</v>
      </c>
      <c r="G222" s="7"/>
      <c r="H222" s="7">
        <v>13059.682199999999</v>
      </c>
      <c r="I222" s="7">
        <v>-1265425.2534</v>
      </c>
      <c r="J222" s="7"/>
      <c r="K222" s="7" t="s">
        <v>751</v>
      </c>
      <c r="L222" s="7" t="s">
        <v>752</v>
      </c>
      <c r="M222" s="7" t="s">
        <v>23</v>
      </c>
      <c r="N222" t="s">
        <v>24</v>
      </c>
      <c r="O222" s="7">
        <f>VLOOKUP(A222,[1]Workings!$M:$U,9,0)</f>
        <v>13326.68</v>
      </c>
      <c r="P222" s="12">
        <f t="shared" si="13"/>
        <v>-266.99780000000101</v>
      </c>
      <c r="S222">
        <f t="shared" si="17"/>
        <v>-2.0034832381358374</v>
      </c>
    </row>
    <row r="223" spans="1:19" x14ac:dyDescent="0.35">
      <c r="A223" s="8">
        <v>256779417420</v>
      </c>
      <c r="B223" s="14">
        <v>45918</v>
      </c>
      <c r="C223" t="s">
        <v>261</v>
      </c>
      <c r="D223" t="s">
        <v>753</v>
      </c>
      <c r="E223" t="s">
        <v>19</v>
      </c>
      <c r="F223" t="s">
        <v>54</v>
      </c>
      <c r="G223" s="7"/>
      <c r="H223" s="7">
        <v>3002.0016000000001</v>
      </c>
      <c r="I223" s="7">
        <v>-1268427.2549999999</v>
      </c>
      <c r="J223" s="7"/>
      <c r="K223" s="7" t="s">
        <v>175</v>
      </c>
      <c r="L223" s="7" t="s">
        <v>754</v>
      </c>
      <c r="M223" s="7" t="s">
        <v>23</v>
      </c>
      <c r="N223" t="s">
        <v>24</v>
      </c>
      <c r="O223" s="7">
        <f>VLOOKUP(A223,[1]Workings!$M:$U,9,0)</f>
        <v>3063</v>
      </c>
      <c r="P223" s="12">
        <f t="shared" si="13"/>
        <v>-60.998399999999947</v>
      </c>
      <c r="S223">
        <f t="shared" si="17"/>
        <v>-1.9914593535749248</v>
      </c>
    </row>
    <row r="224" spans="1:19" x14ac:dyDescent="0.35">
      <c r="A224" s="8">
        <v>256779417818</v>
      </c>
      <c r="B224" s="14">
        <v>45924</v>
      </c>
      <c r="C224" t="s">
        <v>261</v>
      </c>
      <c r="D224" t="s">
        <v>757</v>
      </c>
      <c r="E224" t="s">
        <v>19</v>
      </c>
      <c r="F224" t="s">
        <v>63</v>
      </c>
      <c r="G224" s="7"/>
      <c r="H224" s="7">
        <v>1498.6443999999999</v>
      </c>
      <c r="I224" s="7">
        <v>-1266883.7494000001</v>
      </c>
      <c r="J224" s="7"/>
      <c r="K224" s="7" t="s">
        <v>758</v>
      </c>
      <c r="L224" s="7" t="s">
        <v>759</v>
      </c>
      <c r="M224" s="7" t="s">
        <v>23</v>
      </c>
      <c r="N224" t="s">
        <v>24</v>
      </c>
      <c r="O224" s="7">
        <f>VLOOKUP(A224,[1]Workings!$M:$U,9,0)</f>
        <v>22423.69</v>
      </c>
      <c r="P224" s="12">
        <f t="shared" ref="P224:P280" si="18">H224-O224</f>
        <v>-20925.045599999998</v>
      </c>
      <c r="Q224" s="12" t="s">
        <v>981</v>
      </c>
      <c r="S224">
        <f t="shared" si="17"/>
        <v>-93.31669140984377</v>
      </c>
    </row>
    <row r="225" spans="1:19" x14ac:dyDescent="0.35">
      <c r="A225" s="8">
        <v>7360262</v>
      </c>
      <c r="B225" s="14">
        <v>45904</v>
      </c>
      <c r="C225" t="s">
        <v>698</v>
      </c>
      <c r="D225" t="s">
        <v>760</v>
      </c>
      <c r="E225" t="s">
        <v>700</v>
      </c>
      <c r="F225" t="s">
        <v>189</v>
      </c>
      <c r="G225" s="7"/>
      <c r="H225" s="7">
        <v>-5316.8885</v>
      </c>
      <c r="I225" s="7">
        <v>-1261566.8609</v>
      </c>
      <c r="J225" s="7"/>
      <c r="K225" s="7" t="s">
        <v>761</v>
      </c>
      <c r="L225" s="7" t="s">
        <v>762</v>
      </c>
      <c r="M225" s="7" t="s">
        <v>23</v>
      </c>
      <c r="N225" t="s">
        <v>24</v>
      </c>
      <c r="O225" s="7" t="e">
        <f>VLOOKUP(A225,[1]Workings!$M:$U,9,0)</f>
        <v>#N/A</v>
      </c>
      <c r="P225" s="12" t="e">
        <f t="shared" si="18"/>
        <v>#N/A</v>
      </c>
    </row>
    <row r="226" spans="1:19" x14ac:dyDescent="0.35">
      <c r="A226" s="8">
        <v>7360258</v>
      </c>
      <c r="B226" s="14">
        <v>45904</v>
      </c>
      <c r="C226" t="s">
        <v>698</v>
      </c>
      <c r="D226" t="s">
        <v>763</v>
      </c>
      <c r="E226" t="s">
        <v>700</v>
      </c>
      <c r="F226" t="s">
        <v>189</v>
      </c>
      <c r="G226" s="7"/>
      <c r="H226" s="7">
        <v>-5250.8598000000002</v>
      </c>
      <c r="I226" s="7">
        <v>-1256316.0011</v>
      </c>
      <c r="J226" s="7"/>
      <c r="K226" s="7" t="s">
        <v>764</v>
      </c>
      <c r="L226" s="7" t="s">
        <v>765</v>
      </c>
      <c r="M226" s="7" t="s">
        <v>23</v>
      </c>
      <c r="N226" t="s">
        <v>24</v>
      </c>
      <c r="O226" s="7" t="e">
        <f>VLOOKUP(A226,[1]Workings!$M:$U,9,0)</f>
        <v>#N/A</v>
      </c>
      <c r="P226" s="12" t="e">
        <f t="shared" si="18"/>
        <v>#N/A</v>
      </c>
    </row>
    <row r="227" spans="1:19" x14ac:dyDescent="0.35">
      <c r="A227" s="8">
        <v>1008</v>
      </c>
      <c r="B227" s="1">
        <v>45941</v>
      </c>
      <c r="C227" t="s">
        <v>698</v>
      </c>
      <c r="D227" t="s">
        <v>766</v>
      </c>
      <c r="E227" t="s">
        <v>727</v>
      </c>
      <c r="F227" t="s">
        <v>189</v>
      </c>
      <c r="G227" s="7"/>
      <c r="H227" s="7">
        <v>5250.8598000000002</v>
      </c>
      <c r="I227" s="7">
        <v>-1261566.8609</v>
      </c>
      <c r="J227" s="7"/>
      <c r="K227" s="7" t="s">
        <v>767</v>
      </c>
      <c r="L227" s="7" t="s">
        <v>762</v>
      </c>
      <c r="M227" s="7" t="s">
        <v>23</v>
      </c>
      <c r="N227" t="s">
        <v>24</v>
      </c>
      <c r="O227" s="7" t="e">
        <f>VLOOKUP(A227,[1]Workings!$M:$U,9,0)</f>
        <v>#N/A</v>
      </c>
      <c r="P227" s="12" t="e">
        <f t="shared" si="18"/>
        <v>#N/A</v>
      </c>
    </row>
    <row r="228" spans="1:19" x14ac:dyDescent="0.35">
      <c r="A228" s="8">
        <v>7360258</v>
      </c>
      <c r="B228" s="14">
        <v>45904</v>
      </c>
      <c r="C228" t="s">
        <v>698</v>
      </c>
      <c r="D228" t="s">
        <v>768</v>
      </c>
      <c r="E228" t="s">
        <v>700</v>
      </c>
      <c r="F228" t="s">
        <v>189</v>
      </c>
      <c r="G228" s="7"/>
      <c r="H228" s="7">
        <v>-5145.8598000000002</v>
      </c>
      <c r="I228" s="7">
        <v>-1256421.0011</v>
      </c>
      <c r="J228" s="7"/>
      <c r="K228" s="7" t="s">
        <v>769</v>
      </c>
      <c r="L228" s="7" t="s">
        <v>770</v>
      </c>
      <c r="M228" s="7" t="s">
        <v>23</v>
      </c>
      <c r="N228" t="s">
        <v>24</v>
      </c>
      <c r="O228" s="7" t="e">
        <f>VLOOKUP(A228,[1]Workings!$M:$U,9,0)</f>
        <v>#N/A</v>
      </c>
      <c r="P228" s="12" t="e">
        <f t="shared" si="18"/>
        <v>#N/A</v>
      </c>
    </row>
    <row r="229" spans="1:19" x14ac:dyDescent="0.35">
      <c r="A229" s="8">
        <v>7360257</v>
      </c>
      <c r="B229" s="14">
        <v>45904</v>
      </c>
      <c r="C229" t="s">
        <v>698</v>
      </c>
      <c r="D229" t="s">
        <v>771</v>
      </c>
      <c r="E229" t="s">
        <v>700</v>
      </c>
      <c r="F229" t="s">
        <v>189</v>
      </c>
      <c r="G229" s="7"/>
      <c r="H229" s="7">
        <v>-5145.8598000000002</v>
      </c>
      <c r="I229" s="7">
        <v>-1251275.1413</v>
      </c>
      <c r="J229" s="7"/>
      <c r="K229" s="7" t="s">
        <v>769</v>
      </c>
      <c r="L229" s="7" t="s">
        <v>772</v>
      </c>
      <c r="M229" s="7" t="s">
        <v>23</v>
      </c>
      <c r="N229" t="s">
        <v>24</v>
      </c>
      <c r="O229" s="7" t="e">
        <f>VLOOKUP(A229,[1]Workings!$M:$U,9,0)</f>
        <v>#N/A</v>
      </c>
      <c r="P229" s="12" t="e">
        <f t="shared" si="18"/>
        <v>#N/A</v>
      </c>
    </row>
    <row r="230" spans="1:19" x14ac:dyDescent="0.35">
      <c r="A230" s="8">
        <v>7360259</v>
      </c>
      <c r="B230" s="14">
        <v>45904</v>
      </c>
      <c r="C230" t="s">
        <v>698</v>
      </c>
      <c r="D230" t="s">
        <v>773</v>
      </c>
      <c r="E230" t="s">
        <v>700</v>
      </c>
      <c r="F230" t="s">
        <v>189</v>
      </c>
      <c r="G230" s="7"/>
      <c r="H230" s="7">
        <v>-5316.8885</v>
      </c>
      <c r="I230" s="7">
        <v>-1245958.2527999999</v>
      </c>
      <c r="J230" s="7"/>
      <c r="K230" s="7" t="s">
        <v>761</v>
      </c>
      <c r="L230" s="7" t="s">
        <v>774</v>
      </c>
      <c r="M230" s="7" t="s">
        <v>23</v>
      </c>
      <c r="N230" t="s">
        <v>24</v>
      </c>
      <c r="O230" s="7" t="e">
        <f>VLOOKUP(A230,[1]Workings!$M:$U,9,0)</f>
        <v>#N/A</v>
      </c>
      <c r="P230" s="12" t="e">
        <f t="shared" si="18"/>
        <v>#N/A</v>
      </c>
    </row>
    <row r="231" spans="1:19" x14ac:dyDescent="0.35">
      <c r="A231" s="8">
        <v>7360566</v>
      </c>
      <c r="B231" s="1">
        <v>45959</v>
      </c>
      <c r="C231" t="s">
        <v>280</v>
      </c>
      <c r="D231" t="s">
        <v>775</v>
      </c>
      <c r="E231" t="s">
        <v>776</v>
      </c>
      <c r="F231" t="s">
        <v>434</v>
      </c>
      <c r="G231" s="7">
        <v>153004.0963</v>
      </c>
      <c r="H231" s="7"/>
      <c r="I231" s="7">
        <v>-1092954.1565</v>
      </c>
      <c r="J231" s="7" t="s">
        <v>777</v>
      </c>
      <c r="K231" s="7"/>
      <c r="L231" s="7" t="s">
        <v>778</v>
      </c>
      <c r="M231" s="7" t="s">
        <v>75</v>
      </c>
      <c r="N231" t="s">
        <v>24</v>
      </c>
      <c r="O231" s="7" t="e">
        <f>VLOOKUP(A231,[1]Workings!$M:$U,9,0)</f>
        <v>#N/A</v>
      </c>
      <c r="P231" s="12" t="e">
        <f t="shared" si="18"/>
        <v>#N/A</v>
      </c>
    </row>
    <row r="232" spans="1:19" x14ac:dyDescent="0.35">
      <c r="A232" s="8">
        <v>256779417873</v>
      </c>
      <c r="B232" s="1">
        <v>45935</v>
      </c>
      <c r="C232" t="s">
        <v>261</v>
      </c>
      <c r="D232" t="s">
        <v>779</v>
      </c>
      <c r="E232" t="s">
        <v>19</v>
      </c>
      <c r="F232" t="s">
        <v>30</v>
      </c>
      <c r="G232" s="7"/>
      <c r="H232" s="7">
        <v>89999.522899999996</v>
      </c>
      <c r="I232" s="7">
        <v>-1182953.6794</v>
      </c>
      <c r="J232" s="7"/>
      <c r="K232" s="7" t="s">
        <v>780</v>
      </c>
      <c r="L232" s="7" t="s">
        <v>781</v>
      </c>
      <c r="M232" s="7" t="s">
        <v>23</v>
      </c>
      <c r="N232" t="s">
        <v>24</v>
      </c>
      <c r="O232" s="7">
        <f>VLOOKUP(A232,[1]Workings!$M:$U,9,0)</f>
        <v>100000</v>
      </c>
      <c r="P232" s="12">
        <f t="shared" si="18"/>
        <v>-10000.477100000004</v>
      </c>
      <c r="S232">
        <f t="shared" ref="S232:S236" si="19">P232/O232*100</f>
        <v>-10.000477100000003</v>
      </c>
    </row>
    <row r="233" spans="1:19" x14ac:dyDescent="0.35">
      <c r="A233" s="8">
        <v>256779417874</v>
      </c>
      <c r="B233" s="1">
        <v>45935</v>
      </c>
      <c r="C233" t="s">
        <v>261</v>
      </c>
      <c r="D233" t="s">
        <v>782</v>
      </c>
      <c r="E233" t="s">
        <v>19</v>
      </c>
      <c r="F233" t="s">
        <v>46</v>
      </c>
      <c r="G233" s="7"/>
      <c r="H233" s="7">
        <v>34299.965300000003</v>
      </c>
      <c r="I233" s="7">
        <v>-1217253.6447000001</v>
      </c>
      <c r="J233" s="7"/>
      <c r="K233" s="7" t="s">
        <v>783</v>
      </c>
      <c r="L233" s="7" t="s">
        <v>784</v>
      </c>
      <c r="M233" s="7" t="s">
        <v>23</v>
      </c>
      <c r="N233" t="s">
        <v>24</v>
      </c>
      <c r="O233" s="7">
        <f>VLOOKUP(A233,[1]Workings!$M:$U,9,0)</f>
        <v>35000</v>
      </c>
      <c r="P233" s="12">
        <f t="shared" si="18"/>
        <v>-700.03469999999652</v>
      </c>
      <c r="S233">
        <f t="shared" si="19"/>
        <v>-2.0000991428571329</v>
      </c>
    </row>
    <row r="234" spans="1:19" x14ac:dyDescent="0.35">
      <c r="A234" s="8">
        <v>256779418095</v>
      </c>
      <c r="B234" s="14">
        <v>45935</v>
      </c>
      <c r="C234" t="s">
        <v>261</v>
      </c>
      <c r="D234" t="s">
        <v>785</v>
      </c>
      <c r="E234" t="s">
        <v>19</v>
      </c>
      <c r="F234" t="s">
        <v>63</v>
      </c>
      <c r="G234" s="7"/>
      <c r="H234" s="7">
        <v>7937</v>
      </c>
      <c r="I234" s="7">
        <v>-1225190.6447000001</v>
      </c>
      <c r="J234" s="7"/>
      <c r="K234" s="7" t="s">
        <v>403</v>
      </c>
      <c r="L234" s="7" t="s">
        <v>786</v>
      </c>
      <c r="M234" s="7" t="s">
        <v>23</v>
      </c>
      <c r="N234" t="s">
        <v>24</v>
      </c>
      <c r="O234" s="7">
        <f>VLOOKUP(A234,[1]Workings!$M:$U,9,0)</f>
        <v>74962.149999999994</v>
      </c>
      <c r="P234" s="12">
        <f t="shared" si="18"/>
        <v>-67025.149999999994</v>
      </c>
      <c r="Q234" s="12" t="s">
        <v>981</v>
      </c>
      <c r="S234">
        <f t="shared" si="19"/>
        <v>-89.41198991757841</v>
      </c>
    </row>
    <row r="235" spans="1:19" x14ac:dyDescent="0.35">
      <c r="A235" s="8">
        <v>256779418095</v>
      </c>
      <c r="B235" s="14">
        <v>45935</v>
      </c>
      <c r="C235" t="s">
        <v>261</v>
      </c>
      <c r="D235" t="s">
        <v>787</v>
      </c>
      <c r="E235" t="s">
        <v>19</v>
      </c>
      <c r="F235" t="s">
        <v>189</v>
      </c>
      <c r="G235" s="7"/>
      <c r="H235" s="7">
        <v>64819.5</v>
      </c>
      <c r="I235" s="7">
        <v>-1290010.1447000001</v>
      </c>
      <c r="J235" s="7"/>
      <c r="K235" s="7" t="s">
        <v>743</v>
      </c>
      <c r="L235" s="7" t="s">
        <v>788</v>
      </c>
      <c r="M235" s="7" t="s">
        <v>23</v>
      </c>
      <c r="N235" t="s">
        <v>24</v>
      </c>
      <c r="O235" s="7">
        <f>VLOOKUP(A235,[1]Workings!$M:$U,9,0)</f>
        <v>74962.149999999994</v>
      </c>
      <c r="P235" s="12">
        <f t="shared" si="18"/>
        <v>-10142.649999999994</v>
      </c>
      <c r="Q235" s="12" t="s">
        <v>981</v>
      </c>
      <c r="S235">
        <f t="shared" si="19"/>
        <v>-13.53036165584898</v>
      </c>
    </row>
    <row r="236" spans="1:19" x14ac:dyDescent="0.35">
      <c r="A236" s="8">
        <v>256779417979</v>
      </c>
      <c r="B236" s="1">
        <v>45935</v>
      </c>
      <c r="C236" t="s">
        <v>261</v>
      </c>
      <c r="D236" t="s">
        <v>789</v>
      </c>
      <c r="E236" t="s">
        <v>19</v>
      </c>
      <c r="F236" t="s">
        <v>453</v>
      </c>
      <c r="G236" s="7"/>
      <c r="H236" s="7">
        <v>11795.171200000001</v>
      </c>
      <c r="I236" s="7">
        <v>-1301805.3159</v>
      </c>
      <c r="J236" s="7"/>
      <c r="K236" s="7" t="s">
        <v>790</v>
      </c>
      <c r="L236" s="7" t="s">
        <v>791</v>
      </c>
      <c r="M236" s="7" t="s">
        <v>23</v>
      </c>
      <c r="N236" t="s">
        <v>24</v>
      </c>
      <c r="O236" s="7">
        <f>VLOOKUP(A236,[1]Workings!$M:$U,9,0)</f>
        <v>12036.28</v>
      </c>
      <c r="P236" s="12">
        <f t="shared" si="18"/>
        <v>-241.10879999999997</v>
      </c>
      <c r="S236">
        <f t="shared" si="19"/>
        <v>-2.0031837079230455</v>
      </c>
    </row>
    <row r="237" spans="1:19" x14ac:dyDescent="0.35">
      <c r="A237" s="8"/>
      <c r="B237" s="1">
        <v>45961</v>
      </c>
      <c r="C237" t="s">
        <v>280</v>
      </c>
      <c r="D237" t="s">
        <v>792</v>
      </c>
      <c r="E237" t="s">
        <v>793</v>
      </c>
      <c r="F237" t="s">
        <v>434</v>
      </c>
      <c r="G237" s="7">
        <v>176448.3726</v>
      </c>
      <c r="H237" s="7"/>
      <c r="I237" s="7">
        <v>-1125356.9432999999</v>
      </c>
      <c r="J237" s="7" t="s">
        <v>658</v>
      </c>
      <c r="K237" s="7"/>
      <c r="L237" s="7" t="s">
        <v>794</v>
      </c>
      <c r="M237" s="7" t="s">
        <v>75</v>
      </c>
      <c r="N237" t="s">
        <v>24</v>
      </c>
      <c r="O237" s="7" t="e">
        <f>VLOOKUP(A237,[1]Workings!$M:$U,9,0)</f>
        <v>#N/A</v>
      </c>
      <c r="P237" s="12" t="e">
        <f t="shared" si="18"/>
        <v>#N/A</v>
      </c>
    </row>
    <row r="238" spans="1:19" x14ac:dyDescent="0.35">
      <c r="A238" s="8"/>
      <c r="B238" s="1">
        <v>45961</v>
      </c>
      <c r="C238" t="s">
        <v>280</v>
      </c>
      <c r="D238" t="s">
        <v>795</v>
      </c>
      <c r="E238" t="s">
        <v>796</v>
      </c>
      <c r="F238" t="s">
        <v>434</v>
      </c>
      <c r="G238" s="7">
        <v>916796.68830000004</v>
      </c>
      <c r="H238" s="7"/>
      <c r="I238" s="7">
        <v>-208560.255</v>
      </c>
      <c r="J238" s="7" t="s">
        <v>797</v>
      </c>
      <c r="K238" s="7"/>
      <c r="L238" s="7" t="s">
        <v>798</v>
      </c>
      <c r="M238" s="7" t="s">
        <v>75</v>
      </c>
      <c r="N238" t="s">
        <v>24</v>
      </c>
      <c r="O238" s="7" t="e">
        <f>VLOOKUP(A238,[1]Workings!$M:$U,9,0)</f>
        <v>#N/A</v>
      </c>
      <c r="P238" s="12" t="e">
        <f t="shared" si="18"/>
        <v>#N/A</v>
      </c>
    </row>
    <row r="239" spans="1:19" x14ac:dyDescent="0.35">
      <c r="A239" s="8">
        <v>256779417902</v>
      </c>
      <c r="B239" s="1">
        <v>45935</v>
      </c>
      <c r="C239" t="s">
        <v>261</v>
      </c>
      <c r="D239" t="s">
        <v>799</v>
      </c>
      <c r="E239" t="s">
        <v>19</v>
      </c>
      <c r="F239" t="s">
        <v>546</v>
      </c>
      <c r="G239" s="7"/>
      <c r="H239" s="7">
        <v>2432.5484999999999</v>
      </c>
      <c r="I239" s="7">
        <v>-210992.80350000001</v>
      </c>
      <c r="J239" s="7"/>
      <c r="K239" s="7" t="s">
        <v>800</v>
      </c>
      <c r="L239" s="7" t="s">
        <v>801</v>
      </c>
      <c r="M239" s="7" t="s">
        <v>802</v>
      </c>
      <c r="N239" t="s">
        <v>24</v>
      </c>
      <c r="O239" s="7">
        <f>VLOOKUP(A239,[1]Workings!$M:$U,9,0)</f>
        <v>2482.5700000000002</v>
      </c>
      <c r="P239" s="12">
        <f t="shared" si="18"/>
        <v>-50.021500000000287</v>
      </c>
      <c r="S239">
        <f t="shared" ref="S239:S272" si="20">P239/O239*100</f>
        <v>-2.0149079381447565</v>
      </c>
    </row>
    <row r="240" spans="1:19" x14ac:dyDescent="0.35">
      <c r="A240" s="8">
        <v>256779417940</v>
      </c>
      <c r="B240" s="1">
        <v>45935</v>
      </c>
      <c r="C240" t="s">
        <v>261</v>
      </c>
      <c r="D240" t="s">
        <v>803</v>
      </c>
      <c r="E240" t="s">
        <v>19</v>
      </c>
      <c r="F240" t="s">
        <v>385</v>
      </c>
      <c r="G240" s="7"/>
      <c r="H240" s="7">
        <v>28649.985000000001</v>
      </c>
      <c r="I240" s="7">
        <v>-239642.7885</v>
      </c>
      <c r="J240" s="7"/>
      <c r="K240" s="7" t="s">
        <v>804</v>
      </c>
      <c r="L240" s="7" t="s">
        <v>805</v>
      </c>
      <c r="M240" s="7" t="s">
        <v>806</v>
      </c>
      <c r="N240" t="s">
        <v>24</v>
      </c>
      <c r="O240" s="7">
        <f>VLOOKUP(A240,[1]Workings!$M:$U,9,0)</f>
        <v>29235.24</v>
      </c>
      <c r="P240" s="12">
        <f t="shared" si="18"/>
        <v>-585.25500000000102</v>
      </c>
      <c r="S240">
        <f t="shared" si="20"/>
        <v>-2.0018819753147263</v>
      </c>
    </row>
    <row r="241" spans="1:19" x14ac:dyDescent="0.35">
      <c r="A241" s="8">
        <v>256779418400</v>
      </c>
      <c r="B241" s="1">
        <v>45935</v>
      </c>
      <c r="C241" t="s">
        <v>261</v>
      </c>
      <c r="D241" t="s">
        <v>807</v>
      </c>
      <c r="E241" t="s">
        <v>19</v>
      </c>
      <c r="F241" t="s">
        <v>54</v>
      </c>
      <c r="G241" s="7"/>
      <c r="H241" s="7">
        <v>25349.127</v>
      </c>
      <c r="I241" s="7">
        <v>-264991.9155</v>
      </c>
      <c r="J241" s="7"/>
      <c r="K241" s="7" t="s">
        <v>808</v>
      </c>
      <c r="L241" s="7" t="s">
        <v>809</v>
      </c>
      <c r="M241" s="7" t="s">
        <v>810</v>
      </c>
      <c r="N241" t="s">
        <v>24</v>
      </c>
      <c r="O241" s="7">
        <f>VLOOKUP(A241,[1]Workings!$M:$U,9,0)</f>
        <v>25866.35</v>
      </c>
      <c r="P241" s="12">
        <f t="shared" si="18"/>
        <v>-517.22299999999814</v>
      </c>
      <c r="S241">
        <f t="shared" si="20"/>
        <v>-1.9995979332221137</v>
      </c>
    </row>
    <row r="242" spans="1:19" x14ac:dyDescent="0.35">
      <c r="A242" s="8">
        <v>256779418621</v>
      </c>
      <c r="B242" s="14">
        <v>45950</v>
      </c>
      <c r="C242" t="s">
        <v>261</v>
      </c>
      <c r="D242" t="s">
        <v>811</v>
      </c>
      <c r="E242" t="s">
        <v>19</v>
      </c>
      <c r="F242" t="s">
        <v>189</v>
      </c>
      <c r="G242" s="7"/>
      <c r="H242" s="7">
        <v>64819.5</v>
      </c>
      <c r="I242" s="7">
        <v>-329811.4155</v>
      </c>
      <c r="J242" s="7"/>
      <c r="K242" s="7" t="s">
        <v>743</v>
      </c>
      <c r="L242" s="7" t="s">
        <v>812</v>
      </c>
      <c r="M242" s="7" t="s">
        <v>813</v>
      </c>
      <c r="N242" t="s">
        <v>24</v>
      </c>
      <c r="O242" s="7">
        <f>VLOOKUP(A242,[1]Workings!$M:$U,9,0)</f>
        <v>74962.149999999994</v>
      </c>
      <c r="P242" s="12">
        <f t="shared" si="18"/>
        <v>-10142.649999999994</v>
      </c>
      <c r="Q242" s="12" t="s">
        <v>981</v>
      </c>
      <c r="S242">
        <f t="shared" si="20"/>
        <v>-13.53036165584898</v>
      </c>
    </row>
    <row r="243" spans="1:19" x14ac:dyDescent="0.35">
      <c r="A243" s="8">
        <v>256779418621</v>
      </c>
      <c r="B243" s="14">
        <v>45950</v>
      </c>
      <c r="C243" t="s">
        <v>261</v>
      </c>
      <c r="D243" t="s">
        <v>814</v>
      </c>
      <c r="E243" t="s">
        <v>19</v>
      </c>
      <c r="F243" t="s">
        <v>63</v>
      </c>
      <c r="G243" s="7"/>
      <c r="H243" s="7">
        <v>7937</v>
      </c>
      <c r="I243" s="7">
        <v>-337748.4155</v>
      </c>
      <c r="J243" s="7"/>
      <c r="K243" s="7" t="s">
        <v>403</v>
      </c>
      <c r="L243" s="7" t="s">
        <v>815</v>
      </c>
      <c r="M243" s="7" t="s">
        <v>816</v>
      </c>
      <c r="N243" t="s">
        <v>24</v>
      </c>
      <c r="O243" s="7">
        <f>VLOOKUP(A243,[1]Workings!$M:$U,9,0)</f>
        <v>74962.149999999994</v>
      </c>
      <c r="P243" s="12">
        <f t="shared" si="18"/>
        <v>-67025.149999999994</v>
      </c>
      <c r="Q243" s="12" t="s">
        <v>981</v>
      </c>
      <c r="S243">
        <f t="shared" si="20"/>
        <v>-89.41198991757841</v>
      </c>
    </row>
    <row r="244" spans="1:19" x14ac:dyDescent="0.35">
      <c r="A244" s="8">
        <v>256779418633</v>
      </c>
      <c r="B244" s="1">
        <v>45950</v>
      </c>
      <c r="C244" t="s">
        <v>261</v>
      </c>
      <c r="D244" t="s">
        <v>817</v>
      </c>
      <c r="E244" t="s">
        <v>19</v>
      </c>
      <c r="F244" t="s">
        <v>54</v>
      </c>
      <c r="G244" s="7"/>
      <c r="H244" s="7">
        <v>3024.65</v>
      </c>
      <c r="I244" s="7">
        <v>-340773.06550000003</v>
      </c>
      <c r="J244" s="7"/>
      <c r="K244" s="7" t="s">
        <v>175</v>
      </c>
      <c r="L244" s="7" t="s">
        <v>818</v>
      </c>
      <c r="M244" s="7" t="s">
        <v>819</v>
      </c>
      <c r="N244" t="s">
        <v>24</v>
      </c>
      <c r="O244" s="7">
        <f>VLOOKUP(A244,[1]Workings!$M:$U,9,0)</f>
        <v>3086.68</v>
      </c>
      <c r="P244" s="12">
        <f t="shared" si="18"/>
        <v>-62.029999999999745</v>
      </c>
      <c r="S244">
        <f t="shared" si="20"/>
        <v>-2.0096025503129495</v>
      </c>
    </row>
    <row r="245" spans="1:19" x14ac:dyDescent="0.35">
      <c r="A245" s="8">
        <v>256779418663</v>
      </c>
      <c r="B245" s="1">
        <v>45950</v>
      </c>
      <c r="C245" t="s">
        <v>261</v>
      </c>
      <c r="D245" t="s">
        <v>820</v>
      </c>
      <c r="E245" t="s">
        <v>19</v>
      </c>
      <c r="F245" t="s">
        <v>385</v>
      </c>
      <c r="G245" s="7"/>
      <c r="H245" s="7">
        <v>25400.159100000001</v>
      </c>
      <c r="I245" s="7">
        <v>-366173.22460000002</v>
      </c>
      <c r="J245" s="7"/>
      <c r="K245" s="7" t="s">
        <v>721</v>
      </c>
      <c r="L245" s="7" t="s">
        <v>821</v>
      </c>
      <c r="M245" s="7" t="s">
        <v>822</v>
      </c>
      <c r="N245" t="s">
        <v>24</v>
      </c>
      <c r="O245" s="7">
        <f>VLOOKUP(A245,[1]Workings!$M:$U,9,0)</f>
        <v>25918.39</v>
      </c>
      <c r="P245" s="12">
        <f t="shared" si="18"/>
        <v>-518.23089999999866</v>
      </c>
      <c r="S245">
        <f t="shared" si="20"/>
        <v>-1.9994718036112531</v>
      </c>
    </row>
    <row r="246" spans="1:19" x14ac:dyDescent="0.35">
      <c r="A246" s="8">
        <v>256779418180</v>
      </c>
      <c r="B246" s="1">
        <v>45937</v>
      </c>
      <c r="C246" t="s">
        <v>261</v>
      </c>
      <c r="D246" t="s">
        <v>823</v>
      </c>
      <c r="E246" t="s">
        <v>19</v>
      </c>
      <c r="F246" t="s">
        <v>54</v>
      </c>
      <c r="G246" s="7"/>
      <c r="H246" s="7">
        <v>14970.2718</v>
      </c>
      <c r="I246" s="7">
        <v>-381143.4964</v>
      </c>
      <c r="J246" s="7"/>
      <c r="K246" s="7" t="s">
        <v>824</v>
      </c>
      <c r="L246" s="7" t="s">
        <v>825</v>
      </c>
      <c r="M246" s="7" t="s">
        <v>826</v>
      </c>
      <c r="N246" t="s">
        <v>24</v>
      </c>
      <c r="O246" s="7">
        <f>VLOOKUP(A246,[1]Workings!$M:$U,9,0)</f>
        <v>15276.41</v>
      </c>
      <c r="P246" s="12">
        <f t="shared" si="18"/>
        <v>-306.13819999999942</v>
      </c>
      <c r="S246">
        <f t="shared" si="20"/>
        <v>-2.0039930847627119</v>
      </c>
    </row>
    <row r="247" spans="1:19" x14ac:dyDescent="0.35">
      <c r="A247" s="8">
        <v>256779418170</v>
      </c>
      <c r="B247" s="1">
        <v>45937</v>
      </c>
      <c r="C247" t="s">
        <v>261</v>
      </c>
      <c r="D247" t="s">
        <v>827</v>
      </c>
      <c r="E247" t="s">
        <v>19</v>
      </c>
      <c r="F247" t="s">
        <v>738</v>
      </c>
      <c r="G247" s="7"/>
      <c r="H247" s="7">
        <v>8643</v>
      </c>
      <c r="I247" s="7">
        <v>-389786.4964</v>
      </c>
      <c r="J247" s="7"/>
      <c r="K247" s="7" t="s">
        <v>216</v>
      </c>
      <c r="L247" s="7" t="s">
        <v>828</v>
      </c>
      <c r="M247" s="7" t="s">
        <v>829</v>
      </c>
      <c r="N247" t="s">
        <v>24</v>
      </c>
      <c r="O247" s="7">
        <f>VLOOKUP(A247,[1]Workings!$M:$U,9,0)</f>
        <v>8819.08</v>
      </c>
      <c r="P247" s="12">
        <f t="shared" si="18"/>
        <v>-176.07999999999993</v>
      </c>
      <c r="S247">
        <f t="shared" si="20"/>
        <v>-1.9965801421463456</v>
      </c>
    </row>
    <row r="248" spans="1:19" x14ac:dyDescent="0.35">
      <c r="A248" s="8">
        <v>256779418820</v>
      </c>
      <c r="B248" s="1">
        <v>45966</v>
      </c>
      <c r="C248" t="s">
        <v>261</v>
      </c>
      <c r="D248" t="s">
        <v>830</v>
      </c>
      <c r="E248" t="s">
        <v>19</v>
      </c>
      <c r="F248" t="s">
        <v>54</v>
      </c>
      <c r="G248" s="7"/>
      <c r="H248" s="7">
        <v>30281.439999999999</v>
      </c>
      <c r="I248" s="7">
        <v>-420067.93640000001</v>
      </c>
      <c r="J248" s="7"/>
      <c r="K248" s="7" t="s">
        <v>831</v>
      </c>
      <c r="L248" s="7" t="s">
        <v>832</v>
      </c>
      <c r="M248" s="7" t="s">
        <v>833</v>
      </c>
      <c r="N248" t="s">
        <v>24</v>
      </c>
      <c r="O248" s="7">
        <f>VLOOKUP(A248,[1]Workings!$M:$U,9,0)</f>
        <v>30900.63</v>
      </c>
      <c r="P248" s="12">
        <f t="shared" si="18"/>
        <v>-619.19000000000233</v>
      </c>
      <c r="S248">
        <f t="shared" si="20"/>
        <v>-2.0038102783017768</v>
      </c>
    </row>
    <row r="249" spans="1:19" x14ac:dyDescent="0.35">
      <c r="A249" s="8">
        <v>256779418703</v>
      </c>
      <c r="B249" s="1">
        <v>45950</v>
      </c>
      <c r="C249" t="s">
        <v>261</v>
      </c>
      <c r="D249" t="s">
        <v>834</v>
      </c>
      <c r="E249" t="s">
        <v>19</v>
      </c>
      <c r="F249" t="s">
        <v>453</v>
      </c>
      <c r="G249" s="7"/>
      <c r="H249" s="7">
        <v>849.90769999999998</v>
      </c>
      <c r="I249" s="7">
        <v>-420917.84409999999</v>
      </c>
      <c r="J249" s="7"/>
      <c r="K249" s="7" t="s">
        <v>835</v>
      </c>
      <c r="L249" s="7" t="s">
        <v>836</v>
      </c>
      <c r="M249" s="7" t="s">
        <v>837</v>
      </c>
      <c r="N249" t="s">
        <v>24</v>
      </c>
      <c r="O249" s="7">
        <f>VLOOKUP(A249,[1]Workings!$M:$U,9,0)</f>
        <v>866.92</v>
      </c>
      <c r="P249" s="12">
        <f t="shared" si="18"/>
        <v>-17.012299999999982</v>
      </c>
      <c r="S249">
        <f t="shared" si="20"/>
        <v>-1.962384072348081</v>
      </c>
    </row>
    <row r="250" spans="1:19" x14ac:dyDescent="0.35">
      <c r="A250" s="8">
        <v>256779419174</v>
      </c>
      <c r="B250" s="1">
        <v>45966</v>
      </c>
      <c r="C250" t="s">
        <v>261</v>
      </c>
      <c r="D250" t="s">
        <v>838</v>
      </c>
      <c r="E250" t="s">
        <v>19</v>
      </c>
      <c r="F250" t="s">
        <v>453</v>
      </c>
      <c r="G250" s="7"/>
      <c r="H250" s="7">
        <v>708.50779999999997</v>
      </c>
      <c r="I250" s="7">
        <v>-421626.35190000001</v>
      </c>
      <c r="J250" s="7"/>
      <c r="K250" s="7" t="s">
        <v>839</v>
      </c>
      <c r="L250" s="7" t="s">
        <v>840</v>
      </c>
      <c r="M250" s="7" t="s">
        <v>841</v>
      </c>
      <c r="N250" t="s">
        <v>24</v>
      </c>
      <c r="O250" s="7">
        <f>VLOOKUP(A250,[1]Workings!$M:$U,9,0)</f>
        <v>722.51</v>
      </c>
      <c r="P250" s="12">
        <f t="shared" si="18"/>
        <v>-14.002200000000016</v>
      </c>
      <c r="S250">
        <f t="shared" si="20"/>
        <v>-1.9379939378001712</v>
      </c>
    </row>
    <row r="251" spans="1:19" x14ac:dyDescent="0.35">
      <c r="A251" s="8">
        <v>256779419130</v>
      </c>
      <c r="B251" s="1">
        <v>45964</v>
      </c>
      <c r="C251" t="s">
        <v>261</v>
      </c>
      <c r="D251" t="s">
        <v>842</v>
      </c>
      <c r="E251" t="s">
        <v>19</v>
      </c>
      <c r="F251" t="s">
        <v>219</v>
      </c>
      <c r="G251" s="7"/>
      <c r="H251" s="7">
        <v>4545.4799999999996</v>
      </c>
      <c r="I251" s="7">
        <v>-426171.83189999999</v>
      </c>
      <c r="J251" s="7"/>
      <c r="K251" s="7" t="s">
        <v>843</v>
      </c>
      <c r="L251" s="7" t="s">
        <v>844</v>
      </c>
      <c r="M251" s="7" t="s">
        <v>845</v>
      </c>
      <c r="N251" t="s">
        <v>24</v>
      </c>
      <c r="O251" s="7">
        <f>VLOOKUP(A251,[1]Workings!$M:$U,9,0)</f>
        <v>4638.66</v>
      </c>
      <c r="P251" s="12">
        <f t="shared" si="18"/>
        <v>-93.180000000000291</v>
      </c>
      <c r="S251">
        <f t="shared" si="20"/>
        <v>-2.0087697740295751</v>
      </c>
    </row>
    <row r="252" spans="1:19" x14ac:dyDescent="0.35">
      <c r="A252" s="8">
        <v>256779419077</v>
      </c>
      <c r="B252" s="14">
        <v>45966</v>
      </c>
      <c r="C252" t="s">
        <v>261</v>
      </c>
      <c r="D252" t="s">
        <v>846</v>
      </c>
      <c r="E252" t="s">
        <v>19</v>
      </c>
      <c r="F252" t="s">
        <v>63</v>
      </c>
      <c r="G252" s="7"/>
      <c r="H252" s="7">
        <v>7920</v>
      </c>
      <c r="I252" s="7">
        <v>-434091.83189999999</v>
      </c>
      <c r="J252" s="7"/>
      <c r="K252" s="7" t="s">
        <v>403</v>
      </c>
      <c r="L252" s="7" t="s">
        <v>847</v>
      </c>
      <c r="M252" s="7" t="s">
        <v>816</v>
      </c>
      <c r="N252" t="s">
        <v>24</v>
      </c>
      <c r="O252" s="7">
        <f>VLOOKUP(A252,[1]Workings!$M:$U,9,0)</f>
        <v>79203.05</v>
      </c>
      <c r="P252" s="12">
        <f t="shared" si="18"/>
        <v>-71283.05</v>
      </c>
      <c r="Q252" s="12" t="s">
        <v>981</v>
      </c>
      <c r="S252">
        <f t="shared" si="20"/>
        <v>-90.000385086180387</v>
      </c>
    </row>
    <row r="253" spans="1:19" x14ac:dyDescent="0.35">
      <c r="A253" s="8">
        <v>256779419077</v>
      </c>
      <c r="B253" s="14">
        <v>45966</v>
      </c>
      <c r="C253" t="s">
        <v>261</v>
      </c>
      <c r="D253" t="s">
        <v>848</v>
      </c>
      <c r="E253" t="s">
        <v>19</v>
      </c>
      <c r="F253" t="s">
        <v>189</v>
      </c>
      <c r="G253" s="7"/>
      <c r="H253" s="7">
        <v>68992</v>
      </c>
      <c r="I253" s="7">
        <v>-503083.83189999999</v>
      </c>
      <c r="J253" s="7"/>
      <c r="K253" s="7" t="s">
        <v>849</v>
      </c>
      <c r="L253" s="7" t="s">
        <v>850</v>
      </c>
      <c r="M253" s="7" t="s">
        <v>851</v>
      </c>
      <c r="N253" t="s">
        <v>24</v>
      </c>
      <c r="O253" s="7">
        <f>VLOOKUP(A253,[1]Workings!$M:$U,9,0)</f>
        <v>79203.05</v>
      </c>
      <c r="P253" s="12">
        <f t="shared" si="18"/>
        <v>-10211.050000000003</v>
      </c>
      <c r="Q253" s="12" t="s">
        <v>981</v>
      </c>
      <c r="S253">
        <f t="shared" si="20"/>
        <v>-12.892243417393651</v>
      </c>
    </row>
    <row r="254" spans="1:19" x14ac:dyDescent="0.35">
      <c r="A254" s="8">
        <v>256779418775</v>
      </c>
      <c r="B254" s="1">
        <v>45966</v>
      </c>
      <c r="C254" t="s">
        <v>261</v>
      </c>
      <c r="D254" t="s">
        <v>852</v>
      </c>
      <c r="E254" t="s">
        <v>19</v>
      </c>
      <c r="F254" t="s">
        <v>30</v>
      </c>
      <c r="G254" s="7"/>
      <c r="H254" s="7">
        <v>89996.160000000003</v>
      </c>
      <c r="I254" s="7">
        <v>-593079.99190000002</v>
      </c>
      <c r="J254" s="7"/>
      <c r="K254" s="7" t="s">
        <v>853</v>
      </c>
      <c r="L254" s="7" t="s">
        <v>854</v>
      </c>
      <c r="M254" s="7" t="s">
        <v>855</v>
      </c>
      <c r="N254" t="s">
        <v>24</v>
      </c>
      <c r="O254" s="7">
        <f>VLOOKUP(A254,[1]Workings!$M:$U,9,0)</f>
        <v>100000</v>
      </c>
      <c r="P254" s="12">
        <f t="shared" si="18"/>
        <v>-10003.839999999997</v>
      </c>
      <c r="S254">
        <f t="shared" si="20"/>
        <v>-10.003839999999997</v>
      </c>
    </row>
    <row r="255" spans="1:19" x14ac:dyDescent="0.35">
      <c r="A255" s="8">
        <v>256779418776</v>
      </c>
      <c r="B255" s="14">
        <v>45966</v>
      </c>
      <c r="C255" t="s">
        <v>261</v>
      </c>
      <c r="D255" t="s">
        <v>860</v>
      </c>
      <c r="E255" t="s">
        <v>19</v>
      </c>
      <c r="F255" t="s">
        <v>46</v>
      </c>
      <c r="G255" s="7"/>
      <c r="H255" s="7">
        <v>34299.828200000004</v>
      </c>
      <c r="I255" s="7">
        <v>-627379.82010000001</v>
      </c>
      <c r="J255" s="7"/>
      <c r="K255" s="7" t="s">
        <v>857</v>
      </c>
      <c r="L255" s="7" t="s">
        <v>858</v>
      </c>
      <c r="M255" s="7" t="s">
        <v>861</v>
      </c>
      <c r="N255" t="s">
        <v>24</v>
      </c>
      <c r="O255" s="7">
        <f>VLOOKUP(A255,[1]Workings!$M:$U,9,0)</f>
        <v>35000</v>
      </c>
      <c r="P255" s="12">
        <f t="shared" si="18"/>
        <v>-700.17179999999644</v>
      </c>
      <c r="S255">
        <f t="shared" si="20"/>
        <v>-2.000490857142847</v>
      </c>
    </row>
    <row r="256" spans="1:19" x14ac:dyDescent="0.35">
      <c r="A256" s="8">
        <v>256779419630</v>
      </c>
      <c r="B256" s="1">
        <v>45981</v>
      </c>
      <c r="C256" t="s">
        <v>261</v>
      </c>
      <c r="D256" t="s">
        <v>862</v>
      </c>
      <c r="E256" t="s">
        <v>19</v>
      </c>
      <c r="F256" t="s">
        <v>453</v>
      </c>
      <c r="G256" s="7"/>
      <c r="H256" s="7">
        <v>9709.4215999999997</v>
      </c>
      <c r="I256" s="7">
        <v>-637089.24170000001</v>
      </c>
      <c r="J256" s="7"/>
      <c r="K256" s="7" t="s">
        <v>863</v>
      </c>
      <c r="L256" s="7" t="s">
        <v>864</v>
      </c>
      <c r="M256" s="7" t="s">
        <v>865</v>
      </c>
      <c r="N256" t="s">
        <v>24</v>
      </c>
      <c r="O256" s="7">
        <f>VLOOKUP(A256,[1]Workings!$M:$U,9,0)</f>
        <v>9907.42</v>
      </c>
      <c r="P256" s="12">
        <f t="shared" si="18"/>
        <v>-197.9984000000004</v>
      </c>
      <c r="S256">
        <f t="shared" si="20"/>
        <v>-1.9984859832327733</v>
      </c>
    </row>
    <row r="257" spans="1:19" x14ac:dyDescent="0.35">
      <c r="A257" s="8">
        <v>256779419918</v>
      </c>
      <c r="B257" s="1">
        <v>45996</v>
      </c>
      <c r="C257" t="s">
        <v>261</v>
      </c>
      <c r="D257" t="s">
        <v>866</v>
      </c>
      <c r="E257" t="s">
        <v>19</v>
      </c>
      <c r="F257" t="s">
        <v>453</v>
      </c>
      <c r="G257" s="7"/>
      <c r="H257" s="7">
        <v>9607.5776000000005</v>
      </c>
      <c r="I257" s="7">
        <v>-646696.81929999997</v>
      </c>
      <c r="J257" s="7"/>
      <c r="K257" s="7" t="s">
        <v>867</v>
      </c>
      <c r="L257" s="7" t="s">
        <v>868</v>
      </c>
      <c r="M257" s="7" t="s">
        <v>869</v>
      </c>
      <c r="N257" t="s">
        <v>24</v>
      </c>
      <c r="O257" s="7">
        <f>VLOOKUP(A257,[1]Workings!$M:$U,9,0)</f>
        <v>9881.2000000000007</v>
      </c>
      <c r="P257" s="12">
        <f t="shared" si="18"/>
        <v>-273.6224000000002</v>
      </c>
      <c r="S257">
        <f t="shared" si="20"/>
        <v>-2.7691211593733573</v>
      </c>
    </row>
    <row r="258" spans="1:19" x14ac:dyDescent="0.35">
      <c r="A258" s="8">
        <v>256779419796</v>
      </c>
      <c r="B258" s="14">
        <v>45996</v>
      </c>
      <c r="C258" t="s">
        <v>261</v>
      </c>
      <c r="D258" t="s">
        <v>870</v>
      </c>
      <c r="E258" t="s">
        <v>19</v>
      </c>
      <c r="F258" t="s">
        <v>63</v>
      </c>
      <c r="G258" s="7"/>
      <c r="H258" s="7">
        <v>7983</v>
      </c>
      <c r="I258" s="7">
        <v>-654679.81929999997</v>
      </c>
      <c r="J258" s="7"/>
      <c r="K258" s="7" t="s">
        <v>403</v>
      </c>
      <c r="L258" s="7" t="s">
        <v>871</v>
      </c>
      <c r="M258" s="7" t="s">
        <v>816</v>
      </c>
      <c r="N258" t="s">
        <v>24</v>
      </c>
      <c r="O258" s="7">
        <f>VLOOKUP(A258,[1]Workings!$M:$U,9,0)</f>
        <v>75395.12</v>
      </c>
      <c r="P258" s="12">
        <f t="shared" si="18"/>
        <v>-67412.12</v>
      </c>
      <c r="Q258" s="12" t="s">
        <v>981</v>
      </c>
      <c r="S258">
        <f t="shared" si="20"/>
        <v>-89.411781558275919</v>
      </c>
    </row>
    <row r="259" spans="1:19" x14ac:dyDescent="0.35">
      <c r="A259" s="8">
        <v>256779419796</v>
      </c>
      <c r="B259" s="14">
        <v>45996</v>
      </c>
      <c r="C259" t="s">
        <v>261</v>
      </c>
      <c r="D259" t="s">
        <v>872</v>
      </c>
      <c r="E259" t="s">
        <v>19</v>
      </c>
      <c r="F259" t="s">
        <v>189</v>
      </c>
      <c r="G259" s="7"/>
      <c r="H259" s="7">
        <v>65194</v>
      </c>
      <c r="I259" s="7">
        <v>-719873.81929999997</v>
      </c>
      <c r="J259" s="7"/>
      <c r="K259" s="7" t="s">
        <v>743</v>
      </c>
      <c r="L259" s="7" t="s">
        <v>873</v>
      </c>
      <c r="M259" s="7" t="s">
        <v>813</v>
      </c>
      <c r="N259" t="s">
        <v>24</v>
      </c>
      <c r="O259" s="7">
        <f>VLOOKUP(A259,[1]Workings!$M:$U,9,0)</f>
        <v>75395.12</v>
      </c>
      <c r="P259" s="12">
        <f t="shared" si="18"/>
        <v>-10201.119999999995</v>
      </c>
      <c r="Q259" s="12" t="s">
        <v>981</v>
      </c>
      <c r="S259">
        <f t="shared" si="20"/>
        <v>-13.530212565481687</v>
      </c>
    </row>
    <row r="260" spans="1:19" x14ac:dyDescent="0.35">
      <c r="A260" s="8">
        <v>256779419590</v>
      </c>
      <c r="B260" s="1">
        <v>45981</v>
      </c>
      <c r="C260" t="s">
        <v>261</v>
      </c>
      <c r="D260" t="s">
        <v>874</v>
      </c>
      <c r="E260" t="s">
        <v>19</v>
      </c>
      <c r="F260" t="s">
        <v>453</v>
      </c>
      <c r="G260" s="7"/>
      <c r="H260" s="7">
        <v>28590.123800000001</v>
      </c>
      <c r="I260" s="7">
        <v>-748463.94310000003</v>
      </c>
      <c r="J260" s="7"/>
      <c r="K260" s="7" t="s">
        <v>804</v>
      </c>
      <c r="L260" s="7" t="s">
        <v>875</v>
      </c>
      <c r="M260" s="7" t="s">
        <v>806</v>
      </c>
      <c r="N260" t="s">
        <v>24</v>
      </c>
      <c r="O260" s="7">
        <f>VLOOKUP(A260,[1]Workings!$M:$U,9,0)</f>
        <v>29173.119999999999</v>
      </c>
      <c r="P260" s="12">
        <f t="shared" si="18"/>
        <v>-582.99619999999777</v>
      </c>
      <c r="S260">
        <f t="shared" si="20"/>
        <v>-1.9984019535791777</v>
      </c>
    </row>
    <row r="261" spans="1:19" x14ac:dyDescent="0.35">
      <c r="A261" s="8">
        <v>256779419955</v>
      </c>
      <c r="B261" s="1">
        <v>45997</v>
      </c>
      <c r="C261" t="s">
        <v>261</v>
      </c>
      <c r="D261" t="s">
        <v>876</v>
      </c>
      <c r="E261" t="s">
        <v>19</v>
      </c>
      <c r="F261" t="s">
        <v>546</v>
      </c>
      <c r="G261" s="7"/>
      <c r="H261" s="7">
        <v>5388.5217000000002</v>
      </c>
      <c r="I261" s="7">
        <v>-753852.46479999996</v>
      </c>
      <c r="J261" s="7"/>
      <c r="K261" s="7" t="s">
        <v>877</v>
      </c>
      <c r="L261" s="7" t="s">
        <v>878</v>
      </c>
      <c r="M261" s="7" t="s">
        <v>879</v>
      </c>
      <c r="N261" t="s">
        <v>24</v>
      </c>
      <c r="O261" s="7">
        <f>VLOOKUP(A261,[1]Workings!$M:$U,9,0)</f>
        <v>5498.52</v>
      </c>
      <c r="P261" s="12">
        <f t="shared" si="18"/>
        <v>-109.9983000000002</v>
      </c>
      <c r="S261">
        <f t="shared" si="20"/>
        <v>-2.0005074092664969</v>
      </c>
    </row>
    <row r="262" spans="1:19" x14ac:dyDescent="0.35">
      <c r="A262" s="8">
        <v>256779419968</v>
      </c>
      <c r="B262" s="1">
        <v>45995</v>
      </c>
      <c r="C262" t="s">
        <v>261</v>
      </c>
      <c r="D262" t="s">
        <v>880</v>
      </c>
      <c r="E262" t="s">
        <v>19</v>
      </c>
      <c r="F262" t="s">
        <v>30</v>
      </c>
      <c r="G262" s="7"/>
      <c r="H262" s="7">
        <v>89999.493000000002</v>
      </c>
      <c r="I262" s="7">
        <v>-843851.95779999997</v>
      </c>
      <c r="J262" s="7"/>
      <c r="K262" s="7" t="s">
        <v>881</v>
      </c>
      <c r="L262" s="7" t="s">
        <v>882</v>
      </c>
      <c r="M262" s="7" t="s">
        <v>883</v>
      </c>
      <c r="N262" t="s">
        <v>24</v>
      </c>
      <c r="O262" s="7">
        <f>VLOOKUP(A262,[1]Workings!$M:$U,9,0)</f>
        <v>100000</v>
      </c>
      <c r="P262" s="12">
        <f t="shared" si="18"/>
        <v>-10000.506999999998</v>
      </c>
      <c r="S262">
        <f t="shared" si="20"/>
        <v>-10.000506999999997</v>
      </c>
    </row>
    <row r="263" spans="1:19" x14ac:dyDescent="0.35">
      <c r="A263" s="8">
        <v>256779419969</v>
      </c>
      <c r="B263" s="14">
        <v>45995</v>
      </c>
      <c r="C263" t="s">
        <v>261</v>
      </c>
      <c r="D263" t="s">
        <v>888</v>
      </c>
      <c r="E263" t="s">
        <v>19</v>
      </c>
      <c r="F263" t="s">
        <v>46</v>
      </c>
      <c r="G263" s="7"/>
      <c r="H263" s="7">
        <v>34300.133000000002</v>
      </c>
      <c r="I263" s="7">
        <v>-878152.09080000001</v>
      </c>
      <c r="J263" s="7"/>
      <c r="K263" s="7" t="s">
        <v>885</v>
      </c>
      <c r="L263" s="7" t="s">
        <v>886</v>
      </c>
      <c r="M263" s="7" t="s">
        <v>889</v>
      </c>
      <c r="N263" t="s">
        <v>24</v>
      </c>
      <c r="O263" s="7">
        <f>VLOOKUP(A263,[1]Workings!$M:$U,9,0)</f>
        <v>35000</v>
      </c>
      <c r="P263" s="12">
        <f t="shared" si="18"/>
        <v>-699.86699999999837</v>
      </c>
      <c r="S263">
        <f t="shared" si="20"/>
        <v>-1.9996199999999953</v>
      </c>
    </row>
    <row r="264" spans="1:19" x14ac:dyDescent="0.35">
      <c r="A264" s="8">
        <v>256779419558</v>
      </c>
      <c r="B264" s="14">
        <v>45981</v>
      </c>
      <c r="C264" t="s">
        <v>261</v>
      </c>
      <c r="D264" t="s">
        <v>890</v>
      </c>
      <c r="E264" t="s">
        <v>19</v>
      </c>
      <c r="F264" t="s">
        <v>63</v>
      </c>
      <c r="G264" s="7"/>
      <c r="H264" s="7">
        <v>7920.3389999999999</v>
      </c>
      <c r="I264" s="7">
        <v>-886072.42980000004</v>
      </c>
      <c r="J264" s="7"/>
      <c r="K264" s="7" t="s">
        <v>403</v>
      </c>
      <c r="L264" s="7" t="s">
        <v>891</v>
      </c>
      <c r="M264" s="7" t="s">
        <v>816</v>
      </c>
      <c r="N264" t="s">
        <v>24</v>
      </c>
      <c r="O264" s="7">
        <f>VLOOKUP(A264,[1]Workings!$M:$U,9,0)</f>
        <v>74802.880000000005</v>
      </c>
      <c r="P264" s="12">
        <f t="shared" si="18"/>
        <v>-66882.540999999997</v>
      </c>
      <c r="Q264" s="12" t="s">
        <v>981</v>
      </c>
      <c r="S264">
        <f t="shared" si="20"/>
        <v>-89.411719174448891</v>
      </c>
    </row>
    <row r="265" spans="1:19" x14ac:dyDescent="0.35">
      <c r="A265" s="8">
        <v>256779419558</v>
      </c>
      <c r="B265" s="14">
        <v>45981</v>
      </c>
      <c r="C265" t="s">
        <v>261</v>
      </c>
      <c r="D265" t="s">
        <v>892</v>
      </c>
      <c r="E265" t="s">
        <v>19</v>
      </c>
      <c r="F265" t="s">
        <v>189</v>
      </c>
      <c r="G265" s="7"/>
      <c r="H265" s="7">
        <v>64682.542500000003</v>
      </c>
      <c r="I265" s="7">
        <v>-950754.97230000002</v>
      </c>
      <c r="J265" s="7"/>
      <c r="K265" s="7" t="s">
        <v>743</v>
      </c>
      <c r="L265" s="7" t="s">
        <v>893</v>
      </c>
      <c r="M265" s="7" t="s">
        <v>813</v>
      </c>
      <c r="N265" t="s">
        <v>24</v>
      </c>
      <c r="O265" s="7">
        <f>VLOOKUP(A265,[1]Workings!$M:$U,9,0)</f>
        <v>74802.880000000005</v>
      </c>
      <c r="P265" s="12">
        <f t="shared" si="18"/>
        <v>-10120.337500000001</v>
      </c>
      <c r="Q265" s="12" t="s">
        <v>981</v>
      </c>
      <c r="S265">
        <f t="shared" si="20"/>
        <v>-13.529342052070723</v>
      </c>
    </row>
    <row r="266" spans="1:19" x14ac:dyDescent="0.35">
      <c r="A266" s="8">
        <v>256779413897</v>
      </c>
      <c r="B266" s="1">
        <v>45805</v>
      </c>
      <c r="C266" t="s">
        <v>261</v>
      </c>
      <c r="D266" t="s">
        <v>894</v>
      </c>
      <c r="E266" t="s">
        <v>19</v>
      </c>
      <c r="F266" t="s">
        <v>30</v>
      </c>
      <c r="G266" s="7"/>
      <c r="H266" s="7">
        <v>42810.575199999999</v>
      </c>
      <c r="I266" s="7">
        <v>-993565.54749999999</v>
      </c>
      <c r="J266" s="7"/>
      <c r="K266" s="7" t="s">
        <v>895</v>
      </c>
      <c r="L266" s="7" t="s">
        <v>896</v>
      </c>
      <c r="M266" s="7" t="s">
        <v>897</v>
      </c>
      <c r="N266" t="s">
        <v>24</v>
      </c>
      <c r="O266" s="7">
        <f>VLOOKUP(A266,[1]Workings!$M:$U,9,0)</f>
        <v>47569.62</v>
      </c>
      <c r="P266" s="12">
        <f t="shared" si="18"/>
        <v>-4759.0448000000033</v>
      </c>
      <c r="S266">
        <f t="shared" si="20"/>
        <v>-10.004378424717295</v>
      </c>
    </row>
    <row r="267" spans="1:19" x14ac:dyDescent="0.35">
      <c r="A267" s="8">
        <v>256779416078</v>
      </c>
      <c r="B267" s="1">
        <v>45877</v>
      </c>
      <c r="C267" t="s">
        <v>261</v>
      </c>
      <c r="D267" t="s">
        <v>898</v>
      </c>
      <c r="E267" t="s">
        <v>19</v>
      </c>
      <c r="F267" t="s">
        <v>30</v>
      </c>
      <c r="G267" s="7"/>
      <c r="H267" s="7">
        <v>114392.44259999999</v>
      </c>
      <c r="I267" s="7">
        <v>-1107957.9901000001</v>
      </c>
      <c r="J267" s="7"/>
      <c r="K267" s="7" t="s">
        <v>899</v>
      </c>
      <c r="L267" s="7" t="s">
        <v>900</v>
      </c>
      <c r="M267" s="7" t="s">
        <v>901</v>
      </c>
      <c r="N267" t="s">
        <v>24</v>
      </c>
      <c r="O267" s="7">
        <f>VLOOKUP(A267,[1]Workings!$M:$U,9,0)</f>
        <v>127102.62</v>
      </c>
      <c r="P267" s="12">
        <f t="shared" si="18"/>
        <v>-12710.1774</v>
      </c>
      <c r="S267">
        <f t="shared" si="20"/>
        <v>-9.9999334396096629</v>
      </c>
    </row>
    <row r="268" spans="1:19" x14ac:dyDescent="0.35">
      <c r="A268" s="8">
        <v>256779415196</v>
      </c>
      <c r="B268" s="1">
        <v>45842</v>
      </c>
      <c r="C268" t="s">
        <v>261</v>
      </c>
      <c r="D268" t="s">
        <v>902</v>
      </c>
      <c r="E268" t="s">
        <v>19</v>
      </c>
      <c r="F268" t="s">
        <v>30</v>
      </c>
      <c r="G268" s="7"/>
      <c r="H268" s="7">
        <v>1353.28</v>
      </c>
      <c r="I268" s="7">
        <v>-1109311.2701000001</v>
      </c>
      <c r="J268" s="7"/>
      <c r="K268" s="7" t="s">
        <v>903</v>
      </c>
      <c r="L268" s="7" t="s">
        <v>904</v>
      </c>
      <c r="M268" s="7" t="s">
        <v>905</v>
      </c>
      <c r="N268" t="s">
        <v>24</v>
      </c>
      <c r="O268" s="7">
        <f>VLOOKUP(A268,[1]Workings!$M:$U,9,0)</f>
        <v>1503.29</v>
      </c>
      <c r="P268" s="12">
        <f t="shared" si="18"/>
        <v>-150.01</v>
      </c>
      <c r="S268">
        <f t="shared" si="20"/>
        <v>-9.9787798761383364</v>
      </c>
    </row>
    <row r="269" spans="1:19" x14ac:dyDescent="0.35">
      <c r="A269" s="8">
        <v>256779416086</v>
      </c>
      <c r="B269" s="1">
        <v>45877</v>
      </c>
      <c r="C269" t="s">
        <v>261</v>
      </c>
      <c r="D269" t="s">
        <v>906</v>
      </c>
      <c r="E269" t="s">
        <v>19</v>
      </c>
      <c r="F269" t="s">
        <v>30</v>
      </c>
      <c r="G269" s="7"/>
      <c r="H269" s="7">
        <v>112251.02680000001</v>
      </c>
      <c r="I269" s="7">
        <v>-1221562.2969</v>
      </c>
      <c r="J269" s="7"/>
      <c r="K269" s="7" t="s">
        <v>907</v>
      </c>
      <c r="L269" s="7" t="s">
        <v>908</v>
      </c>
      <c r="M269" s="7" t="s">
        <v>909</v>
      </c>
      <c r="N269" t="s">
        <v>24</v>
      </c>
      <c r="O269" s="7">
        <f>VLOOKUP(A269,[1]Workings!$M:$U,9,0)</f>
        <v>124723.03</v>
      </c>
      <c r="P269" s="12">
        <f t="shared" si="18"/>
        <v>-12472.003199999992</v>
      </c>
      <c r="S269">
        <f t="shared" si="20"/>
        <v>-9.9997596273919847</v>
      </c>
    </row>
    <row r="270" spans="1:19" x14ac:dyDescent="0.35">
      <c r="A270" s="8">
        <v>256779417082</v>
      </c>
      <c r="B270" s="1">
        <v>45906</v>
      </c>
      <c r="C270" t="s">
        <v>261</v>
      </c>
      <c r="D270" t="s">
        <v>910</v>
      </c>
      <c r="E270" t="s">
        <v>19</v>
      </c>
      <c r="F270" t="s">
        <v>30</v>
      </c>
      <c r="G270" s="7"/>
      <c r="H270" s="7">
        <v>131062.7203</v>
      </c>
      <c r="I270" s="7">
        <v>-1352625.0171999999</v>
      </c>
      <c r="J270" s="7"/>
      <c r="K270" s="7" t="s">
        <v>911</v>
      </c>
      <c r="L270" s="7" t="s">
        <v>912</v>
      </c>
      <c r="M270" s="7" t="s">
        <v>913</v>
      </c>
      <c r="N270" t="s">
        <v>24</v>
      </c>
      <c r="O270" s="7">
        <f>VLOOKUP(A270,[1]Workings!$M:$U,9,0)</f>
        <v>145624.72</v>
      </c>
      <c r="P270" s="12">
        <f t="shared" si="18"/>
        <v>-14561.9997</v>
      </c>
      <c r="S270">
        <f t="shared" si="20"/>
        <v>-9.999675673196144</v>
      </c>
    </row>
    <row r="271" spans="1:19" x14ac:dyDescent="0.35">
      <c r="A271" s="8">
        <v>256779418011</v>
      </c>
      <c r="B271" s="1">
        <v>45936</v>
      </c>
      <c r="C271" t="s">
        <v>261</v>
      </c>
      <c r="D271" t="s">
        <v>914</v>
      </c>
      <c r="E271" t="s">
        <v>19</v>
      </c>
      <c r="F271" t="s">
        <v>30</v>
      </c>
      <c r="G271" s="7"/>
      <c r="H271" s="7">
        <v>73826.046600000001</v>
      </c>
      <c r="I271" s="7">
        <v>-1426451.0637999999</v>
      </c>
      <c r="J271" s="7"/>
      <c r="K271" s="7" t="s">
        <v>915</v>
      </c>
      <c r="L271" s="7" t="s">
        <v>916</v>
      </c>
      <c r="M271" s="7" t="s">
        <v>917</v>
      </c>
      <c r="N271" t="s">
        <v>24</v>
      </c>
      <c r="O271" s="7">
        <f>VLOOKUP(A271,[1]Workings!$M:$U,9,0)</f>
        <v>82029.759999999995</v>
      </c>
      <c r="P271" s="12">
        <f t="shared" si="18"/>
        <v>-8203.7133999999933</v>
      </c>
      <c r="S271">
        <f t="shared" si="20"/>
        <v>-10.00089894204249</v>
      </c>
    </row>
    <row r="272" spans="1:19" x14ac:dyDescent="0.35">
      <c r="A272" s="8">
        <v>256779418876</v>
      </c>
      <c r="B272" s="1">
        <v>45966</v>
      </c>
      <c r="C272" t="s">
        <v>261</v>
      </c>
      <c r="D272" t="s">
        <v>918</v>
      </c>
      <c r="E272" t="s">
        <v>19</v>
      </c>
      <c r="F272" t="s">
        <v>30</v>
      </c>
      <c r="G272" s="7"/>
      <c r="H272" s="7">
        <v>59082.888800000001</v>
      </c>
      <c r="I272" s="7">
        <v>-1485533.9526</v>
      </c>
      <c r="J272" s="7"/>
      <c r="K272" s="7" t="s">
        <v>919</v>
      </c>
      <c r="L272" s="7" t="s">
        <v>920</v>
      </c>
      <c r="M272" s="7" t="s">
        <v>921</v>
      </c>
      <c r="N272" t="s">
        <v>24</v>
      </c>
      <c r="O272" s="7">
        <f>VLOOKUP(A272,[1]Workings!$M:$U,9,0)</f>
        <v>65647.89</v>
      </c>
      <c r="P272" s="12">
        <f t="shared" si="18"/>
        <v>-6565.0011999999988</v>
      </c>
      <c r="S272">
        <f t="shared" si="20"/>
        <v>-10.000323239634966</v>
      </c>
    </row>
    <row r="273" spans="1:19" x14ac:dyDescent="0.35">
      <c r="A273" s="8"/>
      <c r="B273" s="1">
        <v>46022</v>
      </c>
      <c r="C273" t="s">
        <v>280</v>
      </c>
      <c r="D273" t="s">
        <v>922</v>
      </c>
      <c r="E273" t="s">
        <v>923</v>
      </c>
      <c r="F273" t="s">
        <v>924</v>
      </c>
      <c r="G273" s="7">
        <v>208851.1594</v>
      </c>
      <c r="H273" s="7"/>
      <c r="I273" s="7">
        <v>-1276682.7932</v>
      </c>
      <c r="J273" s="7" t="s">
        <v>925</v>
      </c>
      <c r="K273" s="7"/>
      <c r="L273" s="7" t="s">
        <v>926</v>
      </c>
      <c r="M273" s="7" t="s">
        <v>75</v>
      </c>
      <c r="N273" t="s">
        <v>24</v>
      </c>
      <c r="O273" s="7" t="e">
        <f>VLOOKUP(A273,[1]Workings!$M:$U,9,0)</f>
        <v>#N/A</v>
      </c>
      <c r="P273" s="12" t="e">
        <f t="shared" si="18"/>
        <v>#N/A</v>
      </c>
    </row>
    <row r="274" spans="1:19" x14ac:dyDescent="0.35">
      <c r="A274" s="8">
        <v>256779421715</v>
      </c>
      <c r="B274" s="1">
        <v>45883</v>
      </c>
      <c r="C274" t="s">
        <v>267</v>
      </c>
      <c r="D274" t="s">
        <v>927</v>
      </c>
      <c r="E274" t="s">
        <v>928</v>
      </c>
      <c r="F274" t="s">
        <v>30</v>
      </c>
      <c r="G274" s="7">
        <v>179999.96679999999</v>
      </c>
      <c r="H274" s="7"/>
      <c r="I274" s="7">
        <v>-1096682.8263999999</v>
      </c>
      <c r="J274" s="7" t="s">
        <v>929</v>
      </c>
      <c r="K274" s="7"/>
      <c r="L274" s="7" t="s">
        <v>930</v>
      </c>
      <c r="M274" s="7" t="s">
        <v>931</v>
      </c>
      <c r="N274" t="s">
        <v>24</v>
      </c>
      <c r="O274" s="7">
        <f>VLOOKUP(A274,[1]Workings!$M:$U,9,0)</f>
        <v>-200000.24</v>
      </c>
      <c r="P274" s="12">
        <f t="shared" si="18"/>
        <v>200000.24</v>
      </c>
      <c r="S274">
        <f t="shared" ref="S274:S280" si="21">P274/O274*100</f>
        <v>-100</v>
      </c>
    </row>
    <row r="275" spans="1:19" x14ac:dyDescent="0.35">
      <c r="A275" s="8">
        <v>256779440052</v>
      </c>
      <c r="B275" s="14">
        <v>46027</v>
      </c>
      <c r="C275" t="s">
        <v>261</v>
      </c>
      <c r="D275" t="s">
        <v>932</v>
      </c>
      <c r="E275" t="s">
        <v>19</v>
      </c>
      <c r="F275" t="s">
        <v>63</v>
      </c>
      <c r="G275" s="7"/>
      <c r="H275" s="7">
        <v>7902.9098000000004</v>
      </c>
      <c r="I275" s="7">
        <v>-1104585.7361999999</v>
      </c>
      <c r="J275" s="7"/>
      <c r="K275" s="7" t="s">
        <v>933</v>
      </c>
      <c r="L275" s="7" t="s">
        <v>934</v>
      </c>
      <c r="M275" s="7" t="s">
        <v>935</v>
      </c>
      <c r="N275" t="s">
        <v>24</v>
      </c>
      <c r="O275" s="7">
        <f>VLOOKUP(A275,[1]Workings!$M:$U,9,0)</f>
        <v>76838.570000000007</v>
      </c>
      <c r="P275" s="12">
        <f t="shared" si="18"/>
        <v>-68935.660200000013</v>
      </c>
      <c r="Q275" s="12" t="s">
        <v>981</v>
      </c>
      <c r="S275">
        <f t="shared" si="21"/>
        <v>-89.714918171954537</v>
      </c>
    </row>
    <row r="276" spans="1:19" x14ac:dyDescent="0.35">
      <c r="A276" s="8">
        <v>256779440052</v>
      </c>
      <c r="B276" s="14">
        <v>46027</v>
      </c>
      <c r="C276" t="s">
        <v>261</v>
      </c>
      <c r="D276" t="s">
        <v>936</v>
      </c>
      <c r="E276" t="s">
        <v>19</v>
      </c>
      <c r="F276" t="s">
        <v>189</v>
      </c>
      <c r="G276" s="7"/>
      <c r="H276" s="7">
        <v>66694</v>
      </c>
      <c r="I276" s="7">
        <v>-1171279.7361999999</v>
      </c>
      <c r="J276" s="7"/>
      <c r="K276" s="7" t="s">
        <v>743</v>
      </c>
      <c r="L276" s="7" t="s">
        <v>937</v>
      </c>
      <c r="M276" s="7" t="s">
        <v>813</v>
      </c>
      <c r="N276" t="s">
        <v>24</v>
      </c>
      <c r="O276" s="7">
        <f>VLOOKUP(A276,[1]Workings!$M:$U,9,0)</f>
        <v>76838.570000000007</v>
      </c>
      <c r="P276" s="12">
        <f t="shared" si="18"/>
        <v>-10144.570000000007</v>
      </c>
      <c r="Q276" s="12" t="s">
        <v>981</v>
      </c>
      <c r="S276">
        <f t="shared" si="21"/>
        <v>-13.202445074134001</v>
      </c>
    </row>
    <row r="277" spans="1:19" x14ac:dyDescent="0.35">
      <c r="A277" s="8">
        <v>256779440081</v>
      </c>
      <c r="B277" s="1">
        <v>46027</v>
      </c>
      <c r="C277" t="s">
        <v>261</v>
      </c>
      <c r="D277" t="s">
        <v>938</v>
      </c>
      <c r="E277" t="s">
        <v>19</v>
      </c>
      <c r="F277" t="s">
        <v>453</v>
      </c>
      <c r="G277" s="7"/>
      <c r="H277" s="7">
        <v>307.053</v>
      </c>
      <c r="I277" s="7">
        <v>-1171586.7892</v>
      </c>
      <c r="J277" s="7"/>
      <c r="K277" s="7" t="s">
        <v>939</v>
      </c>
      <c r="L277" s="7" t="s">
        <v>940</v>
      </c>
      <c r="M277" s="7" t="s">
        <v>941</v>
      </c>
      <c r="N277" t="s">
        <v>24</v>
      </c>
      <c r="O277" s="7">
        <f>VLOOKUP(A277,[1]Workings!$M:$U,9,0)</f>
        <v>313.06</v>
      </c>
      <c r="P277" s="12">
        <f t="shared" si="18"/>
        <v>-6.007000000000005</v>
      </c>
      <c r="S277">
        <f t="shared" si="21"/>
        <v>-1.9188015076982063</v>
      </c>
    </row>
    <row r="278" spans="1:19" x14ac:dyDescent="0.35">
      <c r="A278" s="8">
        <v>256779419232</v>
      </c>
      <c r="B278" s="1">
        <v>45966</v>
      </c>
      <c r="C278" t="s">
        <v>261</v>
      </c>
      <c r="D278" t="s">
        <v>942</v>
      </c>
      <c r="E278" t="s">
        <v>19</v>
      </c>
      <c r="F278" t="s">
        <v>54</v>
      </c>
      <c r="G278" s="7"/>
      <c r="H278" s="7">
        <v>2233.4737</v>
      </c>
      <c r="I278" s="7">
        <v>-1173820.2629</v>
      </c>
      <c r="J278" s="7"/>
      <c r="K278" s="7" t="s">
        <v>943</v>
      </c>
      <c r="L278" s="7" t="s">
        <v>944</v>
      </c>
      <c r="M278" s="7" t="s">
        <v>945</v>
      </c>
      <c r="N278" t="s">
        <v>24</v>
      </c>
      <c r="O278" s="7">
        <f>VLOOKUP(A278,[1]Workings!$M:$U,9,0)</f>
        <v>2260.81</v>
      </c>
      <c r="P278" s="12">
        <f t="shared" si="18"/>
        <v>-27.336299999999937</v>
      </c>
      <c r="S278">
        <f t="shared" si="21"/>
        <v>-1.2091374330439064</v>
      </c>
    </row>
    <row r="279" spans="1:19" x14ac:dyDescent="0.35">
      <c r="A279" s="8">
        <v>256779419200</v>
      </c>
      <c r="B279" s="1">
        <v>45966</v>
      </c>
      <c r="C279" t="s">
        <v>261</v>
      </c>
      <c r="D279" t="s">
        <v>946</v>
      </c>
      <c r="E279" t="s">
        <v>19</v>
      </c>
      <c r="F279" t="s">
        <v>54</v>
      </c>
      <c r="G279" s="7"/>
      <c r="H279" s="7">
        <v>13131.454</v>
      </c>
      <c r="I279" s="7">
        <v>-1186951.7169000001</v>
      </c>
      <c r="J279" s="7"/>
      <c r="K279" s="7" t="s">
        <v>947</v>
      </c>
      <c r="L279" s="7" t="s">
        <v>948</v>
      </c>
      <c r="M279" s="7" t="s">
        <v>949</v>
      </c>
      <c r="N279" t="s">
        <v>24</v>
      </c>
      <c r="O279" s="7">
        <f>VLOOKUP(A279,[1]Workings!$M:$U,9,0)</f>
        <v>13399.4</v>
      </c>
      <c r="P279" s="12">
        <f t="shared" si="18"/>
        <v>-267.94599999999991</v>
      </c>
      <c r="S279">
        <f t="shared" si="21"/>
        <v>-1.999686553129244</v>
      </c>
    </row>
    <row r="280" spans="1:19" x14ac:dyDescent="0.35">
      <c r="A280" s="8">
        <v>256779419992</v>
      </c>
      <c r="B280" s="1">
        <v>45997</v>
      </c>
      <c r="C280" t="s">
        <v>261</v>
      </c>
      <c r="D280" t="s">
        <v>950</v>
      </c>
      <c r="E280" t="s">
        <v>19</v>
      </c>
      <c r="F280" t="s">
        <v>54</v>
      </c>
      <c r="G280" s="7"/>
      <c r="H280" s="7">
        <v>10788.5744</v>
      </c>
      <c r="I280" s="7">
        <v>-1197740.2912999999</v>
      </c>
      <c r="J280" s="7"/>
      <c r="K280" s="7" t="s">
        <v>951</v>
      </c>
      <c r="L280" s="7" t="s">
        <v>952</v>
      </c>
      <c r="M280" s="7" t="s">
        <v>953</v>
      </c>
      <c r="N280" t="s">
        <v>24</v>
      </c>
      <c r="O280" s="7">
        <f>VLOOKUP(A280,[1]Workings!$M:$U,9,0)</f>
        <v>11008.57</v>
      </c>
      <c r="P280" s="12">
        <f t="shared" si="18"/>
        <v>-219.99560000000019</v>
      </c>
      <c r="S280">
        <f t="shared" si="21"/>
        <v>-1.9984030623414324</v>
      </c>
    </row>
  </sheetData>
  <autoFilter ref="A2:S280" xr:uid="{11AED538-2C0D-4213-BD96-BED0EA48D6A5}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2024-2025</vt:lpstr>
      <vt:lpstr>2025-2026</vt:lpstr>
      <vt:lpstr>pivot</vt:lpstr>
      <vt:lpstr>combined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TC - Prashi Mahaur</dc:creator>
  <cp:lastModifiedBy>Neuroy Gonsalves</cp:lastModifiedBy>
  <dcterms:created xsi:type="dcterms:W3CDTF">2026-02-03T05:42:39Z</dcterms:created>
  <dcterms:modified xsi:type="dcterms:W3CDTF">2026-04-20T14:12:41Z</dcterms:modified>
</cp:coreProperties>
</file>